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7\"/>
    </mc:Choice>
  </mc:AlternateContent>
  <xr:revisionPtr revIDLastSave="0" documentId="13_ncr:1_{237010F5-C8A6-4C89-8C3B-5F929F9FD1D0}" xr6:coauthVersionLast="47" xr6:coauthVersionMax="47" xr10:uidLastSave="{00000000-0000-0000-0000-000000000000}"/>
  <bookViews>
    <workbookView xWindow="-120" yWindow="-120" windowWidth="20730" windowHeight="11160" tabRatio="598" activeTab="2" xr2:uid="{1420D348-B1B5-4ADB-8001-24D86FFA6493}"/>
  </bookViews>
  <sheets>
    <sheet name="2022年 7月度給与 (2)" sheetId="3" r:id="rId1"/>
    <sheet name="2022年 7月度給与 (3)" sheetId="4" r:id="rId2"/>
    <sheet name="2022年 7月度給与 (4)" sheetId="5" r:id="rId3"/>
  </sheets>
  <definedNames>
    <definedName name="_xlnm.Print_Area" localSheetId="1">'2022年 7月度給与 (3)'!$A$1:$P$65</definedName>
    <definedName name="_xlnm.Print_Area" localSheetId="2">'2022年 7月度給与 (4)'!$A$1:$S$65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63" i="5" l="1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O63" i="4"/>
  <c r="M63" i="4"/>
  <c r="O62" i="4"/>
  <c r="M62" i="4"/>
  <c r="O61" i="4"/>
  <c r="M61" i="4"/>
  <c r="O60" i="4"/>
  <c r="M60" i="4"/>
  <c r="O59" i="4"/>
  <c r="M59" i="4"/>
  <c r="O58" i="4"/>
  <c r="M58" i="4"/>
  <c r="O57" i="4"/>
  <c r="M57" i="4"/>
  <c r="O56" i="4"/>
  <c r="M56" i="4"/>
  <c r="O55" i="4"/>
  <c r="M55" i="4"/>
  <c r="O54" i="4"/>
  <c r="M54" i="4"/>
  <c r="O53" i="4"/>
  <c r="M53" i="4"/>
  <c r="O52" i="4"/>
  <c r="M52" i="4"/>
  <c r="O51" i="4"/>
  <c r="M51" i="4"/>
  <c r="O50" i="4"/>
  <c r="M50" i="4"/>
  <c r="O49" i="4"/>
  <c r="M49" i="4"/>
  <c r="O48" i="4"/>
  <c r="M48" i="4"/>
  <c r="O47" i="4"/>
  <c r="M47" i="4"/>
  <c r="O46" i="4"/>
  <c r="M46" i="4"/>
  <c r="O45" i="4"/>
  <c r="M45" i="4"/>
  <c r="O44" i="4"/>
  <c r="M44" i="4"/>
  <c r="O43" i="4"/>
  <c r="M43" i="4"/>
  <c r="O42" i="4"/>
  <c r="M42" i="4"/>
  <c r="O41" i="4"/>
  <c r="M41" i="4"/>
  <c r="O40" i="4"/>
  <c r="M40" i="4"/>
  <c r="O39" i="4"/>
  <c r="M39" i="4"/>
  <c r="O38" i="4"/>
  <c r="M38" i="4"/>
  <c r="O37" i="4"/>
  <c r="M37" i="4"/>
  <c r="O36" i="4"/>
  <c r="M36" i="4"/>
  <c r="O35" i="4"/>
  <c r="M35" i="4"/>
  <c r="O34" i="4"/>
  <c r="M34" i="4"/>
  <c r="O33" i="4"/>
  <c r="M33" i="4"/>
  <c r="O32" i="4"/>
  <c r="M32" i="4"/>
  <c r="O31" i="4"/>
  <c r="M31" i="4"/>
  <c r="O30" i="4"/>
  <c r="M30" i="4"/>
  <c r="O29" i="4"/>
  <c r="M29" i="4"/>
  <c r="O28" i="4"/>
  <c r="M28" i="4"/>
  <c r="O27" i="4"/>
  <c r="M27" i="4"/>
  <c r="O26" i="4"/>
  <c r="M26" i="4"/>
  <c r="O25" i="4"/>
  <c r="M25" i="4"/>
  <c r="O24" i="4"/>
  <c r="M24" i="4"/>
  <c r="O23" i="4"/>
  <c r="M23" i="4"/>
  <c r="O22" i="4"/>
  <c r="M22" i="4"/>
  <c r="O21" i="4"/>
  <c r="O20" i="4"/>
  <c r="M20" i="4"/>
  <c r="O19" i="4"/>
  <c r="O18" i="4"/>
  <c r="O17" i="4"/>
  <c r="O16" i="4"/>
  <c r="O15" i="4"/>
  <c r="M15" i="4"/>
  <c r="O14" i="4"/>
  <c r="M14" i="4"/>
  <c r="O13" i="4"/>
  <c r="M13" i="4"/>
  <c r="O12" i="4"/>
  <c r="O11" i="4"/>
  <c r="O10" i="4"/>
  <c r="O9" i="4"/>
  <c r="M9" i="4"/>
  <c r="O8" i="4"/>
  <c r="O7" i="4"/>
  <c r="O6" i="4"/>
  <c r="M6" i="4"/>
  <c r="O5" i="4"/>
  <c r="M5" i="4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5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24" i="3"/>
  <c r="AD23" i="3"/>
  <c r="AD22" i="3"/>
  <c r="AD20" i="3"/>
  <c r="AD14" i="3"/>
  <c r="AD15" i="3"/>
  <c r="AD13" i="3"/>
  <c r="AD9" i="3"/>
  <c r="AD6" i="3"/>
  <c r="AD5" i="3"/>
  <c r="S25" i="3"/>
  <c r="AG25" i="3" s="1"/>
  <c r="S26" i="3"/>
  <c r="AG26" i="3" s="1"/>
  <c r="S27" i="3"/>
  <c r="AG27" i="3" s="1"/>
  <c r="S28" i="3"/>
  <c r="AG28" i="3" s="1"/>
  <c r="S29" i="3"/>
  <c r="AG29" i="3" s="1"/>
  <c r="S30" i="3"/>
  <c r="AG30" i="3" s="1"/>
  <c r="S31" i="3"/>
  <c r="AG31" i="3" s="1"/>
  <c r="S32" i="3"/>
  <c r="AG32" i="3" s="1"/>
  <c r="S33" i="3"/>
  <c r="AG33" i="3" s="1"/>
  <c r="S34" i="3"/>
  <c r="AG34" i="3" s="1"/>
  <c r="S35" i="3"/>
  <c r="AG35" i="3" s="1"/>
  <c r="S36" i="3"/>
  <c r="AG36" i="3" s="1"/>
  <c r="S37" i="3"/>
  <c r="AG37" i="3" s="1"/>
  <c r="S38" i="3"/>
  <c r="AG38" i="3" s="1"/>
  <c r="S39" i="3"/>
  <c r="AG39" i="3" s="1"/>
  <c r="S40" i="3"/>
  <c r="AG40" i="3" s="1"/>
  <c r="S41" i="3"/>
  <c r="AG41" i="3" s="1"/>
  <c r="S42" i="3"/>
  <c r="AG42" i="3" s="1"/>
  <c r="S43" i="3"/>
  <c r="AG43" i="3" s="1"/>
  <c r="S44" i="3"/>
  <c r="AG44" i="3" s="1"/>
  <c r="S45" i="3"/>
  <c r="AG45" i="3" s="1"/>
  <c r="S46" i="3"/>
  <c r="AG46" i="3" s="1"/>
  <c r="S47" i="3"/>
  <c r="AG47" i="3" s="1"/>
  <c r="S48" i="3"/>
  <c r="AG48" i="3" s="1"/>
  <c r="S49" i="3"/>
  <c r="AG49" i="3" s="1"/>
  <c r="S50" i="3"/>
  <c r="AG50" i="3" s="1"/>
  <c r="S51" i="3"/>
  <c r="AG51" i="3" s="1"/>
  <c r="S52" i="3"/>
  <c r="AG52" i="3" s="1"/>
  <c r="S53" i="3"/>
  <c r="AG53" i="3" s="1"/>
  <c r="S54" i="3"/>
  <c r="AG54" i="3" s="1"/>
  <c r="S55" i="3"/>
  <c r="AG55" i="3" s="1"/>
  <c r="S56" i="3"/>
  <c r="AG56" i="3" s="1"/>
  <c r="S57" i="3"/>
  <c r="AG57" i="3" s="1"/>
  <c r="S58" i="3"/>
  <c r="AG58" i="3" s="1"/>
  <c r="S59" i="3"/>
  <c r="AG59" i="3" s="1"/>
  <c r="S60" i="3"/>
  <c r="AG60" i="3" s="1"/>
  <c r="S61" i="3"/>
  <c r="AG61" i="3" s="1"/>
  <c r="S62" i="3"/>
  <c r="AG62" i="3" s="1"/>
  <c r="S63" i="3"/>
  <c r="AG63" i="3" s="1"/>
  <c r="S24" i="3"/>
  <c r="AG24" i="3" s="1"/>
  <c r="S23" i="3"/>
  <c r="AG23" i="3" s="1"/>
  <c r="S18" i="3"/>
  <c r="AG18" i="3" s="1"/>
  <c r="S19" i="3"/>
  <c r="AG19" i="3" s="1"/>
  <c r="S20" i="3"/>
  <c r="AG20" i="3" s="1"/>
  <c r="S21" i="3"/>
  <c r="AG21" i="3" s="1"/>
  <c r="S22" i="3"/>
  <c r="AG22" i="3" s="1"/>
  <c r="S15" i="3"/>
  <c r="AG15" i="3" s="1"/>
  <c r="S16" i="3"/>
  <c r="AG16" i="3" s="1"/>
  <c r="S17" i="3"/>
  <c r="AG17" i="3" s="1"/>
  <c r="S14" i="3"/>
  <c r="AG14" i="3" s="1"/>
  <c r="S7" i="3"/>
  <c r="AG7" i="3" s="1"/>
  <c r="S8" i="3"/>
  <c r="AG8" i="3" s="1"/>
  <c r="S9" i="3"/>
  <c r="AG9" i="3" s="1"/>
  <c r="S10" i="3"/>
  <c r="AG10" i="3" s="1"/>
  <c r="S11" i="3"/>
  <c r="AG11" i="3" s="1"/>
  <c r="S12" i="3"/>
  <c r="AG12" i="3" s="1"/>
  <c r="S13" i="3"/>
  <c r="AG13" i="3" s="1"/>
  <c r="S6" i="3"/>
  <c r="AG6" i="3" s="1"/>
  <c r="S5" i="3"/>
  <c r="AG5" i="3" s="1"/>
</calcChain>
</file>

<file path=xl/sharedStrings.xml><?xml version="1.0" encoding="utf-8"?>
<sst xmlns="http://schemas.openxmlformats.org/spreadsheetml/2006/main" count="553" uniqueCount="123">
  <si>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</si>
  <si>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</si>
  <si>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</si>
  <si>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</si>
  <si>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</si>
  <si>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</si>
  <si>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</si>
  <si>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</si>
  <si>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</si>
  <si>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</si>
  <si>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</si>
  <si>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</si>
  <si>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</si>
  <si>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</si>
  <si>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</si>
  <si>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</si>
  <si>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</si>
  <si>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</si>
  <si>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</si>
  <si>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</si>
  <si>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</si>
  <si>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</si>
  <si>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</si>
  <si>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</si>
  <si>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</si>
  <si>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</si>
  <si>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</si>
  <si>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</si>
  <si>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1106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</si>
  <si>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</si>
  <si>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</si>
  <si>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</si>
  <si>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</si>
  <si>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</si>
  <si>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</si>
  <si>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</si>
  <si>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</si>
  <si>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</si>
  <si>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</si>
  <si>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</si>
  <si>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</si>
  <si>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</si>
  <si>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</si>
  <si>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</si>
  <si>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</si>
  <si>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</si>
  <si>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</si>
  <si>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</si>
  <si>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</si>
  <si>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</si>
  <si>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</si>
  <si>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</si>
  <si>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</si>
  <si>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</si>
  <si>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</si>
  <si>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</si>
  <si>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小野　宏美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</si>
  <si>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</si>
  <si>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</si>
  <si>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</si>
  <si>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</si>
  <si>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</si>
  <si>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</si>
  <si>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</si>
  <si>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</si>
  <si>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</si>
  <si>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</si>
  <si>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</si>
  <si>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</si>
  <si>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</si>
  <si>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</si>
  <si>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</si>
  <si>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</si>
  <si>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</si>
  <si>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</si>
  <si>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</si>
  <si>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</si>
  <si>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</si>
  <si>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</si>
  <si>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</si>
  <si>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</si>
  <si>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</si>
  <si>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</si>
  <si>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</si>
  <si>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</si>
  <si>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</si>
  <si>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</si>
  <si>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</si>
  <si>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</si>
  <si>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</si>
  <si>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</si>
  <si>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</si>
  <si>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</si>
  <si>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</si>
  <si>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</si>
  <si>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</si>
  <si>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</si>
  <si>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</si>
  <si>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</si>
  <si>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</si>
  <si>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</si>
  <si>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</si>
  <si>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</si>
  <si>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</si>
  <si>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</si>
  <si>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</si>
  <si>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</si>
  <si>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</si>
  <si>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</si>
  <si>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</si>
  <si>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</si>
  <si>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</si>
  <si>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</si>
  <si>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</si>
  <si>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</si>
  <si>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</si>
  <si>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</si>
  <si>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7月度給与</t>
    <phoneticPr fontId="4"/>
  </si>
  <si>
    <t>小計</t>
    <rPh sb="0" eb="2">
      <t>ショウケイ</t>
    </rPh>
    <phoneticPr fontId="3"/>
  </si>
  <si>
    <t>１６名</t>
    <rPh sb="2" eb="3">
      <t>メイ</t>
    </rPh>
    <phoneticPr fontId="3"/>
  </si>
  <si>
    <t>10名</t>
    <rPh sb="2" eb="3">
      <t>メイ</t>
    </rPh>
    <phoneticPr fontId="3"/>
  </si>
  <si>
    <t>１名</t>
    <rPh sb="1" eb="2">
      <t>メイ</t>
    </rPh>
    <phoneticPr fontId="3"/>
  </si>
  <si>
    <t>27名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</si>
</sst>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7" xfId="1" applyNumberFormat="1" applyFont="1" applyBorder="1"/>
    <xf numFmtId="2" fontId="2" fillId="0" borderId="8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9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177" fontId="2" fillId="0" borderId="6" xfId="1" applyNumberFormat="1" applyFont="1" applyBorder="1"/>
    <xf numFmtId="177" fontId="2" fillId="0" borderId="7" xfId="1" applyNumberFormat="1" applyFont="1" applyBorder="1"/>
    <xf numFmtId="177" fontId="2" fillId="0" borderId="8" xfId="1" applyNumberFormat="1" applyFont="1" applyBorder="1"/>
    <xf numFmtId="177" fontId="2" fillId="0" borderId="29" xfId="1" applyNumberFormat="1" applyFont="1" applyBorder="1"/>
    <xf numFmtId="49" fontId="2" fillId="0" borderId="33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center"/>
    </xf>
    <xf numFmtId="0" fontId="2" fillId="0" borderId="33" xfId="1" applyFont="1" applyBorder="1"/>
    <xf numFmtId="49" fontId="2" fillId="0" borderId="34" xfId="1" applyNumberFormat="1" applyFont="1" applyBorder="1" applyAlignment="1">
      <alignment horizontal="right"/>
    </xf>
    <xf numFmtId="49" fontId="2" fillId="0" borderId="34" xfId="1" applyNumberFormat="1" applyFont="1" applyBorder="1" applyAlignment="1">
      <alignment horizontal="center"/>
    </xf>
    <xf numFmtId="0" fontId="2" fillId="0" borderId="34" xfId="1" applyFont="1" applyBorder="1" applyAlignment="1">
      <alignment horizontal="right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177" fontId="2" fillId="0" borderId="36" xfId="1" applyNumberFormat="1" applyFont="1" applyBorder="1"/>
    <xf numFmtId="3" fontId="2" fillId="0" borderId="37" xfId="1" applyNumberFormat="1" applyFont="1" applyBorder="1"/>
    <xf numFmtId="3" fontId="2" fillId="0" borderId="32" xfId="1" applyNumberFormat="1" applyFont="1" applyBorder="1"/>
    <xf numFmtId="49" fontId="2" fillId="0" borderId="34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177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0" fontId="2" fillId="0" borderId="2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49" fontId="2" fillId="0" borderId="14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18" xfId="1" applyNumberFormat="1" applyFont="1" applyBorder="1" applyAlignment="1">
      <alignment horizontal="left"/>
    </xf>
    <xf numFmtId="49" fontId="2" fillId="0" borderId="22" xfId="1" applyNumberFormat="1" applyFont="1" applyBorder="1" applyAlignment="1">
      <alignment horizontal="left"/>
    </xf>
  </cellXfs>
  <cellStyles count="2">
    <cellStyle name="標準" xfId="0" builtinId="0"/>
    <cellStyle name="標準 2" xfId="1" xr:uid="{BAC08CFA-FF72-492D-9984-0C171FCC24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A963-F985-447A-AE54-890507B6BEE1}">
  <dimension ref="A1:AG65"/>
  <sheetViews>
    <sheetView showZeros="0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1.25" style="2" bestFit="1" customWidth="1"/>
    <col min="5" max="5" width="9" style="2" bestFit="1" customWidth="1"/>
    <col min="6" max="6" width="11.125" style="2" bestFit="1" customWidth="1"/>
    <col min="7" max="7" width="9" style="2" bestFit="1" customWidth="1"/>
    <col min="8" max="13" width="11.125" style="2" bestFit="1" customWidth="1"/>
    <col min="14" max="14" width="11.25" style="2" bestFit="1" customWidth="1"/>
    <col min="15" max="17" width="11.125" style="2" bestFit="1" customWidth="1"/>
    <col min="18" max="18" width="9" style="2" bestFit="1" customWidth="1"/>
    <col min="19" max="21" width="11.125" style="2" customWidth="1"/>
    <col min="22" max="23" width="11.125" style="2" bestFit="1" customWidth="1"/>
    <col min="24" max="26" width="11.125" style="2" customWidth="1"/>
    <col min="27" max="28" width="11.125" style="2" bestFit="1" customWidth="1"/>
    <col min="29" max="32" width="11.125" style="2" customWidth="1"/>
    <col min="33" max="33" width="10.375" style="2" bestFit="1" customWidth="1"/>
    <col min="3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78" width="11.125" style="2" bestFit="1" customWidth="1"/>
    <col min="279" max="279" width="9" style="2"/>
    <col min="280" max="287" width="11.125" style="2" bestFit="1" customWidth="1"/>
    <col min="288" max="288" width="9.625" style="2" bestFit="1" customWidth="1"/>
    <col min="289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4" width="11.125" style="2" bestFit="1" customWidth="1"/>
    <col min="535" max="535" width="9" style="2"/>
    <col min="536" max="543" width="11.125" style="2" bestFit="1" customWidth="1"/>
    <col min="544" max="544" width="9.625" style="2" bestFit="1" customWidth="1"/>
    <col min="545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0" width="11.125" style="2" bestFit="1" customWidth="1"/>
    <col min="791" max="791" width="9" style="2"/>
    <col min="792" max="799" width="11.125" style="2" bestFit="1" customWidth="1"/>
    <col min="800" max="800" width="9.625" style="2" bestFit="1" customWidth="1"/>
    <col min="801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6" width="11.125" style="2" bestFit="1" customWidth="1"/>
    <col min="1047" max="1047" width="9" style="2"/>
    <col min="1048" max="1055" width="11.125" style="2" bestFit="1" customWidth="1"/>
    <col min="1056" max="1056" width="9.625" style="2" bestFit="1" customWidth="1"/>
    <col min="1057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2" width="11.125" style="2" bestFit="1" customWidth="1"/>
    <col min="1303" max="1303" width="9" style="2"/>
    <col min="1304" max="1311" width="11.125" style="2" bestFit="1" customWidth="1"/>
    <col min="1312" max="1312" width="9.625" style="2" bestFit="1" customWidth="1"/>
    <col min="1313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58" width="11.125" style="2" bestFit="1" customWidth="1"/>
    <col min="1559" max="1559" width="9" style="2"/>
    <col min="1560" max="1567" width="11.125" style="2" bestFit="1" customWidth="1"/>
    <col min="1568" max="1568" width="9.625" style="2" bestFit="1" customWidth="1"/>
    <col min="1569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4" width="11.125" style="2" bestFit="1" customWidth="1"/>
    <col min="1815" max="1815" width="9" style="2"/>
    <col min="1816" max="1823" width="11.125" style="2" bestFit="1" customWidth="1"/>
    <col min="1824" max="1824" width="9.625" style="2" bestFit="1" customWidth="1"/>
    <col min="1825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0" width="11.125" style="2" bestFit="1" customWidth="1"/>
    <col min="2071" max="2071" width="9" style="2"/>
    <col min="2072" max="2079" width="11.125" style="2" bestFit="1" customWidth="1"/>
    <col min="2080" max="2080" width="9.625" style="2" bestFit="1" customWidth="1"/>
    <col min="2081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6" width="11.125" style="2" bestFit="1" customWidth="1"/>
    <col min="2327" max="2327" width="9" style="2"/>
    <col min="2328" max="2335" width="11.125" style="2" bestFit="1" customWidth="1"/>
    <col min="2336" max="2336" width="9.625" style="2" bestFit="1" customWidth="1"/>
    <col min="2337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2" width="11.125" style="2" bestFit="1" customWidth="1"/>
    <col min="2583" max="2583" width="9" style="2"/>
    <col min="2584" max="2591" width="11.125" style="2" bestFit="1" customWidth="1"/>
    <col min="2592" max="2592" width="9.625" style="2" bestFit="1" customWidth="1"/>
    <col min="2593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38" width="11.125" style="2" bestFit="1" customWidth="1"/>
    <col min="2839" max="2839" width="9" style="2"/>
    <col min="2840" max="2847" width="11.125" style="2" bestFit="1" customWidth="1"/>
    <col min="2848" max="2848" width="9.625" style="2" bestFit="1" customWidth="1"/>
    <col min="2849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4" width="11.125" style="2" bestFit="1" customWidth="1"/>
    <col min="3095" max="3095" width="9" style="2"/>
    <col min="3096" max="3103" width="11.125" style="2" bestFit="1" customWidth="1"/>
    <col min="3104" max="3104" width="9.625" style="2" bestFit="1" customWidth="1"/>
    <col min="3105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0" width="11.125" style="2" bestFit="1" customWidth="1"/>
    <col min="3351" max="3351" width="9" style="2"/>
    <col min="3352" max="3359" width="11.125" style="2" bestFit="1" customWidth="1"/>
    <col min="3360" max="3360" width="9.625" style="2" bestFit="1" customWidth="1"/>
    <col min="3361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6" width="11.125" style="2" bestFit="1" customWidth="1"/>
    <col min="3607" max="3607" width="9" style="2"/>
    <col min="3608" max="3615" width="11.125" style="2" bestFit="1" customWidth="1"/>
    <col min="3616" max="3616" width="9.625" style="2" bestFit="1" customWidth="1"/>
    <col min="3617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2" width="11.125" style="2" bestFit="1" customWidth="1"/>
    <col min="3863" max="3863" width="9" style="2"/>
    <col min="3864" max="3871" width="11.125" style="2" bestFit="1" customWidth="1"/>
    <col min="3872" max="3872" width="9.625" style="2" bestFit="1" customWidth="1"/>
    <col min="3873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18" width="11.125" style="2" bestFit="1" customWidth="1"/>
    <col min="4119" max="4119" width="9" style="2"/>
    <col min="4120" max="4127" width="11.125" style="2" bestFit="1" customWidth="1"/>
    <col min="4128" max="4128" width="9.625" style="2" bestFit="1" customWidth="1"/>
    <col min="4129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4" width="11.125" style="2" bestFit="1" customWidth="1"/>
    <col min="4375" max="4375" width="9" style="2"/>
    <col min="4376" max="4383" width="11.125" style="2" bestFit="1" customWidth="1"/>
    <col min="4384" max="4384" width="9.625" style="2" bestFit="1" customWidth="1"/>
    <col min="4385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0" width="11.125" style="2" bestFit="1" customWidth="1"/>
    <col min="4631" max="4631" width="9" style="2"/>
    <col min="4632" max="4639" width="11.125" style="2" bestFit="1" customWidth="1"/>
    <col min="4640" max="4640" width="9.625" style="2" bestFit="1" customWidth="1"/>
    <col min="4641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6" width="11.125" style="2" bestFit="1" customWidth="1"/>
    <col min="4887" max="4887" width="9" style="2"/>
    <col min="4888" max="4895" width="11.125" style="2" bestFit="1" customWidth="1"/>
    <col min="4896" max="4896" width="9.625" style="2" bestFit="1" customWidth="1"/>
    <col min="4897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2" width="11.125" style="2" bestFit="1" customWidth="1"/>
    <col min="5143" max="5143" width="9" style="2"/>
    <col min="5144" max="5151" width="11.125" style="2" bestFit="1" customWidth="1"/>
    <col min="5152" max="5152" width="9.625" style="2" bestFit="1" customWidth="1"/>
    <col min="5153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398" width="11.125" style="2" bestFit="1" customWidth="1"/>
    <col min="5399" max="5399" width="9" style="2"/>
    <col min="5400" max="5407" width="11.125" style="2" bestFit="1" customWidth="1"/>
    <col min="5408" max="5408" width="9.625" style="2" bestFit="1" customWidth="1"/>
    <col min="5409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4" width="11.125" style="2" bestFit="1" customWidth="1"/>
    <col min="5655" max="5655" width="9" style="2"/>
    <col min="5656" max="5663" width="11.125" style="2" bestFit="1" customWidth="1"/>
    <col min="5664" max="5664" width="9.625" style="2" bestFit="1" customWidth="1"/>
    <col min="5665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0" width="11.125" style="2" bestFit="1" customWidth="1"/>
    <col min="5911" max="5911" width="9" style="2"/>
    <col min="5912" max="5919" width="11.125" style="2" bestFit="1" customWidth="1"/>
    <col min="5920" max="5920" width="9.625" style="2" bestFit="1" customWidth="1"/>
    <col min="5921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6" width="11.125" style="2" bestFit="1" customWidth="1"/>
    <col min="6167" max="6167" width="9" style="2"/>
    <col min="6168" max="6175" width="11.125" style="2" bestFit="1" customWidth="1"/>
    <col min="6176" max="6176" width="9.625" style="2" bestFit="1" customWidth="1"/>
    <col min="6177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2" width="11.125" style="2" bestFit="1" customWidth="1"/>
    <col min="6423" max="6423" width="9" style="2"/>
    <col min="6424" max="6431" width="11.125" style="2" bestFit="1" customWidth="1"/>
    <col min="6432" max="6432" width="9.625" style="2" bestFit="1" customWidth="1"/>
    <col min="6433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78" width="11.125" style="2" bestFit="1" customWidth="1"/>
    <col min="6679" max="6679" width="9" style="2"/>
    <col min="6680" max="6687" width="11.125" style="2" bestFit="1" customWidth="1"/>
    <col min="6688" max="6688" width="9.625" style="2" bestFit="1" customWidth="1"/>
    <col min="6689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4" width="11.125" style="2" bestFit="1" customWidth="1"/>
    <col min="6935" max="6935" width="9" style="2"/>
    <col min="6936" max="6943" width="11.125" style="2" bestFit="1" customWidth="1"/>
    <col min="6944" max="6944" width="9.625" style="2" bestFit="1" customWidth="1"/>
    <col min="6945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0" width="11.125" style="2" bestFit="1" customWidth="1"/>
    <col min="7191" max="7191" width="9" style="2"/>
    <col min="7192" max="7199" width="11.125" style="2" bestFit="1" customWidth="1"/>
    <col min="7200" max="7200" width="9.625" style="2" bestFit="1" customWidth="1"/>
    <col min="7201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6" width="11.125" style="2" bestFit="1" customWidth="1"/>
    <col min="7447" max="7447" width="9" style="2"/>
    <col min="7448" max="7455" width="11.125" style="2" bestFit="1" customWidth="1"/>
    <col min="7456" max="7456" width="9.625" style="2" bestFit="1" customWidth="1"/>
    <col min="7457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2" width="11.125" style="2" bestFit="1" customWidth="1"/>
    <col min="7703" max="7703" width="9" style="2"/>
    <col min="7704" max="7711" width="11.125" style="2" bestFit="1" customWidth="1"/>
    <col min="7712" max="7712" width="9.625" style="2" bestFit="1" customWidth="1"/>
    <col min="7713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58" width="11.125" style="2" bestFit="1" customWidth="1"/>
    <col min="7959" max="7959" width="9" style="2"/>
    <col min="7960" max="7967" width="11.125" style="2" bestFit="1" customWidth="1"/>
    <col min="7968" max="7968" width="9.625" style="2" bestFit="1" customWidth="1"/>
    <col min="7969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4" width="11.125" style="2" bestFit="1" customWidth="1"/>
    <col min="8215" max="8215" width="9" style="2"/>
    <col min="8216" max="8223" width="11.125" style="2" bestFit="1" customWidth="1"/>
    <col min="8224" max="8224" width="9.625" style="2" bestFit="1" customWidth="1"/>
    <col min="8225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0" width="11.125" style="2" bestFit="1" customWidth="1"/>
    <col min="8471" max="8471" width="9" style="2"/>
    <col min="8472" max="8479" width="11.125" style="2" bestFit="1" customWidth="1"/>
    <col min="8480" max="8480" width="9.625" style="2" bestFit="1" customWidth="1"/>
    <col min="8481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6" width="11.125" style="2" bestFit="1" customWidth="1"/>
    <col min="8727" max="8727" width="9" style="2"/>
    <col min="8728" max="8735" width="11.125" style="2" bestFit="1" customWidth="1"/>
    <col min="8736" max="8736" width="9.625" style="2" bestFit="1" customWidth="1"/>
    <col min="8737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2" width="11.125" style="2" bestFit="1" customWidth="1"/>
    <col min="8983" max="8983" width="9" style="2"/>
    <col min="8984" max="8991" width="11.125" style="2" bestFit="1" customWidth="1"/>
    <col min="8992" max="8992" width="9.625" style="2" bestFit="1" customWidth="1"/>
    <col min="8993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38" width="11.125" style="2" bestFit="1" customWidth="1"/>
    <col min="9239" max="9239" width="9" style="2"/>
    <col min="9240" max="9247" width="11.125" style="2" bestFit="1" customWidth="1"/>
    <col min="9248" max="9248" width="9.625" style="2" bestFit="1" customWidth="1"/>
    <col min="9249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4" width="11.125" style="2" bestFit="1" customWidth="1"/>
    <col min="9495" max="9495" width="9" style="2"/>
    <col min="9496" max="9503" width="11.125" style="2" bestFit="1" customWidth="1"/>
    <col min="9504" max="9504" width="9.625" style="2" bestFit="1" customWidth="1"/>
    <col min="9505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0" width="11.125" style="2" bestFit="1" customWidth="1"/>
    <col min="9751" max="9751" width="9" style="2"/>
    <col min="9752" max="9759" width="11.125" style="2" bestFit="1" customWidth="1"/>
    <col min="9760" max="9760" width="9.625" style="2" bestFit="1" customWidth="1"/>
    <col min="9761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6" width="11.125" style="2" bestFit="1" customWidth="1"/>
    <col min="10007" max="10007" width="9" style="2"/>
    <col min="10008" max="10015" width="11.125" style="2" bestFit="1" customWidth="1"/>
    <col min="10016" max="10016" width="9.625" style="2" bestFit="1" customWidth="1"/>
    <col min="10017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2" width="11.125" style="2" bestFit="1" customWidth="1"/>
    <col min="10263" max="10263" width="9" style="2"/>
    <col min="10264" max="10271" width="11.125" style="2" bestFit="1" customWidth="1"/>
    <col min="10272" max="10272" width="9.625" style="2" bestFit="1" customWidth="1"/>
    <col min="10273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18" width="11.125" style="2" bestFit="1" customWidth="1"/>
    <col min="10519" max="10519" width="9" style="2"/>
    <col min="10520" max="10527" width="11.125" style="2" bestFit="1" customWidth="1"/>
    <col min="10528" max="10528" width="9.625" style="2" bestFit="1" customWidth="1"/>
    <col min="10529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4" width="11.125" style="2" bestFit="1" customWidth="1"/>
    <col min="10775" max="10775" width="9" style="2"/>
    <col min="10776" max="10783" width="11.125" style="2" bestFit="1" customWidth="1"/>
    <col min="10784" max="10784" width="9.625" style="2" bestFit="1" customWidth="1"/>
    <col min="10785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0" width="11.125" style="2" bestFit="1" customWidth="1"/>
    <col min="11031" max="11031" width="9" style="2"/>
    <col min="11032" max="11039" width="11.125" style="2" bestFit="1" customWidth="1"/>
    <col min="11040" max="11040" width="9.625" style="2" bestFit="1" customWidth="1"/>
    <col min="11041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6" width="11.125" style="2" bestFit="1" customWidth="1"/>
    <col min="11287" max="11287" width="9" style="2"/>
    <col min="11288" max="11295" width="11.125" style="2" bestFit="1" customWidth="1"/>
    <col min="11296" max="11296" width="9.625" style="2" bestFit="1" customWidth="1"/>
    <col min="11297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2" width="11.125" style="2" bestFit="1" customWidth="1"/>
    <col min="11543" max="11543" width="9" style="2"/>
    <col min="11544" max="11551" width="11.125" style="2" bestFit="1" customWidth="1"/>
    <col min="11552" max="11552" width="9.625" style="2" bestFit="1" customWidth="1"/>
    <col min="11553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798" width="11.125" style="2" bestFit="1" customWidth="1"/>
    <col min="11799" max="11799" width="9" style="2"/>
    <col min="11800" max="11807" width="11.125" style="2" bestFit="1" customWidth="1"/>
    <col min="11808" max="11808" width="9.625" style="2" bestFit="1" customWidth="1"/>
    <col min="11809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4" width="11.125" style="2" bestFit="1" customWidth="1"/>
    <col min="12055" max="12055" width="9" style="2"/>
    <col min="12056" max="12063" width="11.125" style="2" bestFit="1" customWidth="1"/>
    <col min="12064" max="12064" width="9.625" style="2" bestFit="1" customWidth="1"/>
    <col min="12065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0" width="11.125" style="2" bestFit="1" customWidth="1"/>
    <col min="12311" max="12311" width="9" style="2"/>
    <col min="12312" max="12319" width="11.125" style="2" bestFit="1" customWidth="1"/>
    <col min="12320" max="12320" width="9.625" style="2" bestFit="1" customWidth="1"/>
    <col min="12321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6" width="11.125" style="2" bestFit="1" customWidth="1"/>
    <col min="12567" max="12567" width="9" style="2"/>
    <col min="12568" max="12575" width="11.125" style="2" bestFit="1" customWidth="1"/>
    <col min="12576" max="12576" width="9.625" style="2" bestFit="1" customWidth="1"/>
    <col min="12577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2" width="11.125" style="2" bestFit="1" customWidth="1"/>
    <col min="12823" max="12823" width="9" style="2"/>
    <col min="12824" max="12831" width="11.125" style="2" bestFit="1" customWidth="1"/>
    <col min="12832" max="12832" width="9.625" style="2" bestFit="1" customWidth="1"/>
    <col min="12833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78" width="11.125" style="2" bestFit="1" customWidth="1"/>
    <col min="13079" max="13079" width="9" style="2"/>
    <col min="13080" max="13087" width="11.125" style="2" bestFit="1" customWidth="1"/>
    <col min="13088" max="13088" width="9.625" style="2" bestFit="1" customWidth="1"/>
    <col min="13089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4" width="11.125" style="2" bestFit="1" customWidth="1"/>
    <col min="13335" max="13335" width="9" style="2"/>
    <col min="13336" max="13343" width="11.125" style="2" bestFit="1" customWidth="1"/>
    <col min="13344" max="13344" width="9.625" style="2" bestFit="1" customWidth="1"/>
    <col min="13345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0" width="11.125" style="2" bestFit="1" customWidth="1"/>
    <col min="13591" max="13591" width="9" style="2"/>
    <col min="13592" max="13599" width="11.125" style="2" bestFit="1" customWidth="1"/>
    <col min="13600" max="13600" width="9.625" style="2" bestFit="1" customWidth="1"/>
    <col min="13601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6" width="11.125" style="2" bestFit="1" customWidth="1"/>
    <col min="13847" max="13847" width="9" style="2"/>
    <col min="13848" max="13855" width="11.125" style="2" bestFit="1" customWidth="1"/>
    <col min="13856" max="13856" width="9.625" style="2" bestFit="1" customWidth="1"/>
    <col min="13857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2" width="11.125" style="2" bestFit="1" customWidth="1"/>
    <col min="14103" max="14103" width="9" style="2"/>
    <col min="14104" max="14111" width="11.125" style="2" bestFit="1" customWidth="1"/>
    <col min="14112" max="14112" width="9.625" style="2" bestFit="1" customWidth="1"/>
    <col min="14113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58" width="11.125" style="2" bestFit="1" customWidth="1"/>
    <col min="14359" max="14359" width="9" style="2"/>
    <col min="14360" max="14367" width="11.125" style="2" bestFit="1" customWidth="1"/>
    <col min="14368" max="14368" width="9.625" style="2" bestFit="1" customWidth="1"/>
    <col min="14369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4" width="11.125" style="2" bestFit="1" customWidth="1"/>
    <col min="14615" max="14615" width="9" style="2"/>
    <col min="14616" max="14623" width="11.125" style="2" bestFit="1" customWidth="1"/>
    <col min="14624" max="14624" width="9.625" style="2" bestFit="1" customWidth="1"/>
    <col min="14625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0" width="11.125" style="2" bestFit="1" customWidth="1"/>
    <col min="14871" max="14871" width="9" style="2"/>
    <col min="14872" max="14879" width="11.125" style="2" bestFit="1" customWidth="1"/>
    <col min="14880" max="14880" width="9.625" style="2" bestFit="1" customWidth="1"/>
    <col min="14881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6" width="11.125" style="2" bestFit="1" customWidth="1"/>
    <col min="15127" max="15127" width="9" style="2"/>
    <col min="15128" max="15135" width="11.125" style="2" bestFit="1" customWidth="1"/>
    <col min="15136" max="15136" width="9.625" style="2" bestFit="1" customWidth="1"/>
    <col min="15137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2" width="11.125" style="2" bestFit="1" customWidth="1"/>
    <col min="15383" max="15383" width="9" style="2"/>
    <col min="15384" max="15391" width="11.125" style="2" bestFit="1" customWidth="1"/>
    <col min="15392" max="15392" width="9.625" style="2" bestFit="1" customWidth="1"/>
    <col min="15393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38" width="11.125" style="2" bestFit="1" customWidth="1"/>
    <col min="15639" max="15639" width="9" style="2"/>
    <col min="15640" max="15647" width="11.125" style="2" bestFit="1" customWidth="1"/>
    <col min="15648" max="15648" width="9.625" style="2" bestFit="1" customWidth="1"/>
    <col min="15649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4" width="11.125" style="2" bestFit="1" customWidth="1"/>
    <col min="15895" max="15895" width="9" style="2"/>
    <col min="15896" max="15903" width="11.125" style="2" bestFit="1" customWidth="1"/>
    <col min="15904" max="15904" width="9.625" style="2" bestFit="1" customWidth="1"/>
    <col min="15905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0" width="11.125" style="2" bestFit="1" customWidth="1"/>
    <col min="16151" max="16151" width="9" style="2"/>
    <col min="16152" max="16159" width="11.125" style="2" bestFit="1" customWidth="1"/>
    <col min="16160" max="16160" width="9.625" style="2" bestFit="1" customWidth="1"/>
    <col min="16161" max="16384" width="9" style="2"/>
  </cols>
  <sheetData>
    <row r="1" spans="1:33">
      <c r="A1" s="1" t="s">
        <v>0</v>
      </c>
    </row>
    <row r="2" spans="1:33" ht="19.5" thickBot="1">
      <c r="A2" s="1" t="s">
        <v>117</v>
      </c>
    </row>
    <row r="3" spans="1:33">
      <c r="B3" s="3"/>
      <c r="C3" s="4" t="s">
        <v>2</v>
      </c>
      <c r="D3" s="5" t="s">
        <v>3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18</v>
      </c>
      <c r="Q3" s="5" t="s">
        <v>19</v>
      </c>
      <c r="R3" s="44" t="s">
        <v>20</v>
      </c>
      <c r="S3" s="59" t="s">
        <v>118</v>
      </c>
      <c r="T3" s="75" t="s">
        <v>17</v>
      </c>
      <c r="U3" s="5" t="s">
        <v>4</v>
      </c>
      <c r="V3" s="5" t="s">
        <v>24</v>
      </c>
      <c r="W3" s="5" t="s">
        <v>25</v>
      </c>
      <c r="X3" s="5" t="s">
        <v>21</v>
      </c>
      <c r="Y3" s="5" t="s">
        <v>22</v>
      </c>
      <c r="Z3" s="5" t="s">
        <v>23</v>
      </c>
      <c r="AA3" s="5" t="s">
        <v>26</v>
      </c>
      <c r="AB3" s="5" t="s">
        <v>27</v>
      </c>
      <c r="AC3" s="6" t="s">
        <v>28</v>
      </c>
      <c r="AD3" s="59" t="s">
        <v>118</v>
      </c>
      <c r="AE3" s="60" t="s">
        <v>5</v>
      </c>
      <c r="AF3" s="59" t="s">
        <v>118</v>
      </c>
      <c r="AG3" s="61" t="s">
        <v>57</v>
      </c>
    </row>
    <row r="4" spans="1:33" ht="19.5" thickBot="1">
      <c r="A4" s="43"/>
      <c r="B4" s="25" t="s">
        <v>29</v>
      </c>
      <c r="C4" s="26" t="s">
        <v>30</v>
      </c>
      <c r="D4" s="27" t="s">
        <v>31</v>
      </c>
      <c r="E4" s="27" t="s">
        <v>34</v>
      </c>
      <c r="F4" s="27" t="s">
        <v>35</v>
      </c>
      <c r="G4" s="27" t="s">
        <v>36</v>
      </c>
      <c r="H4" s="27" t="s">
        <v>37</v>
      </c>
      <c r="I4" s="27" t="s">
        <v>38</v>
      </c>
      <c r="J4" s="27" t="s">
        <v>39</v>
      </c>
      <c r="K4" s="27" t="s">
        <v>40</v>
      </c>
      <c r="L4" s="27" t="s">
        <v>41</v>
      </c>
      <c r="M4" s="27" t="s">
        <v>42</v>
      </c>
      <c r="N4" s="27" t="s">
        <v>43</v>
      </c>
      <c r="O4" s="27" t="s">
        <v>44</v>
      </c>
      <c r="P4" s="27" t="s">
        <v>46</v>
      </c>
      <c r="Q4" s="27" t="s">
        <v>47</v>
      </c>
      <c r="R4" s="45" t="s">
        <v>48</v>
      </c>
      <c r="S4" s="62" t="s">
        <v>119</v>
      </c>
      <c r="T4" s="76" t="s">
        <v>45</v>
      </c>
      <c r="U4" s="27" t="s">
        <v>32</v>
      </c>
      <c r="V4" s="27" t="s">
        <v>52</v>
      </c>
      <c r="W4" s="27" t="s">
        <v>53</v>
      </c>
      <c r="X4" s="27" t="s">
        <v>49</v>
      </c>
      <c r="Y4" s="27" t="s">
        <v>50</v>
      </c>
      <c r="Z4" s="27" t="s">
        <v>51</v>
      </c>
      <c r="AA4" s="27" t="s">
        <v>54</v>
      </c>
      <c r="AB4" s="27" t="s">
        <v>55</v>
      </c>
      <c r="AC4" s="28" t="s">
        <v>56</v>
      </c>
      <c r="AD4" s="62" t="s">
        <v>120</v>
      </c>
      <c r="AE4" s="63" t="s">
        <v>33</v>
      </c>
      <c r="AF4" s="62" t="s">
        <v>121</v>
      </c>
      <c r="AG4" s="64" t="s">
        <v>122</v>
      </c>
    </row>
    <row r="5" spans="1:33">
      <c r="A5" s="1" t="s">
        <v>1</v>
      </c>
      <c r="B5" s="21" t="s">
        <v>58</v>
      </c>
      <c r="C5" s="22">
        <v>20</v>
      </c>
      <c r="D5" s="23">
        <v>0</v>
      </c>
      <c r="E5" s="23">
        <v>20</v>
      </c>
      <c r="F5" s="23">
        <v>20</v>
      </c>
      <c r="G5" s="23">
        <v>19</v>
      </c>
      <c r="H5" s="23">
        <v>21</v>
      </c>
      <c r="I5" s="23">
        <v>20</v>
      </c>
      <c r="J5" s="23">
        <v>20</v>
      </c>
      <c r="K5" s="23">
        <v>20</v>
      </c>
      <c r="L5" s="23">
        <v>21</v>
      </c>
      <c r="M5" s="23">
        <v>17</v>
      </c>
      <c r="N5" s="23">
        <v>2</v>
      </c>
      <c r="O5" s="23">
        <v>20</v>
      </c>
      <c r="P5" s="23">
        <v>15</v>
      </c>
      <c r="Q5" s="23">
        <v>17</v>
      </c>
      <c r="R5" s="46">
        <v>18</v>
      </c>
      <c r="S5" s="65">
        <f>SUM(C5:R5)</f>
        <v>270</v>
      </c>
      <c r="T5" s="77">
        <v>21</v>
      </c>
      <c r="U5" s="23">
        <v>21</v>
      </c>
      <c r="V5" s="23">
        <v>13</v>
      </c>
      <c r="W5" s="23">
        <v>15</v>
      </c>
      <c r="X5" s="23">
        <v>10</v>
      </c>
      <c r="Y5" s="23">
        <v>10</v>
      </c>
      <c r="Z5" s="23">
        <v>11</v>
      </c>
      <c r="AA5" s="23">
        <v>5</v>
      </c>
      <c r="AB5" s="23">
        <v>20</v>
      </c>
      <c r="AC5" s="24">
        <v>6</v>
      </c>
      <c r="AD5" s="65">
        <f>SUM(T5:AC5)</f>
        <v>132</v>
      </c>
      <c r="AE5" s="65">
        <v>20</v>
      </c>
      <c r="AF5" s="65">
        <f>SUM(AE5)</f>
        <v>20</v>
      </c>
      <c r="AG5" s="65">
        <f>S5+AD5+AF5</f>
        <v>422</v>
      </c>
    </row>
    <row r="6" spans="1:33">
      <c r="A6" s="1" t="s">
        <v>1</v>
      </c>
      <c r="B6" s="7" t="s">
        <v>59</v>
      </c>
      <c r="C6" s="8">
        <v>1</v>
      </c>
      <c r="D6" s="9">
        <v>0</v>
      </c>
      <c r="E6" s="9">
        <v>3</v>
      </c>
      <c r="F6" s="9">
        <v>4</v>
      </c>
      <c r="G6" s="9">
        <v>2</v>
      </c>
      <c r="H6" s="9">
        <v>3</v>
      </c>
      <c r="I6" s="9">
        <v>4</v>
      </c>
      <c r="J6" s="9">
        <v>3</v>
      </c>
      <c r="K6" s="9">
        <v>1</v>
      </c>
      <c r="L6" s="9">
        <v>3</v>
      </c>
      <c r="M6" s="9">
        <v>5</v>
      </c>
      <c r="N6" s="9">
        <v>0</v>
      </c>
      <c r="O6" s="9">
        <v>3</v>
      </c>
      <c r="P6" s="9">
        <v>1</v>
      </c>
      <c r="Q6" s="9">
        <v>3</v>
      </c>
      <c r="R6" s="47">
        <v>5</v>
      </c>
      <c r="S6" s="66">
        <f>SUM(C6:R6)</f>
        <v>41</v>
      </c>
      <c r="T6" s="78">
        <v>0</v>
      </c>
      <c r="U6" s="9">
        <v>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10">
        <v>0</v>
      </c>
      <c r="AD6" s="66">
        <f>SUM(T6:AC6)</f>
        <v>2</v>
      </c>
      <c r="AE6" s="66">
        <v>0</v>
      </c>
      <c r="AF6" s="66">
        <f t="shared" ref="AF6:AF63" si="0">SUM(AE6)</f>
        <v>0</v>
      </c>
      <c r="AG6" s="66">
        <f t="shared" ref="AG6:AG63" si="1">S6+AD6+AF6</f>
        <v>43</v>
      </c>
    </row>
    <row r="7" spans="1:33">
      <c r="A7" s="1" t="s">
        <v>1</v>
      </c>
      <c r="B7" s="7" t="s">
        <v>60</v>
      </c>
      <c r="C7" s="8">
        <v>4</v>
      </c>
      <c r="D7" s="9">
        <v>0</v>
      </c>
      <c r="E7" s="9">
        <v>1</v>
      </c>
      <c r="F7" s="9">
        <v>3</v>
      </c>
      <c r="G7" s="9">
        <v>4</v>
      </c>
      <c r="H7" s="9">
        <v>3</v>
      </c>
      <c r="I7" s="9">
        <v>2</v>
      </c>
      <c r="J7" s="9">
        <v>1</v>
      </c>
      <c r="K7" s="9">
        <v>4</v>
      </c>
      <c r="L7" s="9">
        <v>2</v>
      </c>
      <c r="M7" s="9">
        <v>3</v>
      </c>
      <c r="N7" s="9">
        <v>0</v>
      </c>
      <c r="O7" s="9">
        <v>3</v>
      </c>
      <c r="P7" s="9">
        <v>3</v>
      </c>
      <c r="Q7" s="9">
        <v>1</v>
      </c>
      <c r="R7" s="47">
        <v>3</v>
      </c>
      <c r="S7" s="66">
        <f t="shared" ref="S7:S13" si="2">SUM(C7:R7)</f>
        <v>37</v>
      </c>
      <c r="T7" s="78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10">
        <v>0</v>
      </c>
      <c r="AD7" s="66"/>
      <c r="AE7" s="66">
        <v>0</v>
      </c>
      <c r="AF7" s="66">
        <f t="shared" si="0"/>
        <v>0</v>
      </c>
      <c r="AG7" s="66">
        <f t="shared" si="1"/>
        <v>37</v>
      </c>
    </row>
    <row r="8" spans="1:33">
      <c r="A8" s="1" t="s">
        <v>1</v>
      </c>
      <c r="B8" s="7" t="s">
        <v>61</v>
      </c>
      <c r="C8" s="8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</v>
      </c>
      <c r="N8" s="9">
        <v>0</v>
      </c>
      <c r="O8" s="9">
        <v>0</v>
      </c>
      <c r="P8" s="9">
        <v>0</v>
      </c>
      <c r="Q8" s="9">
        <v>3</v>
      </c>
      <c r="R8" s="47">
        <v>1</v>
      </c>
      <c r="S8" s="66">
        <f t="shared" si="2"/>
        <v>8</v>
      </c>
      <c r="T8" s="78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10">
        <v>0</v>
      </c>
      <c r="AD8" s="66"/>
      <c r="AE8" s="66">
        <v>0</v>
      </c>
      <c r="AF8" s="66">
        <f t="shared" si="0"/>
        <v>0</v>
      </c>
      <c r="AG8" s="66">
        <f t="shared" si="1"/>
        <v>8</v>
      </c>
    </row>
    <row r="9" spans="1:33">
      <c r="A9" s="1" t="s">
        <v>1</v>
      </c>
      <c r="B9" s="7" t="s">
        <v>62</v>
      </c>
      <c r="C9" s="8">
        <v>1</v>
      </c>
      <c r="D9" s="9">
        <v>0</v>
      </c>
      <c r="E9" s="9">
        <v>1</v>
      </c>
      <c r="F9" s="9">
        <v>1</v>
      </c>
      <c r="G9" s="9">
        <v>2</v>
      </c>
      <c r="H9" s="9">
        <v>0</v>
      </c>
      <c r="I9" s="9">
        <v>1</v>
      </c>
      <c r="J9" s="9">
        <v>1</v>
      </c>
      <c r="K9" s="9">
        <v>1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1</v>
      </c>
      <c r="R9" s="47">
        <v>2</v>
      </c>
      <c r="S9" s="66">
        <f t="shared" si="2"/>
        <v>12</v>
      </c>
      <c r="T9" s="78">
        <v>0</v>
      </c>
      <c r="U9" s="9">
        <v>0</v>
      </c>
      <c r="V9" s="9">
        <v>0</v>
      </c>
      <c r="W9" s="9">
        <v>0</v>
      </c>
      <c r="X9" s="9">
        <v>1</v>
      </c>
      <c r="Y9" s="9">
        <v>1</v>
      </c>
      <c r="Z9" s="9">
        <v>1</v>
      </c>
      <c r="AA9" s="9">
        <v>0</v>
      </c>
      <c r="AB9" s="9">
        <v>0</v>
      </c>
      <c r="AC9" s="10">
        <v>0</v>
      </c>
      <c r="AD9" s="66">
        <f>SUM(T9:AC9)</f>
        <v>3</v>
      </c>
      <c r="AE9" s="66">
        <v>1</v>
      </c>
      <c r="AF9" s="66">
        <f t="shared" si="0"/>
        <v>1</v>
      </c>
      <c r="AG9" s="66">
        <f t="shared" si="1"/>
        <v>16</v>
      </c>
    </row>
    <row r="10" spans="1:33">
      <c r="A10" s="1" t="s">
        <v>1</v>
      </c>
      <c r="B10" s="7" t="s">
        <v>63</v>
      </c>
      <c r="C10" s="8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47">
        <v>0</v>
      </c>
      <c r="S10" s="66">
        <f t="shared" si="2"/>
        <v>0</v>
      </c>
      <c r="T10" s="78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10">
        <v>0</v>
      </c>
      <c r="AD10" s="66"/>
      <c r="AE10" s="66">
        <v>0</v>
      </c>
      <c r="AF10" s="66">
        <f t="shared" si="0"/>
        <v>0</v>
      </c>
      <c r="AG10" s="66">
        <f t="shared" si="1"/>
        <v>0</v>
      </c>
    </row>
    <row r="11" spans="1:33">
      <c r="A11" s="1" t="s">
        <v>1</v>
      </c>
      <c r="B11" s="7" t="s">
        <v>64</v>
      </c>
      <c r="C11" s="8">
        <v>0</v>
      </c>
      <c r="D11" s="9">
        <v>21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19</v>
      </c>
      <c r="O11" s="9">
        <v>0</v>
      </c>
      <c r="P11" s="9">
        <v>6</v>
      </c>
      <c r="Q11" s="9">
        <v>0</v>
      </c>
      <c r="R11" s="47">
        <v>0</v>
      </c>
      <c r="S11" s="66">
        <f t="shared" si="2"/>
        <v>46</v>
      </c>
      <c r="T11" s="78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10">
        <v>0</v>
      </c>
      <c r="AD11" s="66"/>
      <c r="AE11" s="66">
        <v>0</v>
      </c>
      <c r="AF11" s="66">
        <f t="shared" si="0"/>
        <v>0</v>
      </c>
      <c r="AG11" s="66">
        <f t="shared" si="1"/>
        <v>46</v>
      </c>
    </row>
    <row r="12" spans="1:33">
      <c r="A12" s="1" t="s">
        <v>1</v>
      </c>
      <c r="B12" s="7" t="s">
        <v>65</v>
      </c>
      <c r="C12" s="8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6</v>
      </c>
      <c r="Q12" s="9">
        <v>0</v>
      </c>
      <c r="R12" s="47">
        <v>0</v>
      </c>
      <c r="S12" s="66">
        <f t="shared" si="2"/>
        <v>6</v>
      </c>
      <c r="T12" s="78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10">
        <v>0</v>
      </c>
      <c r="AD12" s="66"/>
      <c r="AE12" s="66">
        <v>0</v>
      </c>
      <c r="AF12" s="66">
        <f t="shared" si="0"/>
        <v>0</v>
      </c>
      <c r="AG12" s="66">
        <f t="shared" si="1"/>
        <v>6</v>
      </c>
    </row>
    <row r="13" spans="1:33">
      <c r="A13" s="1" t="s">
        <v>1</v>
      </c>
      <c r="B13" s="7" t="s">
        <v>66</v>
      </c>
      <c r="C13" s="11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48">
        <v>0</v>
      </c>
      <c r="S13" s="66">
        <f t="shared" si="2"/>
        <v>0</v>
      </c>
      <c r="T13" s="79">
        <v>0</v>
      </c>
      <c r="U13" s="12">
        <v>0</v>
      </c>
      <c r="V13" s="12">
        <v>3.6666666666666665</v>
      </c>
      <c r="W13" s="12">
        <v>3.7083333333333335</v>
      </c>
      <c r="X13" s="12">
        <v>2.9166666666666665</v>
      </c>
      <c r="Y13" s="12">
        <v>2.9166666666666665</v>
      </c>
      <c r="Z13" s="12">
        <v>3.25</v>
      </c>
      <c r="AA13" s="12">
        <v>1.6666666666666665</v>
      </c>
      <c r="AB13" s="12">
        <v>3.25</v>
      </c>
      <c r="AC13" s="13">
        <v>1.0833333333333333</v>
      </c>
      <c r="AD13" s="67">
        <f>SUM(T13:AC13)</f>
        <v>22.458333333333332</v>
      </c>
      <c r="AE13" s="67">
        <v>0</v>
      </c>
      <c r="AF13" s="67">
        <f t="shared" si="0"/>
        <v>0</v>
      </c>
      <c r="AG13" s="67">
        <f t="shared" si="1"/>
        <v>22.458333333333332</v>
      </c>
    </row>
    <row r="14" spans="1:33">
      <c r="A14" s="1" t="s">
        <v>1</v>
      </c>
      <c r="B14" s="7" t="s">
        <v>67</v>
      </c>
      <c r="C14" s="11">
        <v>1.6666666666666665</v>
      </c>
      <c r="D14" s="12">
        <v>0</v>
      </c>
      <c r="E14" s="12">
        <v>0.58333333333333337</v>
      </c>
      <c r="F14" s="12">
        <v>3.0833333333333335</v>
      </c>
      <c r="G14" s="12">
        <v>1.4583333333333333</v>
      </c>
      <c r="H14" s="12">
        <v>3.625</v>
      </c>
      <c r="I14" s="12">
        <v>2.5833333333333335</v>
      </c>
      <c r="J14" s="12">
        <v>2.4166666666666665</v>
      </c>
      <c r="K14" s="12">
        <v>2.5416666666666665</v>
      </c>
      <c r="L14" s="12">
        <v>3</v>
      </c>
      <c r="M14" s="12">
        <v>2.2083333333333335</v>
      </c>
      <c r="N14" s="12">
        <v>0.125</v>
      </c>
      <c r="O14" s="12">
        <v>2.0416666666666665</v>
      </c>
      <c r="P14" s="12">
        <v>2.25</v>
      </c>
      <c r="Q14" s="12">
        <v>0.91666666666666663</v>
      </c>
      <c r="R14" s="48">
        <v>1.0833333333333333</v>
      </c>
      <c r="S14" s="67">
        <f>SUM(C14:R14)</f>
        <v>29.583333333333336</v>
      </c>
      <c r="T14" s="79">
        <v>0</v>
      </c>
      <c r="U14" s="12">
        <v>1.3333333333333333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4.1666666666666664E-2</v>
      </c>
      <c r="AB14" s="12">
        <v>0</v>
      </c>
      <c r="AC14" s="13">
        <v>0</v>
      </c>
      <c r="AD14" s="67">
        <f t="shared" ref="AD14:AD15" si="3">SUM(T14:AC14)</f>
        <v>1.375</v>
      </c>
      <c r="AE14" s="67">
        <v>0</v>
      </c>
      <c r="AF14" s="67">
        <f t="shared" si="0"/>
        <v>0</v>
      </c>
      <c r="AG14" s="67">
        <f t="shared" si="1"/>
        <v>30.958333333333336</v>
      </c>
    </row>
    <row r="15" spans="1:33">
      <c r="A15" s="1" t="s">
        <v>1</v>
      </c>
      <c r="B15" s="7" t="s">
        <v>68</v>
      </c>
      <c r="C15" s="11">
        <v>0.16666666666666666</v>
      </c>
      <c r="D15" s="12">
        <v>0</v>
      </c>
      <c r="E15" s="12">
        <v>0.83333333333333337</v>
      </c>
      <c r="F15" s="12">
        <v>1.75</v>
      </c>
      <c r="G15" s="12">
        <v>0.70833333333333337</v>
      </c>
      <c r="H15" s="12">
        <v>1.1666666666666667</v>
      </c>
      <c r="I15" s="12">
        <v>1.4583333333333333</v>
      </c>
      <c r="J15" s="12">
        <v>1.3333333333333333</v>
      </c>
      <c r="K15" s="12">
        <v>0.375</v>
      </c>
      <c r="L15" s="12">
        <v>1</v>
      </c>
      <c r="M15" s="12">
        <v>0.95833333333333337</v>
      </c>
      <c r="N15" s="12">
        <v>0</v>
      </c>
      <c r="O15" s="12">
        <v>1.1666666666666667</v>
      </c>
      <c r="P15" s="12">
        <v>0.5</v>
      </c>
      <c r="Q15" s="12">
        <v>0</v>
      </c>
      <c r="R15" s="48">
        <v>1.9166666666666665</v>
      </c>
      <c r="S15" s="67">
        <f t="shared" ref="S15:S22" si="4">SUM(C15:R15)</f>
        <v>13.333333333333332</v>
      </c>
      <c r="T15" s="79">
        <v>0</v>
      </c>
      <c r="U15" s="12">
        <v>0.54166666666666663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3">
        <v>0</v>
      </c>
      <c r="AD15" s="67">
        <f t="shared" si="3"/>
        <v>0.54166666666666663</v>
      </c>
      <c r="AE15" s="67">
        <v>0</v>
      </c>
      <c r="AF15" s="67">
        <f t="shared" si="0"/>
        <v>0</v>
      </c>
      <c r="AG15" s="67">
        <f t="shared" si="1"/>
        <v>13.874999999999998</v>
      </c>
    </row>
    <row r="16" spans="1:33">
      <c r="A16" s="1" t="s">
        <v>1</v>
      </c>
      <c r="B16" s="7" t="s">
        <v>69</v>
      </c>
      <c r="C16" s="11">
        <v>1.0833333333333333</v>
      </c>
      <c r="D16" s="12">
        <v>0</v>
      </c>
      <c r="E16" s="12">
        <v>0.25</v>
      </c>
      <c r="F16" s="12">
        <v>1</v>
      </c>
      <c r="G16" s="12">
        <v>1.2916666666666667</v>
      </c>
      <c r="H16" s="12">
        <v>1.375</v>
      </c>
      <c r="I16" s="12">
        <v>0.91666666666666663</v>
      </c>
      <c r="J16" s="12">
        <v>0.16666666666666666</v>
      </c>
      <c r="K16" s="12">
        <v>1.4583333333333333</v>
      </c>
      <c r="L16" s="12">
        <v>0.75</v>
      </c>
      <c r="M16" s="12">
        <v>0.95833333333333337</v>
      </c>
      <c r="N16" s="12">
        <v>0</v>
      </c>
      <c r="O16" s="12">
        <v>1</v>
      </c>
      <c r="P16" s="12">
        <v>1.1666666666666667</v>
      </c>
      <c r="Q16" s="12">
        <v>0.375</v>
      </c>
      <c r="R16" s="48">
        <v>1.25</v>
      </c>
      <c r="S16" s="67">
        <f t="shared" si="4"/>
        <v>13.041666666666668</v>
      </c>
      <c r="T16" s="79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3">
        <v>0</v>
      </c>
      <c r="AD16" s="67"/>
      <c r="AE16" s="67">
        <v>0</v>
      </c>
      <c r="AF16" s="67">
        <f t="shared" si="0"/>
        <v>0</v>
      </c>
      <c r="AG16" s="67">
        <f t="shared" si="1"/>
        <v>13.041666666666668</v>
      </c>
    </row>
    <row r="17" spans="1:33">
      <c r="A17" s="1" t="s">
        <v>1</v>
      </c>
      <c r="B17" s="7" t="s">
        <v>70</v>
      </c>
      <c r="C17" s="11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1.2916666666666667</v>
      </c>
      <c r="N17" s="12">
        <v>0</v>
      </c>
      <c r="O17" s="12">
        <v>0</v>
      </c>
      <c r="P17" s="12">
        <v>0</v>
      </c>
      <c r="Q17" s="12">
        <v>0.75</v>
      </c>
      <c r="R17" s="48">
        <v>0.375</v>
      </c>
      <c r="S17" s="67">
        <f t="shared" si="4"/>
        <v>2.416666666666667</v>
      </c>
      <c r="T17" s="79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3">
        <v>0</v>
      </c>
      <c r="AD17" s="67"/>
      <c r="AE17" s="67">
        <v>0</v>
      </c>
      <c r="AF17" s="67">
        <f t="shared" si="0"/>
        <v>0</v>
      </c>
      <c r="AG17" s="67">
        <f t="shared" si="1"/>
        <v>2.416666666666667</v>
      </c>
    </row>
    <row r="18" spans="1:33">
      <c r="A18" s="1" t="s">
        <v>1</v>
      </c>
      <c r="B18" s="7" t="s">
        <v>71</v>
      </c>
      <c r="C18" s="11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8.3333333333333329E-2</v>
      </c>
      <c r="N18" s="12">
        <v>0</v>
      </c>
      <c r="O18" s="12">
        <v>0</v>
      </c>
      <c r="P18" s="12">
        <v>0</v>
      </c>
      <c r="Q18" s="12">
        <v>0</v>
      </c>
      <c r="R18" s="48">
        <v>0</v>
      </c>
      <c r="S18" s="67">
        <f t="shared" si="4"/>
        <v>8.3333333333333329E-2</v>
      </c>
      <c r="T18" s="79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3">
        <v>0</v>
      </c>
      <c r="AD18" s="67"/>
      <c r="AE18" s="67">
        <v>0</v>
      </c>
      <c r="AF18" s="67">
        <f t="shared" si="0"/>
        <v>0</v>
      </c>
      <c r="AG18" s="67">
        <f t="shared" si="1"/>
        <v>8.3333333333333329E-2</v>
      </c>
    </row>
    <row r="19" spans="1:33">
      <c r="A19" s="1" t="s">
        <v>1</v>
      </c>
      <c r="B19" s="7" t="s">
        <v>72</v>
      </c>
      <c r="C19" s="11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48">
        <v>0</v>
      </c>
      <c r="S19" s="67">
        <f t="shared" si="4"/>
        <v>0</v>
      </c>
      <c r="T19" s="79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3">
        <v>0</v>
      </c>
      <c r="AD19" s="67"/>
      <c r="AE19" s="67">
        <v>0</v>
      </c>
      <c r="AF19" s="67">
        <f t="shared" si="0"/>
        <v>0</v>
      </c>
      <c r="AG19" s="67">
        <f t="shared" si="1"/>
        <v>0</v>
      </c>
    </row>
    <row r="20" spans="1:33">
      <c r="A20" s="1" t="s">
        <v>1</v>
      </c>
      <c r="B20" s="7" t="s">
        <v>73</v>
      </c>
      <c r="C20" s="11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48">
        <v>0</v>
      </c>
      <c r="S20" s="67">
        <f t="shared" si="4"/>
        <v>0</v>
      </c>
      <c r="T20" s="79">
        <v>0</v>
      </c>
      <c r="U20" s="12">
        <v>0</v>
      </c>
      <c r="V20" s="12">
        <v>0</v>
      </c>
      <c r="W20" s="12">
        <v>0</v>
      </c>
      <c r="X20" s="12">
        <v>0.29166666666666669</v>
      </c>
      <c r="Y20" s="12">
        <v>0.29166666666666669</v>
      </c>
      <c r="Z20" s="12">
        <v>0.29166666666666669</v>
      </c>
      <c r="AA20" s="12">
        <v>0</v>
      </c>
      <c r="AB20" s="12">
        <v>0</v>
      </c>
      <c r="AC20" s="13">
        <v>0</v>
      </c>
      <c r="AD20" s="67">
        <f>SUM(T20:AC20)</f>
        <v>0.875</v>
      </c>
      <c r="AE20" s="67">
        <v>0</v>
      </c>
      <c r="AF20" s="67">
        <f t="shared" si="0"/>
        <v>0</v>
      </c>
      <c r="AG20" s="67">
        <f t="shared" si="1"/>
        <v>0.875</v>
      </c>
    </row>
    <row r="21" spans="1:33">
      <c r="A21" s="1" t="s">
        <v>1</v>
      </c>
      <c r="B21" s="7" t="s">
        <v>74</v>
      </c>
      <c r="C21" s="11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48">
        <v>0</v>
      </c>
      <c r="S21" s="67">
        <f t="shared" si="4"/>
        <v>0</v>
      </c>
      <c r="T21" s="79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3">
        <v>0</v>
      </c>
      <c r="AD21" s="67"/>
      <c r="AE21" s="67">
        <v>0</v>
      </c>
      <c r="AF21" s="67">
        <f t="shared" si="0"/>
        <v>0</v>
      </c>
      <c r="AG21" s="67">
        <f t="shared" si="1"/>
        <v>0</v>
      </c>
    </row>
    <row r="22" spans="1:33">
      <c r="A22" s="1" t="s">
        <v>1</v>
      </c>
      <c r="B22" s="7" t="s">
        <v>75</v>
      </c>
      <c r="C22" s="11">
        <v>0.41666666666666669</v>
      </c>
      <c r="D22" s="12">
        <v>0</v>
      </c>
      <c r="E22" s="12">
        <v>0</v>
      </c>
      <c r="F22" s="12">
        <v>1.2083333333333333</v>
      </c>
      <c r="G22" s="12">
        <v>0.20833333333333334</v>
      </c>
      <c r="H22" s="12">
        <v>1.7916666666666665</v>
      </c>
      <c r="I22" s="12">
        <v>0.16666666666666666</v>
      </c>
      <c r="J22" s="12">
        <v>0.20833333333333334</v>
      </c>
      <c r="K22" s="12">
        <v>0.125</v>
      </c>
      <c r="L22" s="12">
        <v>0.33333333333333331</v>
      </c>
      <c r="M22" s="12">
        <v>0.66666666666666663</v>
      </c>
      <c r="N22" s="12">
        <v>0.16666666666666666</v>
      </c>
      <c r="O22" s="12">
        <v>0.29166666666666669</v>
      </c>
      <c r="P22" s="12">
        <v>1.125</v>
      </c>
      <c r="Q22" s="12">
        <v>1.5</v>
      </c>
      <c r="R22" s="48">
        <v>1.4583333333333333</v>
      </c>
      <c r="S22" s="67">
        <f t="shared" si="4"/>
        <v>9.6666666666666679</v>
      </c>
      <c r="T22" s="79">
        <v>1.5833333333333335</v>
      </c>
      <c r="U22" s="12">
        <v>0</v>
      </c>
      <c r="V22" s="12">
        <v>0</v>
      </c>
      <c r="W22" s="12">
        <v>0</v>
      </c>
      <c r="X22" s="12">
        <v>2.0833333333333335</v>
      </c>
      <c r="Y22" s="12">
        <v>2.0833333333333335</v>
      </c>
      <c r="Z22" s="12">
        <v>2.2916666666666665</v>
      </c>
      <c r="AA22" s="12">
        <v>0</v>
      </c>
      <c r="AB22" s="12">
        <v>0</v>
      </c>
      <c r="AC22" s="13">
        <v>0</v>
      </c>
      <c r="AD22" s="67">
        <f>SUM(T22:AC22)</f>
        <v>8.0416666666666661</v>
      </c>
      <c r="AE22" s="67">
        <v>8.3333333333333329E-2</v>
      </c>
      <c r="AF22" s="67">
        <f t="shared" si="0"/>
        <v>8.3333333333333329E-2</v>
      </c>
      <c r="AG22" s="67">
        <f t="shared" si="1"/>
        <v>17.791666666666668</v>
      </c>
    </row>
    <row r="23" spans="1:33" ht="19.5" thickBot="1">
      <c r="A23" s="1" t="s">
        <v>1</v>
      </c>
      <c r="B23" s="17" t="s">
        <v>76</v>
      </c>
      <c r="C23" s="32">
        <v>21</v>
      </c>
      <c r="D23" s="33">
        <v>35</v>
      </c>
      <c r="E23" s="33">
        <v>35</v>
      </c>
      <c r="F23" s="33">
        <v>38</v>
      </c>
      <c r="G23" s="33">
        <v>31</v>
      </c>
      <c r="H23" s="33">
        <v>36</v>
      </c>
      <c r="I23" s="33">
        <v>37</v>
      </c>
      <c r="J23" s="33">
        <v>21</v>
      </c>
      <c r="K23" s="33">
        <v>31</v>
      </c>
      <c r="L23" s="33">
        <v>37</v>
      </c>
      <c r="M23" s="33">
        <v>0</v>
      </c>
      <c r="N23" s="33">
        <v>15</v>
      </c>
      <c r="O23" s="33">
        <v>28</v>
      </c>
      <c r="P23" s="33">
        <v>19</v>
      </c>
      <c r="Q23" s="33">
        <v>17</v>
      </c>
      <c r="R23" s="49">
        <v>7</v>
      </c>
      <c r="S23" s="68">
        <f>SUM(C23:R23)</f>
        <v>408</v>
      </c>
      <c r="T23" s="80">
        <v>23</v>
      </c>
      <c r="U23" s="33">
        <v>40</v>
      </c>
      <c r="V23" s="33">
        <v>21</v>
      </c>
      <c r="W23" s="33">
        <v>21</v>
      </c>
      <c r="X23" s="33">
        <v>5</v>
      </c>
      <c r="Y23" s="33">
        <v>4</v>
      </c>
      <c r="Z23" s="33">
        <v>2</v>
      </c>
      <c r="AA23" s="33">
        <v>4</v>
      </c>
      <c r="AB23" s="33">
        <v>13</v>
      </c>
      <c r="AC23" s="34">
        <v>0</v>
      </c>
      <c r="AD23" s="68">
        <f>SUM(T23:AC23)</f>
        <v>133</v>
      </c>
      <c r="AE23" s="68">
        <v>39</v>
      </c>
      <c r="AF23" s="68">
        <f t="shared" si="0"/>
        <v>39</v>
      </c>
      <c r="AG23" s="68">
        <f t="shared" si="1"/>
        <v>580</v>
      </c>
    </row>
    <row r="24" spans="1:33">
      <c r="A24" s="1" t="s">
        <v>1</v>
      </c>
      <c r="B24" s="21" t="s">
        <v>77</v>
      </c>
      <c r="C24" s="29">
        <v>177000</v>
      </c>
      <c r="D24" s="30">
        <v>0</v>
      </c>
      <c r="E24" s="30">
        <v>187000</v>
      </c>
      <c r="F24" s="30">
        <v>192000</v>
      </c>
      <c r="G24" s="30">
        <v>182000</v>
      </c>
      <c r="H24" s="30">
        <v>187000</v>
      </c>
      <c r="I24" s="30">
        <v>177000</v>
      </c>
      <c r="J24" s="30">
        <v>177000</v>
      </c>
      <c r="K24" s="30">
        <v>172000</v>
      </c>
      <c r="L24" s="30">
        <v>187000</v>
      </c>
      <c r="M24" s="30">
        <v>177000</v>
      </c>
      <c r="N24" s="30">
        <v>177000</v>
      </c>
      <c r="O24" s="30">
        <v>170000</v>
      </c>
      <c r="P24" s="30">
        <v>175000</v>
      </c>
      <c r="Q24" s="30">
        <v>175000</v>
      </c>
      <c r="R24" s="50">
        <v>170000</v>
      </c>
      <c r="S24" s="69">
        <f>SUM(C24:R24)</f>
        <v>2682000</v>
      </c>
      <c r="T24" s="81">
        <v>355000</v>
      </c>
      <c r="U24" s="30">
        <v>280000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1">
        <v>0</v>
      </c>
      <c r="AD24" s="69">
        <f>SUM(T24:AC24)</f>
        <v>635000</v>
      </c>
      <c r="AE24" s="69">
        <v>375000</v>
      </c>
      <c r="AF24" s="69">
        <f t="shared" si="0"/>
        <v>375000</v>
      </c>
      <c r="AG24" s="69">
        <f t="shared" si="1"/>
        <v>3692000</v>
      </c>
    </row>
    <row r="25" spans="1:33">
      <c r="A25" s="1" t="s">
        <v>1</v>
      </c>
      <c r="B25" s="7" t="s">
        <v>78</v>
      </c>
      <c r="C25" s="14">
        <v>0</v>
      </c>
      <c r="D25" s="15">
        <v>0</v>
      </c>
      <c r="E25" s="15">
        <v>20000</v>
      </c>
      <c r="F25" s="15">
        <v>5000</v>
      </c>
      <c r="G25" s="15">
        <v>5000</v>
      </c>
      <c r="H25" s="15">
        <v>5000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51">
        <v>0</v>
      </c>
      <c r="S25" s="70">
        <f t="shared" ref="S25:S63" si="5">SUM(C25:R25)</f>
        <v>35000</v>
      </c>
      <c r="T25" s="82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6">
        <v>0</v>
      </c>
      <c r="AD25" s="70">
        <f t="shared" ref="AD25:AD63" si="6">SUM(T25:AC25)</f>
        <v>0</v>
      </c>
      <c r="AE25" s="70">
        <v>0</v>
      </c>
      <c r="AF25" s="70">
        <f t="shared" si="0"/>
        <v>0</v>
      </c>
      <c r="AG25" s="70">
        <f t="shared" si="1"/>
        <v>35000</v>
      </c>
    </row>
    <row r="26" spans="1:33">
      <c r="A26" s="1" t="s">
        <v>1</v>
      </c>
      <c r="B26" s="7" t="s">
        <v>79</v>
      </c>
      <c r="C26" s="14">
        <v>0</v>
      </c>
      <c r="D26" s="15">
        <v>0</v>
      </c>
      <c r="E26" s="15">
        <v>3000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51">
        <v>0</v>
      </c>
      <c r="S26" s="70">
        <f t="shared" si="5"/>
        <v>3000</v>
      </c>
      <c r="T26" s="82">
        <v>0</v>
      </c>
      <c r="U26" s="15">
        <v>3000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6">
        <v>0</v>
      </c>
      <c r="AD26" s="70">
        <f t="shared" si="6"/>
        <v>3000</v>
      </c>
      <c r="AE26" s="70">
        <v>0</v>
      </c>
      <c r="AF26" s="70">
        <f t="shared" si="0"/>
        <v>0</v>
      </c>
      <c r="AG26" s="70">
        <f t="shared" si="1"/>
        <v>6000</v>
      </c>
    </row>
    <row r="27" spans="1:33">
      <c r="A27" s="1" t="s">
        <v>1</v>
      </c>
      <c r="B27" s="7" t="s">
        <v>80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51">
        <v>0</v>
      </c>
      <c r="S27" s="70">
        <f t="shared" si="5"/>
        <v>0</v>
      </c>
      <c r="T27" s="82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6">
        <v>0</v>
      </c>
      <c r="AD27" s="70">
        <f t="shared" si="6"/>
        <v>0</v>
      </c>
      <c r="AE27" s="70">
        <v>0</v>
      </c>
      <c r="AF27" s="70">
        <f t="shared" si="0"/>
        <v>0</v>
      </c>
      <c r="AG27" s="70">
        <f t="shared" si="1"/>
        <v>0</v>
      </c>
    </row>
    <row r="28" spans="1:33">
      <c r="A28" s="1" t="s">
        <v>1</v>
      </c>
      <c r="B28" s="7" t="s">
        <v>81</v>
      </c>
      <c r="C28" s="14">
        <v>0</v>
      </c>
      <c r="D28" s="15">
        <v>0</v>
      </c>
      <c r="E28" s="15">
        <v>79070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5124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51">
        <v>0</v>
      </c>
      <c r="S28" s="70">
        <f t="shared" si="5"/>
        <v>84194</v>
      </c>
      <c r="T28" s="82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6">
        <v>0</v>
      </c>
      <c r="AD28" s="70">
        <f t="shared" si="6"/>
        <v>0</v>
      </c>
      <c r="AE28" s="70">
        <v>0</v>
      </c>
      <c r="AF28" s="70">
        <f t="shared" si="0"/>
        <v>0</v>
      </c>
      <c r="AG28" s="70">
        <f t="shared" si="1"/>
        <v>84194</v>
      </c>
    </row>
    <row r="29" spans="1:33">
      <c r="A29" s="1" t="s">
        <v>1</v>
      </c>
      <c r="B29" s="7" t="s">
        <v>82</v>
      </c>
      <c r="C29" s="14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51">
        <v>0</v>
      </c>
      <c r="S29" s="70">
        <f t="shared" si="5"/>
        <v>0</v>
      </c>
      <c r="T29" s="82">
        <v>0</v>
      </c>
      <c r="U29" s="15">
        <v>0</v>
      </c>
      <c r="V29" s="15">
        <v>80960</v>
      </c>
      <c r="W29" s="15">
        <v>81880</v>
      </c>
      <c r="X29" s="15">
        <v>58800</v>
      </c>
      <c r="Y29" s="15">
        <v>58800</v>
      </c>
      <c r="Z29" s="15">
        <v>65520</v>
      </c>
      <c r="AA29" s="15">
        <v>33600</v>
      </c>
      <c r="AB29" s="15">
        <v>65520</v>
      </c>
      <c r="AC29" s="16">
        <v>21840</v>
      </c>
      <c r="AD29" s="70">
        <f t="shared" si="6"/>
        <v>466920</v>
      </c>
      <c r="AE29" s="70">
        <v>0</v>
      </c>
      <c r="AF29" s="70">
        <f t="shared" si="0"/>
        <v>0</v>
      </c>
      <c r="AG29" s="70">
        <f t="shared" si="1"/>
        <v>466920</v>
      </c>
    </row>
    <row r="30" spans="1:33">
      <c r="A30" s="1" t="s">
        <v>1</v>
      </c>
      <c r="B30" s="7" t="s">
        <v>83</v>
      </c>
      <c r="C30" s="14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51">
        <v>0</v>
      </c>
      <c r="S30" s="70">
        <f t="shared" si="5"/>
        <v>0</v>
      </c>
      <c r="T30" s="82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6">
        <v>0</v>
      </c>
      <c r="AD30" s="70">
        <f t="shared" si="6"/>
        <v>0</v>
      </c>
      <c r="AE30" s="70">
        <v>0</v>
      </c>
      <c r="AF30" s="70">
        <f t="shared" si="0"/>
        <v>0</v>
      </c>
      <c r="AG30" s="70">
        <f t="shared" si="1"/>
        <v>0</v>
      </c>
    </row>
    <row r="31" spans="1:33">
      <c r="A31" s="1" t="s">
        <v>1</v>
      </c>
      <c r="B31" s="7" t="s">
        <v>84</v>
      </c>
      <c r="C31" s="14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51">
        <v>0</v>
      </c>
      <c r="S31" s="70">
        <f t="shared" si="5"/>
        <v>0</v>
      </c>
      <c r="T31" s="82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6">
        <v>0</v>
      </c>
      <c r="AD31" s="70">
        <f t="shared" si="6"/>
        <v>0</v>
      </c>
      <c r="AE31" s="70">
        <v>0</v>
      </c>
      <c r="AF31" s="70">
        <f t="shared" si="0"/>
        <v>0</v>
      </c>
      <c r="AG31" s="70">
        <f t="shared" si="1"/>
        <v>0</v>
      </c>
    </row>
    <row r="32" spans="1:33">
      <c r="A32" s="1" t="s">
        <v>1</v>
      </c>
      <c r="B32" s="7" t="s">
        <v>85</v>
      </c>
      <c r="C32" s="14">
        <v>1000</v>
      </c>
      <c r="D32" s="15">
        <v>0</v>
      </c>
      <c r="E32" s="15">
        <v>1000</v>
      </c>
      <c r="F32" s="15">
        <v>1000</v>
      </c>
      <c r="G32" s="15">
        <v>1000</v>
      </c>
      <c r="H32" s="15">
        <v>1000</v>
      </c>
      <c r="I32" s="15">
        <v>1000</v>
      </c>
      <c r="J32" s="15">
        <v>1000</v>
      </c>
      <c r="K32" s="15">
        <v>1000</v>
      </c>
      <c r="L32" s="15">
        <v>1000</v>
      </c>
      <c r="M32" s="15">
        <v>1000</v>
      </c>
      <c r="N32" s="15">
        <v>1000</v>
      </c>
      <c r="O32" s="15">
        <v>1000</v>
      </c>
      <c r="P32" s="15">
        <v>1000</v>
      </c>
      <c r="Q32" s="15">
        <v>1000</v>
      </c>
      <c r="R32" s="51">
        <v>0</v>
      </c>
      <c r="S32" s="70">
        <f t="shared" si="5"/>
        <v>14000</v>
      </c>
      <c r="T32" s="82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6">
        <v>0</v>
      </c>
      <c r="AD32" s="70">
        <f t="shared" si="6"/>
        <v>0</v>
      </c>
      <c r="AE32" s="70">
        <v>0</v>
      </c>
      <c r="AF32" s="70">
        <f t="shared" si="0"/>
        <v>0</v>
      </c>
      <c r="AG32" s="70">
        <f t="shared" si="1"/>
        <v>14000</v>
      </c>
    </row>
    <row r="33" spans="1:33">
      <c r="A33" s="1" t="s">
        <v>1</v>
      </c>
      <c r="B33" s="7" t="s">
        <v>86</v>
      </c>
      <c r="C33" s="14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51">
        <v>0</v>
      </c>
      <c r="S33" s="70">
        <f t="shared" si="5"/>
        <v>0</v>
      </c>
      <c r="T33" s="82">
        <v>0</v>
      </c>
      <c r="U33" s="15">
        <v>0</v>
      </c>
      <c r="V33" s="15">
        <v>0</v>
      </c>
      <c r="W33" s="15">
        <v>0</v>
      </c>
      <c r="X33" s="15">
        <v>5880</v>
      </c>
      <c r="Y33" s="15">
        <v>5880</v>
      </c>
      <c r="Z33" s="15">
        <v>5880</v>
      </c>
      <c r="AA33" s="15">
        <v>0</v>
      </c>
      <c r="AB33" s="15">
        <v>0</v>
      </c>
      <c r="AC33" s="16">
        <v>0</v>
      </c>
      <c r="AD33" s="70">
        <f t="shared" si="6"/>
        <v>17640</v>
      </c>
      <c r="AE33" s="70">
        <v>0</v>
      </c>
      <c r="AF33" s="70">
        <f t="shared" si="0"/>
        <v>0</v>
      </c>
      <c r="AG33" s="70">
        <f t="shared" si="1"/>
        <v>17640</v>
      </c>
    </row>
    <row r="34" spans="1:33">
      <c r="A34" s="1" t="s">
        <v>1</v>
      </c>
      <c r="B34" s="7" t="s">
        <v>87</v>
      </c>
      <c r="C34" s="14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51">
        <v>0</v>
      </c>
      <c r="S34" s="70">
        <f t="shared" si="5"/>
        <v>0</v>
      </c>
      <c r="T34" s="82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6">
        <v>0</v>
      </c>
      <c r="AD34" s="70">
        <f t="shared" si="6"/>
        <v>0</v>
      </c>
      <c r="AE34" s="70">
        <v>0</v>
      </c>
      <c r="AF34" s="70">
        <f t="shared" si="0"/>
        <v>0</v>
      </c>
      <c r="AG34" s="70">
        <f t="shared" si="1"/>
        <v>0</v>
      </c>
    </row>
    <row r="35" spans="1:33">
      <c r="A35" s="1" t="s">
        <v>1</v>
      </c>
      <c r="B35" s="7" t="s">
        <v>88</v>
      </c>
      <c r="C35" s="14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51">
        <v>0</v>
      </c>
      <c r="S35" s="70">
        <f t="shared" si="5"/>
        <v>0</v>
      </c>
      <c r="T35" s="82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6">
        <v>0</v>
      </c>
      <c r="AD35" s="70">
        <f t="shared" si="6"/>
        <v>0</v>
      </c>
      <c r="AE35" s="70">
        <v>0</v>
      </c>
      <c r="AF35" s="70">
        <f t="shared" si="0"/>
        <v>0</v>
      </c>
      <c r="AG35" s="70">
        <f t="shared" si="1"/>
        <v>0</v>
      </c>
    </row>
    <row r="36" spans="1:33">
      <c r="A36" s="1" t="s">
        <v>1</v>
      </c>
      <c r="B36" s="7" t="s">
        <v>89</v>
      </c>
      <c r="C36" s="14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51">
        <v>0</v>
      </c>
      <c r="S36" s="70">
        <f t="shared" si="5"/>
        <v>0</v>
      </c>
      <c r="T36" s="82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6">
        <v>0</v>
      </c>
      <c r="AD36" s="70">
        <f t="shared" si="6"/>
        <v>0</v>
      </c>
      <c r="AE36" s="70">
        <v>0</v>
      </c>
      <c r="AF36" s="70">
        <f t="shared" si="0"/>
        <v>0</v>
      </c>
      <c r="AG36" s="70">
        <f t="shared" si="1"/>
        <v>0</v>
      </c>
    </row>
    <row r="37" spans="1:33">
      <c r="A37" s="1" t="s">
        <v>1</v>
      </c>
      <c r="B37" s="7" t="s">
        <v>90</v>
      </c>
      <c r="C37" s="55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-161804</v>
      </c>
      <c r="O37" s="56">
        <v>0</v>
      </c>
      <c r="P37" s="56">
        <v>-50526</v>
      </c>
      <c r="Q37" s="56">
        <v>0</v>
      </c>
      <c r="R37" s="58">
        <v>0</v>
      </c>
      <c r="S37" s="71">
        <f t="shared" si="5"/>
        <v>-212330</v>
      </c>
      <c r="T37" s="83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0</v>
      </c>
      <c r="AC37" s="57">
        <v>0</v>
      </c>
      <c r="AD37" s="71">
        <f t="shared" si="6"/>
        <v>0</v>
      </c>
      <c r="AE37" s="71">
        <v>0</v>
      </c>
      <c r="AF37" s="71">
        <f t="shared" si="0"/>
        <v>0</v>
      </c>
      <c r="AG37" s="71">
        <f t="shared" si="1"/>
        <v>-212330</v>
      </c>
    </row>
    <row r="38" spans="1:33">
      <c r="A38" s="1" t="s">
        <v>1</v>
      </c>
      <c r="B38" s="7" t="s">
        <v>67</v>
      </c>
      <c r="C38" s="14">
        <v>53320</v>
      </c>
      <c r="D38" s="15">
        <v>0</v>
      </c>
      <c r="E38" s="15">
        <v>22106</v>
      </c>
      <c r="F38" s="15">
        <v>109742</v>
      </c>
      <c r="G38" s="15">
        <v>49280</v>
      </c>
      <c r="H38" s="15">
        <v>125715</v>
      </c>
      <c r="I38" s="15">
        <v>82646</v>
      </c>
      <c r="J38" s="15">
        <v>77314</v>
      </c>
      <c r="K38" s="15">
        <v>78995</v>
      </c>
      <c r="L38" s="15">
        <v>101376</v>
      </c>
      <c r="M38" s="15">
        <v>70649</v>
      </c>
      <c r="N38" s="15">
        <v>3999</v>
      </c>
      <c r="O38" s="15">
        <v>62720</v>
      </c>
      <c r="P38" s="15">
        <v>71172</v>
      </c>
      <c r="Q38" s="15">
        <v>28996</v>
      </c>
      <c r="R38" s="51">
        <v>33098</v>
      </c>
      <c r="S38" s="70">
        <f t="shared" si="5"/>
        <v>971128</v>
      </c>
      <c r="T38" s="82">
        <v>0</v>
      </c>
      <c r="U38" s="15">
        <v>67808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1050</v>
      </c>
      <c r="AB38" s="15">
        <v>0</v>
      </c>
      <c r="AC38" s="16">
        <v>0</v>
      </c>
      <c r="AD38" s="70">
        <f t="shared" si="6"/>
        <v>68858</v>
      </c>
      <c r="AE38" s="70">
        <v>0</v>
      </c>
      <c r="AF38" s="70">
        <f t="shared" si="0"/>
        <v>0</v>
      </c>
      <c r="AG38" s="70">
        <f t="shared" si="1"/>
        <v>1039986</v>
      </c>
    </row>
    <row r="39" spans="1:33">
      <c r="A39" s="1" t="s">
        <v>1</v>
      </c>
      <c r="B39" s="7" t="s">
        <v>91</v>
      </c>
      <c r="C39" s="14">
        <v>5756</v>
      </c>
      <c r="D39" s="15">
        <v>0</v>
      </c>
      <c r="E39" s="15">
        <v>34100</v>
      </c>
      <c r="F39" s="15">
        <v>67242</v>
      </c>
      <c r="G39" s="15">
        <v>25840</v>
      </c>
      <c r="H39" s="15">
        <v>43708</v>
      </c>
      <c r="I39" s="15">
        <v>50365</v>
      </c>
      <c r="J39" s="15">
        <v>46048</v>
      </c>
      <c r="K39" s="15">
        <v>12591</v>
      </c>
      <c r="L39" s="15">
        <v>36480</v>
      </c>
      <c r="M39" s="15">
        <v>33097</v>
      </c>
      <c r="N39" s="15">
        <v>0</v>
      </c>
      <c r="O39" s="15">
        <v>38696</v>
      </c>
      <c r="P39" s="15">
        <v>17076</v>
      </c>
      <c r="Q39" s="15">
        <v>0</v>
      </c>
      <c r="R39" s="51">
        <v>63204</v>
      </c>
      <c r="S39" s="70">
        <f t="shared" si="5"/>
        <v>474203</v>
      </c>
      <c r="T39" s="82">
        <v>0</v>
      </c>
      <c r="U39" s="15">
        <v>29744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6">
        <v>0</v>
      </c>
      <c r="AD39" s="70">
        <f t="shared" si="6"/>
        <v>29744</v>
      </c>
      <c r="AE39" s="70">
        <v>0</v>
      </c>
      <c r="AF39" s="70">
        <f t="shared" si="0"/>
        <v>0</v>
      </c>
      <c r="AG39" s="70">
        <f t="shared" si="1"/>
        <v>503947</v>
      </c>
    </row>
    <row r="40" spans="1:33">
      <c r="A40" s="1" t="s">
        <v>1</v>
      </c>
      <c r="B40" s="7" t="s">
        <v>92</v>
      </c>
      <c r="C40" s="14">
        <v>37414</v>
      </c>
      <c r="D40" s="15">
        <v>0</v>
      </c>
      <c r="E40" s="15">
        <v>10230</v>
      </c>
      <c r="F40" s="15">
        <v>38424</v>
      </c>
      <c r="G40" s="15">
        <v>47120</v>
      </c>
      <c r="H40" s="15">
        <v>51513</v>
      </c>
      <c r="I40" s="15">
        <v>31658</v>
      </c>
      <c r="J40" s="15">
        <v>5756</v>
      </c>
      <c r="K40" s="15">
        <v>48965</v>
      </c>
      <c r="L40" s="15">
        <v>27360</v>
      </c>
      <c r="M40" s="15">
        <v>33097</v>
      </c>
      <c r="N40" s="15">
        <v>0</v>
      </c>
      <c r="O40" s="15">
        <v>33168</v>
      </c>
      <c r="P40" s="15">
        <v>39844</v>
      </c>
      <c r="Q40" s="15">
        <v>12807</v>
      </c>
      <c r="R40" s="51">
        <v>41220</v>
      </c>
      <c r="S40" s="70">
        <f t="shared" si="5"/>
        <v>458576</v>
      </c>
      <c r="T40" s="82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6">
        <v>0</v>
      </c>
      <c r="AD40" s="70">
        <f t="shared" si="6"/>
        <v>0</v>
      </c>
      <c r="AE40" s="70">
        <v>0</v>
      </c>
      <c r="AF40" s="70">
        <f t="shared" si="0"/>
        <v>0</v>
      </c>
      <c r="AG40" s="70">
        <f t="shared" si="1"/>
        <v>458576</v>
      </c>
    </row>
    <row r="41" spans="1:33">
      <c r="A41" s="1" t="s">
        <v>1</v>
      </c>
      <c r="B41" s="7" t="s">
        <v>93</v>
      </c>
      <c r="C41" s="14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11563</v>
      </c>
      <c r="N41" s="15">
        <v>0</v>
      </c>
      <c r="O41" s="15">
        <v>0</v>
      </c>
      <c r="P41" s="15">
        <v>0</v>
      </c>
      <c r="Q41" s="15">
        <v>6642</v>
      </c>
      <c r="R41" s="51">
        <v>3204</v>
      </c>
      <c r="S41" s="70">
        <f t="shared" si="5"/>
        <v>21409</v>
      </c>
      <c r="T41" s="82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6">
        <v>0</v>
      </c>
      <c r="AD41" s="70">
        <f t="shared" si="6"/>
        <v>0</v>
      </c>
      <c r="AE41" s="70">
        <v>0</v>
      </c>
      <c r="AF41" s="70">
        <f t="shared" si="0"/>
        <v>0</v>
      </c>
      <c r="AG41" s="70">
        <f t="shared" si="1"/>
        <v>21409</v>
      </c>
    </row>
    <row r="42" spans="1:33">
      <c r="A42" s="1" t="s">
        <v>1</v>
      </c>
      <c r="B42" s="7" t="s">
        <v>94</v>
      </c>
      <c r="C42" s="14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746</v>
      </c>
      <c r="N42" s="15">
        <v>0</v>
      </c>
      <c r="O42" s="15">
        <v>0</v>
      </c>
      <c r="P42" s="15">
        <v>0</v>
      </c>
      <c r="Q42" s="15">
        <v>0</v>
      </c>
      <c r="R42" s="51">
        <v>0</v>
      </c>
      <c r="S42" s="70">
        <f t="shared" si="5"/>
        <v>746</v>
      </c>
      <c r="T42" s="82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6">
        <v>0</v>
      </c>
      <c r="AD42" s="70">
        <f t="shared" si="6"/>
        <v>0</v>
      </c>
      <c r="AE42" s="70">
        <v>0</v>
      </c>
      <c r="AF42" s="70">
        <f t="shared" si="0"/>
        <v>0</v>
      </c>
      <c r="AG42" s="70">
        <f t="shared" si="1"/>
        <v>746</v>
      </c>
    </row>
    <row r="43" spans="1:33">
      <c r="A43" s="1" t="s">
        <v>1</v>
      </c>
      <c r="B43" s="7" t="s">
        <v>95</v>
      </c>
      <c r="C43" s="14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50526</v>
      </c>
      <c r="Q43" s="15">
        <v>0</v>
      </c>
      <c r="R43" s="51">
        <v>0</v>
      </c>
      <c r="S43" s="70">
        <f t="shared" si="5"/>
        <v>50526</v>
      </c>
      <c r="T43" s="82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6">
        <v>0</v>
      </c>
      <c r="AD43" s="70">
        <f t="shared" si="6"/>
        <v>0</v>
      </c>
      <c r="AE43" s="70">
        <v>0</v>
      </c>
      <c r="AF43" s="70">
        <f t="shared" si="0"/>
        <v>0</v>
      </c>
      <c r="AG43" s="70">
        <f t="shared" si="1"/>
        <v>50526</v>
      </c>
    </row>
    <row r="44" spans="1:33">
      <c r="A44" s="1" t="s">
        <v>1</v>
      </c>
      <c r="B44" s="7" t="s">
        <v>72</v>
      </c>
      <c r="C44" s="14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51">
        <v>0</v>
      </c>
      <c r="S44" s="70">
        <f t="shared" si="5"/>
        <v>0</v>
      </c>
      <c r="T44" s="82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6">
        <v>0</v>
      </c>
      <c r="AD44" s="70">
        <f t="shared" si="6"/>
        <v>0</v>
      </c>
      <c r="AE44" s="70">
        <v>0</v>
      </c>
      <c r="AF44" s="70">
        <f t="shared" si="0"/>
        <v>0</v>
      </c>
      <c r="AG44" s="70">
        <f t="shared" si="1"/>
        <v>0</v>
      </c>
    </row>
    <row r="45" spans="1:33" ht="19.5" thickBot="1">
      <c r="A45" s="1" t="s">
        <v>1</v>
      </c>
      <c r="B45" s="35" t="s">
        <v>75</v>
      </c>
      <c r="C45" s="36">
        <v>2670</v>
      </c>
      <c r="D45" s="37">
        <v>0</v>
      </c>
      <c r="E45" s="37">
        <v>0</v>
      </c>
      <c r="F45" s="37">
        <v>8613</v>
      </c>
      <c r="G45" s="37">
        <v>1410</v>
      </c>
      <c r="H45" s="37">
        <v>12427</v>
      </c>
      <c r="I45" s="37">
        <v>1068</v>
      </c>
      <c r="J45" s="37">
        <v>1335</v>
      </c>
      <c r="K45" s="37">
        <v>777</v>
      </c>
      <c r="L45" s="37">
        <v>2256</v>
      </c>
      <c r="M45" s="37">
        <v>4272</v>
      </c>
      <c r="N45" s="37">
        <v>1068</v>
      </c>
      <c r="O45" s="37">
        <v>1792</v>
      </c>
      <c r="P45" s="37">
        <v>7128</v>
      </c>
      <c r="Q45" s="37">
        <v>9504</v>
      </c>
      <c r="R45" s="52">
        <v>8925</v>
      </c>
      <c r="S45" s="72">
        <f t="shared" si="5"/>
        <v>63245</v>
      </c>
      <c r="T45" s="84">
        <v>20216</v>
      </c>
      <c r="U45" s="37">
        <v>0</v>
      </c>
      <c r="V45" s="37">
        <v>0</v>
      </c>
      <c r="W45" s="37">
        <v>0</v>
      </c>
      <c r="X45" s="37">
        <v>10500</v>
      </c>
      <c r="Y45" s="37">
        <v>10500</v>
      </c>
      <c r="Z45" s="37">
        <v>11550</v>
      </c>
      <c r="AA45" s="37">
        <v>0</v>
      </c>
      <c r="AB45" s="37">
        <v>0</v>
      </c>
      <c r="AC45" s="38">
        <v>0</v>
      </c>
      <c r="AD45" s="72">
        <f t="shared" si="6"/>
        <v>52766</v>
      </c>
      <c r="AE45" s="72">
        <v>1124</v>
      </c>
      <c r="AF45" s="72">
        <f t="shared" si="0"/>
        <v>1124</v>
      </c>
      <c r="AG45" s="72">
        <f t="shared" si="1"/>
        <v>117135</v>
      </c>
    </row>
    <row r="46" spans="1:33" ht="19.5" thickBot="1">
      <c r="A46" s="1" t="s">
        <v>1</v>
      </c>
      <c r="B46" s="39" t="s">
        <v>96</v>
      </c>
      <c r="C46" s="40">
        <v>277160</v>
      </c>
      <c r="D46" s="41">
        <v>0</v>
      </c>
      <c r="E46" s="41">
        <v>356506</v>
      </c>
      <c r="F46" s="41">
        <v>422021</v>
      </c>
      <c r="G46" s="41">
        <v>311650</v>
      </c>
      <c r="H46" s="41">
        <v>426363</v>
      </c>
      <c r="I46" s="41">
        <v>343737</v>
      </c>
      <c r="J46" s="41">
        <v>308453</v>
      </c>
      <c r="K46" s="41">
        <v>314328</v>
      </c>
      <c r="L46" s="41">
        <v>360596</v>
      </c>
      <c r="M46" s="41">
        <v>331424</v>
      </c>
      <c r="N46" s="41">
        <v>21263</v>
      </c>
      <c r="O46" s="41">
        <v>307376</v>
      </c>
      <c r="P46" s="41">
        <v>311220</v>
      </c>
      <c r="Q46" s="41">
        <v>233949</v>
      </c>
      <c r="R46" s="53">
        <v>319651</v>
      </c>
      <c r="S46" s="73">
        <f t="shared" si="5"/>
        <v>4645697</v>
      </c>
      <c r="T46" s="85">
        <v>375216</v>
      </c>
      <c r="U46" s="41">
        <v>380552</v>
      </c>
      <c r="V46" s="41">
        <v>80960</v>
      </c>
      <c r="W46" s="41">
        <v>81880</v>
      </c>
      <c r="X46" s="41">
        <v>75180</v>
      </c>
      <c r="Y46" s="41">
        <v>75180</v>
      </c>
      <c r="Z46" s="41">
        <v>82950</v>
      </c>
      <c r="AA46" s="41">
        <v>34650</v>
      </c>
      <c r="AB46" s="41">
        <v>65520</v>
      </c>
      <c r="AC46" s="42">
        <v>21840</v>
      </c>
      <c r="AD46" s="73">
        <f t="shared" si="6"/>
        <v>1273928</v>
      </c>
      <c r="AE46" s="73">
        <v>376124</v>
      </c>
      <c r="AF46" s="73">
        <f t="shared" si="0"/>
        <v>376124</v>
      </c>
      <c r="AG46" s="73">
        <f t="shared" si="1"/>
        <v>6295749</v>
      </c>
    </row>
    <row r="47" spans="1:33" ht="19.5" thickBot="1">
      <c r="A47" s="1" t="s">
        <v>1</v>
      </c>
      <c r="B47" s="21" t="s">
        <v>97</v>
      </c>
      <c r="C47" s="29">
        <v>13047</v>
      </c>
      <c r="D47" s="30">
        <v>0</v>
      </c>
      <c r="E47" s="30">
        <v>5636</v>
      </c>
      <c r="F47" s="30">
        <v>3523</v>
      </c>
      <c r="G47" s="30">
        <v>15004</v>
      </c>
      <c r="H47" s="30">
        <v>2818</v>
      </c>
      <c r="I47" s="30">
        <v>2714</v>
      </c>
      <c r="J47" s="30">
        <v>1253</v>
      </c>
      <c r="K47" s="30">
        <v>3262</v>
      </c>
      <c r="L47" s="30">
        <v>5428</v>
      </c>
      <c r="M47" s="30">
        <v>6524</v>
      </c>
      <c r="N47" s="30">
        <v>366</v>
      </c>
      <c r="O47" s="30">
        <v>8141</v>
      </c>
      <c r="P47" s="30">
        <v>4958</v>
      </c>
      <c r="Q47" s="30">
        <v>9315</v>
      </c>
      <c r="R47" s="50">
        <v>4749</v>
      </c>
      <c r="S47" s="69">
        <f t="shared" si="5"/>
        <v>86738</v>
      </c>
      <c r="T47" s="81">
        <v>3914</v>
      </c>
      <c r="U47" s="30">
        <v>5402</v>
      </c>
      <c r="V47" s="30">
        <v>2714</v>
      </c>
      <c r="W47" s="30">
        <v>1957</v>
      </c>
      <c r="X47" s="30">
        <v>3132</v>
      </c>
      <c r="Y47" s="30">
        <v>3914</v>
      </c>
      <c r="Z47" s="30">
        <v>4593</v>
      </c>
      <c r="AA47" s="30">
        <v>1696</v>
      </c>
      <c r="AB47" s="30">
        <v>7306</v>
      </c>
      <c r="AC47" s="31">
        <v>2349</v>
      </c>
      <c r="AD47" s="69">
        <f t="shared" si="6"/>
        <v>36977</v>
      </c>
      <c r="AE47" s="69">
        <v>7802</v>
      </c>
      <c r="AF47" s="69">
        <f t="shared" si="0"/>
        <v>7802</v>
      </c>
      <c r="AG47" s="69">
        <f t="shared" si="1"/>
        <v>131517</v>
      </c>
    </row>
    <row r="48" spans="1:33" ht="19.5" thickBot="1">
      <c r="A48" s="1" t="s">
        <v>1</v>
      </c>
      <c r="B48" s="39" t="s">
        <v>98</v>
      </c>
      <c r="C48" s="40">
        <v>13047</v>
      </c>
      <c r="D48" s="41">
        <v>0</v>
      </c>
      <c r="E48" s="41">
        <v>5636</v>
      </c>
      <c r="F48" s="41">
        <v>3523</v>
      </c>
      <c r="G48" s="41">
        <v>15004</v>
      </c>
      <c r="H48" s="41">
        <v>2818</v>
      </c>
      <c r="I48" s="41">
        <v>2714</v>
      </c>
      <c r="J48" s="41">
        <v>1253</v>
      </c>
      <c r="K48" s="41">
        <v>3262</v>
      </c>
      <c r="L48" s="41">
        <v>5428</v>
      </c>
      <c r="M48" s="41">
        <v>6524</v>
      </c>
      <c r="N48" s="41">
        <v>366</v>
      </c>
      <c r="O48" s="41">
        <v>8141</v>
      </c>
      <c r="P48" s="41">
        <v>4958</v>
      </c>
      <c r="Q48" s="41">
        <v>9315</v>
      </c>
      <c r="R48" s="53">
        <v>4749</v>
      </c>
      <c r="S48" s="73">
        <f t="shared" si="5"/>
        <v>86738</v>
      </c>
      <c r="T48" s="85">
        <v>3914</v>
      </c>
      <c r="U48" s="41">
        <v>5402</v>
      </c>
      <c r="V48" s="41">
        <v>2714</v>
      </c>
      <c r="W48" s="41">
        <v>1957</v>
      </c>
      <c r="X48" s="41">
        <v>3132</v>
      </c>
      <c r="Y48" s="41">
        <v>3914</v>
      </c>
      <c r="Z48" s="41">
        <v>4593</v>
      </c>
      <c r="AA48" s="41">
        <v>1696</v>
      </c>
      <c r="AB48" s="41">
        <v>7306</v>
      </c>
      <c r="AC48" s="42">
        <v>2349</v>
      </c>
      <c r="AD48" s="73">
        <f t="shared" si="6"/>
        <v>36977</v>
      </c>
      <c r="AE48" s="73">
        <v>7802</v>
      </c>
      <c r="AF48" s="73">
        <f t="shared" si="0"/>
        <v>7802</v>
      </c>
      <c r="AG48" s="73">
        <f t="shared" si="1"/>
        <v>131517</v>
      </c>
    </row>
    <row r="49" spans="1:33" ht="19.5" thickBot="1">
      <c r="A49" s="1" t="s">
        <v>1</v>
      </c>
      <c r="B49" s="39" t="s">
        <v>99</v>
      </c>
      <c r="C49" s="40">
        <v>290207</v>
      </c>
      <c r="D49" s="41">
        <v>0</v>
      </c>
      <c r="E49" s="41">
        <v>362142</v>
      </c>
      <c r="F49" s="41">
        <v>425544</v>
      </c>
      <c r="G49" s="41">
        <v>326654</v>
      </c>
      <c r="H49" s="41">
        <v>429181</v>
      </c>
      <c r="I49" s="41">
        <v>346451</v>
      </c>
      <c r="J49" s="41">
        <v>309706</v>
      </c>
      <c r="K49" s="41">
        <v>317590</v>
      </c>
      <c r="L49" s="41">
        <v>366024</v>
      </c>
      <c r="M49" s="41">
        <v>337948</v>
      </c>
      <c r="N49" s="41">
        <v>21629</v>
      </c>
      <c r="O49" s="41">
        <v>315517</v>
      </c>
      <c r="P49" s="41">
        <v>316178</v>
      </c>
      <c r="Q49" s="41">
        <v>243264</v>
      </c>
      <c r="R49" s="53">
        <v>324400</v>
      </c>
      <c r="S49" s="73">
        <f t="shared" si="5"/>
        <v>4732435</v>
      </c>
      <c r="T49" s="85">
        <v>379130</v>
      </c>
      <c r="U49" s="41">
        <v>385954</v>
      </c>
      <c r="V49" s="41">
        <v>83674</v>
      </c>
      <c r="W49" s="41">
        <v>83837</v>
      </c>
      <c r="X49" s="41">
        <v>78312</v>
      </c>
      <c r="Y49" s="41">
        <v>79094</v>
      </c>
      <c r="Z49" s="41">
        <v>87543</v>
      </c>
      <c r="AA49" s="41">
        <v>36346</v>
      </c>
      <c r="AB49" s="41">
        <v>72826</v>
      </c>
      <c r="AC49" s="42">
        <v>24189</v>
      </c>
      <c r="AD49" s="73">
        <f t="shared" si="6"/>
        <v>1310905</v>
      </c>
      <c r="AE49" s="73">
        <v>383926</v>
      </c>
      <c r="AF49" s="73">
        <f t="shared" si="0"/>
        <v>383926</v>
      </c>
      <c r="AG49" s="73">
        <f t="shared" si="1"/>
        <v>6427266</v>
      </c>
    </row>
    <row r="50" spans="1:33">
      <c r="A50" s="1" t="s">
        <v>1</v>
      </c>
      <c r="B50" s="21" t="s">
        <v>100</v>
      </c>
      <c r="C50" s="29">
        <v>16320</v>
      </c>
      <c r="D50" s="30">
        <v>19380</v>
      </c>
      <c r="E50" s="30">
        <v>19380</v>
      </c>
      <c r="F50" s="30">
        <v>20910</v>
      </c>
      <c r="G50" s="30">
        <v>19380</v>
      </c>
      <c r="H50" s="30">
        <v>20910</v>
      </c>
      <c r="I50" s="30">
        <v>16320</v>
      </c>
      <c r="J50" s="30">
        <v>15300</v>
      </c>
      <c r="K50" s="30">
        <v>16320</v>
      </c>
      <c r="L50" s="30">
        <v>17340</v>
      </c>
      <c r="M50" s="30">
        <v>16320</v>
      </c>
      <c r="N50" s="30">
        <v>17340</v>
      </c>
      <c r="O50" s="30">
        <v>15300</v>
      </c>
      <c r="P50" s="30">
        <v>17340</v>
      </c>
      <c r="Q50" s="30">
        <v>15300</v>
      </c>
      <c r="R50" s="50">
        <v>13260</v>
      </c>
      <c r="S50" s="69">
        <f t="shared" si="5"/>
        <v>276420</v>
      </c>
      <c r="T50" s="81">
        <v>19380</v>
      </c>
      <c r="U50" s="30">
        <v>19380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1">
        <v>0</v>
      </c>
      <c r="AD50" s="69">
        <f t="shared" si="6"/>
        <v>38760</v>
      </c>
      <c r="AE50" s="69">
        <v>19380</v>
      </c>
      <c r="AF50" s="69">
        <f t="shared" si="0"/>
        <v>19380</v>
      </c>
      <c r="AG50" s="69">
        <f t="shared" si="1"/>
        <v>334560</v>
      </c>
    </row>
    <row r="51" spans="1:33">
      <c r="A51" s="1" t="s">
        <v>1</v>
      </c>
      <c r="B51" s="7" t="s">
        <v>101</v>
      </c>
      <c r="C51" s="14">
        <v>2880</v>
      </c>
      <c r="D51" s="15">
        <v>3420</v>
      </c>
      <c r="E51" s="15">
        <v>3420</v>
      </c>
      <c r="F51" s="15">
        <v>3690</v>
      </c>
      <c r="G51" s="15">
        <v>3420</v>
      </c>
      <c r="H51" s="15">
        <v>3690</v>
      </c>
      <c r="I51" s="15">
        <v>2880</v>
      </c>
      <c r="J51" s="15">
        <v>2700</v>
      </c>
      <c r="K51" s="15">
        <v>2880</v>
      </c>
      <c r="L51" s="15">
        <v>3060</v>
      </c>
      <c r="M51" s="15">
        <v>2880</v>
      </c>
      <c r="N51" s="15">
        <v>0</v>
      </c>
      <c r="O51" s="15">
        <v>2700</v>
      </c>
      <c r="P51" s="15">
        <v>3060</v>
      </c>
      <c r="Q51" s="15">
        <v>2700</v>
      </c>
      <c r="R51" s="51">
        <v>0</v>
      </c>
      <c r="S51" s="70">
        <f t="shared" si="5"/>
        <v>43380</v>
      </c>
      <c r="T51" s="82">
        <v>3420</v>
      </c>
      <c r="U51" s="15">
        <v>3420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6">
        <v>0</v>
      </c>
      <c r="AD51" s="70">
        <f t="shared" si="6"/>
        <v>6840</v>
      </c>
      <c r="AE51" s="70">
        <v>3420</v>
      </c>
      <c r="AF51" s="70">
        <f t="shared" si="0"/>
        <v>3420</v>
      </c>
      <c r="AG51" s="70">
        <f t="shared" si="1"/>
        <v>53640</v>
      </c>
    </row>
    <row r="52" spans="1:33">
      <c r="A52" s="1" t="s">
        <v>1</v>
      </c>
      <c r="B52" s="7" t="s">
        <v>102</v>
      </c>
      <c r="C52" s="14">
        <v>29280</v>
      </c>
      <c r="D52" s="15">
        <v>34770</v>
      </c>
      <c r="E52" s="15">
        <v>34770</v>
      </c>
      <c r="F52" s="15">
        <v>37515</v>
      </c>
      <c r="G52" s="15">
        <v>34770</v>
      </c>
      <c r="H52" s="15">
        <v>37515</v>
      </c>
      <c r="I52" s="15">
        <v>29280</v>
      </c>
      <c r="J52" s="15">
        <v>27450</v>
      </c>
      <c r="K52" s="15">
        <v>29280</v>
      </c>
      <c r="L52" s="15">
        <v>31110</v>
      </c>
      <c r="M52" s="15">
        <v>29280</v>
      </c>
      <c r="N52" s="15">
        <v>31110</v>
      </c>
      <c r="O52" s="15">
        <v>27450</v>
      </c>
      <c r="P52" s="15">
        <v>31110</v>
      </c>
      <c r="Q52" s="15">
        <v>27450</v>
      </c>
      <c r="R52" s="51">
        <v>23790</v>
      </c>
      <c r="S52" s="70">
        <f t="shared" si="5"/>
        <v>495930</v>
      </c>
      <c r="T52" s="82">
        <v>34770</v>
      </c>
      <c r="U52" s="15">
        <v>34770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6">
        <v>0</v>
      </c>
      <c r="AD52" s="70">
        <f t="shared" si="6"/>
        <v>69540</v>
      </c>
      <c r="AE52" s="70">
        <v>34770</v>
      </c>
      <c r="AF52" s="70">
        <f t="shared" si="0"/>
        <v>34770</v>
      </c>
      <c r="AG52" s="70">
        <f t="shared" si="1"/>
        <v>600240</v>
      </c>
    </row>
    <row r="53" spans="1:33" ht="19.5" thickBot="1">
      <c r="A53" s="1" t="s">
        <v>1</v>
      </c>
      <c r="B53" s="7" t="s">
        <v>103</v>
      </c>
      <c r="C53" s="14">
        <v>871</v>
      </c>
      <c r="D53" s="15">
        <v>0</v>
      </c>
      <c r="E53" s="15">
        <v>1086</v>
      </c>
      <c r="F53" s="15">
        <v>1277</v>
      </c>
      <c r="G53" s="15">
        <v>980</v>
      </c>
      <c r="H53" s="15">
        <v>1288</v>
      </c>
      <c r="I53" s="15">
        <v>1039</v>
      </c>
      <c r="J53" s="15">
        <v>929</v>
      </c>
      <c r="K53" s="15">
        <v>953</v>
      </c>
      <c r="L53" s="15">
        <v>1098</v>
      </c>
      <c r="M53" s="15">
        <v>1014</v>
      </c>
      <c r="N53" s="15">
        <v>65</v>
      </c>
      <c r="O53" s="15">
        <v>947</v>
      </c>
      <c r="P53" s="15">
        <v>949</v>
      </c>
      <c r="Q53" s="15">
        <v>730</v>
      </c>
      <c r="R53" s="51">
        <v>973</v>
      </c>
      <c r="S53" s="70">
        <f t="shared" si="5"/>
        <v>14199</v>
      </c>
      <c r="T53" s="82">
        <v>1137</v>
      </c>
      <c r="U53" s="15">
        <v>1158</v>
      </c>
      <c r="V53" s="15">
        <v>251</v>
      </c>
      <c r="W53" s="15">
        <v>252</v>
      </c>
      <c r="X53" s="15">
        <v>0</v>
      </c>
      <c r="Y53" s="15">
        <v>0</v>
      </c>
      <c r="Z53" s="15">
        <v>0</v>
      </c>
      <c r="AA53" s="15">
        <v>0</v>
      </c>
      <c r="AB53" s="15">
        <v>218</v>
      </c>
      <c r="AC53" s="16">
        <v>0</v>
      </c>
      <c r="AD53" s="70">
        <f t="shared" si="6"/>
        <v>3016</v>
      </c>
      <c r="AE53" s="70">
        <v>1152</v>
      </c>
      <c r="AF53" s="70">
        <f t="shared" si="0"/>
        <v>1152</v>
      </c>
      <c r="AG53" s="70">
        <f t="shared" si="1"/>
        <v>18367</v>
      </c>
    </row>
    <row r="54" spans="1:33" ht="19.5" thickBot="1">
      <c r="A54" s="1" t="s">
        <v>1</v>
      </c>
      <c r="B54" s="39" t="s">
        <v>104</v>
      </c>
      <c r="C54" s="40">
        <v>49351</v>
      </c>
      <c r="D54" s="41">
        <v>57570</v>
      </c>
      <c r="E54" s="41">
        <v>58656</v>
      </c>
      <c r="F54" s="41">
        <v>63392</v>
      </c>
      <c r="G54" s="41">
        <v>58550</v>
      </c>
      <c r="H54" s="41">
        <v>63403</v>
      </c>
      <c r="I54" s="41">
        <v>49519</v>
      </c>
      <c r="J54" s="41">
        <v>46379</v>
      </c>
      <c r="K54" s="41">
        <v>49433</v>
      </c>
      <c r="L54" s="41">
        <v>52608</v>
      </c>
      <c r="M54" s="41">
        <v>49494</v>
      </c>
      <c r="N54" s="41">
        <v>48515</v>
      </c>
      <c r="O54" s="41">
        <v>46397</v>
      </c>
      <c r="P54" s="41">
        <v>52459</v>
      </c>
      <c r="Q54" s="41">
        <v>46180</v>
      </c>
      <c r="R54" s="53">
        <v>38023</v>
      </c>
      <c r="S54" s="73">
        <f t="shared" si="5"/>
        <v>829929</v>
      </c>
      <c r="T54" s="85">
        <v>58707</v>
      </c>
      <c r="U54" s="41">
        <v>58728</v>
      </c>
      <c r="V54" s="41">
        <v>251</v>
      </c>
      <c r="W54" s="41">
        <v>252</v>
      </c>
      <c r="X54" s="41">
        <v>0</v>
      </c>
      <c r="Y54" s="41">
        <v>0</v>
      </c>
      <c r="Z54" s="41">
        <v>0</v>
      </c>
      <c r="AA54" s="41">
        <v>0</v>
      </c>
      <c r="AB54" s="41">
        <v>218</v>
      </c>
      <c r="AC54" s="42">
        <v>0</v>
      </c>
      <c r="AD54" s="73">
        <f t="shared" si="6"/>
        <v>118156</v>
      </c>
      <c r="AE54" s="73">
        <v>58722</v>
      </c>
      <c r="AF54" s="73">
        <f t="shared" si="0"/>
        <v>58722</v>
      </c>
      <c r="AG54" s="73">
        <f t="shared" si="1"/>
        <v>1006807</v>
      </c>
    </row>
    <row r="55" spans="1:33">
      <c r="A55" s="1" t="s">
        <v>1</v>
      </c>
      <c r="B55" s="21" t="s">
        <v>105</v>
      </c>
      <c r="C55" s="29">
        <v>4140</v>
      </c>
      <c r="D55" s="30">
        <v>0</v>
      </c>
      <c r="E55" s="30">
        <v>6640</v>
      </c>
      <c r="F55" s="30">
        <v>13170</v>
      </c>
      <c r="G55" s="30">
        <v>5050</v>
      </c>
      <c r="H55" s="30">
        <v>13520</v>
      </c>
      <c r="I55" s="30">
        <v>8130</v>
      </c>
      <c r="J55" s="30">
        <v>5370</v>
      </c>
      <c r="K55" s="30">
        <v>7080</v>
      </c>
      <c r="L55" s="30">
        <v>9030</v>
      </c>
      <c r="M55" s="30">
        <v>7690</v>
      </c>
      <c r="N55" s="30">
        <v>0</v>
      </c>
      <c r="O55" s="30">
        <v>6940</v>
      </c>
      <c r="P55" s="30">
        <v>2010</v>
      </c>
      <c r="Q55" s="30">
        <v>4330</v>
      </c>
      <c r="R55" s="50">
        <v>7680</v>
      </c>
      <c r="S55" s="69">
        <f t="shared" si="5"/>
        <v>100780</v>
      </c>
      <c r="T55" s="81">
        <v>9730</v>
      </c>
      <c r="U55" s="30">
        <v>7610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1">
        <v>0</v>
      </c>
      <c r="AD55" s="69">
        <f t="shared" si="6"/>
        <v>17340</v>
      </c>
      <c r="AE55" s="69">
        <v>9800</v>
      </c>
      <c r="AF55" s="69">
        <f t="shared" si="0"/>
        <v>9800</v>
      </c>
      <c r="AG55" s="69">
        <f t="shared" si="1"/>
        <v>127920</v>
      </c>
    </row>
    <row r="56" spans="1:33">
      <c r="A56" s="1" t="s">
        <v>1</v>
      </c>
      <c r="B56" s="7" t="s">
        <v>106</v>
      </c>
      <c r="C56" s="14">
        <v>1300</v>
      </c>
      <c r="D56" s="15">
        <v>0</v>
      </c>
      <c r="E56" s="15">
        <v>1300</v>
      </c>
      <c r="F56" s="15">
        <v>0</v>
      </c>
      <c r="G56" s="15">
        <v>1300</v>
      </c>
      <c r="H56" s="15">
        <v>1300</v>
      </c>
      <c r="I56" s="15">
        <v>1300</v>
      </c>
      <c r="J56" s="15">
        <v>1300</v>
      </c>
      <c r="K56" s="15">
        <v>1300</v>
      </c>
      <c r="L56" s="15">
        <v>1300</v>
      </c>
      <c r="M56" s="15">
        <v>0</v>
      </c>
      <c r="N56" s="15">
        <v>0</v>
      </c>
      <c r="O56" s="15">
        <v>1300</v>
      </c>
      <c r="P56" s="15">
        <v>1300</v>
      </c>
      <c r="Q56" s="15">
        <v>1300</v>
      </c>
      <c r="R56" s="51">
        <v>1300</v>
      </c>
      <c r="S56" s="70">
        <f t="shared" si="5"/>
        <v>15600</v>
      </c>
      <c r="T56" s="82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6">
        <v>0</v>
      </c>
      <c r="AD56" s="70">
        <f t="shared" si="6"/>
        <v>0</v>
      </c>
      <c r="AE56" s="70">
        <v>0</v>
      </c>
      <c r="AF56" s="70">
        <f t="shared" si="0"/>
        <v>0</v>
      </c>
      <c r="AG56" s="70">
        <f t="shared" si="1"/>
        <v>15600</v>
      </c>
    </row>
    <row r="57" spans="1:33">
      <c r="A57" s="1" t="s">
        <v>1</v>
      </c>
      <c r="B57" s="7" t="s">
        <v>107</v>
      </c>
      <c r="C57" s="14">
        <v>9900</v>
      </c>
      <c r="D57" s="15">
        <v>16100</v>
      </c>
      <c r="E57" s="15">
        <v>15700</v>
      </c>
      <c r="F57" s="15">
        <v>18800</v>
      </c>
      <c r="G57" s="15">
        <v>12100</v>
      </c>
      <c r="H57" s="15">
        <v>18500</v>
      </c>
      <c r="I57" s="15">
        <v>14500</v>
      </c>
      <c r="J57" s="15">
        <v>9300</v>
      </c>
      <c r="K57" s="15">
        <v>13400</v>
      </c>
      <c r="L57" s="15">
        <v>13900</v>
      </c>
      <c r="M57" s="15">
        <v>10400</v>
      </c>
      <c r="N57" s="15">
        <v>24600</v>
      </c>
      <c r="O57" s="15">
        <v>12200</v>
      </c>
      <c r="P57" s="15">
        <v>6700</v>
      </c>
      <c r="Q57" s="15">
        <v>0</v>
      </c>
      <c r="R57" s="51">
        <v>0</v>
      </c>
      <c r="S57" s="70">
        <f t="shared" si="5"/>
        <v>196100</v>
      </c>
      <c r="T57" s="82">
        <v>15200</v>
      </c>
      <c r="U57" s="15">
        <v>16300</v>
      </c>
      <c r="V57" s="15">
        <v>600</v>
      </c>
      <c r="W57" s="15">
        <v>500</v>
      </c>
      <c r="X57" s="15">
        <v>0</v>
      </c>
      <c r="Y57" s="15">
        <v>0</v>
      </c>
      <c r="Z57" s="15">
        <v>0</v>
      </c>
      <c r="AA57" s="15">
        <v>0</v>
      </c>
      <c r="AB57" s="15">
        <v>11600</v>
      </c>
      <c r="AC57" s="16">
        <v>0</v>
      </c>
      <c r="AD57" s="70">
        <f t="shared" si="6"/>
        <v>44200</v>
      </c>
      <c r="AE57" s="70">
        <v>17800</v>
      </c>
      <c r="AF57" s="70">
        <f t="shared" si="0"/>
        <v>17800</v>
      </c>
      <c r="AG57" s="70">
        <f t="shared" si="1"/>
        <v>258100</v>
      </c>
    </row>
    <row r="58" spans="1:33" ht="19.5" thickBot="1">
      <c r="A58" s="1" t="s">
        <v>1</v>
      </c>
      <c r="B58" s="7" t="s">
        <v>108</v>
      </c>
      <c r="C58" s="55">
        <v>0</v>
      </c>
      <c r="D58" s="56">
        <v>-73670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-73115</v>
      </c>
      <c r="O58" s="56">
        <v>0</v>
      </c>
      <c r="P58" s="56">
        <v>0</v>
      </c>
      <c r="Q58" s="56">
        <v>0</v>
      </c>
      <c r="R58" s="58">
        <v>0</v>
      </c>
      <c r="S58" s="71">
        <f t="shared" si="5"/>
        <v>-146785</v>
      </c>
      <c r="T58" s="83">
        <v>0</v>
      </c>
      <c r="U58" s="56">
        <v>0</v>
      </c>
      <c r="V58" s="56">
        <v>0</v>
      </c>
      <c r="W58" s="56">
        <v>0</v>
      </c>
      <c r="X58" s="56">
        <v>0</v>
      </c>
      <c r="Y58" s="56">
        <v>0</v>
      </c>
      <c r="Z58" s="56">
        <v>0</v>
      </c>
      <c r="AA58" s="56">
        <v>0</v>
      </c>
      <c r="AB58" s="56">
        <v>0</v>
      </c>
      <c r="AC58" s="57">
        <v>0</v>
      </c>
      <c r="AD58" s="71">
        <f t="shared" si="6"/>
        <v>0</v>
      </c>
      <c r="AE58" s="71">
        <v>0</v>
      </c>
      <c r="AF58" s="71">
        <f t="shared" si="0"/>
        <v>0</v>
      </c>
      <c r="AG58" s="71">
        <f t="shared" si="1"/>
        <v>-146785</v>
      </c>
    </row>
    <row r="59" spans="1:33" ht="19.5" thickBot="1">
      <c r="A59" s="1" t="s">
        <v>1</v>
      </c>
      <c r="B59" s="39" t="s">
        <v>109</v>
      </c>
      <c r="C59" s="40">
        <v>64691</v>
      </c>
      <c r="D59" s="41">
        <v>0</v>
      </c>
      <c r="E59" s="41">
        <v>82296</v>
      </c>
      <c r="F59" s="41">
        <v>95362</v>
      </c>
      <c r="G59" s="41">
        <v>77000</v>
      </c>
      <c r="H59" s="41">
        <v>96723</v>
      </c>
      <c r="I59" s="41">
        <v>73449</v>
      </c>
      <c r="J59" s="41">
        <v>62349</v>
      </c>
      <c r="K59" s="41">
        <v>71213</v>
      </c>
      <c r="L59" s="41">
        <v>76838</v>
      </c>
      <c r="M59" s="41">
        <v>67584</v>
      </c>
      <c r="N59" s="41">
        <v>0</v>
      </c>
      <c r="O59" s="41">
        <v>66837</v>
      </c>
      <c r="P59" s="41">
        <v>62469</v>
      </c>
      <c r="Q59" s="41">
        <v>51810</v>
      </c>
      <c r="R59" s="53">
        <v>47003</v>
      </c>
      <c r="S59" s="73">
        <f t="shared" si="5"/>
        <v>995624</v>
      </c>
      <c r="T59" s="85">
        <v>83637</v>
      </c>
      <c r="U59" s="41">
        <v>82638</v>
      </c>
      <c r="V59" s="41">
        <v>851</v>
      </c>
      <c r="W59" s="41">
        <v>752</v>
      </c>
      <c r="X59" s="41">
        <v>0</v>
      </c>
      <c r="Y59" s="41">
        <v>0</v>
      </c>
      <c r="Z59" s="41">
        <v>0</v>
      </c>
      <c r="AA59" s="41">
        <v>0</v>
      </c>
      <c r="AB59" s="41">
        <v>11818</v>
      </c>
      <c r="AC59" s="42">
        <v>0</v>
      </c>
      <c r="AD59" s="73">
        <f t="shared" si="6"/>
        <v>179696</v>
      </c>
      <c r="AE59" s="73">
        <v>86322</v>
      </c>
      <c r="AF59" s="73">
        <f t="shared" si="0"/>
        <v>86322</v>
      </c>
      <c r="AG59" s="73">
        <f t="shared" si="1"/>
        <v>1261642</v>
      </c>
    </row>
    <row r="60" spans="1:33" ht="19.5" thickBot="1">
      <c r="A60" s="1" t="s">
        <v>1</v>
      </c>
      <c r="B60" s="39" t="s">
        <v>110</v>
      </c>
      <c r="C60" s="40">
        <v>227809</v>
      </c>
      <c r="D60" s="41">
        <v>-57570</v>
      </c>
      <c r="E60" s="41">
        <v>297850</v>
      </c>
      <c r="F60" s="41">
        <v>358629</v>
      </c>
      <c r="G60" s="41">
        <v>253100</v>
      </c>
      <c r="H60" s="41">
        <v>362960</v>
      </c>
      <c r="I60" s="41">
        <v>294218</v>
      </c>
      <c r="J60" s="41">
        <v>262074</v>
      </c>
      <c r="K60" s="41">
        <v>264895</v>
      </c>
      <c r="L60" s="41">
        <v>307988</v>
      </c>
      <c r="M60" s="41">
        <v>281930</v>
      </c>
      <c r="N60" s="41">
        <v>-27252</v>
      </c>
      <c r="O60" s="41">
        <v>260979</v>
      </c>
      <c r="P60" s="41">
        <v>258761</v>
      </c>
      <c r="Q60" s="41">
        <v>187769</v>
      </c>
      <c r="R60" s="53">
        <v>281628</v>
      </c>
      <c r="S60" s="73">
        <f t="shared" si="5"/>
        <v>3815768</v>
      </c>
      <c r="T60" s="85">
        <v>316509</v>
      </c>
      <c r="U60" s="41">
        <v>321824</v>
      </c>
      <c r="V60" s="41">
        <v>80709</v>
      </c>
      <c r="W60" s="41">
        <v>81628</v>
      </c>
      <c r="X60" s="41">
        <v>75180</v>
      </c>
      <c r="Y60" s="41">
        <v>75180</v>
      </c>
      <c r="Z60" s="41">
        <v>82950</v>
      </c>
      <c r="AA60" s="41">
        <v>34650</v>
      </c>
      <c r="AB60" s="41">
        <v>65302</v>
      </c>
      <c r="AC60" s="42">
        <v>21840</v>
      </c>
      <c r="AD60" s="73">
        <f t="shared" si="6"/>
        <v>1155772</v>
      </c>
      <c r="AE60" s="73">
        <v>317402</v>
      </c>
      <c r="AF60" s="73">
        <f t="shared" si="0"/>
        <v>317402</v>
      </c>
      <c r="AG60" s="73">
        <f t="shared" si="1"/>
        <v>5288942</v>
      </c>
    </row>
    <row r="61" spans="1:33" ht="19.5" thickBot="1">
      <c r="A61" s="1" t="s">
        <v>1</v>
      </c>
      <c r="B61" s="39" t="s">
        <v>111</v>
      </c>
      <c r="C61" s="40">
        <v>225516</v>
      </c>
      <c r="D61" s="41">
        <v>0</v>
      </c>
      <c r="E61" s="41">
        <v>279846</v>
      </c>
      <c r="F61" s="41">
        <v>330182</v>
      </c>
      <c r="G61" s="41">
        <v>249654</v>
      </c>
      <c r="H61" s="41">
        <v>332458</v>
      </c>
      <c r="I61" s="41">
        <v>273002</v>
      </c>
      <c r="J61" s="41">
        <v>247357</v>
      </c>
      <c r="K61" s="41">
        <v>246377</v>
      </c>
      <c r="L61" s="41">
        <v>289186</v>
      </c>
      <c r="M61" s="41">
        <v>270364</v>
      </c>
      <c r="N61" s="41">
        <v>21629</v>
      </c>
      <c r="O61" s="41">
        <v>248680</v>
      </c>
      <c r="P61" s="41">
        <v>253709</v>
      </c>
      <c r="Q61" s="41">
        <v>191454</v>
      </c>
      <c r="R61" s="53">
        <v>277397</v>
      </c>
      <c r="S61" s="73">
        <f t="shared" si="5"/>
        <v>3736811</v>
      </c>
      <c r="T61" s="85">
        <v>295493</v>
      </c>
      <c r="U61" s="41">
        <v>303316</v>
      </c>
      <c r="V61" s="41">
        <v>82823</v>
      </c>
      <c r="W61" s="41">
        <v>83085</v>
      </c>
      <c r="X61" s="41">
        <v>78312</v>
      </c>
      <c r="Y61" s="41">
        <v>79094</v>
      </c>
      <c r="Z61" s="41">
        <v>87543</v>
      </c>
      <c r="AA61" s="41">
        <v>36346</v>
      </c>
      <c r="AB61" s="41">
        <v>61008</v>
      </c>
      <c r="AC61" s="42">
        <v>24189</v>
      </c>
      <c r="AD61" s="73">
        <f t="shared" si="6"/>
        <v>1131209</v>
      </c>
      <c r="AE61" s="73">
        <v>297604</v>
      </c>
      <c r="AF61" s="73">
        <f t="shared" si="0"/>
        <v>297604</v>
      </c>
      <c r="AG61" s="73">
        <f t="shared" si="1"/>
        <v>5165624</v>
      </c>
    </row>
    <row r="62" spans="1:33">
      <c r="A62" s="1" t="s">
        <v>1</v>
      </c>
      <c r="B62" s="21" t="s">
        <v>112</v>
      </c>
      <c r="C62" s="29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50">
        <v>0</v>
      </c>
      <c r="S62" s="69">
        <f t="shared" si="5"/>
        <v>0</v>
      </c>
      <c r="T62" s="81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1">
        <v>0</v>
      </c>
      <c r="AD62" s="69">
        <f t="shared" si="6"/>
        <v>0</v>
      </c>
      <c r="AE62" s="69">
        <v>0</v>
      </c>
      <c r="AF62" s="69">
        <f t="shared" si="0"/>
        <v>0</v>
      </c>
      <c r="AG62" s="69">
        <f t="shared" si="1"/>
        <v>0</v>
      </c>
    </row>
    <row r="63" spans="1:33">
      <c r="A63" s="1" t="s">
        <v>1</v>
      </c>
      <c r="B63" s="7" t="s">
        <v>113</v>
      </c>
      <c r="C63" s="14">
        <v>225516</v>
      </c>
      <c r="D63" s="15">
        <v>0</v>
      </c>
      <c r="E63" s="15">
        <v>279846</v>
      </c>
      <c r="F63" s="15">
        <v>330182</v>
      </c>
      <c r="G63" s="15">
        <v>249654</v>
      </c>
      <c r="H63" s="15">
        <v>332458</v>
      </c>
      <c r="I63" s="15">
        <v>273002</v>
      </c>
      <c r="J63" s="15">
        <v>247357</v>
      </c>
      <c r="K63" s="15">
        <v>246377</v>
      </c>
      <c r="L63" s="15">
        <v>289186</v>
      </c>
      <c r="M63" s="15">
        <v>270364</v>
      </c>
      <c r="N63" s="15">
        <v>21629</v>
      </c>
      <c r="O63" s="15">
        <v>248680</v>
      </c>
      <c r="P63" s="15">
        <v>253709</v>
      </c>
      <c r="Q63" s="15">
        <v>191454</v>
      </c>
      <c r="R63" s="51">
        <v>277397</v>
      </c>
      <c r="S63" s="70">
        <f t="shared" si="5"/>
        <v>3736811</v>
      </c>
      <c r="T63" s="82">
        <v>295493</v>
      </c>
      <c r="U63" s="15">
        <v>303316</v>
      </c>
      <c r="V63" s="15">
        <v>82823</v>
      </c>
      <c r="W63" s="15">
        <v>83085</v>
      </c>
      <c r="X63" s="15">
        <v>78312</v>
      </c>
      <c r="Y63" s="15">
        <v>79094</v>
      </c>
      <c r="Z63" s="15">
        <v>87543</v>
      </c>
      <c r="AA63" s="15">
        <v>36346</v>
      </c>
      <c r="AB63" s="15">
        <v>61008</v>
      </c>
      <c r="AC63" s="16">
        <v>24189</v>
      </c>
      <c r="AD63" s="70">
        <f t="shared" si="6"/>
        <v>1131209</v>
      </c>
      <c r="AE63" s="70">
        <v>297604</v>
      </c>
      <c r="AF63" s="70">
        <f t="shared" si="0"/>
        <v>297604</v>
      </c>
      <c r="AG63" s="70">
        <f t="shared" si="1"/>
        <v>5165624</v>
      </c>
    </row>
    <row r="64" spans="1:33">
      <c r="A64" s="1" t="s">
        <v>1</v>
      </c>
      <c r="B64" s="7" t="s">
        <v>114</v>
      </c>
      <c r="C64" s="14">
        <v>1</v>
      </c>
      <c r="D64" s="15">
        <v>0</v>
      </c>
      <c r="E64" s="15">
        <v>1</v>
      </c>
      <c r="F64" s="15">
        <v>0</v>
      </c>
      <c r="G64" s="15">
        <v>1</v>
      </c>
      <c r="H64" s="15">
        <v>0</v>
      </c>
      <c r="I64" s="15">
        <v>0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3</v>
      </c>
      <c r="Q64" s="15">
        <v>0</v>
      </c>
      <c r="R64" s="51">
        <v>0</v>
      </c>
      <c r="S64" s="70"/>
      <c r="T64" s="82">
        <v>0</v>
      </c>
      <c r="U64" s="15">
        <v>1</v>
      </c>
      <c r="V64" s="15">
        <v>0</v>
      </c>
      <c r="W64" s="15">
        <v>0</v>
      </c>
      <c r="X64" s="15">
        <v>1</v>
      </c>
      <c r="Y64" s="15">
        <v>1</v>
      </c>
      <c r="Z64" s="15">
        <v>1</v>
      </c>
      <c r="AA64" s="15">
        <v>1</v>
      </c>
      <c r="AB64" s="15">
        <v>1</v>
      </c>
      <c r="AC64" s="16">
        <v>0</v>
      </c>
      <c r="AD64" s="70"/>
      <c r="AE64" s="70">
        <v>0</v>
      </c>
      <c r="AF64" s="70"/>
      <c r="AG64" s="70"/>
    </row>
    <row r="65" spans="1:33" ht="19.5" thickBot="1">
      <c r="A65" s="1" t="s">
        <v>1</v>
      </c>
      <c r="B65" s="17" t="s">
        <v>115</v>
      </c>
      <c r="C65" s="18" t="s">
        <v>116</v>
      </c>
      <c r="D65" s="19" t="s">
        <v>116</v>
      </c>
      <c r="E65" s="19" t="s">
        <v>116</v>
      </c>
      <c r="F65" s="19" t="s">
        <v>116</v>
      </c>
      <c r="G65" s="19" t="s">
        <v>116</v>
      </c>
      <c r="H65" s="19" t="s">
        <v>116</v>
      </c>
      <c r="I65" s="19" t="s">
        <v>116</v>
      </c>
      <c r="J65" s="19" t="s">
        <v>116</v>
      </c>
      <c r="K65" s="19" t="s">
        <v>116</v>
      </c>
      <c r="L65" s="19" t="s">
        <v>116</v>
      </c>
      <c r="M65" s="19" t="s">
        <v>116</v>
      </c>
      <c r="N65" s="19" t="s">
        <v>116</v>
      </c>
      <c r="O65" s="19" t="s">
        <v>116</v>
      </c>
      <c r="P65" s="19" t="s">
        <v>116</v>
      </c>
      <c r="Q65" s="19" t="s">
        <v>116</v>
      </c>
      <c r="R65" s="54" t="s">
        <v>116</v>
      </c>
      <c r="S65" s="74"/>
      <c r="T65" s="86" t="s">
        <v>116</v>
      </c>
      <c r="U65" s="19" t="s">
        <v>116</v>
      </c>
      <c r="V65" s="19" t="s">
        <v>116</v>
      </c>
      <c r="W65" s="19" t="s">
        <v>116</v>
      </c>
      <c r="X65" s="19" t="s">
        <v>116</v>
      </c>
      <c r="Y65" s="19" t="s">
        <v>116</v>
      </c>
      <c r="Z65" s="19" t="s">
        <v>116</v>
      </c>
      <c r="AA65" s="19" t="s">
        <v>116</v>
      </c>
      <c r="AB65" s="19" t="s">
        <v>116</v>
      </c>
      <c r="AC65" s="20" t="s">
        <v>116</v>
      </c>
      <c r="AD65" s="74"/>
      <c r="AE65" s="74" t="s">
        <v>116</v>
      </c>
      <c r="AF65" s="74"/>
      <c r="AG65" s="74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088F-E52F-41F4-9CD5-BD5E0FC88AE1}">
  <sheetPr>
    <pageSetUpPr fitToPage="1"/>
  </sheetPr>
  <dimension ref="A1:P65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16" width="11.375" style="2" customWidth="1"/>
    <col min="17" max="240" width="9" style="2"/>
    <col min="241" max="241" width="2.375" style="2" customWidth="1"/>
    <col min="242" max="242" width="13.25" style="2" bestFit="1" customWidth="1"/>
    <col min="243" max="244" width="11.125" style="2" bestFit="1" customWidth="1"/>
    <col min="245" max="245" width="13.25" style="2" bestFit="1" customWidth="1"/>
    <col min="246" max="246" width="11.125" style="2" bestFit="1" customWidth="1"/>
    <col min="247" max="247" width="9" style="2"/>
    <col min="248" max="248" width="11.125" style="2" bestFit="1" customWidth="1"/>
    <col min="249" max="249" width="9" style="2"/>
    <col min="250" max="260" width="11.125" style="2" bestFit="1" customWidth="1"/>
    <col min="261" max="261" width="9" style="2"/>
    <col min="262" max="269" width="11.125" style="2" bestFit="1" customWidth="1"/>
    <col min="270" max="270" width="9.625" style="2" bestFit="1" customWidth="1"/>
    <col min="271" max="496" width="9" style="2"/>
    <col min="497" max="497" width="2.375" style="2" customWidth="1"/>
    <col min="498" max="498" width="13.25" style="2" bestFit="1" customWidth="1"/>
    <col min="499" max="500" width="11.125" style="2" bestFit="1" customWidth="1"/>
    <col min="501" max="501" width="13.25" style="2" bestFit="1" customWidth="1"/>
    <col min="502" max="502" width="11.125" style="2" bestFit="1" customWidth="1"/>
    <col min="503" max="503" width="9" style="2"/>
    <col min="504" max="504" width="11.125" style="2" bestFit="1" customWidth="1"/>
    <col min="505" max="505" width="9" style="2"/>
    <col min="506" max="516" width="11.125" style="2" bestFit="1" customWidth="1"/>
    <col min="517" max="517" width="9" style="2"/>
    <col min="518" max="525" width="11.125" style="2" bestFit="1" customWidth="1"/>
    <col min="526" max="526" width="9.625" style="2" bestFit="1" customWidth="1"/>
    <col min="527" max="752" width="9" style="2"/>
    <col min="753" max="753" width="2.375" style="2" customWidth="1"/>
    <col min="754" max="754" width="13.25" style="2" bestFit="1" customWidth="1"/>
    <col min="755" max="756" width="11.125" style="2" bestFit="1" customWidth="1"/>
    <col min="757" max="757" width="13.25" style="2" bestFit="1" customWidth="1"/>
    <col min="758" max="758" width="11.125" style="2" bestFit="1" customWidth="1"/>
    <col min="759" max="759" width="9" style="2"/>
    <col min="760" max="760" width="11.125" style="2" bestFit="1" customWidth="1"/>
    <col min="761" max="761" width="9" style="2"/>
    <col min="762" max="772" width="11.125" style="2" bestFit="1" customWidth="1"/>
    <col min="773" max="773" width="9" style="2"/>
    <col min="774" max="781" width="11.125" style="2" bestFit="1" customWidth="1"/>
    <col min="782" max="782" width="9.625" style="2" bestFit="1" customWidth="1"/>
    <col min="783" max="1008" width="9" style="2"/>
    <col min="1009" max="1009" width="2.375" style="2" customWidth="1"/>
    <col min="1010" max="1010" width="13.25" style="2" bestFit="1" customWidth="1"/>
    <col min="1011" max="1012" width="11.125" style="2" bestFit="1" customWidth="1"/>
    <col min="1013" max="1013" width="13.25" style="2" bestFit="1" customWidth="1"/>
    <col min="1014" max="1014" width="11.125" style="2" bestFit="1" customWidth="1"/>
    <col min="1015" max="1015" width="9" style="2"/>
    <col min="1016" max="1016" width="11.125" style="2" bestFit="1" customWidth="1"/>
    <col min="1017" max="1017" width="9" style="2"/>
    <col min="1018" max="1028" width="11.125" style="2" bestFit="1" customWidth="1"/>
    <col min="1029" max="1029" width="9" style="2"/>
    <col min="1030" max="1037" width="11.125" style="2" bestFit="1" customWidth="1"/>
    <col min="1038" max="1038" width="9.625" style="2" bestFit="1" customWidth="1"/>
    <col min="1039" max="1264" width="9" style="2"/>
    <col min="1265" max="1265" width="2.375" style="2" customWidth="1"/>
    <col min="1266" max="1266" width="13.25" style="2" bestFit="1" customWidth="1"/>
    <col min="1267" max="1268" width="11.125" style="2" bestFit="1" customWidth="1"/>
    <col min="1269" max="1269" width="13.25" style="2" bestFit="1" customWidth="1"/>
    <col min="1270" max="1270" width="11.125" style="2" bestFit="1" customWidth="1"/>
    <col min="1271" max="1271" width="9" style="2"/>
    <col min="1272" max="1272" width="11.125" style="2" bestFit="1" customWidth="1"/>
    <col min="1273" max="1273" width="9" style="2"/>
    <col min="1274" max="1284" width="11.125" style="2" bestFit="1" customWidth="1"/>
    <col min="1285" max="1285" width="9" style="2"/>
    <col min="1286" max="1293" width="11.125" style="2" bestFit="1" customWidth="1"/>
    <col min="1294" max="1294" width="9.625" style="2" bestFit="1" customWidth="1"/>
    <col min="1295" max="1520" width="9" style="2"/>
    <col min="1521" max="1521" width="2.375" style="2" customWidth="1"/>
    <col min="1522" max="1522" width="13.25" style="2" bestFit="1" customWidth="1"/>
    <col min="1523" max="1524" width="11.125" style="2" bestFit="1" customWidth="1"/>
    <col min="1525" max="1525" width="13.25" style="2" bestFit="1" customWidth="1"/>
    <col min="1526" max="1526" width="11.125" style="2" bestFit="1" customWidth="1"/>
    <col min="1527" max="1527" width="9" style="2"/>
    <col min="1528" max="1528" width="11.125" style="2" bestFit="1" customWidth="1"/>
    <col min="1529" max="1529" width="9" style="2"/>
    <col min="1530" max="1540" width="11.125" style="2" bestFit="1" customWidth="1"/>
    <col min="1541" max="1541" width="9" style="2"/>
    <col min="1542" max="1549" width="11.125" style="2" bestFit="1" customWidth="1"/>
    <col min="1550" max="1550" width="9.625" style="2" bestFit="1" customWidth="1"/>
    <col min="1551" max="1776" width="9" style="2"/>
    <col min="1777" max="1777" width="2.375" style="2" customWidth="1"/>
    <col min="1778" max="1778" width="13.25" style="2" bestFit="1" customWidth="1"/>
    <col min="1779" max="1780" width="11.125" style="2" bestFit="1" customWidth="1"/>
    <col min="1781" max="1781" width="13.25" style="2" bestFit="1" customWidth="1"/>
    <col min="1782" max="1782" width="11.125" style="2" bestFit="1" customWidth="1"/>
    <col min="1783" max="1783" width="9" style="2"/>
    <col min="1784" max="1784" width="11.125" style="2" bestFit="1" customWidth="1"/>
    <col min="1785" max="1785" width="9" style="2"/>
    <col min="1786" max="1796" width="11.125" style="2" bestFit="1" customWidth="1"/>
    <col min="1797" max="1797" width="9" style="2"/>
    <col min="1798" max="1805" width="11.125" style="2" bestFit="1" customWidth="1"/>
    <col min="1806" max="1806" width="9.625" style="2" bestFit="1" customWidth="1"/>
    <col min="1807" max="2032" width="9" style="2"/>
    <col min="2033" max="2033" width="2.375" style="2" customWidth="1"/>
    <col min="2034" max="2034" width="13.25" style="2" bestFit="1" customWidth="1"/>
    <col min="2035" max="2036" width="11.125" style="2" bestFit="1" customWidth="1"/>
    <col min="2037" max="2037" width="13.25" style="2" bestFit="1" customWidth="1"/>
    <col min="2038" max="2038" width="11.125" style="2" bestFit="1" customWidth="1"/>
    <col min="2039" max="2039" width="9" style="2"/>
    <col min="2040" max="2040" width="11.125" style="2" bestFit="1" customWidth="1"/>
    <col min="2041" max="2041" width="9" style="2"/>
    <col min="2042" max="2052" width="11.125" style="2" bestFit="1" customWidth="1"/>
    <col min="2053" max="2053" width="9" style="2"/>
    <col min="2054" max="2061" width="11.125" style="2" bestFit="1" customWidth="1"/>
    <col min="2062" max="2062" width="9.625" style="2" bestFit="1" customWidth="1"/>
    <col min="2063" max="2288" width="9" style="2"/>
    <col min="2289" max="2289" width="2.375" style="2" customWidth="1"/>
    <col min="2290" max="2290" width="13.25" style="2" bestFit="1" customWidth="1"/>
    <col min="2291" max="2292" width="11.125" style="2" bestFit="1" customWidth="1"/>
    <col min="2293" max="2293" width="13.25" style="2" bestFit="1" customWidth="1"/>
    <col min="2294" max="2294" width="11.125" style="2" bestFit="1" customWidth="1"/>
    <col min="2295" max="2295" width="9" style="2"/>
    <col min="2296" max="2296" width="11.125" style="2" bestFit="1" customWidth="1"/>
    <col min="2297" max="2297" width="9" style="2"/>
    <col min="2298" max="2308" width="11.125" style="2" bestFit="1" customWidth="1"/>
    <col min="2309" max="2309" width="9" style="2"/>
    <col min="2310" max="2317" width="11.125" style="2" bestFit="1" customWidth="1"/>
    <col min="2318" max="2318" width="9.625" style="2" bestFit="1" customWidth="1"/>
    <col min="2319" max="2544" width="9" style="2"/>
    <col min="2545" max="2545" width="2.375" style="2" customWidth="1"/>
    <col min="2546" max="2546" width="13.25" style="2" bestFit="1" customWidth="1"/>
    <col min="2547" max="2548" width="11.125" style="2" bestFit="1" customWidth="1"/>
    <col min="2549" max="2549" width="13.25" style="2" bestFit="1" customWidth="1"/>
    <col min="2550" max="2550" width="11.125" style="2" bestFit="1" customWidth="1"/>
    <col min="2551" max="2551" width="9" style="2"/>
    <col min="2552" max="2552" width="11.125" style="2" bestFit="1" customWidth="1"/>
    <col min="2553" max="2553" width="9" style="2"/>
    <col min="2554" max="2564" width="11.125" style="2" bestFit="1" customWidth="1"/>
    <col min="2565" max="2565" width="9" style="2"/>
    <col min="2566" max="2573" width="11.125" style="2" bestFit="1" customWidth="1"/>
    <col min="2574" max="2574" width="9.625" style="2" bestFit="1" customWidth="1"/>
    <col min="2575" max="2800" width="9" style="2"/>
    <col min="2801" max="2801" width="2.375" style="2" customWidth="1"/>
    <col min="2802" max="2802" width="13.25" style="2" bestFit="1" customWidth="1"/>
    <col min="2803" max="2804" width="11.125" style="2" bestFit="1" customWidth="1"/>
    <col min="2805" max="2805" width="13.25" style="2" bestFit="1" customWidth="1"/>
    <col min="2806" max="2806" width="11.125" style="2" bestFit="1" customWidth="1"/>
    <col min="2807" max="2807" width="9" style="2"/>
    <col min="2808" max="2808" width="11.125" style="2" bestFit="1" customWidth="1"/>
    <col min="2809" max="2809" width="9" style="2"/>
    <col min="2810" max="2820" width="11.125" style="2" bestFit="1" customWidth="1"/>
    <col min="2821" max="2821" width="9" style="2"/>
    <col min="2822" max="2829" width="11.125" style="2" bestFit="1" customWidth="1"/>
    <col min="2830" max="2830" width="9.625" style="2" bestFit="1" customWidth="1"/>
    <col min="2831" max="3056" width="9" style="2"/>
    <col min="3057" max="3057" width="2.375" style="2" customWidth="1"/>
    <col min="3058" max="3058" width="13.25" style="2" bestFit="1" customWidth="1"/>
    <col min="3059" max="3060" width="11.125" style="2" bestFit="1" customWidth="1"/>
    <col min="3061" max="3061" width="13.25" style="2" bestFit="1" customWidth="1"/>
    <col min="3062" max="3062" width="11.125" style="2" bestFit="1" customWidth="1"/>
    <col min="3063" max="3063" width="9" style="2"/>
    <col min="3064" max="3064" width="11.125" style="2" bestFit="1" customWidth="1"/>
    <col min="3065" max="3065" width="9" style="2"/>
    <col min="3066" max="3076" width="11.125" style="2" bestFit="1" customWidth="1"/>
    <col min="3077" max="3077" width="9" style="2"/>
    <col min="3078" max="3085" width="11.125" style="2" bestFit="1" customWidth="1"/>
    <col min="3086" max="3086" width="9.625" style="2" bestFit="1" customWidth="1"/>
    <col min="3087" max="3312" width="9" style="2"/>
    <col min="3313" max="3313" width="2.375" style="2" customWidth="1"/>
    <col min="3314" max="3314" width="13.25" style="2" bestFit="1" customWidth="1"/>
    <col min="3315" max="3316" width="11.125" style="2" bestFit="1" customWidth="1"/>
    <col min="3317" max="3317" width="13.25" style="2" bestFit="1" customWidth="1"/>
    <col min="3318" max="3318" width="11.125" style="2" bestFit="1" customWidth="1"/>
    <col min="3319" max="3319" width="9" style="2"/>
    <col min="3320" max="3320" width="11.125" style="2" bestFit="1" customWidth="1"/>
    <col min="3321" max="3321" width="9" style="2"/>
    <col min="3322" max="3332" width="11.125" style="2" bestFit="1" customWidth="1"/>
    <col min="3333" max="3333" width="9" style="2"/>
    <col min="3334" max="3341" width="11.125" style="2" bestFit="1" customWidth="1"/>
    <col min="3342" max="3342" width="9.625" style="2" bestFit="1" customWidth="1"/>
    <col min="3343" max="3568" width="9" style="2"/>
    <col min="3569" max="3569" width="2.375" style="2" customWidth="1"/>
    <col min="3570" max="3570" width="13.25" style="2" bestFit="1" customWidth="1"/>
    <col min="3571" max="3572" width="11.125" style="2" bestFit="1" customWidth="1"/>
    <col min="3573" max="3573" width="13.25" style="2" bestFit="1" customWidth="1"/>
    <col min="3574" max="3574" width="11.125" style="2" bestFit="1" customWidth="1"/>
    <col min="3575" max="3575" width="9" style="2"/>
    <col min="3576" max="3576" width="11.125" style="2" bestFit="1" customWidth="1"/>
    <col min="3577" max="3577" width="9" style="2"/>
    <col min="3578" max="3588" width="11.125" style="2" bestFit="1" customWidth="1"/>
    <col min="3589" max="3589" width="9" style="2"/>
    <col min="3590" max="3597" width="11.125" style="2" bestFit="1" customWidth="1"/>
    <col min="3598" max="3598" width="9.625" style="2" bestFit="1" customWidth="1"/>
    <col min="3599" max="3824" width="9" style="2"/>
    <col min="3825" max="3825" width="2.375" style="2" customWidth="1"/>
    <col min="3826" max="3826" width="13.25" style="2" bestFit="1" customWidth="1"/>
    <col min="3827" max="3828" width="11.125" style="2" bestFit="1" customWidth="1"/>
    <col min="3829" max="3829" width="13.25" style="2" bestFit="1" customWidth="1"/>
    <col min="3830" max="3830" width="11.125" style="2" bestFit="1" customWidth="1"/>
    <col min="3831" max="3831" width="9" style="2"/>
    <col min="3832" max="3832" width="11.125" style="2" bestFit="1" customWidth="1"/>
    <col min="3833" max="3833" width="9" style="2"/>
    <col min="3834" max="3844" width="11.125" style="2" bestFit="1" customWidth="1"/>
    <col min="3845" max="3845" width="9" style="2"/>
    <col min="3846" max="3853" width="11.125" style="2" bestFit="1" customWidth="1"/>
    <col min="3854" max="3854" width="9.625" style="2" bestFit="1" customWidth="1"/>
    <col min="3855" max="4080" width="9" style="2"/>
    <col min="4081" max="4081" width="2.375" style="2" customWidth="1"/>
    <col min="4082" max="4082" width="13.25" style="2" bestFit="1" customWidth="1"/>
    <col min="4083" max="4084" width="11.125" style="2" bestFit="1" customWidth="1"/>
    <col min="4085" max="4085" width="13.25" style="2" bestFit="1" customWidth="1"/>
    <col min="4086" max="4086" width="11.125" style="2" bestFit="1" customWidth="1"/>
    <col min="4087" max="4087" width="9" style="2"/>
    <col min="4088" max="4088" width="11.125" style="2" bestFit="1" customWidth="1"/>
    <col min="4089" max="4089" width="9" style="2"/>
    <col min="4090" max="4100" width="11.125" style="2" bestFit="1" customWidth="1"/>
    <col min="4101" max="4101" width="9" style="2"/>
    <col min="4102" max="4109" width="11.125" style="2" bestFit="1" customWidth="1"/>
    <col min="4110" max="4110" width="9.625" style="2" bestFit="1" customWidth="1"/>
    <col min="4111" max="4336" width="9" style="2"/>
    <col min="4337" max="4337" width="2.375" style="2" customWidth="1"/>
    <col min="4338" max="4338" width="13.25" style="2" bestFit="1" customWidth="1"/>
    <col min="4339" max="4340" width="11.125" style="2" bestFit="1" customWidth="1"/>
    <col min="4341" max="4341" width="13.25" style="2" bestFit="1" customWidth="1"/>
    <col min="4342" max="4342" width="11.125" style="2" bestFit="1" customWidth="1"/>
    <col min="4343" max="4343" width="9" style="2"/>
    <col min="4344" max="4344" width="11.125" style="2" bestFit="1" customWidth="1"/>
    <col min="4345" max="4345" width="9" style="2"/>
    <col min="4346" max="4356" width="11.125" style="2" bestFit="1" customWidth="1"/>
    <col min="4357" max="4357" width="9" style="2"/>
    <col min="4358" max="4365" width="11.125" style="2" bestFit="1" customWidth="1"/>
    <col min="4366" max="4366" width="9.625" style="2" bestFit="1" customWidth="1"/>
    <col min="4367" max="4592" width="9" style="2"/>
    <col min="4593" max="4593" width="2.375" style="2" customWidth="1"/>
    <col min="4594" max="4594" width="13.25" style="2" bestFit="1" customWidth="1"/>
    <col min="4595" max="4596" width="11.125" style="2" bestFit="1" customWidth="1"/>
    <col min="4597" max="4597" width="13.25" style="2" bestFit="1" customWidth="1"/>
    <col min="4598" max="4598" width="11.125" style="2" bestFit="1" customWidth="1"/>
    <col min="4599" max="4599" width="9" style="2"/>
    <col min="4600" max="4600" width="11.125" style="2" bestFit="1" customWidth="1"/>
    <col min="4601" max="4601" width="9" style="2"/>
    <col min="4602" max="4612" width="11.125" style="2" bestFit="1" customWidth="1"/>
    <col min="4613" max="4613" width="9" style="2"/>
    <col min="4614" max="4621" width="11.125" style="2" bestFit="1" customWidth="1"/>
    <col min="4622" max="4622" width="9.625" style="2" bestFit="1" customWidth="1"/>
    <col min="4623" max="4848" width="9" style="2"/>
    <col min="4849" max="4849" width="2.375" style="2" customWidth="1"/>
    <col min="4850" max="4850" width="13.25" style="2" bestFit="1" customWidth="1"/>
    <col min="4851" max="4852" width="11.125" style="2" bestFit="1" customWidth="1"/>
    <col min="4853" max="4853" width="13.25" style="2" bestFit="1" customWidth="1"/>
    <col min="4854" max="4854" width="11.125" style="2" bestFit="1" customWidth="1"/>
    <col min="4855" max="4855" width="9" style="2"/>
    <col min="4856" max="4856" width="11.125" style="2" bestFit="1" customWidth="1"/>
    <col min="4857" max="4857" width="9" style="2"/>
    <col min="4858" max="4868" width="11.125" style="2" bestFit="1" customWidth="1"/>
    <col min="4869" max="4869" width="9" style="2"/>
    <col min="4870" max="4877" width="11.125" style="2" bestFit="1" customWidth="1"/>
    <col min="4878" max="4878" width="9.625" style="2" bestFit="1" customWidth="1"/>
    <col min="4879" max="5104" width="9" style="2"/>
    <col min="5105" max="5105" width="2.375" style="2" customWidth="1"/>
    <col min="5106" max="5106" width="13.25" style="2" bestFit="1" customWidth="1"/>
    <col min="5107" max="5108" width="11.125" style="2" bestFit="1" customWidth="1"/>
    <col min="5109" max="5109" width="13.25" style="2" bestFit="1" customWidth="1"/>
    <col min="5110" max="5110" width="11.125" style="2" bestFit="1" customWidth="1"/>
    <col min="5111" max="5111" width="9" style="2"/>
    <col min="5112" max="5112" width="11.125" style="2" bestFit="1" customWidth="1"/>
    <col min="5113" max="5113" width="9" style="2"/>
    <col min="5114" max="5124" width="11.125" style="2" bestFit="1" customWidth="1"/>
    <col min="5125" max="5125" width="9" style="2"/>
    <col min="5126" max="5133" width="11.125" style="2" bestFit="1" customWidth="1"/>
    <col min="5134" max="5134" width="9.625" style="2" bestFit="1" customWidth="1"/>
    <col min="5135" max="5360" width="9" style="2"/>
    <col min="5361" max="5361" width="2.375" style="2" customWidth="1"/>
    <col min="5362" max="5362" width="13.25" style="2" bestFit="1" customWidth="1"/>
    <col min="5363" max="5364" width="11.125" style="2" bestFit="1" customWidth="1"/>
    <col min="5365" max="5365" width="13.25" style="2" bestFit="1" customWidth="1"/>
    <col min="5366" max="5366" width="11.125" style="2" bestFit="1" customWidth="1"/>
    <col min="5367" max="5367" width="9" style="2"/>
    <col min="5368" max="5368" width="11.125" style="2" bestFit="1" customWidth="1"/>
    <col min="5369" max="5369" width="9" style="2"/>
    <col min="5370" max="5380" width="11.125" style="2" bestFit="1" customWidth="1"/>
    <col min="5381" max="5381" width="9" style="2"/>
    <col min="5382" max="5389" width="11.125" style="2" bestFit="1" customWidth="1"/>
    <col min="5390" max="5390" width="9.625" style="2" bestFit="1" customWidth="1"/>
    <col min="5391" max="5616" width="9" style="2"/>
    <col min="5617" max="5617" width="2.375" style="2" customWidth="1"/>
    <col min="5618" max="5618" width="13.25" style="2" bestFit="1" customWidth="1"/>
    <col min="5619" max="5620" width="11.125" style="2" bestFit="1" customWidth="1"/>
    <col min="5621" max="5621" width="13.25" style="2" bestFit="1" customWidth="1"/>
    <col min="5622" max="5622" width="11.125" style="2" bestFit="1" customWidth="1"/>
    <col min="5623" max="5623" width="9" style="2"/>
    <col min="5624" max="5624" width="11.125" style="2" bestFit="1" customWidth="1"/>
    <col min="5625" max="5625" width="9" style="2"/>
    <col min="5626" max="5636" width="11.125" style="2" bestFit="1" customWidth="1"/>
    <col min="5637" max="5637" width="9" style="2"/>
    <col min="5638" max="5645" width="11.125" style="2" bestFit="1" customWidth="1"/>
    <col min="5646" max="5646" width="9.625" style="2" bestFit="1" customWidth="1"/>
    <col min="5647" max="5872" width="9" style="2"/>
    <col min="5873" max="5873" width="2.375" style="2" customWidth="1"/>
    <col min="5874" max="5874" width="13.25" style="2" bestFit="1" customWidth="1"/>
    <col min="5875" max="5876" width="11.125" style="2" bestFit="1" customWidth="1"/>
    <col min="5877" max="5877" width="13.25" style="2" bestFit="1" customWidth="1"/>
    <col min="5878" max="5878" width="11.125" style="2" bestFit="1" customWidth="1"/>
    <col min="5879" max="5879" width="9" style="2"/>
    <col min="5880" max="5880" width="11.125" style="2" bestFit="1" customWidth="1"/>
    <col min="5881" max="5881" width="9" style="2"/>
    <col min="5882" max="5892" width="11.125" style="2" bestFit="1" customWidth="1"/>
    <col min="5893" max="5893" width="9" style="2"/>
    <col min="5894" max="5901" width="11.125" style="2" bestFit="1" customWidth="1"/>
    <col min="5902" max="5902" width="9.625" style="2" bestFit="1" customWidth="1"/>
    <col min="5903" max="6128" width="9" style="2"/>
    <col min="6129" max="6129" width="2.375" style="2" customWidth="1"/>
    <col min="6130" max="6130" width="13.25" style="2" bestFit="1" customWidth="1"/>
    <col min="6131" max="6132" width="11.125" style="2" bestFit="1" customWidth="1"/>
    <col min="6133" max="6133" width="13.25" style="2" bestFit="1" customWidth="1"/>
    <col min="6134" max="6134" width="11.125" style="2" bestFit="1" customWidth="1"/>
    <col min="6135" max="6135" width="9" style="2"/>
    <col min="6136" max="6136" width="11.125" style="2" bestFit="1" customWidth="1"/>
    <col min="6137" max="6137" width="9" style="2"/>
    <col min="6138" max="6148" width="11.125" style="2" bestFit="1" customWidth="1"/>
    <col min="6149" max="6149" width="9" style="2"/>
    <col min="6150" max="6157" width="11.125" style="2" bestFit="1" customWidth="1"/>
    <col min="6158" max="6158" width="9.625" style="2" bestFit="1" customWidth="1"/>
    <col min="6159" max="6384" width="9" style="2"/>
    <col min="6385" max="6385" width="2.375" style="2" customWidth="1"/>
    <col min="6386" max="6386" width="13.25" style="2" bestFit="1" customWidth="1"/>
    <col min="6387" max="6388" width="11.125" style="2" bestFit="1" customWidth="1"/>
    <col min="6389" max="6389" width="13.25" style="2" bestFit="1" customWidth="1"/>
    <col min="6390" max="6390" width="11.125" style="2" bestFit="1" customWidth="1"/>
    <col min="6391" max="6391" width="9" style="2"/>
    <col min="6392" max="6392" width="11.125" style="2" bestFit="1" customWidth="1"/>
    <col min="6393" max="6393" width="9" style="2"/>
    <col min="6394" max="6404" width="11.125" style="2" bestFit="1" customWidth="1"/>
    <col min="6405" max="6405" width="9" style="2"/>
    <col min="6406" max="6413" width="11.125" style="2" bestFit="1" customWidth="1"/>
    <col min="6414" max="6414" width="9.625" style="2" bestFit="1" customWidth="1"/>
    <col min="6415" max="6640" width="9" style="2"/>
    <col min="6641" max="6641" width="2.375" style="2" customWidth="1"/>
    <col min="6642" max="6642" width="13.25" style="2" bestFit="1" customWidth="1"/>
    <col min="6643" max="6644" width="11.125" style="2" bestFit="1" customWidth="1"/>
    <col min="6645" max="6645" width="13.25" style="2" bestFit="1" customWidth="1"/>
    <col min="6646" max="6646" width="11.125" style="2" bestFit="1" customWidth="1"/>
    <col min="6647" max="6647" width="9" style="2"/>
    <col min="6648" max="6648" width="11.125" style="2" bestFit="1" customWidth="1"/>
    <col min="6649" max="6649" width="9" style="2"/>
    <col min="6650" max="6660" width="11.125" style="2" bestFit="1" customWidth="1"/>
    <col min="6661" max="6661" width="9" style="2"/>
    <col min="6662" max="6669" width="11.125" style="2" bestFit="1" customWidth="1"/>
    <col min="6670" max="6670" width="9.625" style="2" bestFit="1" customWidth="1"/>
    <col min="6671" max="6896" width="9" style="2"/>
    <col min="6897" max="6897" width="2.375" style="2" customWidth="1"/>
    <col min="6898" max="6898" width="13.25" style="2" bestFit="1" customWidth="1"/>
    <col min="6899" max="6900" width="11.125" style="2" bestFit="1" customWidth="1"/>
    <col min="6901" max="6901" width="13.25" style="2" bestFit="1" customWidth="1"/>
    <col min="6902" max="6902" width="11.125" style="2" bestFit="1" customWidth="1"/>
    <col min="6903" max="6903" width="9" style="2"/>
    <col min="6904" max="6904" width="11.125" style="2" bestFit="1" customWidth="1"/>
    <col min="6905" max="6905" width="9" style="2"/>
    <col min="6906" max="6916" width="11.125" style="2" bestFit="1" customWidth="1"/>
    <col min="6917" max="6917" width="9" style="2"/>
    <col min="6918" max="6925" width="11.125" style="2" bestFit="1" customWidth="1"/>
    <col min="6926" max="6926" width="9.625" style="2" bestFit="1" customWidth="1"/>
    <col min="6927" max="7152" width="9" style="2"/>
    <col min="7153" max="7153" width="2.375" style="2" customWidth="1"/>
    <col min="7154" max="7154" width="13.25" style="2" bestFit="1" customWidth="1"/>
    <col min="7155" max="7156" width="11.125" style="2" bestFit="1" customWidth="1"/>
    <col min="7157" max="7157" width="13.25" style="2" bestFit="1" customWidth="1"/>
    <col min="7158" max="7158" width="11.125" style="2" bestFit="1" customWidth="1"/>
    <col min="7159" max="7159" width="9" style="2"/>
    <col min="7160" max="7160" width="11.125" style="2" bestFit="1" customWidth="1"/>
    <col min="7161" max="7161" width="9" style="2"/>
    <col min="7162" max="7172" width="11.125" style="2" bestFit="1" customWidth="1"/>
    <col min="7173" max="7173" width="9" style="2"/>
    <col min="7174" max="7181" width="11.125" style="2" bestFit="1" customWidth="1"/>
    <col min="7182" max="7182" width="9.625" style="2" bestFit="1" customWidth="1"/>
    <col min="7183" max="7408" width="9" style="2"/>
    <col min="7409" max="7409" width="2.375" style="2" customWidth="1"/>
    <col min="7410" max="7410" width="13.25" style="2" bestFit="1" customWidth="1"/>
    <col min="7411" max="7412" width="11.125" style="2" bestFit="1" customWidth="1"/>
    <col min="7413" max="7413" width="13.25" style="2" bestFit="1" customWidth="1"/>
    <col min="7414" max="7414" width="11.125" style="2" bestFit="1" customWidth="1"/>
    <col min="7415" max="7415" width="9" style="2"/>
    <col min="7416" max="7416" width="11.125" style="2" bestFit="1" customWidth="1"/>
    <col min="7417" max="7417" width="9" style="2"/>
    <col min="7418" max="7428" width="11.125" style="2" bestFit="1" customWidth="1"/>
    <col min="7429" max="7429" width="9" style="2"/>
    <col min="7430" max="7437" width="11.125" style="2" bestFit="1" customWidth="1"/>
    <col min="7438" max="7438" width="9.625" style="2" bestFit="1" customWidth="1"/>
    <col min="7439" max="7664" width="9" style="2"/>
    <col min="7665" max="7665" width="2.375" style="2" customWidth="1"/>
    <col min="7666" max="7666" width="13.25" style="2" bestFit="1" customWidth="1"/>
    <col min="7667" max="7668" width="11.125" style="2" bestFit="1" customWidth="1"/>
    <col min="7669" max="7669" width="13.25" style="2" bestFit="1" customWidth="1"/>
    <col min="7670" max="7670" width="11.125" style="2" bestFit="1" customWidth="1"/>
    <col min="7671" max="7671" width="9" style="2"/>
    <col min="7672" max="7672" width="11.125" style="2" bestFit="1" customWidth="1"/>
    <col min="7673" max="7673" width="9" style="2"/>
    <col min="7674" max="7684" width="11.125" style="2" bestFit="1" customWidth="1"/>
    <col min="7685" max="7685" width="9" style="2"/>
    <col min="7686" max="7693" width="11.125" style="2" bestFit="1" customWidth="1"/>
    <col min="7694" max="7694" width="9.625" style="2" bestFit="1" customWidth="1"/>
    <col min="7695" max="7920" width="9" style="2"/>
    <col min="7921" max="7921" width="2.375" style="2" customWidth="1"/>
    <col min="7922" max="7922" width="13.25" style="2" bestFit="1" customWidth="1"/>
    <col min="7923" max="7924" width="11.125" style="2" bestFit="1" customWidth="1"/>
    <col min="7925" max="7925" width="13.25" style="2" bestFit="1" customWidth="1"/>
    <col min="7926" max="7926" width="11.125" style="2" bestFit="1" customWidth="1"/>
    <col min="7927" max="7927" width="9" style="2"/>
    <col min="7928" max="7928" width="11.125" style="2" bestFit="1" customWidth="1"/>
    <col min="7929" max="7929" width="9" style="2"/>
    <col min="7930" max="7940" width="11.125" style="2" bestFit="1" customWidth="1"/>
    <col min="7941" max="7941" width="9" style="2"/>
    <col min="7942" max="7949" width="11.125" style="2" bestFit="1" customWidth="1"/>
    <col min="7950" max="7950" width="9.625" style="2" bestFit="1" customWidth="1"/>
    <col min="7951" max="8176" width="9" style="2"/>
    <col min="8177" max="8177" width="2.375" style="2" customWidth="1"/>
    <col min="8178" max="8178" width="13.25" style="2" bestFit="1" customWidth="1"/>
    <col min="8179" max="8180" width="11.125" style="2" bestFit="1" customWidth="1"/>
    <col min="8181" max="8181" width="13.25" style="2" bestFit="1" customWidth="1"/>
    <col min="8182" max="8182" width="11.125" style="2" bestFit="1" customWidth="1"/>
    <col min="8183" max="8183" width="9" style="2"/>
    <col min="8184" max="8184" width="11.125" style="2" bestFit="1" customWidth="1"/>
    <col min="8185" max="8185" width="9" style="2"/>
    <col min="8186" max="8196" width="11.125" style="2" bestFit="1" customWidth="1"/>
    <col min="8197" max="8197" width="9" style="2"/>
    <col min="8198" max="8205" width="11.125" style="2" bestFit="1" customWidth="1"/>
    <col min="8206" max="8206" width="9.625" style="2" bestFit="1" customWidth="1"/>
    <col min="8207" max="8432" width="9" style="2"/>
    <col min="8433" max="8433" width="2.375" style="2" customWidth="1"/>
    <col min="8434" max="8434" width="13.25" style="2" bestFit="1" customWidth="1"/>
    <col min="8435" max="8436" width="11.125" style="2" bestFit="1" customWidth="1"/>
    <col min="8437" max="8437" width="13.25" style="2" bestFit="1" customWidth="1"/>
    <col min="8438" max="8438" width="11.125" style="2" bestFit="1" customWidth="1"/>
    <col min="8439" max="8439" width="9" style="2"/>
    <col min="8440" max="8440" width="11.125" style="2" bestFit="1" customWidth="1"/>
    <col min="8441" max="8441" width="9" style="2"/>
    <col min="8442" max="8452" width="11.125" style="2" bestFit="1" customWidth="1"/>
    <col min="8453" max="8453" width="9" style="2"/>
    <col min="8454" max="8461" width="11.125" style="2" bestFit="1" customWidth="1"/>
    <col min="8462" max="8462" width="9.625" style="2" bestFit="1" customWidth="1"/>
    <col min="8463" max="8688" width="9" style="2"/>
    <col min="8689" max="8689" width="2.375" style="2" customWidth="1"/>
    <col min="8690" max="8690" width="13.25" style="2" bestFit="1" customWidth="1"/>
    <col min="8691" max="8692" width="11.125" style="2" bestFit="1" customWidth="1"/>
    <col min="8693" max="8693" width="13.25" style="2" bestFit="1" customWidth="1"/>
    <col min="8694" max="8694" width="11.125" style="2" bestFit="1" customWidth="1"/>
    <col min="8695" max="8695" width="9" style="2"/>
    <col min="8696" max="8696" width="11.125" style="2" bestFit="1" customWidth="1"/>
    <col min="8697" max="8697" width="9" style="2"/>
    <col min="8698" max="8708" width="11.125" style="2" bestFit="1" customWidth="1"/>
    <col min="8709" max="8709" width="9" style="2"/>
    <col min="8710" max="8717" width="11.125" style="2" bestFit="1" customWidth="1"/>
    <col min="8718" max="8718" width="9.625" style="2" bestFit="1" customWidth="1"/>
    <col min="8719" max="8944" width="9" style="2"/>
    <col min="8945" max="8945" width="2.375" style="2" customWidth="1"/>
    <col min="8946" max="8946" width="13.25" style="2" bestFit="1" customWidth="1"/>
    <col min="8947" max="8948" width="11.125" style="2" bestFit="1" customWidth="1"/>
    <col min="8949" max="8949" width="13.25" style="2" bestFit="1" customWidth="1"/>
    <col min="8950" max="8950" width="11.125" style="2" bestFit="1" customWidth="1"/>
    <col min="8951" max="8951" width="9" style="2"/>
    <col min="8952" max="8952" width="11.125" style="2" bestFit="1" customWidth="1"/>
    <col min="8953" max="8953" width="9" style="2"/>
    <col min="8954" max="8964" width="11.125" style="2" bestFit="1" customWidth="1"/>
    <col min="8965" max="8965" width="9" style="2"/>
    <col min="8966" max="8973" width="11.125" style="2" bestFit="1" customWidth="1"/>
    <col min="8974" max="8974" width="9.625" style="2" bestFit="1" customWidth="1"/>
    <col min="8975" max="9200" width="9" style="2"/>
    <col min="9201" max="9201" width="2.375" style="2" customWidth="1"/>
    <col min="9202" max="9202" width="13.25" style="2" bestFit="1" customWidth="1"/>
    <col min="9203" max="9204" width="11.125" style="2" bestFit="1" customWidth="1"/>
    <col min="9205" max="9205" width="13.25" style="2" bestFit="1" customWidth="1"/>
    <col min="9206" max="9206" width="11.125" style="2" bestFit="1" customWidth="1"/>
    <col min="9207" max="9207" width="9" style="2"/>
    <col min="9208" max="9208" width="11.125" style="2" bestFit="1" customWidth="1"/>
    <col min="9209" max="9209" width="9" style="2"/>
    <col min="9210" max="9220" width="11.125" style="2" bestFit="1" customWidth="1"/>
    <col min="9221" max="9221" width="9" style="2"/>
    <col min="9222" max="9229" width="11.125" style="2" bestFit="1" customWidth="1"/>
    <col min="9230" max="9230" width="9.625" style="2" bestFit="1" customWidth="1"/>
    <col min="9231" max="9456" width="9" style="2"/>
    <col min="9457" max="9457" width="2.375" style="2" customWidth="1"/>
    <col min="9458" max="9458" width="13.25" style="2" bestFit="1" customWidth="1"/>
    <col min="9459" max="9460" width="11.125" style="2" bestFit="1" customWidth="1"/>
    <col min="9461" max="9461" width="13.25" style="2" bestFit="1" customWidth="1"/>
    <col min="9462" max="9462" width="11.125" style="2" bestFit="1" customWidth="1"/>
    <col min="9463" max="9463" width="9" style="2"/>
    <col min="9464" max="9464" width="11.125" style="2" bestFit="1" customWidth="1"/>
    <col min="9465" max="9465" width="9" style="2"/>
    <col min="9466" max="9476" width="11.125" style="2" bestFit="1" customWidth="1"/>
    <col min="9477" max="9477" width="9" style="2"/>
    <col min="9478" max="9485" width="11.125" style="2" bestFit="1" customWidth="1"/>
    <col min="9486" max="9486" width="9.625" style="2" bestFit="1" customWidth="1"/>
    <col min="9487" max="9712" width="9" style="2"/>
    <col min="9713" max="9713" width="2.375" style="2" customWidth="1"/>
    <col min="9714" max="9714" width="13.25" style="2" bestFit="1" customWidth="1"/>
    <col min="9715" max="9716" width="11.125" style="2" bestFit="1" customWidth="1"/>
    <col min="9717" max="9717" width="13.25" style="2" bestFit="1" customWidth="1"/>
    <col min="9718" max="9718" width="11.125" style="2" bestFit="1" customWidth="1"/>
    <col min="9719" max="9719" width="9" style="2"/>
    <col min="9720" max="9720" width="11.125" style="2" bestFit="1" customWidth="1"/>
    <col min="9721" max="9721" width="9" style="2"/>
    <col min="9722" max="9732" width="11.125" style="2" bestFit="1" customWidth="1"/>
    <col min="9733" max="9733" width="9" style="2"/>
    <col min="9734" max="9741" width="11.125" style="2" bestFit="1" customWidth="1"/>
    <col min="9742" max="9742" width="9.625" style="2" bestFit="1" customWidth="1"/>
    <col min="9743" max="9968" width="9" style="2"/>
    <col min="9969" max="9969" width="2.375" style="2" customWidth="1"/>
    <col min="9970" max="9970" width="13.25" style="2" bestFit="1" customWidth="1"/>
    <col min="9971" max="9972" width="11.125" style="2" bestFit="1" customWidth="1"/>
    <col min="9973" max="9973" width="13.25" style="2" bestFit="1" customWidth="1"/>
    <col min="9974" max="9974" width="11.125" style="2" bestFit="1" customWidth="1"/>
    <col min="9975" max="9975" width="9" style="2"/>
    <col min="9976" max="9976" width="11.125" style="2" bestFit="1" customWidth="1"/>
    <col min="9977" max="9977" width="9" style="2"/>
    <col min="9978" max="9988" width="11.125" style="2" bestFit="1" customWidth="1"/>
    <col min="9989" max="9989" width="9" style="2"/>
    <col min="9990" max="9997" width="11.125" style="2" bestFit="1" customWidth="1"/>
    <col min="9998" max="9998" width="9.625" style="2" bestFit="1" customWidth="1"/>
    <col min="9999" max="10224" width="9" style="2"/>
    <col min="10225" max="10225" width="2.375" style="2" customWidth="1"/>
    <col min="10226" max="10226" width="13.25" style="2" bestFit="1" customWidth="1"/>
    <col min="10227" max="10228" width="11.125" style="2" bestFit="1" customWidth="1"/>
    <col min="10229" max="10229" width="13.25" style="2" bestFit="1" customWidth="1"/>
    <col min="10230" max="10230" width="11.125" style="2" bestFit="1" customWidth="1"/>
    <col min="10231" max="10231" width="9" style="2"/>
    <col min="10232" max="10232" width="11.125" style="2" bestFit="1" customWidth="1"/>
    <col min="10233" max="10233" width="9" style="2"/>
    <col min="10234" max="10244" width="11.125" style="2" bestFit="1" customWidth="1"/>
    <col min="10245" max="10245" width="9" style="2"/>
    <col min="10246" max="10253" width="11.125" style="2" bestFit="1" customWidth="1"/>
    <col min="10254" max="10254" width="9.625" style="2" bestFit="1" customWidth="1"/>
    <col min="10255" max="10480" width="9" style="2"/>
    <col min="10481" max="10481" width="2.375" style="2" customWidth="1"/>
    <col min="10482" max="10482" width="13.25" style="2" bestFit="1" customWidth="1"/>
    <col min="10483" max="10484" width="11.125" style="2" bestFit="1" customWidth="1"/>
    <col min="10485" max="10485" width="13.25" style="2" bestFit="1" customWidth="1"/>
    <col min="10486" max="10486" width="11.125" style="2" bestFit="1" customWidth="1"/>
    <col min="10487" max="10487" width="9" style="2"/>
    <col min="10488" max="10488" width="11.125" style="2" bestFit="1" customWidth="1"/>
    <col min="10489" max="10489" width="9" style="2"/>
    <col min="10490" max="10500" width="11.125" style="2" bestFit="1" customWidth="1"/>
    <col min="10501" max="10501" width="9" style="2"/>
    <col min="10502" max="10509" width="11.125" style="2" bestFit="1" customWidth="1"/>
    <col min="10510" max="10510" width="9.625" style="2" bestFit="1" customWidth="1"/>
    <col min="10511" max="10736" width="9" style="2"/>
    <col min="10737" max="10737" width="2.375" style="2" customWidth="1"/>
    <col min="10738" max="10738" width="13.25" style="2" bestFit="1" customWidth="1"/>
    <col min="10739" max="10740" width="11.125" style="2" bestFit="1" customWidth="1"/>
    <col min="10741" max="10741" width="13.25" style="2" bestFit="1" customWidth="1"/>
    <col min="10742" max="10742" width="11.125" style="2" bestFit="1" customWidth="1"/>
    <col min="10743" max="10743" width="9" style="2"/>
    <col min="10744" max="10744" width="11.125" style="2" bestFit="1" customWidth="1"/>
    <col min="10745" max="10745" width="9" style="2"/>
    <col min="10746" max="10756" width="11.125" style="2" bestFit="1" customWidth="1"/>
    <col min="10757" max="10757" width="9" style="2"/>
    <col min="10758" max="10765" width="11.125" style="2" bestFit="1" customWidth="1"/>
    <col min="10766" max="10766" width="9.625" style="2" bestFit="1" customWidth="1"/>
    <col min="10767" max="10992" width="9" style="2"/>
    <col min="10993" max="10993" width="2.375" style="2" customWidth="1"/>
    <col min="10994" max="10994" width="13.25" style="2" bestFit="1" customWidth="1"/>
    <col min="10995" max="10996" width="11.125" style="2" bestFit="1" customWidth="1"/>
    <col min="10997" max="10997" width="13.25" style="2" bestFit="1" customWidth="1"/>
    <col min="10998" max="10998" width="11.125" style="2" bestFit="1" customWidth="1"/>
    <col min="10999" max="10999" width="9" style="2"/>
    <col min="11000" max="11000" width="11.125" style="2" bestFit="1" customWidth="1"/>
    <col min="11001" max="11001" width="9" style="2"/>
    <col min="11002" max="11012" width="11.125" style="2" bestFit="1" customWidth="1"/>
    <col min="11013" max="11013" width="9" style="2"/>
    <col min="11014" max="11021" width="11.125" style="2" bestFit="1" customWidth="1"/>
    <col min="11022" max="11022" width="9.625" style="2" bestFit="1" customWidth="1"/>
    <col min="11023" max="11248" width="9" style="2"/>
    <col min="11249" max="11249" width="2.375" style="2" customWidth="1"/>
    <col min="11250" max="11250" width="13.25" style="2" bestFit="1" customWidth="1"/>
    <col min="11251" max="11252" width="11.125" style="2" bestFit="1" customWidth="1"/>
    <col min="11253" max="11253" width="13.25" style="2" bestFit="1" customWidth="1"/>
    <col min="11254" max="11254" width="11.125" style="2" bestFit="1" customWidth="1"/>
    <col min="11255" max="11255" width="9" style="2"/>
    <col min="11256" max="11256" width="11.125" style="2" bestFit="1" customWidth="1"/>
    <col min="11257" max="11257" width="9" style="2"/>
    <col min="11258" max="11268" width="11.125" style="2" bestFit="1" customWidth="1"/>
    <col min="11269" max="11269" width="9" style="2"/>
    <col min="11270" max="11277" width="11.125" style="2" bestFit="1" customWidth="1"/>
    <col min="11278" max="11278" width="9.625" style="2" bestFit="1" customWidth="1"/>
    <col min="11279" max="11504" width="9" style="2"/>
    <col min="11505" max="11505" width="2.375" style="2" customWidth="1"/>
    <col min="11506" max="11506" width="13.25" style="2" bestFit="1" customWidth="1"/>
    <col min="11507" max="11508" width="11.125" style="2" bestFit="1" customWidth="1"/>
    <col min="11509" max="11509" width="13.25" style="2" bestFit="1" customWidth="1"/>
    <col min="11510" max="11510" width="11.125" style="2" bestFit="1" customWidth="1"/>
    <col min="11511" max="11511" width="9" style="2"/>
    <col min="11512" max="11512" width="11.125" style="2" bestFit="1" customWidth="1"/>
    <col min="11513" max="11513" width="9" style="2"/>
    <col min="11514" max="11524" width="11.125" style="2" bestFit="1" customWidth="1"/>
    <col min="11525" max="11525" width="9" style="2"/>
    <col min="11526" max="11533" width="11.125" style="2" bestFit="1" customWidth="1"/>
    <col min="11534" max="11534" width="9.625" style="2" bestFit="1" customWidth="1"/>
    <col min="11535" max="11760" width="9" style="2"/>
    <col min="11761" max="11761" width="2.375" style="2" customWidth="1"/>
    <col min="11762" max="11762" width="13.25" style="2" bestFit="1" customWidth="1"/>
    <col min="11763" max="11764" width="11.125" style="2" bestFit="1" customWidth="1"/>
    <col min="11765" max="11765" width="13.25" style="2" bestFit="1" customWidth="1"/>
    <col min="11766" max="11766" width="11.125" style="2" bestFit="1" customWidth="1"/>
    <col min="11767" max="11767" width="9" style="2"/>
    <col min="11768" max="11768" width="11.125" style="2" bestFit="1" customWidth="1"/>
    <col min="11769" max="11769" width="9" style="2"/>
    <col min="11770" max="11780" width="11.125" style="2" bestFit="1" customWidth="1"/>
    <col min="11781" max="11781" width="9" style="2"/>
    <col min="11782" max="11789" width="11.125" style="2" bestFit="1" customWidth="1"/>
    <col min="11790" max="11790" width="9.625" style="2" bestFit="1" customWidth="1"/>
    <col min="11791" max="12016" width="9" style="2"/>
    <col min="12017" max="12017" width="2.375" style="2" customWidth="1"/>
    <col min="12018" max="12018" width="13.25" style="2" bestFit="1" customWidth="1"/>
    <col min="12019" max="12020" width="11.125" style="2" bestFit="1" customWidth="1"/>
    <col min="12021" max="12021" width="13.25" style="2" bestFit="1" customWidth="1"/>
    <col min="12022" max="12022" width="11.125" style="2" bestFit="1" customWidth="1"/>
    <col min="12023" max="12023" width="9" style="2"/>
    <col min="12024" max="12024" width="11.125" style="2" bestFit="1" customWidth="1"/>
    <col min="12025" max="12025" width="9" style="2"/>
    <col min="12026" max="12036" width="11.125" style="2" bestFit="1" customWidth="1"/>
    <col min="12037" max="12037" width="9" style="2"/>
    <col min="12038" max="12045" width="11.125" style="2" bestFit="1" customWidth="1"/>
    <col min="12046" max="12046" width="9.625" style="2" bestFit="1" customWidth="1"/>
    <col min="12047" max="12272" width="9" style="2"/>
    <col min="12273" max="12273" width="2.375" style="2" customWidth="1"/>
    <col min="12274" max="12274" width="13.25" style="2" bestFit="1" customWidth="1"/>
    <col min="12275" max="12276" width="11.125" style="2" bestFit="1" customWidth="1"/>
    <col min="12277" max="12277" width="13.25" style="2" bestFit="1" customWidth="1"/>
    <col min="12278" max="12278" width="11.125" style="2" bestFit="1" customWidth="1"/>
    <col min="12279" max="12279" width="9" style="2"/>
    <col min="12280" max="12280" width="11.125" style="2" bestFit="1" customWidth="1"/>
    <col min="12281" max="12281" width="9" style="2"/>
    <col min="12282" max="12292" width="11.125" style="2" bestFit="1" customWidth="1"/>
    <col min="12293" max="12293" width="9" style="2"/>
    <col min="12294" max="12301" width="11.125" style="2" bestFit="1" customWidth="1"/>
    <col min="12302" max="12302" width="9.625" style="2" bestFit="1" customWidth="1"/>
    <col min="12303" max="12528" width="9" style="2"/>
    <col min="12529" max="12529" width="2.375" style="2" customWidth="1"/>
    <col min="12530" max="12530" width="13.25" style="2" bestFit="1" customWidth="1"/>
    <col min="12531" max="12532" width="11.125" style="2" bestFit="1" customWidth="1"/>
    <col min="12533" max="12533" width="13.25" style="2" bestFit="1" customWidth="1"/>
    <col min="12534" max="12534" width="11.125" style="2" bestFit="1" customWidth="1"/>
    <col min="12535" max="12535" width="9" style="2"/>
    <col min="12536" max="12536" width="11.125" style="2" bestFit="1" customWidth="1"/>
    <col min="12537" max="12537" width="9" style="2"/>
    <col min="12538" max="12548" width="11.125" style="2" bestFit="1" customWidth="1"/>
    <col min="12549" max="12549" width="9" style="2"/>
    <col min="12550" max="12557" width="11.125" style="2" bestFit="1" customWidth="1"/>
    <col min="12558" max="12558" width="9.625" style="2" bestFit="1" customWidth="1"/>
    <col min="12559" max="12784" width="9" style="2"/>
    <col min="12785" max="12785" width="2.375" style="2" customWidth="1"/>
    <col min="12786" max="12786" width="13.25" style="2" bestFit="1" customWidth="1"/>
    <col min="12787" max="12788" width="11.125" style="2" bestFit="1" customWidth="1"/>
    <col min="12789" max="12789" width="13.25" style="2" bestFit="1" customWidth="1"/>
    <col min="12790" max="12790" width="11.125" style="2" bestFit="1" customWidth="1"/>
    <col min="12791" max="12791" width="9" style="2"/>
    <col min="12792" max="12792" width="11.125" style="2" bestFit="1" customWidth="1"/>
    <col min="12793" max="12793" width="9" style="2"/>
    <col min="12794" max="12804" width="11.125" style="2" bestFit="1" customWidth="1"/>
    <col min="12805" max="12805" width="9" style="2"/>
    <col min="12806" max="12813" width="11.125" style="2" bestFit="1" customWidth="1"/>
    <col min="12814" max="12814" width="9.625" style="2" bestFit="1" customWidth="1"/>
    <col min="12815" max="13040" width="9" style="2"/>
    <col min="13041" max="13041" width="2.375" style="2" customWidth="1"/>
    <col min="13042" max="13042" width="13.25" style="2" bestFit="1" customWidth="1"/>
    <col min="13043" max="13044" width="11.125" style="2" bestFit="1" customWidth="1"/>
    <col min="13045" max="13045" width="13.25" style="2" bestFit="1" customWidth="1"/>
    <col min="13046" max="13046" width="11.125" style="2" bestFit="1" customWidth="1"/>
    <col min="13047" max="13047" width="9" style="2"/>
    <col min="13048" max="13048" width="11.125" style="2" bestFit="1" customWidth="1"/>
    <col min="13049" max="13049" width="9" style="2"/>
    <col min="13050" max="13060" width="11.125" style="2" bestFit="1" customWidth="1"/>
    <col min="13061" max="13061" width="9" style="2"/>
    <col min="13062" max="13069" width="11.125" style="2" bestFit="1" customWidth="1"/>
    <col min="13070" max="13070" width="9.625" style="2" bestFit="1" customWidth="1"/>
    <col min="13071" max="13296" width="9" style="2"/>
    <col min="13297" max="13297" width="2.375" style="2" customWidth="1"/>
    <col min="13298" max="13298" width="13.25" style="2" bestFit="1" customWidth="1"/>
    <col min="13299" max="13300" width="11.125" style="2" bestFit="1" customWidth="1"/>
    <col min="13301" max="13301" width="13.25" style="2" bestFit="1" customWidth="1"/>
    <col min="13302" max="13302" width="11.125" style="2" bestFit="1" customWidth="1"/>
    <col min="13303" max="13303" width="9" style="2"/>
    <col min="13304" max="13304" width="11.125" style="2" bestFit="1" customWidth="1"/>
    <col min="13305" max="13305" width="9" style="2"/>
    <col min="13306" max="13316" width="11.125" style="2" bestFit="1" customWidth="1"/>
    <col min="13317" max="13317" width="9" style="2"/>
    <col min="13318" max="13325" width="11.125" style="2" bestFit="1" customWidth="1"/>
    <col min="13326" max="13326" width="9.625" style="2" bestFit="1" customWidth="1"/>
    <col min="13327" max="13552" width="9" style="2"/>
    <col min="13553" max="13553" width="2.375" style="2" customWidth="1"/>
    <col min="13554" max="13554" width="13.25" style="2" bestFit="1" customWidth="1"/>
    <col min="13555" max="13556" width="11.125" style="2" bestFit="1" customWidth="1"/>
    <col min="13557" max="13557" width="13.25" style="2" bestFit="1" customWidth="1"/>
    <col min="13558" max="13558" width="11.125" style="2" bestFit="1" customWidth="1"/>
    <col min="13559" max="13559" width="9" style="2"/>
    <col min="13560" max="13560" width="11.125" style="2" bestFit="1" customWidth="1"/>
    <col min="13561" max="13561" width="9" style="2"/>
    <col min="13562" max="13572" width="11.125" style="2" bestFit="1" customWidth="1"/>
    <col min="13573" max="13573" width="9" style="2"/>
    <col min="13574" max="13581" width="11.125" style="2" bestFit="1" customWidth="1"/>
    <col min="13582" max="13582" width="9.625" style="2" bestFit="1" customWidth="1"/>
    <col min="13583" max="13808" width="9" style="2"/>
    <col min="13809" max="13809" width="2.375" style="2" customWidth="1"/>
    <col min="13810" max="13810" width="13.25" style="2" bestFit="1" customWidth="1"/>
    <col min="13811" max="13812" width="11.125" style="2" bestFit="1" customWidth="1"/>
    <col min="13813" max="13813" width="13.25" style="2" bestFit="1" customWidth="1"/>
    <col min="13814" max="13814" width="11.125" style="2" bestFit="1" customWidth="1"/>
    <col min="13815" max="13815" width="9" style="2"/>
    <col min="13816" max="13816" width="11.125" style="2" bestFit="1" customWidth="1"/>
    <col min="13817" max="13817" width="9" style="2"/>
    <col min="13818" max="13828" width="11.125" style="2" bestFit="1" customWidth="1"/>
    <col min="13829" max="13829" width="9" style="2"/>
    <col min="13830" max="13837" width="11.125" style="2" bestFit="1" customWidth="1"/>
    <col min="13838" max="13838" width="9.625" style="2" bestFit="1" customWidth="1"/>
    <col min="13839" max="14064" width="9" style="2"/>
    <col min="14065" max="14065" width="2.375" style="2" customWidth="1"/>
    <col min="14066" max="14066" width="13.25" style="2" bestFit="1" customWidth="1"/>
    <col min="14067" max="14068" width="11.125" style="2" bestFit="1" customWidth="1"/>
    <col min="14069" max="14069" width="13.25" style="2" bestFit="1" customWidth="1"/>
    <col min="14070" max="14070" width="11.125" style="2" bestFit="1" customWidth="1"/>
    <col min="14071" max="14071" width="9" style="2"/>
    <col min="14072" max="14072" width="11.125" style="2" bestFit="1" customWidth="1"/>
    <col min="14073" max="14073" width="9" style="2"/>
    <col min="14074" max="14084" width="11.125" style="2" bestFit="1" customWidth="1"/>
    <col min="14085" max="14085" width="9" style="2"/>
    <col min="14086" max="14093" width="11.125" style="2" bestFit="1" customWidth="1"/>
    <col min="14094" max="14094" width="9.625" style="2" bestFit="1" customWidth="1"/>
    <col min="14095" max="14320" width="9" style="2"/>
    <col min="14321" max="14321" width="2.375" style="2" customWidth="1"/>
    <col min="14322" max="14322" width="13.25" style="2" bestFit="1" customWidth="1"/>
    <col min="14323" max="14324" width="11.125" style="2" bestFit="1" customWidth="1"/>
    <col min="14325" max="14325" width="13.25" style="2" bestFit="1" customWidth="1"/>
    <col min="14326" max="14326" width="11.125" style="2" bestFit="1" customWidth="1"/>
    <col min="14327" max="14327" width="9" style="2"/>
    <col min="14328" max="14328" width="11.125" style="2" bestFit="1" customWidth="1"/>
    <col min="14329" max="14329" width="9" style="2"/>
    <col min="14330" max="14340" width="11.125" style="2" bestFit="1" customWidth="1"/>
    <col min="14341" max="14341" width="9" style="2"/>
    <col min="14342" max="14349" width="11.125" style="2" bestFit="1" customWidth="1"/>
    <col min="14350" max="14350" width="9.625" style="2" bestFit="1" customWidth="1"/>
    <col min="14351" max="14576" width="9" style="2"/>
    <col min="14577" max="14577" width="2.375" style="2" customWidth="1"/>
    <col min="14578" max="14578" width="13.25" style="2" bestFit="1" customWidth="1"/>
    <col min="14579" max="14580" width="11.125" style="2" bestFit="1" customWidth="1"/>
    <col min="14581" max="14581" width="13.25" style="2" bestFit="1" customWidth="1"/>
    <col min="14582" max="14582" width="11.125" style="2" bestFit="1" customWidth="1"/>
    <col min="14583" max="14583" width="9" style="2"/>
    <col min="14584" max="14584" width="11.125" style="2" bestFit="1" customWidth="1"/>
    <col min="14585" max="14585" width="9" style="2"/>
    <col min="14586" max="14596" width="11.125" style="2" bestFit="1" customWidth="1"/>
    <col min="14597" max="14597" width="9" style="2"/>
    <col min="14598" max="14605" width="11.125" style="2" bestFit="1" customWidth="1"/>
    <col min="14606" max="14606" width="9.625" style="2" bestFit="1" customWidth="1"/>
    <col min="14607" max="14832" width="9" style="2"/>
    <col min="14833" max="14833" width="2.375" style="2" customWidth="1"/>
    <col min="14834" max="14834" width="13.25" style="2" bestFit="1" customWidth="1"/>
    <col min="14835" max="14836" width="11.125" style="2" bestFit="1" customWidth="1"/>
    <col min="14837" max="14837" width="13.25" style="2" bestFit="1" customWidth="1"/>
    <col min="14838" max="14838" width="11.125" style="2" bestFit="1" customWidth="1"/>
    <col min="14839" max="14839" width="9" style="2"/>
    <col min="14840" max="14840" width="11.125" style="2" bestFit="1" customWidth="1"/>
    <col min="14841" max="14841" width="9" style="2"/>
    <col min="14842" max="14852" width="11.125" style="2" bestFit="1" customWidth="1"/>
    <col min="14853" max="14853" width="9" style="2"/>
    <col min="14854" max="14861" width="11.125" style="2" bestFit="1" customWidth="1"/>
    <col min="14862" max="14862" width="9.625" style="2" bestFit="1" customWidth="1"/>
    <col min="14863" max="15088" width="9" style="2"/>
    <col min="15089" max="15089" width="2.375" style="2" customWidth="1"/>
    <col min="15090" max="15090" width="13.25" style="2" bestFit="1" customWidth="1"/>
    <col min="15091" max="15092" width="11.125" style="2" bestFit="1" customWidth="1"/>
    <col min="15093" max="15093" width="13.25" style="2" bestFit="1" customWidth="1"/>
    <col min="15094" max="15094" width="11.125" style="2" bestFit="1" customWidth="1"/>
    <col min="15095" max="15095" width="9" style="2"/>
    <col min="15096" max="15096" width="11.125" style="2" bestFit="1" customWidth="1"/>
    <col min="15097" max="15097" width="9" style="2"/>
    <col min="15098" max="15108" width="11.125" style="2" bestFit="1" customWidth="1"/>
    <col min="15109" max="15109" width="9" style="2"/>
    <col min="15110" max="15117" width="11.125" style="2" bestFit="1" customWidth="1"/>
    <col min="15118" max="15118" width="9.625" style="2" bestFit="1" customWidth="1"/>
    <col min="15119" max="15344" width="9" style="2"/>
    <col min="15345" max="15345" width="2.375" style="2" customWidth="1"/>
    <col min="15346" max="15346" width="13.25" style="2" bestFit="1" customWidth="1"/>
    <col min="15347" max="15348" width="11.125" style="2" bestFit="1" customWidth="1"/>
    <col min="15349" max="15349" width="13.25" style="2" bestFit="1" customWidth="1"/>
    <col min="15350" max="15350" width="11.125" style="2" bestFit="1" customWidth="1"/>
    <col min="15351" max="15351" width="9" style="2"/>
    <col min="15352" max="15352" width="11.125" style="2" bestFit="1" customWidth="1"/>
    <col min="15353" max="15353" width="9" style="2"/>
    <col min="15354" max="15364" width="11.125" style="2" bestFit="1" customWidth="1"/>
    <col min="15365" max="15365" width="9" style="2"/>
    <col min="15366" max="15373" width="11.125" style="2" bestFit="1" customWidth="1"/>
    <col min="15374" max="15374" width="9.625" style="2" bestFit="1" customWidth="1"/>
    <col min="15375" max="15600" width="9" style="2"/>
    <col min="15601" max="15601" width="2.375" style="2" customWidth="1"/>
    <col min="15602" max="15602" width="13.25" style="2" bestFit="1" customWidth="1"/>
    <col min="15603" max="15604" width="11.125" style="2" bestFit="1" customWidth="1"/>
    <col min="15605" max="15605" width="13.25" style="2" bestFit="1" customWidth="1"/>
    <col min="15606" max="15606" width="11.125" style="2" bestFit="1" customWidth="1"/>
    <col min="15607" max="15607" width="9" style="2"/>
    <col min="15608" max="15608" width="11.125" style="2" bestFit="1" customWidth="1"/>
    <col min="15609" max="15609" width="9" style="2"/>
    <col min="15610" max="15620" width="11.125" style="2" bestFit="1" customWidth="1"/>
    <col min="15621" max="15621" width="9" style="2"/>
    <col min="15622" max="15629" width="11.125" style="2" bestFit="1" customWidth="1"/>
    <col min="15630" max="15630" width="9.625" style="2" bestFit="1" customWidth="1"/>
    <col min="15631" max="15856" width="9" style="2"/>
    <col min="15857" max="15857" width="2.375" style="2" customWidth="1"/>
    <col min="15858" max="15858" width="13.25" style="2" bestFit="1" customWidth="1"/>
    <col min="15859" max="15860" width="11.125" style="2" bestFit="1" customWidth="1"/>
    <col min="15861" max="15861" width="13.25" style="2" bestFit="1" customWidth="1"/>
    <col min="15862" max="15862" width="11.125" style="2" bestFit="1" customWidth="1"/>
    <col min="15863" max="15863" width="9" style="2"/>
    <col min="15864" max="15864" width="11.125" style="2" bestFit="1" customWidth="1"/>
    <col min="15865" max="15865" width="9" style="2"/>
    <col min="15866" max="15876" width="11.125" style="2" bestFit="1" customWidth="1"/>
    <col min="15877" max="15877" width="9" style="2"/>
    <col min="15878" max="15885" width="11.125" style="2" bestFit="1" customWidth="1"/>
    <col min="15886" max="15886" width="9.625" style="2" bestFit="1" customWidth="1"/>
    <col min="15887" max="16112" width="9" style="2"/>
    <col min="16113" max="16113" width="2.375" style="2" customWidth="1"/>
    <col min="16114" max="16114" width="13.25" style="2" bestFit="1" customWidth="1"/>
    <col min="16115" max="16116" width="11.125" style="2" bestFit="1" customWidth="1"/>
    <col min="16117" max="16117" width="13.25" style="2" bestFit="1" customWidth="1"/>
    <col min="16118" max="16118" width="11.125" style="2" bestFit="1" customWidth="1"/>
    <col min="16119" max="16119" width="9" style="2"/>
    <col min="16120" max="16120" width="11.125" style="2" bestFit="1" customWidth="1"/>
    <col min="16121" max="16121" width="9" style="2"/>
    <col min="16122" max="16132" width="11.125" style="2" bestFit="1" customWidth="1"/>
    <col min="16133" max="16133" width="9" style="2"/>
    <col min="16134" max="16141" width="11.125" style="2" bestFit="1" customWidth="1"/>
    <col min="16142" max="16142" width="9.625" style="2" bestFit="1" customWidth="1"/>
    <col min="16143" max="16384" width="9" style="2"/>
  </cols>
  <sheetData>
    <row r="1" spans="1:16">
      <c r="A1" s="1" t="s">
        <v>0</v>
      </c>
    </row>
    <row r="2" spans="1:16" ht="19.5" thickBot="1">
      <c r="A2" s="1" t="s">
        <v>117</v>
      </c>
    </row>
    <row r="3" spans="1:16">
      <c r="B3" s="87"/>
      <c r="C3" s="75" t="s">
        <v>17</v>
      </c>
      <c r="D3" s="5" t="s">
        <v>4</v>
      </c>
      <c r="E3" s="5" t="s">
        <v>24</v>
      </c>
      <c r="F3" s="5" t="s">
        <v>25</v>
      </c>
      <c r="G3" s="5" t="s">
        <v>21</v>
      </c>
      <c r="H3" s="5" t="s">
        <v>22</v>
      </c>
      <c r="I3" s="5" t="s">
        <v>23</v>
      </c>
      <c r="J3" s="5" t="s">
        <v>26</v>
      </c>
      <c r="K3" s="5" t="s">
        <v>27</v>
      </c>
      <c r="L3" s="6" t="s">
        <v>28</v>
      </c>
      <c r="M3" s="59" t="s">
        <v>118</v>
      </c>
      <c r="N3" s="60" t="s">
        <v>5</v>
      </c>
      <c r="O3" s="59" t="s">
        <v>118</v>
      </c>
      <c r="P3" s="61" t="s">
        <v>57</v>
      </c>
    </row>
    <row r="4" spans="1:16" ht="19.5" thickBot="1">
      <c r="A4" s="43"/>
      <c r="B4" s="88" t="s">
        <v>29</v>
      </c>
      <c r="C4" s="76" t="s">
        <v>45</v>
      </c>
      <c r="D4" s="27" t="s">
        <v>32</v>
      </c>
      <c r="E4" s="27" t="s">
        <v>52</v>
      </c>
      <c r="F4" s="27" t="s">
        <v>53</v>
      </c>
      <c r="G4" s="27" t="s">
        <v>49</v>
      </c>
      <c r="H4" s="27" t="s">
        <v>50</v>
      </c>
      <c r="I4" s="27" t="s">
        <v>51</v>
      </c>
      <c r="J4" s="27" t="s">
        <v>54</v>
      </c>
      <c r="K4" s="27" t="s">
        <v>55</v>
      </c>
      <c r="L4" s="28" t="s">
        <v>56</v>
      </c>
      <c r="M4" s="62" t="s">
        <v>120</v>
      </c>
      <c r="N4" s="63" t="s">
        <v>33</v>
      </c>
      <c r="O4" s="62" t="s">
        <v>121</v>
      </c>
      <c r="P4" s="64" t="s">
        <v>122</v>
      </c>
    </row>
    <row r="5" spans="1:16">
      <c r="A5" s="1" t="s">
        <v>1</v>
      </c>
      <c r="B5" s="89" t="s">
        <v>58</v>
      </c>
      <c r="C5" s="77">
        <v>21</v>
      </c>
      <c r="D5" s="23">
        <v>21</v>
      </c>
      <c r="E5" s="23">
        <v>13</v>
      </c>
      <c r="F5" s="23">
        <v>15</v>
      </c>
      <c r="G5" s="23">
        <v>10</v>
      </c>
      <c r="H5" s="23">
        <v>10</v>
      </c>
      <c r="I5" s="23">
        <v>11</v>
      </c>
      <c r="J5" s="23">
        <v>5</v>
      </c>
      <c r="K5" s="23">
        <v>20</v>
      </c>
      <c r="L5" s="24">
        <v>6</v>
      </c>
      <c r="M5" s="65">
        <f>SUM(C5:L5)</f>
        <v>132</v>
      </c>
      <c r="N5" s="65">
        <v>20</v>
      </c>
      <c r="O5" s="65">
        <f>SUM(N5)</f>
        <v>20</v>
      </c>
      <c r="P5" s="65">
        <v>422</v>
      </c>
    </row>
    <row r="6" spans="1:16">
      <c r="A6" s="1" t="s">
        <v>1</v>
      </c>
      <c r="B6" s="90" t="s">
        <v>59</v>
      </c>
      <c r="C6" s="78">
        <v>0</v>
      </c>
      <c r="D6" s="9">
        <v>2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  <c r="M6" s="66">
        <f>SUM(C6:L6)</f>
        <v>2</v>
      </c>
      <c r="N6" s="66">
        <v>0</v>
      </c>
      <c r="O6" s="66">
        <f t="shared" ref="O6:O63" si="0">SUM(N6)</f>
        <v>0</v>
      </c>
      <c r="P6" s="66">
        <v>43</v>
      </c>
    </row>
    <row r="7" spans="1:16">
      <c r="A7" s="1" t="s">
        <v>1</v>
      </c>
      <c r="B7" s="90" t="s">
        <v>60</v>
      </c>
      <c r="C7" s="78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0</v>
      </c>
      <c r="M7" s="66"/>
      <c r="N7" s="66">
        <v>0</v>
      </c>
      <c r="O7" s="66">
        <f t="shared" si="0"/>
        <v>0</v>
      </c>
      <c r="P7" s="66">
        <v>37</v>
      </c>
    </row>
    <row r="8" spans="1:16">
      <c r="A8" s="1" t="s">
        <v>1</v>
      </c>
      <c r="B8" s="90" t="s">
        <v>61</v>
      </c>
      <c r="C8" s="78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0</v>
      </c>
      <c r="M8" s="66"/>
      <c r="N8" s="66">
        <v>0</v>
      </c>
      <c r="O8" s="66">
        <f t="shared" si="0"/>
        <v>0</v>
      </c>
      <c r="P8" s="66">
        <v>8</v>
      </c>
    </row>
    <row r="9" spans="1:16">
      <c r="A9" s="1" t="s">
        <v>1</v>
      </c>
      <c r="B9" s="90" t="s">
        <v>62</v>
      </c>
      <c r="C9" s="78">
        <v>0</v>
      </c>
      <c r="D9" s="9">
        <v>0</v>
      </c>
      <c r="E9" s="9">
        <v>0</v>
      </c>
      <c r="F9" s="9">
        <v>0</v>
      </c>
      <c r="G9" s="9">
        <v>1</v>
      </c>
      <c r="H9" s="9">
        <v>1</v>
      </c>
      <c r="I9" s="9">
        <v>1</v>
      </c>
      <c r="J9" s="9">
        <v>0</v>
      </c>
      <c r="K9" s="9">
        <v>0</v>
      </c>
      <c r="L9" s="10">
        <v>0</v>
      </c>
      <c r="M9" s="66">
        <f>SUM(C9:L9)</f>
        <v>3</v>
      </c>
      <c r="N9" s="66">
        <v>1</v>
      </c>
      <c r="O9" s="66">
        <f t="shared" si="0"/>
        <v>1</v>
      </c>
      <c r="P9" s="66">
        <v>16</v>
      </c>
    </row>
    <row r="10" spans="1:16">
      <c r="A10" s="1" t="s">
        <v>1</v>
      </c>
      <c r="B10" s="90" t="s">
        <v>63</v>
      </c>
      <c r="C10" s="78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0</v>
      </c>
      <c r="M10" s="66"/>
      <c r="N10" s="66">
        <v>0</v>
      </c>
      <c r="O10" s="66">
        <f t="shared" si="0"/>
        <v>0</v>
      </c>
      <c r="P10" s="66">
        <v>0</v>
      </c>
    </row>
    <row r="11" spans="1:16">
      <c r="A11" s="1" t="s">
        <v>1</v>
      </c>
      <c r="B11" s="90" t="s">
        <v>64</v>
      </c>
      <c r="C11" s="78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0</v>
      </c>
      <c r="M11" s="66"/>
      <c r="N11" s="66">
        <v>0</v>
      </c>
      <c r="O11" s="66">
        <f t="shared" si="0"/>
        <v>0</v>
      </c>
      <c r="P11" s="66">
        <v>46</v>
      </c>
    </row>
    <row r="12" spans="1:16">
      <c r="A12" s="1" t="s">
        <v>1</v>
      </c>
      <c r="B12" s="90" t="s">
        <v>65</v>
      </c>
      <c r="C12" s="78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66"/>
      <c r="N12" s="66">
        <v>0</v>
      </c>
      <c r="O12" s="66">
        <f t="shared" si="0"/>
        <v>0</v>
      </c>
      <c r="P12" s="66">
        <v>6</v>
      </c>
    </row>
    <row r="13" spans="1:16">
      <c r="A13" s="1" t="s">
        <v>1</v>
      </c>
      <c r="B13" s="90" t="s">
        <v>66</v>
      </c>
      <c r="C13" s="79">
        <v>0</v>
      </c>
      <c r="D13" s="12">
        <v>0</v>
      </c>
      <c r="E13" s="12">
        <v>3.6666666666666665</v>
      </c>
      <c r="F13" s="12">
        <v>3.7083333333333335</v>
      </c>
      <c r="G13" s="12">
        <v>2.9166666666666665</v>
      </c>
      <c r="H13" s="12">
        <v>2.9166666666666665</v>
      </c>
      <c r="I13" s="12">
        <v>3.25</v>
      </c>
      <c r="J13" s="12">
        <v>1.6666666666666665</v>
      </c>
      <c r="K13" s="12">
        <v>3.25</v>
      </c>
      <c r="L13" s="13">
        <v>1.0833333333333333</v>
      </c>
      <c r="M13" s="67">
        <f>SUM(C13:L13)</f>
        <v>22.458333333333332</v>
      </c>
      <c r="N13" s="67">
        <v>0</v>
      </c>
      <c r="O13" s="67">
        <f t="shared" si="0"/>
        <v>0</v>
      </c>
      <c r="P13" s="67">
        <v>22.458333333333332</v>
      </c>
    </row>
    <row r="14" spans="1:16">
      <c r="A14" s="1" t="s">
        <v>1</v>
      </c>
      <c r="B14" s="90" t="s">
        <v>67</v>
      </c>
      <c r="C14" s="79">
        <v>0</v>
      </c>
      <c r="D14" s="12">
        <v>1.3333333333333333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4.1666666666666664E-2</v>
      </c>
      <c r="K14" s="12">
        <v>0</v>
      </c>
      <c r="L14" s="13">
        <v>0</v>
      </c>
      <c r="M14" s="67">
        <f t="shared" ref="M14:M15" si="1">SUM(C14:L14)</f>
        <v>1.375</v>
      </c>
      <c r="N14" s="67">
        <v>0</v>
      </c>
      <c r="O14" s="67">
        <f t="shared" si="0"/>
        <v>0</v>
      </c>
      <c r="P14" s="67">
        <v>30.958333333333336</v>
      </c>
    </row>
    <row r="15" spans="1:16">
      <c r="A15" s="1" t="s">
        <v>1</v>
      </c>
      <c r="B15" s="90" t="s">
        <v>68</v>
      </c>
      <c r="C15" s="79">
        <v>0</v>
      </c>
      <c r="D15" s="12">
        <v>0.54166666666666663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3">
        <v>0</v>
      </c>
      <c r="M15" s="67">
        <f t="shared" si="1"/>
        <v>0.54166666666666663</v>
      </c>
      <c r="N15" s="67">
        <v>0</v>
      </c>
      <c r="O15" s="67">
        <f t="shared" si="0"/>
        <v>0</v>
      </c>
      <c r="P15" s="67">
        <v>13.874999999999998</v>
      </c>
    </row>
    <row r="16" spans="1:16">
      <c r="A16" s="1" t="s">
        <v>1</v>
      </c>
      <c r="B16" s="90" t="s">
        <v>69</v>
      </c>
      <c r="C16" s="79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3">
        <v>0</v>
      </c>
      <c r="M16" s="67"/>
      <c r="N16" s="67">
        <v>0</v>
      </c>
      <c r="O16" s="67">
        <f t="shared" si="0"/>
        <v>0</v>
      </c>
      <c r="P16" s="67">
        <v>13.041666666666668</v>
      </c>
    </row>
    <row r="17" spans="1:16">
      <c r="A17" s="1" t="s">
        <v>1</v>
      </c>
      <c r="B17" s="90" t="s">
        <v>70</v>
      </c>
      <c r="C17" s="79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3">
        <v>0</v>
      </c>
      <c r="M17" s="67"/>
      <c r="N17" s="67">
        <v>0</v>
      </c>
      <c r="O17" s="67">
        <f t="shared" si="0"/>
        <v>0</v>
      </c>
      <c r="P17" s="67">
        <v>2.416666666666667</v>
      </c>
    </row>
    <row r="18" spans="1:16">
      <c r="A18" s="1" t="s">
        <v>1</v>
      </c>
      <c r="B18" s="90" t="s">
        <v>71</v>
      </c>
      <c r="C18" s="79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3">
        <v>0</v>
      </c>
      <c r="M18" s="67"/>
      <c r="N18" s="67">
        <v>0</v>
      </c>
      <c r="O18" s="67">
        <f t="shared" si="0"/>
        <v>0</v>
      </c>
      <c r="P18" s="67">
        <v>8.3333333333333329E-2</v>
      </c>
    </row>
    <row r="19" spans="1:16">
      <c r="A19" s="1" t="s">
        <v>1</v>
      </c>
      <c r="B19" s="90" t="s">
        <v>72</v>
      </c>
      <c r="C19" s="79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3">
        <v>0</v>
      </c>
      <c r="M19" s="67"/>
      <c r="N19" s="67">
        <v>0</v>
      </c>
      <c r="O19" s="67">
        <f t="shared" si="0"/>
        <v>0</v>
      </c>
      <c r="P19" s="67">
        <v>0</v>
      </c>
    </row>
    <row r="20" spans="1:16">
      <c r="A20" s="1" t="s">
        <v>1</v>
      </c>
      <c r="B20" s="90" t="s">
        <v>73</v>
      </c>
      <c r="C20" s="79">
        <v>0</v>
      </c>
      <c r="D20" s="12">
        <v>0</v>
      </c>
      <c r="E20" s="12">
        <v>0</v>
      </c>
      <c r="F20" s="12">
        <v>0</v>
      </c>
      <c r="G20" s="12">
        <v>0.29166666666666669</v>
      </c>
      <c r="H20" s="12">
        <v>0.29166666666666669</v>
      </c>
      <c r="I20" s="12">
        <v>0.29166666666666669</v>
      </c>
      <c r="J20" s="12">
        <v>0</v>
      </c>
      <c r="K20" s="12">
        <v>0</v>
      </c>
      <c r="L20" s="13">
        <v>0</v>
      </c>
      <c r="M20" s="67">
        <f>SUM(C20:L20)</f>
        <v>0.875</v>
      </c>
      <c r="N20" s="67">
        <v>0</v>
      </c>
      <c r="O20" s="67">
        <f t="shared" si="0"/>
        <v>0</v>
      </c>
      <c r="P20" s="67">
        <v>0.875</v>
      </c>
    </row>
    <row r="21" spans="1:16">
      <c r="A21" s="1" t="s">
        <v>1</v>
      </c>
      <c r="B21" s="90" t="s">
        <v>74</v>
      </c>
      <c r="C21" s="79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3">
        <v>0</v>
      </c>
      <c r="M21" s="67"/>
      <c r="N21" s="67">
        <v>0</v>
      </c>
      <c r="O21" s="67">
        <f t="shared" si="0"/>
        <v>0</v>
      </c>
      <c r="P21" s="67">
        <v>0</v>
      </c>
    </row>
    <row r="22" spans="1:16">
      <c r="A22" s="1" t="s">
        <v>1</v>
      </c>
      <c r="B22" s="90" t="s">
        <v>75</v>
      </c>
      <c r="C22" s="79">
        <v>1.5833333333333335</v>
      </c>
      <c r="D22" s="12">
        <v>0</v>
      </c>
      <c r="E22" s="12">
        <v>0</v>
      </c>
      <c r="F22" s="12">
        <v>0</v>
      </c>
      <c r="G22" s="12">
        <v>2.0833333333333335</v>
      </c>
      <c r="H22" s="12">
        <v>2.0833333333333335</v>
      </c>
      <c r="I22" s="12">
        <v>2.2916666666666665</v>
      </c>
      <c r="J22" s="12">
        <v>0</v>
      </c>
      <c r="K22" s="12">
        <v>0</v>
      </c>
      <c r="L22" s="13">
        <v>0</v>
      </c>
      <c r="M22" s="67">
        <f>SUM(C22:L22)</f>
        <v>8.0416666666666661</v>
      </c>
      <c r="N22" s="67">
        <v>8.3333333333333329E-2</v>
      </c>
      <c r="O22" s="67">
        <f t="shared" si="0"/>
        <v>8.3333333333333329E-2</v>
      </c>
      <c r="P22" s="67">
        <v>17.791666666666668</v>
      </c>
    </row>
    <row r="23" spans="1:16" ht="19.5" thickBot="1">
      <c r="A23" s="1" t="s">
        <v>1</v>
      </c>
      <c r="B23" s="91" t="s">
        <v>76</v>
      </c>
      <c r="C23" s="80">
        <v>23</v>
      </c>
      <c r="D23" s="33">
        <v>40</v>
      </c>
      <c r="E23" s="33">
        <v>21</v>
      </c>
      <c r="F23" s="33">
        <v>21</v>
      </c>
      <c r="G23" s="33">
        <v>5</v>
      </c>
      <c r="H23" s="33">
        <v>4</v>
      </c>
      <c r="I23" s="33">
        <v>2</v>
      </c>
      <c r="J23" s="33">
        <v>4</v>
      </c>
      <c r="K23" s="33">
        <v>13</v>
      </c>
      <c r="L23" s="34">
        <v>0</v>
      </c>
      <c r="M23" s="68">
        <f>SUM(C23:L23)</f>
        <v>133</v>
      </c>
      <c r="N23" s="68">
        <v>39</v>
      </c>
      <c r="O23" s="68">
        <f t="shared" si="0"/>
        <v>39</v>
      </c>
      <c r="P23" s="68">
        <v>580</v>
      </c>
    </row>
    <row r="24" spans="1:16">
      <c r="A24" s="1" t="s">
        <v>1</v>
      </c>
      <c r="B24" s="89" t="s">
        <v>77</v>
      </c>
      <c r="C24" s="81">
        <v>355000</v>
      </c>
      <c r="D24" s="30">
        <v>280000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1">
        <v>0</v>
      </c>
      <c r="M24" s="69">
        <f>SUM(C24:L24)</f>
        <v>635000</v>
      </c>
      <c r="N24" s="69">
        <v>375000</v>
      </c>
      <c r="O24" s="69">
        <f t="shared" si="0"/>
        <v>375000</v>
      </c>
      <c r="P24" s="69">
        <v>3692000</v>
      </c>
    </row>
    <row r="25" spans="1:16">
      <c r="A25" s="1" t="s">
        <v>1</v>
      </c>
      <c r="B25" s="90" t="s">
        <v>78</v>
      </c>
      <c r="C25" s="82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6">
        <v>0</v>
      </c>
      <c r="M25" s="70">
        <f t="shared" ref="M25:M63" si="2">SUM(C25:L25)</f>
        <v>0</v>
      </c>
      <c r="N25" s="70">
        <v>0</v>
      </c>
      <c r="O25" s="70">
        <f t="shared" si="0"/>
        <v>0</v>
      </c>
      <c r="P25" s="70">
        <v>35000</v>
      </c>
    </row>
    <row r="26" spans="1:16">
      <c r="A26" s="1" t="s">
        <v>1</v>
      </c>
      <c r="B26" s="90" t="s">
        <v>79</v>
      </c>
      <c r="C26" s="82">
        <v>0</v>
      </c>
      <c r="D26" s="15">
        <v>3000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6">
        <v>0</v>
      </c>
      <c r="M26" s="70">
        <f t="shared" si="2"/>
        <v>3000</v>
      </c>
      <c r="N26" s="70">
        <v>0</v>
      </c>
      <c r="O26" s="70">
        <f t="shared" si="0"/>
        <v>0</v>
      </c>
      <c r="P26" s="70">
        <v>6000</v>
      </c>
    </row>
    <row r="27" spans="1:16">
      <c r="A27" s="1" t="s">
        <v>1</v>
      </c>
      <c r="B27" s="90" t="s">
        <v>80</v>
      </c>
      <c r="C27" s="8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6">
        <v>0</v>
      </c>
      <c r="M27" s="70">
        <f t="shared" si="2"/>
        <v>0</v>
      </c>
      <c r="N27" s="70">
        <v>0</v>
      </c>
      <c r="O27" s="70">
        <f t="shared" si="0"/>
        <v>0</v>
      </c>
      <c r="P27" s="70">
        <v>0</v>
      </c>
    </row>
    <row r="28" spans="1:16">
      <c r="A28" s="1" t="s">
        <v>1</v>
      </c>
      <c r="B28" s="90" t="s">
        <v>81</v>
      </c>
      <c r="C28" s="82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6">
        <v>0</v>
      </c>
      <c r="M28" s="70">
        <f t="shared" si="2"/>
        <v>0</v>
      </c>
      <c r="N28" s="70">
        <v>0</v>
      </c>
      <c r="O28" s="70">
        <f t="shared" si="0"/>
        <v>0</v>
      </c>
      <c r="P28" s="70">
        <v>84194</v>
      </c>
    </row>
    <row r="29" spans="1:16">
      <c r="A29" s="1" t="s">
        <v>1</v>
      </c>
      <c r="B29" s="90" t="s">
        <v>82</v>
      </c>
      <c r="C29" s="82">
        <v>0</v>
      </c>
      <c r="D29" s="15">
        <v>0</v>
      </c>
      <c r="E29" s="15">
        <v>80960</v>
      </c>
      <c r="F29" s="15">
        <v>81880</v>
      </c>
      <c r="G29" s="15">
        <v>58800</v>
      </c>
      <c r="H29" s="15">
        <v>58800</v>
      </c>
      <c r="I29" s="15">
        <v>65520</v>
      </c>
      <c r="J29" s="15">
        <v>33600</v>
      </c>
      <c r="K29" s="15">
        <v>65520</v>
      </c>
      <c r="L29" s="16">
        <v>21840</v>
      </c>
      <c r="M29" s="70">
        <f t="shared" si="2"/>
        <v>466920</v>
      </c>
      <c r="N29" s="70">
        <v>0</v>
      </c>
      <c r="O29" s="70">
        <f t="shared" si="0"/>
        <v>0</v>
      </c>
      <c r="P29" s="70">
        <v>466920</v>
      </c>
    </row>
    <row r="30" spans="1:16">
      <c r="A30" s="1" t="s">
        <v>1</v>
      </c>
      <c r="B30" s="90" t="s">
        <v>83</v>
      </c>
      <c r="C30" s="82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6">
        <v>0</v>
      </c>
      <c r="M30" s="70">
        <f t="shared" si="2"/>
        <v>0</v>
      </c>
      <c r="N30" s="70">
        <v>0</v>
      </c>
      <c r="O30" s="70">
        <f t="shared" si="0"/>
        <v>0</v>
      </c>
      <c r="P30" s="70">
        <v>0</v>
      </c>
    </row>
    <row r="31" spans="1:16">
      <c r="A31" s="1" t="s">
        <v>1</v>
      </c>
      <c r="B31" s="90" t="s">
        <v>84</v>
      </c>
      <c r="C31" s="82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6">
        <v>0</v>
      </c>
      <c r="M31" s="70">
        <f t="shared" si="2"/>
        <v>0</v>
      </c>
      <c r="N31" s="70">
        <v>0</v>
      </c>
      <c r="O31" s="70">
        <f t="shared" si="0"/>
        <v>0</v>
      </c>
      <c r="P31" s="70">
        <v>0</v>
      </c>
    </row>
    <row r="32" spans="1:16">
      <c r="A32" s="1" t="s">
        <v>1</v>
      </c>
      <c r="B32" s="90" t="s">
        <v>85</v>
      </c>
      <c r="C32" s="82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6">
        <v>0</v>
      </c>
      <c r="M32" s="70">
        <f t="shared" si="2"/>
        <v>0</v>
      </c>
      <c r="N32" s="70">
        <v>0</v>
      </c>
      <c r="O32" s="70">
        <f t="shared" si="0"/>
        <v>0</v>
      </c>
      <c r="P32" s="70">
        <v>14000</v>
      </c>
    </row>
    <row r="33" spans="1:16">
      <c r="A33" s="1" t="s">
        <v>1</v>
      </c>
      <c r="B33" s="90" t="s">
        <v>86</v>
      </c>
      <c r="C33" s="82">
        <v>0</v>
      </c>
      <c r="D33" s="15">
        <v>0</v>
      </c>
      <c r="E33" s="15">
        <v>0</v>
      </c>
      <c r="F33" s="15">
        <v>0</v>
      </c>
      <c r="G33" s="15">
        <v>5880</v>
      </c>
      <c r="H33" s="15">
        <v>5880</v>
      </c>
      <c r="I33" s="15">
        <v>5880</v>
      </c>
      <c r="J33" s="15">
        <v>0</v>
      </c>
      <c r="K33" s="15">
        <v>0</v>
      </c>
      <c r="L33" s="16">
        <v>0</v>
      </c>
      <c r="M33" s="70">
        <f t="shared" si="2"/>
        <v>17640</v>
      </c>
      <c r="N33" s="70">
        <v>0</v>
      </c>
      <c r="O33" s="70">
        <f t="shared" si="0"/>
        <v>0</v>
      </c>
      <c r="P33" s="70">
        <v>17640</v>
      </c>
    </row>
    <row r="34" spans="1:16">
      <c r="A34" s="1" t="s">
        <v>1</v>
      </c>
      <c r="B34" s="90" t="s">
        <v>87</v>
      </c>
      <c r="C34" s="82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6">
        <v>0</v>
      </c>
      <c r="M34" s="70">
        <f t="shared" si="2"/>
        <v>0</v>
      </c>
      <c r="N34" s="70">
        <v>0</v>
      </c>
      <c r="O34" s="70">
        <f t="shared" si="0"/>
        <v>0</v>
      </c>
      <c r="P34" s="70">
        <v>0</v>
      </c>
    </row>
    <row r="35" spans="1:16">
      <c r="A35" s="1" t="s">
        <v>1</v>
      </c>
      <c r="B35" s="90" t="s">
        <v>88</v>
      </c>
      <c r="C35" s="82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6">
        <v>0</v>
      </c>
      <c r="M35" s="70">
        <f t="shared" si="2"/>
        <v>0</v>
      </c>
      <c r="N35" s="70">
        <v>0</v>
      </c>
      <c r="O35" s="70">
        <f t="shared" si="0"/>
        <v>0</v>
      </c>
      <c r="P35" s="70">
        <v>0</v>
      </c>
    </row>
    <row r="36" spans="1:16">
      <c r="A36" s="1" t="s">
        <v>1</v>
      </c>
      <c r="B36" s="90" t="s">
        <v>89</v>
      </c>
      <c r="C36" s="82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6">
        <v>0</v>
      </c>
      <c r="M36" s="70">
        <f t="shared" si="2"/>
        <v>0</v>
      </c>
      <c r="N36" s="70">
        <v>0</v>
      </c>
      <c r="O36" s="70">
        <f t="shared" si="0"/>
        <v>0</v>
      </c>
      <c r="P36" s="70">
        <v>0</v>
      </c>
    </row>
    <row r="37" spans="1:16">
      <c r="A37" s="1" t="s">
        <v>1</v>
      </c>
      <c r="B37" s="90" t="s">
        <v>90</v>
      </c>
      <c r="C37" s="83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7">
        <v>0</v>
      </c>
      <c r="M37" s="71">
        <f t="shared" si="2"/>
        <v>0</v>
      </c>
      <c r="N37" s="71">
        <v>0</v>
      </c>
      <c r="O37" s="71">
        <f t="shared" si="0"/>
        <v>0</v>
      </c>
      <c r="P37" s="71">
        <v>-212330</v>
      </c>
    </row>
    <row r="38" spans="1:16">
      <c r="A38" s="1" t="s">
        <v>1</v>
      </c>
      <c r="B38" s="90" t="s">
        <v>67</v>
      </c>
      <c r="C38" s="82">
        <v>0</v>
      </c>
      <c r="D38" s="15">
        <v>67808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1050</v>
      </c>
      <c r="K38" s="15">
        <v>0</v>
      </c>
      <c r="L38" s="16">
        <v>0</v>
      </c>
      <c r="M38" s="70">
        <f t="shared" si="2"/>
        <v>68858</v>
      </c>
      <c r="N38" s="70">
        <v>0</v>
      </c>
      <c r="O38" s="70">
        <f t="shared" si="0"/>
        <v>0</v>
      </c>
      <c r="P38" s="70">
        <v>1039986</v>
      </c>
    </row>
    <row r="39" spans="1:16">
      <c r="A39" s="1" t="s">
        <v>1</v>
      </c>
      <c r="B39" s="90" t="s">
        <v>91</v>
      </c>
      <c r="C39" s="82">
        <v>0</v>
      </c>
      <c r="D39" s="15">
        <v>29744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6">
        <v>0</v>
      </c>
      <c r="M39" s="70">
        <f t="shared" si="2"/>
        <v>29744</v>
      </c>
      <c r="N39" s="70">
        <v>0</v>
      </c>
      <c r="O39" s="70">
        <f t="shared" si="0"/>
        <v>0</v>
      </c>
      <c r="P39" s="70">
        <v>503947</v>
      </c>
    </row>
    <row r="40" spans="1:16">
      <c r="A40" s="1" t="s">
        <v>1</v>
      </c>
      <c r="B40" s="90" t="s">
        <v>92</v>
      </c>
      <c r="C40" s="82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6">
        <v>0</v>
      </c>
      <c r="M40" s="70">
        <f t="shared" si="2"/>
        <v>0</v>
      </c>
      <c r="N40" s="70">
        <v>0</v>
      </c>
      <c r="O40" s="70">
        <f t="shared" si="0"/>
        <v>0</v>
      </c>
      <c r="P40" s="70">
        <v>458576</v>
      </c>
    </row>
    <row r="41" spans="1:16">
      <c r="A41" s="1" t="s">
        <v>1</v>
      </c>
      <c r="B41" s="90" t="s">
        <v>93</v>
      </c>
      <c r="C41" s="82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6">
        <v>0</v>
      </c>
      <c r="M41" s="70">
        <f t="shared" si="2"/>
        <v>0</v>
      </c>
      <c r="N41" s="70">
        <v>0</v>
      </c>
      <c r="O41" s="70">
        <f t="shared" si="0"/>
        <v>0</v>
      </c>
      <c r="P41" s="70">
        <v>21409</v>
      </c>
    </row>
    <row r="42" spans="1:16">
      <c r="A42" s="1" t="s">
        <v>1</v>
      </c>
      <c r="B42" s="90" t="s">
        <v>94</v>
      </c>
      <c r="C42" s="8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6">
        <v>0</v>
      </c>
      <c r="M42" s="70">
        <f t="shared" si="2"/>
        <v>0</v>
      </c>
      <c r="N42" s="70">
        <v>0</v>
      </c>
      <c r="O42" s="70">
        <f t="shared" si="0"/>
        <v>0</v>
      </c>
      <c r="P42" s="70">
        <v>746</v>
      </c>
    </row>
    <row r="43" spans="1:16">
      <c r="A43" s="1" t="s">
        <v>1</v>
      </c>
      <c r="B43" s="90" t="s">
        <v>95</v>
      </c>
      <c r="C43" s="82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6">
        <v>0</v>
      </c>
      <c r="M43" s="70">
        <f t="shared" si="2"/>
        <v>0</v>
      </c>
      <c r="N43" s="70">
        <v>0</v>
      </c>
      <c r="O43" s="70">
        <f t="shared" si="0"/>
        <v>0</v>
      </c>
      <c r="P43" s="70">
        <v>50526</v>
      </c>
    </row>
    <row r="44" spans="1:16">
      <c r="A44" s="1" t="s">
        <v>1</v>
      </c>
      <c r="B44" s="90" t="s">
        <v>72</v>
      </c>
      <c r="C44" s="82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6">
        <v>0</v>
      </c>
      <c r="M44" s="70">
        <f t="shared" si="2"/>
        <v>0</v>
      </c>
      <c r="N44" s="70">
        <v>0</v>
      </c>
      <c r="O44" s="70">
        <f t="shared" si="0"/>
        <v>0</v>
      </c>
      <c r="P44" s="70">
        <v>0</v>
      </c>
    </row>
    <row r="45" spans="1:16" ht="19.5" thickBot="1">
      <c r="A45" s="1" t="s">
        <v>1</v>
      </c>
      <c r="B45" s="92" t="s">
        <v>75</v>
      </c>
      <c r="C45" s="84">
        <v>20216</v>
      </c>
      <c r="D45" s="37">
        <v>0</v>
      </c>
      <c r="E45" s="37">
        <v>0</v>
      </c>
      <c r="F45" s="37">
        <v>0</v>
      </c>
      <c r="G45" s="37">
        <v>10500</v>
      </c>
      <c r="H45" s="37">
        <v>10500</v>
      </c>
      <c r="I45" s="37">
        <v>11550</v>
      </c>
      <c r="J45" s="37">
        <v>0</v>
      </c>
      <c r="K45" s="37">
        <v>0</v>
      </c>
      <c r="L45" s="38">
        <v>0</v>
      </c>
      <c r="M45" s="72">
        <f t="shared" si="2"/>
        <v>52766</v>
      </c>
      <c r="N45" s="72">
        <v>1124</v>
      </c>
      <c r="O45" s="72">
        <f t="shared" si="0"/>
        <v>1124</v>
      </c>
      <c r="P45" s="72">
        <v>117135</v>
      </c>
    </row>
    <row r="46" spans="1:16" ht="19.5" thickBot="1">
      <c r="A46" s="1" t="s">
        <v>1</v>
      </c>
      <c r="B46" s="93" t="s">
        <v>96</v>
      </c>
      <c r="C46" s="85">
        <v>375216</v>
      </c>
      <c r="D46" s="41">
        <v>380552</v>
      </c>
      <c r="E46" s="41">
        <v>80960</v>
      </c>
      <c r="F46" s="41">
        <v>81880</v>
      </c>
      <c r="G46" s="41">
        <v>75180</v>
      </c>
      <c r="H46" s="41">
        <v>75180</v>
      </c>
      <c r="I46" s="41">
        <v>82950</v>
      </c>
      <c r="J46" s="41">
        <v>34650</v>
      </c>
      <c r="K46" s="41">
        <v>65520</v>
      </c>
      <c r="L46" s="42">
        <v>21840</v>
      </c>
      <c r="M46" s="73">
        <f t="shared" si="2"/>
        <v>1273928</v>
      </c>
      <c r="N46" s="73">
        <v>376124</v>
      </c>
      <c r="O46" s="73">
        <f t="shared" si="0"/>
        <v>376124</v>
      </c>
      <c r="P46" s="73">
        <v>6295749</v>
      </c>
    </row>
    <row r="47" spans="1:16" ht="19.5" thickBot="1">
      <c r="A47" s="1" t="s">
        <v>1</v>
      </c>
      <c r="B47" s="89" t="s">
        <v>97</v>
      </c>
      <c r="C47" s="81">
        <v>3914</v>
      </c>
      <c r="D47" s="30">
        <v>5402</v>
      </c>
      <c r="E47" s="30">
        <v>2714</v>
      </c>
      <c r="F47" s="30">
        <v>1957</v>
      </c>
      <c r="G47" s="30">
        <v>3132</v>
      </c>
      <c r="H47" s="30">
        <v>3914</v>
      </c>
      <c r="I47" s="30">
        <v>4593</v>
      </c>
      <c r="J47" s="30">
        <v>1696</v>
      </c>
      <c r="K47" s="30">
        <v>7306</v>
      </c>
      <c r="L47" s="31">
        <v>2349</v>
      </c>
      <c r="M47" s="69">
        <f t="shared" si="2"/>
        <v>36977</v>
      </c>
      <c r="N47" s="69">
        <v>7802</v>
      </c>
      <c r="O47" s="69">
        <f t="shared" si="0"/>
        <v>7802</v>
      </c>
      <c r="P47" s="69">
        <v>131517</v>
      </c>
    </row>
    <row r="48" spans="1:16" ht="19.5" thickBot="1">
      <c r="A48" s="1" t="s">
        <v>1</v>
      </c>
      <c r="B48" s="93" t="s">
        <v>98</v>
      </c>
      <c r="C48" s="85">
        <v>3914</v>
      </c>
      <c r="D48" s="41">
        <v>5402</v>
      </c>
      <c r="E48" s="41">
        <v>2714</v>
      </c>
      <c r="F48" s="41">
        <v>1957</v>
      </c>
      <c r="G48" s="41">
        <v>3132</v>
      </c>
      <c r="H48" s="41">
        <v>3914</v>
      </c>
      <c r="I48" s="41">
        <v>4593</v>
      </c>
      <c r="J48" s="41">
        <v>1696</v>
      </c>
      <c r="K48" s="41">
        <v>7306</v>
      </c>
      <c r="L48" s="42">
        <v>2349</v>
      </c>
      <c r="M48" s="73">
        <f t="shared" si="2"/>
        <v>36977</v>
      </c>
      <c r="N48" s="73">
        <v>7802</v>
      </c>
      <c r="O48" s="73">
        <f t="shared" si="0"/>
        <v>7802</v>
      </c>
      <c r="P48" s="73">
        <v>131517</v>
      </c>
    </row>
    <row r="49" spans="1:16" ht="19.5" thickBot="1">
      <c r="A49" s="1" t="s">
        <v>1</v>
      </c>
      <c r="B49" s="93" t="s">
        <v>99</v>
      </c>
      <c r="C49" s="85">
        <v>379130</v>
      </c>
      <c r="D49" s="41">
        <v>385954</v>
      </c>
      <c r="E49" s="41">
        <v>83674</v>
      </c>
      <c r="F49" s="41">
        <v>83837</v>
      </c>
      <c r="G49" s="41">
        <v>78312</v>
      </c>
      <c r="H49" s="41">
        <v>79094</v>
      </c>
      <c r="I49" s="41">
        <v>87543</v>
      </c>
      <c r="J49" s="41">
        <v>36346</v>
      </c>
      <c r="K49" s="41">
        <v>72826</v>
      </c>
      <c r="L49" s="42">
        <v>24189</v>
      </c>
      <c r="M49" s="73">
        <f t="shared" si="2"/>
        <v>1310905</v>
      </c>
      <c r="N49" s="73">
        <v>383926</v>
      </c>
      <c r="O49" s="73">
        <f t="shared" si="0"/>
        <v>383926</v>
      </c>
      <c r="P49" s="73">
        <v>6427266</v>
      </c>
    </row>
    <row r="50" spans="1:16">
      <c r="A50" s="1" t="s">
        <v>1</v>
      </c>
      <c r="B50" s="89" t="s">
        <v>100</v>
      </c>
      <c r="C50" s="81">
        <v>19380</v>
      </c>
      <c r="D50" s="30">
        <v>19380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1">
        <v>0</v>
      </c>
      <c r="M50" s="69">
        <f t="shared" si="2"/>
        <v>38760</v>
      </c>
      <c r="N50" s="69">
        <v>19380</v>
      </c>
      <c r="O50" s="69">
        <f t="shared" si="0"/>
        <v>19380</v>
      </c>
      <c r="P50" s="69">
        <v>334560</v>
      </c>
    </row>
    <row r="51" spans="1:16">
      <c r="A51" s="1" t="s">
        <v>1</v>
      </c>
      <c r="B51" s="90" t="s">
        <v>101</v>
      </c>
      <c r="C51" s="82">
        <v>3420</v>
      </c>
      <c r="D51" s="15">
        <v>3420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6">
        <v>0</v>
      </c>
      <c r="M51" s="70">
        <f t="shared" si="2"/>
        <v>6840</v>
      </c>
      <c r="N51" s="70">
        <v>3420</v>
      </c>
      <c r="O51" s="70">
        <f t="shared" si="0"/>
        <v>3420</v>
      </c>
      <c r="P51" s="70">
        <v>53640</v>
      </c>
    </row>
    <row r="52" spans="1:16">
      <c r="A52" s="1" t="s">
        <v>1</v>
      </c>
      <c r="B52" s="90" t="s">
        <v>102</v>
      </c>
      <c r="C52" s="82">
        <v>34770</v>
      </c>
      <c r="D52" s="15">
        <v>34770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6">
        <v>0</v>
      </c>
      <c r="M52" s="70">
        <f t="shared" si="2"/>
        <v>69540</v>
      </c>
      <c r="N52" s="70">
        <v>34770</v>
      </c>
      <c r="O52" s="70">
        <f t="shared" si="0"/>
        <v>34770</v>
      </c>
      <c r="P52" s="70">
        <v>600240</v>
      </c>
    </row>
    <row r="53" spans="1:16" ht="19.5" thickBot="1">
      <c r="A53" s="1" t="s">
        <v>1</v>
      </c>
      <c r="B53" s="90" t="s">
        <v>103</v>
      </c>
      <c r="C53" s="82">
        <v>1137</v>
      </c>
      <c r="D53" s="15">
        <v>1158</v>
      </c>
      <c r="E53" s="15">
        <v>251</v>
      </c>
      <c r="F53" s="15">
        <v>252</v>
      </c>
      <c r="G53" s="15">
        <v>0</v>
      </c>
      <c r="H53" s="15">
        <v>0</v>
      </c>
      <c r="I53" s="15">
        <v>0</v>
      </c>
      <c r="J53" s="15">
        <v>0</v>
      </c>
      <c r="K53" s="15">
        <v>218</v>
      </c>
      <c r="L53" s="16">
        <v>0</v>
      </c>
      <c r="M53" s="70">
        <f t="shared" si="2"/>
        <v>3016</v>
      </c>
      <c r="N53" s="70">
        <v>1152</v>
      </c>
      <c r="O53" s="70">
        <f t="shared" si="0"/>
        <v>1152</v>
      </c>
      <c r="P53" s="70">
        <v>18367</v>
      </c>
    </row>
    <row r="54" spans="1:16" ht="19.5" thickBot="1">
      <c r="A54" s="1" t="s">
        <v>1</v>
      </c>
      <c r="B54" s="93" t="s">
        <v>104</v>
      </c>
      <c r="C54" s="85">
        <v>58707</v>
      </c>
      <c r="D54" s="41">
        <v>58728</v>
      </c>
      <c r="E54" s="41">
        <v>251</v>
      </c>
      <c r="F54" s="41">
        <v>252</v>
      </c>
      <c r="G54" s="41">
        <v>0</v>
      </c>
      <c r="H54" s="41">
        <v>0</v>
      </c>
      <c r="I54" s="41">
        <v>0</v>
      </c>
      <c r="J54" s="41">
        <v>0</v>
      </c>
      <c r="K54" s="41">
        <v>218</v>
      </c>
      <c r="L54" s="42">
        <v>0</v>
      </c>
      <c r="M54" s="73">
        <f t="shared" si="2"/>
        <v>118156</v>
      </c>
      <c r="N54" s="73">
        <v>58722</v>
      </c>
      <c r="O54" s="73">
        <f t="shared" si="0"/>
        <v>58722</v>
      </c>
      <c r="P54" s="73">
        <v>1006807</v>
      </c>
    </row>
    <row r="55" spans="1:16">
      <c r="A55" s="1" t="s">
        <v>1</v>
      </c>
      <c r="B55" s="89" t="s">
        <v>105</v>
      </c>
      <c r="C55" s="81">
        <v>9730</v>
      </c>
      <c r="D55" s="30">
        <v>7610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1">
        <v>0</v>
      </c>
      <c r="M55" s="69">
        <f t="shared" si="2"/>
        <v>17340</v>
      </c>
      <c r="N55" s="69">
        <v>9800</v>
      </c>
      <c r="O55" s="69">
        <f t="shared" si="0"/>
        <v>9800</v>
      </c>
      <c r="P55" s="69">
        <v>127920</v>
      </c>
    </row>
    <row r="56" spans="1:16">
      <c r="A56" s="1" t="s">
        <v>1</v>
      </c>
      <c r="B56" s="90" t="s">
        <v>106</v>
      </c>
      <c r="C56" s="82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6">
        <v>0</v>
      </c>
      <c r="M56" s="70">
        <f t="shared" si="2"/>
        <v>0</v>
      </c>
      <c r="N56" s="70">
        <v>0</v>
      </c>
      <c r="O56" s="70">
        <f t="shared" si="0"/>
        <v>0</v>
      </c>
      <c r="P56" s="70">
        <v>15600</v>
      </c>
    </row>
    <row r="57" spans="1:16">
      <c r="A57" s="1" t="s">
        <v>1</v>
      </c>
      <c r="B57" s="90" t="s">
        <v>107</v>
      </c>
      <c r="C57" s="82">
        <v>15200</v>
      </c>
      <c r="D57" s="15">
        <v>16300</v>
      </c>
      <c r="E57" s="15">
        <v>600</v>
      </c>
      <c r="F57" s="15">
        <v>500</v>
      </c>
      <c r="G57" s="15">
        <v>0</v>
      </c>
      <c r="H57" s="15">
        <v>0</v>
      </c>
      <c r="I57" s="15">
        <v>0</v>
      </c>
      <c r="J57" s="15">
        <v>0</v>
      </c>
      <c r="K57" s="15">
        <v>11600</v>
      </c>
      <c r="L57" s="16">
        <v>0</v>
      </c>
      <c r="M57" s="70">
        <f t="shared" si="2"/>
        <v>44200</v>
      </c>
      <c r="N57" s="70">
        <v>17800</v>
      </c>
      <c r="O57" s="70">
        <f t="shared" si="0"/>
        <v>17800</v>
      </c>
      <c r="P57" s="70">
        <v>258100</v>
      </c>
    </row>
    <row r="58" spans="1:16" ht="19.5" thickBot="1">
      <c r="A58" s="1" t="s">
        <v>1</v>
      </c>
      <c r="B58" s="90" t="s">
        <v>108</v>
      </c>
      <c r="C58" s="83">
        <v>0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7">
        <v>0</v>
      </c>
      <c r="M58" s="71">
        <f t="shared" si="2"/>
        <v>0</v>
      </c>
      <c r="N58" s="71">
        <v>0</v>
      </c>
      <c r="O58" s="71">
        <f t="shared" si="0"/>
        <v>0</v>
      </c>
      <c r="P58" s="71">
        <v>-146785</v>
      </c>
    </row>
    <row r="59" spans="1:16" ht="19.5" thickBot="1">
      <c r="A59" s="1" t="s">
        <v>1</v>
      </c>
      <c r="B59" s="93" t="s">
        <v>109</v>
      </c>
      <c r="C59" s="85">
        <v>83637</v>
      </c>
      <c r="D59" s="41">
        <v>82638</v>
      </c>
      <c r="E59" s="41">
        <v>851</v>
      </c>
      <c r="F59" s="41">
        <v>752</v>
      </c>
      <c r="G59" s="41">
        <v>0</v>
      </c>
      <c r="H59" s="41">
        <v>0</v>
      </c>
      <c r="I59" s="41">
        <v>0</v>
      </c>
      <c r="J59" s="41">
        <v>0</v>
      </c>
      <c r="K59" s="41">
        <v>11818</v>
      </c>
      <c r="L59" s="42">
        <v>0</v>
      </c>
      <c r="M59" s="73">
        <f t="shared" si="2"/>
        <v>179696</v>
      </c>
      <c r="N59" s="73">
        <v>86322</v>
      </c>
      <c r="O59" s="73">
        <f t="shared" si="0"/>
        <v>86322</v>
      </c>
      <c r="P59" s="73">
        <v>1261642</v>
      </c>
    </row>
    <row r="60" spans="1:16" ht="19.5" thickBot="1">
      <c r="A60" s="1" t="s">
        <v>1</v>
      </c>
      <c r="B60" s="93" t="s">
        <v>110</v>
      </c>
      <c r="C60" s="85">
        <v>316509</v>
      </c>
      <c r="D60" s="41">
        <v>321824</v>
      </c>
      <c r="E60" s="41">
        <v>80709</v>
      </c>
      <c r="F60" s="41">
        <v>81628</v>
      </c>
      <c r="G60" s="41">
        <v>75180</v>
      </c>
      <c r="H60" s="41">
        <v>75180</v>
      </c>
      <c r="I60" s="41">
        <v>82950</v>
      </c>
      <c r="J60" s="41">
        <v>34650</v>
      </c>
      <c r="K60" s="41">
        <v>65302</v>
      </c>
      <c r="L60" s="42">
        <v>21840</v>
      </c>
      <c r="M60" s="73">
        <f t="shared" si="2"/>
        <v>1155772</v>
      </c>
      <c r="N60" s="73">
        <v>317402</v>
      </c>
      <c r="O60" s="73">
        <f t="shared" si="0"/>
        <v>317402</v>
      </c>
      <c r="P60" s="73">
        <v>5288942</v>
      </c>
    </row>
    <row r="61" spans="1:16" ht="19.5" thickBot="1">
      <c r="A61" s="1" t="s">
        <v>1</v>
      </c>
      <c r="B61" s="93" t="s">
        <v>111</v>
      </c>
      <c r="C61" s="85">
        <v>295493</v>
      </c>
      <c r="D61" s="41">
        <v>303316</v>
      </c>
      <c r="E61" s="41">
        <v>82823</v>
      </c>
      <c r="F61" s="41">
        <v>83085</v>
      </c>
      <c r="G61" s="41">
        <v>78312</v>
      </c>
      <c r="H61" s="41">
        <v>79094</v>
      </c>
      <c r="I61" s="41">
        <v>87543</v>
      </c>
      <c r="J61" s="41">
        <v>36346</v>
      </c>
      <c r="K61" s="41">
        <v>61008</v>
      </c>
      <c r="L61" s="42">
        <v>24189</v>
      </c>
      <c r="M61" s="73">
        <f t="shared" si="2"/>
        <v>1131209</v>
      </c>
      <c r="N61" s="73">
        <v>297604</v>
      </c>
      <c r="O61" s="73">
        <f t="shared" si="0"/>
        <v>297604</v>
      </c>
      <c r="P61" s="73">
        <v>5165624</v>
      </c>
    </row>
    <row r="62" spans="1:16">
      <c r="A62" s="1" t="s">
        <v>1</v>
      </c>
      <c r="B62" s="89" t="s">
        <v>112</v>
      </c>
      <c r="C62" s="81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1">
        <v>0</v>
      </c>
      <c r="M62" s="69">
        <f t="shared" si="2"/>
        <v>0</v>
      </c>
      <c r="N62" s="69">
        <v>0</v>
      </c>
      <c r="O62" s="69">
        <f t="shared" si="0"/>
        <v>0</v>
      </c>
      <c r="P62" s="69">
        <v>0</v>
      </c>
    </row>
    <row r="63" spans="1:16">
      <c r="A63" s="1" t="s">
        <v>1</v>
      </c>
      <c r="B63" s="90" t="s">
        <v>113</v>
      </c>
      <c r="C63" s="82">
        <v>295493</v>
      </c>
      <c r="D63" s="15">
        <v>303316</v>
      </c>
      <c r="E63" s="15">
        <v>82823</v>
      </c>
      <c r="F63" s="15">
        <v>83085</v>
      </c>
      <c r="G63" s="15">
        <v>78312</v>
      </c>
      <c r="H63" s="15">
        <v>79094</v>
      </c>
      <c r="I63" s="15">
        <v>87543</v>
      </c>
      <c r="J63" s="15">
        <v>36346</v>
      </c>
      <c r="K63" s="15">
        <v>61008</v>
      </c>
      <c r="L63" s="16">
        <v>24189</v>
      </c>
      <c r="M63" s="70">
        <f t="shared" si="2"/>
        <v>1131209</v>
      </c>
      <c r="N63" s="70">
        <v>297604</v>
      </c>
      <c r="O63" s="70">
        <f t="shared" si="0"/>
        <v>297604</v>
      </c>
      <c r="P63" s="70">
        <v>5165624</v>
      </c>
    </row>
    <row r="64" spans="1:16">
      <c r="A64" s="1" t="s">
        <v>1</v>
      </c>
      <c r="B64" s="90" t="s">
        <v>114</v>
      </c>
      <c r="C64" s="82">
        <v>0</v>
      </c>
      <c r="D64" s="15">
        <v>1</v>
      </c>
      <c r="E64" s="15">
        <v>0</v>
      </c>
      <c r="F64" s="15">
        <v>0</v>
      </c>
      <c r="G64" s="15">
        <v>1</v>
      </c>
      <c r="H64" s="15">
        <v>1</v>
      </c>
      <c r="I64" s="15">
        <v>1</v>
      </c>
      <c r="J64" s="15">
        <v>1</v>
      </c>
      <c r="K64" s="15">
        <v>1</v>
      </c>
      <c r="L64" s="16">
        <v>0</v>
      </c>
      <c r="M64" s="70"/>
      <c r="N64" s="70">
        <v>0</v>
      </c>
      <c r="O64" s="70"/>
      <c r="P64" s="70"/>
    </row>
    <row r="65" spans="1:16" ht="19.5" thickBot="1">
      <c r="A65" s="1" t="s">
        <v>1</v>
      </c>
      <c r="B65" s="91" t="s">
        <v>115</v>
      </c>
      <c r="C65" s="86" t="s">
        <v>116</v>
      </c>
      <c r="D65" s="19" t="s">
        <v>116</v>
      </c>
      <c r="E65" s="19" t="s">
        <v>116</v>
      </c>
      <c r="F65" s="19" t="s">
        <v>116</v>
      </c>
      <c r="G65" s="19" t="s">
        <v>116</v>
      </c>
      <c r="H65" s="19" t="s">
        <v>116</v>
      </c>
      <c r="I65" s="19" t="s">
        <v>116</v>
      </c>
      <c r="J65" s="19" t="s">
        <v>116</v>
      </c>
      <c r="K65" s="19" t="s">
        <v>116</v>
      </c>
      <c r="L65" s="20" t="s">
        <v>116</v>
      </c>
      <c r="M65" s="74"/>
      <c r="N65" s="74" t="s">
        <v>116</v>
      </c>
      <c r="O65" s="74"/>
      <c r="P65" s="74"/>
    </row>
  </sheetData>
  <phoneticPr fontId="3"/>
  <pageMargins left="0.11811023622047245" right="0.11811023622047245" top="0.15748031496062992" bottom="0.15748031496062992" header="0.11811023622047245" footer="0.11811023622047245"/>
  <pageSetup paperSize="9"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55B2-CA13-467A-BB27-4029AD04960F}">
  <sheetPr>
    <pageSetUpPr fitToPage="1"/>
  </sheetPr>
  <dimension ref="A1:S65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9" width="11.375" style="2" customWidth="1"/>
    <col min="20" max="244" width="9" style="2"/>
    <col min="245" max="245" width="2.375" style="2" customWidth="1"/>
    <col min="246" max="246" width="13.25" style="2" bestFit="1" customWidth="1"/>
    <col min="247" max="248" width="11.125" style="2" bestFit="1" customWidth="1"/>
    <col min="249" max="249" width="13.25" style="2" bestFit="1" customWidth="1"/>
    <col min="250" max="250" width="11.125" style="2" bestFit="1" customWidth="1"/>
    <col min="251" max="251" width="9" style="2"/>
    <col min="252" max="252" width="11.125" style="2" bestFit="1" customWidth="1"/>
    <col min="253" max="253" width="9" style="2"/>
    <col min="254" max="264" width="11.125" style="2" bestFit="1" customWidth="1"/>
    <col min="265" max="265" width="9" style="2"/>
    <col min="266" max="273" width="11.125" style="2" bestFit="1" customWidth="1"/>
    <col min="274" max="274" width="9.625" style="2" bestFit="1" customWidth="1"/>
    <col min="275" max="500" width="9" style="2"/>
    <col min="501" max="501" width="2.375" style="2" customWidth="1"/>
    <col min="502" max="502" width="13.25" style="2" bestFit="1" customWidth="1"/>
    <col min="503" max="504" width="11.125" style="2" bestFit="1" customWidth="1"/>
    <col min="505" max="505" width="13.25" style="2" bestFit="1" customWidth="1"/>
    <col min="506" max="506" width="11.125" style="2" bestFit="1" customWidth="1"/>
    <col min="507" max="507" width="9" style="2"/>
    <col min="508" max="508" width="11.125" style="2" bestFit="1" customWidth="1"/>
    <col min="509" max="509" width="9" style="2"/>
    <col min="510" max="520" width="11.125" style="2" bestFit="1" customWidth="1"/>
    <col min="521" max="521" width="9" style="2"/>
    <col min="522" max="529" width="11.125" style="2" bestFit="1" customWidth="1"/>
    <col min="530" max="530" width="9.625" style="2" bestFit="1" customWidth="1"/>
    <col min="531" max="756" width="9" style="2"/>
    <col min="757" max="757" width="2.375" style="2" customWidth="1"/>
    <col min="758" max="758" width="13.25" style="2" bestFit="1" customWidth="1"/>
    <col min="759" max="760" width="11.125" style="2" bestFit="1" customWidth="1"/>
    <col min="761" max="761" width="13.25" style="2" bestFit="1" customWidth="1"/>
    <col min="762" max="762" width="11.125" style="2" bestFit="1" customWidth="1"/>
    <col min="763" max="763" width="9" style="2"/>
    <col min="764" max="764" width="11.125" style="2" bestFit="1" customWidth="1"/>
    <col min="765" max="765" width="9" style="2"/>
    <col min="766" max="776" width="11.125" style="2" bestFit="1" customWidth="1"/>
    <col min="777" max="777" width="9" style="2"/>
    <col min="778" max="785" width="11.125" style="2" bestFit="1" customWidth="1"/>
    <col min="786" max="786" width="9.625" style="2" bestFit="1" customWidth="1"/>
    <col min="787" max="1012" width="9" style="2"/>
    <col min="1013" max="1013" width="2.375" style="2" customWidth="1"/>
    <col min="1014" max="1014" width="13.25" style="2" bestFit="1" customWidth="1"/>
    <col min="1015" max="1016" width="11.125" style="2" bestFit="1" customWidth="1"/>
    <col min="1017" max="1017" width="13.25" style="2" bestFit="1" customWidth="1"/>
    <col min="1018" max="1018" width="11.125" style="2" bestFit="1" customWidth="1"/>
    <col min="1019" max="1019" width="9" style="2"/>
    <col min="1020" max="1020" width="11.125" style="2" bestFit="1" customWidth="1"/>
    <col min="1021" max="1021" width="9" style="2"/>
    <col min="1022" max="1032" width="11.125" style="2" bestFit="1" customWidth="1"/>
    <col min="1033" max="1033" width="9" style="2"/>
    <col min="1034" max="1041" width="11.125" style="2" bestFit="1" customWidth="1"/>
    <col min="1042" max="1042" width="9.625" style="2" bestFit="1" customWidth="1"/>
    <col min="1043" max="1268" width="9" style="2"/>
    <col min="1269" max="1269" width="2.375" style="2" customWidth="1"/>
    <col min="1270" max="1270" width="13.25" style="2" bestFit="1" customWidth="1"/>
    <col min="1271" max="1272" width="11.125" style="2" bestFit="1" customWidth="1"/>
    <col min="1273" max="1273" width="13.25" style="2" bestFit="1" customWidth="1"/>
    <col min="1274" max="1274" width="11.125" style="2" bestFit="1" customWidth="1"/>
    <col min="1275" max="1275" width="9" style="2"/>
    <col min="1276" max="1276" width="11.125" style="2" bestFit="1" customWidth="1"/>
    <col min="1277" max="1277" width="9" style="2"/>
    <col min="1278" max="1288" width="11.125" style="2" bestFit="1" customWidth="1"/>
    <col min="1289" max="1289" width="9" style="2"/>
    <col min="1290" max="1297" width="11.125" style="2" bestFit="1" customWidth="1"/>
    <col min="1298" max="1298" width="9.625" style="2" bestFit="1" customWidth="1"/>
    <col min="1299" max="1524" width="9" style="2"/>
    <col min="1525" max="1525" width="2.375" style="2" customWidth="1"/>
    <col min="1526" max="1526" width="13.25" style="2" bestFit="1" customWidth="1"/>
    <col min="1527" max="1528" width="11.125" style="2" bestFit="1" customWidth="1"/>
    <col min="1529" max="1529" width="13.25" style="2" bestFit="1" customWidth="1"/>
    <col min="1530" max="1530" width="11.125" style="2" bestFit="1" customWidth="1"/>
    <col min="1531" max="1531" width="9" style="2"/>
    <col min="1532" max="1532" width="11.125" style="2" bestFit="1" customWidth="1"/>
    <col min="1533" max="1533" width="9" style="2"/>
    <col min="1534" max="1544" width="11.125" style="2" bestFit="1" customWidth="1"/>
    <col min="1545" max="1545" width="9" style="2"/>
    <col min="1546" max="1553" width="11.125" style="2" bestFit="1" customWidth="1"/>
    <col min="1554" max="1554" width="9.625" style="2" bestFit="1" customWidth="1"/>
    <col min="1555" max="1780" width="9" style="2"/>
    <col min="1781" max="1781" width="2.375" style="2" customWidth="1"/>
    <col min="1782" max="1782" width="13.25" style="2" bestFit="1" customWidth="1"/>
    <col min="1783" max="1784" width="11.125" style="2" bestFit="1" customWidth="1"/>
    <col min="1785" max="1785" width="13.25" style="2" bestFit="1" customWidth="1"/>
    <col min="1786" max="1786" width="11.125" style="2" bestFit="1" customWidth="1"/>
    <col min="1787" max="1787" width="9" style="2"/>
    <col min="1788" max="1788" width="11.125" style="2" bestFit="1" customWidth="1"/>
    <col min="1789" max="1789" width="9" style="2"/>
    <col min="1790" max="1800" width="11.125" style="2" bestFit="1" customWidth="1"/>
    <col min="1801" max="1801" width="9" style="2"/>
    <col min="1802" max="1809" width="11.125" style="2" bestFit="1" customWidth="1"/>
    <col min="1810" max="1810" width="9.625" style="2" bestFit="1" customWidth="1"/>
    <col min="1811" max="2036" width="9" style="2"/>
    <col min="2037" max="2037" width="2.375" style="2" customWidth="1"/>
    <col min="2038" max="2038" width="13.25" style="2" bestFit="1" customWidth="1"/>
    <col min="2039" max="2040" width="11.125" style="2" bestFit="1" customWidth="1"/>
    <col min="2041" max="2041" width="13.25" style="2" bestFit="1" customWidth="1"/>
    <col min="2042" max="2042" width="11.125" style="2" bestFit="1" customWidth="1"/>
    <col min="2043" max="2043" width="9" style="2"/>
    <col min="2044" max="2044" width="11.125" style="2" bestFit="1" customWidth="1"/>
    <col min="2045" max="2045" width="9" style="2"/>
    <col min="2046" max="2056" width="11.125" style="2" bestFit="1" customWidth="1"/>
    <col min="2057" max="2057" width="9" style="2"/>
    <col min="2058" max="2065" width="11.125" style="2" bestFit="1" customWidth="1"/>
    <col min="2066" max="2066" width="9.625" style="2" bestFit="1" customWidth="1"/>
    <col min="2067" max="2292" width="9" style="2"/>
    <col min="2293" max="2293" width="2.375" style="2" customWidth="1"/>
    <col min="2294" max="2294" width="13.25" style="2" bestFit="1" customWidth="1"/>
    <col min="2295" max="2296" width="11.125" style="2" bestFit="1" customWidth="1"/>
    <col min="2297" max="2297" width="13.25" style="2" bestFit="1" customWidth="1"/>
    <col min="2298" max="2298" width="11.125" style="2" bestFit="1" customWidth="1"/>
    <col min="2299" max="2299" width="9" style="2"/>
    <col min="2300" max="2300" width="11.125" style="2" bestFit="1" customWidth="1"/>
    <col min="2301" max="2301" width="9" style="2"/>
    <col min="2302" max="2312" width="11.125" style="2" bestFit="1" customWidth="1"/>
    <col min="2313" max="2313" width="9" style="2"/>
    <col min="2314" max="2321" width="11.125" style="2" bestFit="1" customWidth="1"/>
    <col min="2322" max="2322" width="9.625" style="2" bestFit="1" customWidth="1"/>
    <col min="2323" max="2548" width="9" style="2"/>
    <col min="2549" max="2549" width="2.375" style="2" customWidth="1"/>
    <col min="2550" max="2550" width="13.25" style="2" bestFit="1" customWidth="1"/>
    <col min="2551" max="2552" width="11.125" style="2" bestFit="1" customWidth="1"/>
    <col min="2553" max="2553" width="13.25" style="2" bestFit="1" customWidth="1"/>
    <col min="2554" max="2554" width="11.125" style="2" bestFit="1" customWidth="1"/>
    <col min="2555" max="2555" width="9" style="2"/>
    <col min="2556" max="2556" width="11.125" style="2" bestFit="1" customWidth="1"/>
    <col min="2557" max="2557" width="9" style="2"/>
    <col min="2558" max="2568" width="11.125" style="2" bestFit="1" customWidth="1"/>
    <col min="2569" max="2569" width="9" style="2"/>
    <col min="2570" max="2577" width="11.125" style="2" bestFit="1" customWidth="1"/>
    <col min="2578" max="2578" width="9.625" style="2" bestFit="1" customWidth="1"/>
    <col min="2579" max="2804" width="9" style="2"/>
    <col min="2805" max="2805" width="2.375" style="2" customWidth="1"/>
    <col min="2806" max="2806" width="13.25" style="2" bestFit="1" customWidth="1"/>
    <col min="2807" max="2808" width="11.125" style="2" bestFit="1" customWidth="1"/>
    <col min="2809" max="2809" width="13.25" style="2" bestFit="1" customWidth="1"/>
    <col min="2810" max="2810" width="11.125" style="2" bestFit="1" customWidth="1"/>
    <col min="2811" max="2811" width="9" style="2"/>
    <col min="2812" max="2812" width="11.125" style="2" bestFit="1" customWidth="1"/>
    <col min="2813" max="2813" width="9" style="2"/>
    <col min="2814" max="2824" width="11.125" style="2" bestFit="1" customWidth="1"/>
    <col min="2825" max="2825" width="9" style="2"/>
    <col min="2826" max="2833" width="11.125" style="2" bestFit="1" customWidth="1"/>
    <col min="2834" max="2834" width="9.625" style="2" bestFit="1" customWidth="1"/>
    <col min="2835" max="3060" width="9" style="2"/>
    <col min="3061" max="3061" width="2.375" style="2" customWidth="1"/>
    <col min="3062" max="3062" width="13.25" style="2" bestFit="1" customWidth="1"/>
    <col min="3063" max="3064" width="11.125" style="2" bestFit="1" customWidth="1"/>
    <col min="3065" max="3065" width="13.25" style="2" bestFit="1" customWidth="1"/>
    <col min="3066" max="3066" width="11.125" style="2" bestFit="1" customWidth="1"/>
    <col min="3067" max="3067" width="9" style="2"/>
    <col min="3068" max="3068" width="11.125" style="2" bestFit="1" customWidth="1"/>
    <col min="3069" max="3069" width="9" style="2"/>
    <col min="3070" max="3080" width="11.125" style="2" bestFit="1" customWidth="1"/>
    <col min="3081" max="3081" width="9" style="2"/>
    <col min="3082" max="3089" width="11.125" style="2" bestFit="1" customWidth="1"/>
    <col min="3090" max="3090" width="9.625" style="2" bestFit="1" customWidth="1"/>
    <col min="3091" max="3316" width="9" style="2"/>
    <col min="3317" max="3317" width="2.375" style="2" customWidth="1"/>
    <col min="3318" max="3318" width="13.25" style="2" bestFit="1" customWidth="1"/>
    <col min="3319" max="3320" width="11.125" style="2" bestFit="1" customWidth="1"/>
    <col min="3321" max="3321" width="13.25" style="2" bestFit="1" customWidth="1"/>
    <col min="3322" max="3322" width="11.125" style="2" bestFit="1" customWidth="1"/>
    <col min="3323" max="3323" width="9" style="2"/>
    <col min="3324" max="3324" width="11.125" style="2" bestFit="1" customWidth="1"/>
    <col min="3325" max="3325" width="9" style="2"/>
    <col min="3326" max="3336" width="11.125" style="2" bestFit="1" customWidth="1"/>
    <col min="3337" max="3337" width="9" style="2"/>
    <col min="3338" max="3345" width="11.125" style="2" bestFit="1" customWidth="1"/>
    <col min="3346" max="3346" width="9.625" style="2" bestFit="1" customWidth="1"/>
    <col min="3347" max="3572" width="9" style="2"/>
    <col min="3573" max="3573" width="2.375" style="2" customWidth="1"/>
    <col min="3574" max="3574" width="13.25" style="2" bestFit="1" customWidth="1"/>
    <col min="3575" max="3576" width="11.125" style="2" bestFit="1" customWidth="1"/>
    <col min="3577" max="3577" width="13.25" style="2" bestFit="1" customWidth="1"/>
    <col min="3578" max="3578" width="11.125" style="2" bestFit="1" customWidth="1"/>
    <col min="3579" max="3579" width="9" style="2"/>
    <col min="3580" max="3580" width="11.125" style="2" bestFit="1" customWidth="1"/>
    <col min="3581" max="3581" width="9" style="2"/>
    <col min="3582" max="3592" width="11.125" style="2" bestFit="1" customWidth="1"/>
    <col min="3593" max="3593" width="9" style="2"/>
    <col min="3594" max="3601" width="11.125" style="2" bestFit="1" customWidth="1"/>
    <col min="3602" max="3602" width="9.625" style="2" bestFit="1" customWidth="1"/>
    <col min="3603" max="3828" width="9" style="2"/>
    <col min="3829" max="3829" width="2.375" style="2" customWidth="1"/>
    <col min="3830" max="3830" width="13.25" style="2" bestFit="1" customWidth="1"/>
    <col min="3831" max="3832" width="11.125" style="2" bestFit="1" customWidth="1"/>
    <col min="3833" max="3833" width="13.25" style="2" bestFit="1" customWidth="1"/>
    <col min="3834" max="3834" width="11.125" style="2" bestFit="1" customWidth="1"/>
    <col min="3835" max="3835" width="9" style="2"/>
    <col min="3836" max="3836" width="11.125" style="2" bestFit="1" customWidth="1"/>
    <col min="3837" max="3837" width="9" style="2"/>
    <col min="3838" max="3848" width="11.125" style="2" bestFit="1" customWidth="1"/>
    <col min="3849" max="3849" width="9" style="2"/>
    <col min="3850" max="3857" width="11.125" style="2" bestFit="1" customWidth="1"/>
    <col min="3858" max="3858" width="9.625" style="2" bestFit="1" customWidth="1"/>
    <col min="3859" max="4084" width="9" style="2"/>
    <col min="4085" max="4085" width="2.375" style="2" customWidth="1"/>
    <col min="4086" max="4086" width="13.25" style="2" bestFit="1" customWidth="1"/>
    <col min="4087" max="4088" width="11.125" style="2" bestFit="1" customWidth="1"/>
    <col min="4089" max="4089" width="13.25" style="2" bestFit="1" customWidth="1"/>
    <col min="4090" max="4090" width="11.125" style="2" bestFit="1" customWidth="1"/>
    <col min="4091" max="4091" width="9" style="2"/>
    <col min="4092" max="4092" width="11.125" style="2" bestFit="1" customWidth="1"/>
    <col min="4093" max="4093" width="9" style="2"/>
    <col min="4094" max="4104" width="11.125" style="2" bestFit="1" customWidth="1"/>
    <col min="4105" max="4105" width="9" style="2"/>
    <col min="4106" max="4113" width="11.125" style="2" bestFit="1" customWidth="1"/>
    <col min="4114" max="4114" width="9.625" style="2" bestFit="1" customWidth="1"/>
    <col min="4115" max="4340" width="9" style="2"/>
    <col min="4341" max="4341" width="2.375" style="2" customWidth="1"/>
    <col min="4342" max="4342" width="13.25" style="2" bestFit="1" customWidth="1"/>
    <col min="4343" max="4344" width="11.125" style="2" bestFit="1" customWidth="1"/>
    <col min="4345" max="4345" width="13.25" style="2" bestFit="1" customWidth="1"/>
    <col min="4346" max="4346" width="11.125" style="2" bestFit="1" customWidth="1"/>
    <col min="4347" max="4347" width="9" style="2"/>
    <col min="4348" max="4348" width="11.125" style="2" bestFit="1" customWidth="1"/>
    <col min="4349" max="4349" width="9" style="2"/>
    <col min="4350" max="4360" width="11.125" style="2" bestFit="1" customWidth="1"/>
    <col min="4361" max="4361" width="9" style="2"/>
    <col min="4362" max="4369" width="11.125" style="2" bestFit="1" customWidth="1"/>
    <col min="4370" max="4370" width="9.625" style="2" bestFit="1" customWidth="1"/>
    <col min="4371" max="4596" width="9" style="2"/>
    <col min="4597" max="4597" width="2.375" style="2" customWidth="1"/>
    <col min="4598" max="4598" width="13.25" style="2" bestFit="1" customWidth="1"/>
    <col min="4599" max="4600" width="11.125" style="2" bestFit="1" customWidth="1"/>
    <col min="4601" max="4601" width="13.25" style="2" bestFit="1" customWidth="1"/>
    <col min="4602" max="4602" width="11.125" style="2" bestFit="1" customWidth="1"/>
    <col min="4603" max="4603" width="9" style="2"/>
    <col min="4604" max="4604" width="11.125" style="2" bestFit="1" customWidth="1"/>
    <col min="4605" max="4605" width="9" style="2"/>
    <col min="4606" max="4616" width="11.125" style="2" bestFit="1" customWidth="1"/>
    <col min="4617" max="4617" width="9" style="2"/>
    <col min="4618" max="4625" width="11.125" style="2" bestFit="1" customWidth="1"/>
    <col min="4626" max="4626" width="9.625" style="2" bestFit="1" customWidth="1"/>
    <col min="4627" max="4852" width="9" style="2"/>
    <col min="4853" max="4853" width="2.375" style="2" customWidth="1"/>
    <col min="4854" max="4854" width="13.25" style="2" bestFit="1" customWidth="1"/>
    <col min="4855" max="4856" width="11.125" style="2" bestFit="1" customWidth="1"/>
    <col min="4857" max="4857" width="13.25" style="2" bestFit="1" customWidth="1"/>
    <col min="4858" max="4858" width="11.125" style="2" bestFit="1" customWidth="1"/>
    <col min="4859" max="4859" width="9" style="2"/>
    <col min="4860" max="4860" width="11.125" style="2" bestFit="1" customWidth="1"/>
    <col min="4861" max="4861" width="9" style="2"/>
    <col min="4862" max="4872" width="11.125" style="2" bestFit="1" customWidth="1"/>
    <col min="4873" max="4873" width="9" style="2"/>
    <col min="4874" max="4881" width="11.125" style="2" bestFit="1" customWidth="1"/>
    <col min="4882" max="4882" width="9.625" style="2" bestFit="1" customWidth="1"/>
    <col min="4883" max="5108" width="9" style="2"/>
    <col min="5109" max="5109" width="2.375" style="2" customWidth="1"/>
    <col min="5110" max="5110" width="13.25" style="2" bestFit="1" customWidth="1"/>
    <col min="5111" max="5112" width="11.125" style="2" bestFit="1" customWidth="1"/>
    <col min="5113" max="5113" width="13.25" style="2" bestFit="1" customWidth="1"/>
    <col min="5114" max="5114" width="11.125" style="2" bestFit="1" customWidth="1"/>
    <col min="5115" max="5115" width="9" style="2"/>
    <col min="5116" max="5116" width="11.125" style="2" bestFit="1" customWidth="1"/>
    <col min="5117" max="5117" width="9" style="2"/>
    <col min="5118" max="5128" width="11.125" style="2" bestFit="1" customWidth="1"/>
    <col min="5129" max="5129" width="9" style="2"/>
    <col min="5130" max="5137" width="11.125" style="2" bestFit="1" customWidth="1"/>
    <col min="5138" max="5138" width="9.625" style="2" bestFit="1" customWidth="1"/>
    <col min="5139" max="5364" width="9" style="2"/>
    <col min="5365" max="5365" width="2.375" style="2" customWidth="1"/>
    <col min="5366" max="5366" width="13.25" style="2" bestFit="1" customWidth="1"/>
    <col min="5367" max="5368" width="11.125" style="2" bestFit="1" customWidth="1"/>
    <col min="5369" max="5369" width="13.25" style="2" bestFit="1" customWidth="1"/>
    <col min="5370" max="5370" width="11.125" style="2" bestFit="1" customWidth="1"/>
    <col min="5371" max="5371" width="9" style="2"/>
    <col min="5372" max="5372" width="11.125" style="2" bestFit="1" customWidth="1"/>
    <col min="5373" max="5373" width="9" style="2"/>
    <col min="5374" max="5384" width="11.125" style="2" bestFit="1" customWidth="1"/>
    <col min="5385" max="5385" width="9" style="2"/>
    <col min="5386" max="5393" width="11.125" style="2" bestFit="1" customWidth="1"/>
    <col min="5394" max="5394" width="9.625" style="2" bestFit="1" customWidth="1"/>
    <col min="5395" max="5620" width="9" style="2"/>
    <col min="5621" max="5621" width="2.375" style="2" customWidth="1"/>
    <col min="5622" max="5622" width="13.25" style="2" bestFit="1" customWidth="1"/>
    <col min="5623" max="5624" width="11.125" style="2" bestFit="1" customWidth="1"/>
    <col min="5625" max="5625" width="13.25" style="2" bestFit="1" customWidth="1"/>
    <col min="5626" max="5626" width="11.125" style="2" bestFit="1" customWidth="1"/>
    <col min="5627" max="5627" width="9" style="2"/>
    <col min="5628" max="5628" width="11.125" style="2" bestFit="1" customWidth="1"/>
    <col min="5629" max="5629" width="9" style="2"/>
    <col min="5630" max="5640" width="11.125" style="2" bestFit="1" customWidth="1"/>
    <col min="5641" max="5641" width="9" style="2"/>
    <col min="5642" max="5649" width="11.125" style="2" bestFit="1" customWidth="1"/>
    <col min="5650" max="5650" width="9.625" style="2" bestFit="1" customWidth="1"/>
    <col min="5651" max="5876" width="9" style="2"/>
    <col min="5877" max="5877" width="2.375" style="2" customWidth="1"/>
    <col min="5878" max="5878" width="13.25" style="2" bestFit="1" customWidth="1"/>
    <col min="5879" max="5880" width="11.125" style="2" bestFit="1" customWidth="1"/>
    <col min="5881" max="5881" width="13.25" style="2" bestFit="1" customWidth="1"/>
    <col min="5882" max="5882" width="11.125" style="2" bestFit="1" customWidth="1"/>
    <col min="5883" max="5883" width="9" style="2"/>
    <col min="5884" max="5884" width="11.125" style="2" bestFit="1" customWidth="1"/>
    <col min="5885" max="5885" width="9" style="2"/>
    <col min="5886" max="5896" width="11.125" style="2" bestFit="1" customWidth="1"/>
    <col min="5897" max="5897" width="9" style="2"/>
    <col min="5898" max="5905" width="11.125" style="2" bestFit="1" customWidth="1"/>
    <col min="5906" max="5906" width="9.625" style="2" bestFit="1" customWidth="1"/>
    <col min="5907" max="6132" width="9" style="2"/>
    <col min="6133" max="6133" width="2.375" style="2" customWidth="1"/>
    <col min="6134" max="6134" width="13.25" style="2" bestFit="1" customWidth="1"/>
    <col min="6135" max="6136" width="11.125" style="2" bestFit="1" customWidth="1"/>
    <col min="6137" max="6137" width="13.25" style="2" bestFit="1" customWidth="1"/>
    <col min="6138" max="6138" width="11.125" style="2" bestFit="1" customWidth="1"/>
    <col min="6139" max="6139" width="9" style="2"/>
    <col min="6140" max="6140" width="11.125" style="2" bestFit="1" customWidth="1"/>
    <col min="6141" max="6141" width="9" style="2"/>
    <col min="6142" max="6152" width="11.125" style="2" bestFit="1" customWidth="1"/>
    <col min="6153" max="6153" width="9" style="2"/>
    <col min="6154" max="6161" width="11.125" style="2" bestFit="1" customWidth="1"/>
    <col min="6162" max="6162" width="9.625" style="2" bestFit="1" customWidth="1"/>
    <col min="6163" max="6388" width="9" style="2"/>
    <col min="6389" max="6389" width="2.375" style="2" customWidth="1"/>
    <col min="6390" max="6390" width="13.25" style="2" bestFit="1" customWidth="1"/>
    <col min="6391" max="6392" width="11.125" style="2" bestFit="1" customWidth="1"/>
    <col min="6393" max="6393" width="13.25" style="2" bestFit="1" customWidth="1"/>
    <col min="6394" max="6394" width="11.125" style="2" bestFit="1" customWidth="1"/>
    <col min="6395" max="6395" width="9" style="2"/>
    <col min="6396" max="6396" width="11.125" style="2" bestFit="1" customWidth="1"/>
    <col min="6397" max="6397" width="9" style="2"/>
    <col min="6398" max="6408" width="11.125" style="2" bestFit="1" customWidth="1"/>
    <col min="6409" max="6409" width="9" style="2"/>
    <col min="6410" max="6417" width="11.125" style="2" bestFit="1" customWidth="1"/>
    <col min="6418" max="6418" width="9.625" style="2" bestFit="1" customWidth="1"/>
    <col min="6419" max="6644" width="9" style="2"/>
    <col min="6645" max="6645" width="2.375" style="2" customWidth="1"/>
    <col min="6646" max="6646" width="13.25" style="2" bestFit="1" customWidth="1"/>
    <col min="6647" max="6648" width="11.125" style="2" bestFit="1" customWidth="1"/>
    <col min="6649" max="6649" width="13.25" style="2" bestFit="1" customWidth="1"/>
    <col min="6650" max="6650" width="11.125" style="2" bestFit="1" customWidth="1"/>
    <col min="6651" max="6651" width="9" style="2"/>
    <col min="6652" max="6652" width="11.125" style="2" bestFit="1" customWidth="1"/>
    <col min="6653" max="6653" width="9" style="2"/>
    <col min="6654" max="6664" width="11.125" style="2" bestFit="1" customWidth="1"/>
    <col min="6665" max="6665" width="9" style="2"/>
    <col min="6666" max="6673" width="11.125" style="2" bestFit="1" customWidth="1"/>
    <col min="6674" max="6674" width="9.625" style="2" bestFit="1" customWidth="1"/>
    <col min="6675" max="6900" width="9" style="2"/>
    <col min="6901" max="6901" width="2.375" style="2" customWidth="1"/>
    <col min="6902" max="6902" width="13.25" style="2" bestFit="1" customWidth="1"/>
    <col min="6903" max="6904" width="11.125" style="2" bestFit="1" customWidth="1"/>
    <col min="6905" max="6905" width="13.25" style="2" bestFit="1" customWidth="1"/>
    <col min="6906" max="6906" width="11.125" style="2" bestFit="1" customWidth="1"/>
    <col min="6907" max="6907" width="9" style="2"/>
    <col min="6908" max="6908" width="11.125" style="2" bestFit="1" customWidth="1"/>
    <col min="6909" max="6909" width="9" style="2"/>
    <col min="6910" max="6920" width="11.125" style="2" bestFit="1" customWidth="1"/>
    <col min="6921" max="6921" width="9" style="2"/>
    <col min="6922" max="6929" width="11.125" style="2" bestFit="1" customWidth="1"/>
    <col min="6930" max="6930" width="9.625" style="2" bestFit="1" customWidth="1"/>
    <col min="6931" max="7156" width="9" style="2"/>
    <col min="7157" max="7157" width="2.375" style="2" customWidth="1"/>
    <col min="7158" max="7158" width="13.25" style="2" bestFit="1" customWidth="1"/>
    <col min="7159" max="7160" width="11.125" style="2" bestFit="1" customWidth="1"/>
    <col min="7161" max="7161" width="13.25" style="2" bestFit="1" customWidth="1"/>
    <col min="7162" max="7162" width="11.125" style="2" bestFit="1" customWidth="1"/>
    <col min="7163" max="7163" width="9" style="2"/>
    <col min="7164" max="7164" width="11.125" style="2" bestFit="1" customWidth="1"/>
    <col min="7165" max="7165" width="9" style="2"/>
    <col min="7166" max="7176" width="11.125" style="2" bestFit="1" customWidth="1"/>
    <col min="7177" max="7177" width="9" style="2"/>
    <col min="7178" max="7185" width="11.125" style="2" bestFit="1" customWidth="1"/>
    <col min="7186" max="7186" width="9.625" style="2" bestFit="1" customWidth="1"/>
    <col min="7187" max="7412" width="9" style="2"/>
    <col min="7413" max="7413" width="2.375" style="2" customWidth="1"/>
    <col min="7414" max="7414" width="13.25" style="2" bestFit="1" customWidth="1"/>
    <col min="7415" max="7416" width="11.125" style="2" bestFit="1" customWidth="1"/>
    <col min="7417" max="7417" width="13.25" style="2" bestFit="1" customWidth="1"/>
    <col min="7418" max="7418" width="11.125" style="2" bestFit="1" customWidth="1"/>
    <col min="7419" max="7419" width="9" style="2"/>
    <col min="7420" max="7420" width="11.125" style="2" bestFit="1" customWidth="1"/>
    <col min="7421" max="7421" width="9" style="2"/>
    <col min="7422" max="7432" width="11.125" style="2" bestFit="1" customWidth="1"/>
    <col min="7433" max="7433" width="9" style="2"/>
    <col min="7434" max="7441" width="11.125" style="2" bestFit="1" customWidth="1"/>
    <col min="7442" max="7442" width="9.625" style="2" bestFit="1" customWidth="1"/>
    <col min="7443" max="7668" width="9" style="2"/>
    <col min="7669" max="7669" width="2.375" style="2" customWidth="1"/>
    <col min="7670" max="7670" width="13.25" style="2" bestFit="1" customWidth="1"/>
    <col min="7671" max="7672" width="11.125" style="2" bestFit="1" customWidth="1"/>
    <col min="7673" max="7673" width="13.25" style="2" bestFit="1" customWidth="1"/>
    <col min="7674" max="7674" width="11.125" style="2" bestFit="1" customWidth="1"/>
    <col min="7675" max="7675" width="9" style="2"/>
    <col min="7676" max="7676" width="11.125" style="2" bestFit="1" customWidth="1"/>
    <col min="7677" max="7677" width="9" style="2"/>
    <col min="7678" max="7688" width="11.125" style="2" bestFit="1" customWidth="1"/>
    <col min="7689" max="7689" width="9" style="2"/>
    <col min="7690" max="7697" width="11.125" style="2" bestFit="1" customWidth="1"/>
    <col min="7698" max="7698" width="9.625" style="2" bestFit="1" customWidth="1"/>
    <col min="7699" max="7924" width="9" style="2"/>
    <col min="7925" max="7925" width="2.375" style="2" customWidth="1"/>
    <col min="7926" max="7926" width="13.25" style="2" bestFit="1" customWidth="1"/>
    <col min="7927" max="7928" width="11.125" style="2" bestFit="1" customWidth="1"/>
    <col min="7929" max="7929" width="13.25" style="2" bestFit="1" customWidth="1"/>
    <col min="7930" max="7930" width="11.125" style="2" bestFit="1" customWidth="1"/>
    <col min="7931" max="7931" width="9" style="2"/>
    <col min="7932" max="7932" width="11.125" style="2" bestFit="1" customWidth="1"/>
    <col min="7933" max="7933" width="9" style="2"/>
    <col min="7934" max="7944" width="11.125" style="2" bestFit="1" customWidth="1"/>
    <col min="7945" max="7945" width="9" style="2"/>
    <col min="7946" max="7953" width="11.125" style="2" bestFit="1" customWidth="1"/>
    <col min="7954" max="7954" width="9.625" style="2" bestFit="1" customWidth="1"/>
    <col min="7955" max="8180" width="9" style="2"/>
    <col min="8181" max="8181" width="2.375" style="2" customWidth="1"/>
    <col min="8182" max="8182" width="13.25" style="2" bestFit="1" customWidth="1"/>
    <col min="8183" max="8184" width="11.125" style="2" bestFit="1" customWidth="1"/>
    <col min="8185" max="8185" width="13.25" style="2" bestFit="1" customWidth="1"/>
    <col min="8186" max="8186" width="11.125" style="2" bestFit="1" customWidth="1"/>
    <col min="8187" max="8187" width="9" style="2"/>
    <col min="8188" max="8188" width="11.125" style="2" bestFit="1" customWidth="1"/>
    <col min="8189" max="8189" width="9" style="2"/>
    <col min="8190" max="8200" width="11.125" style="2" bestFit="1" customWidth="1"/>
    <col min="8201" max="8201" width="9" style="2"/>
    <col min="8202" max="8209" width="11.125" style="2" bestFit="1" customWidth="1"/>
    <col min="8210" max="8210" width="9.625" style="2" bestFit="1" customWidth="1"/>
    <col min="8211" max="8436" width="9" style="2"/>
    <col min="8437" max="8437" width="2.375" style="2" customWidth="1"/>
    <col min="8438" max="8438" width="13.25" style="2" bestFit="1" customWidth="1"/>
    <col min="8439" max="8440" width="11.125" style="2" bestFit="1" customWidth="1"/>
    <col min="8441" max="8441" width="13.25" style="2" bestFit="1" customWidth="1"/>
    <col min="8442" max="8442" width="11.125" style="2" bestFit="1" customWidth="1"/>
    <col min="8443" max="8443" width="9" style="2"/>
    <col min="8444" max="8444" width="11.125" style="2" bestFit="1" customWidth="1"/>
    <col min="8445" max="8445" width="9" style="2"/>
    <col min="8446" max="8456" width="11.125" style="2" bestFit="1" customWidth="1"/>
    <col min="8457" max="8457" width="9" style="2"/>
    <col min="8458" max="8465" width="11.125" style="2" bestFit="1" customWidth="1"/>
    <col min="8466" max="8466" width="9.625" style="2" bestFit="1" customWidth="1"/>
    <col min="8467" max="8692" width="9" style="2"/>
    <col min="8693" max="8693" width="2.375" style="2" customWidth="1"/>
    <col min="8694" max="8694" width="13.25" style="2" bestFit="1" customWidth="1"/>
    <col min="8695" max="8696" width="11.125" style="2" bestFit="1" customWidth="1"/>
    <col min="8697" max="8697" width="13.25" style="2" bestFit="1" customWidth="1"/>
    <col min="8698" max="8698" width="11.125" style="2" bestFit="1" customWidth="1"/>
    <col min="8699" max="8699" width="9" style="2"/>
    <col min="8700" max="8700" width="11.125" style="2" bestFit="1" customWidth="1"/>
    <col min="8701" max="8701" width="9" style="2"/>
    <col min="8702" max="8712" width="11.125" style="2" bestFit="1" customWidth="1"/>
    <col min="8713" max="8713" width="9" style="2"/>
    <col min="8714" max="8721" width="11.125" style="2" bestFit="1" customWidth="1"/>
    <col min="8722" max="8722" width="9.625" style="2" bestFit="1" customWidth="1"/>
    <col min="8723" max="8948" width="9" style="2"/>
    <col min="8949" max="8949" width="2.375" style="2" customWidth="1"/>
    <col min="8950" max="8950" width="13.25" style="2" bestFit="1" customWidth="1"/>
    <col min="8951" max="8952" width="11.125" style="2" bestFit="1" customWidth="1"/>
    <col min="8953" max="8953" width="13.25" style="2" bestFit="1" customWidth="1"/>
    <col min="8954" max="8954" width="11.125" style="2" bestFit="1" customWidth="1"/>
    <col min="8955" max="8955" width="9" style="2"/>
    <col min="8956" max="8956" width="11.125" style="2" bestFit="1" customWidth="1"/>
    <col min="8957" max="8957" width="9" style="2"/>
    <col min="8958" max="8968" width="11.125" style="2" bestFit="1" customWidth="1"/>
    <col min="8969" max="8969" width="9" style="2"/>
    <col min="8970" max="8977" width="11.125" style="2" bestFit="1" customWidth="1"/>
    <col min="8978" max="8978" width="9.625" style="2" bestFit="1" customWidth="1"/>
    <col min="8979" max="9204" width="9" style="2"/>
    <col min="9205" max="9205" width="2.375" style="2" customWidth="1"/>
    <col min="9206" max="9206" width="13.25" style="2" bestFit="1" customWidth="1"/>
    <col min="9207" max="9208" width="11.125" style="2" bestFit="1" customWidth="1"/>
    <col min="9209" max="9209" width="13.25" style="2" bestFit="1" customWidth="1"/>
    <col min="9210" max="9210" width="11.125" style="2" bestFit="1" customWidth="1"/>
    <col min="9211" max="9211" width="9" style="2"/>
    <col min="9212" max="9212" width="11.125" style="2" bestFit="1" customWidth="1"/>
    <col min="9213" max="9213" width="9" style="2"/>
    <col min="9214" max="9224" width="11.125" style="2" bestFit="1" customWidth="1"/>
    <col min="9225" max="9225" width="9" style="2"/>
    <col min="9226" max="9233" width="11.125" style="2" bestFit="1" customWidth="1"/>
    <col min="9234" max="9234" width="9.625" style="2" bestFit="1" customWidth="1"/>
    <col min="9235" max="9460" width="9" style="2"/>
    <col min="9461" max="9461" width="2.375" style="2" customWidth="1"/>
    <col min="9462" max="9462" width="13.25" style="2" bestFit="1" customWidth="1"/>
    <col min="9463" max="9464" width="11.125" style="2" bestFit="1" customWidth="1"/>
    <col min="9465" max="9465" width="13.25" style="2" bestFit="1" customWidth="1"/>
    <col min="9466" max="9466" width="11.125" style="2" bestFit="1" customWidth="1"/>
    <col min="9467" max="9467" width="9" style="2"/>
    <col min="9468" max="9468" width="11.125" style="2" bestFit="1" customWidth="1"/>
    <col min="9469" max="9469" width="9" style="2"/>
    <col min="9470" max="9480" width="11.125" style="2" bestFit="1" customWidth="1"/>
    <col min="9481" max="9481" width="9" style="2"/>
    <col min="9482" max="9489" width="11.125" style="2" bestFit="1" customWidth="1"/>
    <col min="9490" max="9490" width="9.625" style="2" bestFit="1" customWidth="1"/>
    <col min="9491" max="9716" width="9" style="2"/>
    <col min="9717" max="9717" width="2.375" style="2" customWidth="1"/>
    <col min="9718" max="9718" width="13.25" style="2" bestFit="1" customWidth="1"/>
    <col min="9719" max="9720" width="11.125" style="2" bestFit="1" customWidth="1"/>
    <col min="9721" max="9721" width="13.25" style="2" bestFit="1" customWidth="1"/>
    <col min="9722" max="9722" width="11.125" style="2" bestFit="1" customWidth="1"/>
    <col min="9723" max="9723" width="9" style="2"/>
    <col min="9724" max="9724" width="11.125" style="2" bestFit="1" customWidth="1"/>
    <col min="9725" max="9725" width="9" style="2"/>
    <col min="9726" max="9736" width="11.125" style="2" bestFit="1" customWidth="1"/>
    <col min="9737" max="9737" width="9" style="2"/>
    <col min="9738" max="9745" width="11.125" style="2" bestFit="1" customWidth="1"/>
    <col min="9746" max="9746" width="9.625" style="2" bestFit="1" customWidth="1"/>
    <col min="9747" max="9972" width="9" style="2"/>
    <col min="9973" max="9973" width="2.375" style="2" customWidth="1"/>
    <col min="9974" max="9974" width="13.25" style="2" bestFit="1" customWidth="1"/>
    <col min="9975" max="9976" width="11.125" style="2" bestFit="1" customWidth="1"/>
    <col min="9977" max="9977" width="13.25" style="2" bestFit="1" customWidth="1"/>
    <col min="9978" max="9978" width="11.125" style="2" bestFit="1" customWidth="1"/>
    <col min="9979" max="9979" width="9" style="2"/>
    <col min="9980" max="9980" width="11.125" style="2" bestFit="1" customWidth="1"/>
    <col min="9981" max="9981" width="9" style="2"/>
    <col min="9982" max="9992" width="11.125" style="2" bestFit="1" customWidth="1"/>
    <col min="9993" max="9993" width="9" style="2"/>
    <col min="9994" max="10001" width="11.125" style="2" bestFit="1" customWidth="1"/>
    <col min="10002" max="10002" width="9.625" style="2" bestFit="1" customWidth="1"/>
    <col min="10003" max="10228" width="9" style="2"/>
    <col min="10229" max="10229" width="2.375" style="2" customWidth="1"/>
    <col min="10230" max="10230" width="13.25" style="2" bestFit="1" customWidth="1"/>
    <col min="10231" max="10232" width="11.125" style="2" bestFit="1" customWidth="1"/>
    <col min="10233" max="10233" width="13.25" style="2" bestFit="1" customWidth="1"/>
    <col min="10234" max="10234" width="11.125" style="2" bestFit="1" customWidth="1"/>
    <col min="10235" max="10235" width="9" style="2"/>
    <col min="10236" max="10236" width="11.125" style="2" bestFit="1" customWidth="1"/>
    <col min="10237" max="10237" width="9" style="2"/>
    <col min="10238" max="10248" width="11.125" style="2" bestFit="1" customWidth="1"/>
    <col min="10249" max="10249" width="9" style="2"/>
    <col min="10250" max="10257" width="11.125" style="2" bestFit="1" customWidth="1"/>
    <col min="10258" max="10258" width="9.625" style="2" bestFit="1" customWidth="1"/>
    <col min="10259" max="10484" width="9" style="2"/>
    <col min="10485" max="10485" width="2.375" style="2" customWidth="1"/>
    <col min="10486" max="10486" width="13.25" style="2" bestFit="1" customWidth="1"/>
    <col min="10487" max="10488" width="11.125" style="2" bestFit="1" customWidth="1"/>
    <col min="10489" max="10489" width="13.25" style="2" bestFit="1" customWidth="1"/>
    <col min="10490" max="10490" width="11.125" style="2" bestFit="1" customWidth="1"/>
    <col min="10491" max="10491" width="9" style="2"/>
    <col min="10492" max="10492" width="11.125" style="2" bestFit="1" customWidth="1"/>
    <col min="10493" max="10493" width="9" style="2"/>
    <col min="10494" max="10504" width="11.125" style="2" bestFit="1" customWidth="1"/>
    <col min="10505" max="10505" width="9" style="2"/>
    <col min="10506" max="10513" width="11.125" style="2" bestFit="1" customWidth="1"/>
    <col min="10514" max="10514" width="9.625" style="2" bestFit="1" customWidth="1"/>
    <col min="10515" max="10740" width="9" style="2"/>
    <col min="10741" max="10741" width="2.375" style="2" customWidth="1"/>
    <col min="10742" max="10742" width="13.25" style="2" bestFit="1" customWidth="1"/>
    <col min="10743" max="10744" width="11.125" style="2" bestFit="1" customWidth="1"/>
    <col min="10745" max="10745" width="13.25" style="2" bestFit="1" customWidth="1"/>
    <col min="10746" max="10746" width="11.125" style="2" bestFit="1" customWidth="1"/>
    <col min="10747" max="10747" width="9" style="2"/>
    <col min="10748" max="10748" width="11.125" style="2" bestFit="1" customWidth="1"/>
    <col min="10749" max="10749" width="9" style="2"/>
    <col min="10750" max="10760" width="11.125" style="2" bestFit="1" customWidth="1"/>
    <col min="10761" max="10761" width="9" style="2"/>
    <col min="10762" max="10769" width="11.125" style="2" bestFit="1" customWidth="1"/>
    <col min="10770" max="10770" width="9.625" style="2" bestFit="1" customWidth="1"/>
    <col min="10771" max="10996" width="9" style="2"/>
    <col min="10997" max="10997" width="2.375" style="2" customWidth="1"/>
    <col min="10998" max="10998" width="13.25" style="2" bestFit="1" customWidth="1"/>
    <col min="10999" max="11000" width="11.125" style="2" bestFit="1" customWidth="1"/>
    <col min="11001" max="11001" width="13.25" style="2" bestFit="1" customWidth="1"/>
    <col min="11002" max="11002" width="11.125" style="2" bestFit="1" customWidth="1"/>
    <col min="11003" max="11003" width="9" style="2"/>
    <col min="11004" max="11004" width="11.125" style="2" bestFit="1" customWidth="1"/>
    <col min="11005" max="11005" width="9" style="2"/>
    <col min="11006" max="11016" width="11.125" style="2" bestFit="1" customWidth="1"/>
    <col min="11017" max="11017" width="9" style="2"/>
    <col min="11018" max="11025" width="11.125" style="2" bestFit="1" customWidth="1"/>
    <col min="11026" max="11026" width="9.625" style="2" bestFit="1" customWidth="1"/>
    <col min="11027" max="11252" width="9" style="2"/>
    <col min="11253" max="11253" width="2.375" style="2" customWidth="1"/>
    <col min="11254" max="11254" width="13.25" style="2" bestFit="1" customWidth="1"/>
    <col min="11255" max="11256" width="11.125" style="2" bestFit="1" customWidth="1"/>
    <col min="11257" max="11257" width="13.25" style="2" bestFit="1" customWidth="1"/>
    <col min="11258" max="11258" width="11.125" style="2" bestFit="1" customWidth="1"/>
    <col min="11259" max="11259" width="9" style="2"/>
    <col min="11260" max="11260" width="11.125" style="2" bestFit="1" customWidth="1"/>
    <col min="11261" max="11261" width="9" style="2"/>
    <col min="11262" max="11272" width="11.125" style="2" bestFit="1" customWidth="1"/>
    <col min="11273" max="11273" width="9" style="2"/>
    <col min="11274" max="11281" width="11.125" style="2" bestFit="1" customWidth="1"/>
    <col min="11282" max="11282" width="9.625" style="2" bestFit="1" customWidth="1"/>
    <col min="11283" max="11508" width="9" style="2"/>
    <col min="11509" max="11509" width="2.375" style="2" customWidth="1"/>
    <col min="11510" max="11510" width="13.25" style="2" bestFit="1" customWidth="1"/>
    <col min="11511" max="11512" width="11.125" style="2" bestFit="1" customWidth="1"/>
    <col min="11513" max="11513" width="13.25" style="2" bestFit="1" customWidth="1"/>
    <col min="11514" max="11514" width="11.125" style="2" bestFit="1" customWidth="1"/>
    <col min="11515" max="11515" width="9" style="2"/>
    <col min="11516" max="11516" width="11.125" style="2" bestFit="1" customWidth="1"/>
    <col min="11517" max="11517" width="9" style="2"/>
    <col min="11518" max="11528" width="11.125" style="2" bestFit="1" customWidth="1"/>
    <col min="11529" max="11529" width="9" style="2"/>
    <col min="11530" max="11537" width="11.125" style="2" bestFit="1" customWidth="1"/>
    <col min="11538" max="11538" width="9.625" style="2" bestFit="1" customWidth="1"/>
    <col min="11539" max="11764" width="9" style="2"/>
    <col min="11765" max="11765" width="2.375" style="2" customWidth="1"/>
    <col min="11766" max="11766" width="13.25" style="2" bestFit="1" customWidth="1"/>
    <col min="11767" max="11768" width="11.125" style="2" bestFit="1" customWidth="1"/>
    <col min="11769" max="11769" width="13.25" style="2" bestFit="1" customWidth="1"/>
    <col min="11770" max="11770" width="11.125" style="2" bestFit="1" customWidth="1"/>
    <col min="11771" max="11771" width="9" style="2"/>
    <col min="11772" max="11772" width="11.125" style="2" bestFit="1" customWidth="1"/>
    <col min="11773" max="11773" width="9" style="2"/>
    <col min="11774" max="11784" width="11.125" style="2" bestFit="1" customWidth="1"/>
    <col min="11785" max="11785" width="9" style="2"/>
    <col min="11786" max="11793" width="11.125" style="2" bestFit="1" customWidth="1"/>
    <col min="11794" max="11794" width="9.625" style="2" bestFit="1" customWidth="1"/>
    <col min="11795" max="12020" width="9" style="2"/>
    <col min="12021" max="12021" width="2.375" style="2" customWidth="1"/>
    <col min="12022" max="12022" width="13.25" style="2" bestFit="1" customWidth="1"/>
    <col min="12023" max="12024" width="11.125" style="2" bestFit="1" customWidth="1"/>
    <col min="12025" max="12025" width="13.25" style="2" bestFit="1" customWidth="1"/>
    <col min="12026" max="12026" width="11.125" style="2" bestFit="1" customWidth="1"/>
    <col min="12027" max="12027" width="9" style="2"/>
    <col min="12028" max="12028" width="11.125" style="2" bestFit="1" customWidth="1"/>
    <col min="12029" max="12029" width="9" style="2"/>
    <col min="12030" max="12040" width="11.125" style="2" bestFit="1" customWidth="1"/>
    <col min="12041" max="12041" width="9" style="2"/>
    <col min="12042" max="12049" width="11.125" style="2" bestFit="1" customWidth="1"/>
    <col min="12050" max="12050" width="9.625" style="2" bestFit="1" customWidth="1"/>
    <col min="12051" max="12276" width="9" style="2"/>
    <col min="12277" max="12277" width="2.375" style="2" customWidth="1"/>
    <col min="12278" max="12278" width="13.25" style="2" bestFit="1" customWidth="1"/>
    <col min="12279" max="12280" width="11.125" style="2" bestFit="1" customWidth="1"/>
    <col min="12281" max="12281" width="13.25" style="2" bestFit="1" customWidth="1"/>
    <col min="12282" max="12282" width="11.125" style="2" bestFit="1" customWidth="1"/>
    <col min="12283" max="12283" width="9" style="2"/>
    <col min="12284" max="12284" width="11.125" style="2" bestFit="1" customWidth="1"/>
    <col min="12285" max="12285" width="9" style="2"/>
    <col min="12286" max="12296" width="11.125" style="2" bestFit="1" customWidth="1"/>
    <col min="12297" max="12297" width="9" style="2"/>
    <col min="12298" max="12305" width="11.125" style="2" bestFit="1" customWidth="1"/>
    <col min="12306" max="12306" width="9.625" style="2" bestFit="1" customWidth="1"/>
    <col min="12307" max="12532" width="9" style="2"/>
    <col min="12533" max="12533" width="2.375" style="2" customWidth="1"/>
    <col min="12534" max="12534" width="13.25" style="2" bestFit="1" customWidth="1"/>
    <col min="12535" max="12536" width="11.125" style="2" bestFit="1" customWidth="1"/>
    <col min="12537" max="12537" width="13.25" style="2" bestFit="1" customWidth="1"/>
    <col min="12538" max="12538" width="11.125" style="2" bestFit="1" customWidth="1"/>
    <col min="12539" max="12539" width="9" style="2"/>
    <col min="12540" max="12540" width="11.125" style="2" bestFit="1" customWidth="1"/>
    <col min="12541" max="12541" width="9" style="2"/>
    <col min="12542" max="12552" width="11.125" style="2" bestFit="1" customWidth="1"/>
    <col min="12553" max="12553" width="9" style="2"/>
    <col min="12554" max="12561" width="11.125" style="2" bestFit="1" customWidth="1"/>
    <col min="12562" max="12562" width="9.625" style="2" bestFit="1" customWidth="1"/>
    <col min="12563" max="12788" width="9" style="2"/>
    <col min="12789" max="12789" width="2.375" style="2" customWidth="1"/>
    <col min="12790" max="12790" width="13.25" style="2" bestFit="1" customWidth="1"/>
    <col min="12791" max="12792" width="11.125" style="2" bestFit="1" customWidth="1"/>
    <col min="12793" max="12793" width="13.25" style="2" bestFit="1" customWidth="1"/>
    <col min="12794" max="12794" width="11.125" style="2" bestFit="1" customWidth="1"/>
    <col min="12795" max="12795" width="9" style="2"/>
    <col min="12796" max="12796" width="11.125" style="2" bestFit="1" customWidth="1"/>
    <col min="12797" max="12797" width="9" style="2"/>
    <col min="12798" max="12808" width="11.125" style="2" bestFit="1" customWidth="1"/>
    <col min="12809" max="12809" width="9" style="2"/>
    <col min="12810" max="12817" width="11.125" style="2" bestFit="1" customWidth="1"/>
    <col min="12818" max="12818" width="9.625" style="2" bestFit="1" customWidth="1"/>
    <col min="12819" max="13044" width="9" style="2"/>
    <col min="13045" max="13045" width="2.375" style="2" customWidth="1"/>
    <col min="13046" max="13046" width="13.25" style="2" bestFit="1" customWidth="1"/>
    <col min="13047" max="13048" width="11.125" style="2" bestFit="1" customWidth="1"/>
    <col min="13049" max="13049" width="13.25" style="2" bestFit="1" customWidth="1"/>
    <col min="13050" max="13050" width="11.125" style="2" bestFit="1" customWidth="1"/>
    <col min="13051" max="13051" width="9" style="2"/>
    <col min="13052" max="13052" width="11.125" style="2" bestFit="1" customWidth="1"/>
    <col min="13053" max="13053" width="9" style="2"/>
    <col min="13054" max="13064" width="11.125" style="2" bestFit="1" customWidth="1"/>
    <col min="13065" max="13065" width="9" style="2"/>
    <col min="13066" max="13073" width="11.125" style="2" bestFit="1" customWidth="1"/>
    <col min="13074" max="13074" width="9.625" style="2" bestFit="1" customWidth="1"/>
    <col min="13075" max="13300" width="9" style="2"/>
    <col min="13301" max="13301" width="2.375" style="2" customWidth="1"/>
    <col min="13302" max="13302" width="13.25" style="2" bestFit="1" customWidth="1"/>
    <col min="13303" max="13304" width="11.125" style="2" bestFit="1" customWidth="1"/>
    <col min="13305" max="13305" width="13.25" style="2" bestFit="1" customWidth="1"/>
    <col min="13306" max="13306" width="11.125" style="2" bestFit="1" customWidth="1"/>
    <col min="13307" max="13307" width="9" style="2"/>
    <col min="13308" max="13308" width="11.125" style="2" bestFit="1" customWidth="1"/>
    <col min="13309" max="13309" width="9" style="2"/>
    <col min="13310" max="13320" width="11.125" style="2" bestFit="1" customWidth="1"/>
    <col min="13321" max="13321" width="9" style="2"/>
    <col min="13322" max="13329" width="11.125" style="2" bestFit="1" customWidth="1"/>
    <col min="13330" max="13330" width="9.625" style="2" bestFit="1" customWidth="1"/>
    <col min="13331" max="13556" width="9" style="2"/>
    <col min="13557" max="13557" width="2.375" style="2" customWidth="1"/>
    <col min="13558" max="13558" width="13.25" style="2" bestFit="1" customWidth="1"/>
    <col min="13559" max="13560" width="11.125" style="2" bestFit="1" customWidth="1"/>
    <col min="13561" max="13561" width="13.25" style="2" bestFit="1" customWidth="1"/>
    <col min="13562" max="13562" width="11.125" style="2" bestFit="1" customWidth="1"/>
    <col min="13563" max="13563" width="9" style="2"/>
    <col min="13564" max="13564" width="11.125" style="2" bestFit="1" customWidth="1"/>
    <col min="13565" max="13565" width="9" style="2"/>
    <col min="13566" max="13576" width="11.125" style="2" bestFit="1" customWidth="1"/>
    <col min="13577" max="13577" width="9" style="2"/>
    <col min="13578" max="13585" width="11.125" style="2" bestFit="1" customWidth="1"/>
    <col min="13586" max="13586" width="9.625" style="2" bestFit="1" customWidth="1"/>
    <col min="13587" max="13812" width="9" style="2"/>
    <col min="13813" max="13813" width="2.375" style="2" customWidth="1"/>
    <col min="13814" max="13814" width="13.25" style="2" bestFit="1" customWidth="1"/>
    <col min="13815" max="13816" width="11.125" style="2" bestFit="1" customWidth="1"/>
    <col min="13817" max="13817" width="13.25" style="2" bestFit="1" customWidth="1"/>
    <col min="13818" max="13818" width="11.125" style="2" bestFit="1" customWidth="1"/>
    <col min="13819" max="13819" width="9" style="2"/>
    <col min="13820" max="13820" width="11.125" style="2" bestFit="1" customWidth="1"/>
    <col min="13821" max="13821" width="9" style="2"/>
    <col min="13822" max="13832" width="11.125" style="2" bestFit="1" customWidth="1"/>
    <col min="13833" max="13833" width="9" style="2"/>
    <col min="13834" max="13841" width="11.125" style="2" bestFit="1" customWidth="1"/>
    <col min="13842" max="13842" width="9.625" style="2" bestFit="1" customWidth="1"/>
    <col min="13843" max="14068" width="9" style="2"/>
    <col min="14069" max="14069" width="2.375" style="2" customWidth="1"/>
    <col min="14070" max="14070" width="13.25" style="2" bestFit="1" customWidth="1"/>
    <col min="14071" max="14072" width="11.125" style="2" bestFit="1" customWidth="1"/>
    <col min="14073" max="14073" width="13.25" style="2" bestFit="1" customWidth="1"/>
    <col min="14074" max="14074" width="11.125" style="2" bestFit="1" customWidth="1"/>
    <col min="14075" max="14075" width="9" style="2"/>
    <col min="14076" max="14076" width="11.125" style="2" bestFit="1" customWidth="1"/>
    <col min="14077" max="14077" width="9" style="2"/>
    <col min="14078" max="14088" width="11.125" style="2" bestFit="1" customWidth="1"/>
    <col min="14089" max="14089" width="9" style="2"/>
    <col min="14090" max="14097" width="11.125" style="2" bestFit="1" customWidth="1"/>
    <col min="14098" max="14098" width="9.625" style="2" bestFit="1" customWidth="1"/>
    <col min="14099" max="14324" width="9" style="2"/>
    <col min="14325" max="14325" width="2.375" style="2" customWidth="1"/>
    <col min="14326" max="14326" width="13.25" style="2" bestFit="1" customWidth="1"/>
    <col min="14327" max="14328" width="11.125" style="2" bestFit="1" customWidth="1"/>
    <col min="14329" max="14329" width="13.25" style="2" bestFit="1" customWidth="1"/>
    <col min="14330" max="14330" width="11.125" style="2" bestFit="1" customWidth="1"/>
    <col min="14331" max="14331" width="9" style="2"/>
    <col min="14332" max="14332" width="11.125" style="2" bestFit="1" customWidth="1"/>
    <col min="14333" max="14333" width="9" style="2"/>
    <col min="14334" max="14344" width="11.125" style="2" bestFit="1" customWidth="1"/>
    <col min="14345" max="14345" width="9" style="2"/>
    <col min="14346" max="14353" width="11.125" style="2" bestFit="1" customWidth="1"/>
    <col min="14354" max="14354" width="9.625" style="2" bestFit="1" customWidth="1"/>
    <col min="14355" max="14580" width="9" style="2"/>
    <col min="14581" max="14581" width="2.375" style="2" customWidth="1"/>
    <col min="14582" max="14582" width="13.25" style="2" bestFit="1" customWidth="1"/>
    <col min="14583" max="14584" width="11.125" style="2" bestFit="1" customWidth="1"/>
    <col min="14585" max="14585" width="13.25" style="2" bestFit="1" customWidth="1"/>
    <col min="14586" max="14586" width="11.125" style="2" bestFit="1" customWidth="1"/>
    <col min="14587" max="14587" width="9" style="2"/>
    <col min="14588" max="14588" width="11.125" style="2" bestFit="1" customWidth="1"/>
    <col min="14589" max="14589" width="9" style="2"/>
    <col min="14590" max="14600" width="11.125" style="2" bestFit="1" customWidth="1"/>
    <col min="14601" max="14601" width="9" style="2"/>
    <col min="14602" max="14609" width="11.125" style="2" bestFit="1" customWidth="1"/>
    <col min="14610" max="14610" width="9.625" style="2" bestFit="1" customWidth="1"/>
    <col min="14611" max="14836" width="9" style="2"/>
    <col min="14837" max="14837" width="2.375" style="2" customWidth="1"/>
    <col min="14838" max="14838" width="13.25" style="2" bestFit="1" customWidth="1"/>
    <col min="14839" max="14840" width="11.125" style="2" bestFit="1" customWidth="1"/>
    <col min="14841" max="14841" width="13.25" style="2" bestFit="1" customWidth="1"/>
    <col min="14842" max="14842" width="11.125" style="2" bestFit="1" customWidth="1"/>
    <col min="14843" max="14843" width="9" style="2"/>
    <col min="14844" max="14844" width="11.125" style="2" bestFit="1" customWidth="1"/>
    <col min="14845" max="14845" width="9" style="2"/>
    <col min="14846" max="14856" width="11.125" style="2" bestFit="1" customWidth="1"/>
    <col min="14857" max="14857" width="9" style="2"/>
    <col min="14858" max="14865" width="11.125" style="2" bestFit="1" customWidth="1"/>
    <col min="14866" max="14866" width="9.625" style="2" bestFit="1" customWidth="1"/>
    <col min="14867" max="15092" width="9" style="2"/>
    <col min="15093" max="15093" width="2.375" style="2" customWidth="1"/>
    <col min="15094" max="15094" width="13.25" style="2" bestFit="1" customWidth="1"/>
    <col min="15095" max="15096" width="11.125" style="2" bestFit="1" customWidth="1"/>
    <col min="15097" max="15097" width="13.25" style="2" bestFit="1" customWidth="1"/>
    <col min="15098" max="15098" width="11.125" style="2" bestFit="1" customWidth="1"/>
    <col min="15099" max="15099" width="9" style="2"/>
    <col min="15100" max="15100" width="11.125" style="2" bestFit="1" customWidth="1"/>
    <col min="15101" max="15101" width="9" style="2"/>
    <col min="15102" max="15112" width="11.125" style="2" bestFit="1" customWidth="1"/>
    <col min="15113" max="15113" width="9" style="2"/>
    <col min="15114" max="15121" width="11.125" style="2" bestFit="1" customWidth="1"/>
    <col min="15122" max="15122" width="9.625" style="2" bestFit="1" customWidth="1"/>
    <col min="15123" max="15348" width="9" style="2"/>
    <col min="15349" max="15349" width="2.375" style="2" customWidth="1"/>
    <col min="15350" max="15350" width="13.25" style="2" bestFit="1" customWidth="1"/>
    <col min="15351" max="15352" width="11.125" style="2" bestFit="1" customWidth="1"/>
    <col min="15353" max="15353" width="13.25" style="2" bestFit="1" customWidth="1"/>
    <col min="15354" max="15354" width="11.125" style="2" bestFit="1" customWidth="1"/>
    <col min="15355" max="15355" width="9" style="2"/>
    <col min="15356" max="15356" width="11.125" style="2" bestFit="1" customWidth="1"/>
    <col min="15357" max="15357" width="9" style="2"/>
    <col min="15358" max="15368" width="11.125" style="2" bestFit="1" customWidth="1"/>
    <col min="15369" max="15369" width="9" style="2"/>
    <col min="15370" max="15377" width="11.125" style="2" bestFit="1" customWidth="1"/>
    <col min="15378" max="15378" width="9.625" style="2" bestFit="1" customWidth="1"/>
    <col min="15379" max="15604" width="9" style="2"/>
    <col min="15605" max="15605" width="2.375" style="2" customWidth="1"/>
    <col min="15606" max="15606" width="13.25" style="2" bestFit="1" customWidth="1"/>
    <col min="15607" max="15608" width="11.125" style="2" bestFit="1" customWidth="1"/>
    <col min="15609" max="15609" width="13.25" style="2" bestFit="1" customWidth="1"/>
    <col min="15610" max="15610" width="11.125" style="2" bestFit="1" customWidth="1"/>
    <col min="15611" max="15611" width="9" style="2"/>
    <col min="15612" max="15612" width="11.125" style="2" bestFit="1" customWidth="1"/>
    <col min="15613" max="15613" width="9" style="2"/>
    <col min="15614" max="15624" width="11.125" style="2" bestFit="1" customWidth="1"/>
    <col min="15625" max="15625" width="9" style="2"/>
    <col min="15626" max="15633" width="11.125" style="2" bestFit="1" customWidth="1"/>
    <col min="15634" max="15634" width="9.625" style="2" bestFit="1" customWidth="1"/>
    <col min="15635" max="15860" width="9" style="2"/>
    <col min="15861" max="15861" width="2.375" style="2" customWidth="1"/>
    <col min="15862" max="15862" width="13.25" style="2" bestFit="1" customWidth="1"/>
    <col min="15863" max="15864" width="11.125" style="2" bestFit="1" customWidth="1"/>
    <col min="15865" max="15865" width="13.25" style="2" bestFit="1" customWidth="1"/>
    <col min="15866" max="15866" width="11.125" style="2" bestFit="1" customWidth="1"/>
    <col min="15867" max="15867" width="9" style="2"/>
    <col min="15868" max="15868" width="11.125" style="2" bestFit="1" customWidth="1"/>
    <col min="15869" max="15869" width="9" style="2"/>
    <col min="15870" max="15880" width="11.125" style="2" bestFit="1" customWidth="1"/>
    <col min="15881" max="15881" width="9" style="2"/>
    <col min="15882" max="15889" width="11.125" style="2" bestFit="1" customWidth="1"/>
    <col min="15890" max="15890" width="9.625" style="2" bestFit="1" customWidth="1"/>
    <col min="15891" max="16116" width="9" style="2"/>
    <col min="16117" max="16117" width="2.375" style="2" customWidth="1"/>
    <col min="16118" max="16118" width="13.25" style="2" bestFit="1" customWidth="1"/>
    <col min="16119" max="16120" width="11.125" style="2" bestFit="1" customWidth="1"/>
    <col min="16121" max="16121" width="13.25" style="2" bestFit="1" customWidth="1"/>
    <col min="16122" max="16122" width="11.125" style="2" bestFit="1" customWidth="1"/>
    <col min="16123" max="16123" width="9" style="2"/>
    <col min="16124" max="16124" width="11.125" style="2" bestFit="1" customWidth="1"/>
    <col min="16125" max="16125" width="9" style="2"/>
    <col min="16126" max="16136" width="11.125" style="2" bestFit="1" customWidth="1"/>
    <col min="16137" max="16137" width="9" style="2"/>
    <col min="16138" max="16145" width="11.125" style="2" bestFit="1" customWidth="1"/>
    <col min="16146" max="16146" width="9.625" style="2" bestFit="1" customWidth="1"/>
    <col min="16147" max="16384" width="9" style="2"/>
  </cols>
  <sheetData>
    <row r="1" spans="1:19">
      <c r="A1" s="1" t="s">
        <v>0</v>
      </c>
    </row>
    <row r="2" spans="1:19" ht="19.5" thickBot="1">
      <c r="A2" s="1" t="s">
        <v>117</v>
      </c>
    </row>
    <row r="3" spans="1:19">
      <c r="B3" s="3"/>
      <c r="C3" s="4" t="s">
        <v>2</v>
      </c>
      <c r="D3" s="5" t="s">
        <v>3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18</v>
      </c>
      <c r="Q3" s="5" t="s">
        <v>19</v>
      </c>
      <c r="R3" s="44" t="s">
        <v>20</v>
      </c>
      <c r="S3" s="59" t="s">
        <v>118</v>
      </c>
    </row>
    <row r="4" spans="1:19" ht="19.5" thickBot="1">
      <c r="A4" s="43"/>
      <c r="B4" s="25" t="s">
        <v>29</v>
      </c>
      <c r="C4" s="26" t="s">
        <v>30</v>
      </c>
      <c r="D4" s="27" t="s">
        <v>31</v>
      </c>
      <c r="E4" s="27" t="s">
        <v>34</v>
      </c>
      <c r="F4" s="27" t="s">
        <v>35</v>
      </c>
      <c r="G4" s="27" t="s">
        <v>36</v>
      </c>
      <c r="H4" s="27" t="s">
        <v>37</v>
      </c>
      <c r="I4" s="27" t="s">
        <v>38</v>
      </c>
      <c r="J4" s="27" t="s">
        <v>39</v>
      </c>
      <c r="K4" s="27" t="s">
        <v>40</v>
      </c>
      <c r="L4" s="27" t="s">
        <v>41</v>
      </c>
      <c r="M4" s="27" t="s">
        <v>42</v>
      </c>
      <c r="N4" s="27" t="s">
        <v>43</v>
      </c>
      <c r="O4" s="27" t="s">
        <v>44</v>
      </c>
      <c r="P4" s="27" t="s">
        <v>46</v>
      </c>
      <c r="Q4" s="27" t="s">
        <v>47</v>
      </c>
      <c r="R4" s="45" t="s">
        <v>48</v>
      </c>
      <c r="S4" s="62" t="s">
        <v>119</v>
      </c>
    </row>
    <row r="5" spans="1:19">
      <c r="A5" s="1" t="s">
        <v>1</v>
      </c>
      <c r="B5" s="21" t="s">
        <v>58</v>
      </c>
      <c r="C5" s="22">
        <v>20</v>
      </c>
      <c r="D5" s="23">
        <v>0</v>
      </c>
      <c r="E5" s="23">
        <v>20</v>
      </c>
      <c r="F5" s="23">
        <v>20</v>
      </c>
      <c r="G5" s="23">
        <v>19</v>
      </c>
      <c r="H5" s="23">
        <v>21</v>
      </c>
      <c r="I5" s="23">
        <v>20</v>
      </c>
      <c r="J5" s="23">
        <v>20</v>
      </c>
      <c r="K5" s="23">
        <v>20</v>
      </c>
      <c r="L5" s="23">
        <v>21</v>
      </c>
      <c r="M5" s="23">
        <v>17</v>
      </c>
      <c r="N5" s="23">
        <v>2</v>
      </c>
      <c r="O5" s="23">
        <v>20</v>
      </c>
      <c r="P5" s="23">
        <v>15</v>
      </c>
      <c r="Q5" s="23">
        <v>17</v>
      </c>
      <c r="R5" s="46">
        <v>18</v>
      </c>
      <c r="S5" s="65">
        <f>SUM(C5:R5)</f>
        <v>270</v>
      </c>
    </row>
    <row r="6" spans="1:19">
      <c r="A6" s="1" t="s">
        <v>1</v>
      </c>
      <c r="B6" s="7" t="s">
        <v>59</v>
      </c>
      <c r="C6" s="8">
        <v>1</v>
      </c>
      <c r="D6" s="9">
        <v>0</v>
      </c>
      <c r="E6" s="9">
        <v>3</v>
      </c>
      <c r="F6" s="9">
        <v>4</v>
      </c>
      <c r="G6" s="9">
        <v>2</v>
      </c>
      <c r="H6" s="9">
        <v>3</v>
      </c>
      <c r="I6" s="9">
        <v>4</v>
      </c>
      <c r="J6" s="9">
        <v>3</v>
      </c>
      <c r="K6" s="9">
        <v>1</v>
      </c>
      <c r="L6" s="9">
        <v>3</v>
      </c>
      <c r="M6" s="9">
        <v>5</v>
      </c>
      <c r="N6" s="9">
        <v>0</v>
      </c>
      <c r="O6" s="9">
        <v>3</v>
      </c>
      <c r="P6" s="9">
        <v>1</v>
      </c>
      <c r="Q6" s="9">
        <v>3</v>
      </c>
      <c r="R6" s="47">
        <v>5</v>
      </c>
      <c r="S6" s="66">
        <f>SUM(C6:R6)</f>
        <v>41</v>
      </c>
    </row>
    <row r="7" spans="1:19">
      <c r="A7" s="1" t="s">
        <v>1</v>
      </c>
      <c r="B7" s="7" t="s">
        <v>60</v>
      </c>
      <c r="C7" s="8">
        <v>4</v>
      </c>
      <c r="D7" s="9">
        <v>0</v>
      </c>
      <c r="E7" s="9">
        <v>1</v>
      </c>
      <c r="F7" s="9">
        <v>3</v>
      </c>
      <c r="G7" s="9">
        <v>4</v>
      </c>
      <c r="H7" s="9">
        <v>3</v>
      </c>
      <c r="I7" s="9">
        <v>2</v>
      </c>
      <c r="J7" s="9">
        <v>1</v>
      </c>
      <c r="K7" s="9">
        <v>4</v>
      </c>
      <c r="L7" s="9">
        <v>2</v>
      </c>
      <c r="M7" s="9">
        <v>3</v>
      </c>
      <c r="N7" s="9">
        <v>0</v>
      </c>
      <c r="O7" s="9">
        <v>3</v>
      </c>
      <c r="P7" s="9">
        <v>3</v>
      </c>
      <c r="Q7" s="9">
        <v>1</v>
      </c>
      <c r="R7" s="47">
        <v>3</v>
      </c>
      <c r="S7" s="66">
        <f t="shared" ref="S7:S13" si="0">SUM(C7:R7)</f>
        <v>37</v>
      </c>
    </row>
    <row r="8" spans="1:19">
      <c r="A8" s="1" t="s">
        <v>1</v>
      </c>
      <c r="B8" s="7" t="s">
        <v>61</v>
      </c>
      <c r="C8" s="8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</v>
      </c>
      <c r="N8" s="9">
        <v>0</v>
      </c>
      <c r="O8" s="9">
        <v>0</v>
      </c>
      <c r="P8" s="9">
        <v>0</v>
      </c>
      <c r="Q8" s="9">
        <v>3</v>
      </c>
      <c r="R8" s="47">
        <v>1</v>
      </c>
      <c r="S8" s="66">
        <f t="shared" si="0"/>
        <v>8</v>
      </c>
    </row>
    <row r="9" spans="1:19">
      <c r="A9" s="1" t="s">
        <v>1</v>
      </c>
      <c r="B9" s="7" t="s">
        <v>62</v>
      </c>
      <c r="C9" s="8">
        <v>1</v>
      </c>
      <c r="D9" s="9">
        <v>0</v>
      </c>
      <c r="E9" s="9">
        <v>1</v>
      </c>
      <c r="F9" s="9">
        <v>1</v>
      </c>
      <c r="G9" s="9">
        <v>2</v>
      </c>
      <c r="H9" s="9">
        <v>0</v>
      </c>
      <c r="I9" s="9">
        <v>1</v>
      </c>
      <c r="J9" s="9">
        <v>1</v>
      </c>
      <c r="K9" s="9">
        <v>1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1</v>
      </c>
      <c r="R9" s="47">
        <v>2</v>
      </c>
      <c r="S9" s="66">
        <f t="shared" si="0"/>
        <v>12</v>
      </c>
    </row>
    <row r="10" spans="1:19">
      <c r="A10" s="1" t="s">
        <v>1</v>
      </c>
      <c r="B10" s="7" t="s">
        <v>63</v>
      </c>
      <c r="C10" s="8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47">
        <v>0</v>
      </c>
      <c r="S10" s="66">
        <f t="shared" si="0"/>
        <v>0</v>
      </c>
    </row>
    <row r="11" spans="1:19">
      <c r="A11" s="1" t="s">
        <v>1</v>
      </c>
      <c r="B11" s="7" t="s">
        <v>64</v>
      </c>
      <c r="C11" s="8">
        <v>0</v>
      </c>
      <c r="D11" s="9">
        <v>21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19</v>
      </c>
      <c r="O11" s="9">
        <v>0</v>
      </c>
      <c r="P11" s="9">
        <v>6</v>
      </c>
      <c r="Q11" s="9">
        <v>0</v>
      </c>
      <c r="R11" s="47">
        <v>0</v>
      </c>
      <c r="S11" s="66">
        <f t="shared" si="0"/>
        <v>46</v>
      </c>
    </row>
    <row r="12" spans="1:19">
      <c r="A12" s="1" t="s">
        <v>1</v>
      </c>
      <c r="B12" s="7" t="s">
        <v>65</v>
      </c>
      <c r="C12" s="8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6</v>
      </c>
      <c r="Q12" s="9">
        <v>0</v>
      </c>
      <c r="R12" s="47">
        <v>0</v>
      </c>
      <c r="S12" s="66">
        <f t="shared" si="0"/>
        <v>6</v>
      </c>
    </row>
    <row r="13" spans="1:19">
      <c r="A13" s="1" t="s">
        <v>1</v>
      </c>
      <c r="B13" s="7" t="s">
        <v>66</v>
      </c>
      <c r="C13" s="11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48">
        <v>0</v>
      </c>
      <c r="S13" s="66">
        <f t="shared" si="0"/>
        <v>0</v>
      </c>
    </row>
    <row r="14" spans="1:19">
      <c r="A14" s="1" t="s">
        <v>1</v>
      </c>
      <c r="B14" s="7" t="s">
        <v>67</v>
      </c>
      <c r="C14" s="11">
        <v>1.6666666666666665</v>
      </c>
      <c r="D14" s="12">
        <v>0</v>
      </c>
      <c r="E14" s="12">
        <v>0.58333333333333337</v>
      </c>
      <c r="F14" s="12">
        <v>3.0833333333333335</v>
      </c>
      <c r="G14" s="12">
        <v>1.4583333333333333</v>
      </c>
      <c r="H14" s="12">
        <v>3.625</v>
      </c>
      <c r="I14" s="12">
        <v>2.5833333333333335</v>
      </c>
      <c r="J14" s="12">
        <v>2.4166666666666665</v>
      </c>
      <c r="K14" s="12">
        <v>2.5416666666666665</v>
      </c>
      <c r="L14" s="12">
        <v>3</v>
      </c>
      <c r="M14" s="12">
        <v>2.2083333333333335</v>
      </c>
      <c r="N14" s="12">
        <v>0.125</v>
      </c>
      <c r="O14" s="12">
        <v>2.0416666666666665</v>
      </c>
      <c r="P14" s="12">
        <v>2.25</v>
      </c>
      <c r="Q14" s="12">
        <v>0.91666666666666663</v>
      </c>
      <c r="R14" s="48">
        <v>1.0833333333333333</v>
      </c>
      <c r="S14" s="67">
        <f>SUM(C14:R14)</f>
        <v>29.583333333333336</v>
      </c>
    </row>
    <row r="15" spans="1:19">
      <c r="A15" s="1" t="s">
        <v>1</v>
      </c>
      <c r="B15" s="7" t="s">
        <v>68</v>
      </c>
      <c r="C15" s="11">
        <v>0.16666666666666666</v>
      </c>
      <c r="D15" s="12">
        <v>0</v>
      </c>
      <c r="E15" s="12">
        <v>0.83333333333333337</v>
      </c>
      <c r="F15" s="12">
        <v>1.75</v>
      </c>
      <c r="G15" s="12">
        <v>0.70833333333333337</v>
      </c>
      <c r="H15" s="12">
        <v>1.1666666666666667</v>
      </c>
      <c r="I15" s="12">
        <v>1.4583333333333333</v>
      </c>
      <c r="J15" s="12">
        <v>1.3333333333333333</v>
      </c>
      <c r="K15" s="12">
        <v>0.375</v>
      </c>
      <c r="L15" s="12">
        <v>1</v>
      </c>
      <c r="M15" s="12">
        <v>0.95833333333333337</v>
      </c>
      <c r="N15" s="12">
        <v>0</v>
      </c>
      <c r="O15" s="12">
        <v>1.1666666666666667</v>
      </c>
      <c r="P15" s="12">
        <v>0.5</v>
      </c>
      <c r="Q15" s="12">
        <v>0</v>
      </c>
      <c r="R15" s="48">
        <v>1.9166666666666665</v>
      </c>
      <c r="S15" s="67">
        <f t="shared" ref="S15:S22" si="1">SUM(C15:R15)</f>
        <v>13.333333333333332</v>
      </c>
    </row>
    <row r="16" spans="1:19">
      <c r="A16" s="1" t="s">
        <v>1</v>
      </c>
      <c r="B16" s="7" t="s">
        <v>69</v>
      </c>
      <c r="C16" s="11">
        <v>1.0833333333333333</v>
      </c>
      <c r="D16" s="12">
        <v>0</v>
      </c>
      <c r="E16" s="12">
        <v>0.25</v>
      </c>
      <c r="F16" s="12">
        <v>1</v>
      </c>
      <c r="G16" s="12">
        <v>1.2916666666666667</v>
      </c>
      <c r="H16" s="12">
        <v>1.375</v>
      </c>
      <c r="I16" s="12">
        <v>0.91666666666666663</v>
      </c>
      <c r="J16" s="12">
        <v>0.16666666666666666</v>
      </c>
      <c r="K16" s="12">
        <v>1.4583333333333333</v>
      </c>
      <c r="L16" s="12">
        <v>0.75</v>
      </c>
      <c r="M16" s="12">
        <v>0.95833333333333337</v>
      </c>
      <c r="N16" s="12">
        <v>0</v>
      </c>
      <c r="O16" s="12">
        <v>1</v>
      </c>
      <c r="P16" s="12">
        <v>1.1666666666666667</v>
      </c>
      <c r="Q16" s="12">
        <v>0.375</v>
      </c>
      <c r="R16" s="48">
        <v>1.25</v>
      </c>
      <c r="S16" s="67">
        <f t="shared" si="1"/>
        <v>13.041666666666668</v>
      </c>
    </row>
    <row r="17" spans="1:19">
      <c r="A17" s="1" t="s">
        <v>1</v>
      </c>
      <c r="B17" s="7" t="s">
        <v>70</v>
      </c>
      <c r="C17" s="11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1.2916666666666667</v>
      </c>
      <c r="N17" s="12">
        <v>0</v>
      </c>
      <c r="O17" s="12">
        <v>0</v>
      </c>
      <c r="P17" s="12">
        <v>0</v>
      </c>
      <c r="Q17" s="12">
        <v>0.75</v>
      </c>
      <c r="R17" s="48">
        <v>0.375</v>
      </c>
      <c r="S17" s="67">
        <f t="shared" si="1"/>
        <v>2.416666666666667</v>
      </c>
    </row>
    <row r="18" spans="1:19">
      <c r="A18" s="1" t="s">
        <v>1</v>
      </c>
      <c r="B18" s="7" t="s">
        <v>71</v>
      </c>
      <c r="C18" s="11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8.3333333333333329E-2</v>
      </c>
      <c r="N18" s="12">
        <v>0</v>
      </c>
      <c r="O18" s="12">
        <v>0</v>
      </c>
      <c r="P18" s="12">
        <v>0</v>
      </c>
      <c r="Q18" s="12">
        <v>0</v>
      </c>
      <c r="R18" s="48">
        <v>0</v>
      </c>
      <c r="S18" s="67">
        <f t="shared" si="1"/>
        <v>8.3333333333333329E-2</v>
      </c>
    </row>
    <row r="19" spans="1:19">
      <c r="A19" s="1" t="s">
        <v>1</v>
      </c>
      <c r="B19" s="7" t="s">
        <v>72</v>
      </c>
      <c r="C19" s="11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48">
        <v>0</v>
      </c>
      <c r="S19" s="67">
        <f t="shared" si="1"/>
        <v>0</v>
      </c>
    </row>
    <row r="20" spans="1:19">
      <c r="A20" s="1" t="s">
        <v>1</v>
      </c>
      <c r="B20" s="7" t="s">
        <v>73</v>
      </c>
      <c r="C20" s="11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48">
        <v>0</v>
      </c>
      <c r="S20" s="67">
        <f t="shared" si="1"/>
        <v>0</v>
      </c>
    </row>
    <row r="21" spans="1:19">
      <c r="A21" s="1" t="s">
        <v>1</v>
      </c>
      <c r="B21" s="7" t="s">
        <v>74</v>
      </c>
      <c r="C21" s="11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48">
        <v>0</v>
      </c>
      <c r="S21" s="67">
        <f t="shared" si="1"/>
        <v>0</v>
      </c>
    </row>
    <row r="22" spans="1:19">
      <c r="A22" s="1" t="s">
        <v>1</v>
      </c>
      <c r="B22" s="7" t="s">
        <v>75</v>
      </c>
      <c r="C22" s="11">
        <v>0.41666666666666669</v>
      </c>
      <c r="D22" s="12">
        <v>0</v>
      </c>
      <c r="E22" s="12">
        <v>0</v>
      </c>
      <c r="F22" s="12">
        <v>1.2083333333333333</v>
      </c>
      <c r="G22" s="12">
        <v>0.20833333333333334</v>
      </c>
      <c r="H22" s="12">
        <v>1.7916666666666665</v>
      </c>
      <c r="I22" s="12">
        <v>0.16666666666666666</v>
      </c>
      <c r="J22" s="12">
        <v>0.20833333333333334</v>
      </c>
      <c r="K22" s="12">
        <v>0.125</v>
      </c>
      <c r="L22" s="12">
        <v>0.33333333333333331</v>
      </c>
      <c r="M22" s="12">
        <v>0.66666666666666663</v>
      </c>
      <c r="N22" s="12">
        <v>0.16666666666666666</v>
      </c>
      <c r="O22" s="12">
        <v>0.29166666666666669</v>
      </c>
      <c r="P22" s="12">
        <v>1.125</v>
      </c>
      <c r="Q22" s="12">
        <v>1.5</v>
      </c>
      <c r="R22" s="48">
        <v>1.4583333333333333</v>
      </c>
      <c r="S22" s="67">
        <f t="shared" si="1"/>
        <v>9.6666666666666679</v>
      </c>
    </row>
    <row r="23" spans="1:19" ht="19.5" thickBot="1">
      <c r="A23" s="1" t="s">
        <v>1</v>
      </c>
      <c r="B23" s="17" t="s">
        <v>76</v>
      </c>
      <c r="C23" s="32">
        <v>21</v>
      </c>
      <c r="D23" s="33">
        <v>35</v>
      </c>
      <c r="E23" s="33">
        <v>35</v>
      </c>
      <c r="F23" s="33">
        <v>38</v>
      </c>
      <c r="G23" s="33">
        <v>31</v>
      </c>
      <c r="H23" s="33">
        <v>36</v>
      </c>
      <c r="I23" s="33">
        <v>37</v>
      </c>
      <c r="J23" s="33">
        <v>21</v>
      </c>
      <c r="K23" s="33">
        <v>31</v>
      </c>
      <c r="L23" s="33">
        <v>37</v>
      </c>
      <c r="M23" s="33">
        <v>0</v>
      </c>
      <c r="N23" s="33">
        <v>15</v>
      </c>
      <c r="O23" s="33">
        <v>28</v>
      </c>
      <c r="P23" s="33">
        <v>19</v>
      </c>
      <c r="Q23" s="33">
        <v>17</v>
      </c>
      <c r="R23" s="49">
        <v>7</v>
      </c>
      <c r="S23" s="68">
        <f>SUM(C23:R23)</f>
        <v>408</v>
      </c>
    </row>
    <row r="24" spans="1:19">
      <c r="A24" s="1" t="s">
        <v>1</v>
      </c>
      <c r="B24" s="21" t="s">
        <v>77</v>
      </c>
      <c r="C24" s="29">
        <v>177000</v>
      </c>
      <c r="D24" s="30">
        <v>0</v>
      </c>
      <c r="E24" s="30">
        <v>187000</v>
      </c>
      <c r="F24" s="30">
        <v>192000</v>
      </c>
      <c r="G24" s="30">
        <v>182000</v>
      </c>
      <c r="H24" s="30">
        <v>187000</v>
      </c>
      <c r="I24" s="30">
        <v>177000</v>
      </c>
      <c r="J24" s="30">
        <v>177000</v>
      </c>
      <c r="K24" s="30">
        <v>172000</v>
      </c>
      <c r="L24" s="30">
        <v>187000</v>
      </c>
      <c r="M24" s="30">
        <v>177000</v>
      </c>
      <c r="N24" s="30">
        <v>177000</v>
      </c>
      <c r="O24" s="30">
        <v>170000</v>
      </c>
      <c r="P24" s="30">
        <v>175000</v>
      </c>
      <c r="Q24" s="30">
        <v>175000</v>
      </c>
      <c r="R24" s="50">
        <v>170000</v>
      </c>
      <c r="S24" s="69">
        <f>SUM(C24:R24)</f>
        <v>2682000</v>
      </c>
    </row>
    <row r="25" spans="1:19">
      <c r="A25" s="1" t="s">
        <v>1</v>
      </c>
      <c r="B25" s="7" t="s">
        <v>78</v>
      </c>
      <c r="C25" s="14">
        <v>0</v>
      </c>
      <c r="D25" s="15">
        <v>0</v>
      </c>
      <c r="E25" s="15">
        <v>20000</v>
      </c>
      <c r="F25" s="15">
        <v>5000</v>
      </c>
      <c r="G25" s="15">
        <v>5000</v>
      </c>
      <c r="H25" s="15">
        <v>5000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51">
        <v>0</v>
      </c>
      <c r="S25" s="70">
        <f t="shared" ref="S25:S63" si="2">SUM(C25:R25)</f>
        <v>35000</v>
      </c>
    </row>
    <row r="26" spans="1:19">
      <c r="A26" s="1" t="s">
        <v>1</v>
      </c>
      <c r="B26" s="7" t="s">
        <v>79</v>
      </c>
      <c r="C26" s="14">
        <v>0</v>
      </c>
      <c r="D26" s="15">
        <v>0</v>
      </c>
      <c r="E26" s="15">
        <v>3000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51">
        <v>0</v>
      </c>
      <c r="S26" s="70">
        <f t="shared" si="2"/>
        <v>3000</v>
      </c>
    </row>
    <row r="27" spans="1:19">
      <c r="A27" s="1" t="s">
        <v>1</v>
      </c>
      <c r="B27" s="7" t="s">
        <v>80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51">
        <v>0</v>
      </c>
      <c r="S27" s="70">
        <f t="shared" si="2"/>
        <v>0</v>
      </c>
    </row>
    <row r="28" spans="1:19">
      <c r="A28" s="1" t="s">
        <v>1</v>
      </c>
      <c r="B28" s="7" t="s">
        <v>81</v>
      </c>
      <c r="C28" s="14">
        <v>0</v>
      </c>
      <c r="D28" s="15">
        <v>0</v>
      </c>
      <c r="E28" s="15">
        <v>79070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5124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51">
        <v>0</v>
      </c>
      <c r="S28" s="70">
        <f t="shared" si="2"/>
        <v>84194</v>
      </c>
    </row>
    <row r="29" spans="1:19">
      <c r="A29" s="1" t="s">
        <v>1</v>
      </c>
      <c r="B29" s="7" t="s">
        <v>82</v>
      </c>
      <c r="C29" s="14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51">
        <v>0</v>
      </c>
      <c r="S29" s="70">
        <f t="shared" si="2"/>
        <v>0</v>
      </c>
    </row>
    <row r="30" spans="1:19">
      <c r="A30" s="1" t="s">
        <v>1</v>
      </c>
      <c r="B30" s="7" t="s">
        <v>83</v>
      </c>
      <c r="C30" s="14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51">
        <v>0</v>
      </c>
      <c r="S30" s="70">
        <f t="shared" si="2"/>
        <v>0</v>
      </c>
    </row>
    <row r="31" spans="1:19">
      <c r="A31" s="1" t="s">
        <v>1</v>
      </c>
      <c r="B31" s="7" t="s">
        <v>84</v>
      </c>
      <c r="C31" s="14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51">
        <v>0</v>
      </c>
      <c r="S31" s="70">
        <f t="shared" si="2"/>
        <v>0</v>
      </c>
    </row>
    <row r="32" spans="1:19">
      <c r="A32" s="1" t="s">
        <v>1</v>
      </c>
      <c r="B32" s="7" t="s">
        <v>85</v>
      </c>
      <c r="C32" s="14">
        <v>1000</v>
      </c>
      <c r="D32" s="15">
        <v>0</v>
      </c>
      <c r="E32" s="15">
        <v>1000</v>
      </c>
      <c r="F32" s="15">
        <v>1000</v>
      </c>
      <c r="G32" s="15">
        <v>1000</v>
      </c>
      <c r="H32" s="15">
        <v>1000</v>
      </c>
      <c r="I32" s="15">
        <v>1000</v>
      </c>
      <c r="J32" s="15">
        <v>1000</v>
      </c>
      <c r="K32" s="15">
        <v>1000</v>
      </c>
      <c r="L32" s="15">
        <v>1000</v>
      </c>
      <c r="M32" s="15">
        <v>1000</v>
      </c>
      <c r="N32" s="15">
        <v>1000</v>
      </c>
      <c r="O32" s="15">
        <v>1000</v>
      </c>
      <c r="P32" s="15">
        <v>1000</v>
      </c>
      <c r="Q32" s="15">
        <v>1000</v>
      </c>
      <c r="R32" s="51">
        <v>0</v>
      </c>
      <c r="S32" s="70">
        <f t="shared" si="2"/>
        <v>14000</v>
      </c>
    </row>
    <row r="33" spans="1:19">
      <c r="A33" s="1" t="s">
        <v>1</v>
      </c>
      <c r="B33" s="7" t="s">
        <v>86</v>
      </c>
      <c r="C33" s="14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51">
        <v>0</v>
      </c>
      <c r="S33" s="70">
        <f t="shared" si="2"/>
        <v>0</v>
      </c>
    </row>
    <row r="34" spans="1:19">
      <c r="A34" s="1" t="s">
        <v>1</v>
      </c>
      <c r="B34" s="7" t="s">
        <v>87</v>
      </c>
      <c r="C34" s="14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51">
        <v>0</v>
      </c>
      <c r="S34" s="70">
        <f t="shared" si="2"/>
        <v>0</v>
      </c>
    </row>
    <row r="35" spans="1:19">
      <c r="A35" s="1" t="s">
        <v>1</v>
      </c>
      <c r="B35" s="7" t="s">
        <v>88</v>
      </c>
      <c r="C35" s="14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51">
        <v>0</v>
      </c>
      <c r="S35" s="70">
        <f t="shared" si="2"/>
        <v>0</v>
      </c>
    </row>
    <row r="36" spans="1:19">
      <c r="A36" s="1" t="s">
        <v>1</v>
      </c>
      <c r="B36" s="7" t="s">
        <v>89</v>
      </c>
      <c r="C36" s="14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51">
        <v>0</v>
      </c>
      <c r="S36" s="70">
        <f t="shared" si="2"/>
        <v>0</v>
      </c>
    </row>
    <row r="37" spans="1:19">
      <c r="A37" s="1" t="s">
        <v>1</v>
      </c>
      <c r="B37" s="7" t="s">
        <v>90</v>
      </c>
      <c r="C37" s="55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-161804</v>
      </c>
      <c r="O37" s="56">
        <v>0</v>
      </c>
      <c r="P37" s="56">
        <v>-50526</v>
      </c>
      <c r="Q37" s="56">
        <v>0</v>
      </c>
      <c r="R37" s="58">
        <v>0</v>
      </c>
      <c r="S37" s="71">
        <f t="shared" si="2"/>
        <v>-212330</v>
      </c>
    </row>
    <row r="38" spans="1:19">
      <c r="A38" s="1" t="s">
        <v>1</v>
      </c>
      <c r="B38" s="7" t="s">
        <v>67</v>
      </c>
      <c r="C38" s="14">
        <v>53320</v>
      </c>
      <c r="D38" s="15">
        <v>0</v>
      </c>
      <c r="E38" s="15">
        <v>22106</v>
      </c>
      <c r="F38" s="15">
        <v>109742</v>
      </c>
      <c r="G38" s="15">
        <v>49280</v>
      </c>
      <c r="H38" s="15">
        <v>125715</v>
      </c>
      <c r="I38" s="15">
        <v>82646</v>
      </c>
      <c r="J38" s="15">
        <v>77314</v>
      </c>
      <c r="K38" s="15">
        <v>78995</v>
      </c>
      <c r="L38" s="15">
        <v>101376</v>
      </c>
      <c r="M38" s="15">
        <v>70649</v>
      </c>
      <c r="N38" s="15">
        <v>3999</v>
      </c>
      <c r="O38" s="15">
        <v>62720</v>
      </c>
      <c r="P38" s="15">
        <v>71172</v>
      </c>
      <c r="Q38" s="15">
        <v>28996</v>
      </c>
      <c r="R38" s="51">
        <v>33098</v>
      </c>
      <c r="S38" s="70">
        <f t="shared" si="2"/>
        <v>971128</v>
      </c>
    </row>
    <row r="39" spans="1:19">
      <c r="A39" s="1" t="s">
        <v>1</v>
      </c>
      <c r="B39" s="7" t="s">
        <v>91</v>
      </c>
      <c r="C39" s="14">
        <v>5756</v>
      </c>
      <c r="D39" s="15">
        <v>0</v>
      </c>
      <c r="E39" s="15">
        <v>34100</v>
      </c>
      <c r="F39" s="15">
        <v>67242</v>
      </c>
      <c r="G39" s="15">
        <v>25840</v>
      </c>
      <c r="H39" s="15">
        <v>43708</v>
      </c>
      <c r="I39" s="15">
        <v>50365</v>
      </c>
      <c r="J39" s="15">
        <v>46048</v>
      </c>
      <c r="K39" s="15">
        <v>12591</v>
      </c>
      <c r="L39" s="15">
        <v>36480</v>
      </c>
      <c r="M39" s="15">
        <v>33097</v>
      </c>
      <c r="N39" s="15">
        <v>0</v>
      </c>
      <c r="O39" s="15">
        <v>38696</v>
      </c>
      <c r="P39" s="15">
        <v>17076</v>
      </c>
      <c r="Q39" s="15">
        <v>0</v>
      </c>
      <c r="R39" s="51">
        <v>63204</v>
      </c>
      <c r="S39" s="70">
        <f t="shared" si="2"/>
        <v>474203</v>
      </c>
    </row>
    <row r="40" spans="1:19">
      <c r="A40" s="1" t="s">
        <v>1</v>
      </c>
      <c r="B40" s="7" t="s">
        <v>92</v>
      </c>
      <c r="C40" s="14">
        <v>37414</v>
      </c>
      <c r="D40" s="15">
        <v>0</v>
      </c>
      <c r="E40" s="15">
        <v>10230</v>
      </c>
      <c r="F40" s="15">
        <v>38424</v>
      </c>
      <c r="G40" s="15">
        <v>47120</v>
      </c>
      <c r="H40" s="15">
        <v>51513</v>
      </c>
      <c r="I40" s="15">
        <v>31658</v>
      </c>
      <c r="J40" s="15">
        <v>5756</v>
      </c>
      <c r="K40" s="15">
        <v>48965</v>
      </c>
      <c r="L40" s="15">
        <v>27360</v>
      </c>
      <c r="M40" s="15">
        <v>33097</v>
      </c>
      <c r="N40" s="15">
        <v>0</v>
      </c>
      <c r="O40" s="15">
        <v>33168</v>
      </c>
      <c r="P40" s="15">
        <v>39844</v>
      </c>
      <c r="Q40" s="15">
        <v>12807</v>
      </c>
      <c r="R40" s="51">
        <v>41220</v>
      </c>
      <c r="S40" s="70">
        <f t="shared" si="2"/>
        <v>458576</v>
      </c>
    </row>
    <row r="41" spans="1:19">
      <c r="A41" s="1" t="s">
        <v>1</v>
      </c>
      <c r="B41" s="7" t="s">
        <v>93</v>
      </c>
      <c r="C41" s="14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11563</v>
      </c>
      <c r="N41" s="15">
        <v>0</v>
      </c>
      <c r="O41" s="15">
        <v>0</v>
      </c>
      <c r="P41" s="15">
        <v>0</v>
      </c>
      <c r="Q41" s="15">
        <v>6642</v>
      </c>
      <c r="R41" s="51">
        <v>3204</v>
      </c>
      <c r="S41" s="70">
        <f t="shared" si="2"/>
        <v>21409</v>
      </c>
    </row>
    <row r="42" spans="1:19">
      <c r="A42" s="1" t="s">
        <v>1</v>
      </c>
      <c r="B42" s="7" t="s">
        <v>94</v>
      </c>
      <c r="C42" s="14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746</v>
      </c>
      <c r="N42" s="15">
        <v>0</v>
      </c>
      <c r="O42" s="15">
        <v>0</v>
      </c>
      <c r="P42" s="15">
        <v>0</v>
      </c>
      <c r="Q42" s="15">
        <v>0</v>
      </c>
      <c r="R42" s="51">
        <v>0</v>
      </c>
      <c r="S42" s="70">
        <f t="shared" si="2"/>
        <v>746</v>
      </c>
    </row>
    <row r="43" spans="1:19">
      <c r="A43" s="1" t="s">
        <v>1</v>
      </c>
      <c r="B43" s="7" t="s">
        <v>95</v>
      </c>
      <c r="C43" s="14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50526</v>
      </c>
      <c r="Q43" s="15">
        <v>0</v>
      </c>
      <c r="R43" s="51">
        <v>0</v>
      </c>
      <c r="S43" s="70">
        <f t="shared" si="2"/>
        <v>50526</v>
      </c>
    </row>
    <row r="44" spans="1:19">
      <c r="A44" s="1" t="s">
        <v>1</v>
      </c>
      <c r="B44" s="7" t="s">
        <v>72</v>
      </c>
      <c r="C44" s="14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51">
        <v>0</v>
      </c>
      <c r="S44" s="70">
        <f t="shared" si="2"/>
        <v>0</v>
      </c>
    </row>
    <row r="45" spans="1:19" ht="19.5" thickBot="1">
      <c r="A45" s="1" t="s">
        <v>1</v>
      </c>
      <c r="B45" s="35" t="s">
        <v>75</v>
      </c>
      <c r="C45" s="36">
        <v>2670</v>
      </c>
      <c r="D45" s="37">
        <v>0</v>
      </c>
      <c r="E45" s="37">
        <v>0</v>
      </c>
      <c r="F45" s="37">
        <v>8613</v>
      </c>
      <c r="G45" s="37">
        <v>1410</v>
      </c>
      <c r="H45" s="37">
        <v>12427</v>
      </c>
      <c r="I45" s="37">
        <v>1068</v>
      </c>
      <c r="J45" s="37">
        <v>1335</v>
      </c>
      <c r="K45" s="37">
        <v>777</v>
      </c>
      <c r="L45" s="37">
        <v>2256</v>
      </c>
      <c r="M45" s="37">
        <v>4272</v>
      </c>
      <c r="N45" s="37">
        <v>1068</v>
      </c>
      <c r="O45" s="37">
        <v>1792</v>
      </c>
      <c r="P45" s="37">
        <v>7128</v>
      </c>
      <c r="Q45" s="37">
        <v>9504</v>
      </c>
      <c r="R45" s="52">
        <v>8925</v>
      </c>
      <c r="S45" s="72">
        <f t="shared" si="2"/>
        <v>63245</v>
      </c>
    </row>
    <row r="46" spans="1:19" ht="19.5" thickBot="1">
      <c r="A46" s="1" t="s">
        <v>1</v>
      </c>
      <c r="B46" s="39" t="s">
        <v>96</v>
      </c>
      <c r="C46" s="40">
        <v>277160</v>
      </c>
      <c r="D46" s="41">
        <v>0</v>
      </c>
      <c r="E46" s="41">
        <v>356506</v>
      </c>
      <c r="F46" s="41">
        <v>422021</v>
      </c>
      <c r="G46" s="41">
        <v>311650</v>
      </c>
      <c r="H46" s="41">
        <v>426363</v>
      </c>
      <c r="I46" s="41">
        <v>343737</v>
      </c>
      <c r="J46" s="41">
        <v>308453</v>
      </c>
      <c r="K46" s="41">
        <v>314328</v>
      </c>
      <c r="L46" s="41">
        <v>360596</v>
      </c>
      <c r="M46" s="41">
        <v>331424</v>
      </c>
      <c r="N46" s="41">
        <v>21263</v>
      </c>
      <c r="O46" s="41">
        <v>307376</v>
      </c>
      <c r="P46" s="41">
        <v>311220</v>
      </c>
      <c r="Q46" s="41">
        <v>233949</v>
      </c>
      <c r="R46" s="53">
        <v>319651</v>
      </c>
      <c r="S46" s="73">
        <f t="shared" si="2"/>
        <v>4645697</v>
      </c>
    </row>
    <row r="47" spans="1:19" ht="19.5" thickBot="1">
      <c r="A47" s="1" t="s">
        <v>1</v>
      </c>
      <c r="B47" s="21" t="s">
        <v>97</v>
      </c>
      <c r="C47" s="29">
        <v>13047</v>
      </c>
      <c r="D47" s="30">
        <v>0</v>
      </c>
      <c r="E47" s="30">
        <v>5636</v>
      </c>
      <c r="F47" s="30">
        <v>3523</v>
      </c>
      <c r="G47" s="30">
        <v>15004</v>
      </c>
      <c r="H47" s="30">
        <v>2818</v>
      </c>
      <c r="I47" s="30">
        <v>2714</v>
      </c>
      <c r="J47" s="30">
        <v>1253</v>
      </c>
      <c r="K47" s="30">
        <v>3262</v>
      </c>
      <c r="L47" s="30">
        <v>5428</v>
      </c>
      <c r="M47" s="30">
        <v>6524</v>
      </c>
      <c r="N47" s="30">
        <v>366</v>
      </c>
      <c r="O47" s="30">
        <v>8141</v>
      </c>
      <c r="P47" s="30">
        <v>4958</v>
      </c>
      <c r="Q47" s="30">
        <v>9315</v>
      </c>
      <c r="R47" s="50">
        <v>4749</v>
      </c>
      <c r="S47" s="69">
        <f t="shared" si="2"/>
        <v>86738</v>
      </c>
    </row>
    <row r="48" spans="1:19" ht="19.5" thickBot="1">
      <c r="A48" s="1" t="s">
        <v>1</v>
      </c>
      <c r="B48" s="39" t="s">
        <v>98</v>
      </c>
      <c r="C48" s="40">
        <v>13047</v>
      </c>
      <c r="D48" s="41">
        <v>0</v>
      </c>
      <c r="E48" s="41">
        <v>5636</v>
      </c>
      <c r="F48" s="41">
        <v>3523</v>
      </c>
      <c r="G48" s="41">
        <v>15004</v>
      </c>
      <c r="H48" s="41">
        <v>2818</v>
      </c>
      <c r="I48" s="41">
        <v>2714</v>
      </c>
      <c r="J48" s="41">
        <v>1253</v>
      </c>
      <c r="K48" s="41">
        <v>3262</v>
      </c>
      <c r="L48" s="41">
        <v>5428</v>
      </c>
      <c r="M48" s="41">
        <v>6524</v>
      </c>
      <c r="N48" s="41">
        <v>366</v>
      </c>
      <c r="O48" s="41">
        <v>8141</v>
      </c>
      <c r="P48" s="41">
        <v>4958</v>
      </c>
      <c r="Q48" s="41">
        <v>9315</v>
      </c>
      <c r="R48" s="53">
        <v>4749</v>
      </c>
      <c r="S48" s="73">
        <f t="shared" si="2"/>
        <v>86738</v>
      </c>
    </row>
    <row r="49" spans="1:19" ht="19.5" thickBot="1">
      <c r="A49" s="1" t="s">
        <v>1</v>
      </c>
      <c r="B49" s="39" t="s">
        <v>99</v>
      </c>
      <c r="C49" s="40">
        <v>290207</v>
      </c>
      <c r="D49" s="41">
        <v>0</v>
      </c>
      <c r="E49" s="41">
        <v>362142</v>
      </c>
      <c r="F49" s="41">
        <v>425544</v>
      </c>
      <c r="G49" s="41">
        <v>326654</v>
      </c>
      <c r="H49" s="41">
        <v>429181</v>
      </c>
      <c r="I49" s="41">
        <v>346451</v>
      </c>
      <c r="J49" s="41">
        <v>309706</v>
      </c>
      <c r="K49" s="41">
        <v>317590</v>
      </c>
      <c r="L49" s="41">
        <v>366024</v>
      </c>
      <c r="M49" s="41">
        <v>337948</v>
      </c>
      <c r="N49" s="41">
        <v>21629</v>
      </c>
      <c r="O49" s="41">
        <v>315517</v>
      </c>
      <c r="P49" s="41">
        <v>316178</v>
      </c>
      <c r="Q49" s="41">
        <v>243264</v>
      </c>
      <c r="R49" s="53">
        <v>324400</v>
      </c>
      <c r="S49" s="73">
        <f t="shared" si="2"/>
        <v>4732435</v>
      </c>
    </row>
    <row r="50" spans="1:19">
      <c r="A50" s="1" t="s">
        <v>1</v>
      </c>
      <c r="B50" s="21" t="s">
        <v>100</v>
      </c>
      <c r="C50" s="29">
        <v>16320</v>
      </c>
      <c r="D50" s="30">
        <v>19380</v>
      </c>
      <c r="E50" s="30">
        <v>19380</v>
      </c>
      <c r="F50" s="30">
        <v>20910</v>
      </c>
      <c r="G50" s="30">
        <v>19380</v>
      </c>
      <c r="H50" s="30">
        <v>20910</v>
      </c>
      <c r="I50" s="30">
        <v>16320</v>
      </c>
      <c r="J50" s="30">
        <v>15300</v>
      </c>
      <c r="K50" s="30">
        <v>16320</v>
      </c>
      <c r="L50" s="30">
        <v>17340</v>
      </c>
      <c r="M50" s="30">
        <v>16320</v>
      </c>
      <c r="N50" s="30">
        <v>17340</v>
      </c>
      <c r="O50" s="30">
        <v>15300</v>
      </c>
      <c r="P50" s="30">
        <v>17340</v>
      </c>
      <c r="Q50" s="30">
        <v>15300</v>
      </c>
      <c r="R50" s="50">
        <v>13260</v>
      </c>
      <c r="S50" s="69">
        <f t="shared" si="2"/>
        <v>276420</v>
      </c>
    </row>
    <row r="51" spans="1:19">
      <c r="A51" s="1" t="s">
        <v>1</v>
      </c>
      <c r="B51" s="7" t="s">
        <v>101</v>
      </c>
      <c r="C51" s="14">
        <v>2880</v>
      </c>
      <c r="D51" s="15">
        <v>3420</v>
      </c>
      <c r="E51" s="15">
        <v>3420</v>
      </c>
      <c r="F51" s="15">
        <v>3690</v>
      </c>
      <c r="G51" s="15">
        <v>3420</v>
      </c>
      <c r="H51" s="15">
        <v>3690</v>
      </c>
      <c r="I51" s="15">
        <v>2880</v>
      </c>
      <c r="J51" s="15">
        <v>2700</v>
      </c>
      <c r="K51" s="15">
        <v>2880</v>
      </c>
      <c r="L51" s="15">
        <v>3060</v>
      </c>
      <c r="M51" s="15">
        <v>2880</v>
      </c>
      <c r="N51" s="15">
        <v>0</v>
      </c>
      <c r="O51" s="15">
        <v>2700</v>
      </c>
      <c r="P51" s="15">
        <v>3060</v>
      </c>
      <c r="Q51" s="15">
        <v>2700</v>
      </c>
      <c r="R51" s="51">
        <v>0</v>
      </c>
      <c r="S51" s="70">
        <f t="shared" si="2"/>
        <v>43380</v>
      </c>
    </row>
    <row r="52" spans="1:19">
      <c r="A52" s="1" t="s">
        <v>1</v>
      </c>
      <c r="B52" s="7" t="s">
        <v>102</v>
      </c>
      <c r="C52" s="14">
        <v>29280</v>
      </c>
      <c r="D52" s="15">
        <v>34770</v>
      </c>
      <c r="E52" s="15">
        <v>34770</v>
      </c>
      <c r="F52" s="15">
        <v>37515</v>
      </c>
      <c r="G52" s="15">
        <v>34770</v>
      </c>
      <c r="H52" s="15">
        <v>37515</v>
      </c>
      <c r="I52" s="15">
        <v>29280</v>
      </c>
      <c r="J52" s="15">
        <v>27450</v>
      </c>
      <c r="K52" s="15">
        <v>29280</v>
      </c>
      <c r="L52" s="15">
        <v>31110</v>
      </c>
      <c r="M52" s="15">
        <v>29280</v>
      </c>
      <c r="N52" s="15">
        <v>31110</v>
      </c>
      <c r="O52" s="15">
        <v>27450</v>
      </c>
      <c r="P52" s="15">
        <v>31110</v>
      </c>
      <c r="Q52" s="15">
        <v>27450</v>
      </c>
      <c r="R52" s="51">
        <v>23790</v>
      </c>
      <c r="S52" s="70">
        <f t="shared" si="2"/>
        <v>495930</v>
      </c>
    </row>
    <row r="53" spans="1:19" ht="19.5" thickBot="1">
      <c r="A53" s="1" t="s">
        <v>1</v>
      </c>
      <c r="B53" s="7" t="s">
        <v>103</v>
      </c>
      <c r="C53" s="14">
        <v>871</v>
      </c>
      <c r="D53" s="15">
        <v>0</v>
      </c>
      <c r="E53" s="15">
        <v>1086</v>
      </c>
      <c r="F53" s="15">
        <v>1277</v>
      </c>
      <c r="G53" s="15">
        <v>980</v>
      </c>
      <c r="H53" s="15">
        <v>1288</v>
      </c>
      <c r="I53" s="15">
        <v>1039</v>
      </c>
      <c r="J53" s="15">
        <v>929</v>
      </c>
      <c r="K53" s="15">
        <v>953</v>
      </c>
      <c r="L53" s="15">
        <v>1098</v>
      </c>
      <c r="M53" s="15">
        <v>1014</v>
      </c>
      <c r="N53" s="15">
        <v>65</v>
      </c>
      <c r="O53" s="15">
        <v>947</v>
      </c>
      <c r="P53" s="15">
        <v>949</v>
      </c>
      <c r="Q53" s="15">
        <v>730</v>
      </c>
      <c r="R53" s="51">
        <v>973</v>
      </c>
      <c r="S53" s="70">
        <f t="shared" si="2"/>
        <v>14199</v>
      </c>
    </row>
    <row r="54" spans="1:19" ht="19.5" thickBot="1">
      <c r="A54" s="1" t="s">
        <v>1</v>
      </c>
      <c r="B54" s="39" t="s">
        <v>104</v>
      </c>
      <c r="C54" s="40">
        <v>49351</v>
      </c>
      <c r="D54" s="41">
        <v>57570</v>
      </c>
      <c r="E54" s="41">
        <v>58656</v>
      </c>
      <c r="F54" s="41">
        <v>63392</v>
      </c>
      <c r="G54" s="41">
        <v>58550</v>
      </c>
      <c r="H54" s="41">
        <v>63403</v>
      </c>
      <c r="I54" s="41">
        <v>49519</v>
      </c>
      <c r="J54" s="41">
        <v>46379</v>
      </c>
      <c r="K54" s="41">
        <v>49433</v>
      </c>
      <c r="L54" s="41">
        <v>52608</v>
      </c>
      <c r="M54" s="41">
        <v>49494</v>
      </c>
      <c r="N54" s="41">
        <v>48515</v>
      </c>
      <c r="O54" s="41">
        <v>46397</v>
      </c>
      <c r="P54" s="41">
        <v>52459</v>
      </c>
      <c r="Q54" s="41">
        <v>46180</v>
      </c>
      <c r="R54" s="53">
        <v>38023</v>
      </c>
      <c r="S54" s="73">
        <f t="shared" si="2"/>
        <v>829929</v>
      </c>
    </row>
    <row r="55" spans="1:19">
      <c r="A55" s="1" t="s">
        <v>1</v>
      </c>
      <c r="B55" s="21" t="s">
        <v>105</v>
      </c>
      <c r="C55" s="29">
        <v>4140</v>
      </c>
      <c r="D55" s="30">
        <v>0</v>
      </c>
      <c r="E55" s="30">
        <v>6640</v>
      </c>
      <c r="F55" s="30">
        <v>13170</v>
      </c>
      <c r="G55" s="30">
        <v>5050</v>
      </c>
      <c r="H55" s="30">
        <v>13520</v>
      </c>
      <c r="I55" s="30">
        <v>8130</v>
      </c>
      <c r="J55" s="30">
        <v>5370</v>
      </c>
      <c r="K55" s="30">
        <v>7080</v>
      </c>
      <c r="L55" s="30">
        <v>9030</v>
      </c>
      <c r="M55" s="30">
        <v>7690</v>
      </c>
      <c r="N55" s="30">
        <v>0</v>
      </c>
      <c r="O55" s="30">
        <v>6940</v>
      </c>
      <c r="P55" s="30">
        <v>2010</v>
      </c>
      <c r="Q55" s="30">
        <v>4330</v>
      </c>
      <c r="R55" s="50">
        <v>7680</v>
      </c>
      <c r="S55" s="69">
        <f t="shared" si="2"/>
        <v>100780</v>
      </c>
    </row>
    <row r="56" spans="1:19">
      <c r="A56" s="1" t="s">
        <v>1</v>
      </c>
      <c r="B56" s="7" t="s">
        <v>106</v>
      </c>
      <c r="C56" s="14">
        <v>1300</v>
      </c>
      <c r="D56" s="15">
        <v>0</v>
      </c>
      <c r="E56" s="15">
        <v>1300</v>
      </c>
      <c r="F56" s="15">
        <v>0</v>
      </c>
      <c r="G56" s="15">
        <v>1300</v>
      </c>
      <c r="H56" s="15">
        <v>1300</v>
      </c>
      <c r="I56" s="15">
        <v>1300</v>
      </c>
      <c r="J56" s="15">
        <v>1300</v>
      </c>
      <c r="K56" s="15">
        <v>1300</v>
      </c>
      <c r="L56" s="15">
        <v>1300</v>
      </c>
      <c r="M56" s="15">
        <v>0</v>
      </c>
      <c r="N56" s="15">
        <v>0</v>
      </c>
      <c r="O56" s="15">
        <v>1300</v>
      </c>
      <c r="P56" s="15">
        <v>1300</v>
      </c>
      <c r="Q56" s="15">
        <v>1300</v>
      </c>
      <c r="R56" s="51">
        <v>1300</v>
      </c>
      <c r="S56" s="70">
        <f t="shared" si="2"/>
        <v>15600</v>
      </c>
    </row>
    <row r="57" spans="1:19">
      <c r="A57" s="1" t="s">
        <v>1</v>
      </c>
      <c r="B57" s="7" t="s">
        <v>107</v>
      </c>
      <c r="C57" s="14">
        <v>9900</v>
      </c>
      <c r="D57" s="15">
        <v>16100</v>
      </c>
      <c r="E57" s="15">
        <v>15700</v>
      </c>
      <c r="F57" s="15">
        <v>18800</v>
      </c>
      <c r="G57" s="15">
        <v>12100</v>
      </c>
      <c r="H57" s="15">
        <v>18500</v>
      </c>
      <c r="I57" s="15">
        <v>14500</v>
      </c>
      <c r="J57" s="15">
        <v>9300</v>
      </c>
      <c r="K57" s="15">
        <v>13400</v>
      </c>
      <c r="L57" s="15">
        <v>13900</v>
      </c>
      <c r="M57" s="15">
        <v>10400</v>
      </c>
      <c r="N57" s="15">
        <v>24600</v>
      </c>
      <c r="O57" s="15">
        <v>12200</v>
      </c>
      <c r="P57" s="15">
        <v>6700</v>
      </c>
      <c r="Q57" s="15">
        <v>0</v>
      </c>
      <c r="R57" s="51">
        <v>0</v>
      </c>
      <c r="S57" s="70">
        <f t="shared" si="2"/>
        <v>196100</v>
      </c>
    </row>
    <row r="58" spans="1:19" ht="19.5" thickBot="1">
      <c r="A58" s="1" t="s">
        <v>1</v>
      </c>
      <c r="B58" s="7" t="s">
        <v>108</v>
      </c>
      <c r="C58" s="55">
        <v>0</v>
      </c>
      <c r="D58" s="56">
        <v>-73670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-73115</v>
      </c>
      <c r="O58" s="56">
        <v>0</v>
      </c>
      <c r="P58" s="56">
        <v>0</v>
      </c>
      <c r="Q58" s="56">
        <v>0</v>
      </c>
      <c r="R58" s="58">
        <v>0</v>
      </c>
      <c r="S58" s="71">
        <f t="shared" si="2"/>
        <v>-146785</v>
      </c>
    </row>
    <row r="59" spans="1:19" ht="19.5" thickBot="1">
      <c r="A59" s="1" t="s">
        <v>1</v>
      </c>
      <c r="B59" s="39" t="s">
        <v>109</v>
      </c>
      <c r="C59" s="40">
        <v>64691</v>
      </c>
      <c r="D59" s="41">
        <v>0</v>
      </c>
      <c r="E59" s="41">
        <v>82296</v>
      </c>
      <c r="F59" s="41">
        <v>95362</v>
      </c>
      <c r="G59" s="41">
        <v>77000</v>
      </c>
      <c r="H59" s="41">
        <v>96723</v>
      </c>
      <c r="I59" s="41">
        <v>73449</v>
      </c>
      <c r="J59" s="41">
        <v>62349</v>
      </c>
      <c r="K59" s="41">
        <v>71213</v>
      </c>
      <c r="L59" s="41">
        <v>76838</v>
      </c>
      <c r="M59" s="41">
        <v>67584</v>
      </c>
      <c r="N59" s="41">
        <v>0</v>
      </c>
      <c r="O59" s="41">
        <v>66837</v>
      </c>
      <c r="P59" s="41">
        <v>62469</v>
      </c>
      <c r="Q59" s="41">
        <v>51810</v>
      </c>
      <c r="R59" s="53">
        <v>47003</v>
      </c>
      <c r="S59" s="73">
        <f t="shared" si="2"/>
        <v>995624</v>
      </c>
    </row>
    <row r="60" spans="1:19" ht="19.5" thickBot="1">
      <c r="A60" s="1" t="s">
        <v>1</v>
      </c>
      <c r="B60" s="39" t="s">
        <v>110</v>
      </c>
      <c r="C60" s="40">
        <v>227809</v>
      </c>
      <c r="D60" s="41">
        <v>-57570</v>
      </c>
      <c r="E60" s="41">
        <v>297850</v>
      </c>
      <c r="F60" s="41">
        <v>358629</v>
      </c>
      <c r="G60" s="41">
        <v>253100</v>
      </c>
      <c r="H60" s="41">
        <v>362960</v>
      </c>
      <c r="I60" s="41">
        <v>294218</v>
      </c>
      <c r="J60" s="41">
        <v>262074</v>
      </c>
      <c r="K60" s="41">
        <v>264895</v>
      </c>
      <c r="L60" s="41">
        <v>307988</v>
      </c>
      <c r="M60" s="41">
        <v>281930</v>
      </c>
      <c r="N60" s="41">
        <v>-27252</v>
      </c>
      <c r="O60" s="41">
        <v>260979</v>
      </c>
      <c r="P60" s="41">
        <v>258761</v>
      </c>
      <c r="Q60" s="41">
        <v>187769</v>
      </c>
      <c r="R60" s="53">
        <v>281628</v>
      </c>
      <c r="S60" s="73">
        <f t="shared" si="2"/>
        <v>3815768</v>
      </c>
    </row>
    <row r="61" spans="1:19" ht="19.5" thickBot="1">
      <c r="A61" s="1" t="s">
        <v>1</v>
      </c>
      <c r="B61" s="39" t="s">
        <v>111</v>
      </c>
      <c r="C61" s="40">
        <v>225516</v>
      </c>
      <c r="D61" s="41">
        <v>0</v>
      </c>
      <c r="E61" s="41">
        <v>279846</v>
      </c>
      <c r="F61" s="41">
        <v>330182</v>
      </c>
      <c r="G61" s="41">
        <v>249654</v>
      </c>
      <c r="H61" s="41">
        <v>332458</v>
      </c>
      <c r="I61" s="41">
        <v>273002</v>
      </c>
      <c r="J61" s="41">
        <v>247357</v>
      </c>
      <c r="K61" s="41">
        <v>246377</v>
      </c>
      <c r="L61" s="41">
        <v>289186</v>
      </c>
      <c r="M61" s="41">
        <v>270364</v>
      </c>
      <c r="N61" s="41">
        <v>21629</v>
      </c>
      <c r="O61" s="41">
        <v>248680</v>
      </c>
      <c r="P61" s="41">
        <v>253709</v>
      </c>
      <c r="Q61" s="41">
        <v>191454</v>
      </c>
      <c r="R61" s="53">
        <v>277397</v>
      </c>
      <c r="S61" s="73">
        <f t="shared" si="2"/>
        <v>3736811</v>
      </c>
    </row>
    <row r="62" spans="1:19">
      <c r="A62" s="1" t="s">
        <v>1</v>
      </c>
      <c r="B62" s="21" t="s">
        <v>112</v>
      </c>
      <c r="C62" s="29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50">
        <v>0</v>
      </c>
      <c r="S62" s="69">
        <f t="shared" si="2"/>
        <v>0</v>
      </c>
    </row>
    <row r="63" spans="1:19">
      <c r="A63" s="1" t="s">
        <v>1</v>
      </c>
      <c r="B63" s="7" t="s">
        <v>113</v>
      </c>
      <c r="C63" s="14">
        <v>225516</v>
      </c>
      <c r="D63" s="15">
        <v>0</v>
      </c>
      <c r="E63" s="15">
        <v>279846</v>
      </c>
      <c r="F63" s="15">
        <v>330182</v>
      </c>
      <c r="G63" s="15">
        <v>249654</v>
      </c>
      <c r="H63" s="15">
        <v>332458</v>
      </c>
      <c r="I63" s="15">
        <v>273002</v>
      </c>
      <c r="J63" s="15">
        <v>247357</v>
      </c>
      <c r="K63" s="15">
        <v>246377</v>
      </c>
      <c r="L63" s="15">
        <v>289186</v>
      </c>
      <c r="M63" s="15">
        <v>270364</v>
      </c>
      <c r="N63" s="15">
        <v>21629</v>
      </c>
      <c r="O63" s="15">
        <v>248680</v>
      </c>
      <c r="P63" s="15">
        <v>253709</v>
      </c>
      <c r="Q63" s="15">
        <v>191454</v>
      </c>
      <c r="R63" s="51">
        <v>277397</v>
      </c>
      <c r="S63" s="70">
        <f t="shared" si="2"/>
        <v>3736811</v>
      </c>
    </row>
    <row r="64" spans="1:19">
      <c r="A64" s="1" t="s">
        <v>1</v>
      </c>
      <c r="B64" s="7" t="s">
        <v>114</v>
      </c>
      <c r="C64" s="14">
        <v>1</v>
      </c>
      <c r="D64" s="15">
        <v>0</v>
      </c>
      <c r="E64" s="15">
        <v>1</v>
      </c>
      <c r="F64" s="15">
        <v>0</v>
      </c>
      <c r="G64" s="15">
        <v>1</v>
      </c>
      <c r="H64" s="15">
        <v>0</v>
      </c>
      <c r="I64" s="15">
        <v>0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3</v>
      </c>
      <c r="Q64" s="15">
        <v>0</v>
      </c>
      <c r="R64" s="51">
        <v>0</v>
      </c>
      <c r="S64" s="70"/>
    </row>
    <row r="65" spans="1:19" ht="19.5" thickBot="1">
      <c r="A65" s="1" t="s">
        <v>1</v>
      </c>
      <c r="B65" s="17" t="s">
        <v>115</v>
      </c>
      <c r="C65" s="18" t="s">
        <v>116</v>
      </c>
      <c r="D65" s="19" t="s">
        <v>116</v>
      </c>
      <c r="E65" s="19" t="s">
        <v>116</v>
      </c>
      <c r="F65" s="19" t="s">
        <v>116</v>
      </c>
      <c r="G65" s="19" t="s">
        <v>116</v>
      </c>
      <c r="H65" s="19" t="s">
        <v>116</v>
      </c>
      <c r="I65" s="19" t="s">
        <v>116</v>
      </c>
      <c r="J65" s="19" t="s">
        <v>116</v>
      </c>
      <c r="K65" s="19" t="s">
        <v>116</v>
      </c>
      <c r="L65" s="19" t="s">
        <v>116</v>
      </c>
      <c r="M65" s="19" t="s">
        <v>116</v>
      </c>
      <c r="N65" s="19" t="s">
        <v>116</v>
      </c>
      <c r="O65" s="19" t="s">
        <v>116</v>
      </c>
      <c r="P65" s="19" t="s">
        <v>116</v>
      </c>
      <c r="Q65" s="19" t="s">
        <v>116</v>
      </c>
      <c r="R65" s="54" t="s">
        <v>116</v>
      </c>
      <c r="S65" s="74"/>
    </row>
  </sheetData>
  <phoneticPr fontId="3"/>
  <pageMargins left="0.11811023622047245" right="0.11811023622047245" top="0.15748031496062992" bottom="0.15748031496062992" header="0.11811023622047245" footer="0.19685039370078741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2022年 7月度給与 (2)</vt:lpstr>
      <vt:lpstr>2022年 7月度給与 (3)</vt:lpstr>
      <vt:lpstr>2022年 7月度給与 (4)</vt:lpstr>
      <vt:lpstr>'2022年 7月度給与 (3)'!Print_Area</vt:lpstr>
      <vt:lpstr>'2022年 7月度給与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2022-08-10T08:03:36Z</cp:lastPrinted>
  <dcterms:created xsi:type="dcterms:W3CDTF">2022-08-09T02:15:36Z</dcterms:created>
  <dcterms:modified xsi:type="dcterms:W3CDTF">2022-08-10T08:45:01Z</dcterms:modified>
</cp:coreProperties>
</file>