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7\"/>
    </mc:Choice>
  </mc:AlternateContent>
  <xr:revisionPtr revIDLastSave="0" documentId="13_ncr:1_{42D67383-C5C6-4C0F-9EB0-103696334D03}" xr6:coauthVersionLast="47" xr6:coauthVersionMax="47" xr10:uidLastSave="{00000000-0000-0000-0000-000000000000}"/>
  <bookViews>
    <workbookView xWindow="-120" yWindow="-120" windowWidth="20730" windowHeight="11160" xr2:uid="{4F526A2C-288C-4929-9D94-2AE118B70C4E}"/>
  </bookViews>
  <sheets>
    <sheet name="2022年 7月度給与 (2)" sheetId="4" r:id="rId1"/>
  </sheets>
  <definedNames>
    <definedName name="_xlnm.Print_Area" localSheetId="0">'2022年 7月度給与 (2)'!$A$1:$M$67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4" l="1"/>
  <c r="M10" i="4"/>
  <c r="M11" i="4"/>
  <c r="M12" i="4"/>
  <c r="M17" i="4"/>
  <c r="M18" i="4"/>
  <c r="M19" i="4"/>
  <c r="M21" i="4"/>
  <c r="M22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25" i="4"/>
  <c r="L24" i="4"/>
  <c r="L23" i="4"/>
  <c r="L15" i="4"/>
  <c r="M15" i="4" s="1"/>
  <c r="L16" i="4"/>
  <c r="M16" i="4" s="1"/>
  <c r="L14" i="4"/>
  <c r="M14" i="4" s="1"/>
  <c r="L9" i="4"/>
  <c r="L7" i="4"/>
  <c r="M7" i="4" s="1"/>
  <c r="L6" i="4"/>
  <c r="M6" i="4" s="1"/>
  <c r="L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25" i="4"/>
  <c r="E24" i="4"/>
  <c r="E23" i="4"/>
  <c r="E20" i="4"/>
  <c r="M20" i="4" s="1"/>
  <c r="E13" i="4"/>
  <c r="M13" i="4" s="1"/>
  <c r="E9" i="4"/>
  <c r="E5" i="4"/>
  <c r="M33" i="4" l="1"/>
  <c r="M29" i="4"/>
  <c r="M65" i="4"/>
  <c r="M60" i="4"/>
  <c r="M56" i="4"/>
  <c r="M46" i="4"/>
  <c r="M42" i="4"/>
  <c r="M39" i="4"/>
  <c r="M36" i="4"/>
  <c r="M61" i="4"/>
  <c r="M53" i="4"/>
  <c r="M45" i="4"/>
  <c r="M63" i="4"/>
  <c r="M58" i="4"/>
  <c r="M51" i="4"/>
  <c r="M44" i="4"/>
  <c r="M27" i="4"/>
  <c r="M5" i="4"/>
  <c r="M64" i="4"/>
  <c r="M59" i="4"/>
  <c r="M52" i="4"/>
  <c r="M49" i="4"/>
  <c r="M41" i="4"/>
  <c r="M38" i="4"/>
  <c r="M32" i="4"/>
  <c r="M24" i="4"/>
  <c r="M55" i="4"/>
  <c r="M48" i="4"/>
  <c r="M40" i="4"/>
  <c r="M35" i="4"/>
  <c r="M34" i="4"/>
  <c r="M30" i="4"/>
  <c r="M26" i="4"/>
  <c r="M62" i="4"/>
  <c r="M57" i="4"/>
  <c r="M54" i="4"/>
  <c r="M50" i="4"/>
  <c r="M47" i="4"/>
  <c r="M43" i="4"/>
  <c r="M37" i="4"/>
  <c r="M31" i="4"/>
  <c r="M28" i="4"/>
  <c r="M25" i="4"/>
  <c r="M23" i="4"/>
  <c r="M9" i="4"/>
</calcChain>
</file>

<file path=xl/sharedStrings.xml><?xml version="1.0" encoding="utf-8"?>
<sst xmlns="http://schemas.openxmlformats.org/spreadsheetml/2006/main" count="159" uniqueCount="86">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</sst>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177" fontId="2" fillId="0" borderId="8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  <xf numFmtId="177" fontId="2" fillId="0" borderId="9" xfId="1" applyNumberFormat="1" applyFont="1" applyBorder="1"/>
    <xf numFmtId="177" fontId="2" fillId="0" borderId="40" xfId="1" applyNumberFormat="1" applyFont="1" applyBorder="1"/>
  </cellXfs>
  <cellStyles count="2">
    <cellStyle name="標準" xfId="0" builtinId="0"/>
    <cellStyle name="標準 2" xfId="1" xr:uid="{CEE8B646-06FF-4574-94C5-73C94D146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F0BC-B78E-4233-AA4D-B4B839AAC72C}">
  <sheetPr>
    <pageSetUpPr fitToPage="1"/>
  </sheetPr>
  <dimension ref="A1:M67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2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81</v>
      </c>
    </row>
    <row r="3" spans="1:13">
      <c r="B3" s="3"/>
      <c r="C3" s="7" t="s">
        <v>4</v>
      </c>
      <c r="D3" s="8" t="s">
        <v>9</v>
      </c>
      <c r="E3" s="49" t="s">
        <v>82</v>
      </c>
      <c r="F3" s="6" t="s">
        <v>2</v>
      </c>
      <c r="G3" s="7" t="s">
        <v>3</v>
      </c>
      <c r="H3" s="7" t="s">
        <v>5</v>
      </c>
      <c r="I3" s="7" t="s">
        <v>6</v>
      </c>
      <c r="J3" s="7" t="s">
        <v>7</v>
      </c>
      <c r="K3" s="51" t="s">
        <v>8</v>
      </c>
      <c r="L3" s="62" t="s">
        <v>82</v>
      </c>
      <c r="M3" s="63" t="s">
        <v>19</v>
      </c>
    </row>
    <row r="4" spans="1:13" ht="19.5" thickBot="1">
      <c r="A4" s="43"/>
      <c r="B4" s="25" t="s">
        <v>10</v>
      </c>
      <c r="C4" s="27" t="s">
        <v>13</v>
      </c>
      <c r="D4" s="28" t="s">
        <v>18</v>
      </c>
      <c r="E4" s="50" t="s">
        <v>83</v>
      </c>
      <c r="F4" s="26" t="s">
        <v>11</v>
      </c>
      <c r="G4" s="27" t="s">
        <v>12</v>
      </c>
      <c r="H4" s="27" t="s">
        <v>14</v>
      </c>
      <c r="I4" s="27" t="s">
        <v>15</v>
      </c>
      <c r="J4" s="27" t="s">
        <v>16</v>
      </c>
      <c r="K4" s="52" t="s">
        <v>17</v>
      </c>
      <c r="L4" s="64" t="s">
        <v>84</v>
      </c>
      <c r="M4" s="65" t="s">
        <v>85</v>
      </c>
    </row>
    <row r="5" spans="1:13">
      <c r="A5" s="1" t="s">
        <v>1</v>
      </c>
      <c r="B5" s="21" t="s">
        <v>20</v>
      </c>
      <c r="C5" s="23">
        <v>21</v>
      </c>
      <c r="D5" s="24">
        <v>10</v>
      </c>
      <c r="E5" s="44">
        <f>SUM(C5:D5)</f>
        <v>31</v>
      </c>
      <c r="F5" s="22">
        <v>19</v>
      </c>
      <c r="G5" s="23">
        <v>21</v>
      </c>
      <c r="H5" s="23">
        <v>20</v>
      </c>
      <c r="I5" s="23">
        <v>19</v>
      </c>
      <c r="J5" s="23">
        <v>20</v>
      </c>
      <c r="K5" s="53">
        <v>19</v>
      </c>
      <c r="L5" s="66">
        <f>SUM(F5:K5)</f>
        <v>118</v>
      </c>
      <c r="M5" s="66">
        <f>E5+L5</f>
        <v>149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5"/>
      <c r="F6" s="9">
        <v>1</v>
      </c>
      <c r="G6" s="10">
        <v>1</v>
      </c>
      <c r="H6" s="10">
        <v>3</v>
      </c>
      <c r="I6" s="10">
        <v>2</v>
      </c>
      <c r="J6" s="10">
        <v>4</v>
      </c>
      <c r="K6" s="54">
        <v>3</v>
      </c>
      <c r="L6" s="67">
        <f>SUM(F6:K6)</f>
        <v>14</v>
      </c>
      <c r="M6" s="67">
        <f t="shared" ref="M6:M57" si="0">E6+L6</f>
        <v>14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1</v>
      </c>
      <c r="I7" s="10">
        <v>0</v>
      </c>
      <c r="J7" s="10">
        <v>1</v>
      </c>
      <c r="K7" s="54">
        <v>1</v>
      </c>
      <c r="L7" s="67">
        <f>SUM(F7:K7)</f>
        <v>3</v>
      </c>
      <c r="M7" s="67">
        <f t="shared" si="0"/>
        <v>3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4">
        <v>0</v>
      </c>
      <c r="L8" s="67"/>
      <c r="M8" s="67">
        <f t="shared" si="0"/>
        <v>0</v>
      </c>
    </row>
    <row r="9" spans="1:13">
      <c r="A9" s="1" t="s">
        <v>1</v>
      </c>
      <c r="B9" s="4" t="s">
        <v>24</v>
      </c>
      <c r="C9" s="10">
        <v>0</v>
      </c>
      <c r="D9" s="11">
        <v>1</v>
      </c>
      <c r="E9" s="45">
        <f>SUM(C9:D9)</f>
        <v>1</v>
      </c>
      <c r="F9" s="9">
        <v>2</v>
      </c>
      <c r="G9" s="10">
        <v>0</v>
      </c>
      <c r="H9" s="10">
        <v>0</v>
      </c>
      <c r="I9" s="10">
        <v>2</v>
      </c>
      <c r="J9" s="10">
        <v>1</v>
      </c>
      <c r="K9" s="54">
        <v>2</v>
      </c>
      <c r="L9" s="67">
        <f>SUM(F9:K9)</f>
        <v>7</v>
      </c>
      <c r="M9" s="67">
        <f t="shared" si="0"/>
        <v>8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4">
        <v>0</v>
      </c>
      <c r="L10" s="67"/>
      <c r="M10" s="67">
        <f t="shared" si="0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4">
        <v>0</v>
      </c>
      <c r="L11" s="67"/>
      <c r="M11" s="67">
        <f t="shared" si="0"/>
        <v>0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4">
        <v>0</v>
      </c>
      <c r="L12" s="67"/>
      <c r="M12" s="67">
        <f t="shared" si="0"/>
        <v>0</v>
      </c>
    </row>
    <row r="13" spans="1:13">
      <c r="A13" s="1" t="s">
        <v>1</v>
      </c>
      <c r="B13" s="4" t="s">
        <v>28</v>
      </c>
      <c r="C13" s="13">
        <v>0</v>
      </c>
      <c r="D13" s="14">
        <v>2.75</v>
      </c>
      <c r="E13" s="46">
        <f>SUM(C13:D13)</f>
        <v>2.75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5">
        <v>0</v>
      </c>
      <c r="L13" s="68"/>
      <c r="M13" s="68">
        <f t="shared" si="0"/>
        <v>2.75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6"/>
      <c r="F14" s="12">
        <v>1.875</v>
      </c>
      <c r="G14" s="13">
        <v>2.125</v>
      </c>
      <c r="H14" s="13">
        <v>1.1666666666666667</v>
      </c>
      <c r="I14" s="13">
        <v>1.6666666666666665</v>
      </c>
      <c r="J14" s="13">
        <v>1.2083333333333333</v>
      </c>
      <c r="K14" s="55">
        <v>1.2916666666666667</v>
      </c>
      <c r="L14" s="68">
        <f>SUM(F14:K14)</f>
        <v>9.3333333333333339</v>
      </c>
      <c r="M14" s="68">
        <f t="shared" si="0"/>
        <v>9.3333333333333339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6"/>
      <c r="F15" s="12">
        <v>0.375</v>
      </c>
      <c r="G15" s="13">
        <v>0.375</v>
      </c>
      <c r="H15" s="13">
        <v>0.875</v>
      </c>
      <c r="I15" s="13">
        <v>0.54166666666666663</v>
      </c>
      <c r="J15" s="13">
        <v>1.1666666666666667</v>
      </c>
      <c r="K15" s="55">
        <v>1.2916666666666667</v>
      </c>
      <c r="L15" s="68">
        <f t="shared" ref="L15:L16" si="1">SUM(F15:K15)</f>
        <v>4.625</v>
      </c>
      <c r="M15" s="68">
        <f t="shared" si="0"/>
        <v>4.625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0.25</v>
      </c>
      <c r="I16" s="13">
        <v>0</v>
      </c>
      <c r="J16" s="13">
        <v>0.25</v>
      </c>
      <c r="K16" s="55">
        <v>0.33333333333333331</v>
      </c>
      <c r="L16" s="68">
        <f t="shared" si="1"/>
        <v>0.83333333333333326</v>
      </c>
      <c r="M16" s="68">
        <f t="shared" si="0"/>
        <v>0.83333333333333326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5">
        <v>0</v>
      </c>
      <c r="L17" s="68"/>
      <c r="M17" s="68">
        <f t="shared" si="0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5">
        <v>0</v>
      </c>
      <c r="L18" s="68"/>
      <c r="M18" s="68">
        <f t="shared" si="0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5">
        <v>0</v>
      </c>
      <c r="L19" s="68"/>
      <c r="M19" s="68">
        <f t="shared" si="0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0.29166666666666669</v>
      </c>
      <c r="E20" s="46">
        <f>SUM(C20:D20)</f>
        <v>0.29166666666666669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5">
        <v>0</v>
      </c>
      <c r="L20" s="68"/>
      <c r="M20" s="68">
        <f t="shared" si="0"/>
        <v>0.29166666666666669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5">
        <v>0</v>
      </c>
      <c r="L21" s="68"/>
      <c r="M21" s="68">
        <f t="shared" si="0"/>
        <v>0</v>
      </c>
    </row>
    <row r="22" spans="1:13">
      <c r="A22" s="1" t="s">
        <v>1</v>
      </c>
      <c r="B22" s="4" t="s">
        <v>37</v>
      </c>
      <c r="C22" s="13">
        <v>0</v>
      </c>
      <c r="D22" s="14">
        <v>0</v>
      </c>
      <c r="E22" s="46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55">
        <v>0</v>
      </c>
      <c r="L22" s="68"/>
      <c r="M22" s="68">
        <f t="shared" si="0"/>
        <v>0</v>
      </c>
    </row>
    <row r="23" spans="1:13">
      <c r="A23" s="1" t="s">
        <v>1</v>
      </c>
      <c r="B23" s="4" t="s">
        <v>38</v>
      </c>
      <c r="C23" s="13">
        <v>0.29166666666666669</v>
      </c>
      <c r="D23" s="14">
        <v>0</v>
      </c>
      <c r="E23" s="46">
        <f>SUM(C23:D23)</f>
        <v>0.29166666666666669</v>
      </c>
      <c r="F23" s="12">
        <v>0.58333333333333337</v>
      </c>
      <c r="G23" s="13">
        <v>0.83333333333333337</v>
      </c>
      <c r="H23" s="13">
        <v>0.20833333333333334</v>
      </c>
      <c r="I23" s="13">
        <v>0.79166666666666663</v>
      </c>
      <c r="J23" s="13">
        <v>0.29166666666666669</v>
      </c>
      <c r="K23" s="55">
        <v>0.29166666666666669</v>
      </c>
      <c r="L23" s="68">
        <f>SUM(F23:K23)</f>
        <v>2.9999999999999996</v>
      </c>
      <c r="M23" s="68">
        <f t="shared" si="0"/>
        <v>3.2916666666666661</v>
      </c>
    </row>
    <row r="24" spans="1:13" ht="19.5" thickBot="1">
      <c r="A24" s="1" t="s">
        <v>1</v>
      </c>
      <c r="B24" s="5" t="s">
        <v>39</v>
      </c>
      <c r="C24" s="33">
        <v>39</v>
      </c>
      <c r="D24" s="34">
        <v>16</v>
      </c>
      <c r="E24" s="47">
        <f>SUM(C24:D24)</f>
        <v>55</v>
      </c>
      <c r="F24" s="32">
        <v>35</v>
      </c>
      <c r="G24" s="33">
        <v>37</v>
      </c>
      <c r="H24" s="33">
        <v>37</v>
      </c>
      <c r="I24" s="33">
        <v>30</v>
      </c>
      <c r="J24" s="33">
        <v>29</v>
      </c>
      <c r="K24" s="56">
        <v>26</v>
      </c>
      <c r="L24" s="69">
        <f>SUM(F24:K24)</f>
        <v>194</v>
      </c>
      <c r="M24" s="69">
        <f t="shared" si="0"/>
        <v>249</v>
      </c>
    </row>
    <row r="25" spans="1:13">
      <c r="A25" s="1" t="s">
        <v>1</v>
      </c>
      <c r="B25" s="21" t="s">
        <v>40</v>
      </c>
      <c r="C25" s="30">
        <v>355000</v>
      </c>
      <c r="D25" s="31">
        <v>0</v>
      </c>
      <c r="E25" s="31">
        <f>SUM(C25:D25)</f>
        <v>355000</v>
      </c>
      <c r="F25" s="29">
        <v>177000</v>
      </c>
      <c r="G25" s="30">
        <v>192000</v>
      </c>
      <c r="H25" s="30">
        <v>177000</v>
      </c>
      <c r="I25" s="30">
        <v>177000</v>
      </c>
      <c r="J25" s="30">
        <v>177000</v>
      </c>
      <c r="K25" s="57">
        <v>170000</v>
      </c>
      <c r="L25" s="70">
        <f>SUM(F25:K25)</f>
        <v>1070000</v>
      </c>
      <c r="M25" s="70">
        <f t="shared" si="0"/>
        <v>1425000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ref="E26:E65" si="2">SUM(C26:D26)</f>
        <v>0</v>
      </c>
      <c r="F26" s="15">
        <v>0</v>
      </c>
      <c r="G26" s="16">
        <v>5000</v>
      </c>
      <c r="H26" s="16">
        <v>0</v>
      </c>
      <c r="I26" s="16">
        <v>0</v>
      </c>
      <c r="J26" s="16">
        <v>0</v>
      </c>
      <c r="K26" s="58">
        <v>0</v>
      </c>
      <c r="L26" s="71">
        <f t="shared" ref="L26:L66" si="3">SUM(F26:K26)</f>
        <v>5000</v>
      </c>
      <c r="M26" s="71">
        <f t="shared" si="0"/>
        <v>5000</v>
      </c>
    </row>
    <row r="27" spans="1:13">
      <c r="A27" s="1" t="s">
        <v>1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6000</v>
      </c>
      <c r="G27" s="16">
        <v>0</v>
      </c>
      <c r="H27" s="16">
        <v>3000</v>
      </c>
      <c r="I27" s="16">
        <v>0</v>
      </c>
      <c r="J27" s="16">
        <v>0</v>
      </c>
      <c r="K27" s="58">
        <v>0</v>
      </c>
      <c r="L27" s="71">
        <f t="shared" si="3"/>
        <v>9000</v>
      </c>
      <c r="M27" s="71">
        <f t="shared" si="0"/>
        <v>9000</v>
      </c>
    </row>
    <row r="28" spans="1:13">
      <c r="A28" s="1" t="s">
        <v>1</v>
      </c>
      <c r="B28" s="4" t="s">
        <v>43</v>
      </c>
      <c r="C28" s="16">
        <v>50000</v>
      </c>
      <c r="D28" s="17">
        <v>0</v>
      </c>
      <c r="E28" s="17">
        <f t="shared" si="2"/>
        <v>50000</v>
      </c>
      <c r="F28" s="15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58">
        <v>50000</v>
      </c>
      <c r="L28" s="71">
        <f t="shared" si="3"/>
        <v>300000</v>
      </c>
      <c r="M28" s="71">
        <f t="shared" si="0"/>
        <v>350000</v>
      </c>
    </row>
    <row r="29" spans="1:13">
      <c r="A29" s="1" t="s">
        <v>1</v>
      </c>
      <c r="B29" s="4" t="s">
        <v>44</v>
      </c>
      <c r="C29" s="48">
        <v>-6887</v>
      </c>
      <c r="D29" s="17">
        <v>0</v>
      </c>
      <c r="E29" s="75">
        <f t="shared" si="2"/>
        <v>-6887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8">
        <v>0</v>
      </c>
      <c r="L29" s="71">
        <f t="shared" si="3"/>
        <v>0</v>
      </c>
      <c r="M29" s="76">
        <f t="shared" si="0"/>
        <v>-6887</v>
      </c>
    </row>
    <row r="30" spans="1:13">
      <c r="A30" s="1" t="s">
        <v>1</v>
      </c>
      <c r="B30" s="4" t="s">
        <v>45</v>
      </c>
      <c r="C30" s="16">
        <v>0</v>
      </c>
      <c r="D30" s="17">
        <v>75240</v>
      </c>
      <c r="E30" s="17">
        <f t="shared" si="2"/>
        <v>75240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8">
        <v>0</v>
      </c>
      <c r="L30" s="71">
        <f t="shared" si="3"/>
        <v>0</v>
      </c>
      <c r="M30" s="71">
        <f t="shared" si="0"/>
        <v>75240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8">
        <v>0</v>
      </c>
      <c r="L31" s="71">
        <f t="shared" si="3"/>
        <v>0</v>
      </c>
      <c r="M31" s="71">
        <f t="shared" si="0"/>
        <v>0</v>
      </c>
    </row>
    <row r="32" spans="1:13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8">
        <v>0</v>
      </c>
      <c r="L32" s="71">
        <f t="shared" si="3"/>
        <v>0</v>
      </c>
      <c r="M32" s="71">
        <f t="shared" si="0"/>
        <v>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1000</v>
      </c>
      <c r="G33" s="16">
        <v>1000</v>
      </c>
      <c r="H33" s="16">
        <v>0</v>
      </c>
      <c r="I33" s="16">
        <v>1000</v>
      </c>
      <c r="J33" s="16">
        <v>1000</v>
      </c>
      <c r="K33" s="58">
        <v>1000</v>
      </c>
      <c r="L33" s="71">
        <f t="shared" si="3"/>
        <v>5000</v>
      </c>
      <c r="M33" s="71">
        <f t="shared" si="0"/>
        <v>5000</v>
      </c>
    </row>
    <row r="34" spans="1:13">
      <c r="A34" s="1" t="s">
        <v>1</v>
      </c>
      <c r="B34" s="4" t="s">
        <v>49</v>
      </c>
      <c r="C34" s="16">
        <v>0</v>
      </c>
      <c r="D34" s="17">
        <v>7980</v>
      </c>
      <c r="E34" s="17">
        <f t="shared" si="2"/>
        <v>7980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8">
        <v>0</v>
      </c>
      <c r="L34" s="71">
        <f t="shared" si="3"/>
        <v>0</v>
      </c>
      <c r="M34" s="71">
        <f t="shared" si="0"/>
        <v>7980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8">
        <v>0</v>
      </c>
      <c r="L35" s="71">
        <f t="shared" si="3"/>
        <v>0</v>
      </c>
      <c r="M35" s="71">
        <f t="shared" si="0"/>
        <v>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8">
        <v>0</v>
      </c>
      <c r="L36" s="71">
        <f t="shared" si="3"/>
        <v>0</v>
      </c>
      <c r="M36" s="71">
        <f t="shared" si="0"/>
        <v>0</v>
      </c>
    </row>
    <row r="37" spans="1:13">
      <c r="A37" s="1" t="s">
        <v>1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23700</v>
      </c>
      <c r="G37" s="16">
        <v>10500</v>
      </c>
      <c r="H37" s="16">
        <v>13500</v>
      </c>
      <c r="I37" s="16">
        <v>13000</v>
      </c>
      <c r="J37" s="16">
        <v>13000</v>
      </c>
      <c r="K37" s="58">
        <v>15000</v>
      </c>
      <c r="L37" s="71">
        <f t="shared" si="3"/>
        <v>88700</v>
      </c>
      <c r="M37" s="71">
        <f t="shared" si="0"/>
        <v>88700</v>
      </c>
    </row>
    <row r="38" spans="1:13">
      <c r="A38" s="1" t="s">
        <v>1</v>
      </c>
      <c r="B38" s="4" t="s">
        <v>53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8">
        <v>0</v>
      </c>
      <c r="L38" s="71">
        <f t="shared" si="3"/>
        <v>0</v>
      </c>
      <c r="M38" s="71">
        <f t="shared" si="0"/>
        <v>0</v>
      </c>
    </row>
    <row r="39" spans="1:13">
      <c r="A39" s="1" t="s">
        <v>1</v>
      </c>
      <c r="B39" s="4" t="s">
        <v>54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8">
        <v>0</v>
      </c>
      <c r="L39" s="71">
        <f t="shared" si="3"/>
        <v>0</v>
      </c>
      <c r="M39" s="71">
        <f t="shared" si="0"/>
        <v>0</v>
      </c>
    </row>
    <row r="40" spans="1:13">
      <c r="A40" s="1" t="s">
        <v>1</v>
      </c>
      <c r="B40" s="4" t="s">
        <v>29</v>
      </c>
      <c r="C40" s="16">
        <v>0</v>
      </c>
      <c r="D40" s="17">
        <v>0</v>
      </c>
      <c r="E40" s="17">
        <f t="shared" si="2"/>
        <v>0</v>
      </c>
      <c r="F40" s="15">
        <v>86805</v>
      </c>
      <c r="G40" s="16">
        <v>98685</v>
      </c>
      <c r="H40" s="16">
        <v>51044</v>
      </c>
      <c r="I40" s="16">
        <v>72160</v>
      </c>
      <c r="J40" s="16">
        <v>52316</v>
      </c>
      <c r="K40" s="58">
        <v>54746</v>
      </c>
      <c r="L40" s="71">
        <f t="shared" si="3"/>
        <v>415756</v>
      </c>
      <c r="M40" s="71">
        <f t="shared" si="0"/>
        <v>415756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18747</v>
      </c>
      <c r="G41" s="16">
        <v>18810</v>
      </c>
      <c r="H41" s="16">
        <v>41328</v>
      </c>
      <c r="I41" s="16">
        <v>25324</v>
      </c>
      <c r="J41" s="16">
        <v>54544</v>
      </c>
      <c r="K41" s="58">
        <v>59148</v>
      </c>
      <c r="L41" s="71">
        <f t="shared" si="3"/>
        <v>217901</v>
      </c>
      <c r="M41" s="71">
        <f t="shared" si="0"/>
        <v>217901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11808</v>
      </c>
      <c r="I42" s="16">
        <v>0</v>
      </c>
      <c r="J42" s="16">
        <v>11688</v>
      </c>
      <c r="K42" s="58">
        <v>15264</v>
      </c>
      <c r="L42" s="71">
        <f t="shared" si="3"/>
        <v>38760</v>
      </c>
      <c r="M42" s="71">
        <f t="shared" si="0"/>
        <v>38760</v>
      </c>
    </row>
    <row r="43" spans="1:13">
      <c r="A43" s="1" t="s">
        <v>1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8">
        <v>0</v>
      </c>
      <c r="L43" s="71">
        <f t="shared" si="3"/>
        <v>0</v>
      </c>
      <c r="M43" s="71">
        <f t="shared" si="0"/>
        <v>0</v>
      </c>
    </row>
    <row r="44" spans="1:13">
      <c r="A44" s="1" t="s">
        <v>1</v>
      </c>
      <c r="B44" s="4" t="s">
        <v>58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58">
        <v>0</v>
      </c>
      <c r="L44" s="71">
        <f t="shared" si="3"/>
        <v>0</v>
      </c>
      <c r="M44" s="71">
        <f t="shared" si="0"/>
        <v>0</v>
      </c>
    </row>
    <row r="45" spans="1:13">
      <c r="A45" s="1" t="s">
        <v>1</v>
      </c>
      <c r="B45" s="4" t="s">
        <v>59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58">
        <v>0</v>
      </c>
      <c r="L45" s="71">
        <f t="shared" si="3"/>
        <v>0</v>
      </c>
      <c r="M45" s="71">
        <f t="shared" si="0"/>
        <v>0</v>
      </c>
    </row>
    <row r="46" spans="1:13">
      <c r="A46" s="1" t="s">
        <v>1</v>
      </c>
      <c r="B46" s="4" t="s">
        <v>34</v>
      </c>
      <c r="C46" s="16">
        <v>0</v>
      </c>
      <c r="D46" s="17">
        <v>0</v>
      </c>
      <c r="E46" s="17">
        <f t="shared" si="2"/>
        <v>0</v>
      </c>
      <c r="F46" s="15">
        <v>0</v>
      </c>
      <c r="G46" s="16">
        <v>0</v>
      </c>
      <c r="H46" s="16">
        <v>0</v>
      </c>
      <c r="I46" s="16">
        <v>0</v>
      </c>
      <c r="J46" s="16">
        <v>0</v>
      </c>
      <c r="K46" s="58">
        <v>0</v>
      </c>
      <c r="L46" s="71">
        <f t="shared" si="3"/>
        <v>0</v>
      </c>
      <c r="M46" s="71">
        <f t="shared" si="0"/>
        <v>0</v>
      </c>
    </row>
    <row r="47" spans="1:13" ht="19.5" thickBot="1">
      <c r="A47" s="1" t="s">
        <v>1</v>
      </c>
      <c r="B47" s="35" t="s">
        <v>38</v>
      </c>
      <c r="C47" s="37">
        <v>4242</v>
      </c>
      <c r="D47" s="38">
        <v>0</v>
      </c>
      <c r="E47" s="38">
        <f t="shared" si="2"/>
        <v>4242</v>
      </c>
      <c r="F47" s="36">
        <v>5404</v>
      </c>
      <c r="G47" s="37">
        <v>7740</v>
      </c>
      <c r="H47" s="37">
        <v>1825</v>
      </c>
      <c r="I47" s="37">
        <v>6859</v>
      </c>
      <c r="J47" s="37">
        <v>2527</v>
      </c>
      <c r="K47" s="59">
        <v>2471</v>
      </c>
      <c r="L47" s="72">
        <f t="shared" si="3"/>
        <v>26826</v>
      </c>
      <c r="M47" s="72">
        <f t="shared" si="0"/>
        <v>31068</v>
      </c>
    </row>
    <row r="48" spans="1:13" ht="19.5" thickBot="1">
      <c r="A48" s="1" t="s">
        <v>1</v>
      </c>
      <c r="B48" s="39" t="s">
        <v>60</v>
      </c>
      <c r="C48" s="41">
        <v>402355</v>
      </c>
      <c r="D48" s="42">
        <v>83220</v>
      </c>
      <c r="E48" s="42">
        <f t="shared" si="2"/>
        <v>485575</v>
      </c>
      <c r="F48" s="40">
        <v>368656</v>
      </c>
      <c r="G48" s="41">
        <v>383735</v>
      </c>
      <c r="H48" s="41">
        <v>349505</v>
      </c>
      <c r="I48" s="41">
        <v>345343</v>
      </c>
      <c r="J48" s="41">
        <v>362075</v>
      </c>
      <c r="K48" s="60">
        <v>367629</v>
      </c>
      <c r="L48" s="73">
        <f t="shared" si="3"/>
        <v>2176943</v>
      </c>
      <c r="M48" s="73">
        <f t="shared" si="0"/>
        <v>2662518</v>
      </c>
    </row>
    <row r="49" spans="1:13" ht="19.5" thickBot="1">
      <c r="A49" s="1" t="s">
        <v>1</v>
      </c>
      <c r="B49" s="21" t="s">
        <v>61</v>
      </c>
      <c r="C49" s="30">
        <v>11800</v>
      </c>
      <c r="D49" s="31">
        <v>3600</v>
      </c>
      <c r="E49" s="31">
        <f t="shared" si="2"/>
        <v>15400</v>
      </c>
      <c r="F49" s="29">
        <v>5409</v>
      </c>
      <c r="G49" s="30">
        <v>5693</v>
      </c>
      <c r="H49" s="30">
        <v>9912</v>
      </c>
      <c r="I49" s="30">
        <v>4874</v>
      </c>
      <c r="J49" s="30">
        <v>4529</v>
      </c>
      <c r="K49" s="57">
        <v>5952</v>
      </c>
      <c r="L49" s="70">
        <f t="shared" si="3"/>
        <v>36369</v>
      </c>
      <c r="M49" s="70">
        <f t="shared" si="0"/>
        <v>51769</v>
      </c>
    </row>
    <row r="50" spans="1:13" ht="19.5" thickBot="1">
      <c r="A50" s="1" t="s">
        <v>1</v>
      </c>
      <c r="B50" s="39" t="s">
        <v>62</v>
      </c>
      <c r="C50" s="41">
        <v>11800</v>
      </c>
      <c r="D50" s="42">
        <v>3600</v>
      </c>
      <c r="E50" s="42">
        <f t="shared" si="2"/>
        <v>15400</v>
      </c>
      <c r="F50" s="40">
        <v>5409</v>
      </c>
      <c r="G50" s="41">
        <v>5693</v>
      </c>
      <c r="H50" s="41">
        <v>9912</v>
      </c>
      <c r="I50" s="41">
        <v>4874</v>
      </c>
      <c r="J50" s="41">
        <v>4529</v>
      </c>
      <c r="K50" s="60">
        <v>5952</v>
      </c>
      <c r="L50" s="73">
        <f t="shared" si="3"/>
        <v>36369</v>
      </c>
      <c r="M50" s="73">
        <f t="shared" si="0"/>
        <v>51769</v>
      </c>
    </row>
    <row r="51" spans="1:13" ht="19.5" thickBot="1">
      <c r="A51" s="1" t="s">
        <v>1</v>
      </c>
      <c r="B51" s="39" t="s">
        <v>63</v>
      </c>
      <c r="C51" s="41">
        <v>414155</v>
      </c>
      <c r="D51" s="42">
        <v>86820</v>
      </c>
      <c r="E51" s="42">
        <f t="shared" si="2"/>
        <v>500975</v>
      </c>
      <c r="F51" s="40">
        <v>374065</v>
      </c>
      <c r="G51" s="41">
        <v>389428</v>
      </c>
      <c r="H51" s="41">
        <v>359417</v>
      </c>
      <c r="I51" s="41">
        <v>350217</v>
      </c>
      <c r="J51" s="41">
        <v>366604</v>
      </c>
      <c r="K51" s="60">
        <v>373581</v>
      </c>
      <c r="L51" s="73">
        <f t="shared" si="3"/>
        <v>2213312</v>
      </c>
      <c r="M51" s="73">
        <f t="shared" si="0"/>
        <v>2714287</v>
      </c>
    </row>
    <row r="52" spans="1:13">
      <c r="A52" s="1" t="s">
        <v>1</v>
      </c>
      <c r="B52" s="21" t="s">
        <v>64</v>
      </c>
      <c r="C52" s="30">
        <v>20910</v>
      </c>
      <c r="D52" s="31">
        <v>0</v>
      </c>
      <c r="E52" s="31">
        <f t="shared" si="2"/>
        <v>20910</v>
      </c>
      <c r="F52" s="29">
        <v>20910</v>
      </c>
      <c r="G52" s="30">
        <v>19380</v>
      </c>
      <c r="H52" s="30">
        <v>16320</v>
      </c>
      <c r="I52" s="30">
        <v>18360</v>
      </c>
      <c r="J52" s="30">
        <v>19380</v>
      </c>
      <c r="K52" s="57">
        <v>18360</v>
      </c>
      <c r="L52" s="70">
        <f t="shared" si="3"/>
        <v>112710</v>
      </c>
      <c r="M52" s="70">
        <f t="shared" si="0"/>
        <v>133620</v>
      </c>
    </row>
    <row r="53" spans="1:13">
      <c r="A53" s="1" t="s">
        <v>1</v>
      </c>
      <c r="B53" s="4" t="s">
        <v>65</v>
      </c>
      <c r="C53" s="16">
        <v>3690</v>
      </c>
      <c r="D53" s="17">
        <v>0</v>
      </c>
      <c r="E53" s="17">
        <f t="shared" si="2"/>
        <v>3690</v>
      </c>
      <c r="F53" s="15">
        <v>3690</v>
      </c>
      <c r="G53" s="16">
        <v>3420</v>
      </c>
      <c r="H53" s="16">
        <v>2880</v>
      </c>
      <c r="I53" s="16">
        <v>3240</v>
      </c>
      <c r="J53" s="16">
        <v>3420</v>
      </c>
      <c r="K53" s="58">
        <v>3240</v>
      </c>
      <c r="L53" s="71">
        <f t="shared" si="3"/>
        <v>19890</v>
      </c>
      <c r="M53" s="71">
        <f t="shared" si="0"/>
        <v>23580</v>
      </c>
    </row>
    <row r="54" spans="1:13">
      <c r="A54" s="1" t="s">
        <v>1</v>
      </c>
      <c r="B54" s="4" t="s">
        <v>66</v>
      </c>
      <c r="C54" s="16">
        <v>37515</v>
      </c>
      <c r="D54" s="17">
        <v>0</v>
      </c>
      <c r="E54" s="17">
        <f t="shared" si="2"/>
        <v>37515</v>
      </c>
      <c r="F54" s="15">
        <v>37515</v>
      </c>
      <c r="G54" s="16">
        <v>34770</v>
      </c>
      <c r="H54" s="16">
        <v>29280</v>
      </c>
      <c r="I54" s="16">
        <v>32940</v>
      </c>
      <c r="J54" s="16">
        <v>34770</v>
      </c>
      <c r="K54" s="58">
        <v>32940</v>
      </c>
      <c r="L54" s="71">
        <f t="shared" si="3"/>
        <v>202215</v>
      </c>
      <c r="M54" s="71">
        <f t="shared" si="0"/>
        <v>239730</v>
      </c>
    </row>
    <row r="55" spans="1:13" ht="19.5" thickBot="1">
      <c r="A55" s="1" t="s">
        <v>1</v>
      </c>
      <c r="B55" s="4" t="s">
        <v>67</v>
      </c>
      <c r="C55" s="16">
        <v>1242</v>
      </c>
      <c r="D55" s="17">
        <v>260</v>
      </c>
      <c r="E55" s="17">
        <f t="shared" si="2"/>
        <v>1502</v>
      </c>
      <c r="F55" s="15">
        <v>1122</v>
      </c>
      <c r="G55" s="16">
        <v>1168</v>
      </c>
      <c r="H55" s="16">
        <v>1078</v>
      </c>
      <c r="I55" s="16">
        <v>1051</v>
      </c>
      <c r="J55" s="16">
        <v>1100</v>
      </c>
      <c r="K55" s="58">
        <v>1121</v>
      </c>
      <c r="L55" s="71">
        <f t="shared" si="3"/>
        <v>6640</v>
      </c>
      <c r="M55" s="71">
        <f t="shared" si="0"/>
        <v>8142</v>
      </c>
    </row>
    <row r="56" spans="1:13" ht="19.5" thickBot="1">
      <c r="A56" s="1" t="s">
        <v>1</v>
      </c>
      <c r="B56" s="39" t="s">
        <v>68</v>
      </c>
      <c r="C56" s="41">
        <v>63357</v>
      </c>
      <c r="D56" s="42">
        <v>260</v>
      </c>
      <c r="E56" s="42">
        <f t="shared" si="2"/>
        <v>63617</v>
      </c>
      <c r="F56" s="40">
        <v>63237</v>
      </c>
      <c r="G56" s="41">
        <v>58738</v>
      </c>
      <c r="H56" s="41">
        <v>49558</v>
      </c>
      <c r="I56" s="41">
        <v>55591</v>
      </c>
      <c r="J56" s="41">
        <v>58670</v>
      </c>
      <c r="K56" s="60">
        <v>55661</v>
      </c>
      <c r="L56" s="73">
        <f t="shared" si="3"/>
        <v>341455</v>
      </c>
      <c r="M56" s="73">
        <f t="shared" si="0"/>
        <v>405072</v>
      </c>
    </row>
    <row r="57" spans="1:13">
      <c r="A57" s="1" t="s">
        <v>1</v>
      </c>
      <c r="B57" s="21" t="s">
        <v>69</v>
      </c>
      <c r="C57" s="30">
        <v>6700</v>
      </c>
      <c r="D57" s="31">
        <v>0</v>
      </c>
      <c r="E57" s="31">
        <f t="shared" si="2"/>
        <v>6700</v>
      </c>
      <c r="F57" s="29">
        <v>6940</v>
      </c>
      <c r="G57" s="30">
        <v>10420</v>
      </c>
      <c r="H57" s="30">
        <v>6720</v>
      </c>
      <c r="I57" s="30">
        <v>4740</v>
      </c>
      <c r="J57" s="30">
        <v>8660</v>
      </c>
      <c r="K57" s="57">
        <v>9360</v>
      </c>
      <c r="L57" s="70">
        <f t="shared" si="3"/>
        <v>46840</v>
      </c>
      <c r="M57" s="70">
        <f t="shared" si="0"/>
        <v>53540</v>
      </c>
    </row>
    <row r="58" spans="1:13">
      <c r="A58" s="1" t="s">
        <v>1</v>
      </c>
      <c r="B58" s="4" t="s">
        <v>70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16">
        <v>0</v>
      </c>
      <c r="I58" s="16">
        <v>0</v>
      </c>
      <c r="J58" s="16">
        <v>0</v>
      </c>
      <c r="K58" s="58">
        <v>0</v>
      </c>
      <c r="L58" s="71">
        <f t="shared" si="3"/>
        <v>0</v>
      </c>
      <c r="M58" s="71">
        <f t="shared" ref="M58:M65" si="4">E58+L58</f>
        <v>0</v>
      </c>
    </row>
    <row r="59" spans="1:13">
      <c r="A59" s="1" t="s">
        <v>1</v>
      </c>
      <c r="B59" s="4" t="s">
        <v>71</v>
      </c>
      <c r="C59" s="16">
        <v>26400</v>
      </c>
      <c r="D59" s="17">
        <v>600</v>
      </c>
      <c r="E59" s="17">
        <f t="shared" si="2"/>
        <v>27000</v>
      </c>
      <c r="F59" s="15">
        <v>14200</v>
      </c>
      <c r="G59" s="16">
        <v>17200</v>
      </c>
      <c r="H59" s="16">
        <v>5300</v>
      </c>
      <c r="I59" s="16">
        <v>7600</v>
      </c>
      <c r="J59" s="16">
        <v>16700</v>
      </c>
      <c r="K59" s="58">
        <v>5300</v>
      </c>
      <c r="L59" s="71">
        <f t="shared" si="3"/>
        <v>66300</v>
      </c>
      <c r="M59" s="71">
        <f t="shared" si="4"/>
        <v>93300</v>
      </c>
    </row>
    <row r="60" spans="1:13" ht="19.5" thickBot="1">
      <c r="A60" s="1" t="s">
        <v>1</v>
      </c>
      <c r="B60" s="4" t="s">
        <v>72</v>
      </c>
      <c r="C60" s="16">
        <v>0</v>
      </c>
      <c r="D60" s="17">
        <v>0</v>
      </c>
      <c r="E60" s="17">
        <f t="shared" si="2"/>
        <v>0</v>
      </c>
      <c r="F60" s="15">
        <v>0</v>
      </c>
      <c r="G60" s="16">
        <v>0</v>
      </c>
      <c r="H60" s="16">
        <v>0</v>
      </c>
      <c r="I60" s="16">
        <v>0</v>
      </c>
      <c r="J60" s="16">
        <v>0</v>
      </c>
      <c r="K60" s="58">
        <v>0</v>
      </c>
      <c r="L60" s="71">
        <f t="shared" si="3"/>
        <v>0</v>
      </c>
      <c r="M60" s="71">
        <f t="shared" si="4"/>
        <v>0</v>
      </c>
    </row>
    <row r="61" spans="1:13" ht="19.5" thickBot="1">
      <c r="A61" s="1" t="s">
        <v>1</v>
      </c>
      <c r="B61" s="39" t="s">
        <v>73</v>
      </c>
      <c r="C61" s="41">
        <v>96457</v>
      </c>
      <c r="D61" s="42">
        <v>860</v>
      </c>
      <c r="E61" s="42">
        <f t="shared" si="2"/>
        <v>97317</v>
      </c>
      <c r="F61" s="40">
        <v>84377</v>
      </c>
      <c r="G61" s="41">
        <v>86358</v>
      </c>
      <c r="H61" s="41">
        <v>61578</v>
      </c>
      <c r="I61" s="41">
        <v>67931</v>
      </c>
      <c r="J61" s="41">
        <v>84030</v>
      </c>
      <c r="K61" s="60">
        <v>70321</v>
      </c>
      <c r="L61" s="73">
        <f t="shared" si="3"/>
        <v>454595</v>
      </c>
      <c r="M61" s="73">
        <f t="shared" si="4"/>
        <v>551912</v>
      </c>
    </row>
    <row r="62" spans="1:13" ht="19.5" thickBot="1">
      <c r="A62" s="1" t="s">
        <v>1</v>
      </c>
      <c r="B62" s="39" t="s">
        <v>74</v>
      </c>
      <c r="C62" s="41">
        <v>338998</v>
      </c>
      <c r="D62" s="42">
        <v>82960</v>
      </c>
      <c r="E62" s="42">
        <f t="shared" si="2"/>
        <v>421958</v>
      </c>
      <c r="F62" s="40">
        <v>305419</v>
      </c>
      <c r="G62" s="41">
        <v>324997</v>
      </c>
      <c r="H62" s="41">
        <v>299947</v>
      </c>
      <c r="I62" s="41">
        <v>289752</v>
      </c>
      <c r="J62" s="41">
        <v>303405</v>
      </c>
      <c r="K62" s="60">
        <v>311968</v>
      </c>
      <c r="L62" s="73">
        <f t="shared" si="3"/>
        <v>1835488</v>
      </c>
      <c r="M62" s="73">
        <f t="shared" si="4"/>
        <v>2257446</v>
      </c>
    </row>
    <row r="63" spans="1:13" ht="19.5" thickBot="1">
      <c r="A63" s="1" t="s">
        <v>1</v>
      </c>
      <c r="B63" s="39" t="s">
        <v>75</v>
      </c>
      <c r="C63" s="41">
        <v>317698</v>
      </c>
      <c r="D63" s="42">
        <v>85960</v>
      </c>
      <c r="E63" s="42">
        <f t="shared" si="2"/>
        <v>403658</v>
      </c>
      <c r="F63" s="40">
        <v>289688</v>
      </c>
      <c r="G63" s="41">
        <v>303070</v>
      </c>
      <c r="H63" s="41">
        <v>297839</v>
      </c>
      <c r="I63" s="41">
        <v>282286</v>
      </c>
      <c r="J63" s="41">
        <v>282574</v>
      </c>
      <c r="K63" s="60">
        <v>303260</v>
      </c>
      <c r="L63" s="73">
        <f t="shared" si="3"/>
        <v>1758717</v>
      </c>
      <c r="M63" s="73">
        <f t="shared" si="4"/>
        <v>2162375</v>
      </c>
    </row>
    <row r="64" spans="1:13">
      <c r="A64" s="1" t="s">
        <v>1</v>
      </c>
      <c r="B64" s="21" t="s">
        <v>76</v>
      </c>
      <c r="C64" s="30">
        <v>0</v>
      </c>
      <c r="D64" s="31">
        <v>0</v>
      </c>
      <c r="E64" s="31">
        <f t="shared" si="2"/>
        <v>0</v>
      </c>
      <c r="F64" s="29">
        <v>0</v>
      </c>
      <c r="G64" s="30">
        <v>0</v>
      </c>
      <c r="H64" s="30">
        <v>0</v>
      </c>
      <c r="I64" s="30">
        <v>0</v>
      </c>
      <c r="J64" s="30">
        <v>0</v>
      </c>
      <c r="K64" s="57">
        <v>0</v>
      </c>
      <c r="L64" s="70">
        <f t="shared" si="3"/>
        <v>0</v>
      </c>
      <c r="M64" s="70">
        <f t="shared" si="4"/>
        <v>0</v>
      </c>
    </row>
    <row r="65" spans="1:13">
      <c r="A65" s="1" t="s">
        <v>1</v>
      </c>
      <c r="B65" s="4" t="s">
        <v>77</v>
      </c>
      <c r="C65" s="16">
        <v>317698</v>
      </c>
      <c r="D65" s="17">
        <v>85960</v>
      </c>
      <c r="E65" s="17">
        <f t="shared" si="2"/>
        <v>403658</v>
      </c>
      <c r="F65" s="15">
        <v>289688</v>
      </c>
      <c r="G65" s="16">
        <v>303070</v>
      </c>
      <c r="H65" s="16">
        <v>297839</v>
      </c>
      <c r="I65" s="16">
        <v>282286</v>
      </c>
      <c r="J65" s="16">
        <v>282574</v>
      </c>
      <c r="K65" s="58">
        <v>303260</v>
      </c>
      <c r="L65" s="71">
        <f t="shared" si="3"/>
        <v>1758717</v>
      </c>
      <c r="M65" s="71">
        <f t="shared" si="4"/>
        <v>2162375</v>
      </c>
    </row>
    <row r="66" spans="1:13">
      <c r="A66" s="1" t="s">
        <v>1</v>
      </c>
      <c r="B66" s="4" t="s">
        <v>78</v>
      </c>
      <c r="C66" s="16">
        <v>2</v>
      </c>
      <c r="D66" s="17">
        <v>0</v>
      </c>
      <c r="E66" s="17"/>
      <c r="F66" s="15">
        <v>1</v>
      </c>
      <c r="G66" s="16">
        <v>0</v>
      </c>
      <c r="H66" s="16">
        <v>1</v>
      </c>
      <c r="I66" s="16">
        <v>2</v>
      </c>
      <c r="J66" s="16">
        <v>0</v>
      </c>
      <c r="K66" s="58">
        <v>0</v>
      </c>
      <c r="L66" s="70">
        <f t="shared" si="3"/>
        <v>4</v>
      </c>
      <c r="M66" s="71"/>
    </row>
    <row r="67" spans="1:13" ht="19.5" thickBot="1">
      <c r="A67" s="1" t="s">
        <v>1</v>
      </c>
      <c r="B67" s="5" t="s">
        <v>79</v>
      </c>
      <c r="C67" s="19" t="s">
        <v>80</v>
      </c>
      <c r="D67" s="20" t="s">
        <v>80</v>
      </c>
      <c r="E67" s="20"/>
      <c r="F67" s="18" t="s">
        <v>80</v>
      </c>
      <c r="G67" s="19" t="s">
        <v>80</v>
      </c>
      <c r="H67" s="19" t="s">
        <v>80</v>
      </c>
      <c r="I67" s="19" t="s">
        <v>80</v>
      </c>
      <c r="J67" s="19" t="s">
        <v>80</v>
      </c>
      <c r="K67" s="61" t="s">
        <v>80</v>
      </c>
      <c r="L67" s="74"/>
      <c r="M67" s="74"/>
    </row>
  </sheetData>
  <phoneticPr fontId="4"/>
  <pageMargins left="0.31496062992125984" right="0.31496062992125984" top="0.35433070866141736" bottom="0.35433070866141736" header="0.11811023622047245" footer="0.11811023622047245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7月度給与 (2)</vt:lpstr>
      <vt:lpstr>'2022年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2022-08-10T08:07:14Z</cp:lastPrinted>
  <dcterms:created xsi:type="dcterms:W3CDTF">2022-08-09T02:26:15Z</dcterms:created>
  <dcterms:modified xsi:type="dcterms:W3CDTF">2022-08-10T08:45:45Z</dcterms:modified>
</cp:coreProperties>
</file>