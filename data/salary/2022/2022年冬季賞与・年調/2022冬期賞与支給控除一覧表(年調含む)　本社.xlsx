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年冬季賞与・年調\"/>
    </mc:Choice>
  </mc:AlternateContent>
  <xr:revisionPtr revIDLastSave="0" documentId="13_ncr:1_{B186D513-0137-443A-81F4-4D54F6F797A4}" xr6:coauthVersionLast="47" xr6:coauthVersionMax="47" xr10:uidLastSave="{00000000-0000-0000-0000-000000000000}"/>
  <bookViews>
    <workbookView xWindow="-120" yWindow="-120" windowWidth="20730" windowHeight="11160" xr2:uid="{3CC89BEA-F060-46D8-9882-B50174F30C0E}"/>
  </bookViews>
  <sheets>
    <sheet name="4年冬賞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3" l="1"/>
  <c r="J13" i="3"/>
  <c r="J17" i="3"/>
  <c r="J21" i="3"/>
  <c r="J25" i="3"/>
  <c r="I6" i="3"/>
  <c r="I7" i="3"/>
  <c r="J7" i="3" s="1"/>
  <c r="I8" i="3"/>
  <c r="J8" i="3" s="1"/>
  <c r="I9" i="3"/>
  <c r="I10" i="3"/>
  <c r="J10" i="3" s="1"/>
  <c r="I11" i="3"/>
  <c r="J11" i="3" s="1"/>
  <c r="I12" i="3"/>
  <c r="J12" i="3" s="1"/>
  <c r="I13" i="3"/>
  <c r="I14" i="3"/>
  <c r="J14" i="3" s="1"/>
  <c r="I15" i="3"/>
  <c r="J15" i="3" s="1"/>
  <c r="I16" i="3"/>
  <c r="J16" i="3" s="1"/>
  <c r="I17" i="3"/>
  <c r="I18" i="3"/>
  <c r="J18" i="3" s="1"/>
  <c r="I19" i="3"/>
  <c r="J19" i="3" s="1"/>
  <c r="I20" i="3"/>
  <c r="I21" i="3"/>
  <c r="I22" i="3"/>
  <c r="I23" i="3"/>
  <c r="I24" i="3"/>
  <c r="I25" i="3"/>
  <c r="I26" i="3"/>
  <c r="I27" i="3"/>
  <c r="I5" i="3"/>
  <c r="E21" i="3"/>
  <c r="E22" i="3"/>
  <c r="J22" i="3" s="1"/>
  <c r="E23" i="3"/>
  <c r="J23" i="3" s="1"/>
  <c r="E24" i="3"/>
  <c r="J24" i="3" s="1"/>
  <c r="E25" i="3"/>
  <c r="E26" i="3"/>
  <c r="E27" i="3"/>
  <c r="E20" i="3"/>
  <c r="J20" i="3" s="1"/>
  <c r="E6" i="3"/>
  <c r="J6" i="3" s="1"/>
  <c r="E5" i="3"/>
  <c r="J5" i="3" s="1"/>
</calcChain>
</file>

<file path=xl/sharedStrings.xml><?xml version="1.0" encoding="utf-8"?>
<sst xmlns="http://schemas.openxmlformats.org/spreadsheetml/2006/main" count="67" uniqueCount="43">
  <si>
    <t>賞与支給控除一覧表</t>
    <phoneticPr fontId="4"/>
  </si>
  <si>
    <t/>
  </si>
  <si>
    <t>4年冬賞与</t>
    <phoneticPr fontId="4"/>
  </si>
  <si>
    <t>1010</t>
    <phoneticPr fontId="4"/>
  </si>
  <si>
    <t>1020</t>
    <phoneticPr fontId="4"/>
  </si>
  <si>
    <t>1024</t>
    <phoneticPr fontId="4"/>
  </si>
  <si>
    <t>1036</t>
    <phoneticPr fontId="4"/>
  </si>
  <si>
    <t>1041</t>
    <phoneticPr fontId="4"/>
  </si>
  <si>
    <t>項目名</t>
    <phoneticPr fontId="4"/>
  </si>
  <si>
    <t>若林　権太郎</t>
    <phoneticPr fontId="4"/>
  </si>
  <si>
    <t>深沢　道夫</t>
    <phoneticPr fontId="4"/>
  </si>
  <si>
    <t>若林　裕子</t>
    <phoneticPr fontId="4"/>
  </si>
  <si>
    <t>渋谷　晶子</t>
    <phoneticPr fontId="4"/>
  </si>
  <si>
    <t>浅田　恵美子</t>
    <phoneticPr fontId="4"/>
  </si>
  <si>
    <t>合計</t>
    <phoneticPr fontId="4"/>
  </si>
  <si>
    <t>賞与</t>
    <phoneticPr fontId="4"/>
  </si>
  <si>
    <t>役員賞与</t>
    <phoneticPr fontId="4"/>
  </si>
  <si>
    <t>職位加算</t>
    <phoneticPr fontId="4"/>
  </si>
  <si>
    <t>職責加算</t>
    <phoneticPr fontId="4"/>
  </si>
  <si>
    <t>課税支給合計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</si>
  <si>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</si>
  <si>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</si>
  <si>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</si>
  <si>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</si>
  <si>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</si>
  <si>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</si>
  <si>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</si>
  <si>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</si>
  <si>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</si>
  <si>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</si>
  <si>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</si>
  <si>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年末調整徴収</t>
    <phoneticPr fontId="4"/>
  </si>
  <si>
    <t>その他合計</t>
    <phoneticPr fontId="4"/>
  </si>
  <si>
    <t>差引支給合計</t>
    <phoneticPr fontId="4"/>
  </si>
  <si>
    <t>現金支給額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</si>
  <si>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</si>
  <si>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</si>
  <si>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</si>
  <si>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</si>
  <si>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</si>
  <si>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</si>
  <si>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3名</t>
    <rPh sb="1" eb="2">
      <t>メイ</t>
    </rPh>
    <phoneticPr fontId="3"/>
  </si>
  <si>
    <t>5名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</si>
</sst>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3" xfId="1" applyFont="1" applyBorder="1" applyAlignment="1">
      <alignment horizontal="center"/>
    </xf>
    <xf numFmtId="0" fontId="2" fillId="0" borderId="4" xfId="1" applyFont="1" applyBorder="1"/>
    <xf numFmtId="49" fontId="2" fillId="0" borderId="5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left"/>
    </xf>
    <xf numFmtId="176" fontId="2" fillId="0" borderId="7" xfId="1" applyNumberFormat="1" applyFont="1" applyBorder="1"/>
    <xf numFmtId="3" fontId="2" fillId="0" borderId="8" xfId="1" applyNumberFormat="1" applyFont="1" applyBorder="1"/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3" fontId="2" fillId="0" borderId="11" xfId="1" applyNumberFormat="1" applyFont="1" applyBorder="1"/>
    <xf numFmtId="3" fontId="2" fillId="0" borderId="12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49" fontId="2" fillId="0" borderId="15" xfId="1" applyNumberFormat="1" applyFont="1" applyBorder="1" applyAlignment="1">
      <alignment horizontal="left"/>
    </xf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0" fontId="2" fillId="0" borderId="6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left"/>
    </xf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6" xfId="1" applyNumberFormat="1" applyFont="1" applyBorder="1"/>
    <xf numFmtId="0" fontId="2" fillId="0" borderId="1" xfId="1" applyFont="1" applyBorder="1"/>
    <xf numFmtId="49" fontId="2" fillId="0" borderId="27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176" fontId="2" fillId="0" borderId="30" xfId="1" applyNumberFormat="1" applyFont="1" applyBorder="1"/>
    <xf numFmtId="3" fontId="2" fillId="0" borderId="28" xfId="1" applyNumberFormat="1" applyFont="1" applyBorder="1"/>
    <xf numFmtId="49" fontId="2" fillId="0" borderId="34" xfId="1" applyNumberFormat="1" applyFont="1" applyBorder="1" applyAlignment="1">
      <alignment horizontal="center"/>
    </xf>
    <xf numFmtId="49" fontId="2" fillId="0" borderId="35" xfId="1" applyNumberFormat="1" applyFont="1" applyBorder="1" applyAlignment="1">
      <alignment horizontal="center"/>
    </xf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176" fontId="2" fillId="0" borderId="37" xfId="1" applyNumberFormat="1" applyFont="1" applyBorder="1"/>
    <xf numFmtId="3" fontId="2" fillId="0" borderId="35" xfId="1" applyNumberFormat="1" applyFont="1" applyBorder="1"/>
    <xf numFmtId="49" fontId="2" fillId="0" borderId="41" xfId="1" applyNumberFormat="1" applyFont="1" applyBorder="1" applyAlignment="1">
      <alignment horizontal="center"/>
    </xf>
    <xf numFmtId="49" fontId="2" fillId="0" borderId="42" xfId="1" applyNumberFormat="1" applyFont="1" applyBorder="1" applyAlignment="1">
      <alignment horizontal="center"/>
    </xf>
    <xf numFmtId="3" fontId="2" fillId="0" borderId="43" xfId="1" applyNumberFormat="1" applyFont="1" applyBorder="1"/>
    <xf numFmtId="3" fontId="2" fillId="0" borderId="44" xfId="1" applyNumberFormat="1" applyFont="1" applyBorder="1"/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0" xfId="1" applyNumberFormat="1" applyFont="1"/>
    <xf numFmtId="176" fontId="2" fillId="0" borderId="44" xfId="1" applyNumberFormat="1" applyFont="1" applyBorder="1"/>
    <xf numFmtId="3" fontId="2" fillId="0" borderId="42" xfId="1" applyNumberFormat="1" applyFont="1" applyBorder="1"/>
    <xf numFmtId="49" fontId="2" fillId="0" borderId="48" xfId="1" applyNumberFormat="1" applyFont="1" applyBorder="1" applyAlignment="1">
      <alignment horizontal="left"/>
    </xf>
    <xf numFmtId="49" fontId="2" fillId="0" borderId="49" xfId="1" applyNumberFormat="1" applyFont="1" applyBorder="1" applyAlignment="1">
      <alignment horizontal="right"/>
    </xf>
    <xf numFmtId="3" fontId="2" fillId="0" borderId="50" xfId="1" applyNumberFormat="1" applyFont="1" applyBorder="1"/>
    <xf numFmtId="3" fontId="2" fillId="0" borderId="51" xfId="1" applyNumberFormat="1" applyFont="1" applyBorder="1"/>
    <xf numFmtId="3" fontId="2" fillId="0" borderId="52" xfId="1" applyNumberFormat="1" applyFont="1" applyBorder="1"/>
    <xf numFmtId="3" fontId="2" fillId="0" borderId="47" xfId="1" applyNumberFormat="1" applyFont="1" applyBorder="1"/>
    <xf numFmtId="3" fontId="2" fillId="0" borderId="53" xfId="1" applyNumberFormat="1" applyFont="1" applyBorder="1"/>
    <xf numFmtId="176" fontId="2" fillId="0" borderId="51" xfId="1" applyNumberFormat="1" applyFont="1" applyBorder="1"/>
    <xf numFmtId="3" fontId="2" fillId="0" borderId="49" xfId="1" applyNumberFormat="1" applyFont="1" applyBorder="1"/>
    <xf numFmtId="0" fontId="2" fillId="0" borderId="8" xfId="1" applyFont="1" applyBorder="1" applyAlignment="1">
      <alignment horizontal="right"/>
    </xf>
  </cellXfs>
  <cellStyles count="2">
    <cellStyle name="標準" xfId="0" builtinId="0"/>
    <cellStyle name="標準 2" xfId="1" xr:uid="{7109D6B8-0CDA-4E1F-A24D-87875AD59A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9068-9B93-458B-9584-0A1DE1857415}">
  <dimension ref="A1:J28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0" width="12.125" style="2" customWidth="1"/>
    <col min="11" max="255" width="9" style="2"/>
    <col min="256" max="256" width="2.375" style="2" customWidth="1"/>
    <col min="257" max="259" width="13.25" style="2" bestFit="1" customWidth="1"/>
    <col min="260" max="262" width="11.125" style="2" bestFit="1" customWidth="1"/>
    <col min="263" max="263" width="13.25" style="2" bestFit="1" customWidth="1"/>
    <col min="264" max="264" width="9" style="2"/>
    <col min="265" max="265" width="8" style="2" bestFit="1" customWidth="1"/>
    <col min="266" max="511" width="9" style="2"/>
    <col min="512" max="512" width="2.375" style="2" customWidth="1"/>
    <col min="513" max="515" width="13.25" style="2" bestFit="1" customWidth="1"/>
    <col min="516" max="518" width="11.125" style="2" bestFit="1" customWidth="1"/>
    <col min="519" max="519" width="13.25" style="2" bestFit="1" customWidth="1"/>
    <col min="520" max="520" width="9" style="2"/>
    <col min="521" max="521" width="8" style="2" bestFit="1" customWidth="1"/>
    <col min="522" max="767" width="9" style="2"/>
    <col min="768" max="768" width="2.375" style="2" customWidth="1"/>
    <col min="769" max="771" width="13.25" style="2" bestFit="1" customWidth="1"/>
    <col min="772" max="774" width="11.125" style="2" bestFit="1" customWidth="1"/>
    <col min="775" max="775" width="13.25" style="2" bestFit="1" customWidth="1"/>
    <col min="776" max="776" width="9" style="2"/>
    <col min="777" max="777" width="8" style="2" bestFit="1" customWidth="1"/>
    <col min="778" max="1023" width="9" style="2"/>
    <col min="1024" max="1024" width="2.375" style="2" customWidth="1"/>
    <col min="1025" max="1027" width="13.25" style="2" bestFit="1" customWidth="1"/>
    <col min="1028" max="1030" width="11.125" style="2" bestFit="1" customWidth="1"/>
    <col min="1031" max="1031" width="13.25" style="2" bestFit="1" customWidth="1"/>
    <col min="1032" max="1032" width="9" style="2"/>
    <col min="1033" max="1033" width="8" style="2" bestFit="1" customWidth="1"/>
    <col min="1034" max="1279" width="9" style="2"/>
    <col min="1280" max="1280" width="2.375" style="2" customWidth="1"/>
    <col min="1281" max="1283" width="13.25" style="2" bestFit="1" customWidth="1"/>
    <col min="1284" max="1286" width="11.125" style="2" bestFit="1" customWidth="1"/>
    <col min="1287" max="1287" width="13.25" style="2" bestFit="1" customWidth="1"/>
    <col min="1288" max="1288" width="9" style="2"/>
    <col min="1289" max="1289" width="8" style="2" bestFit="1" customWidth="1"/>
    <col min="1290" max="1535" width="9" style="2"/>
    <col min="1536" max="1536" width="2.375" style="2" customWidth="1"/>
    <col min="1537" max="1539" width="13.25" style="2" bestFit="1" customWidth="1"/>
    <col min="1540" max="1542" width="11.125" style="2" bestFit="1" customWidth="1"/>
    <col min="1543" max="1543" width="13.25" style="2" bestFit="1" customWidth="1"/>
    <col min="1544" max="1544" width="9" style="2"/>
    <col min="1545" max="1545" width="8" style="2" bestFit="1" customWidth="1"/>
    <col min="1546" max="1791" width="9" style="2"/>
    <col min="1792" max="1792" width="2.375" style="2" customWidth="1"/>
    <col min="1793" max="1795" width="13.25" style="2" bestFit="1" customWidth="1"/>
    <col min="1796" max="1798" width="11.125" style="2" bestFit="1" customWidth="1"/>
    <col min="1799" max="1799" width="13.25" style="2" bestFit="1" customWidth="1"/>
    <col min="1800" max="1800" width="9" style="2"/>
    <col min="1801" max="1801" width="8" style="2" bestFit="1" customWidth="1"/>
    <col min="1802" max="2047" width="9" style="2"/>
    <col min="2048" max="2048" width="2.375" style="2" customWidth="1"/>
    <col min="2049" max="2051" width="13.25" style="2" bestFit="1" customWidth="1"/>
    <col min="2052" max="2054" width="11.125" style="2" bestFit="1" customWidth="1"/>
    <col min="2055" max="2055" width="13.25" style="2" bestFit="1" customWidth="1"/>
    <col min="2056" max="2056" width="9" style="2"/>
    <col min="2057" max="2057" width="8" style="2" bestFit="1" customWidth="1"/>
    <col min="2058" max="2303" width="9" style="2"/>
    <col min="2304" max="2304" width="2.375" style="2" customWidth="1"/>
    <col min="2305" max="2307" width="13.25" style="2" bestFit="1" customWidth="1"/>
    <col min="2308" max="2310" width="11.125" style="2" bestFit="1" customWidth="1"/>
    <col min="2311" max="2311" width="13.25" style="2" bestFit="1" customWidth="1"/>
    <col min="2312" max="2312" width="9" style="2"/>
    <col min="2313" max="2313" width="8" style="2" bestFit="1" customWidth="1"/>
    <col min="2314" max="2559" width="9" style="2"/>
    <col min="2560" max="2560" width="2.375" style="2" customWidth="1"/>
    <col min="2561" max="2563" width="13.25" style="2" bestFit="1" customWidth="1"/>
    <col min="2564" max="2566" width="11.125" style="2" bestFit="1" customWidth="1"/>
    <col min="2567" max="2567" width="13.25" style="2" bestFit="1" customWidth="1"/>
    <col min="2568" max="2568" width="9" style="2"/>
    <col min="2569" max="2569" width="8" style="2" bestFit="1" customWidth="1"/>
    <col min="2570" max="2815" width="9" style="2"/>
    <col min="2816" max="2816" width="2.375" style="2" customWidth="1"/>
    <col min="2817" max="2819" width="13.25" style="2" bestFit="1" customWidth="1"/>
    <col min="2820" max="2822" width="11.125" style="2" bestFit="1" customWidth="1"/>
    <col min="2823" max="2823" width="13.25" style="2" bestFit="1" customWidth="1"/>
    <col min="2824" max="2824" width="9" style="2"/>
    <col min="2825" max="2825" width="8" style="2" bestFit="1" customWidth="1"/>
    <col min="2826" max="3071" width="9" style="2"/>
    <col min="3072" max="3072" width="2.375" style="2" customWidth="1"/>
    <col min="3073" max="3075" width="13.25" style="2" bestFit="1" customWidth="1"/>
    <col min="3076" max="3078" width="11.125" style="2" bestFit="1" customWidth="1"/>
    <col min="3079" max="3079" width="13.25" style="2" bestFit="1" customWidth="1"/>
    <col min="3080" max="3080" width="9" style="2"/>
    <col min="3081" max="3081" width="8" style="2" bestFit="1" customWidth="1"/>
    <col min="3082" max="3327" width="9" style="2"/>
    <col min="3328" max="3328" width="2.375" style="2" customWidth="1"/>
    <col min="3329" max="3331" width="13.25" style="2" bestFit="1" customWidth="1"/>
    <col min="3332" max="3334" width="11.125" style="2" bestFit="1" customWidth="1"/>
    <col min="3335" max="3335" width="13.25" style="2" bestFit="1" customWidth="1"/>
    <col min="3336" max="3336" width="9" style="2"/>
    <col min="3337" max="3337" width="8" style="2" bestFit="1" customWidth="1"/>
    <col min="3338" max="3583" width="9" style="2"/>
    <col min="3584" max="3584" width="2.375" style="2" customWidth="1"/>
    <col min="3585" max="3587" width="13.25" style="2" bestFit="1" customWidth="1"/>
    <col min="3588" max="3590" width="11.125" style="2" bestFit="1" customWidth="1"/>
    <col min="3591" max="3591" width="13.25" style="2" bestFit="1" customWidth="1"/>
    <col min="3592" max="3592" width="9" style="2"/>
    <col min="3593" max="3593" width="8" style="2" bestFit="1" customWidth="1"/>
    <col min="3594" max="3839" width="9" style="2"/>
    <col min="3840" max="3840" width="2.375" style="2" customWidth="1"/>
    <col min="3841" max="3843" width="13.25" style="2" bestFit="1" customWidth="1"/>
    <col min="3844" max="3846" width="11.125" style="2" bestFit="1" customWidth="1"/>
    <col min="3847" max="3847" width="13.25" style="2" bestFit="1" customWidth="1"/>
    <col min="3848" max="3848" width="9" style="2"/>
    <col min="3849" max="3849" width="8" style="2" bestFit="1" customWidth="1"/>
    <col min="3850" max="4095" width="9" style="2"/>
    <col min="4096" max="4096" width="2.375" style="2" customWidth="1"/>
    <col min="4097" max="4099" width="13.25" style="2" bestFit="1" customWidth="1"/>
    <col min="4100" max="4102" width="11.125" style="2" bestFit="1" customWidth="1"/>
    <col min="4103" max="4103" width="13.25" style="2" bestFit="1" customWidth="1"/>
    <col min="4104" max="4104" width="9" style="2"/>
    <col min="4105" max="4105" width="8" style="2" bestFit="1" customWidth="1"/>
    <col min="4106" max="4351" width="9" style="2"/>
    <col min="4352" max="4352" width="2.375" style="2" customWidth="1"/>
    <col min="4353" max="4355" width="13.25" style="2" bestFit="1" customWidth="1"/>
    <col min="4356" max="4358" width="11.125" style="2" bestFit="1" customWidth="1"/>
    <col min="4359" max="4359" width="13.25" style="2" bestFit="1" customWidth="1"/>
    <col min="4360" max="4360" width="9" style="2"/>
    <col min="4361" max="4361" width="8" style="2" bestFit="1" customWidth="1"/>
    <col min="4362" max="4607" width="9" style="2"/>
    <col min="4608" max="4608" width="2.375" style="2" customWidth="1"/>
    <col min="4609" max="4611" width="13.25" style="2" bestFit="1" customWidth="1"/>
    <col min="4612" max="4614" width="11.125" style="2" bestFit="1" customWidth="1"/>
    <col min="4615" max="4615" width="13.25" style="2" bestFit="1" customWidth="1"/>
    <col min="4616" max="4616" width="9" style="2"/>
    <col min="4617" max="4617" width="8" style="2" bestFit="1" customWidth="1"/>
    <col min="4618" max="4863" width="9" style="2"/>
    <col min="4864" max="4864" width="2.375" style="2" customWidth="1"/>
    <col min="4865" max="4867" width="13.25" style="2" bestFit="1" customWidth="1"/>
    <col min="4868" max="4870" width="11.125" style="2" bestFit="1" customWidth="1"/>
    <col min="4871" max="4871" width="13.25" style="2" bestFit="1" customWidth="1"/>
    <col min="4872" max="4872" width="9" style="2"/>
    <col min="4873" max="4873" width="8" style="2" bestFit="1" customWidth="1"/>
    <col min="4874" max="5119" width="9" style="2"/>
    <col min="5120" max="5120" width="2.375" style="2" customWidth="1"/>
    <col min="5121" max="5123" width="13.25" style="2" bestFit="1" customWidth="1"/>
    <col min="5124" max="5126" width="11.125" style="2" bestFit="1" customWidth="1"/>
    <col min="5127" max="5127" width="13.25" style="2" bestFit="1" customWidth="1"/>
    <col min="5128" max="5128" width="9" style="2"/>
    <col min="5129" max="5129" width="8" style="2" bestFit="1" customWidth="1"/>
    <col min="5130" max="5375" width="9" style="2"/>
    <col min="5376" max="5376" width="2.375" style="2" customWidth="1"/>
    <col min="5377" max="5379" width="13.25" style="2" bestFit="1" customWidth="1"/>
    <col min="5380" max="5382" width="11.125" style="2" bestFit="1" customWidth="1"/>
    <col min="5383" max="5383" width="13.25" style="2" bestFit="1" customWidth="1"/>
    <col min="5384" max="5384" width="9" style="2"/>
    <col min="5385" max="5385" width="8" style="2" bestFit="1" customWidth="1"/>
    <col min="5386" max="5631" width="9" style="2"/>
    <col min="5632" max="5632" width="2.375" style="2" customWidth="1"/>
    <col min="5633" max="5635" width="13.25" style="2" bestFit="1" customWidth="1"/>
    <col min="5636" max="5638" width="11.125" style="2" bestFit="1" customWidth="1"/>
    <col min="5639" max="5639" width="13.25" style="2" bestFit="1" customWidth="1"/>
    <col min="5640" max="5640" width="9" style="2"/>
    <col min="5641" max="5641" width="8" style="2" bestFit="1" customWidth="1"/>
    <col min="5642" max="5887" width="9" style="2"/>
    <col min="5888" max="5888" width="2.375" style="2" customWidth="1"/>
    <col min="5889" max="5891" width="13.25" style="2" bestFit="1" customWidth="1"/>
    <col min="5892" max="5894" width="11.125" style="2" bestFit="1" customWidth="1"/>
    <col min="5895" max="5895" width="13.25" style="2" bestFit="1" customWidth="1"/>
    <col min="5896" max="5896" width="9" style="2"/>
    <col min="5897" max="5897" width="8" style="2" bestFit="1" customWidth="1"/>
    <col min="5898" max="6143" width="9" style="2"/>
    <col min="6144" max="6144" width="2.375" style="2" customWidth="1"/>
    <col min="6145" max="6147" width="13.25" style="2" bestFit="1" customWidth="1"/>
    <col min="6148" max="6150" width="11.125" style="2" bestFit="1" customWidth="1"/>
    <col min="6151" max="6151" width="13.25" style="2" bestFit="1" customWidth="1"/>
    <col min="6152" max="6152" width="9" style="2"/>
    <col min="6153" max="6153" width="8" style="2" bestFit="1" customWidth="1"/>
    <col min="6154" max="6399" width="9" style="2"/>
    <col min="6400" max="6400" width="2.375" style="2" customWidth="1"/>
    <col min="6401" max="6403" width="13.25" style="2" bestFit="1" customWidth="1"/>
    <col min="6404" max="6406" width="11.125" style="2" bestFit="1" customWidth="1"/>
    <col min="6407" max="6407" width="13.25" style="2" bestFit="1" customWidth="1"/>
    <col min="6408" max="6408" width="9" style="2"/>
    <col min="6409" max="6409" width="8" style="2" bestFit="1" customWidth="1"/>
    <col min="6410" max="6655" width="9" style="2"/>
    <col min="6656" max="6656" width="2.375" style="2" customWidth="1"/>
    <col min="6657" max="6659" width="13.25" style="2" bestFit="1" customWidth="1"/>
    <col min="6660" max="6662" width="11.125" style="2" bestFit="1" customWidth="1"/>
    <col min="6663" max="6663" width="13.25" style="2" bestFit="1" customWidth="1"/>
    <col min="6664" max="6664" width="9" style="2"/>
    <col min="6665" max="6665" width="8" style="2" bestFit="1" customWidth="1"/>
    <col min="6666" max="6911" width="9" style="2"/>
    <col min="6912" max="6912" width="2.375" style="2" customWidth="1"/>
    <col min="6913" max="6915" width="13.25" style="2" bestFit="1" customWidth="1"/>
    <col min="6916" max="6918" width="11.125" style="2" bestFit="1" customWidth="1"/>
    <col min="6919" max="6919" width="13.25" style="2" bestFit="1" customWidth="1"/>
    <col min="6920" max="6920" width="9" style="2"/>
    <col min="6921" max="6921" width="8" style="2" bestFit="1" customWidth="1"/>
    <col min="6922" max="7167" width="9" style="2"/>
    <col min="7168" max="7168" width="2.375" style="2" customWidth="1"/>
    <col min="7169" max="7171" width="13.25" style="2" bestFit="1" customWidth="1"/>
    <col min="7172" max="7174" width="11.125" style="2" bestFit="1" customWidth="1"/>
    <col min="7175" max="7175" width="13.25" style="2" bestFit="1" customWidth="1"/>
    <col min="7176" max="7176" width="9" style="2"/>
    <col min="7177" max="7177" width="8" style="2" bestFit="1" customWidth="1"/>
    <col min="7178" max="7423" width="9" style="2"/>
    <col min="7424" max="7424" width="2.375" style="2" customWidth="1"/>
    <col min="7425" max="7427" width="13.25" style="2" bestFit="1" customWidth="1"/>
    <col min="7428" max="7430" width="11.125" style="2" bestFit="1" customWidth="1"/>
    <col min="7431" max="7431" width="13.25" style="2" bestFit="1" customWidth="1"/>
    <col min="7432" max="7432" width="9" style="2"/>
    <col min="7433" max="7433" width="8" style="2" bestFit="1" customWidth="1"/>
    <col min="7434" max="7679" width="9" style="2"/>
    <col min="7680" max="7680" width="2.375" style="2" customWidth="1"/>
    <col min="7681" max="7683" width="13.25" style="2" bestFit="1" customWidth="1"/>
    <col min="7684" max="7686" width="11.125" style="2" bestFit="1" customWidth="1"/>
    <col min="7687" max="7687" width="13.25" style="2" bestFit="1" customWidth="1"/>
    <col min="7688" max="7688" width="9" style="2"/>
    <col min="7689" max="7689" width="8" style="2" bestFit="1" customWidth="1"/>
    <col min="7690" max="7935" width="9" style="2"/>
    <col min="7936" max="7936" width="2.375" style="2" customWidth="1"/>
    <col min="7937" max="7939" width="13.25" style="2" bestFit="1" customWidth="1"/>
    <col min="7940" max="7942" width="11.125" style="2" bestFit="1" customWidth="1"/>
    <col min="7943" max="7943" width="13.25" style="2" bestFit="1" customWidth="1"/>
    <col min="7944" max="7944" width="9" style="2"/>
    <col min="7945" max="7945" width="8" style="2" bestFit="1" customWidth="1"/>
    <col min="7946" max="8191" width="9" style="2"/>
    <col min="8192" max="8192" width="2.375" style="2" customWidth="1"/>
    <col min="8193" max="8195" width="13.25" style="2" bestFit="1" customWidth="1"/>
    <col min="8196" max="8198" width="11.125" style="2" bestFit="1" customWidth="1"/>
    <col min="8199" max="8199" width="13.25" style="2" bestFit="1" customWidth="1"/>
    <col min="8200" max="8200" width="9" style="2"/>
    <col min="8201" max="8201" width="8" style="2" bestFit="1" customWidth="1"/>
    <col min="8202" max="8447" width="9" style="2"/>
    <col min="8448" max="8448" width="2.375" style="2" customWidth="1"/>
    <col min="8449" max="8451" width="13.25" style="2" bestFit="1" customWidth="1"/>
    <col min="8452" max="8454" width="11.125" style="2" bestFit="1" customWidth="1"/>
    <col min="8455" max="8455" width="13.25" style="2" bestFit="1" customWidth="1"/>
    <col min="8456" max="8456" width="9" style="2"/>
    <col min="8457" max="8457" width="8" style="2" bestFit="1" customWidth="1"/>
    <col min="8458" max="8703" width="9" style="2"/>
    <col min="8704" max="8704" width="2.375" style="2" customWidth="1"/>
    <col min="8705" max="8707" width="13.25" style="2" bestFit="1" customWidth="1"/>
    <col min="8708" max="8710" width="11.125" style="2" bestFit="1" customWidth="1"/>
    <col min="8711" max="8711" width="13.25" style="2" bestFit="1" customWidth="1"/>
    <col min="8712" max="8712" width="9" style="2"/>
    <col min="8713" max="8713" width="8" style="2" bestFit="1" customWidth="1"/>
    <col min="8714" max="8959" width="9" style="2"/>
    <col min="8960" max="8960" width="2.375" style="2" customWidth="1"/>
    <col min="8961" max="8963" width="13.25" style="2" bestFit="1" customWidth="1"/>
    <col min="8964" max="8966" width="11.125" style="2" bestFit="1" customWidth="1"/>
    <col min="8967" max="8967" width="13.25" style="2" bestFit="1" customWidth="1"/>
    <col min="8968" max="8968" width="9" style="2"/>
    <col min="8969" max="8969" width="8" style="2" bestFit="1" customWidth="1"/>
    <col min="8970" max="9215" width="9" style="2"/>
    <col min="9216" max="9216" width="2.375" style="2" customWidth="1"/>
    <col min="9217" max="9219" width="13.25" style="2" bestFit="1" customWidth="1"/>
    <col min="9220" max="9222" width="11.125" style="2" bestFit="1" customWidth="1"/>
    <col min="9223" max="9223" width="13.25" style="2" bestFit="1" customWidth="1"/>
    <col min="9224" max="9224" width="9" style="2"/>
    <col min="9225" max="9225" width="8" style="2" bestFit="1" customWidth="1"/>
    <col min="9226" max="9471" width="9" style="2"/>
    <col min="9472" max="9472" width="2.375" style="2" customWidth="1"/>
    <col min="9473" max="9475" width="13.25" style="2" bestFit="1" customWidth="1"/>
    <col min="9476" max="9478" width="11.125" style="2" bestFit="1" customWidth="1"/>
    <col min="9479" max="9479" width="13.25" style="2" bestFit="1" customWidth="1"/>
    <col min="9480" max="9480" width="9" style="2"/>
    <col min="9481" max="9481" width="8" style="2" bestFit="1" customWidth="1"/>
    <col min="9482" max="9727" width="9" style="2"/>
    <col min="9728" max="9728" width="2.375" style="2" customWidth="1"/>
    <col min="9729" max="9731" width="13.25" style="2" bestFit="1" customWidth="1"/>
    <col min="9732" max="9734" width="11.125" style="2" bestFit="1" customWidth="1"/>
    <col min="9735" max="9735" width="13.25" style="2" bestFit="1" customWidth="1"/>
    <col min="9736" max="9736" width="9" style="2"/>
    <col min="9737" max="9737" width="8" style="2" bestFit="1" customWidth="1"/>
    <col min="9738" max="9983" width="9" style="2"/>
    <col min="9984" max="9984" width="2.375" style="2" customWidth="1"/>
    <col min="9985" max="9987" width="13.25" style="2" bestFit="1" customWidth="1"/>
    <col min="9988" max="9990" width="11.125" style="2" bestFit="1" customWidth="1"/>
    <col min="9991" max="9991" width="13.25" style="2" bestFit="1" customWidth="1"/>
    <col min="9992" max="9992" width="9" style="2"/>
    <col min="9993" max="9993" width="8" style="2" bestFit="1" customWidth="1"/>
    <col min="9994" max="10239" width="9" style="2"/>
    <col min="10240" max="10240" width="2.375" style="2" customWidth="1"/>
    <col min="10241" max="10243" width="13.25" style="2" bestFit="1" customWidth="1"/>
    <col min="10244" max="10246" width="11.125" style="2" bestFit="1" customWidth="1"/>
    <col min="10247" max="10247" width="13.25" style="2" bestFit="1" customWidth="1"/>
    <col min="10248" max="10248" width="9" style="2"/>
    <col min="10249" max="10249" width="8" style="2" bestFit="1" customWidth="1"/>
    <col min="10250" max="10495" width="9" style="2"/>
    <col min="10496" max="10496" width="2.375" style="2" customWidth="1"/>
    <col min="10497" max="10499" width="13.25" style="2" bestFit="1" customWidth="1"/>
    <col min="10500" max="10502" width="11.125" style="2" bestFit="1" customWidth="1"/>
    <col min="10503" max="10503" width="13.25" style="2" bestFit="1" customWidth="1"/>
    <col min="10504" max="10504" width="9" style="2"/>
    <col min="10505" max="10505" width="8" style="2" bestFit="1" customWidth="1"/>
    <col min="10506" max="10751" width="9" style="2"/>
    <col min="10752" max="10752" width="2.375" style="2" customWidth="1"/>
    <col min="10753" max="10755" width="13.25" style="2" bestFit="1" customWidth="1"/>
    <col min="10756" max="10758" width="11.125" style="2" bestFit="1" customWidth="1"/>
    <col min="10759" max="10759" width="13.25" style="2" bestFit="1" customWidth="1"/>
    <col min="10760" max="10760" width="9" style="2"/>
    <col min="10761" max="10761" width="8" style="2" bestFit="1" customWidth="1"/>
    <col min="10762" max="11007" width="9" style="2"/>
    <col min="11008" max="11008" width="2.375" style="2" customWidth="1"/>
    <col min="11009" max="11011" width="13.25" style="2" bestFit="1" customWidth="1"/>
    <col min="11012" max="11014" width="11.125" style="2" bestFit="1" customWidth="1"/>
    <col min="11015" max="11015" width="13.25" style="2" bestFit="1" customWidth="1"/>
    <col min="11016" max="11016" width="9" style="2"/>
    <col min="11017" max="11017" width="8" style="2" bestFit="1" customWidth="1"/>
    <col min="11018" max="11263" width="9" style="2"/>
    <col min="11264" max="11264" width="2.375" style="2" customWidth="1"/>
    <col min="11265" max="11267" width="13.25" style="2" bestFit="1" customWidth="1"/>
    <col min="11268" max="11270" width="11.125" style="2" bestFit="1" customWidth="1"/>
    <col min="11271" max="11271" width="13.25" style="2" bestFit="1" customWidth="1"/>
    <col min="11272" max="11272" width="9" style="2"/>
    <col min="11273" max="11273" width="8" style="2" bestFit="1" customWidth="1"/>
    <col min="11274" max="11519" width="9" style="2"/>
    <col min="11520" max="11520" width="2.375" style="2" customWidth="1"/>
    <col min="11521" max="11523" width="13.25" style="2" bestFit="1" customWidth="1"/>
    <col min="11524" max="11526" width="11.125" style="2" bestFit="1" customWidth="1"/>
    <col min="11527" max="11527" width="13.25" style="2" bestFit="1" customWidth="1"/>
    <col min="11528" max="11528" width="9" style="2"/>
    <col min="11529" max="11529" width="8" style="2" bestFit="1" customWidth="1"/>
    <col min="11530" max="11775" width="9" style="2"/>
    <col min="11776" max="11776" width="2.375" style="2" customWidth="1"/>
    <col min="11777" max="11779" width="13.25" style="2" bestFit="1" customWidth="1"/>
    <col min="11780" max="11782" width="11.125" style="2" bestFit="1" customWidth="1"/>
    <col min="11783" max="11783" width="13.25" style="2" bestFit="1" customWidth="1"/>
    <col min="11784" max="11784" width="9" style="2"/>
    <col min="11785" max="11785" width="8" style="2" bestFit="1" customWidth="1"/>
    <col min="11786" max="12031" width="9" style="2"/>
    <col min="12032" max="12032" width="2.375" style="2" customWidth="1"/>
    <col min="12033" max="12035" width="13.25" style="2" bestFit="1" customWidth="1"/>
    <col min="12036" max="12038" width="11.125" style="2" bestFit="1" customWidth="1"/>
    <col min="12039" max="12039" width="13.25" style="2" bestFit="1" customWidth="1"/>
    <col min="12040" max="12040" width="9" style="2"/>
    <col min="12041" max="12041" width="8" style="2" bestFit="1" customWidth="1"/>
    <col min="12042" max="12287" width="9" style="2"/>
    <col min="12288" max="12288" width="2.375" style="2" customWidth="1"/>
    <col min="12289" max="12291" width="13.25" style="2" bestFit="1" customWidth="1"/>
    <col min="12292" max="12294" width="11.125" style="2" bestFit="1" customWidth="1"/>
    <col min="12295" max="12295" width="13.25" style="2" bestFit="1" customWidth="1"/>
    <col min="12296" max="12296" width="9" style="2"/>
    <col min="12297" max="12297" width="8" style="2" bestFit="1" customWidth="1"/>
    <col min="12298" max="12543" width="9" style="2"/>
    <col min="12544" max="12544" width="2.375" style="2" customWidth="1"/>
    <col min="12545" max="12547" width="13.25" style="2" bestFit="1" customWidth="1"/>
    <col min="12548" max="12550" width="11.125" style="2" bestFit="1" customWidth="1"/>
    <col min="12551" max="12551" width="13.25" style="2" bestFit="1" customWidth="1"/>
    <col min="12552" max="12552" width="9" style="2"/>
    <col min="12553" max="12553" width="8" style="2" bestFit="1" customWidth="1"/>
    <col min="12554" max="12799" width="9" style="2"/>
    <col min="12800" max="12800" width="2.375" style="2" customWidth="1"/>
    <col min="12801" max="12803" width="13.25" style="2" bestFit="1" customWidth="1"/>
    <col min="12804" max="12806" width="11.125" style="2" bestFit="1" customWidth="1"/>
    <col min="12807" max="12807" width="13.25" style="2" bestFit="1" customWidth="1"/>
    <col min="12808" max="12808" width="9" style="2"/>
    <col min="12809" max="12809" width="8" style="2" bestFit="1" customWidth="1"/>
    <col min="12810" max="13055" width="9" style="2"/>
    <col min="13056" max="13056" width="2.375" style="2" customWidth="1"/>
    <col min="13057" max="13059" width="13.25" style="2" bestFit="1" customWidth="1"/>
    <col min="13060" max="13062" width="11.125" style="2" bestFit="1" customWidth="1"/>
    <col min="13063" max="13063" width="13.25" style="2" bestFit="1" customWidth="1"/>
    <col min="13064" max="13064" width="9" style="2"/>
    <col min="13065" max="13065" width="8" style="2" bestFit="1" customWidth="1"/>
    <col min="13066" max="13311" width="9" style="2"/>
    <col min="13312" max="13312" width="2.375" style="2" customWidth="1"/>
    <col min="13313" max="13315" width="13.25" style="2" bestFit="1" customWidth="1"/>
    <col min="13316" max="13318" width="11.125" style="2" bestFit="1" customWidth="1"/>
    <col min="13319" max="13319" width="13.25" style="2" bestFit="1" customWidth="1"/>
    <col min="13320" max="13320" width="9" style="2"/>
    <col min="13321" max="13321" width="8" style="2" bestFit="1" customWidth="1"/>
    <col min="13322" max="13567" width="9" style="2"/>
    <col min="13568" max="13568" width="2.375" style="2" customWidth="1"/>
    <col min="13569" max="13571" width="13.25" style="2" bestFit="1" customWidth="1"/>
    <col min="13572" max="13574" width="11.125" style="2" bestFit="1" customWidth="1"/>
    <col min="13575" max="13575" width="13.25" style="2" bestFit="1" customWidth="1"/>
    <col min="13576" max="13576" width="9" style="2"/>
    <col min="13577" max="13577" width="8" style="2" bestFit="1" customWidth="1"/>
    <col min="13578" max="13823" width="9" style="2"/>
    <col min="13824" max="13824" width="2.375" style="2" customWidth="1"/>
    <col min="13825" max="13827" width="13.25" style="2" bestFit="1" customWidth="1"/>
    <col min="13828" max="13830" width="11.125" style="2" bestFit="1" customWidth="1"/>
    <col min="13831" max="13831" width="13.25" style="2" bestFit="1" customWidth="1"/>
    <col min="13832" max="13832" width="9" style="2"/>
    <col min="13833" max="13833" width="8" style="2" bestFit="1" customWidth="1"/>
    <col min="13834" max="14079" width="9" style="2"/>
    <col min="14080" max="14080" width="2.375" style="2" customWidth="1"/>
    <col min="14081" max="14083" width="13.25" style="2" bestFit="1" customWidth="1"/>
    <col min="14084" max="14086" width="11.125" style="2" bestFit="1" customWidth="1"/>
    <col min="14087" max="14087" width="13.25" style="2" bestFit="1" customWidth="1"/>
    <col min="14088" max="14088" width="9" style="2"/>
    <col min="14089" max="14089" width="8" style="2" bestFit="1" customWidth="1"/>
    <col min="14090" max="14335" width="9" style="2"/>
    <col min="14336" max="14336" width="2.375" style="2" customWidth="1"/>
    <col min="14337" max="14339" width="13.25" style="2" bestFit="1" customWidth="1"/>
    <col min="14340" max="14342" width="11.125" style="2" bestFit="1" customWidth="1"/>
    <col min="14343" max="14343" width="13.25" style="2" bestFit="1" customWidth="1"/>
    <col min="14344" max="14344" width="9" style="2"/>
    <col min="14345" max="14345" width="8" style="2" bestFit="1" customWidth="1"/>
    <col min="14346" max="14591" width="9" style="2"/>
    <col min="14592" max="14592" width="2.375" style="2" customWidth="1"/>
    <col min="14593" max="14595" width="13.25" style="2" bestFit="1" customWidth="1"/>
    <col min="14596" max="14598" width="11.125" style="2" bestFit="1" customWidth="1"/>
    <col min="14599" max="14599" width="13.25" style="2" bestFit="1" customWidth="1"/>
    <col min="14600" max="14600" width="9" style="2"/>
    <col min="14601" max="14601" width="8" style="2" bestFit="1" customWidth="1"/>
    <col min="14602" max="14847" width="9" style="2"/>
    <col min="14848" max="14848" width="2.375" style="2" customWidth="1"/>
    <col min="14849" max="14851" width="13.25" style="2" bestFit="1" customWidth="1"/>
    <col min="14852" max="14854" width="11.125" style="2" bestFit="1" customWidth="1"/>
    <col min="14855" max="14855" width="13.25" style="2" bestFit="1" customWidth="1"/>
    <col min="14856" max="14856" width="9" style="2"/>
    <col min="14857" max="14857" width="8" style="2" bestFit="1" customWidth="1"/>
    <col min="14858" max="15103" width="9" style="2"/>
    <col min="15104" max="15104" width="2.375" style="2" customWidth="1"/>
    <col min="15105" max="15107" width="13.25" style="2" bestFit="1" customWidth="1"/>
    <col min="15108" max="15110" width="11.125" style="2" bestFit="1" customWidth="1"/>
    <col min="15111" max="15111" width="13.25" style="2" bestFit="1" customWidth="1"/>
    <col min="15112" max="15112" width="9" style="2"/>
    <col min="15113" max="15113" width="8" style="2" bestFit="1" customWidth="1"/>
    <col min="15114" max="15359" width="9" style="2"/>
    <col min="15360" max="15360" width="2.375" style="2" customWidth="1"/>
    <col min="15361" max="15363" width="13.25" style="2" bestFit="1" customWidth="1"/>
    <col min="15364" max="15366" width="11.125" style="2" bestFit="1" customWidth="1"/>
    <col min="15367" max="15367" width="13.25" style="2" bestFit="1" customWidth="1"/>
    <col min="15368" max="15368" width="9" style="2"/>
    <col min="15369" max="15369" width="8" style="2" bestFit="1" customWidth="1"/>
    <col min="15370" max="15615" width="9" style="2"/>
    <col min="15616" max="15616" width="2.375" style="2" customWidth="1"/>
    <col min="15617" max="15619" width="13.25" style="2" bestFit="1" customWidth="1"/>
    <col min="15620" max="15622" width="11.125" style="2" bestFit="1" customWidth="1"/>
    <col min="15623" max="15623" width="13.25" style="2" bestFit="1" customWidth="1"/>
    <col min="15624" max="15624" width="9" style="2"/>
    <col min="15625" max="15625" width="8" style="2" bestFit="1" customWidth="1"/>
    <col min="15626" max="15871" width="9" style="2"/>
    <col min="15872" max="15872" width="2.375" style="2" customWidth="1"/>
    <col min="15873" max="15875" width="13.25" style="2" bestFit="1" customWidth="1"/>
    <col min="15876" max="15878" width="11.125" style="2" bestFit="1" customWidth="1"/>
    <col min="15879" max="15879" width="13.25" style="2" bestFit="1" customWidth="1"/>
    <col min="15880" max="15880" width="9" style="2"/>
    <col min="15881" max="15881" width="8" style="2" bestFit="1" customWidth="1"/>
    <col min="15882" max="16127" width="9" style="2"/>
    <col min="16128" max="16128" width="2.375" style="2" customWidth="1"/>
    <col min="16129" max="16131" width="13.25" style="2" bestFit="1" customWidth="1"/>
    <col min="16132" max="16134" width="11.125" style="2" bestFit="1" customWidth="1"/>
    <col min="16135" max="16135" width="13.25" style="2" bestFit="1" customWidth="1"/>
    <col min="16136" max="16136" width="9" style="2"/>
    <col min="16137" max="16137" width="8" style="2" bestFit="1" customWidth="1"/>
    <col min="16138" max="16384" width="9" style="2"/>
  </cols>
  <sheetData>
    <row r="1" spans="1:10">
      <c r="A1" s="1" t="s">
        <v>0</v>
      </c>
    </row>
    <row r="2" spans="1:10" ht="19.5" thickBot="1">
      <c r="A2" s="1" t="s">
        <v>2</v>
      </c>
    </row>
    <row r="3" spans="1:10">
      <c r="B3" s="3"/>
      <c r="C3" s="9" t="s">
        <v>3</v>
      </c>
      <c r="D3" s="43" t="s">
        <v>5</v>
      </c>
      <c r="E3" s="61" t="s">
        <v>39</v>
      </c>
      <c r="F3" s="34" t="s">
        <v>4</v>
      </c>
      <c r="G3" s="10" t="s">
        <v>7</v>
      </c>
      <c r="H3" s="52" t="s">
        <v>6</v>
      </c>
      <c r="I3" s="61" t="s">
        <v>39</v>
      </c>
      <c r="J3" s="4" t="s">
        <v>14</v>
      </c>
    </row>
    <row r="4" spans="1:10" ht="19.5" thickBot="1">
      <c r="A4" s="33"/>
      <c r="B4" s="21" t="s">
        <v>8</v>
      </c>
      <c r="C4" s="22" t="s">
        <v>9</v>
      </c>
      <c r="D4" s="44" t="s">
        <v>11</v>
      </c>
      <c r="E4" s="62" t="s">
        <v>40</v>
      </c>
      <c r="F4" s="35" t="s">
        <v>10</v>
      </c>
      <c r="G4" s="23" t="s">
        <v>13</v>
      </c>
      <c r="H4" s="53" t="s">
        <v>12</v>
      </c>
      <c r="I4" s="62" t="s">
        <v>41</v>
      </c>
      <c r="J4" s="70" t="s">
        <v>42</v>
      </c>
    </row>
    <row r="5" spans="1:10">
      <c r="A5" s="1" t="s">
        <v>1</v>
      </c>
      <c r="B5" s="17" t="s">
        <v>15</v>
      </c>
      <c r="C5" s="18">
        <v>0</v>
      </c>
      <c r="D5" s="45">
        <v>0</v>
      </c>
      <c r="E5" s="63">
        <f>SUM(C5:D5)</f>
        <v>0</v>
      </c>
      <c r="F5" s="36">
        <v>376000</v>
      </c>
      <c r="G5" s="19">
        <v>376000</v>
      </c>
      <c r="H5" s="54">
        <v>0</v>
      </c>
      <c r="I5" s="63">
        <f>SUM(F5:H5)</f>
        <v>752000</v>
      </c>
      <c r="J5" s="63">
        <f>E5+I5</f>
        <v>752000</v>
      </c>
    </row>
    <row r="6" spans="1:10">
      <c r="A6" s="1" t="s">
        <v>1</v>
      </c>
      <c r="B6" s="5" t="s">
        <v>16</v>
      </c>
      <c r="C6" s="11">
        <v>0</v>
      </c>
      <c r="D6" s="46">
        <v>0</v>
      </c>
      <c r="E6" s="64">
        <f>SUM(C6:D6)</f>
        <v>0</v>
      </c>
      <c r="F6" s="37">
        <v>0</v>
      </c>
      <c r="G6" s="12">
        <v>0</v>
      </c>
      <c r="H6" s="55">
        <v>0</v>
      </c>
      <c r="I6" s="64">
        <f t="shared" ref="I6:I27" si="0">SUM(F6:H6)</f>
        <v>0</v>
      </c>
      <c r="J6" s="64">
        <f t="shared" ref="J6:J25" si="1">E6+I6</f>
        <v>0</v>
      </c>
    </row>
    <row r="7" spans="1:10">
      <c r="A7" s="1" t="s">
        <v>1</v>
      </c>
      <c r="B7" s="5" t="s">
        <v>17</v>
      </c>
      <c r="C7" s="11">
        <v>0</v>
      </c>
      <c r="D7" s="46">
        <v>0</v>
      </c>
      <c r="E7" s="64"/>
      <c r="F7" s="37">
        <v>0</v>
      </c>
      <c r="G7" s="12">
        <v>0</v>
      </c>
      <c r="H7" s="55">
        <v>0</v>
      </c>
      <c r="I7" s="64">
        <f t="shared" si="0"/>
        <v>0</v>
      </c>
      <c r="J7" s="64">
        <f t="shared" si="1"/>
        <v>0</v>
      </c>
    </row>
    <row r="8" spans="1:10" ht="19.5" thickBot="1">
      <c r="A8" s="1" t="s">
        <v>1</v>
      </c>
      <c r="B8" s="24" t="s">
        <v>18</v>
      </c>
      <c r="C8" s="25">
        <v>0</v>
      </c>
      <c r="D8" s="47">
        <v>0</v>
      </c>
      <c r="E8" s="65"/>
      <c r="F8" s="38">
        <v>0</v>
      </c>
      <c r="G8" s="26">
        <v>0</v>
      </c>
      <c r="H8" s="56">
        <v>0</v>
      </c>
      <c r="I8" s="65">
        <f t="shared" si="0"/>
        <v>0</v>
      </c>
      <c r="J8" s="65">
        <f t="shared" si="1"/>
        <v>0</v>
      </c>
    </row>
    <row r="9" spans="1:10" ht="19.5" thickBot="1">
      <c r="A9" s="1" t="s">
        <v>1</v>
      </c>
      <c r="B9" s="27" t="s">
        <v>19</v>
      </c>
      <c r="C9" s="28">
        <v>0</v>
      </c>
      <c r="D9" s="48">
        <v>0</v>
      </c>
      <c r="E9" s="66"/>
      <c r="F9" s="39">
        <v>376000</v>
      </c>
      <c r="G9" s="29">
        <v>376000</v>
      </c>
      <c r="H9" s="57">
        <v>0</v>
      </c>
      <c r="I9" s="66">
        <f t="shared" si="0"/>
        <v>752000</v>
      </c>
      <c r="J9" s="66">
        <f t="shared" si="1"/>
        <v>752000</v>
      </c>
    </row>
    <row r="10" spans="1:10" ht="19.5" thickBot="1">
      <c r="A10" s="1" t="s">
        <v>1</v>
      </c>
      <c r="B10" s="27" t="s">
        <v>20</v>
      </c>
      <c r="C10" s="28">
        <v>0</v>
      </c>
      <c r="D10" s="48">
        <v>0</v>
      </c>
      <c r="E10" s="66"/>
      <c r="F10" s="39">
        <v>0</v>
      </c>
      <c r="G10" s="29">
        <v>0</v>
      </c>
      <c r="H10" s="57">
        <v>0</v>
      </c>
      <c r="I10" s="66">
        <f t="shared" si="0"/>
        <v>0</v>
      </c>
      <c r="J10" s="66">
        <f t="shared" si="1"/>
        <v>0</v>
      </c>
    </row>
    <row r="11" spans="1:10" ht="19.5" thickBot="1">
      <c r="A11" s="1" t="s">
        <v>1</v>
      </c>
      <c r="B11" s="27" t="s">
        <v>21</v>
      </c>
      <c r="C11" s="28">
        <v>0</v>
      </c>
      <c r="D11" s="48">
        <v>0</v>
      </c>
      <c r="E11" s="66"/>
      <c r="F11" s="39">
        <v>376000</v>
      </c>
      <c r="G11" s="29">
        <v>376000</v>
      </c>
      <c r="H11" s="57">
        <v>0</v>
      </c>
      <c r="I11" s="66">
        <f t="shared" si="0"/>
        <v>752000</v>
      </c>
      <c r="J11" s="66">
        <f t="shared" si="1"/>
        <v>752000</v>
      </c>
    </row>
    <row r="12" spans="1:10">
      <c r="A12" s="1" t="s">
        <v>1</v>
      </c>
      <c r="B12" s="17" t="s">
        <v>22</v>
      </c>
      <c r="C12" s="18">
        <v>0</v>
      </c>
      <c r="D12" s="45">
        <v>0</v>
      </c>
      <c r="E12" s="63"/>
      <c r="F12" s="36">
        <v>19176</v>
      </c>
      <c r="G12" s="19">
        <v>19176</v>
      </c>
      <c r="H12" s="54">
        <v>0</v>
      </c>
      <c r="I12" s="63">
        <f t="shared" si="0"/>
        <v>38352</v>
      </c>
      <c r="J12" s="63">
        <f t="shared" si="1"/>
        <v>38352</v>
      </c>
    </row>
    <row r="13" spans="1:10">
      <c r="A13" s="1" t="s">
        <v>1</v>
      </c>
      <c r="B13" s="5" t="s">
        <v>23</v>
      </c>
      <c r="C13" s="11">
        <v>0</v>
      </c>
      <c r="D13" s="46">
        <v>0</v>
      </c>
      <c r="E13" s="64"/>
      <c r="F13" s="37">
        <v>3384</v>
      </c>
      <c r="G13" s="12">
        <v>3384</v>
      </c>
      <c r="H13" s="55">
        <v>0</v>
      </c>
      <c r="I13" s="64">
        <f t="shared" si="0"/>
        <v>6768</v>
      </c>
      <c r="J13" s="64">
        <f t="shared" si="1"/>
        <v>6768</v>
      </c>
    </row>
    <row r="14" spans="1:10">
      <c r="A14" s="1" t="s">
        <v>1</v>
      </c>
      <c r="B14" s="5" t="s">
        <v>24</v>
      </c>
      <c r="C14" s="11">
        <v>0</v>
      </c>
      <c r="D14" s="46">
        <v>0</v>
      </c>
      <c r="E14" s="64"/>
      <c r="F14" s="37">
        <v>34404</v>
      </c>
      <c r="G14" s="12">
        <v>34404</v>
      </c>
      <c r="H14" s="55">
        <v>0</v>
      </c>
      <c r="I14" s="64">
        <f t="shared" si="0"/>
        <v>68808</v>
      </c>
      <c r="J14" s="64">
        <f t="shared" si="1"/>
        <v>68808</v>
      </c>
    </row>
    <row r="15" spans="1:10" ht="19.5" thickBot="1">
      <c r="A15" s="1" t="s">
        <v>1</v>
      </c>
      <c r="B15" s="24" t="s">
        <v>25</v>
      </c>
      <c r="C15" s="25">
        <v>0</v>
      </c>
      <c r="D15" s="47">
        <v>0</v>
      </c>
      <c r="E15" s="65"/>
      <c r="F15" s="38">
        <v>1880</v>
      </c>
      <c r="G15" s="26">
        <v>1880</v>
      </c>
      <c r="H15" s="56">
        <v>0</v>
      </c>
      <c r="I15" s="65">
        <f t="shared" si="0"/>
        <v>3760</v>
      </c>
      <c r="J15" s="65">
        <f t="shared" si="1"/>
        <v>3760</v>
      </c>
    </row>
    <row r="16" spans="1:10" ht="19.5" thickBot="1">
      <c r="A16" s="1" t="s">
        <v>1</v>
      </c>
      <c r="B16" s="27" t="s">
        <v>26</v>
      </c>
      <c r="C16" s="28">
        <v>0</v>
      </c>
      <c r="D16" s="48">
        <v>0</v>
      </c>
      <c r="E16" s="66"/>
      <c r="F16" s="39">
        <v>317156</v>
      </c>
      <c r="G16" s="29">
        <v>317156</v>
      </c>
      <c r="H16" s="57">
        <v>0</v>
      </c>
      <c r="I16" s="66">
        <f t="shared" si="0"/>
        <v>634312</v>
      </c>
      <c r="J16" s="66">
        <f t="shared" si="1"/>
        <v>634312</v>
      </c>
    </row>
    <row r="17" spans="1:10" ht="19.5" thickBot="1">
      <c r="A17" s="1" t="s">
        <v>1</v>
      </c>
      <c r="B17" s="30" t="s">
        <v>27</v>
      </c>
      <c r="C17" s="31">
        <v>0</v>
      </c>
      <c r="D17" s="49">
        <v>0</v>
      </c>
      <c r="E17" s="67"/>
      <c r="F17" s="40">
        <v>32381</v>
      </c>
      <c r="G17" s="32">
        <v>32381</v>
      </c>
      <c r="H17" s="58">
        <v>0</v>
      </c>
      <c r="I17" s="67">
        <f t="shared" si="0"/>
        <v>64762</v>
      </c>
      <c r="J17" s="67">
        <f t="shared" si="1"/>
        <v>64762</v>
      </c>
    </row>
    <row r="18" spans="1:10" ht="19.5" thickBot="1">
      <c r="A18" s="1" t="s">
        <v>1</v>
      </c>
      <c r="B18" s="27" t="s">
        <v>28</v>
      </c>
      <c r="C18" s="28">
        <v>0</v>
      </c>
      <c r="D18" s="48">
        <v>0</v>
      </c>
      <c r="E18" s="66"/>
      <c r="F18" s="39">
        <v>58844</v>
      </c>
      <c r="G18" s="29">
        <v>58844</v>
      </c>
      <c r="H18" s="57">
        <v>0</v>
      </c>
      <c r="I18" s="66">
        <f t="shared" si="0"/>
        <v>117688</v>
      </c>
      <c r="J18" s="66">
        <f t="shared" si="1"/>
        <v>117688</v>
      </c>
    </row>
    <row r="19" spans="1:10" ht="19.5" thickBot="1">
      <c r="A19" s="1" t="s">
        <v>1</v>
      </c>
      <c r="B19" s="27" t="s">
        <v>29</v>
      </c>
      <c r="C19" s="28">
        <v>0</v>
      </c>
      <c r="D19" s="48">
        <v>0</v>
      </c>
      <c r="E19" s="66"/>
      <c r="F19" s="39">
        <v>91225</v>
      </c>
      <c r="G19" s="29">
        <v>91225</v>
      </c>
      <c r="H19" s="57">
        <v>0</v>
      </c>
      <c r="I19" s="66">
        <f t="shared" si="0"/>
        <v>182450</v>
      </c>
      <c r="J19" s="66">
        <f t="shared" si="1"/>
        <v>182450</v>
      </c>
    </row>
    <row r="20" spans="1:10">
      <c r="A20" s="1" t="s">
        <v>1</v>
      </c>
      <c r="B20" s="17" t="s">
        <v>30</v>
      </c>
      <c r="C20" s="18">
        <v>323160</v>
      </c>
      <c r="D20" s="45">
        <v>40</v>
      </c>
      <c r="E20" s="63">
        <f>SUM(C20:D20)</f>
        <v>323200</v>
      </c>
      <c r="F20" s="36">
        <v>39636</v>
      </c>
      <c r="G20" s="19">
        <v>34844</v>
      </c>
      <c r="H20" s="54">
        <v>4840</v>
      </c>
      <c r="I20" s="63">
        <f t="shared" si="0"/>
        <v>79320</v>
      </c>
      <c r="J20" s="63">
        <f t="shared" si="1"/>
        <v>402520</v>
      </c>
    </row>
    <row r="21" spans="1:10" ht="19.5" thickBot="1">
      <c r="A21" s="1" t="s">
        <v>1</v>
      </c>
      <c r="B21" s="24" t="s">
        <v>31</v>
      </c>
      <c r="C21" s="25">
        <v>0</v>
      </c>
      <c r="D21" s="47">
        <v>0</v>
      </c>
      <c r="E21" s="65">
        <f t="shared" ref="E21:E27" si="2">SUM(C21:D21)</f>
        <v>0</v>
      </c>
      <c r="F21" s="38">
        <v>0</v>
      </c>
      <c r="G21" s="26">
        <v>0</v>
      </c>
      <c r="H21" s="56">
        <v>0</v>
      </c>
      <c r="I21" s="65">
        <f t="shared" si="0"/>
        <v>0</v>
      </c>
      <c r="J21" s="65">
        <f t="shared" si="1"/>
        <v>0</v>
      </c>
    </row>
    <row r="22" spans="1:10" ht="19.5" thickBot="1">
      <c r="A22" s="1" t="s">
        <v>1</v>
      </c>
      <c r="B22" s="27" t="s">
        <v>32</v>
      </c>
      <c r="C22" s="28">
        <v>323160</v>
      </c>
      <c r="D22" s="48">
        <v>40</v>
      </c>
      <c r="E22" s="66">
        <f t="shared" si="2"/>
        <v>323200</v>
      </c>
      <c r="F22" s="39">
        <v>39636</v>
      </c>
      <c r="G22" s="29">
        <v>34844</v>
      </c>
      <c r="H22" s="57">
        <v>4840</v>
      </c>
      <c r="I22" s="66">
        <f t="shared" si="0"/>
        <v>79320</v>
      </c>
      <c r="J22" s="66">
        <f t="shared" si="1"/>
        <v>402520</v>
      </c>
    </row>
    <row r="23" spans="1:10" ht="19.5" thickBot="1">
      <c r="A23" s="1" t="s">
        <v>1</v>
      </c>
      <c r="B23" s="27" t="s">
        <v>33</v>
      </c>
      <c r="C23" s="28">
        <v>323160</v>
      </c>
      <c r="D23" s="48">
        <v>40</v>
      </c>
      <c r="E23" s="66">
        <f t="shared" si="2"/>
        <v>323200</v>
      </c>
      <c r="F23" s="39">
        <v>324411</v>
      </c>
      <c r="G23" s="29">
        <v>319619</v>
      </c>
      <c r="H23" s="57">
        <v>4840</v>
      </c>
      <c r="I23" s="66">
        <f t="shared" si="0"/>
        <v>648870</v>
      </c>
      <c r="J23" s="66">
        <f t="shared" si="1"/>
        <v>972070</v>
      </c>
    </row>
    <row r="24" spans="1:10" ht="19.5" thickBot="1">
      <c r="A24" s="1" t="s">
        <v>1</v>
      </c>
      <c r="B24" s="27" t="s">
        <v>34</v>
      </c>
      <c r="C24" s="28">
        <v>0</v>
      </c>
      <c r="D24" s="48">
        <v>40</v>
      </c>
      <c r="E24" s="66">
        <f t="shared" si="2"/>
        <v>40</v>
      </c>
      <c r="F24" s="39">
        <v>0</v>
      </c>
      <c r="G24" s="29">
        <v>0</v>
      </c>
      <c r="H24" s="57">
        <v>0</v>
      </c>
      <c r="I24" s="66">
        <f t="shared" si="0"/>
        <v>0</v>
      </c>
      <c r="J24" s="66">
        <f t="shared" si="1"/>
        <v>40</v>
      </c>
    </row>
    <row r="25" spans="1:10" ht="19.5" thickBot="1">
      <c r="A25" s="1" t="s">
        <v>1</v>
      </c>
      <c r="B25" s="27" t="s">
        <v>35</v>
      </c>
      <c r="C25" s="28">
        <v>323160</v>
      </c>
      <c r="D25" s="48">
        <v>0</v>
      </c>
      <c r="E25" s="66">
        <f t="shared" si="2"/>
        <v>323160</v>
      </c>
      <c r="F25" s="39">
        <v>324411</v>
      </c>
      <c r="G25" s="29">
        <v>319619</v>
      </c>
      <c r="H25" s="57">
        <v>4840</v>
      </c>
      <c r="I25" s="66">
        <f t="shared" si="0"/>
        <v>648870</v>
      </c>
      <c r="J25" s="66">
        <f t="shared" si="1"/>
        <v>972030</v>
      </c>
    </row>
    <row r="26" spans="1:10">
      <c r="A26" s="1" t="s">
        <v>1</v>
      </c>
      <c r="B26" s="17" t="s">
        <v>36</v>
      </c>
      <c r="C26" s="18">
        <v>1</v>
      </c>
      <c r="D26" s="45">
        <v>0</v>
      </c>
      <c r="E26" s="63">
        <f t="shared" si="2"/>
        <v>1</v>
      </c>
      <c r="F26" s="36">
        <v>0</v>
      </c>
      <c r="G26" s="19">
        <v>0</v>
      </c>
      <c r="H26" s="54">
        <v>0</v>
      </c>
      <c r="I26" s="63">
        <f t="shared" si="0"/>
        <v>0</v>
      </c>
      <c r="J26" s="20"/>
    </row>
    <row r="27" spans="1:10">
      <c r="A27" s="1" t="s">
        <v>1</v>
      </c>
      <c r="B27" s="5" t="s">
        <v>37</v>
      </c>
      <c r="C27" s="13">
        <v>32.671999999999997</v>
      </c>
      <c r="D27" s="50">
        <v>4.0839999999999996</v>
      </c>
      <c r="E27" s="68">
        <f t="shared" si="2"/>
        <v>36.756</v>
      </c>
      <c r="F27" s="41">
        <v>10.210000000000001</v>
      </c>
      <c r="G27" s="14">
        <v>10.210000000000001</v>
      </c>
      <c r="H27" s="59">
        <v>4.0839999999999996</v>
      </c>
      <c r="I27" s="68">
        <f t="shared" si="0"/>
        <v>24.504000000000001</v>
      </c>
      <c r="J27" s="7"/>
    </row>
    <row r="28" spans="1:10" ht="19.5" thickBot="1">
      <c r="A28" s="1" t="s">
        <v>1</v>
      </c>
      <c r="B28" s="6" t="s">
        <v>38</v>
      </c>
      <c r="C28" s="15">
        <v>1175725</v>
      </c>
      <c r="D28" s="51">
        <v>100000</v>
      </c>
      <c r="E28" s="69"/>
      <c r="F28" s="42">
        <v>346255</v>
      </c>
      <c r="G28" s="16">
        <v>350762</v>
      </c>
      <c r="H28" s="60">
        <v>92744</v>
      </c>
      <c r="I28" s="69"/>
      <c r="J28" s="8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4年冬賞与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2022-12-17T05:06:52Z</cp:lastPrinted>
  <dcterms:created xsi:type="dcterms:W3CDTF">2022-12-15T00:49:22Z</dcterms:created>
  <dcterms:modified xsi:type="dcterms:W3CDTF">2022-12-17T05:46:41Z</dcterms:modified>
</cp:coreProperties>
</file>