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年冬季賞与・年調\"/>
    </mc:Choice>
  </mc:AlternateContent>
  <xr:revisionPtr revIDLastSave="0" documentId="13_ncr:1_{6D20E12F-C565-46B0-87C7-48898D3C5768}" xr6:coauthVersionLast="47" xr6:coauthVersionMax="47" xr10:uidLastSave="{00000000-0000-0000-0000-000000000000}"/>
  <bookViews>
    <workbookView xWindow="-120" yWindow="-120" windowWidth="20730" windowHeight="11160" xr2:uid="{B75D16BA-D511-456A-81BB-75EEA283A95E}"/>
  </bookViews>
  <sheets>
    <sheet name="4年冬賞与 (2)" sheetId="3" r:id="rId1"/>
    <sheet name="4年冬賞与 (3)" sheetId="5" r:id="rId2"/>
    <sheet name="4年冬賞与 (4)" sheetId="6" r:id="rId3"/>
  </sheets>
  <definedNames>
    <definedName name="_xlnm.Print_Area" localSheetId="1">'4年冬賞与 (3)'!$A$1:$J$28</definedName>
    <definedName name="_xlnm.Print_Area" localSheetId="2">'4年冬賞与 (4)'!$A$1:$U$28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6" l="1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I25" i="5"/>
  <c r="G25" i="5"/>
  <c r="I24" i="5"/>
  <c r="G24" i="5"/>
  <c r="I23" i="5"/>
  <c r="G23" i="5"/>
  <c r="I22" i="5"/>
  <c r="G22" i="5"/>
  <c r="I21" i="5"/>
  <c r="G21" i="5"/>
  <c r="I20" i="5"/>
  <c r="G20" i="5"/>
  <c r="I19" i="5"/>
  <c r="G19" i="5"/>
  <c r="I18" i="5"/>
  <c r="G18" i="5"/>
  <c r="I17" i="5"/>
  <c r="G17" i="5"/>
  <c r="I16" i="5"/>
  <c r="G16" i="5"/>
  <c r="I15" i="5"/>
  <c r="G15" i="5"/>
  <c r="I14" i="5"/>
  <c r="G14" i="5"/>
  <c r="I13" i="5"/>
  <c r="G13" i="5"/>
  <c r="I12" i="5"/>
  <c r="G12" i="5"/>
  <c r="I11" i="5"/>
  <c r="G11" i="5"/>
  <c r="I10" i="5"/>
  <c r="G10" i="5"/>
  <c r="I9" i="5"/>
  <c r="G9" i="5"/>
  <c r="G8" i="5"/>
  <c r="I5" i="5"/>
  <c r="G5" i="5"/>
  <c r="AB6" i="3"/>
  <c r="AC6" i="3" s="1"/>
  <c r="AB7" i="3"/>
  <c r="AC7" i="3" s="1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5" i="3"/>
  <c r="I10" i="3"/>
  <c r="I11" i="3"/>
  <c r="I12" i="3"/>
  <c r="I13" i="3"/>
  <c r="I14" i="3"/>
  <c r="I15" i="3"/>
  <c r="I16" i="3"/>
  <c r="I17" i="3"/>
  <c r="I18" i="3"/>
  <c r="AC18" i="3" s="1"/>
  <c r="I19" i="3"/>
  <c r="I20" i="3"/>
  <c r="I21" i="3"/>
  <c r="I22" i="3"/>
  <c r="I23" i="3"/>
  <c r="I24" i="3"/>
  <c r="I25" i="3"/>
  <c r="I9" i="3"/>
  <c r="I5" i="3"/>
  <c r="G9" i="3"/>
  <c r="G10" i="3"/>
  <c r="AC10" i="3" s="1"/>
  <c r="G11" i="3"/>
  <c r="AC11" i="3" s="1"/>
  <c r="G12" i="3"/>
  <c r="AC12" i="3" s="1"/>
  <c r="G13" i="3"/>
  <c r="AC13" i="3" s="1"/>
  <c r="G14" i="3"/>
  <c r="AC14" i="3" s="1"/>
  <c r="G15" i="3"/>
  <c r="AC15" i="3" s="1"/>
  <c r="G16" i="3"/>
  <c r="AC16" i="3" s="1"/>
  <c r="G17" i="3"/>
  <c r="AC17" i="3" s="1"/>
  <c r="G18" i="3"/>
  <c r="G19" i="3"/>
  <c r="AC19" i="3" s="1"/>
  <c r="G20" i="3"/>
  <c r="AC20" i="3" s="1"/>
  <c r="G21" i="3"/>
  <c r="AC21" i="3" s="1"/>
  <c r="G22" i="3"/>
  <c r="AC22" i="3" s="1"/>
  <c r="G23" i="3"/>
  <c r="AC23" i="3" s="1"/>
  <c r="G24" i="3"/>
  <c r="AC24" i="3" s="1"/>
  <c r="G25" i="3"/>
  <c r="AC25" i="3" s="1"/>
  <c r="G8" i="3"/>
  <c r="G5" i="3"/>
  <c r="AC5" i="3" s="1"/>
  <c r="AC9" i="3" l="1"/>
  <c r="AC8" i="3"/>
</calcChain>
</file>

<file path=xl/sharedStrings.xml><?xml version="1.0" encoding="utf-8"?>
<sst xmlns="http://schemas.openxmlformats.org/spreadsheetml/2006/main" count="261" uniqueCount="82">
  <si>
    <t>賞与支給控除一覧表</t>
    <phoneticPr fontId="4"/>
  </si>
  <si>
    <t/>
  </si>
  <si>
    <t>4年冬賞与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</si>
  <si>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</si>
  <si>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</si>
  <si>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</si>
  <si>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</si>
  <si>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</si>
  <si>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</si>
  <si>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</si>
  <si>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</si>
  <si>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1026</t>
    <phoneticPr fontId="4"/>
  </si>
  <si>
    <t>1027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</si>
  <si>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</si>
  <si>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</si>
  <si>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</si>
  <si>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</si>
  <si>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</si>
  <si>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</si>
  <si>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</si>
  <si>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</si>
  <si>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</si>
  <si>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</si>
  <si>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</si>
  <si>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</si>
  <si>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</si>
  <si>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</si>
  <si>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</si>
  <si>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</si>
  <si>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</si>
  <si>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</si>
  <si>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</si>
  <si>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</si>
  <si>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</si>
  <si>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</si>
  <si>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蛭田　孝子</t>
    <phoneticPr fontId="4"/>
  </si>
  <si>
    <t>鈴木　紀子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</si>
  <si>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</si>
  <si>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</si>
  <si>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</si>
  <si>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</si>
  <si>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</si>
  <si>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</si>
  <si>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</si>
  <si>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</si>
  <si>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</si>
  <si>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</si>
  <si>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</si>
  <si>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渡邉進一</t>
    <phoneticPr fontId="4"/>
  </si>
  <si>
    <t>山口豊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</si>
  <si>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</si>
  <si>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</si>
  <si>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</si>
  <si>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</si>
  <si>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</si>
  <si>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</si>
  <si>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</si>
  <si>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</si>
  <si>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</si>
  <si>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</si>
  <si>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</si>
  <si>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</si>
  <si>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</si>
  <si>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</si>
  <si>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</si>
  <si>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</si>
  <si>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</si>
  <si>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</si>
  <si>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</si>
  <si>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</si>
  <si>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</si>
  <si>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</si>
  <si>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</si>
  <si>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</si>
  <si>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</si>
  <si>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</si>
  <si>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</si>
  <si>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1名</t>
    <rPh sb="1" eb="2">
      <t>メイ</t>
    </rPh>
    <phoneticPr fontId="3"/>
  </si>
  <si>
    <t>18名</t>
    <rPh sb="2" eb="3">
      <t>メイ</t>
    </rPh>
    <phoneticPr fontId="3"/>
  </si>
  <si>
    <t>合計</t>
  </si>
  <si>
    <t>23名</t>
    <rPh sb="2" eb="3">
      <t>メイ</t>
    </rPh>
    <phoneticPr fontId="4"/>
  </si>
  <si>
    <t>下山田英治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</si>
</sst>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0" fontId="2" fillId="0" borderId="1" xfId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6" fontId="2" fillId="0" borderId="33" xfId="1" applyNumberFormat="1" applyFont="1" applyBorder="1"/>
    <xf numFmtId="3" fontId="2" fillId="0" borderId="31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7" xfId="1" applyNumberFormat="1" applyFont="1" applyBorder="1"/>
    <xf numFmtId="3" fontId="2" fillId="0" borderId="43" xfId="1" applyNumberFormat="1" applyFont="1" applyBorder="1"/>
    <xf numFmtId="176" fontId="2" fillId="0" borderId="41" xfId="1" applyNumberFormat="1" applyFont="1" applyBorder="1"/>
    <xf numFmtId="3" fontId="2" fillId="0" borderId="39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0" xfId="1" applyNumberFormat="1" applyFont="1"/>
    <xf numFmtId="176" fontId="2" fillId="0" borderId="47" xfId="1" applyNumberFormat="1" applyFont="1" applyBorder="1"/>
    <xf numFmtId="3" fontId="2" fillId="0" borderId="45" xfId="1" applyNumberFormat="1" applyFont="1" applyBorder="1"/>
    <xf numFmtId="0" fontId="2" fillId="0" borderId="38" xfId="1" applyFont="1" applyBorder="1"/>
    <xf numFmtId="0" fontId="2" fillId="0" borderId="39" xfId="1" applyFont="1" applyBorder="1" applyAlignment="1">
      <alignment horizontal="right"/>
    </xf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</cellXfs>
  <cellStyles count="2">
    <cellStyle name="標準" xfId="0" builtinId="0"/>
    <cellStyle name="標準 2" xfId="1" xr:uid="{0B723845-BB33-46B5-B92F-3F55B0DF8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7089-92DF-43A3-AE9D-88AB8DF0CD79}">
  <dimension ref="A1:AC28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29" width="10.75" style="2" customWidth="1"/>
    <col min="30" max="253" width="9" style="2"/>
    <col min="254" max="254" width="2.375" style="2" customWidth="1"/>
    <col min="255" max="255" width="13.25" style="2" bestFit="1" customWidth="1"/>
    <col min="256" max="260" width="11.125" style="2" bestFit="1" customWidth="1"/>
    <col min="261" max="261" width="13.25" style="2" bestFit="1" customWidth="1"/>
    <col min="262" max="262" width="11.125" style="2" bestFit="1" customWidth="1"/>
    <col min="263" max="263" width="9" style="2"/>
    <col min="264" max="264" width="11.125" style="2" bestFit="1" customWidth="1"/>
    <col min="265" max="265" width="9" style="2"/>
    <col min="266" max="281" width="11.125" style="2" bestFit="1" customWidth="1"/>
    <col min="282" max="282" width="9" style="2"/>
    <col min="283" max="283" width="7.125" style="2" bestFit="1" customWidth="1"/>
    <col min="284" max="284" width="9.625" style="2" bestFit="1" customWidth="1"/>
    <col min="285" max="509" width="9" style="2"/>
    <col min="510" max="510" width="2.375" style="2" customWidth="1"/>
    <col min="511" max="511" width="13.25" style="2" bestFit="1" customWidth="1"/>
    <col min="512" max="516" width="11.125" style="2" bestFit="1" customWidth="1"/>
    <col min="517" max="517" width="13.25" style="2" bestFit="1" customWidth="1"/>
    <col min="518" max="518" width="11.125" style="2" bestFit="1" customWidth="1"/>
    <col min="519" max="519" width="9" style="2"/>
    <col min="520" max="520" width="11.125" style="2" bestFit="1" customWidth="1"/>
    <col min="521" max="521" width="9" style="2"/>
    <col min="522" max="537" width="11.125" style="2" bestFit="1" customWidth="1"/>
    <col min="538" max="538" width="9" style="2"/>
    <col min="539" max="539" width="7.125" style="2" bestFit="1" customWidth="1"/>
    <col min="540" max="540" width="9.625" style="2" bestFit="1" customWidth="1"/>
    <col min="541" max="765" width="9" style="2"/>
    <col min="766" max="766" width="2.375" style="2" customWidth="1"/>
    <col min="767" max="767" width="13.25" style="2" bestFit="1" customWidth="1"/>
    <col min="768" max="772" width="11.125" style="2" bestFit="1" customWidth="1"/>
    <col min="773" max="773" width="13.25" style="2" bestFit="1" customWidth="1"/>
    <col min="774" max="774" width="11.125" style="2" bestFit="1" customWidth="1"/>
    <col min="775" max="775" width="9" style="2"/>
    <col min="776" max="776" width="11.125" style="2" bestFit="1" customWidth="1"/>
    <col min="777" max="777" width="9" style="2"/>
    <col min="778" max="793" width="11.125" style="2" bestFit="1" customWidth="1"/>
    <col min="794" max="794" width="9" style="2"/>
    <col min="795" max="795" width="7.125" style="2" bestFit="1" customWidth="1"/>
    <col min="796" max="796" width="9.625" style="2" bestFit="1" customWidth="1"/>
    <col min="797" max="1021" width="9" style="2"/>
    <col min="1022" max="1022" width="2.375" style="2" customWidth="1"/>
    <col min="1023" max="1023" width="13.25" style="2" bestFit="1" customWidth="1"/>
    <col min="1024" max="1028" width="11.125" style="2" bestFit="1" customWidth="1"/>
    <col min="1029" max="1029" width="13.25" style="2" bestFit="1" customWidth="1"/>
    <col min="1030" max="1030" width="11.125" style="2" bestFit="1" customWidth="1"/>
    <col min="1031" max="1031" width="9" style="2"/>
    <col min="1032" max="1032" width="11.125" style="2" bestFit="1" customWidth="1"/>
    <col min="1033" max="1033" width="9" style="2"/>
    <col min="1034" max="1049" width="11.125" style="2" bestFit="1" customWidth="1"/>
    <col min="1050" max="1050" width="9" style="2"/>
    <col min="1051" max="1051" width="7.125" style="2" bestFit="1" customWidth="1"/>
    <col min="1052" max="1052" width="9.625" style="2" bestFit="1" customWidth="1"/>
    <col min="1053" max="1277" width="9" style="2"/>
    <col min="1278" max="1278" width="2.375" style="2" customWidth="1"/>
    <col min="1279" max="1279" width="13.25" style="2" bestFit="1" customWidth="1"/>
    <col min="1280" max="1284" width="11.125" style="2" bestFit="1" customWidth="1"/>
    <col min="1285" max="1285" width="13.25" style="2" bestFit="1" customWidth="1"/>
    <col min="1286" max="1286" width="11.125" style="2" bestFit="1" customWidth="1"/>
    <col min="1287" max="1287" width="9" style="2"/>
    <col min="1288" max="1288" width="11.125" style="2" bestFit="1" customWidth="1"/>
    <col min="1289" max="1289" width="9" style="2"/>
    <col min="1290" max="1305" width="11.125" style="2" bestFit="1" customWidth="1"/>
    <col min="1306" max="1306" width="9" style="2"/>
    <col min="1307" max="1307" width="7.125" style="2" bestFit="1" customWidth="1"/>
    <col min="1308" max="1308" width="9.625" style="2" bestFit="1" customWidth="1"/>
    <col min="1309" max="1533" width="9" style="2"/>
    <col min="1534" max="1534" width="2.375" style="2" customWidth="1"/>
    <col min="1535" max="1535" width="13.25" style="2" bestFit="1" customWidth="1"/>
    <col min="1536" max="1540" width="11.125" style="2" bestFit="1" customWidth="1"/>
    <col min="1541" max="1541" width="13.25" style="2" bestFit="1" customWidth="1"/>
    <col min="1542" max="1542" width="11.125" style="2" bestFit="1" customWidth="1"/>
    <col min="1543" max="1543" width="9" style="2"/>
    <col min="1544" max="1544" width="11.125" style="2" bestFit="1" customWidth="1"/>
    <col min="1545" max="1545" width="9" style="2"/>
    <col min="1546" max="1561" width="11.125" style="2" bestFit="1" customWidth="1"/>
    <col min="1562" max="1562" width="9" style="2"/>
    <col min="1563" max="1563" width="7.125" style="2" bestFit="1" customWidth="1"/>
    <col min="1564" max="1564" width="9.625" style="2" bestFit="1" customWidth="1"/>
    <col min="1565" max="1789" width="9" style="2"/>
    <col min="1790" max="1790" width="2.375" style="2" customWidth="1"/>
    <col min="1791" max="1791" width="13.25" style="2" bestFit="1" customWidth="1"/>
    <col min="1792" max="1796" width="11.125" style="2" bestFit="1" customWidth="1"/>
    <col min="1797" max="1797" width="13.25" style="2" bestFit="1" customWidth="1"/>
    <col min="1798" max="1798" width="11.125" style="2" bestFit="1" customWidth="1"/>
    <col min="1799" max="1799" width="9" style="2"/>
    <col min="1800" max="1800" width="11.125" style="2" bestFit="1" customWidth="1"/>
    <col min="1801" max="1801" width="9" style="2"/>
    <col min="1802" max="1817" width="11.125" style="2" bestFit="1" customWidth="1"/>
    <col min="1818" max="1818" width="9" style="2"/>
    <col min="1819" max="1819" width="7.125" style="2" bestFit="1" customWidth="1"/>
    <col min="1820" max="1820" width="9.625" style="2" bestFit="1" customWidth="1"/>
    <col min="1821" max="2045" width="9" style="2"/>
    <col min="2046" max="2046" width="2.375" style="2" customWidth="1"/>
    <col min="2047" max="2047" width="13.25" style="2" bestFit="1" customWidth="1"/>
    <col min="2048" max="2052" width="11.125" style="2" bestFit="1" customWidth="1"/>
    <col min="2053" max="2053" width="13.25" style="2" bestFit="1" customWidth="1"/>
    <col min="2054" max="2054" width="11.125" style="2" bestFit="1" customWidth="1"/>
    <col min="2055" max="2055" width="9" style="2"/>
    <col min="2056" max="2056" width="11.125" style="2" bestFit="1" customWidth="1"/>
    <col min="2057" max="2057" width="9" style="2"/>
    <col min="2058" max="2073" width="11.125" style="2" bestFit="1" customWidth="1"/>
    <col min="2074" max="2074" width="9" style="2"/>
    <col min="2075" max="2075" width="7.125" style="2" bestFit="1" customWidth="1"/>
    <col min="2076" max="2076" width="9.625" style="2" bestFit="1" customWidth="1"/>
    <col min="2077" max="2301" width="9" style="2"/>
    <col min="2302" max="2302" width="2.375" style="2" customWidth="1"/>
    <col min="2303" max="2303" width="13.25" style="2" bestFit="1" customWidth="1"/>
    <col min="2304" max="2308" width="11.125" style="2" bestFit="1" customWidth="1"/>
    <col min="2309" max="2309" width="13.25" style="2" bestFit="1" customWidth="1"/>
    <col min="2310" max="2310" width="11.125" style="2" bestFit="1" customWidth="1"/>
    <col min="2311" max="2311" width="9" style="2"/>
    <col min="2312" max="2312" width="11.125" style="2" bestFit="1" customWidth="1"/>
    <col min="2313" max="2313" width="9" style="2"/>
    <col min="2314" max="2329" width="11.125" style="2" bestFit="1" customWidth="1"/>
    <col min="2330" max="2330" width="9" style="2"/>
    <col min="2331" max="2331" width="7.125" style="2" bestFit="1" customWidth="1"/>
    <col min="2332" max="2332" width="9.625" style="2" bestFit="1" customWidth="1"/>
    <col min="2333" max="2557" width="9" style="2"/>
    <col min="2558" max="2558" width="2.375" style="2" customWidth="1"/>
    <col min="2559" max="2559" width="13.25" style="2" bestFit="1" customWidth="1"/>
    <col min="2560" max="2564" width="11.125" style="2" bestFit="1" customWidth="1"/>
    <col min="2565" max="2565" width="13.25" style="2" bestFit="1" customWidth="1"/>
    <col min="2566" max="2566" width="11.125" style="2" bestFit="1" customWidth="1"/>
    <col min="2567" max="2567" width="9" style="2"/>
    <col min="2568" max="2568" width="11.125" style="2" bestFit="1" customWidth="1"/>
    <col min="2569" max="2569" width="9" style="2"/>
    <col min="2570" max="2585" width="11.125" style="2" bestFit="1" customWidth="1"/>
    <col min="2586" max="2586" width="9" style="2"/>
    <col min="2587" max="2587" width="7.125" style="2" bestFit="1" customWidth="1"/>
    <col min="2588" max="2588" width="9.625" style="2" bestFit="1" customWidth="1"/>
    <col min="2589" max="2813" width="9" style="2"/>
    <col min="2814" max="2814" width="2.375" style="2" customWidth="1"/>
    <col min="2815" max="2815" width="13.25" style="2" bestFit="1" customWidth="1"/>
    <col min="2816" max="2820" width="11.125" style="2" bestFit="1" customWidth="1"/>
    <col min="2821" max="2821" width="13.25" style="2" bestFit="1" customWidth="1"/>
    <col min="2822" max="2822" width="11.125" style="2" bestFit="1" customWidth="1"/>
    <col min="2823" max="2823" width="9" style="2"/>
    <col min="2824" max="2824" width="11.125" style="2" bestFit="1" customWidth="1"/>
    <col min="2825" max="2825" width="9" style="2"/>
    <col min="2826" max="2841" width="11.125" style="2" bestFit="1" customWidth="1"/>
    <col min="2842" max="2842" width="9" style="2"/>
    <col min="2843" max="2843" width="7.125" style="2" bestFit="1" customWidth="1"/>
    <col min="2844" max="2844" width="9.625" style="2" bestFit="1" customWidth="1"/>
    <col min="2845" max="3069" width="9" style="2"/>
    <col min="3070" max="3070" width="2.375" style="2" customWidth="1"/>
    <col min="3071" max="3071" width="13.25" style="2" bestFit="1" customWidth="1"/>
    <col min="3072" max="3076" width="11.125" style="2" bestFit="1" customWidth="1"/>
    <col min="3077" max="3077" width="13.25" style="2" bestFit="1" customWidth="1"/>
    <col min="3078" max="3078" width="11.125" style="2" bestFit="1" customWidth="1"/>
    <col min="3079" max="3079" width="9" style="2"/>
    <col min="3080" max="3080" width="11.125" style="2" bestFit="1" customWidth="1"/>
    <col min="3081" max="3081" width="9" style="2"/>
    <col min="3082" max="3097" width="11.125" style="2" bestFit="1" customWidth="1"/>
    <col min="3098" max="3098" width="9" style="2"/>
    <col min="3099" max="3099" width="7.125" style="2" bestFit="1" customWidth="1"/>
    <col min="3100" max="3100" width="9.625" style="2" bestFit="1" customWidth="1"/>
    <col min="3101" max="3325" width="9" style="2"/>
    <col min="3326" max="3326" width="2.375" style="2" customWidth="1"/>
    <col min="3327" max="3327" width="13.25" style="2" bestFit="1" customWidth="1"/>
    <col min="3328" max="3332" width="11.125" style="2" bestFit="1" customWidth="1"/>
    <col min="3333" max="3333" width="13.25" style="2" bestFit="1" customWidth="1"/>
    <col min="3334" max="3334" width="11.125" style="2" bestFit="1" customWidth="1"/>
    <col min="3335" max="3335" width="9" style="2"/>
    <col min="3336" max="3336" width="11.125" style="2" bestFit="1" customWidth="1"/>
    <col min="3337" max="3337" width="9" style="2"/>
    <col min="3338" max="3353" width="11.125" style="2" bestFit="1" customWidth="1"/>
    <col min="3354" max="3354" width="9" style="2"/>
    <col min="3355" max="3355" width="7.125" style="2" bestFit="1" customWidth="1"/>
    <col min="3356" max="3356" width="9.625" style="2" bestFit="1" customWidth="1"/>
    <col min="3357" max="3581" width="9" style="2"/>
    <col min="3582" max="3582" width="2.375" style="2" customWidth="1"/>
    <col min="3583" max="3583" width="13.25" style="2" bestFit="1" customWidth="1"/>
    <col min="3584" max="3588" width="11.125" style="2" bestFit="1" customWidth="1"/>
    <col min="3589" max="3589" width="13.25" style="2" bestFit="1" customWidth="1"/>
    <col min="3590" max="3590" width="11.125" style="2" bestFit="1" customWidth="1"/>
    <col min="3591" max="3591" width="9" style="2"/>
    <col min="3592" max="3592" width="11.125" style="2" bestFit="1" customWidth="1"/>
    <col min="3593" max="3593" width="9" style="2"/>
    <col min="3594" max="3609" width="11.125" style="2" bestFit="1" customWidth="1"/>
    <col min="3610" max="3610" width="9" style="2"/>
    <col min="3611" max="3611" width="7.125" style="2" bestFit="1" customWidth="1"/>
    <col min="3612" max="3612" width="9.625" style="2" bestFit="1" customWidth="1"/>
    <col min="3613" max="3837" width="9" style="2"/>
    <col min="3838" max="3838" width="2.375" style="2" customWidth="1"/>
    <col min="3839" max="3839" width="13.25" style="2" bestFit="1" customWidth="1"/>
    <col min="3840" max="3844" width="11.125" style="2" bestFit="1" customWidth="1"/>
    <col min="3845" max="3845" width="13.25" style="2" bestFit="1" customWidth="1"/>
    <col min="3846" max="3846" width="11.125" style="2" bestFit="1" customWidth="1"/>
    <col min="3847" max="3847" width="9" style="2"/>
    <col min="3848" max="3848" width="11.125" style="2" bestFit="1" customWidth="1"/>
    <col min="3849" max="3849" width="9" style="2"/>
    <col min="3850" max="3865" width="11.125" style="2" bestFit="1" customWidth="1"/>
    <col min="3866" max="3866" width="9" style="2"/>
    <col min="3867" max="3867" width="7.125" style="2" bestFit="1" customWidth="1"/>
    <col min="3868" max="3868" width="9.625" style="2" bestFit="1" customWidth="1"/>
    <col min="3869" max="4093" width="9" style="2"/>
    <col min="4094" max="4094" width="2.375" style="2" customWidth="1"/>
    <col min="4095" max="4095" width="13.25" style="2" bestFit="1" customWidth="1"/>
    <col min="4096" max="4100" width="11.125" style="2" bestFit="1" customWidth="1"/>
    <col min="4101" max="4101" width="13.25" style="2" bestFit="1" customWidth="1"/>
    <col min="4102" max="4102" width="11.125" style="2" bestFit="1" customWidth="1"/>
    <col min="4103" max="4103" width="9" style="2"/>
    <col min="4104" max="4104" width="11.125" style="2" bestFit="1" customWidth="1"/>
    <col min="4105" max="4105" width="9" style="2"/>
    <col min="4106" max="4121" width="11.125" style="2" bestFit="1" customWidth="1"/>
    <col min="4122" max="4122" width="9" style="2"/>
    <col min="4123" max="4123" width="7.125" style="2" bestFit="1" customWidth="1"/>
    <col min="4124" max="4124" width="9.625" style="2" bestFit="1" customWidth="1"/>
    <col min="4125" max="4349" width="9" style="2"/>
    <col min="4350" max="4350" width="2.375" style="2" customWidth="1"/>
    <col min="4351" max="4351" width="13.25" style="2" bestFit="1" customWidth="1"/>
    <col min="4352" max="4356" width="11.125" style="2" bestFit="1" customWidth="1"/>
    <col min="4357" max="4357" width="13.25" style="2" bestFit="1" customWidth="1"/>
    <col min="4358" max="4358" width="11.125" style="2" bestFit="1" customWidth="1"/>
    <col min="4359" max="4359" width="9" style="2"/>
    <col min="4360" max="4360" width="11.125" style="2" bestFit="1" customWidth="1"/>
    <col min="4361" max="4361" width="9" style="2"/>
    <col min="4362" max="4377" width="11.125" style="2" bestFit="1" customWidth="1"/>
    <col min="4378" max="4378" width="9" style="2"/>
    <col min="4379" max="4379" width="7.125" style="2" bestFit="1" customWidth="1"/>
    <col min="4380" max="4380" width="9.625" style="2" bestFit="1" customWidth="1"/>
    <col min="4381" max="4605" width="9" style="2"/>
    <col min="4606" max="4606" width="2.375" style="2" customWidth="1"/>
    <col min="4607" max="4607" width="13.25" style="2" bestFit="1" customWidth="1"/>
    <col min="4608" max="4612" width="11.125" style="2" bestFit="1" customWidth="1"/>
    <col min="4613" max="4613" width="13.25" style="2" bestFit="1" customWidth="1"/>
    <col min="4614" max="4614" width="11.125" style="2" bestFit="1" customWidth="1"/>
    <col min="4615" max="4615" width="9" style="2"/>
    <col min="4616" max="4616" width="11.125" style="2" bestFit="1" customWidth="1"/>
    <col min="4617" max="4617" width="9" style="2"/>
    <col min="4618" max="4633" width="11.125" style="2" bestFit="1" customWidth="1"/>
    <col min="4634" max="4634" width="9" style="2"/>
    <col min="4635" max="4635" width="7.125" style="2" bestFit="1" customWidth="1"/>
    <col min="4636" max="4636" width="9.625" style="2" bestFit="1" customWidth="1"/>
    <col min="4637" max="4861" width="9" style="2"/>
    <col min="4862" max="4862" width="2.375" style="2" customWidth="1"/>
    <col min="4863" max="4863" width="13.25" style="2" bestFit="1" customWidth="1"/>
    <col min="4864" max="4868" width="11.125" style="2" bestFit="1" customWidth="1"/>
    <col min="4869" max="4869" width="13.25" style="2" bestFit="1" customWidth="1"/>
    <col min="4870" max="4870" width="11.125" style="2" bestFit="1" customWidth="1"/>
    <col min="4871" max="4871" width="9" style="2"/>
    <col min="4872" max="4872" width="11.125" style="2" bestFit="1" customWidth="1"/>
    <col min="4873" max="4873" width="9" style="2"/>
    <col min="4874" max="4889" width="11.125" style="2" bestFit="1" customWidth="1"/>
    <col min="4890" max="4890" width="9" style="2"/>
    <col min="4891" max="4891" width="7.125" style="2" bestFit="1" customWidth="1"/>
    <col min="4892" max="4892" width="9.625" style="2" bestFit="1" customWidth="1"/>
    <col min="4893" max="5117" width="9" style="2"/>
    <col min="5118" max="5118" width="2.375" style="2" customWidth="1"/>
    <col min="5119" max="5119" width="13.25" style="2" bestFit="1" customWidth="1"/>
    <col min="5120" max="5124" width="11.125" style="2" bestFit="1" customWidth="1"/>
    <col min="5125" max="5125" width="13.25" style="2" bestFit="1" customWidth="1"/>
    <col min="5126" max="5126" width="11.125" style="2" bestFit="1" customWidth="1"/>
    <col min="5127" max="5127" width="9" style="2"/>
    <col min="5128" max="5128" width="11.125" style="2" bestFit="1" customWidth="1"/>
    <col min="5129" max="5129" width="9" style="2"/>
    <col min="5130" max="5145" width="11.125" style="2" bestFit="1" customWidth="1"/>
    <col min="5146" max="5146" width="9" style="2"/>
    <col min="5147" max="5147" width="7.125" style="2" bestFit="1" customWidth="1"/>
    <col min="5148" max="5148" width="9.625" style="2" bestFit="1" customWidth="1"/>
    <col min="5149" max="5373" width="9" style="2"/>
    <col min="5374" max="5374" width="2.375" style="2" customWidth="1"/>
    <col min="5375" max="5375" width="13.25" style="2" bestFit="1" customWidth="1"/>
    <col min="5376" max="5380" width="11.125" style="2" bestFit="1" customWidth="1"/>
    <col min="5381" max="5381" width="13.25" style="2" bestFit="1" customWidth="1"/>
    <col min="5382" max="5382" width="11.125" style="2" bestFit="1" customWidth="1"/>
    <col min="5383" max="5383" width="9" style="2"/>
    <col min="5384" max="5384" width="11.125" style="2" bestFit="1" customWidth="1"/>
    <col min="5385" max="5385" width="9" style="2"/>
    <col min="5386" max="5401" width="11.125" style="2" bestFit="1" customWidth="1"/>
    <col min="5402" max="5402" width="9" style="2"/>
    <col min="5403" max="5403" width="7.125" style="2" bestFit="1" customWidth="1"/>
    <col min="5404" max="5404" width="9.625" style="2" bestFit="1" customWidth="1"/>
    <col min="5405" max="5629" width="9" style="2"/>
    <col min="5630" max="5630" width="2.375" style="2" customWidth="1"/>
    <col min="5631" max="5631" width="13.25" style="2" bestFit="1" customWidth="1"/>
    <col min="5632" max="5636" width="11.125" style="2" bestFit="1" customWidth="1"/>
    <col min="5637" max="5637" width="13.25" style="2" bestFit="1" customWidth="1"/>
    <col min="5638" max="5638" width="11.125" style="2" bestFit="1" customWidth="1"/>
    <col min="5639" max="5639" width="9" style="2"/>
    <col min="5640" max="5640" width="11.125" style="2" bestFit="1" customWidth="1"/>
    <col min="5641" max="5641" width="9" style="2"/>
    <col min="5642" max="5657" width="11.125" style="2" bestFit="1" customWidth="1"/>
    <col min="5658" max="5658" width="9" style="2"/>
    <col min="5659" max="5659" width="7.125" style="2" bestFit="1" customWidth="1"/>
    <col min="5660" max="5660" width="9.625" style="2" bestFit="1" customWidth="1"/>
    <col min="5661" max="5885" width="9" style="2"/>
    <col min="5886" max="5886" width="2.375" style="2" customWidth="1"/>
    <col min="5887" max="5887" width="13.25" style="2" bestFit="1" customWidth="1"/>
    <col min="5888" max="5892" width="11.125" style="2" bestFit="1" customWidth="1"/>
    <col min="5893" max="5893" width="13.25" style="2" bestFit="1" customWidth="1"/>
    <col min="5894" max="5894" width="11.125" style="2" bestFit="1" customWidth="1"/>
    <col min="5895" max="5895" width="9" style="2"/>
    <col min="5896" max="5896" width="11.125" style="2" bestFit="1" customWidth="1"/>
    <col min="5897" max="5897" width="9" style="2"/>
    <col min="5898" max="5913" width="11.125" style="2" bestFit="1" customWidth="1"/>
    <col min="5914" max="5914" width="9" style="2"/>
    <col min="5915" max="5915" width="7.125" style="2" bestFit="1" customWidth="1"/>
    <col min="5916" max="5916" width="9.625" style="2" bestFit="1" customWidth="1"/>
    <col min="5917" max="6141" width="9" style="2"/>
    <col min="6142" max="6142" width="2.375" style="2" customWidth="1"/>
    <col min="6143" max="6143" width="13.25" style="2" bestFit="1" customWidth="1"/>
    <col min="6144" max="6148" width="11.125" style="2" bestFit="1" customWidth="1"/>
    <col min="6149" max="6149" width="13.25" style="2" bestFit="1" customWidth="1"/>
    <col min="6150" max="6150" width="11.125" style="2" bestFit="1" customWidth="1"/>
    <col min="6151" max="6151" width="9" style="2"/>
    <col min="6152" max="6152" width="11.125" style="2" bestFit="1" customWidth="1"/>
    <col min="6153" max="6153" width="9" style="2"/>
    <col min="6154" max="6169" width="11.125" style="2" bestFit="1" customWidth="1"/>
    <col min="6170" max="6170" width="9" style="2"/>
    <col min="6171" max="6171" width="7.125" style="2" bestFit="1" customWidth="1"/>
    <col min="6172" max="6172" width="9.625" style="2" bestFit="1" customWidth="1"/>
    <col min="6173" max="6397" width="9" style="2"/>
    <col min="6398" max="6398" width="2.375" style="2" customWidth="1"/>
    <col min="6399" max="6399" width="13.25" style="2" bestFit="1" customWidth="1"/>
    <col min="6400" max="6404" width="11.125" style="2" bestFit="1" customWidth="1"/>
    <col min="6405" max="6405" width="13.25" style="2" bestFit="1" customWidth="1"/>
    <col min="6406" max="6406" width="11.125" style="2" bestFit="1" customWidth="1"/>
    <col min="6407" max="6407" width="9" style="2"/>
    <col min="6408" max="6408" width="11.125" style="2" bestFit="1" customWidth="1"/>
    <col min="6409" max="6409" width="9" style="2"/>
    <col min="6410" max="6425" width="11.125" style="2" bestFit="1" customWidth="1"/>
    <col min="6426" max="6426" width="9" style="2"/>
    <col min="6427" max="6427" width="7.125" style="2" bestFit="1" customWidth="1"/>
    <col min="6428" max="6428" width="9.625" style="2" bestFit="1" customWidth="1"/>
    <col min="6429" max="6653" width="9" style="2"/>
    <col min="6654" max="6654" width="2.375" style="2" customWidth="1"/>
    <col min="6655" max="6655" width="13.25" style="2" bestFit="1" customWidth="1"/>
    <col min="6656" max="6660" width="11.125" style="2" bestFit="1" customWidth="1"/>
    <col min="6661" max="6661" width="13.25" style="2" bestFit="1" customWidth="1"/>
    <col min="6662" max="6662" width="11.125" style="2" bestFit="1" customWidth="1"/>
    <col min="6663" max="6663" width="9" style="2"/>
    <col min="6664" max="6664" width="11.125" style="2" bestFit="1" customWidth="1"/>
    <col min="6665" max="6665" width="9" style="2"/>
    <col min="6666" max="6681" width="11.125" style="2" bestFit="1" customWidth="1"/>
    <col min="6682" max="6682" width="9" style="2"/>
    <col min="6683" max="6683" width="7.125" style="2" bestFit="1" customWidth="1"/>
    <col min="6684" max="6684" width="9.625" style="2" bestFit="1" customWidth="1"/>
    <col min="6685" max="6909" width="9" style="2"/>
    <col min="6910" max="6910" width="2.375" style="2" customWidth="1"/>
    <col min="6911" max="6911" width="13.25" style="2" bestFit="1" customWidth="1"/>
    <col min="6912" max="6916" width="11.125" style="2" bestFit="1" customWidth="1"/>
    <col min="6917" max="6917" width="13.25" style="2" bestFit="1" customWidth="1"/>
    <col min="6918" max="6918" width="11.125" style="2" bestFit="1" customWidth="1"/>
    <col min="6919" max="6919" width="9" style="2"/>
    <col min="6920" max="6920" width="11.125" style="2" bestFit="1" customWidth="1"/>
    <col min="6921" max="6921" width="9" style="2"/>
    <col min="6922" max="6937" width="11.125" style="2" bestFit="1" customWidth="1"/>
    <col min="6938" max="6938" width="9" style="2"/>
    <col min="6939" max="6939" width="7.125" style="2" bestFit="1" customWidth="1"/>
    <col min="6940" max="6940" width="9.625" style="2" bestFit="1" customWidth="1"/>
    <col min="6941" max="7165" width="9" style="2"/>
    <col min="7166" max="7166" width="2.375" style="2" customWidth="1"/>
    <col min="7167" max="7167" width="13.25" style="2" bestFit="1" customWidth="1"/>
    <col min="7168" max="7172" width="11.125" style="2" bestFit="1" customWidth="1"/>
    <col min="7173" max="7173" width="13.25" style="2" bestFit="1" customWidth="1"/>
    <col min="7174" max="7174" width="11.125" style="2" bestFit="1" customWidth="1"/>
    <col min="7175" max="7175" width="9" style="2"/>
    <col min="7176" max="7176" width="11.125" style="2" bestFit="1" customWidth="1"/>
    <col min="7177" max="7177" width="9" style="2"/>
    <col min="7178" max="7193" width="11.125" style="2" bestFit="1" customWidth="1"/>
    <col min="7194" max="7194" width="9" style="2"/>
    <col min="7195" max="7195" width="7.125" style="2" bestFit="1" customWidth="1"/>
    <col min="7196" max="7196" width="9.625" style="2" bestFit="1" customWidth="1"/>
    <col min="7197" max="7421" width="9" style="2"/>
    <col min="7422" max="7422" width="2.375" style="2" customWidth="1"/>
    <col min="7423" max="7423" width="13.25" style="2" bestFit="1" customWidth="1"/>
    <col min="7424" max="7428" width="11.125" style="2" bestFit="1" customWidth="1"/>
    <col min="7429" max="7429" width="13.25" style="2" bestFit="1" customWidth="1"/>
    <col min="7430" max="7430" width="11.125" style="2" bestFit="1" customWidth="1"/>
    <col min="7431" max="7431" width="9" style="2"/>
    <col min="7432" max="7432" width="11.125" style="2" bestFit="1" customWidth="1"/>
    <col min="7433" max="7433" width="9" style="2"/>
    <col min="7434" max="7449" width="11.125" style="2" bestFit="1" customWidth="1"/>
    <col min="7450" max="7450" width="9" style="2"/>
    <col min="7451" max="7451" width="7.125" style="2" bestFit="1" customWidth="1"/>
    <col min="7452" max="7452" width="9.625" style="2" bestFit="1" customWidth="1"/>
    <col min="7453" max="7677" width="9" style="2"/>
    <col min="7678" max="7678" width="2.375" style="2" customWidth="1"/>
    <col min="7679" max="7679" width="13.25" style="2" bestFit="1" customWidth="1"/>
    <col min="7680" max="7684" width="11.125" style="2" bestFit="1" customWidth="1"/>
    <col min="7685" max="7685" width="13.25" style="2" bestFit="1" customWidth="1"/>
    <col min="7686" max="7686" width="11.125" style="2" bestFit="1" customWidth="1"/>
    <col min="7687" max="7687" width="9" style="2"/>
    <col min="7688" max="7688" width="11.125" style="2" bestFit="1" customWidth="1"/>
    <col min="7689" max="7689" width="9" style="2"/>
    <col min="7690" max="7705" width="11.125" style="2" bestFit="1" customWidth="1"/>
    <col min="7706" max="7706" width="9" style="2"/>
    <col min="7707" max="7707" width="7.125" style="2" bestFit="1" customWidth="1"/>
    <col min="7708" max="7708" width="9.625" style="2" bestFit="1" customWidth="1"/>
    <col min="7709" max="7933" width="9" style="2"/>
    <col min="7934" max="7934" width="2.375" style="2" customWidth="1"/>
    <col min="7935" max="7935" width="13.25" style="2" bestFit="1" customWidth="1"/>
    <col min="7936" max="7940" width="11.125" style="2" bestFit="1" customWidth="1"/>
    <col min="7941" max="7941" width="13.25" style="2" bestFit="1" customWidth="1"/>
    <col min="7942" max="7942" width="11.125" style="2" bestFit="1" customWidth="1"/>
    <col min="7943" max="7943" width="9" style="2"/>
    <col min="7944" max="7944" width="11.125" style="2" bestFit="1" customWidth="1"/>
    <col min="7945" max="7945" width="9" style="2"/>
    <col min="7946" max="7961" width="11.125" style="2" bestFit="1" customWidth="1"/>
    <col min="7962" max="7962" width="9" style="2"/>
    <col min="7963" max="7963" width="7.125" style="2" bestFit="1" customWidth="1"/>
    <col min="7964" max="7964" width="9.625" style="2" bestFit="1" customWidth="1"/>
    <col min="7965" max="8189" width="9" style="2"/>
    <col min="8190" max="8190" width="2.375" style="2" customWidth="1"/>
    <col min="8191" max="8191" width="13.25" style="2" bestFit="1" customWidth="1"/>
    <col min="8192" max="8196" width="11.125" style="2" bestFit="1" customWidth="1"/>
    <col min="8197" max="8197" width="13.25" style="2" bestFit="1" customWidth="1"/>
    <col min="8198" max="8198" width="11.125" style="2" bestFit="1" customWidth="1"/>
    <col min="8199" max="8199" width="9" style="2"/>
    <col min="8200" max="8200" width="11.125" style="2" bestFit="1" customWidth="1"/>
    <col min="8201" max="8201" width="9" style="2"/>
    <col min="8202" max="8217" width="11.125" style="2" bestFit="1" customWidth="1"/>
    <col min="8218" max="8218" width="9" style="2"/>
    <col min="8219" max="8219" width="7.125" style="2" bestFit="1" customWidth="1"/>
    <col min="8220" max="8220" width="9.625" style="2" bestFit="1" customWidth="1"/>
    <col min="8221" max="8445" width="9" style="2"/>
    <col min="8446" max="8446" width="2.375" style="2" customWidth="1"/>
    <col min="8447" max="8447" width="13.25" style="2" bestFit="1" customWidth="1"/>
    <col min="8448" max="8452" width="11.125" style="2" bestFit="1" customWidth="1"/>
    <col min="8453" max="8453" width="13.25" style="2" bestFit="1" customWidth="1"/>
    <col min="8454" max="8454" width="11.125" style="2" bestFit="1" customWidth="1"/>
    <col min="8455" max="8455" width="9" style="2"/>
    <col min="8456" max="8456" width="11.125" style="2" bestFit="1" customWidth="1"/>
    <col min="8457" max="8457" width="9" style="2"/>
    <col min="8458" max="8473" width="11.125" style="2" bestFit="1" customWidth="1"/>
    <col min="8474" max="8474" width="9" style="2"/>
    <col min="8475" max="8475" width="7.125" style="2" bestFit="1" customWidth="1"/>
    <col min="8476" max="8476" width="9.625" style="2" bestFit="1" customWidth="1"/>
    <col min="8477" max="8701" width="9" style="2"/>
    <col min="8702" max="8702" width="2.375" style="2" customWidth="1"/>
    <col min="8703" max="8703" width="13.25" style="2" bestFit="1" customWidth="1"/>
    <col min="8704" max="8708" width="11.125" style="2" bestFit="1" customWidth="1"/>
    <col min="8709" max="8709" width="13.25" style="2" bestFit="1" customWidth="1"/>
    <col min="8710" max="8710" width="11.125" style="2" bestFit="1" customWidth="1"/>
    <col min="8711" max="8711" width="9" style="2"/>
    <col min="8712" max="8712" width="11.125" style="2" bestFit="1" customWidth="1"/>
    <col min="8713" max="8713" width="9" style="2"/>
    <col min="8714" max="8729" width="11.125" style="2" bestFit="1" customWidth="1"/>
    <col min="8730" max="8730" width="9" style="2"/>
    <col min="8731" max="8731" width="7.125" style="2" bestFit="1" customWidth="1"/>
    <col min="8732" max="8732" width="9.625" style="2" bestFit="1" customWidth="1"/>
    <col min="8733" max="8957" width="9" style="2"/>
    <col min="8958" max="8958" width="2.375" style="2" customWidth="1"/>
    <col min="8959" max="8959" width="13.25" style="2" bestFit="1" customWidth="1"/>
    <col min="8960" max="8964" width="11.125" style="2" bestFit="1" customWidth="1"/>
    <col min="8965" max="8965" width="13.25" style="2" bestFit="1" customWidth="1"/>
    <col min="8966" max="8966" width="11.125" style="2" bestFit="1" customWidth="1"/>
    <col min="8967" max="8967" width="9" style="2"/>
    <col min="8968" max="8968" width="11.125" style="2" bestFit="1" customWidth="1"/>
    <col min="8969" max="8969" width="9" style="2"/>
    <col min="8970" max="8985" width="11.125" style="2" bestFit="1" customWidth="1"/>
    <col min="8986" max="8986" width="9" style="2"/>
    <col min="8987" max="8987" width="7.125" style="2" bestFit="1" customWidth="1"/>
    <col min="8988" max="8988" width="9.625" style="2" bestFit="1" customWidth="1"/>
    <col min="8989" max="9213" width="9" style="2"/>
    <col min="9214" max="9214" width="2.375" style="2" customWidth="1"/>
    <col min="9215" max="9215" width="13.25" style="2" bestFit="1" customWidth="1"/>
    <col min="9216" max="9220" width="11.125" style="2" bestFit="1" customWidth="1"/>
    <col min="9221" max="9221" width="13.25" style="2" bestFit="1" customWidth="1"/>
    <col min="9222" max="9222" width="11.125" style="2" bestFit="1" customWidth="1"/>
    <col min="9223" max="9223" width="9" style="2"/>
    <col min="9224" max="9224" width="11.125" style="2" bestFit="1" customWidth="1"/>
    <col min="9225" max="9225" width="9" style="2"/>
    <col min="9226" max="9241" width="11.125" style="2" bestFit="1" customWidth="1"/>
    <col min="9242" max="9242" width="9" style="2"/>
    <col min="9243" max="9243" width="7.125" style="2" bestFit="1" customWidth="1"/>
    <col min="9244" max="9244" width="9.625" style="2" bestFit="1" customWidth="1"/>
    <col min="9245" max="9469" width="9" style="2"/>
    <col min="9470" max="9470" width="2.375" style="2" customWidth="1"/>
    <col min="9471" max="9471" width="13.25" style="2" bestFit="1" customWidth="1"/>
    <col min="9472" max="9476" width="11.125" style="2" bestFit="1" customWidth="1"/>
    <col min="9477" max="9477" width="13.25" style="2" bestFit="1" customWidth="1"/>
    <col min="9478" max="9478" width="11.125" style="2" bestFit="1" customWidth="1"/>
    <col min="9479" max="9479" width="9" style="2"/>
    <col min="9480" max="9480" width="11.125" style="2" bestFit="1" customWidth="1"/>
    <col min="9481" max="9481" width="9" style="2"/>
    <col min="9482" max="9497" width="11.125" style="2" bestFit="1" customWidth="1"/>
    <col min="9498" max="9498" width="9" style="2"/>
    <col min="9499" max="9499" width="7.125" style="2" bestFit="1" customWidth="1"/>
    <col min="9500" max="9500" width="9.625" style="2" bestFit="1" customWidth="1"/>
    <col min="9501" max="9725" width="9" style="2"/>
    <col min="9726" max="9726" width="2.375" style="2" customWidth="1"/>
    <col min="9727" max="9727" width="13.25" style="2" bestFit="1" customWidth="1"/>
    <col min="9728" max="9732" width="11.125" style="2" bestFit="1" customWidth="1"/>
    <col min="9733" max="9733" width="13.25" style="2" bestFit="1" customWidth="1"/>
    <col min="9734" max="9734" width="11.125" style="2" bestFit="1" customWidth="1"/>
    <col min="9735" max="9735" width="9" style="2"/>
    <col min="9736" max="9736" width="11.125" style="2" bestFit="1" customWidth="1"/>
    <col min="9737" max="9737" width="9" style="2"/>
    <col min="9738" max="9753" width="11.125" style="2" bestFit="1" customWidth="1"/>
    <col min="9754" max="9754" width="9" style="2"/>
    <col min="9755" max="9755" width="7.125" style="2" bestFit="1" customWidth="1"/>
    <col min="9756" max="9756" width="9.625" style="2" bestFit="1" customWidth="1"/>
    <col min="9757" max="9981" width="9" style="2"/>
    <col min="9982" max="9982" width="2.375" style="2" customWidth="1"/>
    <col min="9983" max="9983" width="13.25" style="2" bestFit="1" customWidth="1"/>
    <col min="9984" max="9988" width="11.125" style="2" bestFit="1" customWidth="1"/>
    <col min="9989" max="9989" width="13.25" style="2" bestFit="1" customWidth="1"/>
    <col min="9990" max="9990" width="11.125" style="2" bestFit="1" customWidth="1"/>
    <col min="9991" max="9991" width="9" style="2"/>
    <col min="9992" max="9992" width="11.125" style="2" bestFit="1" customWidth="1"/>
    <col min="9993" max="9993" width="9" style="2"/>
    <col min="9994" max="10009" width="11.125" style="2" bestFit="1" customWidth="1"/>
    <col min="10010" max="10010" width="9" style="2"/>
    <col min="10011" max="10011" width="7.125" style="2" bestFit="1" customWidth="1"/>
    <col min="10012" max="10012" width="9.625" style="2" bestFit="1" customWidth="1"/>
    <col min="10013" max="10237" width="9" style="2"/>
    <col min="10238" max="10238" width="2.375" style="2" customWidth="1"/>
    <col min="10239" max="10239" width="13.25" style="2" bestFit="1" customWidth="1"/>
    <col min="10240" max="10244" width="11.125" style="2" bestFit="1" customWidth="1"/>
    <col min="10245" max="10245" width="13.25" style="2" bestFit="1" customWidth="1"/>
    <col min="10246" max="10246" width="11.125" style="2" bestFit="1" customWidth="1"/>
    <col min="10247" max="10247" width="9" style="2"/>
    <col min="10248" max="10248" width="11.125" style="2" bestFit="1" customWidth="1"/>
    <col min="10249" max="10249" width="9" style="2"/>
    <col min="10250" max="10265" width="11.125" style="2" bestFit="1" customWidth="1"/>
    <col min="10266" max="10266" width="9" style="2"/>
    <col min="10267" max="10267" width="7.125" style="2" bestFit="1" customWidth="1"/>
    <col min="10268" max="10268" width="9.625" style="2" bestFit="1" customWidth="1"/>
    <col min="10269" max="10493" width="9" style="2"/>
    <col min="10494" max="10494" width="2.375" style="2" customWidth="1"/>
    <col min="10495" max="10495" width="13.25" style="2" bestFit="1" customWidth="1"/>
    <col min="10496" max="10500" width="11.125" style="2" bestFit="1" customWidth="1"/>
    <col min="10501" max="10501" width="13.25" style="2" bestFit="1" customWidth="1"/>
    <col min="10502" max="10502" width="11.125" style="2" bestFit="1" customWidth="1"/>
    <col min="10503" max="10503" width="9" style="2"/>
    <col min="10504" max="10504" width="11.125" style="2" bestFit="1" customWidth="1"/>
    <col min="10505" max="10505" width="9" style="2"/>
    <col min="10506" max="10521" width="11.125" style="2" bestFit="1" customWidth="1"/>
    <col min="10522" max="10522" width="9" style="2"/>
    <col min="10523" max="10523" width="7.125" style="2" bestFit="1" customWidth="1"/>
    <col min="10524" max="10524" width="9.625" style="2" bestFit="1" customWidth="1"/>
    <col min="10525" max="10749" width="9" style="2"/>
    <col min="10750" max="10750" width="2.375" style="2" customWidth="1"/>
    <col min="10751" max="10751" width="13.25" style="2" bestFit="1" customWidth="1"/>
    <col min="10752" max="10756" width="11.125" style="2" bestFit="1" customWidth="1"/>
    <col min="10757" max="10757" width="13.25" style="2" bestFit="1" customWidth="1"/>
    <col min="10758" max="10758" width="11.125" style="2" bestFit="1" customWidth="1"/>
    <col min="10759" max="10759" width="9" style="2"/>
    <col min="10760" max="10760" width="11.125" style="2" bestFit="1" customWidth="1"/>
    <col min="10761" max="10761" width="9" style="2"/>
    <col min="10762" max="10777" width="11.125" style="2" bestFit="1" customWidth="1"/>
    <col min="10778" max="10778" width="9" style="2"/>
    <col min="10779" max="10779" width="7.125" style="2" bestFit="1" customWidth="1"/>
    <col min="10780" max="10780" width="9.625" style="2" bestFit="1" customWidth="1"/>
    <col min="10781" max="11005" width="9" style="2"/>
    <col min="11006" max="11006" width="2.375" style="2" customWidth="1"/>
    <col min="11007" max="11007" width="13.25" style="2" bestFit="1" customWidth="1"/>
    <col min="11008" max="11012" width="11.125" style="2" bestFit="1" customWidth="1"/>
    <col min="11013" max="11013" width="13.25" style="2" bestFit="1" customWidth="1"/>
    <col min="11014" max="11014" width="11.125" style="2" bestFit="1" customWidth="1"/>
    <col min="11015" max="11015" width="9" style="2"/>
    <col min="11016" max="11016" width="11.125" style="2" bestFit="1" customWidth="1"/>
    <col min="11017" max="11017" width="9" style="2"/>
    <col min="11018" max="11033" width="11.125" style="2" bestFit="1" customWidth="1"/>
    <col min="11034" max="11034" width="9" style="2"/>
    <col min="11035" max="11035" width="7.125" style="2" bestFit="1" customWidth="1"/>
    <col min="11036" max="11036" width="9.625" style="2" bestFit="1" customWidth="1"/>
    <col min="11037" max="11261" width="9" style="2"/>
    <col min="11262" max="11262" width="2.375" style="2" customWidth="1"/>
    <col min="11263" max="11263" width="13.25" style="2" bestFit="1" customWidth="1"/>
    <col min="11264" max="11268" width="11.125" style="2" bestFit="1" customWidth="1"/>
    <col min="11269" max="11269" width="13.25" style="2" bestFit="1" customWidth="1"/>
    <col min="11270" max="11270" width="11.125" style="2" bestFit="1" customWidth="1"/>
    <col min="11271" max="11271" width="9" style="2"/>
    <col min="11272" max="11272" width="11.125" style="2" bestFit="1" customWidth="1"/>
    <col min="11273" max="11273" width="9" style="2"/>
    <col min="11274" max="11289" width="11.125" style="2" bestFit="1" customWidth="1"/>
    <col min="11290" max="11290" width="9" style="2"/>
    <col min="11291" max="11291" width="7.125" style="2" bestFit="1" customWidth="1"/>
    <col min="11292" max="11292" width="9.625" style="2" bestFit="1" customWidth="1"/>
    <col min="11293" max="11517" width="9" style="2"/>
    <col min="11518" max="11518" width="2.375" style="2" customWidth="1"/>
    <col min="11519" max="11519" width="13.25" style="2" bestFit="1" customWidth="1"/>
    <col min="11520" max="11524" width="11.125" style="2" bestFit="1" customWidth="1"/>
    <col min="11525" max="11525" width="13.25" style="2" bestFit="1" customWidth="1"/>
    <col min="11526" max="11526" width="11.125" style="2" bestFit="1" customWidth="1"/>
    <col min="11527" max="11527" width="9" style="2"/>
    <col min="11528" max="11528" width="11.125" style="2" bestFit="1" customWidth="1"/>
    <col min="11529" max="11529" width="9" style="2"/>
    <col min="11530" max="11545" width="11.125" style="2" bestFit="1" customWidth="1"/>
    <col min="11546" max="11546" width="9" style="2"/>
    <col min="11547" max="11547" width="7.125" style="2" bestFit="1" customWidth="1"/>
    <col min="11548" max="11548" width="9.625" style="2" bestFit="1" customWidth="1"/>
    <col min="11549" max="11773" width="9" style="2"/>
    <col min="11774" max="11774" width="2.375" style="2" customWidth="1"/>
    <col min="11775" max="11775" width="13.25" style="2" bestFit="1" customWidth="1"/>
    <col min="11776" max="11780" width="11.125" style="2" bestFit="1" customWidth="1"/>
    <col min="11781" max="11781" width="13.25" style="2" bestFit="1" customWidth="1"/>
    <col min="11782" max="11782" width="11.125" style="2" bestFit="1" customWidth="1"/>
    <col min="11783" max="11783" width="9" style="2"/>
    <col min="11784" max="11784" width="11.125" style="2" bestFit="1" customWidth="1"/>
    <col min="11785" max="11785" width="9" style="2"/>
    <col min="11786" max="11801" width="11.125" style="2" bestFit="1" customWidth="1"/>
    <col min="11802" max="11802" width="9" style="2"/>
    <col min="11803" max="11803" width="7.125" style="2" bestFit="1" customWidth="1"/>
    <col min="11804" max="11804" width="9.625" style="2" bestFit="1" customWidth="1"/>
    <col min="11805" max="12029" width="9" style="2"/>
    <col min="12030" max="12030" width="2.375" style="2" customWidth="1"/>
    <col min="12031" max="12031" width="13.25" style="2" bestFit="1" customWidth="1"/>
    <col min="12032" max="12036" width="11.125" style="2" bestFit="1" customWidth="1"/>
    <col min="12037" max="12037" width="13.25" style="2" bestFit="1" customWidth="1"/>
    <col min="12038" max="12038" width="11.125" style="2" bestFit="1" customWidth="1"/>
    <col min="12039" max="12039" width="9" style="2"/>
    <col min="12040" max="12040" width="11.125" style="2" bestFit="1" customWidth="1"/>
    <col min="12041" max="12041" width="9" style="2"/>
    <col min="12042" max="12057" width="11.125" style="2" bestFit="1" customWidth="1"/>
    <col min="12058" max="12058" width="9" style="2"/>
    <col min="12059" max="12059" width="7.125" style="2" bestFit="1" customWidth="1"/>
    <col min="12060" max="12060" width="9.625" style="2" bestFit="1" customWidth="1"/>
    <col min="12061" max="12285" width="9" style="2"/>
    <col min="12286" max="12286" width="2.375" style="2" customWidth="1"/>
    <col min="12287" max="12287" width="13.25" style="2" bestFit="1" customWidth="1"/>
    <col min="12288" max="12292" width="11.125" style="2" bestFit="1" customWidth="1"/>
    <col min="12293" max="12293" width="13.25" style="2" bestFit="1" customWidth="1"/>
    <col min="12294" max="12294" width="11.125" style="2" bestFit="1" customWidth="1"/>
    <col min="12295" max="12295" width="9" style="2"/>
    <col min="12296" max="12296" width="11.125" style="2" bestFit="1" customWidth="1"/>
    <col min="12297" max="12297" width="9" style="2"/>
    <col min="12298" max="12313" width="11.125" style="2" bestFit="1" customWidth="1"/>
    <col min="12314" max="12314" width="9" style="2"/>
    <col min="12315" max="12315" width="7.125" style="2" bestFit="1" customWidth="1"/>
    <col min="12316" max="12316" width="9.625" style="2" bestFit="1" customWidth="1"/>
    <col min="12317" max="12541" width="9" style="2"/>
    <col min="12542" max="12542" width="2.375" style="2" customWidth="1"/>
    <col min="12543" max="12543" width="13.25" style="2" bestFit="1" customWidth="1"/>
    <col min="12544" max="12548" width="11.125" style="2" bestFit="1" customWidth="1"/>
    <col min="12549" max="12549" width="13.25" style="2" bestFit="1" customWidth="1"/>
    <col min="12550" max="12550" width="11.125" style="2" bestFit="1" customWidth="1"/>
    <col min="12551" max="12551" width="9" style="2"/>
    <col min="12552" max="12552" width="11.125" style="2" bestFit="1" customWidth="1"/>
    <col min="12553" max="12553" width="9" style="2"/>
    <col min="12554" max="12569" width="11.125" style="2" bestFit="1" customWidth="1"/>
    <col min="12570" max="12570" width="9" style="2"/>
    <col min="12571" max="12571" width="7.125" style="2" bestFit="1" customWidth="1"/>
    <col min="12572" max="12572" width="9.625" style="2" bestFit="1" customWidth="1"/>
    <col min="12573" max="12797" width="9" style="2"/>
    <col min="12798" max="12798" width="2.375" style="2" customWidth="1"/>
    <col min="12799" max="12799" width="13.25" style="2" bestFit="1" customWidth="1"/>
    <col min="12800" max="12804" width="11.125" style="2" bestFit="1" customWidth="1"/>
    <col min="12805" max="12805" width="13.25" style="2" bestFit="1" customWidth="1"/>
    <col min="12806" max="12806" width="11.125" style="2" bestFit="1" customWidth="1"/>
    <col min="12807" max="12807" width="9" style="2"/>
    <col min="12808" max="12808" width="11.125" style="2" bestFit="1" customWidth="1"/>
    <col min="12809" max="12809" width="9" style="2"/>
    <col min="12810" max="12825" width="11.125" style="2" bestFit="1" customWidth="1"/>
    <col min="12826" max="12826" width="9" style="2"/>
    <col min="12827" max="12827" width="7.125" style="2" bestFit="1" customWidth="1"/>
    <col min="12828" max="12828" width="9.625" style="2" bestFit="1" customWidth="1"/>
    <col min="12829" max="13053" width="9" style="2"/>
    <col min="13054" max="13054" width="2.375" style="2" customWidth="1"/>
    <col min="13055" max="13055" width="13.25" style="2" bestFit="1" customWidth="1"/>
    <col min="13056" max="13060" width="11.125" style="2" bestFit="1" customWidth="1"/>
    <col min="13061" max="13061" width="13.25" style="2" bestFit="1" customWidth="1"/>
    <col min="13062" max="13062" width="11.125" style="2" bestFit="1" customWidth="1"/>
    <col min="13063" max="13063" width="9" style="2"/>
    <col min="13064" max="13064" width="11.125" style="2" bestFit="1" customWidth="1"/>
    <col min="13065" max="13065" width="9" style="2"/>
    <col min="13066" max="13081" width="11.125" style="2" bestFit="1" customWidth="1"/>
    <col min="13082" max="13082" width="9" style="2"/>
    <col min="13083" max="13083" width="7.125" style="2" bestFit="1" customWidth="1"/>
    <col min="13084" max="13084" width="9.625" style="2" bestFit="1" customWidth="1"/>
    <col min="13085" max="13309" width="9" style="2"/>
    <col min="13310" max="13310" width="2.375" style="2" customWidth="1"/>
    <col min="13311" max="13311" width="13.25" style="2" bestFit="1" customWidth="1"/>
    <col min="13312" max="13316" width="11.125" style="2" bestFit="1" customWidth="1"/>
    <col min="13317" max="13317" width="13.25" style="2" bestFit="1" customWidth="1"/>
    <col min="13318" max="13318" width="11.125" style="2" bestFit="1" customWidth="1"/>
    <col min="13319" max="13319" width="9" style="2"/>
    <col min="13320" max="13320" width="11.125" style="2" bestFit="1" customWidth="1"/>
    <col min="13321" max="13321" width="9" style="2"/>
    <col min="13322" max="13337" width="11.125" style="2" bestFit="1" customWidth="1"/>
    <col min="13338" max="13338" width="9" style="2"/>
    <col min="13339" max="13339" width="7.125" style="2" bestFit="1" customWidth="1"/>
    <col min="13340" max="13340" width="9.625" style="2" bestFit="1" customWidth="1"/>
    <col min="13341" max="13565" width="9" style="2"/>
    <col min="13566" max="13566" width="2.375" style="2" customWidth="1"/>
    <col min="13567" max="13567" width="13.25" style="2" bestFit="1" customWidth="1"/>
    <col min="13568" max="13572" width="11.125" style="2" bestFit="1" customWidth="1"/>
    <col min="13573" max="13573" width="13.25" style="2" bestFit="1" customWidth="1"/>
    <col min="13574" max="13574" width="11.125" style="2" bestFit="1" customWidth="1"/>
    <col min="13575" max="13575" width="9" style="2"/>
    <col min="13576" max="13576" width="11.125" style="2" bestFit="1" customWidth="1"/>
    <col min="13577" max="13577" width="9" style="2"/>
    <col min="13578" max="13593" width="11.125" style="2" bestFit="1" customWidth="1"/>
    <col min="13594" max="13594" width="9" style="2"/>
    <col min="13595" max="13595" width="7.125" style="2" bestFit="1" customWidth="1"/>
    <col min="13596" max="13596" width="9.625" style="2" bestFit="1" customWidth="1"/>
    <col min="13597" max="13821" width="9" style="2"/>
    <col min="13822" max="13822" width="2.375" style="2" customWidth="1"/>
    <col min="13823" max="13823" width="13.25" style="2" bestFit="1" customWidth="1"/>
    <col min="13824" max="13828" width="11.125" style="2" bestFit="1" customWidth="1"/>
    <col min="13829" max="13829" width="13.25" style="2" bestFit="1" customWidth="1"/>
    <col min="13830" max="13830" width="11.125" style="2" bestFit="1" customWidth="1"/>
    <col min="13831" max="13831" width="9" style="2"/>
    <col min="13832" max="13832" width="11.125" style="2" bestFit="1" customWidth="1"/>
    <col min="13833" max="13833" width="9" style="2"/>
    <col min="13834" max="13849" width="11.125" style="2" bestFit="1" customWidth="1"/>
    <col min="13850" max="13850" width="9" style="2"/>
    <col min="13851" max="13851" width="7.125" style="2" bestFit="1" customWidth="1"/>
    <col min="13852" max="13852" width="9.625" style="2" bestFit="1" customWidth="1"/>
    <col min="13853" max="14077" width="9" style="2"/>
    <col min="14078" max="14078" width="2.375" style="2" customWidth="1"/>
    <col min="14079" max="14079" width="13.25" style="2" bestFit="1" customWidth="1"/>
    <col min="14080" max="14084" width="11.125" style="2" bestFit="1" customWidth="1"/>
    <col min="14085" max="14085" width="13.25" style="2" bestFit="1" customWidth="1"/>
    <col min="14086" max="14086" width="11.125" style="2" bestFit="1" customWidth="1"/>
    <col min="14087" max="14087" width="9" style="2"/>
    <col min="14088" max="14088" width="11.125" style="2" bestFit="1" customWidth="1"/>
    <col min="14089" max="14089" width="9" style="2"/>
    <col min="14090" max="14105" width="11.125" style="2" bestFit="1" customWidth="1"/>
    <col min="14106" max="14106" width="9" style="2"/>
    <col min="14107" max="14107" width="7.125" style="2" bestFit="1" customWidth="1"/>
    <col min="14108" max="14108" width="9.625" style="2" bestFit="1" customWidth="1"/>
    <col min="14109" max="14333" width="9" style="2"/>
    <col min="14334" max="14334" width="2.375" style="2" customWidth="1"/>
    <col min="14335" max="14335" width="13.25" style="2" bestFit="1" customWidth="1"/>
    <col min="14336" max="14340" width="11.125" style="2" bestFit="1" customWidth="1"/>
    <col min="14341" max="14341" width="13.25" style="2" bestFit="1" customWidth="1"/>
    <col min="14342" max="14342" width="11.125" style="2" bestFit="1" customWidth="1"/>
    <col min="14343" max="14343" width="9" style="2"/>
    <col min="14344" max="14344" width="11.125" style="2" bestFit="1" customWidth="1"/>
    <col min="14345" max="14345" width="9" style="2"/>
    <col min="14346" max="14361" width="11.125" style="2" bestFit="1" customWidth="1"/>
    <col min="14362" max="14362" width="9" style="2"/>
    <col min="14363" max="14363" width="7.125" style="2" bestFit="1" customWidth="1"/>
    <col min="14364" max="14364" width="9.625" style="2" bestFit="1" customWidth="1"/>
    <col min="14365" max="14589" width="9" style="2"/>
    <col min="14590" max="14590" width="2.375" style="2" customWidth="1"/>
    <col min="14591" max="14591" width="13.25" style="2" bestFit="1" customWidth="1"/>
    <col min="14592" max="14596" width="11.125" style="2" bestFit="1" customWidth="1"/>
    <col min="14597" max="14597" width="13.25" style="2" bestFit="1" customWidth="1"/>
    <col min="14598" max="14598" width="11.125" style="2" bestFit="1" customWidth="1"/>
    <col min="14599" max="14599" width="9" style="2"/>
    <col min="14600" max="14600" width="11.125" style="2" bestFit="1" customWidth="1"/>
    <col min="14601" max="14601" width="9" style="2"/>
    <col min="14602" max="14617" width="11.125" style="2" bestFit="1" customWidth="1"/>
    <col min="14618" max="14618" width="9" style="2"/>
    <col min="14619" max="14619" width="7.125" style="2" bestFit="1" customWidth="1"/>
    <col min="14620" max="14620" width="9.625" style="2" bestFit="1" customWidth="1"/>
    <col min="14621" max="14845" width="9" style="2"/>
    <col min="14846" max="14846" width="2.375" style="2" customWidth="1"/>
    <col min="14847" max="14847" width="13.25" style="2" bestFit="1" customWidth="1"/>
    <col min="14848" max="14852" width="11.125" style="2" bestFit="1" customWidth="1"/>
    <col min="14853" max="14853" width="13.25" style="2" bestFit="1" customWidth="1"/>
    <col min="14854" max="14854" width="11.125" style="2" bestFit="1" customWidth="1"/>
    <col min="14855" max="14855" width="9" style="2"/>
    <col min="14856" max="14856" width="11.125" style="2" bestFit="1" customWidth="1"/>
    <col min="14857" max="14857" width="9" style="2"/>
    <col min="14858" max="14873" width="11.125" style="2" bestFit="1" customWidth="1"/>
    <col min="14874" max="14874" width="9" style="2"/>
    <col min="14875" max="14875" width="7.125" style="2" bestFit="1" customWidth="1"/>
    <col min="14876" max="14876" width="9.625" style="2" bestFit="1" customWidth="1"/>
    <col min="14877" max="15101" width="9" style="2"/>
    <col min="15102" max="15102" width="2.375" style="2" customWidth="1"/>
    <col min="15103" max="15103" width="13.25" style="2" bestFit="1" customWidth="1"/>
    <col min="15104" max="15108" width="11.125" style="2" bestFit="1" customWidth="1"/>
    <col min="15109" max="15109" width="13.25" style="2" bestFit="1" customWidth="1"/>
    <col min="15110" max="15110" width="11.125" style="2" bestFit="1" customWidth="1"/>
    <col min="15111" max="15111" width="9" style="2"/>
    <col min="15112" max="15112" width="11.125" style="2" bestFit="1" customWidth="1"/>
    <col min="15113" max="15113" width="9" style="2"/>
    <col min="15114" max="15129" width="11.125" style="2" bestFit="1" customWidth="1"/>
    <col min="15130" max="15130" width="9" style="2"/>
    <col min="15131" max="15131" width="7.125" style="2" bestFit="1" customWidth="1"/>
    <col min="15132" max="15132" width="9.625" style="2" bestFit="1" customWidth="1"/>
    <col min="15133" max="15357" width="9" style="2"/>
    <col min="15358" max="15358" width="2.375" style="2" customWidth="1"/>
    <col min="15359" max="15359" width="13.25" style="2" bestFit="1" customWidth="1"/>
    <col min="15360" max="15364" width="11.125" style="2" bestFit="1" customWidth="1"/>
    <col min="15365" max="15365" width="13.25" style="2" bestFit="1" customWidth="1"/>
    <col min="15366" max="15366" width="11.125" style="2" bestFit="1" customWidth="1"/>
    <col min="15367" max="15367" width="9" style="2"/>
    <col min="15368" max="15368" width="11.125" style="2" bestFit="1" customWidth="1"/>
    <col min="15369" max="15369" width="9" style="2"/>
    <col min="15370" max="15385" width="11.125" style="2" bestFit="1" customWidth="1"/>
    <col min="15386" max="15386" width="9" style="2"/>
    <col min="15387" max="15387" width="7.125" style="2" bestFit="1" customWidth="1"/>
    <col min="15388" max="15388" width="9.625" style="2" bestFit="1" customWidth="1"/>
    <col min="15389" max="15613" width="9" style="2"/>
    <col min="15614" max="15614" width="2.375" style="2" customWidth="1"/>
    <col min="15615" max="15615" width="13.25" style="2" bestFit="1" customWidth="1"/>
    <col min="15616" max="15620" width="11.125" style="2" bestFit="1" customWidth="1"/>
    <col min="15621" max="15621" width="13.25" style="2" bestFit="1" customWidth="1"/>
    <col min="15622" max="15622" width="11.125" style="2" bestFit="1" customWidth="1"/>
    <col min="15623" max="15623" width="9" style="2"/>
    <col min="15624" max="15624" width="11.125" style="2" bestFit="1" customWidth="1"/>
    <col min="15625" max="15625" width="9" style="2"/>
    <col min="15626" max="15641" width="11.125" style="2" bestFit="1" customWidth="1"/>
    <col min="15642" max="15642" width="9" style="2"/>
    <col min="15643" max="15643" width="7.125" style="2" bestFit="1" customWidth="1"/>
    <col min="15644" max="15644" width="9.625" style="2" bestFit="1" customWidth="1"/>
    <col min="15645" max="15869" width="9" style="2"/>
    <col min="15870" max="15870" width="2.375" style="2" customWidth="1"/>
    <col min="15871" max="15871" width="13.25" style="2" bestFit="1" customWidth="1"/>
    <col min="15872" max="15876" width="11.125" style="2" bestFit="1" customWidth="1"/>
    <col min="15877" max="15877" width="13.25" style="2" bestFit="1" customWidth="1"/>
    <col min="15878" max="15878" width="11.125" style="2" bestFit="1" customWidth="1"/>
    <col min="15879" max="15879" width="9" style="2"/>
    <col min="15880" max="15880" width="11.125" style="2" bestFit="1" customWidth="1"/>
    <col min="15881" max="15881" width="9" style="2"/>
    <col min="15882" max="15897" width="11.125" style="2" bestFit="1" customWidth="1"/>
    <col min="15898" max="15898" width="9" style="2"/>
    <col min="15899" max="15899" width="7.125" style="2" bestFit="1" customWidth="1"/>
    <col min="15900" max="15900" width="9.625" style="2" bestFit="1" customWidth="1"/>
    <col min="15901" max="16125" width="9" style="2"/>
    <col min="16126" max="16126" width="2.375" style="2" customWidth="1"/>
    <col min="16127" max="16127" width="13.25" style="2" bestFit="1" customWidth="1"/>
    <col min="16128" max="16132" width="11.125" style="2" bestFit="1" customWidth="1"/>
    <col min="16133" max="16133" width="13.25" style="2" bestFit="1" customWidth="1"/>
    <col min="16134" max="16134" width="11.125" style="2" bestFit="1" customWidth="1"/>
    <col min="16135" max="16135" width="9" style="2"/>
    <col min="16136" max="16136" width="11.125" style="2" bestFit="1" customWidth="1"/>
    <col min="16137" max="16137" width="9" style="2"/>
    <col min="16138" max="16153" width="11.125" style="2" bestFit="1" customWidth="1"/>
    <col min="16154" max="16154" width="9" style="2"/>
    <col min="16155" max="16155" width="7.125" style="2" bestFit="1" customWidth="1"/>
    <col min="16156" max="16156" width="9.625" style="2" bestFit="1" customWidth="1"/>
    <col min="16157" max="16384" width="9" style="2"/>
  </cols>
  <sheetData>
    <row r="1" spans="1:29">
      <c r="A1" s="1" t="s">
        <v>0</v>
      </c>
    </row>
    <row r="2" spans="1:29" ht="19.5" thickBot="1">
      <c r="A2" s="1" t="s">
        <v>2</v>
      </c>
    </row>
    <row r="3" spans="1:29">
      <c r="B3" s="3"/>
      <c r="C3" s="7" t="s">
        <v>20</v>
      </c>
      <c r="D3" s="7" t="s">
        <v>5</v>
      </c>
      <c r="E3" s="7" t="s">
        <v>11</v>
      </c>
      <c r="F3" s="39" t="s">
        <v>12</v>
      </c>
      <c r="G3" s="48" t="s">
        <v>75</v>
      </c>
      <c r="H3" s="68" t="s">
        <v>6</v>
      </c>
      <c r="I3" s="48" t="s">
        <v>75</v>
      </c>
      <c r="J3" s="6" t="s">
        <v>3</v>
      </c>
      <c r="K3" s="7" t="s">
        <v>4</v>
      </c>
      <c r="L3" s="7" t="s">
        <v>7</v>
      </c>
      <c r="M3" s="7" t="s">
        <v>8</v>
      </c>
      <c r="N3" s="7" t="s">
        <v>9</v>
      </c>
      <c r="O3" s="7" t="s">
        <v>10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7" t="s">
        <v>21</v>
      </c>
      <c r="X3" s="7" t="s">
        <v>22</v>
      </c>
      <c r="Y3" s="7" t="s">
        <v>23</v>
      </c>
      <c r="Z3" s="7" t="s">
        <v>24</v>
      </c>
      <c r="AA3" s="8" t="s">
        <v>25</v>
      </c>
      <c r="AB3" s="48" t="s">
        <v>75</v>
      </c>
      <c r="AC3" s="66" t="s">
        <v>50</v>
      </c>
    </row>
    <row r="4" spans="1:29" ht="19.5" thickBot="1">
      <c r="A4" s="38"/>
      <c r="B4" s="22" t="s">
        <v>26</v>
      </c>
      <c r="C4" s="24" t="s">
        <v>44</v>
      </c>
      <c r="D4" s="24" t="s">
        <v>29</v>
      </c>
      <c r="E4" s="24" t="s">
        <v>35</v>
      </c>
      <c r="F4" s="40" t="s">
        <v>36</v>
      </c>
      <c r="G4" s="49" t="s">
        <v>76</v>
      </c>
      <c r="H4" s="69" t="s">
        <v>30</v>
      </c>
      <c r="I4" s="49" t="s">
        <v>77</v>
      </c>
      <c r="J4" s="23" t="s">
        <v>27</v>
      </c>
      <c r="K4" s="24" t="s">
        <v>28</v>
      </c>
      <c r="L4" s="24" t="s">
        <v>31</v>
      </c>
      <c r="M4" s="24" t="s">
        <v>32</v>
      </c>
      <c r="N4" s="24" t="s">
        <v>33</v>
      </c>
      <c r="O4" s="24" t="s">
        <v>34</v>
      </c>
      <c r="P4" s="24" t="s">
        <v>37</v>
      </c>
      <c r="Q4" s="24" t="s">
        <v>38</v>
      </c>
      <c r="R4" s="24" t="s">
        <v>39</v>
      </c>
      <c r="S4" s="24" t="s">
        <v>40</v>
      </c>
      <c r="T4" s="24" t="s">
        <v>41</v>
      </c>
      <c r="U4" s="24" t="s">
        <v>42</v>
      </c>
      <c r="V4" s="24" t="s">
        <v>43</v>
      </c>
      <c r="W4" s="24" t="s">
        <v>45</v>
      </c>
      <c r="X4" s="24" t="s">
        <v>46</v>
      </c>
      <c r="Y4" s="24" t="s">
        <v>47</v>
      </c>
      <c r="Z4" s="24" t="s">
        <v>48</v>
      </c>
      <c r="AA4" s="25" t="s">
        <v>49</v>
      </c>
      <c r="AB4" s="49" t="s">
        <v>78</v>
      </c>
      <c r="AC4" s="67" t="s">
        <v>80</v>
      </c>
    </row>
    <row r="5" spans="1:29">
      <c r="A5" s="1" t="s">
        <v>1</v>
      </c>
      <c r="B5" s="18" t="s">
        <v>51</v>
      </c>
      <c r="C5" s="20">
        <v>227000</v>
      </c>
      <c r="D5" s="20">
        <v>108000</v>
      </c>
      <c r="E5" s="20">
        <v>0</v>
      </c>
      <c r="F5" s="41">
        <v>0</v>
      </c>
      <c r="G5" s="50">
        <f>SUM(C5:F5)</f>
        <v>335000</v>
      </c>
      <c r="H5" s="50">
        <v>386000</v>
      </c>
      <c r="I5" s="50">
        <f>SUM(H5)</f>
        <v>386000</v>
      </c>
      <c r="J5" s="19">
        <v>75000</v>
      </c>
      <c r="K5" s="20">
        <v>15235</v>
      </c>
      <c r="L5" s="20">
        <v>88000</v>
      </c>
      <c r="M5" s="20">
        <v>88000</v>
      </c>
      <c r="N5" s="20">
        <v>75000</v>
      </c>
      <c r="O5" s="20">
        <v>88000</v>
      </c>
      <c r="P5" s="20">
        <v>56000</v>
      </c>
      <c r="Q5" s="20">
        <v>63000</v>
      </c>
      <c r="R5" s="20">
        <v>63000</v>
      </c>
      <c r="S5" s="20">
        <v>88000</v>
      </c>
      <c r="T5" s="20">
        <v>63000</v>
      </c>
      <c r="U5" s="20">
        <v>63000</v>
      </c>
      <c r="V5" s="20">
        <v>63000</v>
      </c>
      <c r="W5" s="20">
        <v>56000</v>
      </c>
      <c r="X5" s="20">
        <v>63000</v>
      </c>
      <c r="Y5" s="20">
        <v>0</v>
      </c>
      <c r="Z5" s="20">
        <v>0</v>
      </c>
      <c r="AA5" s="21">
        <v>0</v>
      </c>
      <c r="AB5" s="50">
        <f>SUM(J5:AA5)</f>
        <v>1007235</v>
      </c>
      <c r="AC5" s="50">
        <f t="shared" ref="AC5:AC25" si="0">G5+I5+AB5</f>
        <v>1728235</v>
      </c>
    </row>
    <row r="6" spans="1:29">
      <c r="A6" s="1" t="s">
        <v>1</v>
      </c>
      <c r="B6" s="4" t="s">
        <v>52</v>
      </c>
      <c r="C6" s="10">
        <v>0</v>
      </c>
      <c r="D6" s="10">
        <v>0</v>
      </c>
      <c r="E6" s="10">
        <v>0</v>
      </c>
      <c r="F6" s="42">
        <v>0</v>
      </c>
      <c r="G6" s="51"/>
      <c r="H6" s="51">
        <v>0</v>
      </c>
      <c r="I6" s="51"/>
      <c r="J6" s="9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1">
        <v>0</v>
      </c>
      <c r="AB6" s="51">
        <f t="shared" ref="AB6:AB25" si="1">SUM(J6:AA6)</f>
        <v>0</v>
      </c>
      <c r="AC6" s="51">
        <f t="shared" si="0"/>
        <v>0</v>
      </c>
    </row>
    <row r="7" spans="1:29">
      <c r="A7" s="1" t="s">
        <v>1</v>
      </c>
      <c r="B7" s="4" t="s">
        <v>53</v>
      </c>
      <c r="C7" s="10">
        <v>0</v>
      </c>
      <c r="D7" s="10">
        <v>0</v>
      </c>
      <c r="E7" s="10">
        <v>0</v>
      </c>
      <c r="F7" s="42">
        <v>0</v>
      </c>
      <c r="G7" s="51"/>
      <c r="H7" s="51">
        <v>0</v>
      </c>
      <c r="I7" s="51"/>
      <c r="J7" s="9">
        <v>0</v>
      </c>
      <c r="K7" s="10">
        <v>0</v>
      </c>
      <c r="L7" s="10">
        <v>30000</v>
      </c>
      <c r="M7" s="10">
        <v>15000</v>
      </c>
      <c r="N7" s="10">
        <v>15000</v>
      </c>
      <c r="O7" s="10">
        <v>15000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1">
        <v>0</v>
      </c>
      <c r="AB7" s="51">
        <f t="shared" si="1"/>
        <v>75000</v>
      </c>
      <c r="AC7" s="51">
        <f t="shared" si="0"/>
        <v>75000</v>
      </c>
    </row>
    <row r="8" spans="1:29" ht="19.5" thickBot="1">
      <c r="A8" s="1" t="s">
        <v>1</v>
      </c>
      <c r="B8" s="26" t="s">
        <v>54</v>
      </c>
      <c r="C8" s="28">
        <v>0</v>
      </c>
      <c r="D8" s="28">
        <v>33000</v>
      </c>
      <c r="E8" s="28">
        <v>0</v>
      </c>
      <c r="F8" s="43">
        <v>0</v>
      </c>
      <c r="G8" s="52">
        <f>SUM(C8:F8)</f>
        <v>33000</v>
      </c>
      <c r="H8" s="52">
        <v>0</v>
      </c>
      <c r="I8" s="52"/>
      <c r="J8" s="27">
        <v>0</v>
      </c>
      <c r="K8" s="28">
        <v>0</v>
      </c>
      <c r="L8" s="28">
        <v>3000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9">
        <v>0</v>
      </c>
      <c r="AB8" s="52">
        <f t="shared" si="1"/>
        <v>3000</v>
      </c>
      <c r="AC8" s="52">
        <f t="shared" si="0"/>
        <v>36000</v>
      </c>
    </row>
    <row r="9" spans="1:29" ht="19.5" thickBot="1">
      <c r="A9" s="1" t="s">
        <v>1</v>
      </c>
      <c r="B9" s="30" t="s">
        <v>55</v>
      </c>
      <c r="C9" s="32">
        <v>227000</v>
      </c>
      <c r="D9" s="32">
        <v>141000</v>
      </c>
      <c r="E9" s="32">
        <v>0</v>
      </c>
      <c r="F9" s="44">
        <v>0</v>
      </c>
      <c r="G9" s="53">
        <f t="shared" ref="G9:G25" si="2">SUM(C9:F9)</f>
        <v>368000</v>
      </c>
      <c r="H9" s="53">
        <v>386000</v>
      </c>
      <c r="I9" s="53">
        <f>SUM(H9)</f>
        <v>386000</v>
      </c>
      <c r="J9" s="31">
        <v>75000</v>
      </c>
      <c r="K9" s="32">
        <v>15235</v>
      </c>
      <c r="L9" s="32">
        <v>121000</v>
      </c>
      <c r="M9" s="32">
        <v>103000</v>
      </c>
      <c r="N9" s="32">
        <v>90000</v>
      </c>
      <c r="O9" s="32">
        <v>103000</v>
      </c>
      <c r="P9" s="32">
        <v>56000</v>
      </c>
      <c r="Q9" s="32">
        <v>63000</v>
      </c>
      <c r="R9" s="32">
        <v>63000</v>
      </c>
      <c r="S9" s="32">
        <v>88000</v>
      </c>
      <c r="T9" s="32">
        <v>63000</v>
      </c>
      <c r="U9" s="32">
        <v>63000</v>
      </c>
      <c r="V9" s="32">
        <v>63000</v>
      </c>
      <c r="W9" s="32">
        <v>56000</v>
      </c>
      <c r="X9" s="32">
        <v>63000</v>
      </c>
      <c r="Y9" s="32">
        <v>0</v>
      </c>
      <c r="Z9" s="32">
        <v>0</v>
      </c>
      <c r="AA9" s="33">
        <v>0</v>
      </c>
      <c r="AB9" s="53">
        <f t="shared" si="1"/>
        <v>1085235</v>
      </c>
      <c r="AC9" s="53">
        <f t="shared" si="0"/>
        <v>1839235</v>
      </c>
    </row>
    <row r="10" spans="1:29" ht="19.5" thickBot="1">
      <c r="A10" s="1" t="s">
        <v>1</v>
      </c>
      <c r="B10" s="30" t="s">
        <v>56</v>
      </c>
      <c r="C10" s="32">
        <v>0</v>
      </c>
      <c r="D10" s="32">
        <v>0</v>
      </c>
      <c r="E10" s="32">
        <v>0</v>
      </c>
      <c r="F10" s="44">
        <v>0</v>
      </c>
      <c r="G10" s="53">
        <f t="shared" si="2"/>
        <v>0</v>
      </c>
      <c r="H10" s="53">
        <v>0</v>
      </c>
      <c r="I10" s="53">
        <f t="shared" ref="I10:I25" si="3">SUM(H10)</f>
        <v>0</v>
      </c>
      <c r="J10" s="31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3">
        <v>0</v>
      </c>
      <c r="AB10" s="53">
        <f t="shared" si="1"/>
        <v>0</v>
      </c>
      <c r="AC10" s="53">
        <f t="shared" si="0"/>
        <v>0</v>
      </c>
    </row>
    <row r="11" spans="1:29" ht="19.5" thickBot="1">
      <c r="A11" s="1" t="s">
        <v>1</v>
      </c>
      <c r="B11" s="30" t="s">
        <v>57</v>
      </c>
      <c r="C11" s="32">
        <v>227000</v>
      </c>
      <c r="D11" s="32">
        <v>141000</v>
      </c>
      <c r="E11" s="32">
        <v>0</v>
      </c>
      <c r="F11" s="44">
        <v>0</v>
      </c>
      <c r="G11" s="53">
        <f t="shared" si="2"/>
        <v>368000</v>
      </c>
      <c r="H11" s="53">
        <v>386000</v>
      </c>
      <c r="I11" s="53">
        <f t="shared" si="3"/>
        <v>386000</v>
      </c>
      <c r="J11" s="31">
        <v>75000</v>
      </c>
      <c r="K11" s="32">
        <v>15235</v>
      </c>
      <c r="L11" s="32">
        <v>121000</v>
      </c>
      <c r="M11" s="32">
        <v>103000</v>
      </c>
      <c r="N11" s="32">
        <v>90000</v>
      </c>
      <c r="O11" s="32">
        <v>103000</v>
      </c>
      <c r="P11" s="32">
        <v>56000</v>
      </c>
      <c r="Q11" s="32">
        <v>63000</v>
      </c>
      <c r="R11" s="32">
        <v>63000</v>
      </c>
      <c r="S11" s="32">
        <v>88000</v>
      </c>
      <c r="T11" s="32">
        <v>63000</v>
      </c>
      <c r="U11" s="32">
        <v>63000</v>
      </c>
      <c r="V11" s="32">
        <v>63000</v>
      </c>
      <c r="W11" s="32">
        <v>56000</v>
      </c>
      <c r="X11" s="32">
        <v>63000</v>
      </c>
      <c r="Y11" s="32">
        <v>0</v>
      </c>
      <c r="Z11" s="32">
        <v>0</v>
      </c>
      <c r="AA11" s="33">
        <v>0</v>
      </c>
      <c r="AB11" s="53">
        <f t="shared" si="1"/>
        <v>1085235</v>
      </c>
      <c r="AC11" s="53">
        <f t="shared" si="0"/>
        <v>1839235</v>
      </c>
    </row>
    <row r="12" spans="1:29">
      <c r="A12" s="1" t="s">
        <v>1</v>
      </c>
      <c r="B12" s="18" t="s">
        <v>58</v>
      </c>
      <c r="C12" s="20">
        <v>11577</v>
      </c>
      <c r="D12" s="20">
        <v>7191</v>
      </c>
      <c r="E12" s="20">
        <v>0</v>
      </c>
      <c r="F12" s="41">
        <v>0</v>
      </c>
      <c r="G12" s="50">
        <f t="shared" si="2"/>
        <v>18768</v>
      </c>
      <c r="H12" s="50">
        <v>19686</v>
      </c>
      <c r="I12" s="50">
        <f t="shared" si="3"/>
        <v>19686</v>
      </c>
      <c r="J12" s="19">
        <v>3825</v>
      </c>
      <c r="K12" s="20">
        <v>765</v>
      </c>
      <c r="L12" s="20">
        <v>6171</v>
      </c>
      <c r="M12" s="20">
        <v>5253</v>
      </c>
      <c r="N12" s="20">
        <v>4590</v>
      </c>
      <c r="O12" s="20">
        <v>5253</v>
      </c>
      <c r="P12" s="20">
        <v>2856</v>
      </c>
      <c r="Q12" s="20">
        <v>3213</v>
      </c>
      <c r="R12" s="20">
        <v>3213</v>
      </c>
      <c r="S12" s="20">
        <v>4488</v>
      </c>
      <c r="T12" s="20">
        <v>3213</v>
      </c>
      <c r="U12" s="20">
        <v>3213</v>
      </c>
      <c r="V12" s="20">
        <v>3213</v>
      </c>
      <c r="W12" s="20">
        <v>2856</v>
      </c>
      <c r="X12" s="20">
        <v>3213</v>
      </c>
      <c r="Y12" s="20">
        <v>0</v>
      </c>
      <c r="Z12" s="20">
        <v>0</v>
      </c>
      <c r="AA12" s="21">
        <v>0</v>
      </c>
      <c r="AB12" s="50">
        <f t="shared" si="1"/>
        <v>55335</v>
      </c>
      <c r="AC12" s="50">
        <f t="shared" si="0"/>
        <v>93789</v>
      </c>
    </row>
    <row r="13" spans="1:29">
      <c r="A13" s="1" t="s">
        <v>1</v>
      </c>
      <c r="B13" s="4" t="s">
        <v>59</v>
      </c>
      <c r="C13" s="10">
        <v>2043</v>
      </c>
      <c r="D13" s="10">
        <v>1269</v>
      </c>
      <c r="E13" s="10">
        <v>0</v>
      </c>
      <c r="F13" s="42">
        <v>0</v>
      </c>
      <c r="G13" s="51">
        <f t="shared" si="2"/>
        <v>3312</v>
      </c>
      <c r="H13" s="51">
        <v>3474</v>
      </c>
      <c r="I13" s="51">
        <f t="shared" si="3"/>
        <v>3474</v>
      </c>
      <c r="J13" s="9">
        <v>675</v>
      </c>
      <c r="K13" s="10">
        <v>135</v>
      </c>
      <c r="L13" s="10">
        <v>1089</v>
      </c>
      <c r="M13" s="10">
        <v>927</v>
      </c>
      <c r="N13" s="10">
        <v>810</v>
      </c>
      <c r="O13" s="10">
        <v>927</v>
      </c>
      <c r="P13" s="10">
        <v>504</v>
      </c>
      <c r="Q13" s="10">
        <v>567</v>
      </c>
      <c r="R13" s="10">
        <v>567</v>
      </c>
      <c r="S13" s="10">
        <v>792</v>
      </c>
      <c r="T13" s="10">
        <v>567</v>
      </c>
      <c r="U13" s="10">
        <v>567</v>
      </c>
      <c r="V13" s="10">
        <v>567</v>
      </c>
      <c r="W13" s="10">
        <v>504</v>
      </c>
      <c r="X13" s="10">
        <v>567</v>
      </c>
      <c r="Y13" s="10">
        <v>0</v>
      </c>
      <c r="Z13" s="10">
        <v>0</v>
      </c>
      <c r="AA13" s="11">
        <v>0</v>
      </c>
      <c r="AB13" s="51">
        <f t="shared" si="1"/>
        <v>9765</v>
      </c>
      <c r="AC13" s="51">
        <f t="shared" si="0"/>
        <v>16551</v>
      </c>
    </row>
    <row r="14" spans="1:29">
      <c r="A14" s="1" t="s">
        <v>1</v>
      </c>
      <c r="B14" s="4" t="s">
        <v>60</v>
      </c>
      <c r="C14" s="10">
        <v>20770</v>
      </c>
      <c r="D14" s="10">
        <v>12901</v>
      </c>
      <c r="E14" s="10">
        <v>0</v>
      </c>
      <c r="F14" s="42">
        <v>0</v>
      </c>
      <c r="G14" s="51">
        <f t="shared" si="2"/>
        <v>33671</v>
      </c>
      <c r="H14" s="51">
        <v>35319</v>
      </c>
      <c r="I14" s="51">
        <f t="shared" si="3"/>
        <v>35319</v>
      </c>
      <c r="J14" s="9">
        <v>6862</v>
      </c>
      <c r="K14" s="10">
        <v>1372</v>
      </c>
      <c r="L14" s="10">
        <v>11071</v>
      </c>
      <c r="M14" s="10">
        <v>9424</v>
      </c>
      <c r="N14" s="10">
        <v>8235</v>
      </c>
      <c r="O14" s="10">
        <v>9424</v>
      </c>
      <c r="P14" s="10">
        <v>5124</v>
      </c>
      <c r="Q14" s="10">
        <v>5764</v>
      </c>
      <c r="R14" s="10">
        <v>5764</v>
      </c>
      <c r="S14" s="10">
        <v>8052</v>
      </c>
      <c r="T14" s="10">
        <v>5764</v>
      </c>
      <c r="U14" s="10">
        <v>5764</v>
      </c>
      <c r="V14" s="10">
        <v>5764</v>
      </c>
      <c r="W14" s="10">
        <v>5124</v>
      </c>
      <c r="X14" s="10">
        <v>5764</v>
      </c>
      <c r="Y14" s="10">
        <v>0</v>
      </c>
      <c r="Z14" s="10">
        <v>0</v>
      </c>
      <c r="AA14" s="11">
        <v>0</v>
      </c>
      <c r="AB14" s="51">
        <f t="shared" si="1"/>
        <v>99272</v>
      </c>
      <c r="AC14" s="51">
        <f t="shared" si="0"/>
        <v>168262</v>
      </c>
    </row>
    <row r="15" spans="1:29" ht="19.5" thickBot="1">
      <c r="A15" s="1" t="s">
        <v>1</v>
      </c>
      <c r="B15" s="26" t="s">
        <v>61</v>
      </c>
      <c r="C15" s="28">
        <v>1135</v>
      </c>
      <c r="D15" s="28">
        <v>705</v>
      </c>
      <c r="E15" s="28">
        <v>0</v>
      </c>
      <c r="F15" s="43">
        <v>0</v>
      </c>
      <c r="G15" s="52">
        <f t="shared" si="2"/>
        <v>1840</v>
      </c>
      <c r="H15" s="52">
        <v>1930</v>
      </c>
      <c r="I15" s="52">
        <f t="shared" si="3"/>
        <v>1930</v>
      </c>
      <c r="J15" s="27">
        <v>375</v>
      </c>
      <c r="K15" s="28">
        <v>76</v>
      </c>
      <c r="L15" s="28">
        <v>605</v>
      </c>
      <c r="M15" s="28">
        <v>515</v>
      </c>
      <c r="N15" s="28">
        <v>450</v>
      </c>
      <c r="O15" s="28">
        <v>515</v>
      </c>
      <c r="P15" s="28">
        <v>280</v>
      </c>
      <c r="Q15" s="28">
        <v>315</v>
      </c>
      <c r="R15" s="28">
        <v>315</v>
      </c>
      <c r="S15" s="28">
        <v>440</v>
      </c>
      <c r="T15" s="28">
        <v>315</v>
      </c>
      <c r="U15" s="28">
        <v>315</v>
      </c>
      <c r="V15" s="28">
        <v>315</v>
      </c>
      <c r="W15" s="28">
        <v>280</v>
      </c>
      <c r="X15" s="28">
        <v>315</v>
      </c>
      <c r="Y15" s="28">
        <v>0</v>
      </c>
      <c r="Z15" s="28">
        <v>0</v>
      </c>
      <c r="AA15" s="29">
        <v>0</v>
      </c>
      <c r="AB15" s="52">
        <f t="shared" si="1"/>
        <v>5426</v>
      </c>
      <c r="AC15" s="52">
        <f t="shared" si="0"/>
        <v>9196</v>
      </c>
    </row>
    <row r="16" spans="1:29" ht="19.5" thickBot="1">
      <c r="A16" s="1" t="s">
        <v>1</v>
      </c>
      <c r="B16" s="30" t="s">
        <v>62</v>
      </c>
      <c r="C16" s="32">
        <v>191475</v>
      </c>
      <c r="D16" s="32">
        <v>118934</v>
      </c>
      <c r="E16" s="32">
        <v>0</v>
      </c>
      <c r="F16" s="44">
        <v>0</v>
      </c>
      <c r="G16" s="53">
        <f t="shared" si="2"/>
        <v>310409</v>
      </c>
      <c r="H16" s="53">
        <v>325591</v>
      </c>
      <c r="I16" s="53">
        <f t="shared" si="3"/>
        <v>325591</v>
      </c>
      <c r="J16" s="31">
        <v>63263</v>
      </c>
      <c r="K16" s="32">
        <v>12887</v>
      </c>
      <c r="L16" s="32">
        <v>102064</v>
      </c>
      <c r="M16" s="32">
        <v>86881</v>
      </c>
      <c r="N16" s="32">
        <v>75915</v>
      </c>
      <c r="O16" s="32">
        <v>86881</v>
      </c>
      <c r="P16" s="32">
        <v>47236</v>
      </c>
      <c r="Q16" s="32">
        <v>53141</v>
      </c>
      <c r="R16" s="32">
        <v>53141</v>
      </c>
      <c r="S16" s="32">
        <v>74228</v>
      </c>
      <c r="T16" s="32">
        <v>53141</v>
      </c>
      <c r="U16" s="32">
        <v>53141</v>
      </c>
      <c r="V16" s="32">
        <v>53141</v>
      </c>
      <c r="W16" s="32">
        <v>47236</v>
      </c>
      <c r="X16" s="32">
        <v>53141</v>
      </c>
      <c r="Y16" s="32">
        <v>0</v>
      </c>
      <c r="Z16" s="32">
        <v>0</v>
      </c>
      <c r="AA16" s="33">
        <v>0</v>
      </c>
      <c r="AB16" s="53">
        <f t="shared" si="1"/>
        <v>915437</v>
      </c>
      <c r="AC16" s="53">
        <f t="shared" si="0"/>
        <v>1551437</v>
      </c>
    </row>
    <row r="17" spans="1:29" ht="19.5" thickBot="1">
      <c r="A17" s="1" t="s">
        <v>1</v>
      </c>
      <c r="B17" s="34" t="s">
        <v>63</v>
      </c>
      <c r="C17" s="36">
        <v>15639</v>
      </c>
      <c r="D17" s="36">
        <v>12143</v>
      </c>
      <c r="E17" s="36">
        <v>0</v>
      </c>
      <c r="F17" s="45">
        <v>0</v>
      </c>
      <c r="G17" s="54">
        <f t="shared" si="2"/>
        <v>27782</v>
      </c>
      <c r="H17" s="54">
        <v>26594</v>
      </c>
      <c r="I17" s="54">
        <f t="shared" si="3"/>
        <v>26594</v>
      </c>
      <c r="J17" s="35">
        <v>2583</v>
      </c>
      <c r="K17" s="36">
        <v>1315</v>
      </c>
      <c r="L17" s="36">
        <v>6252</v>
      </c>
      <c r="M17" s="36">
        <v>8870</v>
      </c>
      <c r="N17" s="36">
        <v>4650</v>
      </c>
      <c r="O17" s="36">
        <v>7096</v>
      </c>
      <c r="P17" s="36">
        <v>3858</v>
      </c>
      <c r="Q17" s="36">
        <v>3255</v>
      </c>
      <c r="R17" s="36">
        <v>3255</v>
      </c>
      <c r="S17" s="36">
        <v>6062</v>
      </c>
      <c r="T17" s="36">
        <v>3255</v>
      </c>
      <c r="U17" s="36">
        <v>5425</v>
      </c>
      <c r="V17" s="36">
        <v>3255</v>
      </c>
      <c r="W17" s="36">
        <v>964</v>
      </c>
      <c r="X17" s="36">
        <v>3255</v>
      </c>
      <c r="Y17" s="36">
        <v>0</v>
      </c>
      <c r="Z17" s="36">
        <v>0</v>
      </c>
      <c r="AA17" s="37">
        <v>0</v>
      </c>
      <c r="AB17" s="54">
        <f t="shared" si="1"/>
        <v>63350</v>
      </c>
      <c r="AC17" s="54">
        <f t="shared" si="0"/>
        <v>117726</v>
      </c>
    </row>
    <row r="18" spans="1:29" ht="19.5" thickBot="1">
      <c r="A18" s="1" t="s">
        <v>1</v>
      </c>
      <c r="B18" s="30" t="s">
        <v>64</v>
      </c>
      <c r="C18" s="32">
        <v>35525</v>
      </c>
      <c r="D18" s="32">
        <v>22066</v>
      </c>
      <c r="E18" s="32">
        <v>0</v>
      </c>
      <c r="F18" s="44">
        <v>0</v>
      </c>
      <c r="G18" s="53">
        <f t="shared" si="2"/>
        <v>57591</v>
      </c>
      <c r="H18" s="53">
        <v>60409</v>
      </c>
      <c r="I18" s="53">
        <f t="shared" si="3"/>
        <v>60409</v>
      </c>
      <c r="J18" s="31">
        <v>11737</v>
      </c>
      <c r="K18" s="32">
        <v>2348</v>
      </c>
      <c r="L18" s="32">
        <v>18936</v>
      </c>
      <c r="M18" s="32">
        <v>16119</v>
      </c>
      <c r="N18" s="32">
        <v>14085</v>
      </c>
      <c r="O18" s="32">
        <v>16119</v>
      </c>
      <c r="P18" s="32">
        <v>8764</v>
      </c>
      <c r="Q18" s="32">
        <v>9859</v>
      </c>
      <c r="R18" s="32">
        <v>9859</v>
      </c>
      <c r="S18" s="32">
        <v>13772</v>
      </c>
      <c r="T18" s="32">
        <v>9859</v>
      </c>
      <c r="U18" s="32">
        <v>9859</v>
      </c>
      <c r="V18" s="32">
        <v>9859</v>
      </c>
      <c r="W18" s="32">
        <v>8764</v>
      </c>
      <c r="X18" s="32">
        <v>9859</v>
      </c>
      <c r="Y18" s="32">
        <v>0</v>
      </c>
      <c r="Z18" s="32">
        <v>0</v>
      </c>
      <c r="AA18" s="33">
        <v>0</v>
      </c>
      <c r="AB18" s="53">
        <f t="shared" si="1"/>
        <v>169798</v>
      </c>
      <c r="AC18" s="53">
        <f t="shared" si="0"/>
        <v>287798</v>
      </c>
    </row>
    <row r="19" spans="1:29" ht="19.5" thickBot="1">
      <c r="A19" s="1" t="s">
        <v>1</v>
      </c>
      <c r="B19" s="30" t="s">
        <v>65</v>
      </c>
      <c r="C19" s="32">
        <v>51164</v>
      </c>
      <c r="D19" s="32">
        <v>34209</v>
      </c>
      <c r="E19" s="32">
        <v>0</v>
      </c>
      <c r="F19" s="44">
        <v>0</v>
      </c>
      <c r="G19" s="53">
        <f t="shared" si="2"/>
        <v>85373</v>
      </c>
      <c r="H19" s="53">
        <v>87003</v>
      </c>
      <c r="I19" s="53">
        <f t="shared" si="3"/>
        <v>87003</v>
      </c>
      <c r="J19" s="31">
        <v>14320</v>
      </c>
      <c r="K19" s="32">
        <v>3663</v>
      </c>
      <c r="L19" s="32">
        <v>25188</v>
      </c>
      <c r="M19" s="32">
        <v>24989</v>
      </c>
      <c r="N19" s="32">
        <v>18735</v>
      </c>
      <c r="O19" s="32">
        <v>23215</v>
      </c>
      <c r="P19" s="32">
        <v>12622</v>
      </c>
      <c r="Q19" s="32">
        <v>13114</v>
      </c>
      <c r="R19" s="32">
        <v>13114</v>
      </c>
      <c r="S19" s="32">
        <v>19834</v>
      </c>
      <c r="T19" s="32">
        <v>13114</v>
      </c>
      <c r="U19" s="32">
        <v>15284</v>
      </c>
      <c r="V19" s="32">
        <v>13114</v>
      </c>
      <c r="W19" s="32">
        <v>9728</v>
      </c>
      <c r="X19" s="32">
        <v>13114</v>
      </c>
      <c r="Y19" s="32">
        <v>0</v>
      </c>
      <c r="Z19" s="32">
        <v>0</v>
      </c>
      <c r="AA19" s="33">
        <v>0</v>
      </c>
      <c r="AB19" s="53">
        <f t="shared" si="1"/>
        <v>233148</v>
      </c>
      <c r="AC19" s="53">
        <f t="shared" si="0"/>
        <v>405524</v>
      </c>
    </row>
    <row r="20" spans="1:29">
      <c r="A20" s="1" t="s">
        <v>1</v>
      </c>
      <c r="B20" s="18" t="s">
        <v>66</v>
      </c>
      <c r="C20" s="20">
        <v>25068</v>
      </c>
      <c r="D20" s="20">
        <v>28137</v>
      </c>
      <c r="E20" s="20">
        <v>320</v>
      </c>
      <c r="F20" s="41">
        <v>580</v>
      </c>
      <c r="G20" s="50">
        <f t="shared" si="2"/>
        <v>54105</v>
      </c>
      <c r="H20" s="50">
        <v>165950</v>
      </c>
      <c r="I20" s="50">
        <f t="shared" si="3"/>
        <v>165950</v>
      </c>
      <c r="J20" s="19">
        <v>55808</v>
      </c>
      <c r="K20" s="20">
        <v>36195</v>
      </c>
      <c r="L20" s="20">
        <v>15218</v>
      </c>
      <c r="M20" s="20">
        <v>29287</v>
      </c>
      <c r="N20" s="20">
        <v>17644</v>
      </c>
      <c r="O20" s="20">
        <v>25943</v>
      </c>
      <c r="P20" s="20">
        <v>11113</v>
      </c>
      <c r="Q20" s="20">
        <v>12322</v>
      </c>
      <c r="R20" s="20">
        <v>11610</v>
      </c>
      <c r="S20" s="20">
        <v>20886</v>
      </c>
      <c r="T20" s="20">
        <v>19512</v>
      </c>
      <c r="U20" s="20">
        <v>26811</v>
      </c>
      <c r="V20" s="20">
        <v>12015</v>
      </c>
      <c r="W20" s="20">
        <v>11301</v>
      </c>
      <c r="X20" s="20">
        <v>21690</v>
      </c>
      <c r="Y20" s="20">
        <v>26754</v>
      </c>
      <c r="Z20" s="20">
        <v>32130</v>
      </c>
      <c r="AA20" s="21">
        <v>23120</v>
      </c>
      <c r="AB20" s="50">
        <f t="shared" si="1"/>
        <v>409359</v>
      </c>
      <c r="AC20" s="50">
        <f t="shared" si="0"/>
        <v>629414</v>
      </c>
    </row>
    <row r="21" spans="1:29" ht="19.5" thickBot="1">
      <c r="A21" s="1" t="s">
        <v>1</v>
      </c>
      <c r="B21" s="26" t="s">
        <v>67</v>
      </c>
      <c r="C21" s="28">
        <v>0</v>
      </c>
      <c r="D21" s="28">
        <v>0</v>
      </c>
      <c r="E21" s="28">
        <v>0</v>
      </c>
      <c r="F21" s="43">
        <v>0</v>
      </c>
      <c r="G21" s="52">
        <f t="shared" si="2"/>
        <v>0</v>
      </c>
      <c r="H21" s="52">
        <v>0</v>
      </c>
      <c r="I21" s="52">
        <f t="shared" si="3"/>
        <v>0</v>
      </c>
      <c r="J21" s="27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9">
        <v>0</v>
      </c>
      <c r="AB21" s="52">
        <f t="shared" si="1"/>
        <v>0</v>
      </c>
      <c r="AC21" s="52">
        <f t="shared" si="0"/>
        <v>0</v>
      </c>
    </row>
    <row r="22" spans="1:29" ht="19.5" thickBot="1">
      <c r="A22" s="1" t="s">
        <v>1</v>
      </c>
      <c r="B22" s="30" t="s">
        <v>68</v>
      </c>
      <c r="C22" s="32">
        <v>25068</v>
      </c>
      <c r="D22" s="32">
        <v>28137</v>
      </c>
      <c r="E22" s="32">
        <v>320</v>
      </c>
      <c r="F22" s="44">
        <v>580</v>
      </c>
      <c r="G22" s="53">
        <f t="shared" si="2"/>
        <v>54105</v>
      </c>
      <c r="H22" s="53">
        <v>165950</v>
      </c>
      <c r="I22" s="53">
        <f t="shared" si="3"/>
        <v>165950</v>
      </c>
      <c r="J22" s="31">
        <v>55808</v>
      </c>
      <c r="K22" s="32">
        <v>36195</v>
      </c>
      <c r="L22" s="32">
        <v>15218</v>
      </c>
      <c r="M22" s="32">
        <v>29287</v>
      </c>
      <c r="N22" s="32">
        <v>17644</v>
      </c>
      <c r="O22" s="32">
        <v>25943</v>
      </c>
      <c r="P22" s="32">
        <v>11113</v>
      </c>
      <c r="Q22" s="32">
        <v>12322</v>
      </c>
      <c r="R22" s="32">
        <v>11610</v>
      </c>
      <c r="S22" s="32">
        <v>20886</v>
      </c>
      <c r="T22" s="32">
        <v>19512</v>
      </c>
      <c r="U22" s="32">
        <v>26811</v>
      </c>
      <c r="V22" s="32">
        <v>12015</v>
      </c>
      <c r="W22" s="32">
        <v>11301</v>
      </c>
      <c r="X22" s="32">
        <v>21690</v>
      </c>
      <c r="Y22" s="32">
        <v>26754</v>
      </c>
      <c r="Z22" s="32">
        <v>32130</v>
      </c>
      <c r="AA22" s="33">
        <v>23120</v>
      </c>
      <c r="AB22" s="53">
        <f t="shared" si="1"/>
        <v>409359</v>
      </c>
      <c r="AC22" s="53">
        <f t="shared" si="0"/>
        <v>629414</v>
      </c>
    </row>
    <row r="23" spans="1:29" ht="19.5" thickBot="1">
      <c r="A23" s="1" t="s">
        <v>1</v>
      </c>
      <c r="B23" s="30" t="s">
        <v>69</v>
      </c>
      <c r="C23" s="32">
        <v>200904</v>
      </c>
      <c r="D23" s="32">
        <v>134928</v>
      </c>
      <c r="E23" s="32">
        <v>320</v>
      </c>
      <c r="F23" s="44">
        <v>580</v>
      </c>
      <c r="G23" s="53">
        <f t="shared" si="2"/>
        <v>336732</v>
      </c>
      <c r="H23" s="53">
        <v>464947</v>
      </c>
      <c r="I23" s="53">
        <f t="shared" si="3"/>
        <v>464947</v>
      </c>
      <c r="J23" s="31">
        <v>116488</v>
      </c>
      <c r="K23" s="32">
        <v>47767</v>
      </c>
      <c r="L23" s="32">
        <v>111030</v>
      </c>
      <c r="M23" s="32">
        <v>107298</v>
      </c>
      <c r="N23" s="32">
        <v>88909</v>
      </c>
      <c r="O23" s="32">
        <v>105728</v>
      </c>
      <c r="P23" s="32">
        <v>54491</v>
      </c>
      <c r="Q23" s="32">
        <v>62208</v>
      </c>
      <c r="R23" s="32">
        <v>61496</v>
      </c>
      <c r="S23" s="32">
        <v>89052</v>
      </c>
      <c r="T23" s="32">
        <v>69398</v>
      </c>
      <c r="U23" s="32">
        <v>74527</v>
      </c>
      <c r="V23" s="32">
        <v>61901</v>
      </c>
      <c r="W23" s="32">
        <v>57573</v>
      </c>
      <c r="X23" s="32">
        <v>71576</v>
      </c>
      <c r="Y23" s="32">
        <v>26754</v>
      </c>
      <c r="Z23" s="32">
        <v>32130</v>
      </c>
      <c r="AA23" s="33">
        <v>23120</v>
      </c>
      <c r="AB23" s="53">
        <f t="shared" si="1"/>
        <v>1261446</v>
      </c>
      <c r="AC23" s="53">
        <f t="shared" si="0"/>
        <v>2063125</v>
      </c>
    </row>
    <row r="24" spans="1:29" ht="19.5" thickBot="1">
      <c r="A24" s="1" t="s">
        <v>1</v>
      </c>
      <c r="B24" s="30" t="s">
        <v>70</v>
      </c>
      <c r="C24" s="32">
        <v>0</v>
      </c>
      <c r="D24" s="32">
        <v>0</v>
      </c>
      <c r="E24" s="32">
        <v>0</v>
      </c>
      <c r="F24" s="44">
        <v>0</v>
      </c>
      <c r="G24" s="53">
        <f t="shared" si="2"/>
        <v>0</v>
      </c>
      <c r="H24" s="53">
        <v>0</v>
      </c>
      <c r="I24" s="53">
        <f t="shared" si="3"/>
        <v>0</v>
      </c>
      <c r="J24" s="31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3">
        <v>0</v>
      </c>
      <c r="AB24" s="53">
        <f t="shared" si="1"/>
        <v>0</v>
      </c>
      <c r="AC24" s="53">
        <f t="shared" si="0"/>
        <v>0</v>
      </c>
    </row>
    <row r="25" spans="1:29" ht="19.5" thickBot="1">
      <c r="A25" s="1" t="s">
        <v>1</v>
      </c>
      <c r="B25" s="30" t="s">
        <v>71</v>
      </c>
      <c r="C25" s="32">
        <v>200904</v>
      </c>
      <c r="D25" s="32">
        <v>134928</v>
      </c>
      <c r="E25" s="32">
        <v>320</v>
      </c>
      <c r="F25" s="44">
        <v>580</v>
      </c>
      <c r="G25" s="53">
        <f t="shared" si="2"/>
        <v>336732</v>
      </c>
      <c r="H25" s="53">
        <v>464947</v>
      </c>
      <c r="I25" s="53">
        <f t="shared" si="3"/>
        <v>464947</v>
      </c>
      <c r="J25" s="31">
        <v>116488</v>
      </c>
      <c r="K25" s="32">
        <v>47767</v>
      </c>
      <c r="L25" s="32">
        <v>111030</v>
      </c>
      <c r="M25" s="32">
        <v>107298</v>
      </c>
      <c r="N25" s="32">
        <v>88909</v>
      </c>
      <c r="O25" s="32">
        <v>105728</v>
      </c>
      <c r="P25" s="32">
        <v>54491</v>
      </c>
      <c r="Q25" s="32">
        <v>62208</v>
      </c>
      <c r="R25" s="32">
        <v>61496</v>
      </c>
      <c r="S25" s="32">
        <v>89052</v>
      </c>
      <c r="T25" s="32">
        <v>69398</v>
      </c>
      <c r="U25" s="32">
        <v>74527</v>
      </c>
      <c r="V25" s="32">
        <v>61901</v>
      </c>
      <c r="W25" s="32">
        <v>57573</v>
      </c>
      <c r="X25" s="32">
        <v>71576</v>
      </c>
      <c r="Y25" s="32">
        <v>26754</v>
      </c>
      <c r="Z25" s="32">
        <v>32130</v>
      </c>
      <c r="AA25" s="33">
        <v>23120</v>
      </c>
      <c r="AB25" s="53">
        <f t="shared" si="1"/>
        <v>1261446</v>
      </c>
      <c r="AC25" s="53">
        <f t="shared" si="0"/>
        <v>2063125</v>
      </c>
    </row>
    <row r="26" spans="1:29">
      <c r="A26" s="1" t="s">
        <v>1</v>
      </c>
      <c r="B26" s="18" t="s">
        <v>72</v>
      </c>
      <c r="C26" s="20">
        <v>0</v>
      </c>
      <c r="D26" s="20">
        <v>1</v>
      </c>
      <c r="E26" s="20">
        <v>0</v>
      </c>
      <c r="F26" s="41">
        <v>0</v>
      </c>
      <c r="G26" s="50"/>
      <c r="H26" s="50">
        <v>0</v>
      </c>
      <c r="I26" s="50"/>
      <c r="J26" s="19">
        <v>1</v>
      </c>
      <c r="K26" s="20">
        <v>0</v>
      </c>
      <c r="L26" s="20">
        <v>1</v>
      </c>
      <c r="M26" s="20">
        <v>0</v>
      </c>
      <c r="N26" s="20">
        <v>1</v>
      </c>
      <c r="O26" s="20">
        <v>0</v>
      </c>
      <c r="P26" s="20">
        <v>0</v>
      </c>
      <c r="Q26" s="20">
        <v>1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3</v>
      </c>
      <c r="X26" s="20">
        <v>0</v>
      </c>
      <c r="Y26" s="20">
        <v>0</v>
      </c>
      <c r="Z26" s="20">
        <v>1</v>
      </c>
      <c r="AA26" s="21">
        <v>0</v>
      </c>
      <c r="AB26" s="50"/>
      <c r="AC26" s="50"/>
    </row>
    <row r="27" spans="1:29">
      <c r="A27" s="1" t="s">
        <v>1</v>
      </c>
      <c r="B27" s="4" t="s">
        <v>73</v>
      </c>
      <c r="C27" s="13">
        <v>8.1679999999999993</v>
      </c>
      <c r="D27" s="13">
        <v>10.210000000000001</v>
      </c>
      <c r="E27" s="13">
        <v>4.0839999999999996</v>
      </c>
      <c r="F27" s="46">
        <v>4.0839999999999996</v>
      </c>
      <c r="G27" s="55"/>
      <c r="H27" s="55">
        <v>8.1679999999999993</v>
      </c>
      <c r="I27" s="55"/>
      <c r="J27" s="12">
        <v>4.0839999999999996</v>
      </c>
      <c r="K27" s="13">
        <v>10.210000000000001</v>
      </c>
      <c r="L27" s="13">
        <v>6.1260000000000003</v>
      </c>
      <c r="M27" s="13">
        <v>10.210000000000001</v>
      </c>
      <c r="N27" s="13">
        <v>6.1260000000000003</v>
      </c>
      <c r="O27" s="13">
        <v>8.1679999999999993</v>
      </c>
      <c r="P27" s="13">
        <v>8.1679999999999993</v>
      </c>
      <c r="Q27" s="13">
        <v>6.1260000000000003</v>
      </c>
      <c r="R27" s="13">
        <v>6.1260000000000003</v>
      </c>
      <c r="S27" s="13">
        <v>8.1679999999999993</v>
      </c>
      <c r="T27" s="13">
        <v>6.1260000000000003</v>
      </c>
      <c r="U27" s="13">
        <v>10.210000000000001</v>
      </c>
      <c r="V27" s="13">
        <v>6.1260000000000003</v>
      </c>
      <c r="W27" s="13">
        <v>2.0419999999999998</v>
      </c>
      <c r="X27" s="13">
        <v>6.1260000000000003</v>
      </c>
      <c r="Y27" s="13">
        <v>6.1260000000000003</v>
      </c>
      <c r="Z27" s="13">
        <v>0</v>
      </c>
      <c r="AA27" s="14">
        <v>0</v>
      </c>
      <c r="AB27" s="55"/>
      <c r="AC27" s="55"/>
    </row>
    <row r="28" spans="1:29" ht="19.5" thickBot="1">
      <c r="A28" s="1" t="s">
        <v>1</v>
      </c>
      <c r="B28" s="5" t="s">
        <v>74</v>
      </c>
      <c r="C28" s="16">
        <v>324823</v>
      </c>
      <c r="D28" s="16">
        <v>379328</v>
      </c>
      <c r="E28" s="16">
        <v>83228</v>
      </c>
      <c r="F28" s="47">
        <v>79491</v>
      </c>
      <c r="G28" s="56"/>
      <c r="H28" s="56">
        <v>308289</v>
      </c>
      <c r="I28" s="56"/>
      <c r="J28" s="15">
        <v>267479</v>
      </c>
      <c r="K28" s="16">
        <v>334615</v>
      </c>
      <c r="L28" s="16">
        <v>329144</v>
      </c>
      <c r="M28" s="16">
        <v>341538</v>
      </c>
      <c r="N28" s="16">
        <v>300357</v>
      </c>
      <c r="O28" s="16">
        <v>329209</v>
      </c>
      <c r="P28" s="16">
        <v>310071</v>
      </c>
      <c r="Q28" s="16">
        <v>284390</v>
      </c>
      <c r="R28" s="16">
        <v>282754</v>
      </c>
      <c r="S28" s="16">
        <v>317640</v>
      </c>
      <c r="T28" s="16">
        <v>292661</v>
      </c>
      <c r="U28" s="16">
        <v>346543</v>
      </c>
      <c r="V28" s="16">
        <v>253811</v>
      </c>
      <c r="W28" s="16">
        <v>245749</v>
      </c>
      <c r="X28" s="16">
        <v>291841</v>
      </c>
      <c r="Y28" s="16">
        <v>297885</v>
      </c>
      <c r="Z28" s="16">
        <v>0</v>
      </c>
      <c r="AA28" s="17">
        <v>0</v>
      </c>
      <c r="AB28" s="56"/>
      <c r="AC28" s="56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ED1E-DCA7-4A91-9BAA-759DAB67FE98}">
  <dimension ref="A1:J28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/>
    </sheetView>
  </sheetViews>
  <sheetFormatPr defaultRowHeight="18.75"/>
  <cols>
    <col min="1" max="1" width="2.375" style="2" customWidth="1"/>
    <col min="2" max="2" width="13.25" style="2" bestFit="1" customWidth="1"/>
    <col min="3" max="10" width="11.875" style="2" customWidth="1"/>
    <col min="11" max="234" width="9" style="2"/>
    <col min="235" max="235" width="2.375" style="2" customWidth="1"/>
    <col min="236" max="236" width="13.25" style="2" bestFit="1" customWidth="1"/>
    <col min="237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62" width="11.125" style="2" bestFit="1" customWidth="1"/>
    <col min="263" max="263" width="9" style="2"/>
    <col min="264" max="264" width="7.125" style="2" bestFit="1" customWidth="1"/>
    <col min="265" max="265" width="9.625" style="2" bestFit="1" customWidth="1"/>
    <col min="266" max="490" width="9" style="2"/>
    <col min="491" max="491" width="2.375" style="2" customWidth="1"/>
    <col min="492" max="492" width="13.25" style="2" bestFit="1" customWidth="1"/>
    <col min="493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8" width="11.125" style="2" bestFit="1" customWidth="1"/>
    <col min="519" max="519" width="9" style="2"/>
    <col min="520" max="520" width="7.125" style="2" bestFit="1" customWidth="1"/>
    <col min="521" max="521" width="9.625" style="2" bestFit="1" customWidth="1"/>
    <col min="522" max="746" width="9" style="2"/>
    <col min="747" max="747" width="2.375" style="2" customWidth="1"/>
    <col min="748" max="748" width="13.25" style="2" bestFit="1" customWidth="1"/>
    <col min="749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4" width="11.125" style="2" bestFit="1" customWidth="1"/>
    <col min="775" max="775" width="9" style="2"/>
    <col min="776" max="776" width="7.125" style="2" bestFit="1" customWidth="1"/>
    <col min="777" max="777" width="9.625" style="2" bestFit="1" customWidth="1"/>
    <col min="778" max="1002" width="9" style="2"/>
    <col min="1003" max="1003" width="2.375" style="2" customWidth="1"/>
    <col min="1004" max="1004" width="13.25" style="2" bestFit="1" customWidth="1"/>
    <col min="1005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30" width="11.125" style="2" bestFit="1" customWidth="1"/>
    <col min="1031" max="1031" width="9" style="2"/>
    <col min="1032" max="1032" width="7.125" style="2" bestFit="1" customWidth="1"/>
    <col min="1033" max="1033" width="9.625" style="2" bestFit="1" customWidth="1"/>
    <col min="1034" max="1258" width="9" style="2"/>
    <col min="1259" max="1259" width="2.375" style="2" customWidth="1"/>
    <col min="1260" max="1260" width="13.25" style="2" bestFit="1" customWidth="1"/>
    <col min="1261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6" width="11.125" style="2" bestFit="1" customWidth="1"/>
    <col min="1287" max="1287" width="9" style="2"/>
    <col min="1288" max="1288" width="7.125" style="2" bestFit="1" customWidth="1"/>
    <col min="1289" max="1289" width="9.625" style="2" bestFit="1" customWidth="1"/>
    <col min="1290" max="1514" width="9" style="2"/>
    <col min="1515" max="1515" width="2.375" style="2" customWidth="1"/>
    <col min="1516" max="1516" width="13.25" style="2" bestFit="1" customWidth="1"/>
    <col min="1517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42" width="11.125" style="2" bestFit="1" customWidth="1"/>
    <col min="1543" max="1543" width="9" style="2"/>
    <col min="1544" max="1544" width="7.125" style="2" bestFit="1" customWidth="1"/>
    <col min="1545" max="1545" width="9.625" style="2" bestFit="1" customWidth="1"/>
    <col min="1546" max="1770" width="9" style="2"/>
    <col min="1771" max="1771" width="2.375" style="2" customWidth="1"/>
    <col min="1772" max="1772" width="13.25" style="2" bestFit="1" customWidth="1"/>
    <col min="1773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8" width="11.125" style="2" bestFit="1" customWidth="1"/>
    <col min="1799" max="1799" width="9" style="2"/>
    <col min="1800" max="1800" width="7.125" style="2" bestFit="1" customWidth="1"/>
    <col min="1801" max="1801" width="9.625" style="2" bestFit="1" customWidth="1"/>
    <col min="1802" max="2026" width="9" style="2"/>
    <col min="2027" max="2027" width="2.375" style="2" customWidth="1"/>
    <col min="2028" max="2028" width="13.25" style="2" bestFit="1" customWidth="1"/>
    <col min="2029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4" width="11.125" style="2" bestFit="1" customWidth="1"/>
    <col min="2055" max="2055" width="9" style="2"/>
    <col min="2056" max="2056" width="7.125" style="2" bestFit="1" customWidth="1"/>
    <col min="2057" max="2057" width="9.625" style="2" bestFit="1" customWidth="1"/>
    <col min="2058" max="2282" width="9" style="2"/>
    <col min="2283" max="2283" width="2.375" style="2" customWidth="1"/>
    <col min="2284" max="2284" width="13.25" style="2" bestFit="1" customWidth="1"/>
    <col min="2285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10" width="11.125" style="2" bestFit="1" customWidth="1"/>
    <col min="2311" max="2311" width="9" style="2"/>
    <col min="2312" max="2312" width="7.125" style="2" bestFit="1" customWidth="1"/>
    <col min="2313" max="2313" width="9.625" style="2" bestFit="1" customWidth="1"/>
    <col min="2314" max="2538" width="9" style="2"/>
    <col min="2539" max="2539" width="2.375" style="2" customWidth="1"/>
    <col min="2540" max="2540" width="13.25" style="2" bestFit="1" customWidth="1"/>
    <col min="2541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6" width="11.125" style="2" bestFit="1" customWidth="1"/>
    <col min="2567" max="2567" width="9" style="2"/>
    <col min="2568" max="2568" width="7.125" style="2" bestFit="1" customWidth="1"/>
    <col min="2569" max="2569" width="9.625" style="2" bestFit="1" customWidth="1"/>
    <col min="2570" max="2794" width="9" style="2"/>
    <col min="2795" max="2795" width="2.375" style="2" customWidth="1"/>
    <col min="2796" max="2796" width="13.25" style="2" bestFit="1" customWidth="1"/>
    <col min="2797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22" width="11.125" style="2" bestFit="1" customWidth="1"/>
    <col min="2823" max="2823" width="9" style="2"/>
    <col min="2824" max="2824" width="7.125" style="2" bestFit="1" customWidth="1"/>
    <col min="2825" max="2825" width="9.625" style="2" bestFit="1" customWidth="1"/>
    <col min="2826" max="3050" width="9" style="2"/>
    <col min="3051" max="3051" width="2.375" style="2" customWidth="1"/>
    <col min="3052" max="3052" width="13.25" style="2" bestFit="1" customWidth="1"/>
    <col min="3053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8" width="11.125" style="2" bestFit="1" customWidth="1"/>
    <col min="3079" max="3079" width="9" style="2"/>
    <col min="3080" max="3080" width="7.125" style="2" bestFit="1" customWidth="1"/>
    <col min="3081" max="3081" width="9.625" style="2" bestFit="1" customWidth="1"/>
    <col min="3082" max="3306" width="9" style="2"/>
    <col min="3307" max="3307" width="2.375" style="2" customWidth="1"/>
    <col min="3308" max="3308" width="13.25" style="2" bestFit="1" customWidth="1"/>
    <col min="3309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4" width="11.125" style="2" bestFit="1" customWidth="1"/>
    <col min="3335" max="3335" width="9" style="2"/>
    <col min="3336" max="3336" width="7.125" style="2" bestFit="1" customWidth="1"/>
    <col min="3337" max="3337" width="9.625" style="2" bestFit="1" customWidth="1"/>
    <col min="3338" max="3562" width="9" style="2"/>
    <col min="3563" max="3563" width="2.375" style="2" customWidth="1"/>
    <col min="3564" max="3564" width="13.25" style="2" bestFit="1" customWidth="1"/>
    <col min="3565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90" width="11.125" style="2" bestFit="1" customWidth="1"/>
    <col min="3591" max="3591" width="9" style="2"/>
    <col min="3592" max="3592" width="7.125" style="2" bestFit="1" customWidth="1"/>
    <col min="3593" max="3593" width="9.625" style="2" bestFit="1" customWidth="1"/>
    <col min="3594" max="3818" width="9" style="2"/>
    <col min="3819" max="3819" width="2.375" style="2" customWidth="1"/>
    <col min="3820" max="3820" width="13.25" style="2" bestFit="1" customWidth="1"/>
    <col min="3821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6" width="11.125" style="2" bestFit="1" customWidth="1"/>
    <col min="3847" max="3847" width="9" style="2"/>
    <col min="3848" max="3848" width="7.125" style="2" bestFit="1" customWidth="1"/>
    <col min="3849" max="3849" width="9.625" style="2" bestFit="1" customWidth="1"/>
    <col min="3850" max="4074" width="9" style="2"/>
    <col min="4075" max="4075" width="2.375" style="2" customWidth="1"/>
    <col min="4076" max="4076" width="13.25" style="2" bestFit="1" customWidth="1"/>
    <col min="4077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102" width="11.125" style="2" bestFit="1" customWidth="1"/>
    <col min="4103" max="4103" width="9" style="2"/>
    <col min="4104" max="4104" width="7.125" style="2" bestFit="1" customWidth="1"/>
    <col min="4105" max="4105" width="9.625" style="2" bestFit="1" customWidth="1"/>
    <col min="4106" max="4330" width="9" style="2"/>
    <col min="4331" max="4331" width="2.375" style="2" customWidth="1"/>
    <col min="4332" max="4332" width="13.25" style="2" bestFit="1" customWidth="1"/>
    <col min="4333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8" width="11.125" style="2" bestFit="1" customWidth="1"/>
    <col min="4359" max="4359" width="9" style="2"/>
    <col min="4360" max="4360" width="7.125" style="2" bestFit="1" customWidth="1"/>
    <col min="4361" max="4361" width="9.625" style="2" bestFit="1" customWidth="1"/>
    <col min="4362" max="4586" width="9" style="2"/>
    <col min="4587" max="4587" width="2.375" style="2" customWidth="1"/>
    <col min="4588" max="4588" width="13.25" style="2" bestFit="1" customWidth="1"/>
    <col min="4589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4" width="11.125" style="2" bestFit="1" customWidth="1"/>
    <col min="4615" max="4615" width="9" style="2"/>
    <col min="4616" max="4616" width="7.125" style="2" bestFit="1" customWidth="1"/>
    <col min="4617" max="4617" width="9.625" style="2" bestFit="1" customWidth="1"/>
    <col min="4618" max="4842" width="9" style="2"/>
    <col min="4843" max="4843" width="2.375" style="2" customWidth="1"/>
    <col min="4844" max="4844" width="13.25" style="2" bestFit="1" customWidth="1"/>
    <col min="4845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70" width="11.125" style="2" bestFit="1" customWidth="1"/>
    <col min="4871" max="4871" width="9" style="2"/>
    <col min="4872" max="4872" width="7.125" style="2" bestFit="1" customWidth="1"/>
    <col min="4873" max="4873" width="9.625" style="2" bestFit="1" customWidth="1"/>
    <col min="4874" max="5098" width="9" style="2"/>
    <col min="5099" max="5099" width="2.375" style="2" customWidth="1"/>
    <col min="5100" max="5100" width="13.25" style="2" bestFit="1" customWidth="1"/>
    <col min="5101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6" width="11.125" style="2" bestFit="1" customWidth="1"/>
    <col min="5127" max="5127" width="9" style="2"/>
    <col min="5128" max="5128" width="7.125" style="2" bestFit="1" customWidth="1"/>
    <col min="5129" max="5129" width="9.625" style="2" bestFit="1" customWidth="1"/>
    <col min="5130" max="5354" width="9" style="2"/>
    <col min="5355" max="5355" width="2.375" style="2" customWidth="1"/>
    <col min="5356" max="5356" width="13.25" style="2" bestFit="1" customWidth="1"/>
    <col min="5357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82" width="11.125" style="2" bestFit="1" customWidth="1"/>
    <col min="5383" max="5383" width="9" style="2"/>
    <col min="5384" max="5384" width="7.125" style="2" bestFit="1" customWidth="1"/>
    <col min="5385" max="5385" width="9.625" style="2" bestFit="1" customWidth="1"/>
    <col min="5386" max="5610" width="9" style="2"/>
    <col min="5611" max="5611" width="2.375" style="2" customWidth="1"/>
    <col min="5612" max="5612" width="13.25" style="2" bestFit="1" customWidth="1"/>
    <col min="5613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8" width="11.125" style="2" bestFit="1" customWidth="1"/>
    <col min="5639" max="5639" width="9" style="2"/>
    <col min="5640" max="5640" width="7.125" style="2" bestFit="1" customWidth="1"/>
    <col min="5641" max="5641" width="9.625" style="2" bestFit="1" customWidth="1"/>
    <col min="5642" max="5866" width="9" style="2"/>
    <col min="5867" max="5867" width="2.375" style="2" customWidth="1"/>
    <col min="5868" max="5868" width="13.25" style="2" bestFit="1" customWidth="1"/>
    <col min="5869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4" width="11.125" style="2" bestFit="1" customWidth="1"/>
    <col min="5895" max="5895" width="9" style="2"/>
    <col min="5896" max="5896" width="7.125" style="2" bestFit="1" customWidth="1"/>
    <col min="5897" max="5897" width="9.625" style="2" bestFit="1" customWidth="1"/>
    <col min="5898" max="6122" width="9" style="2"/>
    <col min="6123" max="6123" width="2.375" style="2" customWidth="1"/>
    <col min="6124" max="6124" width="13.25" style="2" bestFit="1" customWidth="1"/>
    <col min="6125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50" width="11.125" style="2" bestFit="1" customWidth="1"/>
    <col min="6151" max="6151" width="9" style="2"/>
    <col min="6152" max="6152" width="7.125" style="2" bestFit="1" customWidth="1"/>
    <col min="6153" max="6153" width="9.625" style="2" bestFit="1" customWidth="1"/>
    <col min="6154" max="6378" width="9" style="2"/>
    <col min="6379" max="6379" width="2.375" style="2" customWidth="1"/>
    <col min="6380" max="6380" width="13.25" style="2" bestFit="1" customWidth="1"/>
    <col min="6381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6" width="11.125" style="2" bestFit="1" customWidth="1"/>
    <col min="6407" max="6407" width="9" style="2"/>
    <col min="6408" max="6408" width="7.125" style="2" bestFit="1" customWidth="1"/>
    <col min="6409" max="6409" width="9.625" style="2" bestFit="1" customWidth="1"/>
    <col min="6410" max="6634" width="9" style="2"/>
    <col min="6635" max="6635" width="2.375" style="2" customWidth="1"/>
    <col min="6636" max="6636" width="13.25" style="2" bestFit="1" customWidth="1"/>
    <col min="6637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62" width="11.125" style="2" bestFit="1" customWidth="1"/>
    <col min="6663" max="6663" width="9" style="2"/>
    <col min="6664" max="6664" width="7.125" style="2" bestFit="1" customWidth="1"/>
    <col min="6665" max="6665" width="9.625" style="2" bestFit="1" customWidth="1"/>
    <col min="6666" max="6890" width="9" style="2"/>
    <col min="6891" max="6891" width="2.375" style="2" customWidth="1"/>
    <col min="6892" max="6892" width="13.25" style="2" bestFit="1" customWidth="1"/>
    <col min="6893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8" width="11.125" style="2" bestFit="1" customWidth="1"/>
    <col min="6919" max="6919" width="9" style="2"/>
    <col min="6920" max="6920" width="7.125" style="2" bestFit="1" customWidth="1"/>
    <col min="6921" max="6921" width="9.625" style="2" bestFit="1" customWidth="1"/>
    <col min="6922" max="7146" width="9" style="2"/>
    <col min="7147" max="7147" width="2.375" style="2" customWidth="1"/>
    <col min="7148" max="7148" width="13.25" style="2" bestFit="1" customWidth="1"/>
    <col min="7149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4" width="11.125" style="2" bestFit="1" customWidth="1"/>
    <col min="7175" max="7175" width="9" style="2"/>
    <col min="7176" max="7176" width="7.125" style="2" bestFit="1" customWidth="1"/>
    <col min="7177" max="7177" width="9.625" style="2" bestFit="1" customWidth="1"/>
    <col min="7178" max="7402" width="9" style="2"/>
    <col min="7403" max="7403" width="2.375" style="2" customWidth="1"/>
    <col min="7404" max="7404" width="13.25" style="2" bestFit="1" customWidth="1"/>
    <col min="7405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30" width="11.125" style="2" bestFit="1" customWidth="1"/>
    <col min="7431" max="7431" width="9" style="2"/>
    <col min="7432" max="7432" width="7.125" style="2" bestFit="1" customWidth="1"/>
    <col min="7433" max="7433" width="9.625" style="2" bestFit="1" customWidth="1"/>
    <col min="7434" max="7658" width="9" style="2"/>
    <col min="7659" max="7659" width="2.375" style="2" customWidth="1"/>
    <col min="7660" max="7660" width="13.25" style="2" bestFit="1" customWidth="1"/>
    <col min="7661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6" width="11.125" style="2" bestFit="1" customWidth="1"/>
    <col min="7687" max="7687" width="9" style="2"/>
    <col min="7688" max="7688" width="7.125" style="2" bestFit="1" customWidth="1"/>
    <col min="7689" max="7689" width="9.625" style="2" bestFit="1" customWidth="1"/>
    <col min="7690" max="7914" width="9" style="2"/>
    <col min="7915" max="7915" width="2.375" style="2" customWidth="1"/>
    <col min="7916" max="7916" width="13.25" style="2" bestFit="1" customWidth="1"/>
    <col min="7917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42" width="11.125" style="2" bestFit="1" customWidth="1"/>
    <col min="7943" max="7943" width="9" style="2"/>
    <col min="7944" max="7944" width="7.125" style="2" bestFit="1" customWidth="1"/>
    <col min="7945" max="7945" width="9.625" style="2" bestFit="1" customWidth="1"/>
    <col min="7946" max="8170" width="9" style="2"/>
    <col min="8171" max="8171" width="2.375" style="2" customWidth="1"/>
    <col min="8172" max="8172" width="13.25" style="2" bestFit="1" customWidth="1"/>
    <col min="8173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8" width="11.125" style="2" bestFit="1" customWidth="1"/>
    <col min="8199" max="8199" width="9" style="2"/>
    <col min="8200" max="8200" width="7.125" style="2" bestFit="1" customWidth="1"/>
    <col min="8201" max="8201" width="9.625" style="2" bestFit="1" customWidth="1"/>
    <col min="8202" max="8426" width="9" style="2"/>
    <col min="8427" max="8427" width="2.375" style="2" customWidth="1"/>
    <col min="8428" max="8428" width="13.25" style="2" bestFit="1" customWidth="1"/>
    <col min="8429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4" width="11.125" style="2" bestFit="1" customWidth="1"/>
    <col min="8455" max="8455" width="9" style="2"/>
    <col min="8456" max="8456" width="7.125" style="2" bestFit="1" customWidth="1"/>
    <col min="8457" max="8457" width="9.625" style="2" bestFit="1" customWidth="1"/>
    <col min="8458" max="8682" width="9" style="2"/>
    <col min="8683" max="8683" width="2.375" style="2" customWidth="1"/>
    <col min="8684" max="8684" width="13.25" style="2" bestFit="1" customWidth="1"/>
    <col min="8685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10" width="11.125" style="2" bestFit="1" customWidth="1"/>
    <col min="8711" max="8711" width="9" style="2"/>
    <col min="8712" max="8712" width="7.125" style="2" bestFit="1" customWidth="1"/>
    <col min="8713" max="8713" width="9.625" style="2" bestFit="1" customWidth="1"/>
    <col min="8714" max="8938" width="9" style="2"/>
    <col min="8939" max="8939" width="2.375" style="2" customWidth="1"/>
    <col min="8940" max="8940" width="13.25" style="2" bestFit="1" customWidth="1"/>
    <col min="8941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6" width="11.125" style="2" bestFit="1" customWidth="1"/>
    <col min="8967" max="8967" width="9" style="2"/>
    <col min="8968" max="8968" width="7.125" style="2" bestFit="1" customWidth="1"/>
    <col min="8969" max="8969" width="9.625" style="2" bestFit="1" customWidth="1"/>
    <col min="8970" max="9194" width="9" style="2"/>
    <col min="9195" max="9195" width="2.375" style="2" customWidth="1"/>
    <col min="9196" max="9196" width="13.25" style="2" bestFit="1" customWidth="1"/>
    <col min="9197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22" width="11.125" style="2" bestFit="1" customWidth="1"/>
    <col min="9223" max="9223" width="9" style="2"/>
    <col min="9224" max="9224" width="7.125" style="2" bestFit="1" customWidth="1"/>
    <col min="9225" max="9225" width="9.625" style="2" bestFit="1" customWidth="1"/>
    <col min="9226" max="9450" width="9" style="2"/>
    <col min="9451" max="9451" width="2.375" style="2" customWidth="1"/>
    <col min="9452" max="9452" width="13.25" style="2" bestFit="1" customWidth="1"/>
    <col min="9453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8" width="11.125" style="2" bestFit="1" customWidth="1"/>
    <col min="9479" max="9479" width="9" style="2"/>
    <col min="9480" max="9480" width="7.125" style="2" bestFit="1" customWidth="1"/>
    <col min="9481" max="9481" width="9.625" style="2" bestFit="1" customWidth="1"/>
    <col min="9482" max="9706" width="9" style="2"/>
    <col min="9707" max="9707" width="2.375" style="2" customWidth="1"/>
    <col min="9708" max="9708" width="13.25" style="2" bestFit="1" customWidth="1"/>
    <col min="9709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4" width="11.125" style="2" bestFit="1" customWidth="1"/>
    <col min="9735" max="9735" width="9" style="2"/>
    <col min="9736" max="9736" width="7.125" style="2" bestFit="1" customWidth="1"/>
    <col min="9737" max="9737" width="9.625" style="2" bestFit="1" customWidth="1"/>
    <col min="9738" max="9962" width="9" style="2"/>
    <col min="9963" max="9963" width="2.375" style="2" customWidth="1"/>
    <col min="9964" max="9964" width="13.25" style="2" bestFit="1" customWidth="1"/>
    <col min="9965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90" width="11.125" style="2" bestFit="1" customWidth="1"/>
    <col min="9991" max="9991" width="9" style="2"/>
    <col min="9992" max="9992" width="7.125" style="2" bestFit="1" customWidth="1"/>
    <col min="9993" max="9993" width="9.625" style="2" bestFit="1" customWidth="1"/>
    <col min="9994" max="10218" width="9" style="2"/>
    <col min="10219" max="10219" width="2.375" style="2" customWidth="1"/>
    <col min="10220" max="10220" width="13.25" style="2" bestFit="1" customWidth="1"/>
    <col min="10221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6" width="11.125" style="2" bestFit="1" customWidth="1"/>
    <col min="10247" max="10247" width="9" style="2"/>
    <col min="10248" max="10248" width="7.125" style="2" bestFit="1" customWidth="1"/>
    <col min="10249" max="10249" width="9.625" style="2" bestFit="1" customWidth="1"/>
    <col min="10250" max="10474" width="9" style="2"/>
    <col min="10475" max="10475" width="2.375" style="2" customWidth="1"/>
    <col min="10476" max="10476" width="13.25" style="2" bestFit="1" customWidth="1"/>
    <col min="10477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502" width="11.125" style="2" bestFit="1" customWidth="1"/>
    <col min="10503" max="10503" width="9" style="2"/>
    <col min="10504" max="10504" width="7.125" style="2" bestFit="1" customWidth="1"/>
    <col min="10505" max="10505" width="9.625" style="2" bestFit="1" customWidth="1"/>
    <col min="10506" max="10730" width="9" style="2"/>
    <col min="10731" max="10731" width="2.375" style="2" customWidth="1"/>
    <col min="10732" max="10732" width="13.25" style="2" bestFit="1" customWidth="1"/>
    <col min="10733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8" width="11.125" style="2" bestFit="1" customWidth="1"/>
    <col min="10759" max="10759" width="9" style="2"/>
    <col min="10760" max="10760" width="7.125" style="2" bestFit="1" customWidth="1"/>
    <col min="10761" max="10761" width="9.625" style="2" bestFit="1" customWidth="1"/>
    <col min="10762" max="10986" width="9" style="2"/>
    <col min="10987" max="10987" width="2.375" style="2" customWidth="1"/>
    <col min="10988" max="10988" width="13.25" style="2" bestFit="1" customWidth="1"/>
    <col min="10989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4" width="11.125" style="2" bestFit="1" customWidth="1"/>
    <col min="11015" max="11015" width="9" style="2"/>
    <col min="11016" max="11016" width="7.125" style="2" bestFit="1" customWidth="1"/>
    <col min="11017" max="11017" width="9.625" style="2" bestFit="1" customWidth="1"/>
    <col min="11018" max="11242" width="9" style="2"/>
    <col min="11243" max="11243" width="2.375" style="2" customWidth="1"/>
    <col min="11244" max="11244" width="13.25" style="2" bestFit="1" customWidth="1"/>
    <col min="11245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70" width="11.125" style="2" bestFit="1" customWidth="1"/>
    <col min="11271" max="11271" width="9" style="2"/>
    <col min="11272" max="11272" width="7.125" style="2" bestFit="1" customWidth="1"/>
    <col min="11273" max="11273" width="9.625" style="2" bestFit="1" customWidth="1"/>
    <col min="11274" max="11498" width="9" style="2"/>
    <col min="11499" max="11499" width="2.375" style="2" customWidth="1"/>
    <col min="11500" max="11500" width="13.25" style="2" bestFit="1" customWidth="1"/>
    <col min="11501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6" width="11.125" style="2" bestFit="1" customWidth="1"/>
    <col min="11527" max="11527" width="9" style="2"/>
    <col min="11528" max="11528" width="7.125" style="2" bestFit="1" customWidth="1"/>
    <col min="11529" max="11529" width="9.625" style="2" bestFit="1" customWidth="1"/>
    <col min="11530" max="11754" width="9" style="2"/>
    <col min="11755" max="11755" width="2.375" style="2" customWidth="1"/>
    <col min="11756" max="11756" width="13.25" style="2" bestFit="1" customWidth="1"/>
    <col min="11757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82" width="11.125" style="2" bestFit="1" customWidth="1"/>
    <col min="11783" max="11783" width="9" style="2"/>
    <col min="11784" max="11784" width="7.125" style="2" bestFit="1" customWidth="1"/>
    <col min="11785" max="11785" width="9.625" style="2" bestFit="1" customWidth="1"/>
    <col min="11786" max="12010" width="9" style="2"/>
    <col min="12011" max="12011" width="2.375" style="2" customWidth="1"/>
    <col min="12012" max="12012" width="13.25" style="2" bestFit="1" customWidth="1"/>
    <col min="12013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8" width="11.125" style="2" bestFit="1" customWidth="1"/>
    <col min="12039" max="12039" width="9" style="2"/>
    <col min="12040" max="12040" width="7.125" style="2" bestFit="1" customWidth="1"/>
    <col min="12041" max="12041" width="9.625" style="2" bestFit="1" customWidth="1"/>
    <col min="12042" max="12266" width="9" style="2"/>
    <col min="12267" max="12267" width="2.375" style="2" customWidth="1"/>
    <col min="12268" max="12268" width="13.25" style="2" bestFit="1" customWidth="1"/>
    <col min="12269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4" width="11.125" style="2" bestFit="1" customWidth="1"/>
    <col min="12295" max="12295" width="9" style="2"/>
    <col min="12296" max="12296" width="7.125" style="2" bestFit="1" customWidth="1"/>
    <col min="12297" max="12297" width="9.625" style="2" bestFit="1" customWidth="1"/>
    <col min="12298" max="12522" width="9" style="2"/>
    <col min="12523" max="12523" width="2.375" style="2" customWidth="1"/>
    <col min="12524" max="12524" width="13.25" style="2" bestFit="1" customWidth="1"/>
    <col min="12525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50" width="11.125" style="2" bestFit="1" customWidth="1"/>
    <col min="12551" max="12551" width="9" style="2"/>
    <col min="12552" max="12552" width="7.125" style="2" bestFit="1" customWidth="1"/>
    <col min="12553" max="12553" width="9.625" style="2" bestFit="1" customWidth="1"/>
    <col min="12554" max="12778" width="9" style="2"/>
    <col min="12779" max="12779" width="2.375" style="2" customWidth="1"/>
    <col min="12780" max="12780" width="13.25" style="2" bestFit="1" customWidth="1"/>
    <col min="12781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6" width="11.125" style="2" bestFit="1" customWidth="1"/>
    <col min="12807" max="12807" width="9" style="2"/>
    <col min="12808" max="12808" width="7.125" style="2" bestFit="1" customWidth="1"/>
    <col min="12809" max="12809" width="9.625" style="2" bestFit="1" customWidth="1"/>
    <col min="12810" max="13034" width="9" style="2"/>
    <col min="13035" max="13035" width="2.375" style="2" customWidth="1"/>
    <col min="13036" max="13036" width="13.25" style="2" bestFit="1" customWidth="1"/>
    <col min="13037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62" width="11.125" style="2" bestFit="1" customWidth="1"/>
    <col min="13063" max="13063" width="9" style="2"/>
    <col min="13064" max="13064" width="7.125" style="2" bestFit="1" customWidth="1"/>
    <col min="13065" max="13065" width="9.625" style="2" bestFit="1" customWidth="1"/>
    <col min="13066" max="13290" width="9" style="2"/>
    <col min="13291" max="13291" width="2.375" style="2" customWidth="1"/>
    <col min="13292" max="13292" width="13.25" style="2" bestFit="1" customWidth="1"/>
    <col min="13293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8" width="11.125" style="2" bestFit="1" customWidth="1"/>
    <col min="13319" max="13319" width="9" style="2"/>
    <col min="13320" max="13320" width="7.125" style="2" bestFit="1" customWidth="1"/>
    <col min="13321" max="13321" width="9.625" style="2" bestFit="1" customWidth="1"/>
    <col min="13322" max="13546" width="9" style="2"/>
    <col min="13547" max="13547" width="2.375" style="2" customWidth="1"/>
    <col min="13548" max="13548" width="13.25" style="2" bestFit="1" customWidth="1"/>
    <col min="13549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4" width="11.125" style="2" bestFit="1" customWidth="1"/>
    <col min="13575" max="13575" width="9" style="2"/>
    <col min="13576" max="13576" width="7.125" style="2" bestFit="1" customWidth="1"/>
    <col min="13577" max="13577" width="9.625" style="2" bestFit="1" customWidth="1"/>
    <col min="13578" max="13802" width="9" style="2"/>
    <col min="13803" max="13803" width="2.375" style="2" customWidth="1"/>
    <col min="13804" max="13804" width="13.25" style="2" bestFit="1" customWidth="1"/>
    <col min="13805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30" width="11.125" style="2" bestFit="1" customWidth="1"/>
    <col min="13831" max="13831" width="9" style="2"/>
    <col min="13832" max="13832" width="7.125" style="2" bestFit="1" customWidth="1"/>
    <col min="13833" max="13833" width="9.625" style="2" bestFit="1" customWidth="1"/>
    <col min="13834" max="14058" width="9" style="2"/>
    <col min="14059" max="14059" width="2.375" style="2" customWidth="1"/>
    <col min="14060" max="14060" width="13.25" style="2" bestFit="1" customWidth="1"/>
    <col min="14061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6" width="11.125" style="2" bestFit="1" customWidth="1"/>
    <col min="14087" max="14087" width="9" style="2"/>
    <col min="14088" max="14088" width="7.125" style="2" bestFit="1" customWidth="1"/>
    <col min="14089" max="14089" width="9.625" style="2" bestFit="1" customWidth="1"/>
    <col min="14090" max="14314" width="9" style="2"/>
    <col min="14315" max="14315" width="2.375" style="2" customWidth="1"/>
    <col min="14316" max="14316" width="13.25" style="2" bestFit="1" customWidth="1"/>
    <col min="14317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42" width="11.125" style="2" bestFit="1" customWidth="1"/>
    <col min="14343" max="14343" width="9" style="2"/>
    <col min="14344" max="14344" width="7.125" style="2" bestFit="1" customWidth="1"/>
    <col min="14345" max="14345" width="9.625" style="2" bestFit="1" customWidth="1"/>
    <col min="14346" max="14570" width="9" style="2"/>
    <col min="14571" max="14571" width="2.375" style="2" customWidth="1"/>
    <col min="14572" max="14572" width="13.25" style="2" bestFit="1" customWidth="1"/>
    <col min="14573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8" width="11.125" style="2" bestFit="1" customWidth="1"/>
    <col min="14599" max="14599" width="9" style="2"/>
    <col min="14600" max="14600" width="7.125" style="2" bestFit="1" customWidth="1"/>
    <col min="14601" max="14601" width="9.625" style="2" bestFit="1" customWidth="1"/>
    <col min="14602" max="14826" width="9" style="2"/>
    <col min="14827" max="14827" width="2.375" style="2" customWidth="1"/>
    <col min="14828" max="14828" width="13.25" style="2" bestFit="1" customWidth="1"/>
    <col min="14829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4" width="11.125" style="2" bestFit="1" customWidth="1"/>
    <col min="14855" max="14855" width="9" style="2"/>
    <col min="14856" max="14856" width="7.125" style="2" bestFit="1" customWidth="1"/>
    <col min="14857" max="14857" width="9.625" style="2" bestFit="1" customWidth="1"/>
    <col min="14858" max="15082" width="9" style="2"/>
    <col min="15083" max="15083" width="2.375" style="2" customWidth="1"/>
    <col min="15084" max="15084" width="13.25" style="2" bestFit="1" customWidth="1"/>
    <col min="15085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10" width="11.125" style="2" bestFit="1" customWidth="1"/>
    <col min="15111" max="15111" width="9" style="2"/>
    <col min="15112" max="15112" width="7.125" style="2" bestFit="1" customWidth="1"/>
    <col min="15113" max="15113" width="9.625" style="2" bestFit="1" customWidth="1"/>
    <col min="15114" max="15338" width="9" style="2"/>
    <col min="15339" max="15339" width="2.375" style="2" customWidth="1"/>
    <col min="15340" max="15340" width="13.25" style="2" bestFit="1" customWidth="1"/>
    <col min="15341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6" width="11.125" style="2" bestFit="1" customWidth="1"/>
    <col min="15367" max="15367" width="9" style="2"/>
    <col min="15368" max="15368" width="7.125" style="2" bestFit="1" customWidth="1"/>
    <col min="15369" max="15369" width="9.625" style="2" bestFit="1" customWidth="1"/>
    <col min="15370" max="15594" width="9" style="2"/>
    <col min="15595" max="15595" width="2.375" style="2" customWidth="1"/>
    <col min="15596" max="15596" width="13.25" style="2" bestFit="1" customWidth="1"/>
    <col min="15597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22" width="11.125" style="2" bestFit="1" customWidth="1"/>
    <col min="15623" max="15623" width="9" style="2"/>
    <col min="15624" max="15624" width="7.125" style="2" bestFit="1" customWidth="1"/>
    <col min="15625" max="15625" width="9.625" style="2" bestFit="1" customWidth="1"/>
    <col min="15626" max="15850" width="9" style="2"/>
    <col min="15851" max="15851" width="2.375" style="2" customWidth="1"/>
    <col min="15852" max="15852" width="13.25" style="2" bestFit="1" customWidth="1"/>
    <col min="15853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8" width="11.125" style="2" bestFit="1" customWidth="1"/>
    <col min="15879" max="15879" width="9" style="2"/>
    <col min="15880" max="15880" width="7.125" style="2" bestFit="1" customWidth="1"/>
    <col min="15881" max="15881" width="9.625" style="2" bestFit="1" customWidth="1"/>
    <col min="15882" max="16106" width="9" style="2"/>
    <col min="16107" max="16107" width="2.375" style="2" customWidth="1"/>
    <col min="16108" max="16108" width="13.25" style="2" bestFit="1" customWidth="1"/>
    <col min="16109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4" width="11.125" style="2" bestFit="1" customWidth="1"/>
    <col min="16135" max="16135" width="9" style="2"/>
    <col min="16136" max="16136" width="7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2</v>
      </c>
    </row>
    <row r="3" spans="1:10">
      <c r="B3" s="3"/>
      <c r="C3" s="7" t="s">
        <v>20</v>
      </c>
      <c r="D3" s="7" t="s">
        <v>5</v>
      </c>
      <c r="E3" s="7" t="s">
        <v>11</v>
      </c>
      <c r="F3" s="39" t="s">
        <v>12</v>
      </c>
      <c r="G3" s="48" t="s">
        <v>75</v>
      </c>
      <c r="H3" s="57" t="s">
        <v>6</v>
      </c>
      <c r="I3" s="48" t="s">
        <v>75</v>
      </c>
      <c r="J3" s="48" t="s">
        <v>79</v>
      </c>
    </row>
    <row r="4" spans="1:10" ht="19.5" thickBot="1">
      <c r="A4" s="38"/>
      <c r="B4" s="22" t="s">
        <v>26</v>
      </c>
      <c r="C4" s="24" t="s">
        <v>44</v>
      </c>
      <c r="D4" s="24" t="s">
        <v>81</v>
      </c>
      <c r="E4" s="24" t="s">
        <v>35</v>
      </c>
      <c r="F4" s="40" t="s">
        <v>36</v>
      </c>
      <c r="G4" s="49" t="s">
        <v>76</v>
      </c>
      <c r="H4" s="58" t="s">
        <v>30</v>
      </c>
      <c r="I4" s="49" t="s">
        <v>77</v>
      </c>
      <c r="J4" s="49" t="s">
        <v>80</v>
      </c>
    </row>
    <row r="5" spans="1:10">
      <c r="A5" s="1" t="s">
        <v>1</v>
      </c>
      <c r="B5" s="18" t="s">
        <v>51</v>
      </c>
      <c r="C5" s="20">
        <v>227000</v>
      </c>
      <c r="D5" s="20">
        <v>108000</v>
      </c>
      <c r="E5" s="20">
        <v>0</v>
      </c>
      <c r="F5" s="41">
        <v>0</v>
      </c>
      <c r="G5" s="50">
        <f>SUM(C5:F5)</f>
        <v>335000</v>
      </c>
      <c r="H5" s="59">
        <v>386000</v>
      </c>
      <c r="I5" s="50">
        <f>SUM(H5)</f>
        <v>386000</v>
      </c>
      <c r="J5" s="50">
        <v>1728235</v>
      </c>
    </row>
    <row r="6" spans="1:10">
      <c r="A6" s="1" t="s">
        <v>1</v>
      </c>
      <c r="B6" s="4" t="s">
        <v>52</v>
      </c>
      <c r="C6" s="10">
        <v>0</v>
      </c>
      <c r="D6" s="10">
        <v>0</v>
      </c>
      <c r="E6" s="10">
        <v>0</v>
      </c>
      <c r="F6" s="42">
        <v>0</v>
      </c>
      <c r="G6" s="51"/>
      <c r="H6" s="60">
        <v>0</v>
      </c>
      <c r="I6" s="51"/>
      <c r="J6" s="51">
        <v>0</v>
      </c>
    </row>
    <row r="7" spans="1:10">
      <c r="A7" s="1" t="s">
        <v>1</v>
      </c>
      <c r="B7" s="4" t="s">
        <v>53</v>
      </c>
      <c r="C7" s="10">
        <v>0</v>
      </c>
      <c r="D7" s="10">
        <v>0</v>
      </c>
      <c r="E7" s="10">
        <v>0</v>
      </c>
      <c r="F7" s="42">
        <v>0</v>
      </c>
      <c r="G7" s="51"/>
      <c r="H7" s="60">
        <v>0</v>
      </c>
      <c r="I7" s="51"/>
      <c r="J7" s="51">
        <v>75000</v>
      </c>
    </row>
    <row r="8" spans="1:10" ht="19.5" thickBot="1">
      <c r="A8" s="1" t="s">
        <v>1</v>
      </c>
      <c r="B8" s="26" t="s">
        <v>54</v>
      </c>
      <c r="C8" s="28">
        <v>0</v>
      </c>
      <c r="D8" s="28">
        <v>33000</v>
      </c>
      <c r="E8" s="28">
        <v>0</v>
      </c>
      <c r="F8" s="43">
        <v>0</v>
      </c>
      <c r="G8" s="52">
        <f>SUM(C8:F8)</f>
        <v>33000</v>
      </c>
      <c r="H8" s="61">
        <v>0</v>
      </c>
      <c r="I8" s="52"/>
      <c r="J8" s="52">
        <v>36000</v>
      </c>
    </row>
    <row r="9" spans="1:10" ht="19.5" thickBot="1">
      <c r="A9" s="1" t="s">
        <v>1</v>
      </c>
      <c r="B9" s="30" t="s">
        <v>55</v>
      </c>
      <c r="C9" s="32">
        <v>227000</v>
      </c>
      <c r="D9" s="32">
        <v>141000</v>
      </c>
      <c r="E9" s="32">
        <v>0</v>
      </c>
      <c r="F9" s="44">
        <v>0</v>
      </c>
      <c r="G9" s="53">
        <f t="shared" ref="G9:G25" si="0">SUM(C9:F9)</f>
        <v>368000</v>
      </c>
      <c r="H9" s="62">
        <v>386000</v>
      </c>
      <c r="I9" s="53">
        <f>SUM(H9)</f>
        <v>386000</v>
      </c>
      <c r="J9" s="53">
        <v>1839235</v>
      </c>
    </row>
    <row r="10" spans="1:10" ht="19.5" thickBot="1">
      <c r="A10" s="1" t="s">
        <v>1</v>
      </c>
      <c r="B10" s="30" t="s">
        <v>56</v>
      </c>
      <c r="C10" s="32">
        <v>0</v>
      </c>
      <c r="D10" s="32">
        <v>0</v>
      </c>
      <c r="E10" s="32">
        <v>0</v>
      </c>
      <c r="F10" s="44">
        <v>0</v>
      </c>
      <c r="G10" s="53">
        <f t="shared" si="0"/>
        <v>0</v>
      </c>
      <c r="H10" s="62">
        <v>0</v>
      </c>
      <c r="I10" s="53">
        <f t="shared" ref="I10:I25" si="1">SUM(H10)</f>
        <v>0</v>
      </c>
      <c r="J10" s="53">
        <v>0</v>
      </c>
    </row>
    <row r="11" spans="1:10" ht="19.5" thickBot="1">
      <c r="A11" s="1" t="s">
        <v>1</v>
      </c>
      <c r="B11" s="30" t="s">
        <v>57</v>
      </c>
      <c r="C11" s="32">
        <v>227000</v>
      </c>
      <c r="D11" s="32">
        <v>141000</v>
      </c>
      <c r="E11" s="32">
        <v>0</v>
      </c>
      <c r="F11" s="44">
        <v>0</v>
      </c>
      <c r="G11" s="53">
        <f t="shared" si="0"/>
        <v>368000</v>
      </c>
      <c r="H11" s="62">
        <v>386000</v>
      </c>
      <c r="I11" s="53">
        <f t="shared" si="1"/>
        <v>386000</v>
      </c>
      <c r="J11" s="53">
        <v>1839235</v>
      </c>
    </row>
    <row r="12" spans="1:10">
      <c r="A12" s="1" t="s">
        <v>1</v>
      </c>
      <c r="B12" s="18" t="s">
        <v>58</v>
      </c>
      <c r="C12" s="20">
        <v>11577</v>
      </c>
      <c r="D12" s="20">
        <v>7191</v>
      </c>
      <c r="E12" s="20">
        <v>0</v>
      </c>
      <c r="F12" s="41">
        <v>0</v>
      </c>
      <c r="G12" s="50">
        <f t="shared" si="0"/>
        <v>18768</v>
      </c>
      <c r="H12" s="59">
        <v>19686</v>
      </c>
      <c r="I12" s="50">
        <f t="shared" si="1"/>
        <v>19686</v>
      </c>
      <c r="J12" s="54">
        <v>93789</v>
      </c>
    </row>
    <row r="13" spans="1:10">
      <c r="A13" s="1" t="s">
        <v>1</v>
      </c>
      <c r="B13" s="4" t="s">
        <v>59</v>
      </c>
      <c r="C13" s="10">
        <v>2043</v>
      </c>
      <c r="D13" s="10">
        <v>1269</v>
      </c>
      <c r="E13" s="10">
        <v>0</v>
      </c>
      <c r="F13" s="42">
        <v>0</v>
      </c>
      <c r="G13" s="51">
        <f t="shared" si="0"/>
        <v>3312</v>
      </c>
      <c r="H13" s="60">
        <v>3474</v>
      </c>
      <c r="I13" s="51">
        <f t="shared" si="1"/>
        <v>3474</v>
      </c>
      <c r="J13" s="54">
        <v>16551</v>
      </c>
    </row>
    <row r="14" spans="1:10">
      <c r="A14" s="1" t="s">
        <v>1</v>
      </c>
      <c r="B14" s="4" t="s">
        <v>60</v>
      </c>
      <c r="C14" s="10">
        <v>20770</v>
      </c>
      <c r="D14" s="10">
        <v>12901</v>
      </c>
      <c r="E14" s="10">
        <v>0</v>
      </c>
      <c r="F14" s="42">
        <v>0</v>
      </c>
      <c r="G14" s="51">
        <f t="shared" si="0"/>
        <v>33671</v>
      </c>
      <c r="H14" s="60">
        <v>35319</v>
      </c>
      <c r="I14" s="51">
        <f t="shared" si="1"/>
        <v>35319</v>
      </c>
      <c r="J14" s="54">
        <v>168262</v>
      </c>
    </row>
    <row r="15" spans="1:10" ht="19.5" thickBot="1">
      <c r="A15" s="1" t="s">
        <v>1</v>
      </c>
      <c r="B15" s="26" t="s">
        <v>61</v>
      </c>
      <c r="C15" s="28">
        <v>1135</v>
      </c>
      <c r="D15" s="28">
        <v>705</v>
      </c>
      <c r="E15" s="28">
        <v>0</v>
      </c>
      <c r="F15" s="43">
        <v>0</v>
      </c>
      <c r="G15" s="52">
        <f t="shared" si="0"/>
        <v>1840</v>
      </c>
      <c r="H15" s="61">
        <v>1930</v>
      </c>
      <c r="I15" s="52">
        <f t="shared" si="1"/>
        <v>1930</v>
      </c>
      <c r="J15" s="54">
        <v>9196</v>
      </c>
    </row>
    <row r="16" spans="1:10" ht="19.5" thickBot="1">
      <c r="A16" s="1" t="s">
        <v>1</v>
      </c>
      <c r="B16" s="30" t="s">
        <v>62</v>
      </c>
      <c r="C16" s="32">
        <v>191475</v>
      </c>
      <c r="D16" s="32">
        <v>118934</v>
      </c>
      <c r="E16" s="32">
        <v>0</v>
      </c>
      <c r="F16" s="44">
        <v>0</v>
      </c>
      <c r="G16" s="53">
        <f t="shared" si="0"/>
        <v>310409</v>
      </c>
      <c r="H16" s="62">
        <v>325591</v>
      </c>
      <c r="I16" s="53">
        <f t="shared" si="1"/>
        <v>325591</v>
      </c>
      <c r="J16" s="53">
        <v>1551437</v>
      </c>
    </row>
    <row r="17" spans="1:10" ht="19.5" thickBot="1">
      <c r="A17" s="1" t="s">
        <v>1</v>
      </c>
      <c r="B17" s="34" t="s">
        <v>63</v>
      </c>
      <c r="C17" s="36">
        <v>15639</v>
      </c>
      <c r="D17" s="36">
        <v>12143</v>
      </c>
      <c r="E17" s="36">
        <v>0</v>
      </c>
      <c r="F17" s="45">
        <v>0</v>
      </c>
      <c r="G17" s="54">
        <f t="shared" si="0"/>
        <v>27782</v>
      </c>
      <c r="H17" s="63">
        <v>26594</v>
      </c>
      <c r="I17" s="54">
        <f t="shared" si="1"/>
        <v>26594</v>
      </c>
      <c r="J17" s="54">
        <v>117726</v>
      </c>
    </row>
    <row r="18" spans="1:10" ht="19.5" thickBot="1">
      <c r="A18" s="1" t="s">
        <v>1</v>
      </c>
      <c r="B18" s="30" t="s">
        <v>64</v>
      </c>
      <c r="C18" s="32">
        <v>35525</v>
      </c>
      <c r="D18" s="32">
        <v>22066</v>
      </c>
      <c r="E18" s="32">
        <v>0</v>
      </c>
      <c r="F18" s="44">
        <v>0</v>
      </c>
      <c r="G18" s="53">
        <f t="shared" si="0"/>
        <v>57591</v>
      </c>
      <c r="H18" s="62">
        <v>60409</v>
      </c>
      <c r="I18" s="53">
        <f t="shared" si="1"/>
        <v>60409</v>
      </c>
      <c r="J18" s="53">
        <v>287798</v>
      </c>
    </row>
    <row r="19" spans="1:10" ht="19.5" thickBot="1">
      <c r="A19" s="1" t="s">
        <v>1</v>
      </c>
      <c r="B19" s="30" t="s">
        <v>65</v>
      </c>
      <c r="C19" s="32">
        <v>51164</v>
      </c>
      <c r="D19" s="32">
        <v>34209</v>
      </c>
      <c r="E19" s="32">
        <v>0</v>
      </c>
      <c r="F19" s="44">
        <v>0</v>
      </c>
      <c r="G19" s="53">
        <f t="shared" si="0"/>
        <v>85373</v>
      </c>
      <c r="H19" s="62">
        <v>87003</v>
      </c>
      <c r="I19" s="53">
        <f t="shared" si="1"/>
        <v>87003</v>
      </c>
      <c r="J19" s="53">
        <v>405524</v>
      </c>
    </row>
    <row r="20" spans="1:10">
      <c r="A20" s="1" t="s">
        <v>1</v>
      </c>
      <c r="B20" s="18" t="s">
        <v>66</v>
      </c>
      <c r="C20" s="20">
        <v>25068</v>
      </c>
      <c r="D20" s="20">
        <v>28137</v>
      </c>
      <c r="E20" s="20">
        <v>320</v>
      </c>
      <c r="F20" s="41">
        <v>580</v>
      </c>
      <c r="G20" s="50">
        <f t="shared" si="0"/>
        <v>54105</v>
      </c>
      <c r="H20" s="59">
        <v>165950</v>
      </c>
      <c r="I20" s="50">
        <f t="shared" si="1"/>
        <v>165950</v>
      </c>
      <c r="J20" s="54">
        <v>629414</v>
      </c>
    </row>
    <row r="21" spans="1:10" ht="19.5" thickBot="1">
      <c r="A21" s="1" t="s">
        <v>1</v>
      </c>
      <c r="B21" s="26" t="s">
        <v>67</v>
      </c>
      <c r="C21" s="28">
        <v>0</v>
      </c>
      <c r="D21" s="28">
        <v>0</v>
      </c>
      <c r="E21" s="28">
        <v>0</v>
      </c>
      <c r="F21" s="43">
        <v>0</v>
      </c>
      <c r="G21" s="52">
        <f t="shared" si="0"/>
        <v>0</v>
      </c>
      <c r="H21" s="61">
        <v>0</v>
      </c>
      <c r="I21" s="52">
        <f t="shared" si="1"/>
        <v>0</v>
      </c>
      <c r="J21" s="54">
        <v>0</v>
      </c>
    </row>
    <row r="22" spans="1:10" ht="19.5" thickBot="1">
      <c r="A22" s="1" t="s">
        <v>1</v>
      </c>
      <c r="B22" s="30" t="s">
        <v>68</v>
      </c>
      <c r="C22" s="32">
        <v>25068</v>
      </c>
      <c r="D22" s="32">
        <v>28137</v>
      </c>
      <c r="E22" s="32">
        <v>320</v>
      </c>
      <c r="F22" s="44">
        <v>580</v>
      </c>
      <c r="G22" s="53">
        <f t="shared" si="0"/>
        <v>54105</v>
      </c>
      <c r="H22" s="62">
        <v>165950</v>
      </c>
      <c r="I22" s="53">
        <f t="shared" si="1"/>
        <v>165950</v>
      </c>
      <c r="J22" s="53">
        <v>629414</v>
      </c>
    </row>
    <row r="23" spans="1:10" ht="19.5" thickBot="1">
      <c r="A23" s="1" t="s">
        <v>1</v>
      </c>
      <c r="B23" s="30" t="s">
        <v>69</v>
      </c>
      <c r="C23" s="32">
        <v>200904</v>
      </c>
      <c r="D23" s="32">
        <v>134928</v>
      </c>
      <c r="E23" s="32">
        <v>320</v>
      </c>
      <c r="F23" s="44">
        <v>580</v>
      </c>
      <c r="G23" s="53">
        <f t="shared" si="0"/>
        <v>336732</v>
      </c>
      <c r="H23" s="62">
        <v>464947</v>
      </c>
      <c r="I23" s="53">
        <f t="shared" si="1"/>
        <v>464947</v>
      </c>
      <c r="J23" s="53">
        <v>2063125</v>
      </c>
    </row>
    <row r="24" spans="1:10" ht="19.5" thickBot="1">
      <c r="A24" s="1" t="s">
        <v>1</v>
      </c>
      <c r="B24" s="30" t="s">
        <v>70</v>
      </c>
      <c r="C24" s="32">
        <v>0</v>
      </c>
      <c r="D24" s="32">
        <v>0</v>
      </c>
      <c r="E24" s="32">
        <v>0</v>
      </c>
      <c r="F24" s="44">
        <v>0</v>
      </c>
      <c r="G24" s="53">
        <f t="shared" si="0"/>
        <v>0</v>
      </c>
      <c r="H24" s="62">
        <v>0</v>
      </c>
      <c r="I24" s="53">
        <f t="shared" si="1"/>
        <v>0</v>
      </c>
      <c r="J24" s="53">
        <v>0</v>
      </c>
    </row>
    <row r="25" spans="1:10" ht="19.5" thickBot="1">
      <c r="A25" s="1" t="s">
        <v>1</v>
      </c>
      <c r="B25" s="30" t="s">
        <v>71</v>
      </c>
      <c r="C25" s="32">
        <v>200904</v>
      </c>
      <c r="D25" s="32">
        <v>134928</v>
      </c>
      <c r="E25" s="32">
        <v>320</v>
      </c>
      <c r="F25" s="44">
        <v>580</v>
      </c>
      <c r="G25" s="53">
        <f t="shared" si="0"/>
        <v>336732</v>
      </c>
      <c r="H25" s="62">
        <v>464947</v>
      </c>
      <c r="I25" s="53">
        <f t="shared" si="1"/>
        <v>464947</v>
      </c>
      <c r="J25" s="53">
        <v>2063125</v>
      </c>
    </row>
    <row r="26" spans="1:10">
      <c r="A26" s="1" t="s">
        <v>1</v>
      </c>
      <c r="B26" s="18" t="s">
        <v>72</v>
      </c>
      <c r="C26" s="20">
        <v>0</v>
      </c>
      <c r="D26" s="20">
        <v>1</v>
      </c>
      <c r="E26" s="20">
        <v>0</v>
      </c>
      <c r="F26" s="41">
        <v>0</v>
      </c>
      <c r="G26" s="50"/>
      <c r="H26" s="59">
        <v>0</v>
      </c>
      <c r="I26" s="50"/>
      <c r="J26" s="50"/>
    </row>
    <row r="27" spans="1:10">
      <c r="A27" s="1" t="s">
        <v>1</v>
      </c>
      <c r="B27" s="4" t="s">
        <v>73</v>
      </c>
      <c r="C27" s="13">
        <v>8.1679999999999993</v>
      </c>
      <c r="D27" s="13">
        <v>10.210000000000001</v>
      </c>
      <c r="E27" s="13">
        <v>4.0839999999999996</v>
      </c>
      <c r="F27" s="46">
        <v>4.0839999999999996</v>
      </c>
      <c r="G27" s="55"/>
      <c r="H27" s="64">
        <v>8.1679999999999993</v>
      </c>
      <c r="I27" s="55"/>
      <c r="J27" s="55"/>
    </row>
    <row r="28" spans="1:10" ht="19.5" thickBot="1">
      <c r="A28" s="1" t="s">
        <v>1</v>
      </c>
      <c r="B28" s="5" t="s">
        <v>74</v>
      </c>
      <c r="C28" s="16">
        <v>324823</v>
      </c>
      <c r="D28" s="16">
        <v>379328</v>
      </c>
      <c r="E28" s="16">
        <v>83228</v>
      </c>
      <c r="F28" s="47">
        <v>79491</v>
      </c>
      <c r="G28" s="56"/>
      <c r="H28" s="65">
        <v>308289</v>
      </c>
      <c r="I28" s="56"/>
      <c r="J28" s="56"/>
    </row>
  </sheetData>
  <phoneticPr fontId="3"/>
  <pageMargins left="0.7" right="0.7" top="0.75" bottom="0.75" header="0.3" footer="0.3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3D2C-6B3A-427C-A694-7939AE54CA58}">
  <sheetPr>
    <pageSetUpPr fitToPage="1"/>
  </sheetPr>
  <dimension ref="A1:U28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/>
    </sheetView>
  </sheetViews>
  <sheetFormatPr defaultRowHeight="18.75"/>
  <cols>
    <col min="1" max="1" width="2.375" style="2" customWidth="1"/>
    <col min="2" max="2" width="13.25" style="2" bestFit="1" customWidth="1"/>
    <col min="3" max="21" width="11" style="2" customWidth="1"/>
    <col min="22" max="245" width="9" style="2"/>
    <col min="246" max="246" width="2.375" style="2" customWidth="1"/>
    <col min="247" max="247" width="13.25" style="2" bestFit="1" customWidth="1"/>
    <col min="248" max="252" width="11.125" style="2" bestFit="1" customWidth="1"/>
    <col min="253" max="253" width="13.25" style="2" bestFit="1" customWidth="1"/>
    <col min="254" max="254" width="11.125" style="2" bestFit="1" customWidth="1"/>
    <col min="255" max="255" width="9" style="2"/>
    <col min="256" max="256" width="11.125" style="2" bestFit="1" customWidth="1"/>
    <col min="257" max="257" width="9" style="2"/>
    <col min="258" max="273" width="11.125" style="2" bestFit="1" customWidth="1"/>
    <col min="274" max="274" width="9" style="2"/>
    <col min="275" max="275" width="7.125" style="2" bestFit="1" customWidth="1"/>
    <col min="276" max="276" width="9.625" style="2" bestFit="1" customWidth="1"/>
    <col min="277" max="501" width="9" style="2"/>
    <col min="502" max="502" width="2.375" style="2" customWidth="1"/>
    <col min="503" max="503" width="13.25" style="2" bestFit="1" customWidth="1"/>
    <col min="504" max="508" width="11.125" style="2" bestFit="1" customWidth="1"/>
    <col min="509" max="509" width="13.25" style="2" bestFit="1" customWidth="1"/>
    <col min="510" max="510" width="11.125" style="2" bestFit="1" customWidth="1"/>
    <col min="511" max="511" width="9" style="2"/>
    <col min="512" max="512" width="11.125" style="2" bestFit="1" customWidth="1"/>
    <col min="513" max="513" width="9" style="2"/>
    <col min="514" max="529" width="11.125" style="2" bestFit="1" customWidth="1"/>
    <col min="530" max="530" width="9" style="2"/>
    <col min="531" max="531" width="7.125" style="2" bestFit="1" customWidth="1"/>
    <col min="532" max="532" width="9.625" style="2" bestFit="1" customWidth="1"/>
    <col min="533" max="757" width="9" style="2"/>
    <col min="758" max="758" width="2.375" style="2" customWidth="1"/>
    <col min="759" max="759" width="13.25" style="2" bestFit="1" customWidth="1"/>
    <col min="760" max="764" width="11.125" style="2" bestFit="1" customWidth="1"/>
    <col min="765" max="765" width="13.25" style="2" bestFit="1" customWidth="1"/>
    <col min="766" max="766" width="11.125" style="2" bestFit="1" customWidth="1"/>
    <col min="767" max="767" width="9" style="2"/>
    <col min="768" max="768" width="11.125" style="2" bestFit="1" customWidth="1"/>
    <col min="769" max="769" width="9" style="2"/>
    <col min="770" max="785" width="11.125" style="2" bestFit="1" customWidth="1"/>
    <col min="786" max="786" width="9" style="2"/>
    <col min="787" max="787" width="7.125" style="2" bestFit="1" customWidth="1"/>
    <col min="788" max="788" width="9.625" style="2" bestFit="1" customWidth="1"/>
    <col min="789" max="1013" width="9" style="2"/>
    <col min="1014" max="1014" width="2.375" style="2" customWidth="1"/>
    <col min="1015" max="1015" width="13.25" style="2" bestFit="1" customWidth="1"/>
    <col min="1016" max="1020" width="11.125" style="2" bestFit="1" customWidth="1"/>
    <col min="1021" max="1021" width="13.25" style="2" bestFit="1" customWidth="1"/>
    <col min="1022" max="1022" width="11.125" style="2" bestFit="1" customWidth="1"/>
    <col min="1023" max="1023" width="9" style="2"/>
    <col min="1024" max="1024" width="11.125" style="2" bestFit="1" customWidth="1"/>
    <col min="1025" max="1025" width="9" style="2"/>
    <col min="1026" max="1041" width="11.125" style="2" bestFit="1" customWidth="1"/>
    <col min="1042" max="1042" width="9" style="2"/>
    <col min="1043" max="1043" width="7.125" style="2" bestFit="1" customWidth="1"/>
    <col min="1044" max="1044" width="9.625" style="2" bestFit="1" customWidth="1"/>
    <col min="1045" max="1269" width="9" style="2"/>
    <col min="1270" max="1270" width="2.375" style="2" customWidth="1"/>
    <col min="1271" max="1271" width="13.25" style="2" bestFit="1" customWidth="1"/>
    <col min="1272" max="1276" width="11.125" style="2" bestFit="1" customWidth="1"/>
    <col min="1277" max="1277" width="13.25" style="2" bestFit="1" customWidth="1"/>
    <col min="1278" max="1278" width="11.125" style="2" bestFit="1" customWidth="1"/>
    <col min="1279" max="1279" width="9" style="2"/>
    <col min="1280" max="1280" width="11.125" style="2" bestFit="1" customWidth="1"/>
    <col min="1281" max="1281" width="9" style="2"/>
    <col min="1282" max="1297" width="11.125" style="2" bestFit="1" customWidth="1"/>
    <col min="1298" max="1298" width="9" style="2"/>
    <col min="1299" max="1299" width="7.125" style="2" bestFit="1" customWidth="1"/>
    <col min="1300" max="1300" width="9.625" style="2" bestFit="1" customWidth="1"/>
    <col min="1301" max="1525" width="9" style="2"/>
    <col min="1526" max="1526" width="2.375" style="2" customWidth="1"/>
    <col min="1527" max="1527" width="13.25" style="2" bestFit="1" customWidth="1"/>
    <col min="1528" max="1532" width="11.125" style="2" bestFit="1" customWidth="1"/>
    <col min="1533" max="1533" width="13.25" style="2" bestFit="1" customWidth="1"/>
    <col min="1534" max="1534" width="11.125" style="2" bestFit="1" customWidth="1"/>
    <col min="1535" max="1535" width="9" style="2"/>
    <col min="1536" max="1536" width="11.125" style="2" bestFit="1" customWidth="1"/>
    <col min="1537" max="1537" width="9" style="2"/>
    <col min="1538" max="1553" width="11.125" style="2" bestFit="1" customWidth="1"/>
    <col min="1554" max="1554" width="9" style="2"/>
    <col min="1555" max="1555" width="7.125" style="2" bestFit="1" customWidth="1"/>
    <col min="1556" max="1556" width="9.625" style="2" bestFit="1" customWidth="1"/>
    <col min="1557" max="1781" width="9" style="2"/>
    <col min="1782" max="1782" width="2.375" style="2" customWidth="1"/>
    <col min="1783" max="1783" width="13.25" style="2" bestFit="1" customWidth="1"/>
    <col min="1784" max="1788" width="11.125" style="2" bestFit="1" customWidth="1"/>
    <col min="1789" max="1789" width="13.25" style="2" bestFit="1" customWidth="1"/>
    <col min="1790" max="1790" width="11.125" style="2" bestFit="1" customWidth="1"/>
    <col min="1791" max="1791" width="9" style="2"/>
    <col min="1792" max="1792" width="11.125" style="2" bestFit="1" customWidth="1"/>
    <col min="1793" max="1793" width="9" style="2"/>
    <col min="1794" max="1809" width="11.125" style="2" bestFit="1" customWidth="1"/>
    <col min="1810" max="1810" width="9" style="2"/>
    <col min="1811" max="1811" width="7.125" style="2" bestFit="1" customWidth="1"/>
    <col min="1812" max="1812" width="9.625" style="2" bestFit="1" customWidth="1"/>
    <col min="1813" max="2037" width="9" style="2"/>
    <col min="2038" max="2038" width="2.375" style="2" customWidth="1"/>
    <col min="2039" max="2039" width="13.25" style="2" bestFit="1" customWidth="1"/>
    <col min="2040" max="2044" width="11.125" style="2" bestFit="1" customWidth="1"/>
    <col min="2045" max="2045" width="13.25" style="2" bestFit="1" customWidth="1"/>
    <col min="2046" max="2046" width="11.125" style="2" bestFit="1" customWidth="1"/>
    <col min="2047" max="2047" width="9" style="2"/>
    <col min="2048" max="2048" width="11.125" style="2" bestFit="1" customWidth="1"/>
    <col min="2049" max="2049" width="9" style="2"/>
    <col min="2050" max="2065" width="11.125" style="2" bestFit="1" customWidth="1"/>
    <col min="2066" max="2066" width="9" style="2"/>
    <col min="2067" max="2067" width="7.125" style="2" bestFit="1" customWidth="1"/>
    <col min="2068" max="2068" width="9.625" style="2" bestFit="1" customWidth="1"/>
    <col min="2069" max="2293" width="9" style="2"/>
    <col min="2294" max="2294" width="2.375" style="2" customWidth="1"/>
    <col min="2295" max="2295" width="13.25" style="2" bestFit="1" customWidth="1"/>
    <col min="2296" max="2300" width="11.125" style="2" bestFit="1" customWidth="1"/>
    <col min="2301" max="2301" width="13.25" style="2" bestFit="1" customWidth="1"/>
    <col min="2302" max="2302" width="11.125" style="2" bestFit="1" customWidth="1"/>
    <col min="2303" max="2303" width="9" style="2"/>
    <col min="2304" max="2304" width="11.125" style="2" bestFit="1" customWidth="1"/>
    <col min="2305" max="2305" width="9" style="2"/>
    <col min="2306" max="2321" width="11.125" style="2" bestFit="1" customWidth="1"/>
    <col min="2322" max="2322" width="9" style="2"/>
    <col min="2323" max="2323" width="7.125" style="2" bestFit="1" customWidth="1"/>
    <col min="2324" max="2324" width="9.625" style="2" bestFit="1" customWidth="1"/>
    <col min="2325" max="2549" width="9" style="2"/>
    <col min="2550" max="2550" width="2.375" style="2" customWidth="1"/>
    <col min="2551" max="2551" width="13.25" style="2" bestFit="1" customWidth="1"/>
    <col min="2552" max="2556" width="11.125" style="2" bestFit="1" customWidth="1"/>
    <col min="2557" max="2557" width="13.25" style="2" bestFit="1" customWidth="1"/>
    <col min="2558" max="2558" width="11.125" style="2" bestFit="1" customWidth="1"/>
    <col min="2559" max="2559" width="9" style="2"/>
    <col min="2560" max="2560" width="11.125" style="2" bestFit="1" customWidth="1"/>
    <col min="2561" max="2561" width="9" style="2"/>
    <col min="2562" max="2577" width="11.125" style="2" bestFit="1" customWidth="1"/>
    <col min="2578" max="2578" width="9" style="2"/>
    <col min="2579" max="2579" width="7.125" style="2" bestFit="1" customWidth="1"/>
    <col min="2580" max="2580" width="9.625" style="2" bestFit="1" customWidth="1"/>
    <col min="2581" max="2805" width="9" style="2"/>
    <col min="2806" max="2806" width="2.375" style="2" customWidth="1"/>
    <col min="2807" max="2807" width="13.25" style="2" bestFit="1" customWidth="1"/>
    <col min="2808" max="2812" width="11.125" style="2" bestFit="1" customWidth="1"/>
    <col min="2813" max="2813" width="13.25" style="2" bestFit="1" customWidth="1"/>
    <col min="2814" max="2814" width="11.125" style="2" bestFit="1" customWidth="1"/>
    <col min="2815" max="2815" width="9" style="2"/>
    <col min="2816" max="2816" width="11.125" style="2" bestFit="1" customWidth="1"/>
    <col min="2817" max="2817" width="9" style="2"/>
    <col min="2818" max="2833" width="11.125" style="2" bestFit="1" customWidth="1"/>
    <col min="2834" max="2834" width="9" style="2"/>
    <col min="2835" max="2835" width="7.125" style="2" bestFit="1" customWidth="1"/>
    <col min="2836" max="2836" width="9.625" style="2" bestFit="1" customWidth="1"/>
    <col min="2837" max="3061" width="9" style="2"/>
    <col min="3062" max="3062" width="2.375" style="2" customWidth="1"/>
    <col min="3063" max="3063" width="13.25" style="2" bestFit="1" customWidth="1"/>
    <col min="3064" max="3068" width="11.125" style="2" bestFit="1" customWidth="1"/>
    <col min="3069" max="3069" width="13.25" style="2" bestFit="1" customWidth="1"/>
    <col min="3070" max="3070" width="11.125" style="2" bestFit="1" customWidth="1"/>
    <col min="3071" max="3071" width="9" style="2"/>
    <col min="3072" max="3072" width="11.125" style="2" bestFit="1" customWidth="1"/>
    <col min="3073" max="3073" width="9" style="2"/>
    <col min="3074" max="3089" width="11.125" style="2" bestFit="1" customWidth="1"/>
    <col min="3090" max="3090" width="9" style="2"/>
    <col min="3091" max="3091" width="7.125" style="2" bestFit="1" customWidth="1"/>
    <col min="3092" max="3092" width="9.625" style="2" bestFit="1" customWidth="1"/>
    <col min="3093" max="3317" width="9" style="2"/>
    <col min="3318" max="3318" width="2.375" style="2" customWidth="1"/>
    <col min="3319" max="3319" width="13.25" style="2" bestFit="1" customWidth="1"/>
    <col min="3320" max="3324" width="11.125" style="2" bestFit="1" customWidth="1"/>
    <col min="3325" max="3325" width="13.25" style="2" bestFit="1" customWidth="1"/>
    <col min="3326" max="3326" width="11.125" style="2" bestFit="1" customWidth="1"/>
    <col min="3327" max="3327" width="9" style="2"/>
    <col min="3328" max="3328" width="11.125" style="2" bestFit="1" customWidth="1"/>
    <col min="3329" max="3329" width="9" style="2"/>
    <col min="3330" max="3345" width="11.125" style="2" bestFit="1" customWidth="1"/>
    <col min="3346" max="3346" width="9" style="2"/>
    <col min="3347" max="3347" width="7.125" style="2" bestFit="1" customWidth="1"/>
    <col min="3348" max="3348" width="9.625" style="2" bestFit="1" customWidth="1"/>
    <col min="3349" max="3573" width="9" style="2"/>
    <col min="3574" max="3574" width="2.375" style="2" customWidth="1"/>
    <col min="3575" max="3575" width="13.25" style="2" bestFit="1" customWidth="1"/>
    <col min="3576" max="3580" width="11.125" style="2" bestFit="1" customWidth="1"/>
    <col min="3581" max="3581" width="13.25" style="2" bestFit="1" customWidth="1"/>
    <col min="3582" max="3582" width="11.125" style="2" bestFit="1" customWidth="1"/>
    <col min="3583" max="3583" width="9" style="2"/>
    <col min="3584" max="3584" width="11.125" style="2" bestFit="1" customWidth="1"/>
    <col min="3585" max="3585" width="9" style="2"/>
    <col min="3586" max="3601" width="11.125" style="2" bestFit="1" customWidth="1"/>
    <col min="3602" max="3602" width="9" style="2"/>
    <col min="3603" max="3603" width="7.125" style="2" bestFit="1" customWidth="1"/>
    <col min="3604" max="3604" width="9.625" style="2" bestFit="1" customWidth="1"/>
    <col min="3605" max="3829" width="9" style="2"/>
    <col min="3830" max="3830" width="2.375" style="2" customWidth="1"/>
    <col min="3831" max="3831" width="13.25" style="2" bestFit="1" customWidth="1"/>
    <col min="3832" max="3836" width="11.125" style="2" bestFit="1" customWidth="1"/>
    <col min="3837" max="3837" width="13.25" style="2" bestFit="1" customWidth="1"/>
    <col min="3838" max="3838" width="11.125" style="2" bestFit="1" customWidth="1"/>
    <col min="3839" max="3839" width="9" style="2"/>
    <col min="3840" max="3840" width="11.125" style="2" bestFit="1" customWidth="1"/>
    <col min="3841" max="3841" width="9" style="2"/>
    <col min="3842" max="3857" width="11.125" style="2" bestFit="1" customWidth="1"/>
    <col min="3858" max="3858" width="9" style="2"/>
    <col min="3859" max="3859" width="7.125" style="2" bestFit="1" customWidth="1"/>
    <col min="3860" max="3860" width="9.625" style="2" bestFit="1" customWidth="1"/>
    <col min="3861" max="4085" width="9" style="2"/>
    <col min="4086" max="4086" width="2.375" style="2" customWidth="1"/>
    <col min="4087" max="4087" width="13.25" style="2" bestFit="1" customWidth="1"/>
    <col min="4088" max="4092" width="11.125" style="2" bestFit="1" customWidth="1"/>
    <col min="4093" max="4093" width="13.25" style="2" bestFit="1" customWidth="1"/>
    <col min="4094" max="4094" width="11.125" style="2" bestFit="1" customWidth="1"/>
    <col min="4095" max="4095" width="9" style="2"/>
    <col min="4096" max="4096" width="11.125" style="2" bestFit="1" customWidth="1"/>
    <col min="4097" max="4097" width="9" style="2"/>
    <col min="4098" max="4113" width="11.125" style="2" bestFit="1" customWidth="1"/>
    <col min="4114" max="4114" width="9" style="2"/>
    <col min="4115" max="4115" width="7.125" style="2" bestFit="1" customWidth="1"/>
    <col min="4116" max="4116" width="9.625" style="2" bestFit="1" customWidth="1"/>
    <col min="4117" max="4341" width="9" style="2"/>
    <col min="4342" max="4342" width="2.375" style="2" customWidth="1"/>
    <col min="4343" max="4343" width="13.25" style="2" bestFit="1" customWidth="1"/>
    <col min="4344" max="4348" width="11.125" style="2" bestFit="1" customWidth="1"/>
    <col min="4349" max="4349" width="13.25" style="2" bestFit="1" customWidth="1"/>
    <col min="4350" max="4350" width="11.125" style="2" bestFit="1" customWidth="1"/>
    <col min="4351" max="4351" width="9" style="2"/>
    <col min="4352" max="4352" width="11.125" style="2" bestFit="1" customWidth="1"/>
    <col min="4353" max="4353" width="9" style="2"/>
    <col min="4354" max="4369" width="11.125" style="2" bestFit="1" customWidth="1"/>
    <col min="4370" max="4370" width="9" style="2"/>
    <col min="4371" max="4371" width="7.125" style="2" bestFit="1" customWidth="1"/>
    <col min="4372" max="4372" width="9.625" style="2" bestFit="1" customWidth="1"/>
    <col min="4373" max="4597" width="9" style="2"/>
    <col min="4598" max="4598" width="2.375" style="2" customWidth="1"/>
    <col min="4599" max="4599" width="13.25" style="2" bestFit="1" customWidth="1"/>
    <col min="4600" max="4604" width="11.125" style="2" bestFit="1" customWidth="1"/>
    <col min="4605" max="4605" width="13.25" style="2" bestFit="1" customWidth="1"/>
    <col min="4606" max="4606" width="11.125" style="2" bestFit="1" customWidth="1"/>
    <col min="4607" max="4607" width="9" style="2"/>
    <col min="4608" max="4608" width="11.125" style="2" bestFit="1" customWidth="1"/>
    <col min="4609" max="4609" width="9" style="2"/>
    <col min="4610" max="4625" width="11.125" style="2" bestFit="1" customWidth="1"/>
    <col min="4626" max="4626" width="9" style="2"/>
    <col min="4627" max="4627" width="7.125" style="2" bestFit="1" customWidth="1"/>
    <col min="4628" max="4628" width="9.625" style="2" bestFit="1" customWidth="1"/>
    <col min="4629" max="4853" width="9" style="2"/>
    <col min="4854" max="4854" width="2.375" style="2" customWidth="1"/>
    <col min="4855" max="4855" width="13.25" style="2" bestFit="1" customWidth="1"/>
    <col min="4856" max="4860" width="11.125" style="2" bestFit="1" customWidth="1"/>
    <col min="4861" max="4861" width="13.25" style="2" bestFit="1" customWidth="1"/>
    <col min="4862" max="4862" width="11.125" style="2" bestFit="1" customWidth="1"/>
    <col min="4863" max="4863" width="9" style="2"/>
    <col min="4864" max="4864" width="11.125" style="2" bestFit="1" customWidth="1"/>
    <col min="4865" max="4865" width="9" style="2"/>
    <col min="4866" max="4881" width="11.125" style="2" bestFit="1" customWidth="1"/>
    <col min="4882" max="4882" width="9" style="2"/>
    <col min="4883" max="4883" width="7.125" style="2" bestFit="1" customWidth="1"/>
    <col min="4884" max="4884" width="9.625" style="2" bestFit="1" customWidth="1"/>
    <col min="4885" max="5109" width="9" style="2"/>
    <col min="5110" max="5110" width="2.375" style="2" customWidth="1"/>
    <col min="5111" max="5111" width="13.25" style="2" bestFit="1" customWidth="1"/>
    <col min="5112" max="5116" width="11.125" style="2" bestFit="1" customWidth="1"/>
    <col min="5117" max="5117" width="13.25" style="2" bestFit="1" customWidth="1"/>
    <col min="5118" max="5118" width="11.125" style="2" bestFit="1" customWidth="1"/>
    <col min="5119" max="5119" width="9" style="2"/>
    <col min="5120" max="5120" width="11.125" style="2" bestFit="1" customWidth="1"/>
    <col min="5121" max="5121" width="9" style="2"/>
    <col min="5122" max="5137" width="11.125" style="2" bestFit="1" customWidth="1"/>
    <col min="5138" max="5138" width="9" style="2"/>
    <col min="5139" max="5139" width="7.125" style="2" bestFit="1" customWidth="1"/>
    <col min="5140" max="5140" width="9.625" style="2" bestFit="1" customWidth="1"/>
    <col min="5141" max="5365" width="9" style="2"/>
    <col min="5366" max="5366" width="2.375" style="2" customWidth="1"/>
    <col min="5367" max="5367" width="13.25" style="2" bestFit="1" customWidth="1"/>
    <col min="5368" max="5372" width="11.125" style="2" bestFit="1" customWidth="1"/>
    <col min="5373" max="5373" width="13.25" style="2" bestFit="1" customWidth="1"/>
    <col min="5374" max="5374" width="11.125" style="2" bestFit="1" customWidth="1"/>
    <col min="5375" max="5375" width="9" style="2"/>
    <col min="5376" max="5376" width="11.125" style="2" bestFit="1" customWidth="1"/>
    <col min="5377" max="5377" width="9" style="2"/>
    <col min="5378" max="5393" width="11.125" style="2" bestFit="1" customWidth="1"/>
    <col min="5394" max="5394" width="9" style="2"/>
    <col min="5395" max="5395" width="7.125" style="2" bestFit="1" customWidth="1"/>
    <col min="5396" max="5396" width="9.625" style="2" bestFit="1" customWidth="1"/>
    <col min="5397" max="5621" width="9" style="2"/>
    <col min="5622" max="5622" width="2.375" style="2" customWidth="1"/>
    <col min="5623" max="5623" width="13.25" style="2" bestFit="1" customWidth="1"/>
    <col min="5624" max="5628" width="11.125" style="2" bestFit="1" customWidth="1"/>
    <col min="5629" max="5629" width="13.25" style="2" bestFit="1" customWidth="1"/>
    <col min="5630" max="5630" width="11.125" style="2" bestFit="1" customWidth="1"/>
    <col min="5631" max="5631" width="9" style="2"/>
    <col min="5632" max="5632" width="11.125" style="2" bestFit="1" customWidth="1"/>
    <col min="5633" max="5633" width="9" style="2"/>
    <col min="5634" max="5649" width="11.125" style="2" bestFit="1" customWidth="1"/>
    <col min="5650" max="5650" width="9" style="2"/>
    <col min="5651" max="5651" width="7.125" style="2" bestFit="1" customWidth="1"/>
    <col min="5652" max="5652" width="9.625" style="2" bestFit="1" customWidth="1"/>
    <col min="5653" max="5877" width="9" style="2"/>
    <col min="5878" max="5878" width="2.375" style="2" customWidth="1"/>
    <col min="5879" max="5879" width="13.25" style="2" bestFit="1" customWidth="1"/>
    <col min="5880" max="5884" width="11.125" style="2" bestFit="1" customWidth="1"/>
    <col min="5885" max="5885" width="13.25" style="2" bestFit="1" customWidth="1"/>
    <col min="5886" max="5886" width="11.125" style="2" bestFit="1" customWidth="1"/>
    <col min="5887" max="5887" width="9" style="2"/>
    <col min="5888" max="5888" width="11.125" style="2" bestFit="1" customWidth="1"/>
    <col min="5889" max="5889" width="9" style="2"/>
    <col min="5890" max="5905" width="11.125" style="2" bestFit="1" customWidth="1"/>
    <col min="5906" max="5906" width="9" style="2"/>
    <col min="5907" max="5907" width="7.125" style="2" bestFit="1" customWidth="1"/>
    <col min="5908" max="5908" width="9.625" style="2" bestFit="1" customWidth="1"/>
    <col min="5909" max="6133" width="9" style="2"/>
    <col min="6134" max="6134" width="2.375" style="2" customWidth="1"/>
    <col min="6135" max="6135" width="13.25" style="2" bestFit="1" customWidth="1"/>
    <col min="6136" max="6140" width="11.125" style="2" bestFit="1" customWidth="1"/>
    <col min="6141" max="6141" width="13.25" style="2" bestFit="1" customWidth="1"/>
    <col min="6142" max="6142" width="11.125" style="2" bestFit="1" customWidth="1"/>
    <col min="6143" max="6143" width="9" style="2"/>
    <col min="6144" max="6144" width="11.125" style="2" bestFit="1" customWidth="1"/>
    <col min="6145" max="6145" width="9" style="2"/>
    <col min="6146" max="6161" width="11.125" style="2" bestFit="1" customWidth="1"/>
    <col min="6162" max="6162" width="9" style="2"/>
    <col min="6163" max="6163" width="7.125" style="2" bestFit="1" customWidth="1"/>
    <col min="6164" max="6164" width="9.625" style="2" bestFit="1" customWidth="1"/>
    <col min="6165" max="6389" width="9" style="2"/>
    <col min="6390" max="6390" width="2.375" style="2" customWidth="1"/>
    <col min="6391" max="6391" width="13.25" style="2" bestFit="1" customWidth="1"/>
    <col min="6392" max="6396" width="11.125" style="2" bestFit="1" customWidth="1"/>
    <col min="6397" max="6397" width="13.25" style="2" bestFit="1" customWidth="1"/>
    <col min="6398" max="6398" width="11.125" style="2" bestFit="1" customWidth="1"/>
    <col min="6399" max="6399" width="9" style="2"/>
    <col min="6400" max="6400" width="11.125" style="2" bestFit="1" customWidth="1"/>
    <col min="6401" max="6401" width="9" style="2"/>
    <col min="6402" max="6417" width="11.125" style="2" bestFit="1" customWidth="1"/>
    <col min="6418" max="6418" width="9" style="2"/>
    <col min="6419" max="6419" width="7.125" style="2" bestFit="1" customWidth="1"/>
    <col min="6420" max="6420" width="9.625" style="2" bestFit="1" customWidth="1"/>
    <col min="6421" max="6645" width="9" style="2"/>
    <col min="6646" max="6646" width="2.375" style="2" customWidth="1"/>
    <col min="6647" max="6647" width="13.25" style="2" bestFit="1" customWidth="1"/>
    <col min="6648" max="6652" width="11.125" style="2" bestFit="1" customWidth="1"/>
    <col min="6653" max="6653" width="13.25" style="2" bestFit="1" customWidth="1"/>
    <col min="6654" max="6654" width="11.125" style="2" bestFit="1" customWidth="1"/>
    <col min="6655" max="6655" width="9" style="2"/>
    <col min="6656" max="6656" width="11.125" style="2" bestFit="1" customWidth="1"/>
    <col min="6657" max="6657" width="9" style="2"/>
    <col min="6658" max="6673" width="11.125" style="2" bestFit="1" customWidth="1"/>
    <col min="6674" max="6674" width="9" style="2"/>
    <col min="6675" max="6675" width="7.125" style="2" bestFit="1" customWidth="1"/>
    <col min="6676" max="6676" width="9.625" style="2" bestFit="1" customWidth="1"/>
    <col min="6677" max="6901" width="9" style="2"/>
    <col min="6902" max="6902" width="2.375" style="2" customWidth="1"/>
    <col min="6903" max="6903" width="13.25" style="2" bestFit="1" customWidth="1"/>
    <col min="6904" max="6908" width="11.125" style="2" bestFit="1" customWidth="1"/>
    <col min="6909" max="6909" width="13.25" style="2" bestFit="1" customWidth="1"/>
    <col min="6910" max="6910" width="11.125" style="2" bestFit="1" customWidth="1"/>
    <col min="6911" max="6911" width="9" style="2"/>
    <col min="6912" max="6912" width="11.125" style="2" bestFit="1" customWidth="1"/>
    <col min="6913" max="6913" width="9" style="2"/>
    <col min="6914" max="6929" width="11.125" style="2" bestFit="1" customWidth="1"/>
    <col min="6930" max="6930" width="9" style="2"/>
    <col min="6931" max="6931" width="7.125" style="2" bestFit="1" customWidth="1"/>
    <col min="6932" max="6932" width="9.625" style="2" bestFit="1" customWidth="1"/>
    <col min="6933" max="7157" width="9" style="2"/>
    <col min="7158" max="7158" width="2.375" style="2" customWidth="1"/>
    <col min="7159" max="7159" width="13.25" style="2" bestFit="1" customWidth="1"/>
    <col min="7160" max="7164" width="11.125" style="2" bestFit="1" customWidth="1"/>
    <col min="7165" max="7165" width="13.25" style="2" bestFit="1" customWidth="1"/>
    <col min="7166" max="7166" width="11.125" style="2" bestFit="1" customWidth="1"/>
    <col min="7167" max="7167" width="9" style="2"/>
    <col min="7168" max="7168" width="11.125" style="2" bestFit="1" customWidth="1"/>
    <col min="7169" max="7169" width="9" style="2"/>
    <col min="7170" max="7185" width="11.125" style="2" bestFit="1" customWidth="1"/>
    <col min="7186" max="7186" width="9" style="2"/>
    <col min="7187" max="7187" width="7.125" style="2" bestFit="1" customWidth="1"/>
    <col min="7188" max="7188" width="9.625" style="2" bestFit="1" customWidth="1"/>
    <col min="7189" max="7413" width="9" style="2"/>
    <col min="7414" max="7414" width="2.375" style="2" customWidth="1"/>
    <col min="7415" max="7415" width="13.25" style="2" bestFit="1" customWidth="1"/>
    <col min="7416" max="7420" width="11.125" style="2" bestFit="1" customWidth="1"/>
    <col min="7421" max="7421" width="13.25" style="2" bestFit="1" customWidth="1"/>
    <col min="7422" max="7422" width="11.125" style="2" bestFit="1" customWidth="1"/>
    <col min="7423" max="7423" width="9" style="2"/>
    <col min="7424" max="7424" width="11.125" style="2" bestFit="1" customWidth="1"/>
    <col min="7425" max="7425" width="9" style="2"/>
    <col min="7426" max="7441" width="11.125" style="2" bestFit="1" customWidth="1"/>
    <col min="7442" max="7442" width="9" style="2"/>
    <col min="7443" max="7443" width="7.125" style="2" bestFit="1" customWidth="1"/>
    <col min="7444" max="7444" width="9.625" style="2" bestFit="1" customWidth="1"/>
    <col min="7445" max="7669" width="9" style="2"/>
    <col min="7670" max="7670" width="2.375" style="2" customWidth="1"/>
    <col min="7671" max="7671" width="13.25" style="2" bestFit="1" customWidth="1"/>
    <col min="7672" max="7676" width="11.125" style="2" bestFit="1" customWidth="1"/>
    <col min="7677" max="7677" width="13.25" style="2" bestFit="1" customWidth="1"/>
    <col min="7678" max="7678" width="11.125" style="2" bestFit="1" customWidth="1"/>
    <col min="7679" max="7679" width="9" style="2"/>
    <col min="7680" max="7680" width="11.125" style="2" bestFit="1" customWidth="1"/>
    <col min="7681" max="7681" width="9" style="2"/>
    <col min="7682" max="7697" width="11.125" style="2" bestFit="1" customWidth="1"/>
    <col min="7698" max="7698" width="9" style="2"/>
    <col min="7699" max="7699" width="7.125" style="2" bestFit="1" customWidth="1"/>
    <col min="7700" max="7700" width="9.625" style="2" bestFit="1" customWidth="1"/>
    <col min="7701" max="7925" width="9" style="2"/>
    <col min="7926" max="7926" width="2.375" style="2" customWidth="1"/>
    <col min="7927" max="7927" width="13.25" style="2" bestFit="1" customWidth="1"/>
    <col min="7928" max="7932" width="11.125" style="2" bestFit="1" customWidth="1"/>
    <col min="7933" max="7933" width="13.25" style="2" bestFit="1" customWidth="1"/>
    <col min="7934" max="7934" width="11.125" style="2" bestFit="1" customWidth="1"/>
    <col min="7935" max="7935" width="9" style="2"/>
    <col min="7936" max="7936" width="11.125" style="2" bestFit="1" customWidth="1"/>
    <col min="7937" max="7937" width="9" style="2"/>
    <col min="7938" max="7953" width="11.125" style="2" bestFit="1" customWidth="1"/>
    <col min="7954" max="7954" width="9" style="2"/>
    <col min="7955" max="7955" width="7.125" style="2" bestFit="1" customWidth="1"/>
    <col min="7956" max="7956" width="9.625" style="2" bestFit="1" customWidth="1"/>
    <col min="7957" max="8181" width="9" style="2"/>
    <col min="8182" max="8182" width="2.375" style="2" customWidth="1"/>
    <col min="8183" max="8183" width="13.25" style="2" bestFit="1" customWidth="1"/>
    <col min="8184" max="8188" width="11.125" style="2" bestFit="1" customWidth="1"/>
    <col min="8189" max="8189" width="13.25" style="2" bestFit="1" customWidth="1"/>
    <col min="8190" max="8190" width="11.125" style="2" bestFit="1" customWidth="1"/>
    <col min="8191" max="8191" width="9" style="2"/>
    <col min="8192" max="8192" width="11.125" style="2" bestFit="1" customWidth="1"/>
    <col min="8193" max="8193" width="9" style="2"/>
    <col min="8194" max="8209" width="11.125" style="2" bestFit="1" customWidth="1"/>
    <col min="8210" max="8210" width="9" style="2"/>
    <col min="8211" max="8211" width="7.125" style="2" bestFit="1" customWidth="1"/>
    <col min="8212" max="8212" width="9.625" style="2" bestFit="1" customWidth="1"/>
    <col min="8213" max="8437" width="9" style="2"/>
    <col min="8438" max="8438" width="2.375" style="2" customWidth="1"/>
    <col min="8439" max="8439" width="13.25" style="2" bestFit="1" customWidth="1"/>
    <col min="8440" max="8444" width="11.125" style="2" bestFit="1" customWidth="1"/>
    <col min="8445" max="8445" width="13.25" style="2" bestFit="1" customWidth="1"/>
    <col min="8446" max="8446" width="11.125" style="2" bestFit="1" customWidth="1"/>
    <col min="8447" max="8447" width="9" style="2"/>
    <col min="8448" max="8448" width="11.125" style="2" bestFit="1" customWidth="1"/>
    <col min="8449" max="8449" width="9" style="2"/>
    <col min="8450" max="8465" width="11.125" style="2" bestFit="1" customWidth="1"/>
    <col min="8466" max="8466" width="9" style="2"/>
    <col min="8467" max="8467" width="7.125" style="2" bestFit="1" customWidth="1"/>
    <col min="8468" max="8468" width="9.625" style="2" bestFit="1" customWidth="1"/>
    <col min="8469" max="8693" width="9" style="2"/>
    <col min="8694" max="8694" width="2.375" style="2" customWidth="1"/>
    <col min="8695" max="8695" width="13.25" style="2" bestFit="1" customWidth="1"/>
    <col min="8696" max="8700" width="11.125" style="2" bestFit="1" customWidth="1"/>
    <col min="8701" max="8701" width="13.25" style="2" bestFit="1" customWidth="1"/>
    <col min="8702" max="8702" width="11.125" style="2" bestFit="1" customWidth="1"/>
    <col min="8703" max="8703" width="9" style="2"/>
    <col min="8704" max="8704" width="11.125" style="2" bestFit="1" customWidth="1"/>
    <col min="8705" max="8705" width="9" style="2"/>
    <col min="8706" max="8721" width="11.125" style="2" bestFit="1" customWidth="1"/>
    <col min="8722" max="8722" width="9" style="2"/>
    <col min="8723" max="8723" width="7.125" style="2" bestFit="1" customWidth="1"/>
    <col min="8724" max="8724" width="9.625" style="2" bestFit="1" customWidth="1"/>
    <col min="8725" max="8949" width="9" style="2"/>
    <col min="8950" max="8950" width="2.375" style="2" customWidth="1"/>
    <col min="8951" max="8951" width="13.25" style="2" bestFit="1" customWidth="1"/>
    <col min="8952" max="8956" width="11.125" style="2" bestFit="1" customWidth="1"/>
    <col min="8957" max="8957" width="13.25" style="2" bestFit="1" customWidth="1"/>
    <col min="8958" max="8958" width="11.125" style="2" bestFit="1" customWidth="1"/>
    <col min="8959" max="8959" width="9" style="2"/>
    <col min="8960" max="8960" width="11.125" style="2" bestFit="1" customWidth="1"/>
    <col min="8961" max="8961" width="9" style="2"/>
    <col min="8962" max="8977" width="11.125" style="2" bestFit="1" customWidth="1"/>
    <col min="8978" max="8978" width="9" style="2"/>
    <col min="8979" max="8979" width="7.125" style="2" bestFit="1" customWidth="1"/>
    <col min="8980" max="8980" width="9.625" style="2" bestFit="1" customWidth="1"/>
    <col min="8981" max="9205" width="9" style="2"/>
    <col min="9206" max="9206" width="2.375" style="2" customWidth="1"/>
    <col min="9207" max="9207" width="13.25" style="2" bestFit="1" customWidth="1"/>
    <col min="9208" max="9212" width="11.125" style="2" bestFit="1" customWidth="1"/>
    <col min="9213" max="9213" width="13.25" style="2" bestFit="1" customWidth="1"/>
    <col min="9214" max="9214" width="11.125" style="2" bestFit="1" customWidth="1"/>
    <col min="9215" max="9215" width="9" style="2"/>
    <col min="9216" max="9216" width="11.125" style="2" bestFit="1" customWidth="1"/>
    <col min="9217" max="9217" width="9" style="2"/>
    <col min="9218" max="9233" width="11.125" style="2" bestFit="1" customWidth="1"/>
    <col min="9234" max="9234" width="9" style="2"/>
    <col min="9235" max="9235" width="7.125" style="2" bestFit="1" customWidth="1"/>
    <col min="9236" max="9236" width="9.625" style="2" bestFit="1" customWidth="1"/>
    <col min="9237" max="9461" width="9" style="2"/>
    <col min="9462" max="9462" width="2.375" style="2" customWidth="1"/>
    <col min="9463" max="9463" width="13.25" style="2" bestFit="1" customWidth="1"/>
    <col min="9464" max="9468" width="11.125" style="2" bestFit="1" customWidth="1"/>
    <col min="9469" max="9469" width="13.25" style="2" bestFit="1" customWidth="1"/>
    <col min="9470" max="9470" width="11.125" style="2" bestFit="1" customWidth="1"/>
    <col min="9471" max="9471" width="9" style="2"/>
    <col min="9472" max="9472" width="11.125" style="2" bestFit="1" customWidth="1"/>
    <col min="9473" max="9473" width="9" style="2"/>
    <col min="9474" max="9489" width="11.125" style="2" bestFit="1" customWidth="1"/>
    <col min="9490" max="9490" width="9" style="2"/>
    <col min="9491" max="9491" width="7.125" style="2" bestFit="1" customWidth="1"/>
    <col min="9492" max="9492" width="9.625" style="2" bestFit="1" customWidth="1"/>
    <col min="9493" max="9717" width="9" style="2"/>
    <col min="9718" max="9718" width="2.375" style="2" customWidth="1"/>
    <col min="9719" max="9719" width="13.25" style="2" bestFit="1" customWidth="1"/>
    <col min="9720" max="9724" width="11.125" style="2" bestFit="1" customWidth="1"/>
    <col min="9725" max="9725" width="13.25" style="2" bestFit="1" customWidth="1"/>
    <col min="9726" max="9726" width="11.125" style="2" bestFit="1" customWidth="1"/>
    <col min="9727" max="9727" width="9" style="2"/>
    <col min="9728" max="9728" width="11.125" style="2" bestFit="1" customWidth="1"/>
    <col min="9729" max="9729" width="9" style="2"/>
    <col min="9730" max="9745" width="11.125" style="2" bestFit="1" customWidth="1"/>
    <col min="9746" max="9746" width="9" style="2"/>
    <col min="9747" max="9747" width="7.125" style="2" bestFit="1" customWidth="1"/>
    <col min="9748" max="9748" width="9.625" style="2" bestFit="1" customWidth="1"/>
    <col min="9749" max="9973" width="9" style="2"/>
    <col min="9974" max="9974" width="2.375" style="2" customWidth="1"/>
    <col min="9975" max="9975" width="13.25" style="2" bestFit="1" customWidth="1"/>
    <col min="9976" max="9980" width="11.125" style="2" bestFit="1" customWidth="1"/>
    <col min="9981" max="9981" width="13.25" style="2" bestFit="1" customWidth="1"/>
    <col min="9982" max="9982" width="11.125" style="2" bestFit="1" customWidth="1"/>
    <col min="9983" max="9983" width="9" style="2"/>
    <col min="9984" max="9984" width="11.125" style="2" bestFit="1" customWidth="1"/>
    <col min="9985" max="9985" width="9" style="2"/>
    <col min="9986" max="10001" width="11.125" style="2" bestFit="1" customWidth="1"/>
    <col min="10002" max="10002" width="9" style="2"/>
    <col min="10003" max="10003" width="7.125" style="2" bestFit="1" customWidth="1"/>
    <col min="10004" max="10004" width="9.625" style="2" bestFit="1" customWidth="1"/>
    <col min="10005" max="10229" width="9" style="2"/>
    <col min="10230" max="10230" width="2.375" style="2" customWidth="1"/>
    <col min="10231" max="10231" width="13.25" style="2" bestFit="1" customWidth="1"/>
    <col min="10232" max="10236" width="11.125" style="2" bestFit="1" customWidth="1"/>
    <col min="10237" max="10237" width="13.25" style="2" bestFit="1" customWidth="1"/>
    <col min="10238" max="10238" width="11.125" style="2" bestFit="1" customWidth="1"/>
    <col min="10239" max="10239" width="9" style="2"/>
    <col min="10240" max="10240" width="11.125" style="2" bestFit="1" customWidth="1"/>
    <col min="10241" max="10241" width="9" style="2"/>
    <col min="10242" max="10257" width="11.125" style="2" bestFit="1" customWidth="1"/>
    <col min="10258" max="10258" width="9" style="2"/>
    <col min="10259" max="10259" width="7.125" style="2" bestFit="1" customWidth="1"/>
    <col min="10260" max="10260" width="9.625" style="2" bestFit="1" customWidth="1"/>
    <col min="10261" max="10485" width="9" style="2"/>
    <col min="10486" max="10486" width="2.375" style="2" customWidth="1"/>
    <col min="10487" max="10487" width="13.25" style="2" bestFit="1" customWidth="1"/>
    <col min="10488" max="10492" width="11.125" style="2" bestFit="1" customWidth="1"/>
    <col min="10493" max="10493" width="13.25" style="2" bestFit="1" customWidth="1"/>
    <col min="10494" max="10494" width="11.125" style="2" bestFit="1" customWidth="1"/>
    <col min="10495" max="10495" width="9" style="2"/>
    <col min="10496" max="10496" width="11.125" style="2" bestFit="1" customWidth="1"/>
    <col min="10497" max="10497" width="9" style="2"/>
    <col min="10498" max="10513" width="11.125" style="2" bestFit="1" customWidth="1"/>
    <col min="10514" max="10514" width="9" style="2"/>
    <col min="10515" max="10515" width="7.125" style="2" bestFit="1" customWidth="1"/>
    <col min="10516" max="10516" width="9.625" style="2" bestFit="1" customWidth="1"/>
    <col min="10517" max="10741" width="9" style="2"/>
    <col min="10742" max="10742" width="2.375" style="2" customWidth="1"/>
    <col min="10743" max="10743" width="13.25" style="2" bestFit="1" customWidth="1"/>
    <col min="10744" max="10748" width="11.125" style="2" bestFit="1" customWidth="1"/>
    <col min="10749" max="10749" width="13.25" style="2" bestFit="1" customWidth="1"/>
    <col min="10750" max="10750" width="11.125" style="2" bestFit="1" customWidth="1"/>
    <col min="10751" max="10751" width="9" style="2"/>
    <col min="10752" max="10752" width="11.125" style="2" bestFit="1" customWidth="1"/>
    <col min="10753" max="10753" width="9" style="2"/>
    <col min="10754" max="10769" width="11.125" style="2" bestFit="1" customWidth="1"/>
    <col min="10770" max="10770" width="9" style="2"/>
    <col min="10771" max="10771" width="7.125" style="2" bestFit="1" customWidth="1"/>
    <col min="10772" max="10772" width="9.625" style="2" bestFit="1" customWidth="1"/>
    <col min="10773" max="10997" width="9" style="2"/>
    <col min="10998" max="10998" width="2.375" style="2" customWidth="1"/>
    <col min="10999" max="10999" width="13.25" style="2" bestFit="1" customWidth="1"/>
    <col min="11000" max="11004" width="11.125" style="2" bestFit="1" customWidth="1"/>
    <col min="11005" max="11005" width="13.25" style="2" bestFit="1" customWidth="1"/>
    <col min="11006" max="11006" width="11.125" style="2" bestFit="1" customWidth="1"/>
    <col min="11007" max="11007" width="9" style="2"/>
    <col min="11008" max="11008" width="11.125" style="2" bestFit="1" customWidth="1"/>
    <col min="11009" max="11009" width="9" style="2"/>
    <col min="11010" max="11025" width="11.125" style="2" bestFit="1" customWidth="1"/>
    <col min="11026" max="11026" width="9" style="2"/>
    <col min="11027" max="11027" width="7.125" style="2" bestFit="1" customWidth="1"/>
    <col min="11028" max="11028" width="9.625" style="2" bestFit="1" customWidth="1"/>
    <col min="11029" max="11253" width="9" style="2"/>
    <col min="11254" max="11254" width="2.375" style="2" customWidth="1"/>
    <col min="11255" max="11255" width="13.25" style="2" bestFit="1" customWidth="1"/>
    <col min="11256" max="11260" width="11.125" style="2" bestFit="1" customWidth="1"/>
    <col min="11261" max="11261" width="13.25" style="2" bestFit="1" customWidth="1"/>
    <col min="11262" max="11262" width="11.125" style="2" bestFit="1" customWidth="1"/>
    <col min="11263" max="11263" width="9" style="2"/>
    <col min="11264" max="11264" width="11.125" style="2" bestFit="1" customWidth="1"/>
    <col min="11265" max="11265" width="9" style="2"/>
    <col min="11266" max="11281" width="11.125" style="2" bestFit="1" customWidth="1"/>
    <col min="11282" max="11282" width="9" style="2"/>
    <col min="11283" max="11283" width="7.125" style="2" bestFit="1" customWidth="1"/>
    <col min="11284" max="11284" width="9.625" style="2" bestFit="1" customWidth="1"/>
    <col min="11285" max="11509" width="9" style="2"/>
    <col min="11510" max="11510" width="2.375" style="2" customWidth="1"/>
    <col min="11511" max="11511" width="13.25" style="2" bestFit="1" customWidth="1"/>
    <col min="11512" max="11516" width="11.125" style="2" bestFit="1" customWidth="1"/>
    <col min="11517" max="11517" width="13.25" style="2" bestFit="1" customWidth="1"/>
    <col min="11518" max="11518" width="11.125" style="2" bestFit="1" customWidth="1"/>
    <col min="11519" max="11519" width="9" style="2"/>
    <col min="11520" max="11520" width="11.125" style="2" bestFit="1" customWidth="1"/>
    <col min="11521" max="11521" width="9" style="2"/>
    <col min="11522" max="11537" width="11.125" style="2" bestFit="1" customWidth="1"/>
    <col min="11538" max="11538" width="9" style="2"/>
    <col min="11539" max="11539" width="7.125" style="2" bestFit="1" customWidth="1"/>
    <col min="11540" max="11540" width="9.625" style="2" bestFit="1" customWidth="1"/>
    <col min="11541" max="11765" width="9" style="2"/>
    <col min="11766" max="11766" width="2.375" style="2" customWidth="1"/>
    <col min="11767" max="11767" width="13.25" style="2" bestFit="1" customWidth="1"/>
    <col min="11768" max="11772" width="11.125" style="2" bestFit="1" customWidth="1"/>
    <col min="11773" max="11773" width="13.25" style="2" bestFit="1" customWidth="1"/>
    <col min="11774" max="11774" width="11.125" style="2" bestFit="1" customWidth="1"/>
    <col min="11775" max="11775" width="9" style="2"/>
    <col min="11776" max="11776" width="11.125" style="2" bestFit="1" customWidth="1"/>
    <col min="11777" max="11777" width="9" style="2"/>
    <col min="11778" max="11793" width="11.125" style="2" bestFit="1" customWidth="1"/>
    <col min="11794" max="11794" width="9" style="2"/>
    <col min="11795" max="11795" width="7.125" style="2" bestFit="1" customWidth="1"/>
    <col min="11796" max="11796" width="9.625" style="2" bestFit="1" customWidth="1"/>
    <col min="11797" max="12021" width="9" style="2"/>
    <col min="12022" max="12022" width="2.375" style="2" customWidth="1"/>
    <col min="12023" max="12023" width="13.25" style="2" bestFit="1" customWidth="1"/>
    <col min="12024" max="12028" width="11.125" style="2" bestFit="1" customWidth="1"/>
    <col min="12029" max="12029" width="13.25" style="2" bestFit="1" customWidth="1"/>
    <col min="12030" max="12030" width="11.125" style="2" bestFit="1" customWidth="1"/>
    <col min="12031" max="12031" width="9" style="2"/>
    <col min="12032" max="12032" width="11.125" style="2" bestFit="1" customWidth="1"/>
    <col min="12033" max="12033" width="9" style="2"/>
    <col min="12034" max="12049" width="11.125" style="2" bestFit="1" customWidth="1"/>
    <col min="12050" max="12050" width="9" style="2"/>
    <col min="12051" max="12051" width="7.125" style="2" bestFit="1" customWidth="1"/>
    <col min="12052" max="12052" width="9.625" style="2" bestFit="1" customWidth="1"/>
    <col min="12053" max="12277" width="9" style="2"/>
    <col min="12278" max="12278" width="2.375" style="2" customWidth="1"/>
    <col min="12279" max="12279" width="13.25" style="2" bestFit="1" customWidth="1"/>
    <col min="12280" max="12284" width="11.125" style="2" bestFit="1" customWidth="1"/>
    <col min="12285" max="12285" width="13.25" style="2" bestFit="1" customWidth="1"/>
    <col min="12286" max="12286" width="11.125" style="2" bestFit="1" customWidth="1"/>
    <col min="12287" max="12287" width="9" style="2"/>
    <col min="12288" max="12288" width="11.125" style="2" bestFit="1" customWidth="1"/>
    <col min="12289" max="12289" width="9" style="2"/>
    <col min="12290" max="12305" width="11.125" style="2" bestFit="1" customWidth="1"/>
    <col min="12306" max="12306" width="9" style="2"/>
    <col min="12307" max="12307" width="7.125" style="2" bestFit="1" customWidth="1"/>
    <col min="12308" max="12308" width="9.625" style="2" bestFit="1" customWidth="1"/>
    <col min="12309" max="12533" width="9" style="2"/>
    <col min="12534" max="12534" width="2.375" style="2" customWidth="1"/>
    <col min="12535" max="12535" width="13.25" style="2" bestFit="1" customWidth="1"/>
    <col min="12536" max="12540" width="11.125" style="2" bestFit="1" customWidth="1"/>
    <col min="12541" max="12541" width="13.25" style="2" bestFit="1" customWidth="1"/>
    <col min="12542" max="12542" width="11.125" style="2" bestFit="1" customWidth="1"/>
    <col min="12543" max="12543" width="9" style="2"/>
    <col min="12544" max="12544" width="11.125" style="2" bestFit="1" customWidth="1"/>
    <col min="12545" max="12545" width="9" style="2"/>
    <col min="12546" max="12561" width="11.125" style="2" bestFit="1" customWidth="1"/>
    <col min="12562" max="12562" width="9" style="2"/>
    <col min="12563" max="12563" width="7.125" style="2" bestFit="1" customWidth="1"/>
    <col min="12564" max="12564" width="9.625" style="2" bestFit="1" customWidth="1"/>
    <col min="12565" max="12789" width="9" style="2"/>
    <col min="12790" max="12790" width="2.375" style="2" customWidth="1"/>
    <col min="12791" max="12791" width="13.25" style="2" bestFit="1" customWidth="1"/>
    <col min="12792" max="12796" width="11.125" style="2" bestFit="1" customWidth="1"/>
    <col min="12797" max="12797" width="13.25" style="2" bestFit="1" customWidth="1"/>
    <col min="12798" max="12798" width="11.125" style="2" bestFit="1" customWidth="1"/>
    <col min="12799" max="12799" width="9" style="2"/>
    <col min="12800" max="12800" width="11.125" style="2" bestFit="1" customWidth="1"/>
    <col min="12801" max="12801" width="9" style="2"/>
    <col min="12802" max="12817" width="11.125" style="2" bestFit="1" customWidth="1"/>
    <col min="12818" max="12818" width="9" style="2"/>
    <col min="12819" max="12819" width="7.125" style="2" bestFit="1" customWidth="1"/>
    <col min="12820" max="12820" width="9.625" style="2" bestFit="1" customWidth="1"/>
    <col min="12821" max="13045" width="9" style="2"/>
    <col min="13046" max="13046" width="2.375" style="2" customWidth="1"/>
    <col min="13047" max="13047" width="13.25" style="2" bestFit="1" customWidth="1"/>
    <col min="13048" max="13052" width="11.125" style="2" bestFit="1" customWidth="1"/>
    <col min="13053" max="13053" width="13.25" style="2" bestFit="1" customWidth="1"/>
    <col min="13054" max="13054" width="11.125" style="2" bestFit="1" customWidth="1"/>
    <col min="13055" max="13055" width="9" style="2"/>
    <col min="13056" max="13056" width="11.125" style="2" bestFit="1" customWidth="1"/>
    <col min="13057" max="13057" width="9" style="2"/>
    <col min="13058" max="13073" width="11.125" style="2" bestFit="1" customWidth="1"/>
    <col min="13074" max="13074" width="9" style="2"/>
    <col min="13075" max="13075" width="7.125" style="2" bestFit="1" customWidth="1"/>
    <col min="13076" max="13076" width="9.625" style="2" bestFit="1" customWidth="1"/>
    <col min="13077" max="13301" width="9" style="2"/>
    <col min="13302" max="13302" width="2.375" style="2" customWidth="1"/>
    <col min="13303" max="13303" width="13.25" style="2" bestFit="1" customWidth="1"/>
    <col min="13304" max="13308" width="11.125" style="2" bestFit="1" customWidth="1"/>
    <col min="13309" max="13309" width="13.25" style="2" bestFit="1" customWidth="1"/>
    <col min="13310" max="13310" width="11.125" style="2" bestFit="1" customWidth="1"/>
    <col min="13311" max="13311" width="9" style="2"/>
    <col min="13312" max="13312" width="11.125" style="2" bestFit="1" customWidth="1"/>
    <col min="13313" max="13313" width="9" style="2"/>
    <col min="13314" max="13329" width="11.125" style="2" bestFit="1" customWidth="1"/>
    <col min="13330" max="13330" width="9" style="2"/>
    <col min="13331" max="13331" width="7.125" style="2" bestFit="1" customWidth="1"/>
    <col min="13332" max="13332" width="9.625" style="2" bestFit="1" customWidth="1"/>
    <col min="13333" max="13557" width="9" style="2"/>
    <col min="13558" max="13558" width="2.375" style="2" customWidth="1"/>
    <col min="13559" max="13559" width="13.25" style="2" bestFit="1" customWidth="1"/>
    <col min="13560" max="13564" width="11.125" style="2" bestFit="1" customWidth="1"/>
    <col min="13565" max="13565" width="13.25" style="2" bestFit="1" customWidth="1"/>
    <col min="13566" max="13566" width="11.125" style="2" bestFit="1" customWidth="1"/>
    <col min="13567" max="13567" width="9" style="2"/>
    <col min="13568" max="13568" width="11.125" style="2" bestFit="1" customWidth="1"/>
    <col min="13569" max="13569" width="9" style="2"/>
    <col min="13570" max="13585" width="11.125" style="2" bestFit="1" customWidth="1"/>
    <col min="13586" max="13586" width="9" style="2"/>
    <col min="13587" max="13587" width="7.125" style="2" bestFit="1" customWidth="1"/>
    <col min="13588" max="13588" width="9.625" style="2" bestFit="1" customWidth="1"/>
    <col min="13589" max="13813" width="9" style="2"/>
    <col min="13814" max="13814" width="2.375" style="2" customWidth="1"/>
    <col min="13815" max="13815" width="13.25" style="2" bestFit="1" customWidth="1"/>
    <col min="13816" max="13820" width="11.125" style="2" bestFit="1" customWidth="1"/>
    <col min="13821" max="13821" width="13.25" style="2" bestFit="1" customWidth="1"/>
    <col min="13822" max="13822" width="11.125" style="2" bestFit="1" customWidth="1"/>
    <col min="13823" max="13823" width="9" style="2"/>
    <col min="13824" max="13824" width="11.125" style="2" bestFit="1" customWidth="1"/>
    <col min="13825" max="13825" width="9" style="2"/>
    <col min="13826" max="13841" width="11.125" style="2" bestFit="1" customWidth="1"/>
    <col min="13842" max="13842" width="9" style="2"/>
    <col min="13843" max="13843" width="7.125" style="2" bestFit="1" customWidth="1"/>
    <col min="13844" max="13844" width="9.625" style="2" bestFit="1" customWidth="1"/>
    <col min="13845" max="14069" width="9" style="2"/>
    <col min="14070" max="14070" width="2.375" style="2" customWidth="1"/>
    <col min="14071" max="14071" width="13.25" style="2" bestFit="1" customWidth="1"/>
    <col min="14072" max="14076" width="11.125" style="2" bestFit="1" customWidth="1"/>
    <col min="14077" max="14077" width="13.25" style="2" bestFit="1" customWidth="1"/>
    <col min="14078" max="14078" width="11.125" style="2" bestFit="1" customWidth="1"/>
    <col min="14079" max="14079" width="9" style="2"/>
    <col min="14080" max="14080" width="11.125" style="2" bestFit="1" customWidth="1"/>
    <col min="14081" max="14081" width="9" style="2"/>
    <col min="14082" max="14097" width="11.125" style="2" bestFit="1" customWidth="1"/>
    <col min="14098" max="14098" width="9" style="2"/>
    <col min="14099" max="14099" width="7.125" style="2" bestFit="1" customWidth="1"/>
    <col min="14100" max="14100" width="9.625" style="2" bestFit="1" customWidth="1"/>
    <col min="14101" max="14325" width="9" style="2"/>
    <col min="14326" max="14326" width="2.375" style="2" customWidth="1"/>
    <col min="14327" max="14327" width="13.25" style="2" bestFit="1" customWidth="1"/>
    <col min="14328" max="14332" width="11.125" style="2" bestFit="1" customWidth="1"/>
    <col min="14333" max="14333" width="13.25" style="2" bestFit="1" customWidth="1"/>
    <col min="14334" max="14334" width="11.125" style="2" bestFit="1" customWidth="1"/>
    <col min="14335" max="14335" width="9" style="2"/>
    <col min="14336" max="14336" width="11.125" style="2" bestFit="1" customWidth="1"/>
    <col min="14337" max="14337" width="9" style="2"/>
    <col min="14338" max="14353" width="11.125" style="2" bestFit="1" customWidth="1"/>
    <col min="14354" max="14354" width="9" style="2"/>
    <col min="14355" max="14355" width="7.125" style="2" bestFit="1" customWidth="1"/>
    <col min="14356" max="14356" width="9.625" style="2" bestFit="1" customWidth="1"/>
    <col min="14357" max="14581" width="9" style="2"/>
    <col min="14582" max="14582" width="2.375" style="2" customWidth="1"/>
    <col min="14583" max="14583" width="13.25" style="2" bestFit="1" customWidth="1"/>
    <col min="14584" max="14588" width="11.125" style="2" bestFit="1" customWidth="1"/>
    <col min="14589" max="14589" width="13.25" style="2" bestFit="1" customWidth="1"/>
    <col min="14590" max="14590" width="11.125" style="2" bestFit="1" customWidth="1"/>
    <col min="14591" max="14591" width="9" style="2"/>
    <col min="14592" max="14592" width="11.125" style="2" bestFit="1" customWidth="1"/>
    <col min="14593" max="14593" width="9" style="2"/>
    <col min="14594" max="14609" width="11.125" style="2" bestFit="1" customWidth="1"/>
    <col min="14610" max="14610" width="9" style="2"/>
    <col min="14611" max="14611" width="7.125" style="2" bestFit="1" customWidth="1"/>
    <col min="14612" max="14612" width="9.625" style="2" bestFit="1" customWidth="1"/>
    <col min="14613" max="14837" width="9" style="2"/>
    <col min="14838" max="14838" width="2.375" style="2" customWidth="1"/>
    <col min="14839" max="14839" width="13.25" style="2" bestFit="1" customWidth="1"/>
    <col min="14840" max="14844" width="11.125" style="2" bestFit="1" customWidth="1"/>
    <col min="14845" max="14845" width="13.25" style="2" bestFit="1" customWidth="1"/>
    <col min="14846" max="14846" width="11.125" style="2" bestFit="1" customWidth="1"/>
    <col min="14847" max="14847" width="9" style="2"/>
    <col min="14848" max="14848" width="11.125" style="2" bestFit="1" customWidth="1"/>
    <col min="14849" max="14849" width="9" style="2"/>
    <col min="14850" max="14865" width="11.125" style="2" bestFit="1" customWidth="1"/>
    <col min="14866" max="14866" width="9" style="2"/>
    <col min="14867" max="14867" width="7.125" style="2" bestFit="1" customWidth="1"/>
    <col min="14868" max="14868" width="9.625" style="2" bestFit="1" customWidth="1"/>
    <col min="14869" max="15093" width="9" style="2"/>
    <col min="15094" max="15094" width="2.375" style="2" customWidth="1"/>
    <col min="15095" max="15095" width="13.25" style="2" bestFit="1" customWidth="1"/>
    <col min="15096" max="15100" width="11.125" style="2" bestFit="1" customWidth="1"/>
    <col min="15101" max="15101" width="13.25" style="2" bestFit="1" customWidth="1"/>
    <col min="15102" max="15102" width="11.125" style="2" bestFit="1" customWidth="1"/>
    <col min="15103" max="15103" width="9" style="2"/>
    <col min="15104" max="15104" width="11.125" style="2" bestFit="1" customWidth="1"/>
    <col min="15105" max="15105" width="9" style="2"/>
    <col min="15106" max="15121" width="11.125" style="2" bestFit="1" customWidth="1"/>
    <col min="15122" max="15122" width="9" style="2"/>
    <col min="15123" max="15123" width="7.125" style="2" bestFit="1" customWidth="1"/>
    <col min="15124" max="15124" width="9.625" style="2" bestFit="1" customWidth="1"/>
    <col min="15125" max="15349" width="9" style="2"/>
    <col min="15350" max="15350" width="2.375" style="2" customWidth="1"/>
    <col min="15351" max="15351" width="13.25" style="2" bestFit="1" customWidth="1"/>
    <col min="15352" max="15356" width="11.125" style="2" bestFit="1" customWidth="1"/>
    <col min="15357" max="15357" width="13.25" style="2" bestFit="1" customWidth="1"/>
    <col min="15358" max="15358" width="11.125" style="2" bestFit="1" customWidth="1"/>
    <col min="15359" max="15359" width="9" style="2"/>
    <col min="15360" max="15360" width="11.125" style="2" bestFit="1" customWidth="1"/>
    <col min="15361" max="15361" width="9" style="2"/>
    <col min="15362" max="15377" width="11.125" style="2" bestFit="1" customWidth="1"/>
    <col min="15378" max="15378" width="9" style="2"/>
    <col min="15379" max="15379" width="7.125" style="2" bestFit="1" customWidth="1"/>
    <col min="15380" max="15380" width="9.625" style="2" bestFit="1" customWidth="1"/>
    <col min="15381" max="15605" width="9" style="2"/>
    <col min="15606" max="15606" width="2.375" style="2" customWidth="1"/>
    <col min="15607" max="15607" width="13.25" style="2" bestFit="1" customWidth="1"/>
    <col min="15608" max="15612" width="11.125" style="2" bestFit="1" customWidth="1"/>
    <col min="15613" max="15613" width="13.25" style="2" bestFit="1" customWidth="1"/>
    <col min="15614" max="15614" width="11.125" style="2" bestFit="1" customWidth="1"/>
    <col min="15615" max="15615" width="9" style="2"/>
    <col min="15616" max="15616" width="11.125" style="2" bestFit="1" customWidth="1"/>
    <col min="15617" max="15617" width="9" style="2"/>
    <col min="15618" max="15633" width="11.125" style="2" bestFit="1" customWidth="1"/>
    <col min="15634" max="15634" width="9" style="2"/>
    <col min="15635" max="15635" width="7.125" style="2" bestFit="1" customWidth="1"/>
    <col min="15636" max="15636" width="9.625" style="2" bestFit="1" customWidth="1"/>
    <col min="15637" max="15861" width="9" style="2"/>
    <col min="15862" max="15862" width="2.375" style="2" customWidth="1"/>
    <col min="15863" max="15863" width="13.25" style="2" bestFit="1" customWidth="1"/>
    <col min="15864" max="15868" width="11.125" style="2" bestFit="1" customWidth="1"/>
    <col min="15869" max="15869" width="13.25" style="2" bestFit="1" customWidth="1"/>
    <col min="15870" max="15870" width="11.125" style="2" bestFit="1" customWidth="1"/>
    <col min="15871" max="15871" width="9" style="2"/>
    <col min="15872" max="15872" width="11.125" style="2" bestFit="1" customWidth="1"/>
    <col min="15873" max="15873" width="9" style="2"/>
    <col min="15874" max="15889" width="11.125" style="2" bestFit="1" customWidth="1"/>
    <col min="15890" max="15890" width="9" style="2"/>
    <col min="15891" max="15891" width="7.125" style="2" bestFit="1" customWidth="1"/>
    <col min="15892" max="15892" width="9.625" style="2" bestFit="1" customWidth="1"/>
    <col min="15893" max="16117" width="9" style="2"/>
    <col min="16118" max="16118" width="2.375" style="2" customWidth="1"/>
    <col min="16119" max="16119" width="13.25" style="2" bestFit="1" customWidth="1"/>
    <col min="16120" max="16124" width="11.125" style="2" bestFit="1" customWidth="1"/>
    <col min="16125" max="16125" width="13.25" style="2" bestFit="1" customWidth="1"/>
    <col min="16126" max="16126" width="11.125" style="2" bestFit="1" customWidth="1"/>
    <col min="16127" max="16127" width="9" style="2"/>
    <col min="16128" max="16128" width="11.125" style="2" bestFit="1" customWidth="1"/>
    <col min="16129" max="16129" width="9" style="2"/>
    <col min="16130" max="16145" width="11.125" style="2" bestFit="1" customWidth="1"/>
    <col min="16146" max="16146" width="9" style="2"/>
    <col min="16147" max="16147" width="7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2</v>
      </c>
    </row>
    <row r="3" spans="1:21">
      <c r="B3" s="3"/>
      <c r="C3" s="6" t="s">
        <v>3</v>
      </c>
      <c r="D3" s="7" t="s">
        <v>4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21</v>
      </c>
      <c r="Q3" s="7" t="s">
        <v>22</v>
      </c>
      <c r="R3" s="7" t="s">
        <v>23</v>
      </c>
      <c r="S3" s="7" t="s">
        <v>24</v>
      </c>
      <c r="T3" s="8" t="s">
        <v>25</v>
      </c>
      <c r="U3" s="48" t="s">
        <v>75</v>
      </c>
    </row>
    <row r="4" spans="1:21" ht="19.5" thickBot="1">
      <c r="A4" s="38"/>
      <c r="B4" s="22" t="s">
        <v>26</v>
      </c>
      <c r="C4" s="23" t="s">
        <v>27</v>
      </c>
      <c r="D4" s="24" t="s">
        <v>28</v>
      </c>
      <c r="E4" s="24" t="s">
        <v>31</v>
      </c>
      <c r="F4" s="24" t="s">
        <v>32</v>
      </c>
      <c r="G4" s="24" t="s">
        <v>33</v>
      </c>
      <c r="H4" s="24" t="s">
        <v>34</v>
      </c>
      <c r="I4" s="24" t="s">
        <v>37</v>
      </c>
      <c r="J4" s="24" t="s">
        <v>38</v>
      </c>
      <c r="K4" s="24" t="s">
        <v>39</v>
      </c>
      <c r="L4" s="24" t="s">
        <v>40</v>
      </c>
      <c r="M4" s="24" t="s">
        <v>41</v>
      </c>
      <c r="N4" s="24" t="s">
        <v>42</v>
      </c>
      <c r="O4" s="24" t="s">
        <v>43</v>
      </c>
      <c r="P4" s="24" t="s">
        <v>45</v>
      </c>
      <c r="Q4" s="24" t="s">
        <v>46</v>
      </c>
      <c r="R4" s="24" t="s">
        <v>47</v>
      </c>
      <c r="S4" s="24" t="s">
        <v>48</v>
      </c>
      <c r="T4" s="25" t="s">
        <v>49</v>
      </c>
      <c r="U4" s="49" t="s">
        <v>78</v>
      </c>
    </row>
    <row r="5" spans="1:21">
      <c r="A5" s="1" t="s">
        <v>1</v>
      </c>
      <c r="B5" s="18" t="s">
        <v>51</v>
      </c>
      <c r="C5" s="19">
        <v>75000</v>
      </c>
      <c r="D5" s="20">
        <v>15235</v>
      </c>
      <c r="E5" s="20">
        <v>88000</v>
      </c>
      <c r="F5" s="20">
        <v>88000</v>
      </c>
      <c r="G5" s="20">
        <v>75000</v>
      </c>
      <c r="H5" s="20">
        <v>88000</v>
      </c>
      <c r="I5" s="20">
        <v>56000</v>
      </c>
      <c r="J5" s="20">
        <v>63000</v>
      </c>
      <c r="K5" s="20">
        <v>63000</v>
      </c>
      <c r="L5" s="20">
        <v>88000</v>
      </c>
      <c r="M5" s="20">
        <v>63000</v>
      </c>
      <c r="N5" s="20">
        <v>63000</v>
      </c>
      <c r="O5" s="20">
        <v>63000</v>
      </c>
      <c r="P5" s="20">
        <v>56000</v>
      </c>
      <c r="Q5" s="20">
        <v>63000</v>
      </c>
      <c r="R5" s="20">
        <v>0</v>
      </c>
      <c r="S5" s="20">
        <v>0</v>
      </c>
      <c r="T5" s="21">
        <v>0</v>
      </c>
      <c r="U5" s="50">
        <f>SUM(C5:T5)</f>
        <v>1007235</v>
      </c>
    </row>
    <row r="6" spans="1:21">
      <c r="A6" s="1" t="s">
        <v>1</v>
      </c>
      <c r="B6" s="4" t="s">
        <v>52</v>
      </c>
      <c r="C6" s="9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1">
        <v>0</v>
      </c>
      <c r="U6" s="51">
        <f t="shared" ref="U6:U25" si="0">SUM(C6:T6)</f>
        <v>0</v>
      </c>
    </row>
    <row r="7" spans="1:21">
      <c r="A7" s="1" t="s">
        <v>1</v>
      </c>
      <c r="B7" s="4" t="s">
        <v>53</v>
      </c>
      <c r="C7" s="9">
        <v>0</v>
      </c>
      <c r="D7" s="10">
        <v>0</v>
      </c>
      <c r="E7" s="10">
        <v>30000</v>
      </c>
      <c r="F7" s="10">
        <v>15000</v>
      </c>
      <c r="G7" s="10">
        <v>15000</v>
      </c>
      <c r="H7" s="10">
        <v>15000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1">
        <v>0</v>
      </c>
      <c r="U7" s="51">
        <f t="shared" si="0"/>
        <v>75000</v>
      </c>
    </row>
    <row r="8" spans="1:21" ht="19.5" thickBot="1">
      <c r="A8" s="1" t="s">
        <v>1</v>
      </c>
      <c r="B8" s="26" t="s">
        <v>54</v>
      </c>
      <c r="C8" s="27">
        <v>0</v>
      </c>
      <c r="D8" s="28">
        <v>0</v>
      </c>
      <c r="E8" s="28">
        <v>3000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9">
        <v>0</v>
      </c>
      <c r="U8" s="52">
        <f t="shared" si="0"/>
        <v>3000</v>
      </c>
    </row>
    <row r="9" spans="1:21" ht="19.5" thickBot="1">
      <c r="A9" s="1" t="s">
        <v>1</v>
      </c>
      <c r="B9" s="30" t="s">
        <v>55</v>
      </c>
      <c r="C9" s="31">
        <v>75000</v>
      </c>
      <c r="D9" s="32">
        <v>15235</v>
      </c>
      <c r="E9" s="32">
        <v>121000</v>
      </c>
      <c r="F9" s="32">
        <v>103000</v>
      </c>
      <c r="G9" s="32">
        <v>90000</v>
      </c>
      <c r="H9" s="32">
        <v>103000</v>
      </c>
      <c r="I9" s="32">
        <v>56000</v>
      </c>
      <c r="J9" s="32">
        <v>63000</v>
      </c>
      <c r="K9" s="32">
        <v>63000</v>
      </c>
      <c r="L9" s="32">
        <v>88000</v>
      </c>
      <c r="M9" s="32">
        <v>63000</v>
      </c>
      <c r="N9" s="32">
        <v>63000</v>
      </c>
      <c r="O9" s="32">
        <v>63000</v>
      </c>
      <c r="P9" s="32">
        <v>56000</v>
      </c>
      <c r="Q9" s="32">
        <v>63000</v>
      </c>
      <c r="R9" s="32">
        <v>0</v>
      </c>
      <c r="S9" s="32">
        <v>0</v>
      </c>
      <c r="T9" s="33">
        <v>0</v>
      </c>
      <c r="U9" s="53">
        <f t="shared" si="0"/>
        <v>1085235</v>
      </c>
    </row>
    <row r="10" spans="1:21" ht="19.5" thickBot="1">
      <c r="A10" s="1" t="s">
        <v>1</v>
      </c>
      <c r="B10" s="30" t="s">
        <v>56</v>
      </c>
      <c r="C10" s="31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3">
        <v>0</v>
      </c>
      <c r="U10" s="53">
        <f t="shared" si="0"/>
        <v>0</v>
      </c>
    </row>
    <row r="11" spans="1:21" ht="19.5" thickBot="1">
      <c r="A11" s="1" t="s">
        <v>1</v>
      </c>
      <c r="B11" s="30" t="s">
        <v>57</v>
      </c>
      <c r="C11" s="31">
        <v>75000</v>
      </c>
      <c r="D11" s="32">
        <v>15235</v>
      </c>
      <c r="E11" s="32">
        <v>121000</v>
      </c>
      <c r="F11" s="32">
        <v>103000</v>
      </c>
      <c r="G11" s="32">
        <v>90000</v>
      </c>
      <c r="H11" s="32">
        <v>103000</v>
      </c>
      <c r="I11" s="32">
        <v>56000</v>
      </c>
      <c r="J11" s="32">
        <v>63000</v>
      </c>
      <c r="K11" s="32">
        <v>63000</v>
      </c>
      <c r="L11" s="32">
        <v>88000</v>
      </c>
      <c r="M11" s="32">
        <v>63000</v>
      </c>
      <c r="N11" s="32">
        <v>63000</v>
      </c>
      <c r="O11" s="32">
        <v>63000</v>
      </c>
      <c r="P11" s="32">
        <v>56000</v>
      </c>
      <c r="Q11" s="32">
        <v>63000</v>
      </c>
      <c r="R11" s="32">
        <v>0</v>
      </c>
      <c r="S11" s="32">
        <v>0</v>
      </c>
      <c r="T11" s="33">
        <v>0</v>
      </c>
      <c r="U11" s="53">
        <f t="shared" si="0"/>
        <v>1085235</v>
      </c>
    </row>
    <row r="12" spans="1:21">
      <c r="A12" s="1" t="s">
        <v>1</v>
      </c>
      <c r="B12" s="18" t="s">
        <v>58</v>
      </c>
      <c r="C12" s="19">
        <v>3825</v>
      </c>
      <c r="D12" s="20">
        <v>765</v>
      </c>
      <c r="E12" s="20">
        <v>6171</v>
      </c>
      <c r="F12" s="20">
        <v>5253</v>
      </c>
      <c r="G12" s="20">
        <v>4590</v>
      </c>
      <c r="H12" s="20">
        <v>5253</v>
      </c>
      <c r="I12" s="20">
        <v>2856</v>
      </c>
      <c r="J12" s="20">
        <v>3213</v>
      </c>
      <c r="K12" s="20">
        <v>3213</v>
      </c>
      <c r="L12" s="20">
        <v>4488</v>
      </c>
      <c r="M12" s="20">
        <v>3213</v>
      </c>
      <c r="N12" s="20">
        <v>3213</v>
      </c>
      <c r="O12" s="20">
        <v>3213</v>
      </c>
      <c r="P12" s="20">
        <v>2856</v>
      </c>
      <c r="Q12" s="20">
        <v>3213</v>
      </c>
      <c r="R12" s="20">
        <v>0</v>
      </c>
      <c r="S12" s="20">
        <v>0</v>
      </c>
      <c r="T12" s="21">
        <v>0</v>
      </c>
      <c r="U12" s="50">
        <f t="shared" si="0"/>
        <v>55335</v>
      </c>
    </row>
    <row r="13" spans="1:21">
      <c r="A13" s="1" t="s">
        <v>1</v>
      </c>
      <c r="B13" s="4" t="s">
        <v>59</v>
      </c>
      <c r="C13" s="9">
        <v>675</v>
      </c>
      <c r="D13" s="10">
        <v>135</v>
      </c>
      <c r="E13" s="10">
        <v>1089</v>
      </c>
      <c r="F13" s="10">
        <v>927</v>
      </c>
      <c r="G13" s="10">
        <v>810</v>
      </c>
      <c r="H13" s="10">
        <v>927</v>
      </c>
      <c r="I13" s="10">
        <v>504</v>
      </c>
      <c r="J13" s="10">
        <v>567</v>
      </c>
      <c r="K13" s="10">
        <v>567</v>
      </c>
      <c r="L13" s="10">
        <v>792</v>
      </c>
      <c r="M13" s="10">
        <v>567</v>
      </c>
      <c r="N13" s="10">
        <v>567</v>
      </c>
      <c r="O13" s="10">
        <v>567</v>
      </c>
      <c r="P13" s="10">
        <v>504</v>
      </c>
      <c r="Q13" s="10">
        <v>567</v>
      </c>
      <c r="R13" s="10">
        <v>0</v>
      </c>
      <c r="S13" s="10">
        <v>0</v>
      </c>
      <c r="T13" s="11">
        <v>0</v>
      </c>
      <c r="U13" s="51">
        <f t="shared" si="0"/>
        <v>9765</v>
      </c>
    </row>
    <row r="14" spans="1:21">
      <c r="A14" s="1" t="s">
        <v>1</v>
      </c>
      <c r="B14" s="4" t="s">
        <v>60</v>
      </c>
      <c r="C14" s="9">
        <v>6862</v>
      </c>
      <c r="D14" s="10">
        <v>1372</v>
      </c>
      <c r="E14" s="10">
        <v>11071</v>
      </c>
      <c r="F14" s="10">
        <v>9424</v>
      </c>
      <c r="G14" s="10">
        <v>8235</v>
      </c>
      <c r="H14" s="10">
        <v>9424</v>
      </c>
      <c r="I14" s="10">
        <v>5124</v>
      </c>
      <c r="J14" s="10">
        <v>5764</v>
      </c>
      <c r="K14" s="10">
        <v>5764</v>
      </c>
      <c r="L14" s="10">
        <v>8052</v>
      </c>
      <c r="M14" s="10">
        <v>5764</v>
      </c>
      <c r="N14" s="10">
        <v>5764</v>
      </c>
      <c r="O14" s="10">
        <v>5764</v>
      </c>
      <c r="P14" s="10">
        <v>5124</v>
      </c>
      <c r="Q14" s="10">
        <v>5764</v>
      </c>
      <c r="R14" s="10">
        <v>0</v>
      </c>
      <c r="S14" s="10">
        <v>0</v>
      </c>
      <c r="T14" s="11">
        <v>0</v>
      </c>
      <c r="U14" s="51">
        <f t="shared" si="0"/>
        <v>99272</v>
      </c>
    </row>
    <row r="15" spans="1:21" ht="19.5" thickBot="1">
      <c r="A15" s="1" t="s">
        <v>1</v>
      </c>
      <c r="B15" s="26" t="s">
        <v>61</v>
      </c>
      <c r="C15" s="27">
        <v>375</v>
      </c>
      <c r="D15" s="28">
        <v>76</v>
      </c>
      <c r="E15" s="28">
        <v>605</v>
      </c>
      <c r="F15" s="28">
        <v>515</v>
      </c>
      <c r="G15" s="28">
        <v>450</v>
      </c>
      <c r="H15" s="28">
        <v>515</v>
      </c>
      <c r="I15" s="28">
        <v>280</v>
      </c>
      <c r="J15" s="28">
        <v>315</v>
      </c>
      <c r="K15" s="28">
        <v>315</v>
      </c>
      <c r="L15" s="28">
        <v>440</v>
      </c>
      <c r="M15" s="28">
        <v>315</v>
      </c>
      <c r="N15" s="28">
        <v>315</v>
      </c>
      <c r="O15" s="28">
        <v>315</v>
      </c>
      <c r="P15" s="28">
        <v>280</v>
      </c>
      <c r="Q15" s="28">
        <v>315</v>
      </c>
      <c r="R15" s="28">
        <v>0</v>
      </c>
      <c r="S15" s="28">
        <v>0</v>
      </c>
      <c r="T15" s="29">
        <v>0</v>
      </c>
      <c r="U15" s="52">
        <f t="shared" si="0"/>
        <v>5426</v>
      </c>
    </row>
    <row r="16" spans="1:21" ht="19.5" thickBot="1">
      <c r="A16" s="1" t="s">
        <v>1</v>
      </c>
      <c r="B16" s="30" t="s">
        <v>62</v>
      </c>
      <c r="C16" s="31">
        <v>63263</v>
      </c>
      <c r="D16" s="32">
        <v>12887</v>
      </c>
      <c r="E16" s="32">
        <v>102064</v>
      </c>
      <c r="F16" s="32">
        <v>86881</v>
      </c>
      <c r="G16" s="32">
        <v>75915</v>
      </c>
      <c r="H16" s="32">
        <v>86881</v>
      </c>
      <c r="I16" s="32">
        <v>47236</v>
      </c>
      <c r="J16" s="32">
        <v>53141</v>
      </c>
      <c r="K16" s="32">
        <v>53141</v>
      </c>
      <c r="L16" s="32">
        <v>74228</v>
      </c>
      <c r="M16" s="32">
        <v>53141</v>
      </c>
      <c r="N16" s="32">
        <v>53141</v>
      </c>
      <c r="O16" s="32">
        <v>53141</v>
      </c>
      <c r="P16" s="32">
        <v>47236</v>
      </c>
      <c r="Q16" s="32">
        <v>53141</v>
      </c>
      <c r="R16" s="32">
        <v>0</v>
      </c>
      <c r="S16" s="32">
        <v>0</v>
      </c>
      <c r="T16" s="33">
        <v>0</v>
      </c>
      <c r="U16" s="53">
        <f t="shared" si="0"/>
        <v>915437</v>
      </c>
    </row>
    <row r="17" spans="1:21" ht="19.5" thickBot="1">
      <c r="A17" s="1" t="s">
        <v>1</v>
      </c>
      <c r="B17" s="34" t="s">
        <v>63</v>
      </c>
      <c r="C17" s="35">
        <v>2583</v>
      </c>
      <c r="D17" s="36">
        <v>1315</v>
      </c>
      <c r="E17" s="36">
        <v>6252</v>
      </c>
      <c r="F17" s="36">
        <v>8870</v>
      </c>
      <c r="G17" s="36">
        <v>4650</v>
      </c>
      <c r="H17" s="36">
        <v>7096</v>
      </c>
      <c r="I17" s="36">
        <v>3858</v>
      </c>
      <c r="J17" s="36">
        <v>3255</v>
      </c>
      <c r="K17" s="36">
        <v>3255</v>
      </c>
      <c r="L17" s="36">
        <v>6062</v>
      </c>
      <c r="M17" s="36">
        <v>3255</v>
      </c>
      <c r="N17" s="36">
        <v>5425</v>
      </c>
      <c r="O17" s="36">
        <v>3255</v>
      </c>
      <c r="P17" s="36">
        <v>964</v>
      </c>
      <c r="Q17" s="36">
        <v>3255</v>
      </c>
      <c r="R17" s="36">
        <v>0</v>
      </c>
      <c r="S17" s="36">
        <v>0</v>
      </c>
      <c r="T17" s="37">
        <v>0</v>
      </c>
      <c r="U17" s="54">
        <f t="shared" si="0"/>
        <v>63350</v>
      </c>
    </row>
    <row r="18" spans="1:21" ht="19.5" thickBot="1">
      <c r="A18" s="1" t="s">
        <v>1</v>
      </c>
      <c r="B18" s="30" t="s">
        <v>64</v>
      </c>
      <c r="C18" s="31">
        <v>11737</v>
      </c>
      <c r="D18" s="32">
        <v>2348</v>
      </c>
      <c r="E18" s="32">
        <v>18936</v>
      </c>
      <c r="F18" s="32">
        <v>16119</v>
      </c>
      <c r="G18" s="32">
        <v>14085</v>
      </c>
      <c r="H18" s="32">
        <v>16119</v>
      </c>
      <c r="I18" s="32">
        <v>8764</v>
      </c>
      <c r="J18" s="32">
        <v>9859</v>
      </c>
      <c r="K18" s="32">
        <v>9859</v>
      </c>
      <c r="L18" s="32">
        <v>13772</v>
      </c>
      <c r="M18" s="32">
        <v>9859</v>
      </c>
      <c r="N18" s="32">
        <v>9859</v>
      </c>
      <c r="O18" s="32">
        <v>9859</v>
      </c>
      <c r="P18" s="32">
        <v>8764</v>
      </c>
      <c r="Q18" s="32">
        <v>9859</v>
      </c>
      <c r="R18" s="32">
        <v>0</v>
      </c>
      <c r="S18" s="32">
        <v>0</v>
      </c>
      <c r="T18" s="33">
        <v>0</v>
      </c>
      <c r="U18" s="53">
        <f t="shared" si="0"/>
        <v>169798</v>
      </c>
    </row>
    <row r="19" spans="1:21" ht="19.5" thickBot="1">
      <c r="A19" s="1" t="s">
        <v>1</v>
      </c>
      <c r="B19" s="30" t="s">
        <v>65</v>
      </c>
      <c r="C19" s="31">
        <v>14320</v>
      </c>
      <c r="D19" s="32">
        <v>3663</v>
      </c>
      <c r="E19" s="32">
        <v>25188</v>
      </c>
      <c r="F19" s="32">
        <v>24989</v>
      </c>
      <c r="G19" s="32">
        <v>18735</v>
      </c>
      <c r="H19" s="32">
        <v>23215</v>
      </c>
      <c r="I19" s="32">
        <v>12622</v>
      </c>
      <c r="J19" s="32">
        <v>13114</v>
      </c>
      <c r="K19" s="32">
        <v>13114</v>
      </c>
      <c r="L19" s="32">
        <v>19834</v>
      </c>
      <c r="M19" s="32">
        <v>13114</v>
      </c>
      <c r="N19" s="32">
        <v>15284</v>
      </c>
      <c r="O19" s="32">
        <v>13114</v>
      </c>
      <c r="P19" s="32">
        <v>9728</v>
      </c>
      <c r="Q19" s="32">
        <v>13114</v>
      </c>
      <c r="R19" s="32">
        <v>0</v>
      </c>
      <c r="S19" s="32">
        <v>0</v>
      </c>
      <c r="T19" s="33">
        <v>0</v>
      </c>
      <c r="U19" s="53">
        <f t="shared" si="0"/>
        <v>233148</v>
      </c>
    </row>
    <row r="20" spans="1:21">
      <c r="A20" s="1" t="s">
        <v>1</v>
      </c>
      <c r="B20" s="18" t="s">
        <v>66</v>
      </c>
      <c r="C20" s="19">
        <v>55808</v>
      </c>
      <c r="D20" s="20">
        <v>36195</v>
      </c>
      <c r="E20" s="20">
        <v>15218</v>
      </c>
      <c r="F20" s="20">
        <v>29287</v>
      </c>
      <c r="G20" s="20">
        <v>17644</v>
      </c>
      <c r="H20" s="20">
        <v>25943</v>
      </c>
      <c r="I20" s="20">
        <v>11113</v>
      </c>
      <c r="J20" s="20">
        <v>12322</v>
      </c>
      <c r="K20" s="20">
        <v>11610</v>
      </c>
      <c r="L20" s="20">
        <v>20886</v>
      </c>
      <c r="M20" s="20">
        <v>19512</v>
      </c>
      <c r="N20" s="20">
        <v>26811</v>
      </c>
      <c r="O20" s="20">
        <v>12015</v>
      </c>
      <c r="P20" s="20">
        <v>11301</v>
      </c>
      <c r="Q20" s="20">
        <v>21690</v>
      </c>
      <c r="R20" s="20">
        <v>26754</v>
      </c>
      <c r="S20" s="20">
        <v>32130</v>
      </c>
      <c r="T20" s="21">
        <v>23120</v>
      </c>
      <c r="U20" s="50">
        <f t="shared" si="0"/>
        <v>409359</v>
      </c>
    </row>
    <row r="21" spans="1:21" ht="19.5" thickBot="1">
      <c r="A21" s="1" t="s">
        <v>1</v>
      </c>
      <c r="B21" s="26" t="s">
        <v>67</v>
      </c>
      <c r="C21" s="27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9">
        <v>0</v>
      </c>
      <c r="U21" s="52">
        <f t="shared" si="0"/>
        <v>0</v>
      </c>
    </row>
    <row r="22" spans="1:21" ht="19.5" thickBot="1">
      <c r="A22" s="1" t="s">
        <v>1</v>
      </c>
      <c r="B22" s="30" t="s">
        <v>68</v>
      </c>
      <c r="C22" s="31">
        <v>55808</v>
      </c>
      <c r="D22" s="32">
        <v>36195</v>
      </c>
      <c r="E22" s="32">
        <v>15218</v>
      </c>
      <c r="F22" s="32">
        <v>29287</v>
      </c>
      <c r="G22" s="32">
        <v>17644</v>
      </c>
      <c r="H22" s="32">
        <v>25943</v>
      </c>
      <c r="I22" s="32">
        <v>11113</v>
      </c>
      <c r="J22" s="32">
        <v>12322</v>
      </c>
      <c r="K22" s="32">
        <v>11610</v>
      </c>
      <c r="L22" s="32">
        <v>20886</v>
      </c>
      <c r="M22" s="32">
        <v>19512</v>
      </c>
      <c r="N22" s="32">
        <v>26811</v>
      </c>
      <c r="O22" s="32">
        <v>12015</v>
      </c>
      <c r="P22" s="32">
        <v>11301</v>
      </c>
      <c r="Q22" s="32">
        <v>21690</v>
      </c>
      <c r="R22" s="32">
        <v>26754</v>
      </c>
      <c r="S22" s="32">
        <v>32130</v>
      </c>
      <c r="T22" s="33">
        <v>23120</v>
      </c>
      <c r="U22" s="53">
        <f t="shared" si="0"/>
        <v>409359</v>
      </c>
    </row>
    <row r="23" spans="1:21" ht="19.5" thickBot="1">
      <c r="A23" s="1" t="s">
        <v>1</v>
      </c>
      <c r="B23" s="30" t="s">
        <v>69</v>
      </c>
      <c r="C23" s="31">
        <v>116488</v>
      </c>
      <c r="D23" s="32">
        <v>47767</v>
      </c>
      <c r="E23" s="32">
        <v>111030</v>
      </c>
      <c r="F23" s="32">
        <v>107298</v>
      </c>
      <c r="G23" s="32">
        <v>88909</v>
      </c>
      <c r="H23" s="32">
        <v>105728</v>
      </c>
      <c r="I23" s="32">
        <v>54491</v>
      </c>
      <c r="J23" s="32">
        <v>62208</v>
      </c>
      <c r="K23" s="32">
        <v>61496</v>
      </c>
      <c r="L23" s="32">
        <v>89052</v>
      </c>
      <c r="M23" s="32">
        <v>69398</v>
      </c>
      <c r="N23" s="32">
        <v>74527</v>
      </c>
      <c r="O23" s="32">
        <v>61901</v>
      </c>
      <c r="P23" s="32">
        <v>57573</v>
      </c>
      <c r="Q23" s="32">
        <v>71576</v>
      </c>
      <c r="R23" s="32">
        <v>26754</v>
      </c>
      <c r="S23" s="32">
        <v>32130</v>
      </c>
      <c r="T23" s="33">
        <v>23120</v>
      </c>
      <c r="U23" s="53">
        <f t="shared" si="0"/>
        <v>1261446</v>
      </c>
    </row>
    <row r="24" spans="1:21" ht="19.5" thickBot="1">
      <c r="A24" s="1" t="s">
        <v>1</v>
      </c>
      <c r="B24" s="30" t="s">
        <v>70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3">
        <v>0</v>
      </c>
      <c r="U24" s="53">
        <f t="shared" si="0"/>
        <v>0</v>
      </c>
    </row>
    <row r="25" spans="1:21" ht="19.5" thickBot="1">
      <c r="A25" s="1" t="s">
        <v>1</v>
      </c>
      <c r="B25" s="30" t="s">
        <v>71</v>
      </c>
      <c r="C25" s="31">
        <v>116488</v>
      </c>
      <c r="D25" s="32">
        <v>47767</v>
      </c>
      <c r="E25" s="32">
        <v>111030</v>
      </c>
      <c r="F25" s="32">
        <v>107298</v>
      </c>
      <c r="G25" s="32">
        <v>88909</v>
      </c>
      <c r="H25" s="32">
        <v>105728</v>
      </c>
      <c r="I25" s="32">
        <v>54491</v>
      </c>
      <c r="J25" s="32">
        <v>62208</v>
      </c>
      <c r="K25" s="32">
        <v>61496</v>
      </c>
      <c r="L25" s="32">
        <v>89052</v>
      </c>
      <c r="M25" s="32">
        <v>69398</v>
      </c>
      <c r="N25" s="32">
        <v>74527</v>
      </c>
      <c r="O25" s="32">
        <v>61901</v>
      </c>
      <c r="P25" s="32">
        <v>57573</v>
      </c>
      <c r="Q25" s="32">
        <v>71576</v>
      </c>
      <c r="R25" s="32">
        <v>26754</v>
      </c>
      <c r="S25" s="32">
        <v>32130</v>
      </c>
      <c r="T25" s="33">
        <v>23120</v>
      </c>
      <c r="U25" s="53">
        <f t="shared" si="0"/>
        <v>1261446</v>
      </c>
    </row>
    <row r="26" spans="1:21">
      <c r="A26" s="1" t="s">
        <v>1</v>
      </c>
      <c r="B26" s="18" t="s">
        <v>72</v>
      </c>
      <c r="C26" s="19">
        <v>1</v>
      </c>
      <c r="D26" s="20">
        <v>0</v>
      </c>
      <c r="E26" s="20">
        <v>1</v>
      </c>
      <c r="F26" s="20">
        <v>0</v>
      </c>
      <c r="G26" s="20">
        <v>1</v>
      </c>
      <c r="H26" s="20">
        <v>0</v>
      </c>
      <c r="I26" s="20">
        <v>0</v>
      </c>
      <c r="J26" s="20">
        <v>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3</v>
      </c>
      <c r="Q26" s="20">
        <v>0</v>
      </c>
      <c r="R26" s="20">
        <v>0</v>
      </c>
      <c r="S26" s="20">
        <v>1</v>
      </c>
      <c r="T26" s="21">
        <v>0</v>
      </c>
      <c r="U26" s="50"/>
    </row>
    <row r="27" spans="1:21">
      <c r="A27" s="1" t="s">
        <v>1</v>
      </c>
      <c r="B27" s="4" t="s">
        <v>73</v>
      </c>
      <c r="C27" s="12">
        <v>4.0839999999999996</v>
      </c>
      <c r="D27" s="13">
        <v>10.210000000000001</v>
      </c>
      <c r="E27" s="13">
        <v>6.1260000000000003</v>
      </c>
      <c r="F27" s="13">
        <v>10.210000000000001</v>
      </c>
      <c r="G27" s="13">
        <v>6.1260000000000003</v>
      </c>
      <c r="H27" s="13">
        <v>8.1679999999999993</v>
      </c>
      <c r="I27" s="13">
        <v>8.1679999999999993</v>
      </c>
      <c r="J27" s="13">
        <v>6.1260000000000003</v>
      </c>
      <c r="K27" s="13">
        <v>6.1260000000000003</v>
      </c>
      <c r="L27" s="13">
        <v>8.1679999999999993</v>
      </c>
      <c r="M27" s="13">
        <v>6.1260000000000003</v>
      </c>
      <c r="N27" s="13">
        <v>10.210000000000001</v>
      </c>
      <c r="O27" s="13">
        <v>6.1260000000000003</v>
      </c>
      <c r="P27" s="13">
        <v>2.0419999999999998</v>
      </c>
      <c r="Q27" s="13">
        <v>6.1260000000000003</v>
      </c>
      <c r="R27" s="13">
        <v>6.1260000000000003</v>
      </c>
      <c r="S27" s="13">
        <v>0</v>
      </c>
      <c r="T27" s="14">
        <v>0</v>
      </c>
      <c r="U27" s="55"/>
    </row>
    <row r="28" spans="1:21" ht="19.5" thickBot="1">
      <c r="A28" s="1" t="s">
        <v>1</v>
      </c>
      <c r="B28" s="5" t="s">
        <v>74</v>
      </c>
      <c r="C28" s="15">
        <v>267479</v>
      </c>
      <c r="D28" s="16">
        <v>334615</v>
      </c>
      <c r="E28" s="16">
        <v>329144</v>
      </c>
      <c r="F28" s="16">
        <v>341538</v>
      </c>
      <c r="G28" s="16">
        <v>300357</v>
      </c>
      <c r="H28" s="16">
        <v>329209</v>
      </c>
      <c r="I28" s="16">
        <v>310071</v>
      </c>
      <c r="J28" s="16">
        <v>284390</v>
      </c>
      <c r="K28" s="16">
        <v>282754</v>
      </c>
      <c r="L28" s="16">
        <v>317640</v>
      </c>
      <c r="M28" s="16">
        <v>292661</v>
      </c>
      <c r="N28" s="16">
        <v>346543</v>
      </c>
      <c r="O28" s="16">
        <v>253811</v>
      </c>
      <c r="P28" s="16">
        <v>245749</v>
      </c>
      <c r="Q28" s="16">
        <v>291841</v>
      </c>
      <c r="R28" s="16">
        <v>297885</v>
      </c>
      <c r="S28" s="16">
        <v>0</v>
      </c>
      <c r="T28" s="17">
        <v>0</v>
      </c>
      <c r="U28" s="56"/>
    </row>
  </sheetData>
  <phoneticPr fontId="3"/>
  <pageMargins left="0.70866141732283472" right="0.70866141732283472" top="0.74803149606299213" bottom="0.74803149606299213" header="0.31496062992125984" footer="0.31496062992125984"/>
  <pageSetup paperSize="12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4年冬賞与 (2)</vt:lpstr>
      <vt:lpstr>4年冬賞与 (3)</vt:lpstr>
      <vt:lpstr>4年冬賞与 (4)</vt:lpstr>
      <vt:lpstr>'4年冬賞与 (3)'!Print_Area</vt:lpstr>
      <vt:lpstr>'4年冬賞与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2022-12-17T05:03:50Z</cp:lastPrinted>
  <dcterms:created xsi:type="dcterms:W3CDTF">2022-12-15T00:54:31Z</dcterms:created>
  <dcterms:modified xsi:type="dcterms:W3CDTF">2022-12-17T05:45:35Z</dcterms:modified>
</cp:coreProperties>
</file>