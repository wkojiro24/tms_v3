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年冬季賞与・年調\"/>
    </mc:Choice>
  </mc:AlternateContent>
  <xr:revisionPtr revIDLastSave="0" documentId="13_ncr:1_{7F69D903-ED81-40F3-9482-D3A60AC8E449}" xr6:coauthVersionLast="47" xr6:coauthVersionMax="47" xr10:uidLastSave="{00000000-0000-0000-0000-000000000000}"/>
  <bookViews>
    <workbookView xWindow="-120" yWindow="-120" windowWidth="20730" windowHeight="11160" xr2:uid="{B3262D14-0234-48B7-838A-B958B30AE2D2}"/>
  </bookViews>
  <sheets>
    <sheet name="4年冬賞与 (2)" sheetId="3" r:id="rId1"/>
  </sheets>
  <definedNames>
    <definedName name="_xlnm.Print_Area" localSheetId="0">'4年冬賞与 (2)'!$A$1:$O$28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3" l="1"/>
  <c r="O6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7" i="3"/>
  <c r="O7" i="3" s="1"/>
  <c r="F9" i="3"/>
  <c r="O9" i="3" s="1"/>
  <c r="F10" i="3"/>
  <c r="O10" i="3" s="1"/>
  <c r="F11" i="3"/>
  <c r="O11" i="3" s="1"/>
  <c r="F12" i="3"/>
  <c r="O12" i="3" s="1"/>
  <c r="F13" i="3"/>
  <c r="O13" i="3" s="1"/>
  <c r="F14" i="3"/>
  <c r="O14" i="3" s="1"/>
  <c r="F15" i="3"/>
  <c r="O15" i="3" s="1"/>
  <c r="F16" i="3"/>
  <c r="O16" i="3" s="1"/>
  <c r="F17" i="3"/>
  <c r="O17" i="3" s="1"/>
  <c r="F18" i="3"/>
  <c r="O18" i="3" s="1"/>
  <c r="F19" i="3"/>
  <c r="O19" i="3" s="1"/>
  <c r="F20" i="3"/>
  <c r="O20" i="3" s="1"/>
  <c r="F21" i="3"/>
  <c r="O21" i="3" s="1"/>
  <c r="F22" i="3"/>
  <c r="O22" i="3" s="1"/>
  <c r="F23" i="3"/>
  <c r="O23" i="3" s="1"/>
  <c r="F24" i="3"/>
  <c r="O24" i="3" s="1"/>
  <c r="F25" i="3"/>
  <c r="O25" i="3" s="1"/>
  <c r="F8" i="3"/>
  <c r="O8" i="3" s="1"/>
  <c r="F5" i="3"/>
  <c r="O5" i="3" l="1"/>
</calcChain>
</file>

<file path=xl/sharedStrings.xml><?xml version="1.0" encoding="utf-8"?>
<sst xmlns="http://schemas.openxmlformats.org/spreadsheetml/2006/main" count="77" uniqueCount="53">
  <si>
    <t>賞与支給控除一覧表</t>
    <phoneticPr fontId="4"/>
  </si>
  <si>
    <t/>
  </si>
  <si>
    <t>4年冬賞与</t>
    <phoneticPr fontId="4"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</si>
  <si>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</si>
  <si>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</si>
  <si>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</si>
  <si>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</si>
  <si>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</si>
  <si>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</si>
  <si>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</si>
  <si>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</si>
  <si>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</si>
  <si>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</si>
  <si>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</si>
  <si>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</si>
  <si>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</si>
  <si>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</si>
  <si>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</si>
  <si>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</si>
  <si>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</si>
  <si>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</si>
  <si>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</si>
  <si>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</si>
  <si>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</si>
  <si>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</si>
  <si>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</si>
  <si>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</si>
  <si>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</si>
  <si>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</si>
  <si>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</si>
  <si>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</si>
  <si>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</si>
  <si>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</si>
  <si>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</si>
  <si>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</si>
  <si>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</si>
  <si>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</si>
  <si>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</si>
  <si>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</si>
  <si>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</si>
  <si>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</si>
  <si>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</si>
  <si>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</si>
  <si>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</si>
  <si>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</si>
  <si>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</si>
  <si>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</si>
  <si>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</si>
  <si>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</si>
  <si>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7名</t>
    <rPh sb="1" eb="2">
      <t>メイ</t>
    </rPh>
    <phoneticPr fontId="3"/>
  </si>
  <si>
    <t>10名</t>
    <rPh sb="2" eb="3">
      <t>メイ</t>
    </rPh>
    <phoneticPr fontId="4"/>
  </si>
  <si>
    <t>佐藤ゆうこ</t>
    <phoneticPr fontId="4"/>
  </si>
  <si>
    <t>小田島健司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</si>
</sst>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3" fontId="2" fillId="0" borderId="4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3" fontId="2" fillId="0" borderId="8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176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0" fontId="2" fillId="0" borderId="29" xfId="1" applyFont="1" applyBorder="1"/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176" fontId="2" fillId="0" borderId="33" xfId="1" applyNumberFormat="1" applyFont="1" applyBorder="1"/>
    <xf numFmtId="3" fontId="2" fillId="0" borderId="31" xfId="1" applyNumberFormat="1" applyFont="1" applyBorder="1"/>
    <xf numFmtId="49" fontId="2" fillId="0" borderId="37" xfId="1" applyNumberFormat="1" applyFont="1" applyBorder="1" applyAlignment="1">
      <alignment horizontal="left"/>
    </xf>
    <xf numFmtId="49" fontId="2" fillId="0" borderId="38" xfId="1" applyNumberFormat="1" applyFont="1" applyBorder="1" applyAlignment="1">
      <alignment horizontal="right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6" xfId="1" applyNumberFormat="1" applyFont="1" applyBorder="1"/>
    <xf numFmtId="176" fontId="2" fillId="0" borderId="40" xfId="1" applyNumberFormat="1" applyFont="1" applyBorder="1"/>
    <xf numFmtId="3" fontId="2" fillId="0" borderId="38" xfId="1" applyNumberFormat="1" applyFont="1" applyBorder="1"/>
    <xf numFmtId="0" fontId="2" fillId="0" borderId="37" xfId="1" applyFont="1" applyBorder="1"/>
    <xf numFmtId="0" fontId="2" fillId="0" borderId="38" xfId="1" applyFont="1" applyBorder="1" applyAlignment="1">
      <alignment horizontal="right"/>
    </xf>
    <xf numFmtId="3" fontId="2" fillId="2" borderId="8" xfId="1" applyNumberFormat="1" applyFont="1" applyFill="1" applyBorder="1"/>
    <xf numFmtId="3" fontId="2" fillId="2" borderId="9" xfId="1" applyNumberFormat="1" applyFont="1" applyFill="1" applyBorder="1"/>
  </cellXfs>
  <cellStyles count="2">
    <cellStyle name="標準" xfId="0" builtinId="0"/>
    <cellStyle name="標準 2" xfId="1" xr:uid="{6E668589-4908-4BEF-8FB0-9DAB8D9C9B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4E8D-B504-4040-B97D-CD7A52CE8FBA}">
  <dimension ref="A1:O28"/>
  <sheetViews>
    <sheetView showZeros="0" tabSelected="1" workbookViewId="0">
      <pane xSplit="2" ySplit="4" topLeftCell="C14" activePane="bottomRight" state="frozen"/>
      <selection pane="topRight" activeCell="C1" sqref="C1"/>
      <selection pane="bottomLeft" activeCell="A9" sqref="A9"/>
      <selection pane="bottomRight" activeCell="L14" sqref="L14"/>
    </sheetView>
  </sheetViews>
  <sheetFormatPr defaultRowHeight="18.75"/>
  <cols>
    <col min="1" max="1" width="2.375" style="2" customWidth="1"/>
    <col min="2" max="2" width="13.25" style="2" bestFit="1" customWidth="1"/>
    <col min="3" max="15" width="10.12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2</v>
      </c>
    </row>
    <row r="3" spans="1:15">
      <c r="B3" s="3"/>
      <c r="C3" s="8" t="s">
        <v>6</v>
      </c>
      <c r="D3" s="8" t="s">
        <v>10</v>
      </c>
      <c r="E3" s="39" t="s">
        <v>8</v>
      </c>
      <c r="F3" s="47" t="s">
        <v>47</v>
      </c>
      <c r="G3" s="7" t="s">
        <v>3</v>
      </c>
      <c r="H3" s="8" t="s">
        <v>4</v>
      </c>
      <c r="I3" s="8" t="s">
        <v>5</v>
      </c>
      <c r="J3" s="8" t="s">
        <v>7</v>
      </c>
      <c r="K3" s="8" t="s">
        <v>9</v>
      </c>
      <c r="L3" s="8" t="s">
        <v>11</v>
      </c>
      <c r="M3" s="9" t="s">
        <v>12</v>
      </c>
      <c r="N3" s="47" t="s">
        <v>47</v>
      </c>
      <c r="O3" s="55" t="s">
        <v>22</v>
      </c>
    </row>
    <row r="4" spans="1:15" ht="19.5" thickBot="1">
      <c r="A4" s="38"/>
      <c r="B4" s="24" t="s">
        <v>13</v>
      </c>
      <c r="C4" s="26" t="s">
        <v>17</v>
      </c>
      <c r="D4" s="26" t="s">
        <v>20</v>
      </c>
      <c r="E4" s="40" t="s">
        <v>51</v>
      </c>
      <c r="F4" s="48" t="s">
        <v>48</v>
      </c>
      <c r="G4" s="25" t="s">
        <v>14</v>
      </c>
      <c r="H4" s="26" t="s">
        <v>15</v>
      </c>
      <c r="I4" s="26" t="s">
        <v>16</v>
      </c>
      <c r="J4" s="26" t="s">
        <v>18</v>
      </c>
      <c r="K4" s="26" t="s">
        <v>19</v>
      </c>
      <c r="L4" s="26" t="s">
        <v>21</v>
      </c>
      <c r="M4" s="27" t="s">
        <v>52</v>
      </c>
      <c r="N4" s="48" t="s">
        <v>49</v>
      </c>
      <c r="O4" s="56" t="s">
        <v>50</v>
      </c>
    </row>
    <row r="5" spans="1:15">
      <c r="A5" s="1" t="s">
        <v>1</v>
      </c>
      <c r="B5" s="19" t="s">
        <v>23</v>
      </c>
      <c r="C5" s="21">
        <v>355000</v>
      </c>
      <c r="D5" s="21">
        <v>355000</v>
      </c>
      <c r="E5" s="41">
        <v>56000</v>
      </c>
      <c r="F5" s="49">
        <f>SUM(C5:E5)</f>
        <v>766000</v>
      </c>
      <c r="G5" s="20">
        <v>63000</v>
      </c>
      <c r="H5" s="21">
        <v>63000</v>
      </c>
      <c r="I5" s="21">
        <v>63000</v>
      </c>
      <c r="J5" s="21">
        <v>88000</v>
      </c>
      <c r="K5" s="21">
        <v>63000</v>
      </c>
      <c r="L5" s="21">
        <v>56000</v>
      </c>
      <c r="M5" s="22">
        <v>46666</v>
      </c>
      <c r="N5" s="22">
        <f>SUM(G5:M5)</f>
        <v>442666</v>
      </c>
      <c r="O5" s="23">
        <f>F5+N5</f>
        <v>1208666</v>
      </c>
    </row>
    <row r="6" spans="1:15">
      <c r="A6" s="1" t="s">
        <v>1</v>
      </c>
      <c r="B6" s="4" t="s">
        <v>24</v>
      </c>
      <c r="C6" s="11">
        <v>0</v>
      </c>
      <c r="D6" s="11">
        <v>0</v>
      </c>
      <c r="E6" s="42">
        <v>0</v>
      </c>
      <c r="F6" s="50"/>
      <c r="G6" s="10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2">
        <v>0</v>
      </c>
      <c r="N6" s="12"/>
      <c r="O6" s="6">
        <f t="shared" ref="O6:O25" si="0">F6+N6</f>
        <v>0</v>
      </c>
    </row>
    <row r="7" spans="1:15">
      <c r="A7" s="1" t="s">
        <v>1</v>
      </c>
      <c r="B7" s="4" t="s">
        <v>25</v>
      </c>
      <c r="C7" s="11">
        <v>0</v>
      </c>
      <c r="D7" s="11">
        <v>0</v>
      </c>
      <c r="E7" s="42">
        <v>0</v>
      </c>
      <c r="F7" s="50"/>
      <c r="G7" s="10">
        <v>15000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2">
        <v>0</v>
      </c>
      <c r="N7" s="12">
        <f>SUM(G7:M7)</f>
        <v>15000</v>
      </c>
      <c r="O7" s="6">
        <f t="shared" si="0"/>
        <v>15000</v>
      </c>
    </row>
    <row r="8" spans="1:15" ht="19.5" thickBot="1">
      <c r="A8" s="1" t="s">
        <v>1</v>
      </c>
      <c r="B8" s="28" t="s">
        <v>26</v>
      </c>
      <c r="C8" s="30">
        <v>0</v>
      </c>
      <c r="D8" s="30">
        <v>0</v>
      </c>
      <c r="E8" s="43">
        <v>3000</v>
      </c>
      <c r="F8" s="51">
        <f>SUM(C8:E8)</f>
        <v>3000</v>
      </c>
      <c r="G8" s="29">
        <v>3000</v>
      </c>
      <c r="H8" s="30">
        <v>5000</v>
      </c>
      <c r="I8" s="30">
        <v>0</v>
      </c>
      <c r="J8" s="30">
        <v>0</v>
      </c>
      <c r="K8" s="30">
        <v>0</v>
      </c>
      <c r="L8" s="30">
        <v>0</v>
      </c>
      <c r="M8" s="31">
        <v>0</v>
      </c>
      <c r="N8" s="31">
        <f t="shared" ref="N8:N25" si="1">SUM(G8:M8)</f>
        <v>8000</v>
      </c>
      <c r="O8" s="32">
        <f t="shared" si="0"/>
        <v>11000</v>
      </c>
    </row>
    <row r="9" spans="1:15" ht="19.5" thickBot="1">
      <c r="A9" s="1" t="s">
        <v>1</v>
      </c>
      <c r="B9" s="33" t="s">
        <v>27</v>
      </c>
      <c r="C9" s="35">
        <v>355000</v>
      </c>
      <c r="D9" s="35">
        <v>355000</v>
      </c>
      <c r="E9" s="44">
        <v>59000</v>
      </c>
      <c r="F9" s="52">
        <f t="shared" ref="F9:F25" si="2">SUM(C9:E9)</f>
        <v>769000</v>
      </c>
      <c r="G9" s="34">
        <v>81000</v>
      </c>
      <c r="H9" s="35">
        <v>68000</v>
      </c>
      <c r="I9" s="35">
        <v>63000</v>
      </c>
      <c r="J9" s="35">
        <v>88000</v>
      </c>
      <c r="K9" s="35">
        <v>63000</v>
      </c>
      <c r="L9" s="35">
        <v>56000</v>
      </c>
      <c r="M9" s="36">
        <v>46666</v>
      </c>
      <c r="N9" s="36">
        <f t="shared" si="1"/>
        <v>465666</v>
      </c>
      <c r="O9" s="37">
        <f t="shared" si="0"/>
        <v>1234666</v>
      </c>
    </row>
    <row r="10" spans="1:15" ht="19.5" thickBot="1">
      <c r="A10" s="1" t="s">
        <v>1</v>
      </c>
      <c r="B10" s="33" t="s">
        <v>28</v>
      </c>
      <c r="C10" s="35">
        <v>0</v>
      </c>
      <c r="D10" s="35">
        <v>0</v>
      </c>
      <c r="E10" s="44">
        <v>0</v>
      </c>
      <c r="F10" s="52">
        <f t="shared" si="2"/>
        <v>0</v>
      </c>
      <c r="G10" s="34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6">
        <v>0</v>
      </c>
      <c r="N10" s="36">
        <f t="shared" si="1"/>
        <v>0</v>
      </c>
      <c r="O10" s="37">
        <f t="shared" si="0"/>
        <v>0</v>
      </c>
    </row>
    <row r="11" spans="1:15" ht="19.5" thickBot="1">
      <c r="A11" s="1" t="s">
        <v>1</v>
      </c>
      <c r="B11" s="33" t="s">
        <v>29</v>
      </c>
      <c r="C11" s="35">
        <v>355000</v>
      </c>
      <c r="D11" s="35">
        <v>355000</v>
      </c>
      <c r="E11" s="44">
        <v>59000</v>
      </c>
      <c r="F11" s="52">
        <f t="shared" si="2"/>
        <v>769000</v>
      </c>
      <c r="G11" s="34">
        <v>81000</v>
      </c>
      <c r="H11" s="35">
        <v>68000</v>
      </c>
      <c r="I11" s="35">
        <v>63000</v>
      </c>
      <c r="J11" s="35">
        <v>88000</v>
      </c>
      <c r="K11" s="35">
        <v>63000</v>
      </c>
      <c r="L11" s="35">
        <v>56000</v>
      </c>
      <c r="M11" s="36">
        <v>46666</v>
      </c>
      <c r="N11" s="36">
        <f t="shared" si="1"/>
        <v>465666</v>
      </c>
      <c r="O11" s="37">
        <f t="shared" si="0"/>
        <v>1234666</v>
      </c>
    </row>
    <row r="12" spans="1:15">
      <c r="A12" s="1" t="s">
        <v>1</v>
      </c>
      <c r="B12" s="19" t="s">
        <v>30</v>
      </c>
      <c r="C12" s="21">
        <v>18105</v>
      </c>
      <c r="D12" s="21">
        <v>18105</v>
      </c>
      <c r="E12" s="41">
        <v>3009</v>
      </c>
      <c r="F12" s="49">
        <f t="shared" si="2"/>
        <v>39219</v>
      </c>
      <c r="G12" s="20">
        <v>4131</v>
      </c>
      <c r="H12" s="21">
        <v>3468</v>
      </c>
      <c r="I12" s="21">
        <v>3213</v>
      </c>
      <c r="J12" s="21">
        <v>4488</v>
      </c>
      <c r="K12" s="21">
        <v>3213</v>
      </c>
      <c r="L12" s="21">
        <v>2856</v>
      </c>
      <c r="M12" s="22">
        <v>2346</v>
      </c>
      <c r="N12" s="22">
        <f t="shared" si="1"/>
        <v>23715</v>
      </c>
      <c r="O12" s="23">
        <f t="shared" si="0"/>
        <v>62934</v>
      </c>
    </row>
    <row r="13" spans="1:15">
      <c r="A13" s="1" t="s">
        <v>1</v>
      </c>
      <c r="B13" s="4" t="s">
        <v>31</v>
      </c>
      <c r="C13" s="11">
        <v>3195</v>
      </c>
      <c r="D13" s="11">
        <v>3195</v>
      </c>
      <c r="E13" s="42">
        <v>0</v>
      </c>
      <c r="F13" s="50">
        <f t="shared" si="2"/>
        <v>6390</v>
      </c>
      <c r="G13" s="10">
        <v>729</v>
      </c>
      <c r="H13" s="11">
        <v>612</v>
      </c>
      <c r="I13" s="11">
        <v>567</v>
      </c>
      <c r="J13" s="11">
        <v>792</v>
      </c>
      <c r="K13" s="11">
        <v>567</v>
      </c>
      <c r="L13" s="11">
        <v>504</v>
      </c>
      <c r="M13" s="12">
        <v>414</v>
      </c>
      <c r="N13" s="12">
        <f t="shared" si="1"/>
        <v>4185</v>
      </c>
      <c r="O13" s="6">
        <f t="shared" si="0"/>
        <v>10575</v>
      </c>
    </row>
    <row r="14" spans="1:15">
      <c r="A14" s="1" t="s">
        <v>1</v>
      </c>
      <c r="B14" s="4" t="s">
        <v>32</v>
      </c>
      <c r="C14" s="11">
        <v>32482</v>
      </c>
      <c r="D14" s="11">
        <v>32482</v>
      </c>
      <c r="E14" s="42">
        <v>5398</v>
      </c>
      <c r="F14" s="50">
        <f t="shared" si="2"/>
        <v>70362</v>
      </c>
      <c r="G14" s="57">
        <v>0</v>
      </c>
      <c r="H14" s="11">
        <v>6222</v>
      </c>
      <c r="I14" s="11">
        <v>5764</v>
      </c>
      <c r="J14" s="11">
        <v>8052</v>
      </c>
      <c r="K14" s="11">
        <v>5764</v>
      </c>
      <c r="L14" s="58">
        <v>0</v>
      </c>
      <c r="M14" s="12">
        <v>4209</v>
      </c>
      <c r="N14" s="12">
        <f t="shared" si="1"/>
        <v>30011</v>
      </c>
      <c r="O14" s="6">
        <f t="shared" si="0"/>
        <v>100373</v>
      </c>
    </row>
    <row r="15" spans="1:15" ht="19.5" thickBot="1">
      <c r="A15" s="1" t="s">
        <v>1</v>
      </c>
      <c r="B15" s="28" t="s">
        <v>33</v>
      </c>
      <c r="C15" s="30">
        <v>1775</v>
      </c>
      <c r="D15" s="30">
        <v>1775</v>
      </c>
      <c r="E15" s="43">
        <v>295</v>
      </c>
      <c r="F15" s="51">
        <f t="shared" si="2"/>
        <v>3845</v>
      </c>
      <c r="G15" s="29">
        <v>405</v>
      </c>
      <c r="H15" s="30">
        <v>340</v>
      </c>
      <c r="I15" s="30">
        <v>315</v>
      </c>
      <c r="J15" s="30">
        <v>440</v>
      </c>
      <c r="K15" s="30">
        <v>315</v>
      </c>
      <c r="L15" s="30">
        <v>280</v>
      </c>
      <c r="M15" s="31">
        <v>233</v>
      </c>
      <c r="N15" s="31">
        <f t="shared" si="1"/>
        <v>2328</v>
      </c>
      <c r="O15" s="32">
        <f t="shared" si="0"/>
        <v>6173</v>
      </c>
    </row>
    <row r="16" spans="1:15" ht="19.5" thickBot="1">
      <c r="A16" s="1" t="s">
        <v>1</v>
      </c>
      <c r="B16" s="33" t="s">
        <v>34</v>
      </c>
      <c r="C16" s="35">
        <v>299443</v>
      </c>
      <c r="D16" s="35">
        <v>299443</v>
      </c>
      <c r="E16" s="44">
        <v>50298</v>
      </c>
      <c r="F16" s="52">
        <f t="shared" si="2"/>
        <v>649184</v>
      </c>
      <c r="G16" s="34">
        <v>75735</v>
      </c>
      <c r="H16" s="35">
        <v>57358</v>
      </c>
      <c r="I16" s="35">
        <v>53141</v>
      </c>
      <c r="J16" s="35">
        <v>74228</v>
      </c>
      <c r="K16" s="35">
        <v>53141</v>
      </c>
      <c r="L16" s="35">
        <v>52360</v>
      </c>
      <c r="M16" s="36">
        <v>39464</v>
      </c>
      <c r="N16" s="36">
        <f t="shared" si="1"/>
        <v>405427</v>
      </c>
      <c r="O16" s="37">
        <f t="shared" si="0"/>
        <v>1054611</v>
      </c>
    </row>
    <row r="17" spans="1:15" ht="19.5" thickBot="1">
      <c r="A17" s="1" t="s">
        <v>1</v>
      </c>
      <c r="B17" s="33" t="s">
        <v>35</v>
      </c>
      <c r="C17" s="35">
        <v>24458</v>
      </c>
      <c r="D17" s="35">
        <v>18343</v>
      </c>
      <c r="E17" s="44">
        <v>2054</v>
      </c>
      <c r="F17" s="52">
        <f t="shared" si="2"/>
        <v>44855</v>
      </c>
      <c r="G17" s="34">
        <v>3093</v>
      </c>
      <c r="H17" s="35">
        <v>3513</v>
      </c>
      <c r="I17" s="35">
        <v>3255</v>
      </c>
      <c r="J17" s="35">
        <v>7578</v>
      </c>
      <c r="K17" s="35">
        <v>1085</v>
      </c>
      <c r="L17" s="35">
        <v>2138</v>
      </c>
      <c r="M17" s="36">
        <v>1611</v>
      </c>
      <c r="N17" s="36">
        <f t="shared" si="1"/>
        <v>22273</v>
      </c>
      <c r="O17" s="37">
        <f t="shared" si="0"/>
        <v>67128</v>
      </c>
    </row>
    <row r="18" spans="1:15" ht="19.5" thickBot="1">
      <c r="A18" s="1" t="s">
        <v>1</v>
      </c>
      <c r="B18" s="33" t="s">
        <v>36</v>
      </c>
      <c r="C18" s="35">
        <v>55557</v>
      </c>
      <c r="D18" s="35">
        <v>55557</v>
      </c>
      <c r="E18" s="44">
        <v>8702</v>
      </c>
      <c r="F18" s="52">
        <f t="shared" si="2"/>
        <v>119816</v>
      </c>
      <c r="G18" s="34">
        <v>5265</v>
      </c>
      <c r="H18" s="35">
        <v>10642</v>
      </c>
      <c r="I18" s="35">
        <v>9859</v>
      </c>
      <c r="J18" s="35">
        <v>13772</v>
      </c>
      <c r="K18" s="35">
        <v>9859</v>
      </c>
      <c r="L18" s="35">
        <v>3640</v>
      </c>
      <c r="M18" s="36">
        <v>7202</v>
      </c>
      <c r="N18" s="36">
        <f t="shared" si="1"/>
        <v>60239</v>
      </c>
      <c r="O18" s="37">
        <f t="shared" si="0"/>
        <v>180055</v>
      </c>
    </row>
    <row r="19" spans="1:15" ht="19.5" thickBot="1">
      <c r="A19" s="1" t="s">
        <v>1</v>
      </c>
      <c r="B19" s="33" t="s">
        <v>37</v>
      </c>
      <c r="C19" s="35">
        <v>80015</v>
      </c>
      <c r="D19" s="35">
        <v>73900</v>
      </c>
      <c r="E19" s="44">
        <v>10756</v>
      </c>
      <c r="F19" s="52">
        <f t="shared" si="2"/>
        <v>164671</v>
      </c>
      <c r="G19" s="34">
        <v>8358</v>
      </c>
      <c r="H19" s="35">
        <v>14155</v>
      </c>
      <c r="I19" s="35">
        <v>13114</v>
      </c>
      <c r="J19" s="35">
        <v>21350</v>
      </c>
      <c r="K19" s="35">
        <v>10944</v>
      </c>
      <c r="L19" s="35">
        <v>5778</v>
      </c>
      <c r="M19" s="36">
        <v>8813</v>
      </c>
      <c r="N19" s="36">
        <f t="shared" si="1"/>
        <v>82512</v>
      </c>
      <c r="O19" s="37">
        <f t="shared" si="0"/>
        <v>247183</v>
      </c>
    </row>
    <row r="20" spans="1:15">
      <c r="A20" s="1" t="s">
        <v>1</v>
      </c>
      <c r="B20" s="19" t="s">
        <v>38</v>
      </c>
      <c r="C20" s="21">
        <v>142499</v>
      </c>
      <c r="D20" s="21">
        <v>125974</v>
      </c>
      <c r="E20" s="41">
        <v>8088</v>
      </c>
      <c r="F20" s="49">
        <f t="shared" si="2"/>
        <v>276561</v>
      </c>
      <c r="G20" s="20">
        <v>15021</v>
      </c>
      <c r="H20" s="21">
        <v>8077</v>
      </c>
      <c r="I20" s="21">
        <v>17319</v>
      </c>
      <c r="J20" s="21">
        <v>22850</v>
      </c>
      <c r="K20" s="21">
        <v>14012</v>
      </c>
      <c r="L20" s="21">
        <v>12692</v>
      </c>
      <c r="M20" s="22">
        <v>145382</v>
      </c>
      <c r="N20" s="22">
        <f t="shared" si="1"/>
        <v>235353</v>
      </c>
      <c r="O20" s="23">
        <f t="shared" si="0"/>
        <v>511914</v>
      </c>
    </row>
    <row r="21" spans="1:15" ht="19.5" thickBot="1">
      <c r="A21" s="1" t="s">
        <v>1</v>
      </c>
      <c r="B21" s="28" t="s">
        <v>39</v>
      </c>
      <c r="C21" s="30">
        <v>0</v>
      </c>
      <c r="D21" s="30">
        <v>0</v>
      </c>
      <c r="E21" s="43">
        <v>0</v>
      </c>
      <c r="F21" s="51">
        <f t="shared" si="2"/>
        <v>0</v>
      </c>
      <c r="G21" s="29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1">
        <v>0</v>
      </c>
      <c r="N21" s="31">
        <f t="shared" si="1"/>
        <v>0</v>
      </c>
      <c r="O21" s="32">
        <f t="shared" si="0"/>
        <v>0</v>
      </c>
    </row>
    <row r="22" spans="1:15" ht="19.5" thickBot="1">
      <c r="A22" s="1" t="s">
        <v>1</v>
      </c>
      <c r="B22" s="33" t="s">
        <v>40</v>
      </c>
      <c r="C22" s="35">
        <v>142499</v>
      </c>
      <c r="D22" s="35">
        <v>125974</v>
      </c>
      <c r="E22" s="44">
        <v>8088</v>
      </c>
      <c r="F22" s="52">
        <f t="shared" si="2"/>
        <v>276561</v>
      </c>
      <c r="G22" s="34">
        <v>15021</v>
      </c>
      <c r="H22" s="35">
        <v>8077</v>
      </c>
      <c r="I22" s="35">
        <v>17319</v>
      </c>
      <c r="J22" s="35">
        <v>22850</v>
      </c>
      <c r="K22" s="35">
        <v>14012</v>
      </c>
      <c r="L22" s="35">
        <v>12692</v>
      </c>
      <c r="M22" s="36">
        <v>145382</v>
      </c>
      <c r="N22" s="36">
        <f t="shared" si="1"/>
        <v>235353</v>
      </c>
      <c r="O22" s="37">
        <f t="shared" si="0"/>
        <v>511914</v>
      </c>
    </row>
    <row r="23" spans="1:15" ht="19.5" thickBot="1">
      <c r="A23" s="1" t="s">
        <v>1</v>
      </c>
      <c r="B23" s="33" t="s">
        <v>41</v>
      </c>
      <c r="C23" s="35">
        <v>417484</v>
      </c>
      <c r="D23" s="35">
        <v>407074</v>
      </c>
      <c r="E23" s="44">
        <v>56332</v>
      </c>
      <c r="F23" s="52">
        <f t="shared" si="2"/>
        <v>880890</v>
      </c>
      <c r="G23" s="34">
        <v>87663</v>
      </c>
      <c r="H23" s="35">
        <v>61922</v>
      </c>
      <c r="I23" s="35">
        <v>67205</v>
      </c>
      <c r="J23" s="35">
        <v>89500</v>
      </c>
      <c r="K23" s="35">
        <v>66068</v>
      </c>
      <c r="L23" s="35">
        <v>62914</v>
      </c>
      <c r="M23" s="36">
        <v>183235</v>
      </c>
      <c r="N23" s="36">
        <f t="shared" si="1"/>
        <v>618507</v>
      </c>
      <c r="O23" s="37">
        <f t="shared" si="0"/>
        <v>1499397</v>
      </c>
    </row>
    <row r="24" spans="1:15" ht="19.5" thickBot="1">
      <c r="A24" s="1" t="s">
        <v>1</v>
      </c>
      <c r="B24" s="33" t="s">
        <v>42</v>
      </c>
      <c r="C24" s="35">
        <v>0</v>
      </c>
      <c r="D24" s="35">
        <v>0</v>
      </c>
      <c r="E24" s="44">
        <v>0</v>
      </c>
      <c r="F24" s="52">
        <f t="shared" si="2"/>
        <v>0</v>
      </c>
      <c r="G24" s="34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6">
        <v>0</v>
      </c>
      <c r="N24" s="36">
        <f t="shared" si="1"/>
        <v>0</v>
      </c>
      <c r="O24" s="37">
        <f t="shared" si="0"/>
        <v>0</v>
      </c>
    </row>
    <row r="25" spans="1:15" ht="19.5" thickBot="1">
      <c r="A25" s="1" t="s">
        <v>1</v>
      </c>
      <c r="B25" s="33" t="s">
        <v>43</v>
      </c>
      <c r="C25" s="35">
        <v>417484</v>
      </c>
      <c r="D25" s="35">
        <v>407074</v>
      </c>
      <c r="E25" s="44">
        <v>56332</v>
      </c>
      <c r="F25" s="52">
        <f t="shared" si="2"/>
        <v>880890</v>
      </c>
      <c r="G25" s="34">
        <v>87663</v>
      </c>
      <c r="H25" s="35">
        <v>61922</v>
      </c>
      <c r="I25" s="35">
        <v>67205</v>
      </c>
      <c r="J25" s="35">
        <v>89500</v>
      </c>
      <c r="K25" s="35">
        <v>66068</v>
      </c>
      <c r="L25" s="35">
        <v>62914</v>
      </c>
      <c r="M25" s="36">
        <v>183235</v>
      </c>
      <c r="N25" s="36">
        <f t="shared" si="1"/>
        <v>618507</v>
      </c>
      <c r="O25" s="37">
        <f t="shared" si="0"/>
        <v>1499397</v>
      </c>
    </row>
    <row r="26" spans="1:15">
      <c r="A26" s="1" t="s">
        <v>1</v>
      </c>
      <c r="B26" s="19" t="s">
        <v>44</v>
      </c>
      <c r="C26" s="21">
        <v>0</v>
      </c>
      <c r="D26" s="21">
        <v>0</v>
      </c>
      <c r="E26" s="41">
        <v>0</v>
      </c>
      <c r="F26" s="49"/>
      <c r="G26" s="20">
        <v>2</v>
      </c>
      <c r="H26" s="21">
        <v>2</v>
      </c>
      <c r="I26" s="21">
        <v>0</v>
      </c>
      <c r="J26" s="21">
        <v>0</v>
      </c>
      <c r="K26" s="21">
        <v>2</v>
      </c>
      <c r="L26" s="21">
        <v>0</v>
      </c>
      <c r="M26" s="22">
        <v>1</v>
      </c>
      <c r="N26" s="22"/>
      <c r="O26" s="49"/>
    </row>
    <row r="27" spans="1:15">
      <c r="A27" s="1" t="s">
        <v>1</v>
      </c>
      <c r="B27" s="4" t="s">
        <v>45</v>
      </c>
      <c r="C27" s="14">
        <v>8.1679999999999993</v>
      </c>
      <c r="D27" s="14">
        <v>6.1260000000000003</v>
      </c>
      <c r="E27" s="45">
        <v>4.0839999999999996</v>
      </c>
      <c r="F27" s="53"/>
      <c r="G27" s="13">
        <v>4.0839999999999996</v>
      </c>
      <c r="H27" s="14">
        <v>6.1260000000000003</v>
      </c>
      <c r="I27" s="14">
        <v>6.1260000000000003</v>
      </c>
      <c r="J27" s="14">
        <v>10.210000000000001</v>
      </c>
      <c r="K27" s="14">
        <v>2.0419999999999998</v>
      </c>
      <c r="L27" s="14">
        <v>4.0839999999999996</v>
      </c>
      <c r="M27" s="15">
        <v>4.0839999999999996</v>
      </c>
      <c r="N27" s="15"/>
      <c r="O27" s="53"/>
    </row>
    <row r="28" spans="1:15" ht="19.5" thickBot="1">
      <c r="A28" s="1" t="s">
        <v>1</v>
      </c>
      <c r="B28" s="5" t="s">
        <v>46</v>
      </c>
      <c r="C28" s="17">
        <v>305385</v>
      </c>
      <c r="D28" s="17">
        <v>298606</v>
      </c>
      <c r="E28" s="46">
        <v>196886</v>
      </c>
      <c r="F28" s="54"/>
      <c r="G28" s="16">
        <v>308952</v>
      </c>
      <c r="H28" s="17">
        <v>314661</v>
      </c>
      <c r="I28" s="17">
        <v>285352</v>
      </c>
      <c r="J28" s="17">
        <v>334886</v>
      </c>
      <c r="K28" s="17">
        <v>257410</v>
      </c>
      <c r="L28" s="17">
        <v>238737</v>
      </c>
      <c r="M28" s="18">
        <v>259946</v>
      </c>
      <c r="N28" s="54"/>
      <c r="O28" s="54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4年冬賞与 (2)</vt:lpstr>
      <vt:lpstr>'4年冬賞与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2022-12-17T05:04:29Z</cp:lastPrinted>
  <dcterms:created xsi:type="dcterms:W3CDTF">2022-12-15T00:59:19Z</dcterms:created>
  <dcterms:modified xsi:type="dcterms:W3CDTF">2023-01-04T05:15:26Z</dcterms:modified>
</cp:coreProperties>
</file>