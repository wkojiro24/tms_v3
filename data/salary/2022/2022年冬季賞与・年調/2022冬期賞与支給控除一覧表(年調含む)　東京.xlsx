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年冬季賞与・年調\"/>
    </mc:Choice>
  </mc:AlternateContent>
  <xr:revisionPtr revIDLastSave="0" documentId="13_ncr:1_{70AC9CF4-61F7-4B48-AC9F-BC9F56E25FF2}" xr6:coauthVersionLast="47" xr6:coauthVersionMax="47" xr10:uidLastSave="{00000000-0000-0000-0000-000000000000}"/>
  <bookViews>
    <workbookView xWindow="-120" yWindow="-120" windowWidth="20730" windowHeight="11160" xr2:uid="{8839DC92-FB4F-4A14-8720-67A07BFD99F7}"/>
  </bookViews>
  <sheets>
    <sheet name="4年冬賞与 (2)" sheetId="3" r:id="rId1"/>
  </sheets>
  <definedNames>
    <definedName name="_xlnm.Print_Area" localSheetId="0">'4年冬賞与 (2)'!$A$1:$M$28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6" i="3" l="1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5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7" i="3"/>
  <c r="L5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9" i="3"/>
  <c r="E5" i="3"/>
</calcChain>
</file>

<file path=xl/sharedStrings.xml><?xml version="1.0" encoding="utf-8"?>
<sst xmlns="http://schemas.openxmlformats.org/spreadsheetml/2006/main" count="73" uniqueCount="49">
  <si>
    <t>賞与支給控除一覧表</t>
    <phoneticPr fontId="4"/>
  </si>
  <si>
    <t/>
  </si>
  <si>
    <t>4年冬賞与</t>
    <phoneticPr fontId="4"/>
  </si>
  <si>
    <t>1011</t>
    <phoneticPr fontId="4"/>
  </si>
  <si>
    <t>1025</t>
    <phoneticPr fontId="4"/>
  </si>
  <si>
    <t>1029</t>
    <phoneticPr fontId="4"/>
  </si>
  <si>
    <t>1030</t>
    <phoneticPr fontId="4"/>
  </si>
  <si>
    <t>1033</t>
    <phoneticPr fontId="4"/>
  </si>
  <si>
    <t>1052</t>
    <phoneticPr fontId="4"/>
  </si>
  <si>
    <t>1054</t>
    <phoneticPr fontId="4"/>
  </si>
  <si>
    <t>1060</t>
    <phoneticPr fontId="4"/>
  </si>
  <si>
    <t>項目名</t>
    <phoneticPr fontId="4"/>
  </si>
  <si>
    <t>宮腰　真也</t>
    <phoneticPr fontId="4"/>
  </si>
  <si>
    <t>金子　勝彦</t>
    <phoneticPr fontId="4"/>
  </si>
  <si>
    <t>上原　勉</t>
    <phoneticPr fontId="4"/>
  </si>
  <si>
    <t>米山　勝</t>
    <phoneticPr fontId="4"/>
  </si>
  <si>
    <t>新治　泰子</t>
    <phoneticPr fontId="4"/>
  </si>
  <si>
    <t>銅谷　和久</t>
    <phoneticPr fontId="4"/>
  </si>
  <si>
    <t>土屋　勝三</t>
    <phoneticPr fontId="4"/>
  </si>
  <si>
    <t>本間　裕康</t>
    <phoneticPr fontId="4"/>
  </si>
  <si>
    <t>合計</t>
    <phoneticPr fontId="4"/>
  </si>
  <si>
    <t>賞与</t>
    <phoneticPr fontId="4"/>
  </si>
  <si>
    <t>役員賞与</t>
    <phoneticPr fontId="4"/>
  </si>
  <si>
    <t>職位加算</t>
    <phoneticPr fontId="4"/>
  </si>
  <si>
    <t>職責加算</t>
    <phoneticPr fontId="4"/>
  </si>
  <si>
    <t>課税支給合計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</si>
  <si>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</si>
  <si>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</si>
  <si>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</si>
  <si>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</si>
  <si>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</si>
  <si>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</si>
  <si>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課税対象額</t>
    <phoneticPr fontId="4"/>
  </si>
  <si>
    <t>所得税</t>
    <phoneticPr fontId="4"/>
  </si>
  <si>
    <t>社会保険料計</t>
    <phoneticPr fontId="4"/>
  </si>
  <si>
    <t>控除合計</t>
    <phoneticPr fontId="4"/>
  </si>
  <si>
    <t>年末調整還付</t>
    <phoneticPr fontId="4"/>
  </si>
  <si>
    <t>年末調整徴収</t>
    <phoneticPr fontId="4"/>
  </si>
  <si>
    <t>その他合計</t>
    <phoneticPr fontId="4"/>
  </si>
  <si>
    <t>差引支給合計</t>
    <phoneticPr fontId="4"/>
  </si>
  <si>
    <t>現金支給額</t>
    <phoneticPr fontId="4"/>
  </si>
  <si>
    <t>振込支給合計</t>
    <phoneticPr fontId="4"/>
  </si>
  <si>
    <t>扶養人数</t>
    <phoneticPr fontId="4"/>
  </si>
  <si>
    <t>税率</t>
    <phoneticPr fontId="4"/>
  </si>
  <si>
    <t>前社保控除後</t>
    <phoneticPr fontId="4"/>
  </si>
  <si>
    <t>小計</t>
    <rPh sb="0" eb="2">
      <t>ショウケイ</t>
    </rPh>
    <phoneticPr fontId="3"/>
  </si>
  <si>
    <t>2名</t>
    <rPh sb="1" eb="2">
      <t>メイ</t>
    </rPh>
    <phoneticPr fontId="3"/>
  </si>
  <si>
    <t>6名</t>
    <rPh sb="1" eb="2">
      <t>メイ</t>
    </rPh>
    <phoneticPr fontId="3"/>
  </si>
  <si>
    <t>8名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</si>
</sst>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53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10" xfId="1" applyNumberFormat="1" applyFont="1" applyBorder="1"/>
    <xf numFmtId="3" fontId="2" fillId="0" borderId="11" xfId="1" applyNumberFormat="1" applyFont="1" applyBorder="1"/>
    <xf numFmtId="3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0" fontId="2" fillId="0" borderId="25" xfId="1" applyFont="1" applyBorder="1"/>
    <xf numFmtId="49" fontId="2" fillId="0" borderId="26" xfId="1" applyNumberFormat="1" applyFont="1" applyBorder="1" applyAlignment="1">
      <alignment horizontal="center"/>
    </xf>
    <xf numFmtId="49" fontId="2" fillId="0" borderId="27" xfId="1" applyNumberFormat="1" applyFont="1" applyBorder="1" applyAlignment="1">
      <alignment horizontal="center"/>
    </xf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176" fontId="2" fillId="0" borderId="29" xfId="1" applyNumberFormat="1" applyFont="1" applyBorder="1"/>
    <xf numFmtId="3" fontId="2" fillId="0" borderId="27" xfId="1" applyNumberFormat="1" applyFont="1" applyBorder="1"/>
    <xf numFmtId="49" fontId="2" fillId="0" borderId="33" xfId="1" applyNumberFormat="1" applyFont="1" applyBorder="1" applyAlignment="1">
      <alignment horizontal="left"/>
    </xf>
    <xf numFmtId="49" fontId="2" fillId="0" borderId="34" xfId="1" applyNumberFormat="1" applyFont="1" applyBorder="1" applyAlignment="1">
      <alignment horizontal="right"/>
    </xf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3" fontId="2" fillId="0" borderId="32" xfId="1" applyNumberFormat="1" applyFont="1" applyBorder="1"/>
    <xf numFmtId="176" fontId="2" fillId="0" borderId="36" xfId="1" applyNumberFormat="1" applyFont="1" applyBorder="1"/>
    <xf numFmtId="3" fontId="2" fillId="0" borderId="34" xfId="1" applyNumberFormat="1" applyFont="1" applyBorder="1"/>
    <xf numFmtId="0" fontId="2" fillId="0" borderId="33" xfId="1" applyFont="1" applyBorder="1"/>
    <xf numFmtId="0" fontId="2" fillId="0" borderId="34" xfId="1" applyFont="1" applyBorder="1" applyAlignment="1">
      <alignment horizontal="right"/>
    </xf>
  </cellXfs>
  <cellStyles count="2">
    <cellStyle name="標準" xfId="0" builtinId="0"/>
    <cellStyle name="標準 2" xfId="1" xr:uid="{E68ADB90-C5E4-4D78-BD2F-E18F38C652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8AFEC-39EB-4AE0-BD1C-F18A6DA6FDF6}">
  <dimension ref="A1:O28"/>
  <sheetViews>
    <sheetView showZeros="0"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2" sqref="B2"/>
    </sheetView>
  </sheetViews>
  <sheetFormatPr defaultRowHeight="18.75"/>
  <cols>
    <col min="1" max="1" width="2.375" style="2" customWidth="1"/>
    <col min="2" max="2" width="13.25" style="2" bestFit="1" customWidth="1"/>
    <col min="3" max="13" width="11" style="2" customWidth="1"/>
    <col min="14" max="258" width="9" style="2"/>
    <col min="259" max="259" width="2.375" style="2" customWidth="1"/>
    <col min="260" max="260" width="13.25" style="2" bestFit="1" customWidth="1"/>
    <col min="261" max="262" width="11.125" style="2" bestFit="1" customWidth="1"/>
    <col min="263" max="264" width="9" style="2"/>
    <col min="265" max="268" width="11.125" style="2" bestFit="1" customWidth="1"/>
    <col min="269" max="269" width="9.625" style="2" bestFit="1" customWidth="1"/>
    <col min="270" max="514" width="9" style="2"/>
    <col min="515" max="515" width="2.375" style="2" customWidth="1"/>
    <col min="516" max="516" width="13.25" style="2" bestFit="1" customWidth="1"/>
    <col min="517" max="518" width="11.125" style="2" bestFit="1" customWidth="1"/>
    <col min="519" max="520" width="9" style="2"/>
    <col min="521" max="524" width="11.125" style="2" bestFit="1" customWidth="1"/>
    <col min="525" max="525" width="9.625" style="2" bestFit="1" customWidth="1"/>
    <col min="526" max="770" width="9" style="2"/>
    <col min="771" max="771" width="2.375" style="2" customWidth="1"/>
    <col min="772" max="772" width="13.25" style="2" bestFit="1" customWidth="1"/>
    <col min="773" max="774" width="11.125" style="2" bestFit="1" customWidth="1"/>
    <col min="775" max="776" width="9" style="2"/>
    <col min="777" max="780" width="11.125" style="2" bestFit="1" customWidth="1"/>
    <col min="781" max="781" width="9.625" style="2" bestFit="1" customWidth="1"/>
    <col min="782" max="1026" width="9" style="2"/>
    <col min="1027" max="1027" width="2.375" style="2" customWidth="1"/>
    <col min="1028" max="1028" width="13.25" style="2" bestFit="1" customWidth="1"/>
    <col min="1029" max="1030" width="11.125" style="2" bestFit="1" customWidth="1"/>
    <col min="1031" max="1032" width="9" style="2"/>
    <col min="1033" max="1036" width="11.125" style="2" bestFit="1" customWidth="1"/>
    <col min="1037" max="1037" width="9.625" style="2" bestFit="1" customWidth="1"/>
    <col min="1038" max="1282" width="9" style="2"/>
    <col min="1283" max="1283" width="2.375" style="2" customWidth="1"/>
    <col min="1284" max="1284" width="13.25" style="2" bestFit="1" customWidth="1"/>
    <col min="1285" max="1286" width="11.125" style="2" bestFit="1" customWidth="1"/>
    <col min="1287" max="1288" width="9" style="2"/>
    <col min="1289" max="1292" width="11.125" style="2" bestFit="1" customWidth="1"/>
    <col min="1293" max="1293" width="9.625" style="2" bestFit="1" customWidth="1"/>
    <col min="1294" max="1538" width="9" style="2"/>
    <col min="1539" max="1539" width="2.375" style="2" customWidth="1"/>
    <col min="1540" max="1540" width="13.25" style="2" bestFit="1" customWidth="1"/>
    <col min="1541" max="1542" width="11.125" style="2" bestFit="1" customWidth="1"/>
    <col min="1543" max="1544" width="9" style="2"/>
    <col min="1545" max="1548" width="11.125" style="2" bestFit="1" customWidth="1"/>
    <col min="1549" max="1549" width="9.625" style="2" bestFit="1" customWidth="1"/>
    <col min="1550" max="1794" width="9" style="2"/>
    <col min="1795" max="1795" width="2.375" style="2" customWidth="1"/>
    <col min="1796" max="1796" width="13.25" style="2" bestFit="1" customWidth="1"/>
    <col min="1797" max="1798" width="11.125" style="2" bestFit="1" customWidth="1"/>
    <col min="1799" max="1800" width="9" style="2"/>
    <col min="1801" max="1804" width="11.125" style="2" bestFit="1" customWidth="1"/>
    <col min="1805" max="1805" width="9.625" style="2" bestFit="1" customWidth="1"/>
    <col min="1806" max="2050" width="9" style="2"/>
    <col min="2051" max="2051" width="2.375" style="2" customWidth="1"/>
    <col min="2052" max="2052" width="13.25" style="2" bestFit="1" customWidth="1"/>
    <col min="2053" max="2054" width="11.125" style="2" bestFit="1" customWidth="1"/>
    <col min="2055" max="2056" width="9" style="2"/>
    <col min="2057" max="2060" width="11.125" style="2" bestFit="1" customWidth="1"/>
    <col min="2061" max="2061" width="9.625" style="2" bestFit="1" customWidth="1"/>
    <col min="2062" max="2306" width="9" style="2"/>
    <col min="2307" max="2307" width="2.375" style="2" customWidth="1"/>
    <col min="2308" max="2308" width="13.25" style="2" bestFit="1" customWidth="1"/>
    <col min="2309" max="2310" width="11.125" style="2" bestFit="1" customWidth="1"/>
    <col min="2311" max="2312" width="9" style="2"/>
    <col min="2313" max="2316" width="11.125" style="2" bestFit="1" customWidth="1"/>
    <col min="2317" max="2317" width="9.625" style="2" bestFit="1" customWidth="1"/>
    <col min="2318" max="2562" width="9" style="2"/>
    <col min="2563" max="2563" width="2.375" style="2" customWidth="1"/>
    <col min="2564" max="2564" width="13.25" style="2" bestFit="1" customWidth="1"/>
    <col min="2565" max="2566" width="11.125" style="2" bestFit="1" customWidth="1"/>
    <col min="2567" max="2568" width="9" style="2"/>
    <col min="2569" max="2572" width="11.125" style="2" bestFit="1" customWidth="1"/>
    <col min="2573" max="2573" width="9.625" style="2" bestFit="1" customWidth="1"/>
    <col min="2574" max="2818" width="9" style="2"/>
    <col min="2819" max="2819" width="2.375" style="2" customWidth="1"/>
    <col min="2820" max="2820" width="13.25" style="2" bestFit="1" customWidth="1"/>
    <col min="2821" max="2822" width="11.125" style="2" bestFit="1" customWidth="1"/>
    <col min="2823" max="2824" width="9" style="2"/>
    <col min="2825" max="2828" width="11.125" style="2" bestFit="1" customWidth="1"/>
    <col min="2829" max="2829" width="9.625" style="2" bestFit="1" customWidth="1"/>
    <col min="2830" max="3074" width="9" style="2"/>
    <col min="3075" max="3075" width="2.375" style="2" customWidth="1"/>
    <col min="3076" max="3076" width="13.25" style="2" bestFit="1" customWidth="1"/>
    <col min="3077" max="3078" width="11.125" style="2" bestFit="1" customWidth="1"/>
    <col min="3079" max="3080" width="9" style="2"/>
    <col min="3081" max="3084" width="11.125" style="2" bestFit="1" customWidth="1"/>
    <col min="3085" max="3085" width="9.625" style="2" bestFit="1" customWidth="1"/>
    <col min="3086" max="3330" width="9" style="2"/>
    <col min="3331" max="3331" width="2.375" style="2" customWidth="1"/>
    <col min="3332" max="3332" width="13.25" style="2" bestFit="1" customWidth="1"/>
    <col min="3333" max="3334" width="11.125" style="2" bestFit="1" customWidth="1"/>
    <col min="3335" max="3336" width="9" style="2"/>
    <col min="3337" max="3340" width="11.125" style="2" bestFit="1" customWidth="1"/>
    <col min="3341" max="3341" width="9.625" style="2" bestFit="1" customWidth="1"/>
    <col min="3342" max="3586" width="9" style="2"/>
    <col min="3587" max="3587" width="2.375" style="2" customWidth="1"/>
    <col min="3588" max="3588" width="13.25" style="2" bestFit="1" customWidth="1"/>
    <col min="3589" max="3590" width="11.125" style="2" bestFit="1" customWidth="1"/>
    <col min="3591" max="3592" width="9" style="2"/>
    <col min="3593" max="3596" width="11.125" style="2" bestFit="1" customWidth="1"/>
    <col min="3597" max="3597" width="9.625" style="2" bestFit="1" customWidth="1"/>
    <col min="3598" max="3842" width="9" style="2"/>
    <col min="3843" max="3843" width="2.375" style="2" customWidth="1"/>
    <col min="3844" max="3844" width="13.25" style="2" bestFit="1" customWidth="1"/>
    <col min="3845" max="3846" width="11.125" style="2" bestFit="1" customWidth="1"/>
    <col min="3847" max="3848" width="9" style="2"/>
    <col min="3849" max="3852" width="11.125" style="2" bestFit="1" customWidth="1"/>
    <col min="3853" max="3853" width="9.625" style="2" bestFit="1" customWidth="1"/>
    <col min="3854" max="4098" width="9" style="2"/>
    <col min="4099" max="4099" width="2.375" style="2" customWidth="1"/>
    <col min="4100" max="4100" width="13.25" style="2" bestFit="1" customWidth="1"/>
    <col min="4101" max="4102" width="11.125" style="2" bestFit="1" customWidth="1"/>
    <col min="4103" max="4104" width="9" style="2"/>
    <col min="4105" max="4108" width="11.125" style="2" bestFit="1" customWidth="1"/>
    <col min="4109" max="4109" width="9.625" style="2" bestFit="1" customWidth="1"/>
    <col min="4110" max="4354" width="9" style="2"/>
    <col min="4355" max="4355" width="2.375" style="2" customWidth="1"/>
    <col min="4356" max="4356" width="13.25" style="2" bestFit="1" customWidth="1"/>
    <col min="4357" max="4358" width="11.125" style="2" bestFit="1" customWidth="1"/>
    <col min="4359" max="4360" width="9" style="2"/>
    <col min="4361" max="4364" width="11.125" style="2" bestFit="1" customWidth="1"/>
    <col min="4365" max="4365" width="9.625" style="2" bestFit="1" customWidth="1"/>
    <col min="4366" max="4610" width="9" style="2"/>
    <col min="4611" max="4611" width="2.375" style="2" customWidth="1"/>
    <col min="4612" max="4612" width="13.25" style="2" bestFit="1" customWidth="1"/>
    <col min="4613" max="4614" width="11.125" style="2" bestFit="1" customWidth="1"/>
    <col min="4615" max="4616" width="9" style="2"/>
    <col min="4617" max="4620" width="11.125" style="2" bestFit="1" customWidth="1"/>
    <col min="4621" max="4621" width="9.625" style="2" bestFit="1" customWidth="1"/>
    <col min="4622" max="4866" width="9" style="2"/>
    <col min="4867" max="4867" width="2.375" style="2" customWidth="1"/>
    <col min="4868" max="4868" width="13.25" style="2" bestFit="1" customWidth="1"/>
    <col min="4869" max="4870" width="11.125" style="2" bestFit="1" customWidth="1"/>
    <col min="4871" max="4872" width="9" style="2"/>
    <col min="4873" max="4876" width="11.125" style="2" bestFit="1" customWidth="1"/>
    <col min="4877" max="4877" width="9.625" style="2" bestFit="1" customWidth="1"/>
    <col min="4878" max="5122" width="9" style="2"/>
    <col min="5123" max="5123" width="2.375" style="2" customWidth="1"/>
    <col min="5124" max="5124" width="13.25" style="2" bestFit="1" customWidth="1"/>
    <col min="5125" max="5126" width="11.125" style="2" bestFit="1" customWidth="1"/>
    <col min="5127" max="5128" width="9" style="2"/>
    <col min="5129" max="5132" width="11.125" style="2" bestFit="1" customWidth="1"/>
    <col min="5133" max="5133" width="9.625" style="2" bestFit="1" customWidth="1"/>
    <col min="5134" max="5378" width="9" style="2"/>
    <col min="5379" max="5379" width="2.375" style="2" customWidth="1"/>
    <col min="5380" max="5380" width="13.25" style="2" bestFit="1" customWidth="1"/>
    <col min="5381" max="5382" width="11.125" style="2" bestFit="1" customWidth="1"/>
    <col min="5383" max="5384" width="9" style="2"/>
    <col min="5385" max="5388" width="11.125" style="2" bestFit="1" customWidth="1"/>
    <col min="5389" max="5389" width="9.625" style="2" bestFit="1" customWidth="1"/>
    <col min="5390" max="5634" width="9" style="2"/>
    <col min="5635" max="5635" width="2.375" style="2" customWidth="1"/>
    <col min="5636" max="5636" width="13.25" style="2" bestFit="1" customWidth="1"/>
    <col min="5637" max="5638" width="11.125" style="2" bestFit="1" customWidth="1"/>
    <col min="5639" max="5640" width="9" style="2"/>
    <col min="5641" max="5644" width="11.125" style="2" bestFit="1" customWidth="1"/>
    <col min="5645" max="5645" width="9.625" style="2" bestFit="1" customWidth="1"/>
    <col min="5646" max="5890" width="9" style="2"/>
    <col min="5891" max="5891" width="2.375" style="2" customWidth="1"/>
    <col min="5892" max="5892" width="13.25" style="2" bestFit="1" customWidth="1"/>
    <col min="5893" max="5894" width="11.125" style="2" bestFit="1" customWidth="1"/>
    <col min="5895" max="5896" width="9" style="2"/>
    <col min="5897" max="5900" width="11.125" style="2" bestFit="1" customWidth="1"/>
    <col min="5901" max="5901" width="9.625" style="2" bestFit="1" customWidth="1"/>
    <col min="5902" max="6146" width="9" style="2"/>
    <col min="6147" max="6147" width="2.375" style="2" customWidth="1"/>
    <col min="6148" max="6148" width="13.25" style="2" bestFit="1" customWidth="1"/>
    <col min="6149" max="6150" width="11.125" style="2" bestFit="1" customWidth="1"/>
    <col min="6151" max="6152" width="9" style="2"/>
    <col min="6153" max="6156" width="11.125" style="2" bestFit="1" customWidth="1"/>
    <col min="6157" max="6157" width="9.625" style="2" bestFit="1" customWidth="1"/>
    <col min="6158" max="6402" width="9" style="2"/>
    <col min="6403" max="6403" width="2.375" style="2" customWidth="1"/>
    <col min="6404" max="6404" width="13.25" style="2" bestFit="1" customWidth="1"/>
    <col min="6405" max="6406" width="11.125" style="2" bestFit="1" customWidth="1"/>
    <col min="6407" max="6408" width="9" style="2"/>
    <col min="6409" max="6412" width="11.125" style="2" bestFit="1" customWidth="1"/>
    <col min="6413" max="6413" width="9.625" style="2" bestFit="1" customWidth="1"/>
    <col min="6414" max="6658" width="9" style="2"/>
    <col min="6659" max="6659" width="2.375" style="2" customWidth="1"/>
    <col min="6660" max="6660" width="13.25" style="2" bestFit="1" customWidth="1"/>
    <col min="6661" max="6662" width="11.125" style="2" bestFit="1" customWidth="1"/>
    <col min="6663" max="6664" width="9" style="2"/>
    <col min="6665" max="6668" width="11.125" style="2" bestFit="1" customWidth="1"/>
    <col min="6669" max="6669" width="9.625" style="2" bestFit="1" customWidth="1"/>
    <col min="6670" max="6914" width="9" style="2"/>
    <col min="6915" max="6915" width="2.375" style="2" customWidth="1"/>
    <col min="6916" max="6916" width="13.25" style="2" bestFit="1" customWidth="1"/>
    <col min="6917" max="6918" width="11.125" style="2" bestFit="1" customWidth="1"/>
    <col min="6919" max="6920" width="9" style="2"/>
    <col min="6921" max="6924" width="11.125" style="2" bestFit="1" customWidth="1"/>
    <col min="6925" max="6925" width="9.625" style="2" bestFit="1" customWidth="1"/>
    <col min="6926" max="7170" width="9" style="2"/>
    <col min="7171" max="7171" width="2.375" style="2" customWidth="1"/>
    <col min="7172" max="7172" width="13.25" style="2" bestFit="1" customWidth="1"/>
    <col min="7173" max="7174" width="11.125" style="2" bestFit="1" customWidth="1"/>
    <col min="7175" max="7176" width="9" style="2"/>
    <col min="7177" max="7180" width="11.125" style="2" bestFit="1" customWidth="1"/>
    <col min="7181" max="7181" width="9.625" style="2" bestFit="1" customWidth="1"/>
    <col min="7182" max="7426" width="9" style="2"/>
    <col min="7427" max="7427" width="2.375" style="2" customWidth="1"/>
    <col min="7428" max="7428" width="13.25" style="2" bestFit="1" customWidth="1"/>
    <col min="7429" max="7430" width="11.125" style="2" bestFit="1" customWidth="1"/>
    <col min="7431" max="7432" width="9" style="2"/>
    <col min="7433" max="7436" width="11.125" style="2" bestFit="1" customWidth="1"/>
    <col min="7437" max="7437" width="9.625" style="2" bestFit="1" customWidth="1"/>
    <col min="7438" max="7682" width="9" style="2"/>
    <col min="7683" max="7683" width="2.375" style="2" customWidth="1"/>
    <col min="7684" max="7684" width="13.25" style="2" bestFit="1" customWidth="1"/>
    <col min="7685" max="7686" width="11.125" style="2" bestFit="1" customWidth="1"/>
    <col min="7687" max="7688" width="9" style="2"/>
    <col min="7689" max="7692" width="11.125" style="2" bestFit="1" customWidth="1"/>
    <col min="7693" max="7693" width="9.625" style="2" bestFit="1" customWidth="1"/>
    <col min="7694" max="7938" width="9" style="2"/>
    <col min="7939" max="7939" width="2.375" style="2" customWidth="1"/>
    <col min="7940" max="7940" width="13.25" style="2" bestFit="1" customWidth="1"/>
    <col min="7941" max="7942" width="11.125" style="2" bestFit="1" customWidth="1"/>
    <col min="7943" max="7944" width="9" style="2"/>
    <col min="7945" max="7948" width="11.125" style="2" bestFit="1" customWidth="1"/>
    <col min="7949" max="7949" width="9.625" style="2" bestFit="1" customWidth="1"/>
    <col min="7950" max="8194" width="9" style="2"/>
    <col min="8195" max="8195" width="2.375" style="2" customWidth="1"/>
    <col min="8196" max="8196" width="13.25" style="2" bestFit="1" customWidth="1"/>
    <col min="8197" max="8198" width="11.125" style="2" bestFit="1" customWidth="1"/>
    <col min="8199" max="8200" width="9" style="2"/>
    <col min="8201" max="8204" width="11.125" style="2" bestFit="1" customWidth="1"/>
    <col min="8205" max="8205" width="9.625" style="2" bestFit="1" customWidth="1"/>
    <col min="8206" max="8450" width="9" style="2"/>
    <col min="8451" max="8451" width="2.375" style="2" customWidth="1"/>
    <col min="8452" max="8452" width="13.25" style="2" bestFit="1" customWidth="1"/>
    <col min="8453" max="8454" width="11.125" style="2" bestFit="1" customWidth="1"/>
    <col min="8455" max="8456" width="9" style="2"/>
    <col min="8457" max="8460" width="11.125" style="2" bestFit="1" customWidth="1"/>
    <col min="8461" max="8461" width="9.625" style="2" bestFit="1" customWidth="1"/>
    <col min="8462" max="8706" width="9" style="2"/>
    <col min="8707" max="8707" width="2.375" style="2" customWidth="1"/>
    <col min="8708" max="8708" width="13.25" style="2" bestFit="1" customWidth="1"/>
    <col min="8709" max="8710" width="11.125" style="2" bestFit="1" customWidth="1"/>
    <col min="8711" max="8712" width="9" style="2"/>
    <col min="8713" max="8716" width="11.125" style="2" bestFit="1" customWidth="1"/>
    <col min="8717" max="8717" width="9.625" style="2" bestFit="1" customWidth="1"/>
    <col min="8718" max="8962" width="9" style="2"/>
    <col min="8963" max="8963" width="2.375" style="2" customWidth="1"/>
    <col min="8964" max="8964" width="13.25" style="2" bestFit="1" customWidth="1"/>
    <col min="8965" max="8966" width="11.125" style="2" bestFit="1" customWidth="1"/>
    <col min="8967" max="8968" width="9" style="2"/>
    <col min="8969" max="8972" width="11.125" style="2" bestFit="1" customWidth="1"/>
    <col min="8973" max="8973" width="9.625" style="2" bestFit="1" customWidth="1"/>
    <col min="8974" max="9218" width="9" style="2"/>
    <col min="9219" max="9219" width="2.375" style="2" customWidth="1"/>
    <col min="9220" max="9220" width="13.25" style="2" bestFit="1" customWidth="1"/>
    <col min="9221" max="9222" width="11.125" style="2" bestFit="1" customWidth="1"/>
    <col min="9223" max="9224" width="9" style="2"/>
    <col min="9225" max="9228" width="11.125" style="2" bestFit="1" customWidth="1"/>
    <col min="9229" max="9229" width="9.625" style="2" bestFit="1" customWidth="1"/>
    <col min="9230" max="9474" width="9" style="2"/>
    <col min="9475" max="9475" width="2.375" style="2" customWidth="1"/>
    <col min="9476" max="9476" width="13.25" style="2" bestFit="1" customWidth="1"/>
    <col min="9477" max="9478" width="11.125" style="2" bestFit="1" customWidth="1"/>
    <col min="9479" max="9480" width="9" style="2"/>
    <col min="9481" max="9484" width="11.125" style="2" bestFit="1" customWidth="1"/>
    <col min="9485" max="9485" width="9.625" style="2" bestFit="1" customWidth="1"/>
    <col min="9486" max="9730" width="9" style="2"/>
    <col min="9731" max="9731" width="2.375" style="2" customWidth="1"/>
    <col min="9732" max="9732" width="13.25" style="2" bestFit="1" customWidth="1"/>
    <col min="9733" max="9734" width="11.125" style="2" bestFit="1" customWidth="1"/>
    <col min="9735" max="9736" width="9" style="2"/>
    <col min="9737" max="9740" width="11.125" style="2" bestFit="1" customWidth="1"/>
    <col min="9741" max="9741" width="9.625" style="2" bestFit="1" customWidth="1"/>
    <col min="9742" max="9986" width="9" style="2"/>
    <col min="9987" max="9987" width="2.375" style="2" customWidth="1"/>
    <col min="9988" max="9988" width="13.25" style="2" bestFit="1" customWidth="1"/>
    <col min="9989" max="9990" width="11.125" style="2" bestFit="1" customWidth="1"/>
    <col min="9991" max="9992" width="9" style="2"/>
    <col min="9993" max="9996" width="11.125" style="2" bestFit="1" customWidth="1"/>
    <col min="9997" max="9997" width="9.625" style="2" bestFit="1" customWidth="1"/>
    <col min="9998" max="10242" width="9" style="2"/>
    <col min="10243" max="10243" width="2.375" style="2" customWidth="1"/>
    <col min="10244" max="10244" width="13.25" style="2" bestFit="1" customWidth="1"/>
    <col min="10245" max="10246" width="11.125" style="2" bestFit="1" customWidth="1"/>
    <col min="10247" max="10248" width="9" style="2"/>
    <col min="10249" max="10252" width="11.125" style="2" bestFit="1" customWidth="1"/>
    <col min="10253" max="10253" width="9.625" style="2" bestFit="1" customWidth="1"/>
    <col min="10254" max="10498" width="9" style="2"/>
    <col min="10499" max="10499" width="2.375" style="2" customWidth="1"/>
    <col min="10500" max="10500" width="13.25" style="2" bestFit="1" customWidth="1"/>
    <col min="10501" max="10502" width="11.125" style="2" bestFit="1" customWidth="1"/>
    <col min="10503" max="10504" width="9" style="2"/>
    <col min="10505" max="10508" width="11.125" style="2" bestFit="1" customWidth="1"/>
    <col min="10509" max="10509" width="9.625" style="2" bestFit="1" customWidth="1"/>
    <col min="10510" max="10754" width="9" style="2"/>
    <col min="10755" max="10755" width="2.375" style="2" customWidth="1"/>
    <col min="10756" max="10756" width="13.25" style="2" bestFit="1" customWidth="1"/>
    <col min="10757" max="10758" width="11.125" style="2" bestFit="1" customWidth="1"/>
    <col min="10759" max="10760" width="9" style="2"/>
    <col min="10761" max="10764" width="11.125" style="2" bestFit="1" customWidth="1"/>
    <col min="10765" max="10765" width="9.625" style="2" bestFit="1" customWidth="1"/>
    <col min="10766" max="11010" width="9" style="2"/>
    <col min="11011" max="11011" width="2.375" style="2" customWidth="1"/>
    <col min="11012" max="11012" width="13.25" style="2" bestFit="1" customWidth="1"/>
    <col min="11013" max="11014" width="11.125" style="2" bestFit="1" customWidth="1"/>
    <col min="11015" max="11016" width="9" style="2"/>
    <col min="11017" max="11020" width="11.125" style="2" bestFit="1" customWidth="1"/>
    <col min="11021" max="11021" width="9.625" style="2" bestFit="1" customWidth="1"/>
    <col min="11022" max="11266" width="9" style="2"/>
    <col min="11267" max="11267" width="2.375" style="2" customWidth="1"/>
    <col min="11268" max="11268" width="13.25" style="2" bestFit="1" customWidth="1"/>
    <col min="11269" max="11270" width="11.125" style="2" bestFit="1" customWidth="1"/>
    <col min="11271" max="11272" width="9" style="2"/>
    <col min="11273" max="11276" width="11.125" style="2" bestFit="1" customWidth="1"/>
    <col min="11277" max="11277" width="9.625" style="2" bestFit="1" customWidth="1"/>
    <col min="11278" max="11522" width="9" style="2"/>
    <col min="11523" max="11523" width="2.375" style="2" customWidth="1"/>
    <col min="11524" max="11524" width="13.25" style="2" bestFit="1" customWidth="1"/>
    <col min="11525" max="11526" width="11.125" style="2" bestFit="1" customWidth="1"/>
    <col min="11527" max="11528" width="9" style="2"/>
    <col min="11529" max="11532" width="11.125" style="2" bestFit="1" customWidth="1"/>
    <col min="11533" max="11533" width="9.625" style="2" bestFit="1" customWidth="1"/>
    <col min="11534" max="11778" width="9" style="2"/>
    <col min="11779" max="11779" width="2.375" style="2" customWidth="1"/>
    <col min="11780" max="11780" width="13.25" style="2" bestFit="1" customWidth="1"/>
    <col min="11781" max="11782" width="11.125" style="2" bestFit="1" customWidth="1"/>
    <col min="11783" max="11784" width="9" style="2"/>
    <col min="11785" max="11788" width="11.125" style="2" bestFit="1" customWidth="1"/>
    <col min="11789" max="11789" width="9.625" style="2" bestFit="1" customWidth="1"/>
    <col min="11790" max="12034" width="9" style="2"/>
    <col min="12035" max="12035" width="2.375" style="2" customWidth="1"/>
    <col min="12036" max="12036" width="13.25" style="2" bestFit="1" customWidth="1"/>
    <col min="12037" max="12038" width="11.125" style="2" bestFit="1" customWidth="1"/>
    <col min="12039" max="12040" width="9" style="2"/>
    <col min="12041" max="12044" width="11.125" style="2" bestFit="1" customWidth="1"/>
    <col min="12045" max="12045" width="9.625" style="2" bestFit="1" customWidth="1"/>
    <col min="12046" max="12290" width="9" style="2"/>
    <col min="12291" max="12291" width="2.375" style="2" customWidth="1"/>
    <col min="12292" max="12292" width="13.25" style="2" bestFit="1" customWidth="1"/>
    <col min="12293" max="12294" width="11.125" style="2" bestFit="1" customWidth="1"/>
    <col min="12295" max="12296" width="9" style="2"/>
    <col min="12297" max="12300" width="11.125" style="2" bestFit="1" customWidth="1"/>
    <col min="12301" max="12301" width="9.625" style="2" bestFit="1" customWidth="1"/>
    <col min="12302" max="12546" width="9" style="2"/>
    <col min="12547" max="12547" width="2.375" style="2" customWidth="1"/>
    <col min="12548" max="12548" width="13.25" style="2" bestFit="1" customWidth="1"/>
    <col min="12549" max="12550" width="11.125" style="2" bestFit="1" customWidth="1"/>
    <col min="12551" max="12552" width="9" style="2"/>
    <col min="12553" max="12556" width="11.125" style="2" bestFit="1" customWidth="1"/>
    <col min="12557" max="12557" width="9.625" style="2" bestFit="1" customWidth="1"/>
    <col min="12558" max="12802" width="9" style="2"/>
    <col min="12803" max="12803" width="2.375" style="2" customWidth="1"/>
    <col min="12804" max="12804" width="13.25" style="2" bestFit="1" customWidth="1"/>
    <col min="12805" max="12806" width="11.125" style="2" bestFit="1" customWidth="1"/>
    <col min="12807" max="12808" width="9" style="2"/>
    <col min="12809" max="12812" width="11.125" style="2" bestFit="1" customWidth="1"/>
    <col min="12813" max="12813" width="9.625" style="2" bestFit="1" customWidth="1"/>
    <col min="12814" max="13058" width="9" style="2"/>
    <col min="13059" max="13059" width="2.375" style="2" customWidth="1"/>
    <col min="13060" max="13060" width="13.25" style="2" bestFit="1" customWidth="1"/>
    <col min="13061" max="13062" width="11.125" style="2" bestFit="1" customWidth="1"/>
    <col min="13063" max="13064" width="9" style="2"/>
    <col min="13065" max="13068" width="11.125" style="2" bestFit="1" customWidth="1"/>
    <col min="13069" max="13069" width="9.625" style="2" bestFit="1" customWidth="1"/>
    <col min="13070" max="13314" width="9" style="2"/>
    <col min="13315" max="13315" width="2.375" style="2" customWidth="1"/>
    <col min="13316" max="13316" width="13.25" style="2" bestFit="1" customWidth="1"/>
    <col min="13317" max="13318" width="11.125" style="2" bestFit="1" customWidth="1"/>
    <col min="13319" max="13320" width="9" style="2"/>
    <col min="13321" max="13324" width="11.125" style="2" bestFit="1" customWidth="1"/>
    <col min="13325" max="13325" width="9.625" style="2" bestFit="1" customWidth="1"/>
    <col min="13326" max="13570" width="9" style="2"/>
    <col min="13571" max="13571" width="2.375" style="2" customWidth="1"/>
    <col min="13572" max="13572" width="13.25" style="2" bestFit="1" customWidth="1"/>
    <col min="13573" max="13574" width="11.125" style="2" bestFit="1" customWidth="1"/>
    <col min="13575" max="13576" width="9" style="2"/>
    <col min="13577" max="13580" width="11.125" style="2" bestFit="1" customWidth="1"/>
    <col min="13581" max="13581" width="9.625" style="2" bestFit="1" customWidth="1"/>
    <col min="13582" max="13826" width="9" style="2"/>
    <col min="13827" max="13827" width="2.375" style="2" customWidth="1"/>
    <col min="13828" max="13828" width="13.25" style="2" bestFit="1" customWidth="1"/>
    <col min="13829" max="13830" width="11.125" style="2" bestFit="1" customWidth="1"/>
    <col min="13831" max="13832" width="9" style="2"/>
    <col min="13833" max="13836" width="11.125" style="2" bestFit="1" customWidth="1"/>
    <col min="13837" max="13837" width="9.625" style="2" bestFit="1" customWidth="1"/>
    <col min="13838" max="14082" width="9" style="2"/>
    <col min="14083" max="14083" width="2.375" style="2" customWidth="1"/>
    <col min="14084" max="14084" width="13.25" style="2" bestFit="1" customWidth="1"/>
    <col min="14085" max="14086" width="11.125" style="2" bestFit="1" customWidth="1"/>
    <col min="14087" max="14088" width="9" style="2"/>
    <col min="14089" max="14092" width="11.125" style="2" bestFit="1" customWidth="1"/>
    <col min="14093" max="14093" width="9.625" style="2" bestFit="1" customWidth="1"/>
    <col min="14094" max="14338" width="9" style="2"/>
    <col min="14339" max="14339" width="2.375" style="2" customWidth="1"/>
    <col min="14340" max="14340" width="13.25" style="2" bestFit="1" customWidth="1"/>
    <col min="14341" max="14342" width="11.125" style="2" bestFit="1" customWidth="1"/>
    <col min="14343" max="14344" width="9" style="2"/>
    <col min="14345" max="14348" width="11.125" style="2" bestFit="1" customWidth="1"/>
    <col min="14349" max="14349" width="9.625" style="2" bestFit="1" customWidth="1"/>
    <col min="14350" max="14594" width="9" style="2"/>
    <col min="14595" max="14595" width="2.375" style="2" customWidth="1"/>
    <col min="14596" max="14596" width="13.25" style="2" bestFit="1" customWidth="1"/>
    <col min="14597" max="14598" width="11.125" style="2" bestFit="1" customWidth="1"/>
    <col min="14599" max="14600" width="9" style="2"/>
    <col min="14601" max="14604" width="11.125" style="2" bestFit="1" customWidth="1"/>
    <col min="14605" max="14605" width="9.625" style="2" bestFit="1" customWidth="1"/>
    <col min="14606" max="14850" width="9" style="2"/>
    <col min="14851" max="14851" width="2.375" style="2" customWidth="1"/>
    <col min="14852" max="14852" width="13.25" style="2" bestFit="1" customWidth="1"/>
    <col min="14853" max="14854" width="11.125" style="2" bestFit="1" customWidth="1"/>
    <col min="14855" max="14856" width="9" style="2"/>
    <col min="14857" max="14860" width="11.125" style="2" bestFit="1" customWidth="1"/>
    <col min="14861" max="14861" width="9.625" style="2" bestFit="1" customWidth="1"/>
    <col min="14862" max="15106" width="9" style="2"/>
    <col min="15107" max="15107" width="2.375" style="2" customWidth="1"/>
    <col min="15108" max="15108" width="13.25" style="2" bestFit="1" customWidth="1"/>
    <col min="15109" max="15110" width="11.125" style="2" bestFit="1" customWidth="1"/>
    <col min="15111" max="15112" width="9" style="2"/>
    <col min="15113" max="15116" width="11.125" style="2" bestFit="1" customWidth="1"/>
    <col min="15117" max="15117" width="9.625" style="2" bestFit="1" customWidth="1"/>
    <col min="15118" max="15362" width="9" style="2"/>
    <col min="15363" max="15363" width="2.375" style="2" customWidth="1"/>
    <col min="15364" max="15364" width="13.25" style="2" bestFit="1" customWidth="1"/>
    <col min="15365" max="15366" width="11.125" style="2" bestFit="1" customWidth="1"/>
    <col min="15367" max="15368" width="9" style="2"/>
    <col min="15369" max="15372" width="11.125" style="2" bestFit="1" customWidth="1"/>
    <col min="15373" max="15373" width="9.625" style="2" bestFit="1" customWidth="1"/>
    <col min="15374" max="15618" width="9" style="2"/>
    <col min="15619" max="15619" width="2.375" style="2" customWidth="1"/>
    <col min="15620" max="15620" width="13.25" style="2" bestFit="1" customWidth="1"/>
    <col min="15621" max="15622" width="11.125" style="2" bestFit="1" customWidth="1"/>
    <col min="15623" max="15624" width="9" style="2"/>
    <col min="15625" max="15628" width="11.125" style="2" bestFit="1" customWidth="1"/>
    <col min="15629" max="15629" width="9.625" style="2" bestFit="1" customWidth="1"/>
    <col min="15630" max="15874" width="9" style="2"/>
    <col min="15875" max="15875" width="2.375" style="2" customWidth="1"/>
    <col min="15876" max="15876" width="13.25" style="2" bestFit="1" customWidth="1"/>
    <col min="15877" max="15878" width="11.125" style="2" bestFit="1" customWidth="1"/>
    <col min="15879" max="15880" width="9" style="2"/>
    <col min="15881" max="15884" width="11.125" style="2" bestFit="1" customWidth="1"/>
    <col min="15885" max="15885" width="9.625" style="2" bestFit="1" customWidth="1"/>
    <col min="15886" max="16130" width="9" style="2"/>
    <col min="16131" max="16131" width="2.375" style="2" customWidth="1"/>
    <col min="16132" max="16132" width="13.25" style="2" bestFit="1" customWidth="1"/>
    <col min="16133" max="16134" width="11.125" style="2" bestFit="1" customWidth="1"/>
    <col min="16135" max="16136" width="9" style="2"/>
    <col min="16137" max="16140" width="11.125" style="2" bestFit="1" customWidth="1"/>
    <col min="16141" max="16141" width="9.625" style="2" bestFit="1" customWidth="1"/>
    <col min="16142" max="16384" width="9" style="2"/>
  </cols>
  <sheetData>
    <row r="1" spans="1:15">
      <c r="A1" s="1" t="s">
        <v>0</v>
      </c>
    </row>
    <row r="2" spans="1:15" ht="19.5" thickBot="1">
      <c r="A2" s="1" t="s">
        <v>2</v>
      </c>
    </row>
    <row r="3" spans="1:15">
      <c r="B3" s="3"/>
      <c r="C3" s="7" t="s">
        <v>5</v>
      </c>
      <c r="D3" s="35" t="s">
        <v>7</v>
      </c>
      <c r="E3" s="43" t="s">
        <v>45</v>
      </c>
      <c r="F3" s="6" t="s">
        <v>3</v>
      </c>
      <c r="G3" s="7" t="s">
        <v>4</v>
      </c>
      <c r="H3" s="7" t="s">
        <v>6</v>
      </c>
      <c r="I3" s="7" t="s">
        <v>8</v>
      </c>
      <c r="J3" s="7" t="s">
        <v>9</v>
      </c>
      <c r="K3" s="8" t="s">
        <v>10</v>
      </c>
      <c r="L3" s="43" t="s">
        <v>45</v>
      </c>
      <c r="M3" s="51" t="s">
        <v>20</v>
      </c>
    </row>
    <row r="4" spans="1:15" ht="19.5" thickBot="1">
      <c r="A4" s="34"/>
      <c r="B4" s="22" t="s">
        <v>11</v>
      </c>
      <c r="C4" s="24" t="s">
        <v>14</v>
      </c>
      <c r="D4" s="36" t="s">
        <v>16</v>
      </c>
      <c r="E4" s="44" t="s">
        <v>46</v>
      </c>
      <c r="F4" s="23" t="s">
        <v>12</v>
      </c>
      <c r="G4" s="24" t="s">
        <v>13</v>
      </c>
      <c r="H4" s="24" t="s">
        <v>15</v>
      </c>
      <c r="I4" s="24" t="s">
        <v>17</v>
      </c>
      <c r="J4" s="24" t="s">
        <v>18</v>
      </c>
      <c r="K4" s="25" t="s">
        <v>19</v>
      </c>
      <c r="L4" s="44" t="s">
        <v>47</v>
      </c>
      <c r="M4" s="52" t="s">
        <v>48</v>
      </c>
    </row>
    <row r="5" spans="1:15">
      <c r="A5" s="1" t="s">
        <v>1</v>
      </c>
      <c r="B5" s="18" t="s">
        <v>21</v>
      </c>
      <c r="C5" s="20">
        <v>355000</v>
      </c>
      <c r="D5" s="37">
        <v>0</v>
      </c>
      <c r="E5" s="45">
        <f>SUM(C5:D5)</f>
        <v>355000</v>
      </c>
      <c r="F5" s="19">
        <v>63000</v>
      </c>
      <c r="G5" s="20">
        <v>88000</v>
      </c>
      <c r="H5" s="20">
        <v>63000</v>
      </c>
      <c r="I5" s="20">
        <v>63000</v>
      </c>
      <c r="J5" s="20">
        <v>63000</v>
      </c>
      <c r="K5" s="21">
        <v>56000</v>
      </c>
      <c r="L5" s="45">
        <f>SUM(F5:K5)</f>
        <v>396000</v>
      </c>
      <c r="M5" s="45">
        <f>E5+L5</f>
        <v>751000</v>
      </c>
      <c r="O5"/>
    </row>
    <row r="6" spans="1:15">
      <c r="A6" s="1" t="s">
        <v>1</v>
      </c>
      <c r="B6" s="4" t="s">
        <v>22</v>
      </c>
      <c r="C6" s="10">
        <v>0</v>
      </c>
      <c r="D6" s="38">
        <v>0</v>
      </c>
      <c r="E6" s="46"/>
      <c r="F6" s="9">
        <v>0</v>
      </c>
      <c r="G6" s="10">
        <v>0</v>
      </c>
      <c r="H6" s="10">
        <v>0</v>
      </c>
      <c r="I6" s="10">
        <v>0</v>
      </c>
      <c r="J6" s="10">
        <v>0</v>
      </c>
      <c r="K6" s="11">
        <v>0</v>
      </c>
      <c r="L6" s="46"/>
      <c r="M6" s="46">
        <f t="shared" ref="M6:M25" si="0">E6+L6</f>
        <v>0</v>
      </c>
      <c r="O6"/>
    </row>
    <row r="7" spans="1:15">
      <c r="A7" s="1" t="s">
        <v>1</v>
      </c>
      <c r="B7" s="4" t="s">
        <v>23</v>
      </c>
      <c r="C7" s="10">
        <v>0</v>
      </c>
      <c r="D7" s="38">
        <v>0</v>
      </c>
      <c r="E7" s="46"/>
      <c r="F7" s="9">
        <v>0</v>
      </c>
      <c r="G7" s="10">
        <v>15000</v>
      </c>
      <c r="H7" s="10">
        <v>0</v>
      </c>
      <c r="I7" s="10">
        <v>0</v>
      </c>
      <c r="J7" s="10">
        <v>0</v>
      </c>
      <c r="K7" s="11">
        <v>0</v>
      </c>
      <c r="L7" s="46">
        <f>SUM(F7:K7)</f>
        <v>15000</v>
      </c>
      <c r="M7" s="46">
        <f t="shared" si="0"/>
        <v>15000</v>
      </c>
      <c r="O7"/>
    </row>
    <row r="8" spans="1:15" ht="19.5" thickBot="1">
      <c r="A8" s="1" t="s">
        <v>1</v>
      </c>
      <c r="B8" s="26" t="s">
        <v>24</v>
      </c>
      <c r="C8" s="28">
        <v>0</v>
      </c>
      <c r="D8" s="39">
        <v>0</v>
      </c>
      <c r="E8" s="47"/>
      <c r="F8" s="27">
        <v>6000</v>
      </c>
      <c r="G8" s="28">
        <v>0</v>
      </c>
      <c r="H8" s="28">
        <v>3000</v>
      </c>
      <c r="I8" s="28">
        <v>0</v>
      </c>
      <c r="J8" s="28">
        <v>0</v>
      </c>
      <c r="K8" s="29">
        <v>0</v>
      </c>
      <c r="L8" s="47">
        <f t="shared" ref="L8:L25" si="1">SUM(F8:K8)</f>
        <v>9000</v>
      </c>
      <c r="M8" s="47">
        <f t="shared" si="0"/>
        <v>9000</v>
      </c>
      <c r="O8"/>
    </row>
    <row r="9" spans="1:15" ht="19.5" thickBot="1">
      <c r="A9" s="1" t="s">
        <v>1</v>
      </c>
      <c r="B9" s="30" t="s">
        <v>25</v>
      </c>
      <c r="C9" s="32">
        <v>355000</v>
      </c>
      <c r="D9" s="40">
        <v>0</v>
      </c>
      <c r="E9" s="48">
        <f>SUM(C9:D9)</f>
        <v>355000</v>
      </c>
      <c r="F9" s="31">
        <v>69000</v>
      </c>
      <c r="G9" s="32">
        <v>103000</v>
      </c>
      <c r="H9" s="32">
        <v>66000</v>
      </c>
      <c r="I9" s="32">
        <v>63000</v>
      </c>
      <c r="J9" s="32">
        <v>63000</v>
      </c>
      <c r="K9" s="33">
        <v>56000</v>
      </c>
      <c r="L9" s="48">
        <f t="shared" si="1"/>
        <v>420000</v>
      </c>
      <c r="M9" s="48">
        <f t="shared" si="0"/>
        <v>775000</v>
      </c>
      <c r="O9"/>
    </row>
    <row r="10" spans="1:15" ht="19.5" thickBot="1">
      <c r="A10" s="1" t="s">
        <v>1</v>
      </c>
      <c r="B10" s="30" t="s">
        <v>26</v>
      </c>
      <c r="C10" s="32">
        <v>0</v>
      </c>
      <c r="D10" s="40">
        <v>0</v>
      </c>
      <c r="E10" s="48">
        <f t="shared" ref="E10:E25" si="2">SUM(C10:D10)</f>
        <v>0</v>
      </c>
      <c r="F10" s="31">
        <v>0</v>
      </c>
      <c r="G10" s="32">
        <v>0</v>
      </c>
      <c r="H10" s="32">
        <v>0</v>
      </c>
      <c r="I10" s="32">
        <v>0</v>
      </c>
      <c r="J10" s="32">
        <v>0</v>
      </c>
      <c r="K10" s="33">
        <v>0</v>
      </c>
      <c r="L10" s="48">
        <f t="shared" si="1"/>
        <v>0</v>
      </c>
      <c r="M10" s="48">
        <f t="shared" si="0"/>
        <v>0</v>
      </c>
      <c r="O10"/>
    </row>
    <row r="11" spans="1:15" ht="19.5" thickBot="1">
      <c r="A11" s="1" t="s">
        <v>1</v>
      </c>
      <c r="B11" s="30" t="s">
        <v>27</v>
      </c>
      <c r="C11" s="32">
        <v>355000</v>
      </c>
      <c r="D11" s="40">
        <v>0</v>
      </c>
      <c r="E11" s="48">
        <f t="shared" si="2"/>
        <v>355000</v>
      </c>
      <c r="F11" s="31">
        <v>69000</v>
      </c>
      <c r="G11" s="32">
        <v>103000</v>
      </c>
      <c r="H11" s="32">
        <v>66000</v>
      </c>
      <c r="I11" s="32">
        <v>63000</v>
      </c>
      <c r="J11" s="32">
        <v>63000</v>
      </c>
      <c r="K11" s="33">
        <v>56000</v>
      </c>
      <c r="L11" s="48">
        <f t="shared" si="1"/>
        <v>420000</v>
      </c>
      <c r="M11" s="48">
        <f t="shared" si="0"/>
        <v>775000</v>
      </c>
      <c r="O11"/>
    </row>
    <row r="12" spans="1:15">
      <c r="A12" s="1" t="s">
        <v>1</v>
      </c>
      <c r="B12" s="18" t="s">
        <v>28</v>
      </c>
      <c r="C12" s="20">
        <v>18105</v>
      </c>
      <c r="D12" s="37">
        <v>0</v>
      </c>
      <c r="E12" s="45">
        <f t="shared" si="2"/>
        <v>18105</v>
      </c>
      <c r="F12" s="19">
        <v>3519</v>
      </c>
      <c r="G12" s="20">
        <v>5253</v>
      </c>
      <c r="H12" s="20">
        <v>3366</v>
      </c>
      <c r="I12" s="20">
        <v>3213</v>
      </c>
      <c r="J12" s="20">
        <v>3213</v>
      </c>
      <c r="K12" s="21">
        <v>2856</v>
      </c>
      <c r="L12" s="45">
        <f t="shared" si="1"/>
        <v>21420</v>
      </c>
      <c r="M12" s="45">
        <f t="shared" si="0"/>
        <v>39525</v>
      </c>
      <c r="O12"/>
    </row>
    <row r="13" spans="1:15">
      <c r="A13" s="1" t="s">
        <v>1</v>
      </c>
      <c r="B13" s="4" t="s">
        <v>29</v>
      </c>
      <c r="C13" s="10">
        <v>3195</v>
      </c>
      <c r="D13" s="38">
        <v>0</v>
      </c>
      <c r="E13" s="46">
        <f t="shared" si="2"/>
        <v>3195</v>
      </c>
      <c r="F13" s="9">
        <v>621</v>
      </c>
      <c r="G13" s="10">
        <v>927</v>
      </c>
      <c r="H13" s="10">
        <v>594</v>
      </c>
      <c r="I13" s="10">
        <v>567</v>
      </c>
      <c r="J13" s="10">
        <v>567</v>
      </c>
      <c r="K13" s="11">
        <v>504</v>
      </c>
      <c r="L13" s="46">
        <f t="shared" si="1"/>
        <v>3780</v>
      </c>
      <c r="M13" s="46">
        <f t="shared" si="0"/>
        <v>6975</v>
      </c>
      <c r="O13"/>
    </row>
    <row r="14" spans="1:15">
      <c r="A14" s="1" t="s">
        <v>1</v>
      </c>
      <c r="B14" s="4" t="s">
        <v>30</v>
      </c>
      <c r="C14" s="10">
        <v>32482</v>
      </c>
      <c r="D14" s="38">
        <v>0</v>
      </c>
      <c r="E14" s="46">
        <f t="shared" si="2"/>
        <v>32482</v>
      </c>
      <c r="F14" s="9">
        <v>6313</v>
      </c>
      <c r="G14" s="10">
        <v>9424</v>
      </c>
      <c r="H14" s="10">
        <v>6039</v>
      </c>
      <c r="I14" s="10">
        <v>5764</v>
      </c>
      <c r="J14" s="10">
        <v>5764</v>
      </c>
      <c r="K14" s="11">
        <v>5124</v>
      </c>
      <c r="L14" s="46">
        <f t="shared" si="1"/>
        <v>38428</v>
      </c>
      <c r="M14" s="46">
        <f t="shared" si="0"/>
        <v>70910</v>
      </c>
      <c r="O14"/>
    </row>
    <row r="15" spans="1:15" ht="19.5" thickBot="1">
      <c r="A15" s="1" t="s">
        <v>1</v>
      </c>
      <c r="B15" s="26" t="s">
        <v>31</v>
      </c>
      <c r="C15" s="28">
        <v>1775</v>
      </c>
      <c r="D15" s="39">
        <v>0</v>
      </c>
      <c r="E15" s="47">
        <f t="shared" si="2"/>
        <v>1775</v>
      </c>
      <c r="F15" s="27">
        <v>345</v>
      </c>
      <c r="G15" s="28">
        <v>515</v>
      </c>
      <c r="H15" s="28">
        <v>330</v>
      </c>
      <c r="I15" s="28">
        <v>315</v>
      </c>
      <c r="J15" s="28">
        <v>315</v>
      </c>
      <c r="K15" s="29">
        <v>280</v>
      </c>
      <c r="L15" s="47">
        <f t="shared" si="1"/>
        <v>2100</v>
      </c>
      <c r="M15" s="47">
        <f t="shared" si="0"/>
        <v>3875</v>
      </c>
      <c r="O15"/>
    </row>
    <row r="16" spans="1:15" ht="19.5" thickBot="1">
      <c r="A16" s="1" t="s">
        <v>1</v>
      </c>
      <c r="B16" s="30" t="s">
        <v>32</v>
      </c>
      <c r="C16" s="32">
        <v>299443</v>
      </c>
      <c r="D16" s="40">
        <v>0</v>
      </c>
      <c r="E16" s="48">
        <f t="shared" si="2"/>
        <v>299443</v>
      </c>
      <c r="F16" s="31">
        <v>58202</v>
      </c>
      <c r="G16" s="32">
        <v>86881</v>
      </c>
      <c r="H16" s="32">
        <v>55671</v>
      </c>
      <c r="I16" s="32">
        <v>53141</v>
      </c>
      <c r="J16" s="32">
        <v>53141</v>
      </c>
      <c r="K16" s="33">
        <v>47236</v>
      </c>
      <c r="L16" s="48">
        <f t="shared" si="1"/>
        <v>354272</v>
      </c>
      <c r="M16" s="48">
        <f t="shared" si="0"/>
        <v>653715</v>
      </c>
      <c r="O16"/>
    </row>
    <row r="17" spans="1:15" ht="19.5" thickBot="1">
      <c r="A17" s="1" t="s">
        <v>1</v>
      </c>
      <c r="B17" s="30" t="s">
        <v>33</v>
      </c>
      <c r="C17" s="32">
        <v>18343</v>
      </c>
      <c r="D17" s="40">
        <v>0</v>
      </c>
      <c r="E17" s="48">
        <f t="shared" si="2"/>
        <v>18343</v>
      </c>
      <c r="F17" s="31">
        <v>5942</v>
      </c>
      <c r="G17" s="32">
        <v>8870</v>
      </c>
      <c r="H17" s="32">
        <v>4547</v>
      </c>
      <c r="I17" s="32">
        <v>1085</v>
      </c>
      <c r="J17" s="32">
        <v>6510</v>
      </c>
      <c r="K17" s="33">
        <v>4822</v>
      </c>
      <c r="L17" s="48">
        <f t="shared" si="1"/>
        <v>31776</v>
      </c>
      <c r="M17" s="48">
        <f t="shared" si="0"/>
        <v>50119</v>
      </c>
      <c r="O17"/>
    </row>
    <row r="18" spans="1:15" ht="19.5" thickBot="1">
      <c r="A18" s="1" t="s">
        <v>1</v>
      </c>
      <c r="B18" s="30" t="s">
        <v>34</v>
      </c>
      <c r="C18" s="32">
        <v>55557</v>
      </c>
      <c r="D18" s="40">
        <v>0</v>
      </c>
      <c r="E18" s="48">
        <f t="shared" si="2"/>
        <v>55557</v>
      </c>
      <c r="F18" s="31">
        <v>10798</v>
      </c>
      <c r="G18" s="32">
        <v>16119</v>
      </c>
      <c r="H18" s="32">
        <v>10329</v>
      </c>
      <c r="I18" s="32">
        <v>9859</v>
      </c>
      <c r="J18" s="32">
        <v>9859</v>
      </c>
      <c r="K18" s="33">
        <v>8764</v>
      </c>
      <c r="L18" s="48">
        <f t="shared" si="1"/>
        <v>65728</v>
      </c>
      <c r="M18" s="48">
        <f t="shared" si="0"/>
        <v>121285</v>
      </c>
      <c r="O18"/>
    </row>
    <row r="19" spans="1:15" ht="19.5" thickBot="1">
      <c r="A19" s="1" t="s">
        <v>1</v>
      </c>
      <c r="B19" s="30" t="s">
        <v>35</v>
      </c>
      <c r="C19" s="32">
        <v>73900</v>
      </c>
      <c r="D19" s="40">
        <v>0</v>
      </c>
      <c r="E19" s="48">
        <f t="shared" si="2"/>
        <v>73900</v>
      </c>
      <c r="F19" s="31">
        <v>16740</v>
      </c>
      <c r="G19" s="32">
        <v>24989</v>
      </c>
      <c r="H19" s="32">
        <v>14876</v>
      </c>
      <c r="I19" s="32">
        <v>10944</v>
      </c>
      <c r="J19" s="32">
        <v>16369</v>
      </c>
      <c r="K19" s="33">
        <v>13586</v>
      </c>
      <c r="L19" s="48">
        <f t="shared" si="1"/>
        <v>97504</v>
      </c>
      <c r="M19" s="48">
        <f t="shared" si="0"/>
        <v>171404</v>
      </c>
      <c r="O19"/>
    </row>
    <row r="20" spans="1:15">
      <c r="A20" s="1" t="s">
        <v>1</v>
      </c>
      <c r="B20" s="18" t="s">
        <v>36</v>
      </c>
      <c r="C20" s="20">
        <v>23970</v>
      </c>
      <c r="D20" s="37">
        <v>3510</v>
      </c>
      <c r="E20" s="45">
        <f t="shared" si="2"/>
        <v>27480</v>
      </c>
      <c r="F20" s="19">
        <v>75468</v>
      </c>
      <c r="G20" s="20">
        <v>26605</v>
      </c>
      <c r="H20" s="20">
        <v>12127</v>
      </c>
      <c r="I20" s="20">
        <v>24322</v>
      </c>
      <c r="J20" s="20">
        <v>114954</v>
      </c>
      <c r="K20" s="21">
        <v>118387</v>
      </c>
      <c r="L20" s="45">
        <f t="shared" si="1"/>
        <v>371863</v>
      </c>
      <c r="M20" s="45">
        <f t="shared" si="0"/>
        <v>399343</v>
      </c>
      <c r="O20"/>
    </row>
    <row r="21" spans="1:15" ht="19.5" thickBot="1">
      <c r="A21" s="1" t="s">
        <v>1</v>
      </c>
      <c r="B21" s="26" t="s">
        <v>37</v>
      </c>
      <c r="C21" s="28">
        <v>0</v>
      </c>
      <c r="D21" s="39">
        <v>0</v>
      </c>
      <c r="E21" s="47">
        <f t="shared" si="2"/>
        <v>0</v>
      </c>
      <c r="F21" s="27">
        <v>0</v>
      </c>
      <c r="G21" s="28">
        <v>0</v>
      </c>
      <c r="H21" s="28">
        <v>0</v>
      </c>
      <c r="I21" s="28">
        <v>0</v>
      </c>
      <c r="J21" s="28">
        <v>0</v>
      </c>
      <c r="K21" s="29">
        <v>0</v>
      </c>
      <c r="L21" s="47">
        <f t="shared" si="1"/>
        <v>0</v>
      </c>
      <c r="M21" s="47">
        <f t="shared" si="0"/>
        <v>0</v>
      </c>
      <c r="O21"/>
    </row>
    <row r="22" spans="1:15" ht="19.5" thickBot="1">
      <c r="A22" s="1" t="s">
        <v>1</v>
      </c>
      <c r="B22" s="30" t="s">
        <v>38</v>
      </c>
      <c r="C22" s="32">
        <v>23970</v>
      </c>
      <c r="D22" s="40">
        <v>3510</v>
      </c>
      <c r="E22" s="48">
        <f t="shared" si="2"/>
        <v>27480</v>
      </c>
      <c r="F22" s="31">
        <v>75468</v>
      </c>
      <c r="G22" s="32">
        <v>26605</v>
      </c>
      <c r="H22" s="32">
        <v>12127</v>
      </c>
      <c r="I22" s="32">
        <v>24322</v>
      </c>
      <c r="J22" s="32">
        <v>114954</v>
      </c>
      <c r="K22" s="33">
        <v>118387</v>
      </c>
      <c r="L22" s="48">
        <f t="shared" si="1"/>
        <v>371863</v>
      </c>
      <c r="M22" s="48">
        <f t="shared" si="0"/>
        <v>399343</v>
      </c>
      <c r="O22"/>
    </row>
    <row r="23" spans="1:15" ht="19.5" thickBot="1">
      <c r="A23" s="1" t="s">
        <v>1</v>
      </c>
      <c r="B23" s="30" t="s">
        <v>39</v>
      </c>
      <c r="C23" s="32">
        <v>305070</v>
      </c>
      <c r="D23" s="40">
        <v>3510</v>
      </c>
      <c r="E23" s="48">
        <f t="shared" si="2"/>
        <v>308580</v>
      </c>
      <c r="F23" s="31">
        <v>127728</v>
      </c>
      <c r="G23" s="32">
        <v>104616</v>
      </c>
      <c r="H23" s="32">
        <v>63251</v>
      </c>
      <c r="I23" s="32">
        <v>76378</v>
      </c>
      <c r="J23" s="32">
        <v>161585</v>
      </c>
      <c r="K23" s="33">
        <v>160801</v>
      </c>
      <c r="L23" s="48">
        <f t="shared" si="1"/>
        <v>694359</v>
      </c>
      <c r="M23" s="48">
        <f t="shared" si="0"/>
        <v>1002939</v>
      </c>
      <c r="O23"/>
    </row>
    <row r="24" spans="1:15" ht="19.5" thickBot="1">
      <c r="A24" s="1" t="s">
        <v>1</v>
      </c>
      <c r="B24" s="30" t="s">
        <v>40</v>
      </c>
      <c r="C24" s="32">
        <v>0</v>
      </c>
      <c r="D24" s="40">
        <v>0</v>
      </c>
      <c r="E24" s="48">
        <f t="shared" si="2"/>
        <v>0</v>
      </c>
      <c r="F24" s="31">
        <v>0</v>
      </c>
      <c r="G24" s="32">
        <v>0</v>
      </c>
      <c r="H24" s="32">
        <v>0</v>
      </c>
      <c r="I24" s="32">
        <v>0</v>
      </c>
      <c r="J24" s="32">
        <v>0</v>
      </c>
      <c r="K24" s="33">
        <v>0</v>
      </c>
      <c r="L24" s="48">
        <f t="shared" si="1"/>
        <v>0</v>
      </c>
      <c r="M24" s="48">
        <f t="shared" si="0"/>
        <v>0</v>
      </c>
      <c r="O24"/>
    </row>
    <row r="25" spans="1:15" ht="19.5" thickBot="1">
      <c r="A25" s="1" t="s">
        <v>1</v>
      </c>
      <c r="B25" s="30" t="s">
        <v>41</v>
      </c>
      <c r="C25" s="32">
        <v>305070</v>
      </c>
      <c r="D25" s="40">
        <v>3510</v>
      </c>
      <c r="E25" s="48">
        <f t="shared" si="2"/>
        <v>308580</v>
      </c>
      <c r="F25" s="31">
        <v>127728</v>
      </c>
      <c r="G25" s="32">
        <v>104616</v>
      </c>
      <c r="H25" s="32">
        <v>63251</v>
      </c>
      <c r="I25" s="32">
        <v>76378</v>
      </c>
      <c r="J25" s="32">
        <v>161585</v>
      </c>
      <c r="K25" s="33">
        <v>160801</v>
      </c>
      <c r="L25" s="48">
        <f t="shared" si="1"/>
        <v>694359</v>
      </c>
      <c r="M25" s="48">
        <f t="shared" si="0"/>
        <v>1002939</v>
      </c>
      <c r="O25"/>
    </row>
    <row r="26" spans="1:15">
      <c r="A26" s="1" t="s">
        <v>1</v>
      </c>
      <c r="B26" s="18" t="s">
        <v>42</v>
      </c>
      <c r="C26" s="20">
        <v>2</v>
      </c>
      <c r="D26" s="37">
        <v>0</v>
      </c>
      <c r="E26" s="45"/>
      <c r="F26" s="19">
        <v>1</v>
      </c>
      <c r="G26" s="20">
        <v>0</v>
      </c>
      <c r="H26" s="20">
        <v>1</v>
      </c>
      <c r="I26" s="20">
        <v>3</v>
      </c>
      <c r="J26" s="20">
        <v>0</v>
      </c>
      <c r="K26" s="21">
        <v>0</v>
      </c>
      <c r="L26" s="45"/>
      <c r="M26" s="45"/>
    </row>
    <row r="27" spans="1:15">
      <c r="A27" s="1" t="s">
        <v>1</v>
      </c>
      <c r="B27" s="4" t="s">
        <v>43</v>
      </c>
      <c r="C27" s="13">
        <v>6.1260000000000003</v>
      </c>
      <c r="D27" s="41">
        <v>4.0839999999999996</v>
      </c>
      <c r="E27" s="49"/>
      <c r="F27" s="12">
        <v>10.210000000000001</v>
      </c>
      <c r="G27" s="13">
        <v>10.210000000000001</v>
      </c>
      <c r="H27" s="13">
        <v>8.1679999999999993</v>
      </c>
      <c r="I27" s="13">
        <v>2.0419999999999998</v>
      </c>
      <c r="J27" s="13">
        <v>12.252000000000001</v>
      </c>
      <c r="K27" s="14">
        <v>10.210000000000001</v>
      </c>
      <c r="L27" s="49"/>
      <c r="M27" s="49"/>
    </row>
    <row r="28" spans="1:15" ht="19.5" thickBot="1">
      <c r="A28" s="1" t="s">
        <v>1</v>
      </c>
      <c r="B28" s="5" t="s">
        <v>44</v>
      </c>
      <c r="C28" s="16">
        <v>332612</v>
      </c>
      <c r="D28" s="42">
        <v>92316</v>
      </c>
      <c r="E28" s="50"/>
      <c r="F28" s="15">
        <v>375446</v>
      </c>
      <c r="G28" s="16">
        <v>359230</v>
      </c>
      <c r="H28" s="16">
        <v>341225</v>
      </c>
      <c r="I28" s="16">
        <v>271740</v>
      </c>
      <c r="J28" s="16">
        <v>381257</v>
      </c>
      <c r="K28" s="17">
        <v>362294</v>
      </c>
      <c r="L28" s="50"/>
      <c r="M28" s="50"/>
    </row>
  </sheetData>
  <phoneticPr fontId="3"/>
  <pageMargins left="0.7" right="0.7" top="0.75" bottom="0.75" header="0.3" footer="0.3"/>
  <pageSetup paperSize="1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4年冬賞与 (2)</vt:lpstr>
      <vt:lpstr>'4年冬賞与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2022-12-17T05:05:05Z</cp:lastPrinted>
  <dcterms:created xsi:type="dcterms:W3CDTF">2022-12-15T01:07:16Z</dcterms:created>
  <dcterms:modified xsi:type="dcterms:W3CDTF">2022-12-17T05:46:24Z</dcterms:modified>
</cp:coreProperties>
</file>