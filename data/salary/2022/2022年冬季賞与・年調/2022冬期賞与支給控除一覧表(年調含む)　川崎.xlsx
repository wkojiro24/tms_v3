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年冬季賞与・年調\"/>
    </mc:Choice>
  </mc:AlternateContent>
  <xr:revisionPtr revIDLastSave="0" documentId="13_ncr:1_{333FC18D-7DBE-4EA6-AEE5-D698808643DA}" xr6:coauthVersionLast="47" xr6:coauthVersionMax="47" xr10:uidLastSave="{00000000-0000-0000-0000-000000000000}"/>
  <bookViews>
    <workbookView xWindow="-120" yWindow="-120" windowWidth="20730" windowHeight="11160" xr2:uid="{42BDB4B2-6652-4208-A30B-EEB9F7D9084F}"/>
  </bookViews>
  <sheets>
    <sheet name="4年冬賞与 (2)" sheetId="3" r:id="rId1"/>
  </sheets>
  <definedNames>
    <definedName name="_xlnm.Print_Area" localSheetId="0">'4年冬賞与 (2)'!$A$1:$K$28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3" l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5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7" i="3"/>
  <c r="J5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9" i="3"/>
  <c r="E5" i="3"/>
</calcChain>
</file>

<file path=xl/sharedStrings.xml><?xml version="1.0" encoding="utf-8"?>
<sst xmlns="http://schemas.openxmlformats.org/spreadsheetml/2006/main" count="69" uniqueCount="45">
  <si>
    <t>賞与支給控除一覧表</t>
    <phoneticPr fontId="4"/>
  </si>
  <si>
    <t/>
  </si>
  <si>
    <t>4年冬賞与</t>
    <phoneticPr fontId="4"/>
  </si>
  <si>
    <t>1049</t>
    <phoneticPr fontId="4"/>
  </si>
  <si>
    <t>1050</t>
    <phoneticPr fontId="4"/>
  </si>
  <si>
    <t>1053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</si>
  <si>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</si>
  <si>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</si>
  <si>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</si>
  <si>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</si>
  <si>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</si>
  <si>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</si>
  <si>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高田　智幸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</si>
  <si>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</si>
  <si>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</si>
  <si>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</si>
  <si>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</si>
  <si>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</si>
  <si>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</si>
  <si>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</si>
  <si>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</si>
  <si>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</si>
  <si>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</si>
  <si>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</si>
  <si>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</si>
  <si>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</si>
  <si>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</si>
  <si>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</si>
  <si>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</si>
  <si>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</si>
  <si>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</si>
  <si>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</si>
  <si>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</si>
  <si>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</si>
  <si>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</si>
  <si>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</si>
  <si>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</si>
  <si>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</si>
  <si>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</si>
  <si>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</si>
  <si>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</si>
  <si>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</si>
  <si>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</si>
  <si>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4名</t>
    <rPh sb="1" eb="2">
      <t>メイ</t>
    </rPh>
    <phoneticPr fontId="3"/>
  </si>
  <si>
    <t>6名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</si>
</sst>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176" fontId="2" fillId="0" borderId="32" xfId="1" applyNumberFormat="1" applyFont="1" applyBorder="1"/>
    <xf numFmtId="3" fontId="2" fillId="0" borderId="30" xfId="1" applyNumberFormat="1" applyFont="1" applyBorder="1"/>
    <xf numFmtId="49" fontId="2" fillId="0" borderId="35" xfId="1" applyNumberFormat="1" applyFont="1" applyBorder="1" applyAlignment="1">
      <alignment horizontal="left"/>
    </xf>
    <xf numFmtId="0" fontId="2" fillId="0" borderId="35" xfId="1" applyFont="1" applyBorder="1"/>
    <xf numFmtId="49" fontId="2" fillId="0" borderId="36" xfId="1" applyNumberFormat="1" applyFont="1" applyBorder="1" applyAlignment="1">
      <alignment horizontal="right"/>
    </xf>
    <xf numFmtId="0" fontId="2" fillId="0" borderId="36" xfId="1" applyFont="1" applyBorder="1" applyAlignment="1">
      <alignment horizontal="right"/>
    </xf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28" xfId="1" applyNumberFormat="1" applyFont="1" applyBorder="1"/>
    <xf numFmtId="176" fontId="2" fillId="0" borderId="38" xfId="1" applyNumberFormat="1" applyFont="1" applyBorder="1"/>
    <xf numFmtId="3" fontId="2" fillId="0" borderId="36" xfId="1" applyNumberFormat="1" applyFont="1" applyBorder="1"/>
  </cellXfs>
  <cellStyles count="2">
    <cellStyle name="標準" xfId="0" builtinId="0"/>
    <cellStyle name="標準 2" xfId="1" xr:uid="{EC535B6D-D774-4B82-81BF-58F278948B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F643-4C5D-4634-A478-7E920FB492B6}">
  <dimension ref="A1:M28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1" width="11.375" style="2" customWidth="1"/>
    <col min="12" max="12" width="9" style="2"/>
    <col min="14" max="258" width="9" style="2"/>
    <col min="259" max="259" width="2.375" style="2" customWidth="1"/>
    <col min="260" max="260" width="13.25" style="2" bestFit="1" customWidth="1"/>
    <col min="261" max="263" width="11.125" style="2" bestFit="1" customWidth="1"/>
    <col min="264" max="264" width="9" style="2"/>
    <col min="265" max="266" width="11.125" style="2" bestFit="1" customWidth="1"/>
    <col min="267" max="514" width="9" style="2"/>
    <col min="515" max="515" width="2.375" style="2" customWidth="1"/>
    <col min="516" max="516" width="13.25" style="2" bestFit="1" customWidth="1"/>
    <col min="517" max="519" width="11.125" style="2" bestFit="1" customWidth="1"/>
    <col min="520" max="520" width="9" style="2"/>
    <col min="521" max="522" width="11.125" style="2" bestFit="1" customWidth="1"/>
    <col min="523" max="770" width="9" style="2"/>
    <col min="771" max="771" width="2.375" style="2" customWidth="1"/>
    <col min="772" max="772" width="13.25" style="2" bestFit="1" customWidth="1"/>
    <col min="773" max="775" width="11.125" style="2" bestFit="1" customWidth="1"/>
    <col min="776" max="776" width="9" style="2"/>
    <col min="777" max="778" width="11.125" style="2" bestFit="1" customWidth="1"/>
    <col min="779" max="1026" width="9" style="2"/>
    <col min="1027" max="1027" width="2.375" style="2" customWidth="1"/>
    <col min="1028" max="1028" width="13.25" style="2" bestFit="1" customWidth="1"/>
    <col min="1029" max="1031" width="11.125" style="2" bestFit="1" customWidth="1"/>
    <col min="1032" max="1032" width="9" style="2"/>
    <col min="1033" max="1034" width="11.125" style="2" bestFit="1" customWidth="1"/>
    <col min="1035" max="1282" width="9" style="2"/>
    <col min="1283" max="1283" width="2.375" style="2" customWidth="1"/>
    <col min="1284" max="1284" width="13.25" style="2" bestFit="1" customWidth="1"/>
    <col min="1285" max="1287" width="11.125" style="2" bestFit="1" customWidth="1"/>
    <col min="1288" max="1288" width="9" style="2"/>
    <col min="1289" max="1290" width="11.125" style="2" bestFit="1" customWidth="1"/>
    <col min="1291" max="1538" width="9" style="2"/>
    <col min="1539" max="1539" width="2.375" style="2" customWidth="1"/>
    <col min="1540" max="1540" width="13.25" style="2" bestFit="1" customWidth="1"/>
    <col min="1541" max="1543" width="11.125" style="2" bestFit="1" customWidth="1"/>
    <col min="1544" max="1544" width="9" style="2"/>
    <col min="1545" max="1546" width="11.125" style="2" bestFit="1" customWidth="1"/>
    <col min="1547" max="1794" width="9" style="2"/>
    <col min="1795" max="1795" width="2.375" style="2" customWidth="1"/>
    <col min="1796" max="1796" width="13.25" style="2" bestFit="1" customWidth="1"/>
    <col min="1797" max="1799" width="11.125" style="2" bestFit="1" customWidth="1"/>
    <col min="1800" max="1800" width="9" style="2"/>
    <col min="1801" max="1802" width="11.125" style="2" bestFit="1" customWidth="1"/>
    <col min="1803" max="2050" width="9" style="2"/>
    <col min="2051" max="2051" width="2.375" style="2" customWidth="1"/>
    <col min="2052" max="2052" width="13.25" style="2" bestFit="1" customWidth="1"/>
    <col min="2053" max="2055" width="11.125" style="2" bestFit="1" customWidth="1"/>
    <col min="2056" max="2056" width="9" style="2"/>
    <col min="2057" max="2058" width="11.125" style="2" bestFit="1" customWidth="1"/>
    <col min="2059" max="2306" width="9" style="2"/>
    <col min="2307" max="2307" width="2.375" style="2" customWidth="1"/>
    <col min="2308" max="2308" width="13.25" style="2" bestFit="1" customWidth="1"/>
    <col min="2309" max="2311" width="11.125" style="2" bestFit="1" customWidth="1"/>
    <col min="2312" max="2312" width="9" style="2"/>
    <col min="2313" max="2314" width="11.125" style="2" bestFit="1" customWidth="1"/>
    <col min="2315" max="2562" width="9" style="2"/>
    <col min="2563" max="2563" width="2.375" style="2" customWidth="1"/>
    <col min="2564" max="2564" width="13.25" style="2" bestFit="1" customWidth="1"/>
    <col min="2565" max="2567" width="11.125" style="2" bestFit="1" customWidth="1"/>
    <col min="2568" max="2568" width="9" style="2"/>
    <col min="2569" max="2570" width="11.125" style="2" bestFit="1" customWidth="1"/>
    <col min="2571" max="2818" width="9" style="2"/>
    <col min="2819" max="2819" width="2.375" style="2" customWidth="1"/>
    <col min="2820" max="2820" width="13.25" style="2" bestFit="1" customWidth="1"/>
    <col min="2821" max="2823" width="11.125" style="2" bestFit="1" customWidth="1"/>
    <col min="2824" max="2824" width="9" style="2"/>
    <col min="2825" max="2826" width="11.125" style="2" bestFit="1" customWidth="1"/>
    <col min="2827" max="3074" width="9" style="2"/>
    <col min="3075" max="3075" width="2.375" style="2" customWidth="1"/>
    <col min="3076" max="3076" width="13.25" style="2" bestFit="1" customWidth="1"/>
    <col min="3077" max="3079" width="11.125" style="2" bestFit="1" customWidth="1"/>
    <col min="3080" max="3080" width="9" style="2"/>
    <col min="3081" max="3082" width="11.125" style="2" bestFit="1" customWidth="1"/>
    <col min="3083" max="3330" width="9" style="2"/>
    <col min="3331" max="3331" width="2.375" style="2" customWidth="1"/>
    <col min="3332" max="3332" width="13.25" style="2" bestFit="1" customWidth="1"/>
    <col min="3333" max="3335" width="11.125" style="2" bestFit="1" customWidth="1"/>
    <col min="3336" max="3336" width="9" style="2"/>
    <col min="3337" max="3338" width="11.125" style="2" bestFit="1" customWidth="1"/>
    <col min="3339" max="3586" width="9" style="2"/>
    <col min="3587" max="3587" width="2.375" style="2" customWidth="1"/>
    <col min="3588" max="3588" width="13.25" style="2" bestFit="1" customWidth="1"/>
    <col min="3589" max="3591" width="11.125" style="2" bestFit="1" customWidth="1"/>
    <col min="3592" max="3592" width="9" style="2"/>
    <col min="3593" max="3594" width="11.125" style="2" bestFit="1" customWidth="1"/>
    <col min="3595" max="3842" width="9" style="2"/>
    <col min="3843" max="3843" width="2.375" style="2" customWidth="1"/>
    <col min="3844" max="3844" width="13.25" style="2" bestFit="1" customWidth="1"/>
    <col min="3845" max="3847" width="11.125" style="2" bestFit="1" customWidth="1"/>
    <col min="3848" max="3848" width="9" style="2"/>
    <col min="3849" max="3850" width="11.125" style="2" bestFit="1" customWidth="1"/>
    <col min="3851" max="4098" width="9" style="2"/>
    <col min="4099" max="4099" width="2.375" style="2" customWidth="1"/>
    <col min="4100" max="4100" width="13.25" style="2" bestFit="1" customWidth="1"/>
    <col min="4101" max="4103" width="11.125" style="2" bestFit="1" customWidth="1"/>
    <col min="4104" max="4104" width="9" style="2"/>
    <col min="4105" max="4106" width="11.125" style="2" bestFit="1" customWidth="1"/>
    <col min="4107" max="4354" width="9" style="2"/>
    <col min="4355" max="4355" width="2.375" style="2" customWidth="1"/>
    <col min="4356" max="4356" width="13.25" style="2" bestFit="1" customWidth="1"/>
    <col min="4357" max="4359" width="11.125" style="2" bestFit="1" customWidth="1"/>
    <col min="4360" max="4360" width="9" style="2"/>
    <col min="4361" max="4362" width="11.125" style="2" bestFit="1" customWidth="1"/>
    <col min="4363" max="4610" width="9" style="2"/>
    <col min="4611" max="4611" width="2.375" style="2" customWidth="1"/>
    <col min="4612" max="4612" width="13.25" style="2" bestFit="1" customWidth="1"/>
    <col min="4613" max="4615" width="11.125" style="2" bestFit="1" customWidth="1"/>
    <col min="4616" max="4616" width="9" style="2"/>
    <col min="4617" max="4618" width="11.125" style="2" bestFit="1" customWidth="1"/>
    <col min="4619" max="4866" width="9" style="2"/>
    <col min="4867" max="4867" width="2.375" style="2" customWidth="1"/>
    <col min="4868" max="4868" width="13.25" style="2" bestFit="1" customWidth="1"/>
    <col min="4869" max="4871" width="11.125" style="2" bestFit="1" customWidth="1"/>
    <col min="4872" max="4872" width="9" style="2"/>
    <col min="4873" max="4874" width="11.125" style="2" bestFit="1" customWidth="1"/>
    <col min="4875" max="5122" width="9" style="2"/>
    <col min="5123" max="5123" width="2.375" style="2" customWidth="1"/>
    <col min="5124" max="5124" width="13.25" style="2" bestFit="1" customWidth="1"/>
    <col min="5125" max="5127" width="11.125" style="2" bestFit="1" customWidth="1"/>
    <col min="5128" max="5128" width="9" style="2"/>
    <col min="5129" max="5130" width="11.125" style="2" bestFit="1" customWidth="1"/>
    <col min="5131" max="5378" width="9" style="2"/>
    <col min="5379" max="5379" width="2.375" style="2" customWidth="1"/>
    <col min="5380" max="5380" width="13.25" style="2" bestFit="1" customWidth="1"/>
    <col min="5381" max="5383" width="11.125" style="2" bestFit="1" customWidth="1"/>
    <col min="5384" max="5384" width="9" style="2"/>
    <col min="5385" max="5386" width="11.125" style="2" bestFit="1" customWidth="1"/>
    <col min="5387" max="5634" width="9" style="2"/>
    <col min="5635" max="5635" width="2.375" style="2" customWidth="1"/>
    <col min="5636" max="5636" width="13.25" style="2" bestFit="1" customWidth="1"/>
    <col min="5637" max="5639" width="11.125" style="2" bestFit="1" customWidth="1"/>
    <col min="5640" max="5640" width="9" style="2"/>
    <col min="5641" max="5642" width="11.125" style="2" bestFit="1" customWidth="1"/>
    <col min="5643" max="5890" width="9" style="2"/>
    <col min="5891" max="5891" width="2.375" style="2" customWidth="1"/>
    <col min="5892" max="5892" width="13.25" style="2" bestFit="1" customWidth="1"/>
    <col min="5893" max="5895" width="11.125" style="2" bestFit="1" customWidth="1"/>
    <col min="5896" max="5896" width="9" style="2"/>
    <col min="5897" max="5898" width="11.125" style="2" bestFit="1" customWidth="1"/>
    <col min="5899" max="6146" width="9" style="2"/>
    <col min="6147" max="6147" width="2.375" style="2" customWidth="1"/>
    <col min="6148" max="6148" width="13.25" style="2" bestFit="1" customWidth="1"/>
    <col min="6149" max="6151" width="11.125" style="2" bestFit="1" customWidth="1"/>
    <col min="6152" max="6152" width="9" style="2"/>
    <col min="6153" max="6154" width="11.125" style="2" bestFit="1" customWidth="1"/>
    <col min="6155" max="6402" width="9" style="2"/>
    <col min="6403" max="6403" width="2.375" style="2" customWidth="1"/>
    <col min="6404" max="6404" width="13.25" style="2" bestFit="1" customWidth="1"/>
    <col min="6405" max="6407" width="11.125" style="2" bestFit="1" customWidth="1"/>
    <col min="6408" max="6408" width="9" style="2"/>
    <col min="6409" max="6410" width="11.125" style="2" bestFit="1" customWidth="1"/>
    <col min="6411" max="6658" width="9" style="2"/>
    <col min="6659" max="6659" width="2.375" style="2" customWidth="1"/>
    <col min="6660" max="6660" width="13.25" style="2" bestFit="1" customWidth="1"/>
    <col min="6661" max="6663" width="11.125" style="2" bestFit="1" customWidth="1"/>
    <col min="6664" max="6664" width="9" style="2"/>
    <col min="6665" max="6666" width="11.125" style="2" bestFit="1" customWidth="1"/>
    <col min="6667" max="6914" width="9" style="2"/>
    <col min="6915" max="6915" width="2.375" style="2" customWidth="1"/>
    <col min="6916" max="6916" width="13.25" style="2" bestFit="1" customWidth="1"/>
    <col min="6917" max="6919" width="11.125" style="2" bestFit="1" customWidth="1"/>
    <col min="6920" max="6920" width="9" style="2"/>
    <col min="6921" max="6922" width="11.125" style="2" bestFit="1" customWidth="1"/>
    <col min="6923" max="7170" width="9" style="2"/>
    <col min="7171" max="7171" width="2.375" style="2" customWidth="1"/>
    <col min="7172" max="7172" width="13.25" style="2" bestFit="1" customWidth="1"/>
    <col min="7173" max="7175" width="11.125" style="2" bestFit="1" customWidth="1"/>
    <col min="7176" max="7176" width="9" style="2"/>
    <col min="7177" max="7178" width="11.125" style="2" bestFit="1" customWidth="1"/>
    <col min="7179" max="7426" width="9" style="2"/>
    <col min="7427" max="7427" width="2.375" style="2" customWidth="1"/>
    <col min="7428" max="7428" width="13.25" style="2" bestFit="1" customWidth="1"/>
    <col min="7429" max="7431" width="11.125" style="2" bestFit="1" customWidth="1"/>
    <col min="7432" max="7432" width="9" style="2"/>
    <col min="7433" max="7434" width="11.125" style="2" bestFit="1" customWidth="1"/>
    <col min="7435" max="7682" width="9" style="2"/>
    <col min="7683" max="7683" width="2.375" style="2" customWidth="1"/>
    <col min="7684" max="7684" width="13.25" style="2" bestFit="1" customWidth="1"/>
    <col min="7685" max="7687" width="11.125" style="2" bestFit="1" customWidth="1"/>
    <col min="7688" max="7688" width="9" style="2"/>
    <col min="7689" max="7690" width="11.125" style="2" bestFit="1" customWidth="1"/>
    <col min="7691" max="7938" width="9" style="2"/>
    <col min="7939" max="7939" width="2.375" style="2" customWidth="1"/>
    <col min="7940" max="7940" width="13.25" style="2" bestFit="1" customWidth="1"/>
    <col min="7941" max="7943" width="11.125" style="2" bestFit="1" customWidth="1"/>
    <col min="7944" max="7944" width="9" style="2"/>
    <col min="7945" max="7946" width="11.125" style="2" bestFit="1" customWidth="1"/>
    <col min="7947" max="8194" width="9" style="2"/>
    <col min="8195" max="8195" width="2.375" style="2" customWidth="1"/>
    <col min="8196" max="8196" width="13.25" style="2" bestFit="1" customWidth="1"/>
    <col min="8197" max="8199" width="11.125" style="2" bestFit="1" customWidth="1"/>
    <col min="8200" max="8200" width="9" style="2"/>
    <col min="8201" max="8202" width="11.125" style="2" bestFit="1" customWidth="1"/>
    <col min="8203" max="8450" width="9" style="2"/>
    <col min="8451" max="8451" width="2.375" style="2" customWidth="1"/>
    <col min="8452" max="8452" width="13.25" style="2" bestFit="1" customWidth="1"/>
    <col min="8453" max="8455" width="11.125" style="2" bestFit="1" customWidth="1"/>
    <col min="8456" max="8456" width="9" style="2"/>
    <col min="8457" max="8458" width="11.125" style="2" bestFit="1" customWidth="1"/>
    <col min="8459" max="8706" width="9" style="2"/>
    <col min="8707" max="8707" width="2.375" style="2" customWidth="1"/>
    <col min="8708" max="8708" width="13.25" style="2" bestFit="1" customWidth="1"/>
    <col min="8709" max="8711" width="11.125" style="2" bestFit="1" customWidth="1"/>
    <col min="8712" max="8712" width="9" style="2"/>
    <col min="8713" max="8714" width="11.125" style="2" bestFit="1" customWidth="1"/>
    <col min="8715" max="8962" width="9" style="2"/>
    <col min="8963" max="8963" width="2.375" style="2" customWidth="1"/>
    <col min="8964" max="8964" width="13.25" style="2" bestFit="1" customWidth="1"/>
    <col min="8965" max="8967" width="11.125" style="2" bestFit="1" customWidth="1"/>
    <col min="8968" max="8968" width="9" style="2"/>
    <col min="8969" max="8970" width="11.125" style="2" bestFit="1" customWidth="1"/>
    <col min="8971" max="9218" width="9" style="2"/>
    <col min="9219" max="9219" width="2.375" style="2" customWidth="1"/>
    <col min="9220" max="9220" width="13.25" style="2" bestFit="1" customWidth="1"/>
    <col min="9221" max="9223" width="11.125" style="2" bestFit="1" customWidth="1"/>
    <col min="9224" max="9224" width="9" style="2"/>
    <col min="9225" max="9226" width="11.125" style="2" bestFit="1" customWidth="1"/>
    <col min="9227" max="9474" width="9" style="2"/>
    <col min="9475" max="9475" width="2.375" style="2" customWidth="1"/>
    <col min="9476" max="9476" width="13.25" style="2" bestFit="1" customWidth="1"/>
    <col min="9477" max="9479" width="11.125" style="2" bestFit="1" customWidth="1"/>
    <col min="9480" max="9480" width="9" style="2"/>
    <col min="9481" max="9482" width="11.125" style="2" bestFit="1" customWidth="1"/>
    <col min="9483" max="9730" width="9" style="2"/>
    <col min="9731" max="9731" width="2.375" style="2" customWidth="1"/>
    <col min="9732" max="9732" width="13.25" style="2" bestFit="1" customWidth="1"/>
    <col min="9733" max="9735" width="11.125" style="2" bestFit="1" customWidth="1"/>
    <col min="9736" max="9736" width="9" style="2"/>
    <col min="9737" max="9738" width="11.125" style="2" bestFit="1" customWidth="1"/>
    <col min="9739" max="9986" width="9" style="2"/>
    <col min="9987" max="9987" width="2.375" style="2" customWidth="1"/>
    <col min="9988" max="9988" width="13.25" style="2" bestFit="1" customWidth="1"/>
    <col min="9989" max="9991" width="11.125" style="2" bestFit="1" customWidth="1"/>
    <col min="9992" max="9992" width="9" style="2"/>
    <col min="9993" max="9994" width="11.125" style="2" bestFit="1" customWidth="1"/>
    <col min="9995" max="10242" width="9" style="2"/>
    <col min="10243" max="10243" width="2.375" style="2" customWidth="1"/>
    <col min="10244" max="10244" width="13.25" style="2" bestFit="1" customWidth="1"/>
    <col min="10245" max="10247" width="11.125" style="2" bestFit="1" customWidth="1"/>
    <col min="10248" max="10248" width="9" style="2"/>
    <col min="10249" max="10250" width="11.125" style="2" bestFit="1" customWidth="1"/>
    <col min="10251" max="10498" width="9" style="2"/>
    <col min="10499" max="10499" width="2.375" style="2" customWidth="1"/>
    <col min="10500" max="10500" width="13.25" style="2" bestFit="1" customWidth="1"/>
    <col min="10501" max="10503" width="11.125" style="2" bestFit="1" customWidth="1"/>
    <col min="10504" max="10504" width="9" style="2"/>
    <col min="10505" max="10506" width="11.125" style="2" bestFit="1" customWidth="1"/>
    <col min="10507" max="10754" width="9" style="2"/>
    <col min="10755" max="10755" width="2.375" style="2" customWidth="1"/>
    <col min="10756" max="10756" width="13.25" style="2" bestFit="1" customWidth="1"/>
    <col min="10757" max="10759" width="11.125" style="2" bestFit="1" customWidth="1"/>
    <col min="10760" max="10760" width="9" style="2"/>
    <col min="10761" max="10762" width="11.125" style="2" bestFit="1" customWidth="1"/>
    <col min="10763" max="11010" width="9" style="2"/>
    <col min="11011" max="11011" width="2.375" style="2" customWidth="1"/>
    <col min="11012" max="11012" width="13.25" style="2" bestFit="1" customWidth="1"/>
    <col min="11013" max="11015" width="11.125" style="2" bestFit="1" customWidth="1"/>
    <col min="11016" max="11016" width="9" style="2"/>
    <col min="11017" max="11018" width="11.125" style="2" bestFit="1" customWidth="1"/>
    <col min="11019" max="11266" width="9" style="2"/>
    <col min="11267" max="11267" width="2.375" style="2" customWidth="1"/>
    <col min="11268" max="11268" width="13.25" style="2" bestFit="1" customWidth="1"/>
    <col min="11269" max="11271" width="11.125" style="2" bestFit="1" customWidth="1"/>
    <col min="11272" max="11272" width="9" style="2"/>
    <col min="11273" max="11274" width="11.125" style="2" bestFit="1" customWidth="1"/>
    <col min="11275" max="11522" width="9" style="2"/>
    <col min="11523" max="11523" width="2.375" style="2" customWidth="1"/>
    <col min="11524" max="11524" width="13.25" style="2" bestFit="1" customWidth="1"/>
    <col min="11525" max="11527" width="11.125" style="2" bestFit="1" customWidth="1"/>
    <col min="11528" max="11528" width="9" style="2"/>
    <col min="11529" max="11530" width="11.125" style="2" bestFit="1" customWidth="1"/>
    <col min="11531" max="11778" width="9" style="2"/>
    <col min="11779" max="11779" width="2.375" style="2" customWidth="1"/>
    <col min="11780" max="11780" width="13.25" style="2" bestFit="1" customWidth="1"/>
    <col min="11781" max="11783" width="11.125" style="2" bestFit="1" customWidth="1"/>
    <col min="11784" max="11784" width="9" style="2"/>
    <col min="11785" max="11786" width="11.125" style="2" bestFit="1" customWidth="1"/>
    <col min="11787" max="12034" width="9" style="2"/>
    <col min="12035" max="12035" width="2.375" style="2" customWidth="1"/>
    <col min="12036" max="12036" width="13.25" style="2" bestFit="1" customWidth="1"/>
    <col min="12037" max="12039" width="11.125" style="2" bestFit="1" customWidth="1"/>
    <col min="12040" max="12040" width="9" style="2"/>
    <col min="12041" max="12042" width="11.125" style="2" bestFit="1" customWidth="1"/>
    <col min="12043" max="12290" width="9" style="2"/>
    <col min="12291" max="12291" width="2.375" style="2" customWidth="1"/>
    <col min="12292" max="12292" width="13.25" style="2" bestFit="1" customWidth="1"/>
    <col min="12293" max="12295" width="11.125" style="2" bestFit="1" customWidth="1"/>
    <col min="12296" max="12296" width="9" style="2"/>
    <col min="12297" max="12298" width="11.125" style="2" bestFit="1" customWidth="1"/>
    <col min="12299" max="12546" width="9" style="2"/>
    <col min="12547" max="12547" width="2.375" style="2" customWidth="1"/>
    <col min="12548" max="12548" width="13.25" style="2" bestFit="1" customWidth="1"/>
    <col min="12549" max="12551" width="11.125" style="2" bestFit="1" customWidth="1"/>
    <col min="12552" max="12552" width="9" style="2"/>
    <col min="12553" max="12554" width="11.125" style="2" bestFit="1" customWidth="1"/>
    <col min="12555" max="12802" width="9" style="2"/>
    <col min="12803" max="12803" width="2.375" style="2" customWidth="1"/>
    <col min="12804" max="12804" width="13.25" style="2" bestFit="1" customWidth="1"/>
    <col min="12805" max="12807" width="11.125" style="2" bestFit="1" customWidth="1"/>
    <col min="12808" max="12808" width="9" style="2"/>
    <col min="12809" max="12810" width="11.125" style="2" bestFit="1" customWidth="1"/>
    <col min="12811" max="13058" width="9" style="2"/>
    <col min="13059" max="13059" width="2.375" style="2" customWidth="1"/>
    <col min="13060" max="13060" width="13.25" style="2" bestFit="1" customWidth="1"/>
    <col min="13061" max="13063" width="11.125" style="2" bestFit="1" customWidth="1"/>
    <col min="13064" max="13064" width="9" style="2"/>
    <col min="13065" max="13066" width="11.125" style="2" bestFit="1" customWidth="1"/>
    <col min="13067" max="13314" width="9" style="2"/>
    <col min="13315" max="13315" width="2.375" style="2" customWidth="1"/>
    <col min="13316" max="13316" width="13.25" style="2" bestFit="1" customWidth="1"/>
    <col min="13317" max="13319" width="11.125" style="2" bestFit="1" customWidth="1"/>
    <col min="13320" max="13320" width="9" style="2"/>
    <col min="13321" max="13322" width="11.125" style="2" bestFit="1" customWidth="1"/>
    <col min="13323" max="13570" width="9" style="2"/>
    <col min="13571" max="13571" width="2.375" style="2" customWidth="1"/>
    <col min="13572" max="13572" width="13.25" style="2" bestFit="1" customWidth="1"/>
    <col min="13573" max="13575" width="11.125" style="2" bestFit="1" customWidth="1"/>
    <col min="13576" max="13576" width="9" style="2"/>
    <col min="13577" max="13578" width="11.125" style="2" bestFit="1" customWidth="1"/>
    <col min="13579" max="13826" width="9" style="2"/>
    <col min="13827" max="13827" width="2.375" style="2" customWidth="1"/>
    <col min="13828" max="13828" width="13.25" style="2" bestFit="1" customWidth="1"/>
    <col min="13829" max="13831" width="11.125" style="2" bestFit="1" customWidth="1"/>
    <col min="13832" max="13832" width="9" style="2"/>
    <col min="13833" max="13834" width="11.125" style="2" bestFit="1" customWidth="1"/>
    <col min="13835" max="14082" width="9" style="2"/>
    <col min="14083" max="14083" width="2.375" style="2" customWidth="1"/>
    <col min="14084" max="14084" width="13.25" style="2" bestFit="1" customWidth="1"/>
    <col min="14085" max="14087" width="11.125" style="2" bestFit="1" customWidth="1"/>
    <col min="14088" max="14088" width="9" style="2"/>
    <col min="14089" max="14090" width="11.125" style="2" bestFit="1" customWidth="1"/>
    <col min="14091" max="14338" width="9" style="2"/>
    <col min="14339" max="14339" width="2.375" style="2" customWidth="1"/>
    <col min="14340" max="14340" width="13.25" style="2" bestFit="1" customWidth="1"/>
    <col min="14341" max="14343" width="11.125" style="2" bestFit="1" customWidth="1"/>
    <col min="14344" max="14344" width="9" style="2"/>
    <col min="14345" max="14346" width="11.125" style="2" bestFit="1" customWidth="1"/>
    <col min="14347" max="14594" width="9" style="2"/>
    <col min="14595" max="14595" width="2.375" style="2" customWidth="1"/>
    <col min="14596" max="14596" width="13.25" style="2" bestFit="1" customWidth="1"/>
    <col min="14597" max="14599" width="11.125" style="2" bestFit="1" customWidth="1"/>
    <col min="14600" max="14600" width="9" style="2"/>
    <col min="14601" max="14602" width="11.125" style="2" bestFit="1" customWidth="1"/>
    <col min="14603" max="14850" width="9" style="2"/>
    <col min="14851" max="14851" width="2.375" style="2" customWidth="1"/>
    <col min="14852" max="14852" width="13.25" style="2" bestFit="1" customWidth="1"/>
    <col min="14853" max="14855" width="11.125" style="2" bestFit="1" customWidth="1"/>
    <col min="14856" max="14856" width="9" style="2"/>
    <col min="14857" max="14858" width="11.125" style="2" bestFit="1" customWidth="1"/>
    <col min="14859" max="15106" width="9" style="2"/>
    <col min="15107" max="15107" width="2.375" style="2" customWidth="1"/>
    <col min="15108" max="15108" width="13.25" style="2" bestFit="1" customWidth="1"/>
    <col min="15109" max="15111" width="11.125" style="2" bestFit="1" customWidth="1"/>
    <col min="15112" max="15112" width="9" style="2"/>
    <col min="15113" max="15114" width="11.125" style="2" bestFit="1" customWidth="1"/>
    <col min="15115" max="15362" width="9" style="2"/>
    <col min="15363" max="15363" width="2.375" style="2" customWidth="1"/>
    <col min="15364" max="15364" width="13.25" style="2" bestFit="1" customWidth="1"/>
    <col min="15365" max="15367" width="11.125" style="2" bestFit="1" customWidth="1"/>
    <col min="15368" max="15368" width="9" style="2"/>
    <col min="15369" max="15370" width="11.125" style="2" bestFit="1" customWidth="1"/>
    <col min="15371" max="15618" width="9" style="2"/>
    <col min="15619" max="15619" width="2.375" style="2" customWidth="1"/>
    <col min="15620" max="15620" width="13.25" style="2" bestFit="1" customWidth="1"/>
    <col min="15621" max="15623" width="11.125" style="2" bestFit="1" customWidth="1"/>
    <col min="15624" max="15624" width="9" style="2"/>
    <col min="15625" max="15626" width="11.125" style="2" bestFit="1" customWidth="1"/>
    <col min="15627" max="15874" width="9" style="2"/>
    <col min="15875" max="15875" width="2.375" style="2" customWidth="1"/>
    <col min="15876" max="15876" width="13.25" style="2" bestFit="1" customWidth="1"/>
    <col min="15877" max="15879" width="11.125" style="2" bestFit="1" customWidth="1"/>
    <col min="15880" max="15880" width="9" style="2"/>
    <col min="15881" max="15882" width="11.125" style="2" bestFit="1" customWidth="1"/>
    <col min="15883" max="16130" width="9" style="2"/>
    <col min="16131" max="16131" width="2.375" style="2" customWidth="1"/>
    <col min="16132" max="16132" width="13.25" style="2" bestFit="1" customWidth="1"/>
    <col min="16133" max="16135" width="11.125" style="2" bestFit="1" customWidth="1"/>
    <col min="16136" max="16136" width="9" style="2"/>
    <col min="16137" max="16138" width="11.1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2</v>
      </c>
    </row>
    <row r="3" spans="1:11">
      <c r="B3" s="3"/>
      <c r="C3" s="7" t="s">
        <v>6</v>
      </c>
      <c r="D3" s="8" t="s">
        <v>8</v>
      </c>
      <c r="E3" s="35" t="s">
        <v>41</v>
      </c>
      <c r="F3" s="6" t="s">
        <v>3</v>
      </c>
      <c r="G3" s="7" t="s">
        <v>4</v>
      </c>
      <c r="H3" s="7" t="s">
        <v>5</v>
      </c>
      <c r="I3" s="37" t="s">
        <v>7</v>
      </c>
      <c r="J3" s="45" t="s">
        <v>41</v>
      </c>
      <c r="K3" s="46" t="s">
        <v>16</v>
      </c>
    </row>
    <row r="4" spans="1:11" ht="19.5" thickBot="1">
      <c r="A4" s="34"/>
      <c r="B4" s="22" t="s">
        <v>9</v>
      </c>
      <c r="C4" s="24" t="s">
        <v>13</v>
      </c>
      <c r="D4" s="25" t="s">
        <v>15</v>
      </c>
      <c r="E4" s="36" t="s">
        <v>42</v>
      </c>
      <c r="F4" s="23" t="s">
        <v>10</v>
      </c>
      <c r="G4" s="24" t="s">
        <v>11</v>
      </c>
      <c r="H4" s="24" t="s">
        <v>12</v>
      </c>
      <c r="I4" s="38" t="s">
        <v>14</v>
      </c>
      <c r="J4" s="47" t="s">
        <v>43</v>
      </c>
      <c r="K4" s="48" t="s">
        <v>44</v>
      </c>
    </row>
    <row r="5" spans="1:11">
      <c r="A5" s="1" t="s">
        <v>1</v>
      </c>
      <c r="B5" s="18" t="s">
        <v>17</v>
      </c>
      <c r="C5" s="20">
        <v>366000</v>
      </c>
      <c r="D5" s="21">
        <v>0</v>
      </c>
      <c r="E5" s="21">
        <f>SUM(C5:D5)</f>
        <v>366000</v>
      </c>
      <c r="F5" s="19">
        <v>75000</v>
      </c>
      <c r="G5" s="20">
        <v>88000</v>
      </c>
      <c r="H5" s="20">
        <v>73000</v>
      </c>
      <c r="I5" s="39">
        <v>63000</v>
      </c>
      <c r="J5" s="49">
        <f>SUM(F5:I5)</f>
        <v>299000</v>
      </c>
      <c r="K5" s="49">
        <f>E5+J5</f>
        <v>665000</v>
      </c>
    </row>
    <row r="6" spans="1:11">
      <c r="A6" s="1" t="s">
        <v>1</v>
      </c>
      <c r="B6" s="4" t="s">
        <v>18</v>
      </c>
      <c r="C6" s="10">
        <v>0</v>
      </c>
      <c r="D6" s="11">
        <v>0</v>
      </c>
      <c r="E6" s="11"/>
      <c r="F6" s="9">
        <v>0</v>
      </c>
      <c r="G6" s="10">
        <v>0</v>
      </c>
      <c r="H6" s="10">
        <v>0</v>
      </c>
      <c r="I6" s="40">
        <v>0</v>
      </c>
      <c r="J6" s="50"/>
      <c r="K6" s="50">
        <f t="shared" ref="K6:K25" si="0">E6+J6</f>
        <v>0</v>
      </c>
    </row>
    <row r="7" spans="1:11">
      <c r="A7" s="1" t="s">
        <v>1</v>
      </c>
      <c r="B7" s="4" t="s">
        <v>19</v>
      </c>
      <c r="C7" s="10">
        <v>0</v>
      </c>
      <c r="D7" s="11">
        <v>0</v>
      </c>
      <c r="E7" s="11"/>
      <c r="F7" s="9">
        <v>15000</v>
      </c>
      <c r="G7" s="10">
        <v>0</v>
      </c>
      <c r="H7" s="10">
        <v>15000</v>
      </c>
      <c r="I7" s="40">
        <v>0</v>
      </c>
      <c r="J7" s="50">
        <f>SUM(F7:I7)</f>
        <v>30000</v>
      </c>
      <c r="K7" s="50">
        <f t="shared" si="0"/>
        <v>30000</v>
      </c>
    </row>
    <row r="8" spans="1:11" ht="19.5" thickBot="1">
      <c r="A8" s="1" t="s">
        <v>1</v>
      </c>
      <c r="B8" s="26" t="s">
        <v>20</v>
      </c>
      <c r="C8" s="28">
        <v>0</v>
      </c>
      <c r="D8" s="29">
        <v>0</v>
      </c>
      <c r="E8" s="29"/>
      <c r="F8" s="27">
        <v>3000</v>
      </c>
      <c r="G8" s="28">
        <v>3000</v>
      </c>
      <c r="H8" s="28">
        <v>33000</v>
      </c>
      <c r="I8" s="41">
        <v>0</v>
      </c>
      <c r="J8" s="51">
        <f t="shared" ref="J8:J25" si="1">SUM(F8:I8)</f>
        <v>39000</v>
      </c>
      <c r="K8" s="51">
        <f t="shared" si="0"/>
        <v>39000</v>
      </c>
    </row>
    <row r="9" spans="1:11" ht="19.5" thickBot="1">
      <c r="A9" s="1" t="s">
        <v>1</v>
      </c>
      <c r="B9" s="30" t="s">
        <v>21</v>
      </c>
      <c r="C9" s="32">
        <v>366000</v>
      </c>
      <c r="D9" s="33">
        <v>0</v>
      </c>
      <c r="E9" s="33">
        <f>SUM(C9:D9)</f>
        <v>366000</v>
      </c>
      <c r="F9" s="31">
        <v>93000</v>
      </c>
      <c r="G9" s="32">
        <v>91000</v>
      </c>
      <c r="H9" s="32">
        <v>121000</v>
      </c>
      <c r="I9" s="42">
        <v>63000</v>
      </c>
      <c r="J9" s="52">
        <f t="shared" si="1"/>
        <v>368000</v>
      </c>
      <c r="K9" s="52">
        <f t="shared" si="0"/>
        <v>734000</v>
      </c>
    </row>
    <row r="10" spans="1:11" ht="19.5" thickBot="1">
      <c r="A10" s="1" t="s">
        <v>1</v>
      </c>
      <c r="B10" s="30" t="s">
        <v>22</v>
      </c>
      <c r="C10" s="32">
        <v>0</v>
      </c>
      <c r="D10" s="33">
        <v>0</v>
      </c>
      <c r="E10" s="33">
        <f t="shared" ref="E10:E25" si="2">SUM(C10:D10)</f>
        <v>0</v>
      </c>
      <c r="F10" s="31">
        <v>0</v>
      </c>
      <c r="G10" s="32">
        <v>0</v>
      </c>
      <c r="H10" s="32">
        <v>0</v>
      </c>
      <c r="I10" s="42">
        <v>0</v>
      </c>
      <c r="J10" s="52">
        <f t="shared" si="1"/>
        <v>0</v>
      </c>
      <c r="K10" s="52">
        <f t="shared" si="0"/>
        <v>0</v>
      </c>
    </row>
    <row r="11" spans="1:11" ht="19.5" thickBot="1">
      <c r="A11" s="1" t="s">
        <v>1</v>
      </c>
      <c r="B11" s="30" t="s">
        <v>23</v>
      </c>
      <c r="C11" s="32">
        <v>366000</v>
      </c>
      <c r="D11" s="33">
        <v>0</v>
      </c>
      <c r="E11" s="33">
        <f t="shared" si="2"/>
        <v>366000</v>
      </c>
      <c r="F11" s="31">
        <v>93000</v>
      </c>
      <c r="G11" s="32">
        <v>91000</v>
      </c>
      <c r="H11" s="32">
        <v>121000</v>
      </c>
      <c r="I11" s="42">
        <v>63000</v>
      </c>
      <c r="J11" s="52">
        <f t="shared" si="1"/>
        <v>368000</v>
      </c>
      <c r="K11" s="52">
        <f t="shared" si="0"/>
        <v>734000</v>
      </c>
    </row>
    <row r="12" spans="1:11">
      <c r="A12" s="1" t="s">
        <v>1</v>
      </c>
      <c r="B12" s="18" t="s">
        <v>24</v>
      </c>
      <c r="C12" s="20">
        <v>18666</v>
      </c>
      <c r="D12" s="21">
        <v>0</v>
      </c>
      <c r="E12" s="21">
        <f t="shared" si="2"/>
        <v>18666</v>
      </c>
      <c r="F12" s="19">
        <v>4743</v>
      </c>
      <c r="G12" s="20">
        <v>4641</v>
      </c>
      <c r="H12" s="20">
        <v>6171</v>
      </c>
      <c r="I12" s="39">
        <v>3213</v>
      </c>
      <c r="J12" s="49">
        <f t="shared" si="1"/>
        <v>18768</v>
      </c>
      <c r="K12" s="49">
        <f t="shared" si="0"/>
        <v>37434</v>
      </c>
    </row>
    <row r="13" spans="1:11">
      <c r="A13" s="1" t="s">
        <v>1</v>
      </c>
      <c r="B13" s="4" t="s">
        <v>25</v>
      </c>
      <c r="C13" s="10">
        <v>3294</v>
      </c>
      <c r="D13" s="11">
        <v>0</v>
      </c>
      <c r="E13" s="11">
        <f t="shared" si="2"/>
        <v>3294</v>
      </c>
      <c r="F13" s="9">
        <v>837</v>
      </c>
      <c r="G13" s="10">
        <v>819</v>
      </c>
      <c r="H13" s="10">
        <v>1089</v>
      </c>
      <c r="I13" s="40">
        <v>567</v>
      </c>
      <c r="J13" s="50">
        <f t="shared" si="1"/>
        <v>3312</v>
      </c>
      <c r="K13" s="50">
        <f t="shared" si="0"/>
        <v>6606</v>
      </c>
    </row>
    <row r="14" spans="1:11">
      <c r="A14" s="1" t="s">
        <v>1</v>
      </c>
      <c r="B14" s="4" t="s">
        <v>26</v>
      </c>
      <c r="C14" s="10">
        <v>33489</v>
      </c>
      <c r="D14" s="11">
        <v>0</v>
      </c>
      <c r="E14" s="11">
        <f t="shared" si="2"/>
        <v>33489</v>
      </c>
      <c r="F14" s="9">
        <v>8509</v>
      </c>
      <c r="G14" s="10">
        <v>8326</v>
      </c>
      <c r="H14" s="10">
        <v>11071</v>
      </c>
      <c r="I14" s="40">
        <v>5764</v>
      </c>
      <c r="J14" s="50">
        <f t="shared" si="1"/>
        <v>33670</v>
      </c>
      <c r="K14" s="50">
        <f t="shared" si="0"/>
        <v>67159</v>
      </c>
    </row>
    <row r="15" spans="1:11" ht="19.5" thickBot="1">
      <c r="A15" s="1" t="s">
        <v>1</v>
      </c>
      <c r="B15" s="26" t="s">
        <v>27</v>
      </c>
      <c r="C15" s="28">
        <v>1830</v>
      </c>
      <c r="D15" s="29">
        <v>0</v>
      </c>
      <c r="E15" s="29">
        <f t="shared" si="2"/>
        <v>1830</v>
      </c>
      <c r="F15" s="27">
        <v>465</v>
      </c>
      <c r="G15" s="28">
        <v>455</v>
      </c>
      <c r="H15" s="28">
        <v>605</v>
      </c>
      <c r="I15" s="41">
        <v>315</v>
      </c>
      <c r="J15" s="51">
        <f t="shared" si="1"/>
        <v>1840</v>
      </c>
      <c r="K15" s="51">
        <f t="shared" si="0"/>
        <v>3670</v>
      </c>
    </row>
    <row r="16" spans="1:11" ht="19.5" thickBot="1">
      <c r="A16" s="1" t="s">
        <v>1</v>
      </c>
      <c r="B16" s="30" t="s">
        <v>28</v>
      </c>
      <c r="C16" s="32">
        <v>308721</v>
      </c>
      <c r="D16" s="33">
        <v>0</v>
      </c>
      <c r="E16" s="33">
        <f t="shared" si="2"/>
        <v>308721</v>
      </c>
      <c r="F16" s="31">
        <v>78446</v>
      </c>
      <c r="G16" s="32">
        <v>76759</v>
      </c>
      <c r="H16" s="32">
        <v>102064</v>
      </c>
      <c r="I16" s="42">
        <v>53141</v>
      </c>
      <c r="J16" s="52">
        <f t="shared" si="1"/>
        <v>310410</v>
      </c>
      <c r="K16" s="52">
        <f t="shared" si="0"/>
        <v>619131</v>
      </c>
    </row>
    <row r="17" spans="1:11" ht="19.5" thickBot="1">
      <c r="A17" s="1" t="s">
        <v>1</v>
      </c>
      <c r="B17" s="30" t="s">
        <v>29</v>
      </c>
      <c r="C17" s="32">
        <v>25216</v>
      </c>
      <c r="D17" s="33">
        <v>0</v>
      </c>
      <c r="E17" s="33">
        <f t="shared" si="2"/>
        <v>25216</v>
      </c>
      <c r="F17" s="31">
        <v>4805</v>
      </c>
      <c r="G17" s="32">
        <v>9404</v>
      </c>
      <c r="H17" s="32">
        <v>16673</v>
      </c>
      <c r="I17" s="42">
        <v>3255</v>
      </c>
      <c r="J17" s="52">
        <f t="shared" si="1"/>
        <v>34137</v>
      </c>
      <c r="K17" s="52">
        <f t="shared" si="0"/>
        <v>59353</v>
      </c>
    </row>
    <row r="18" spans="1:11" ht="19.5" thickBot="1">
      <c r="A18" s="1" t="s">
        <v>1</v>
      </c>
      <c r="B18" s="30" t="s">
        <v>30</v>
      </c>
      <c r="C18" s="32">
        <v>57279</v>
      </c>
      <c r="D18" s="33">
        <v>0</v>
      </c>
      <c r="E18" s="33">
        <f t="shared" si="2"/>
        <v>57279</v>
      </c>
      <c r="F18" s="31">
        <v>14554</v>
      </c>
      <c r="G18" s="32">
        <v>14241</v>
      </c>
      <c r="H18" s="32">
        <v>18936</v>
      </c>
      <c r="I18" s="42">
        <v>9859</v>
      </c>
      <c r="J18" s="52">
        <f t="shared" si="1"/>
        <v>57590</v>
      </c>
      <c r="K18" s="52">
        <f t="shared" si="0"/>
        <v>114869</v>
      </c>
    </row>
    <row r="19" spans="1:11" ht="19.5" thickBot="1">
      <c r="A19" s="1" t="s">
        <v>1</v>
      </c>
      <c r="B19" s="30" t="s">
        <v>31</v>
      </c>
      <c r="C19" s="32">
        <v>82495</v>
      </c>
      <c r="D19" s="33">
        <v>0</v>
      </c>
      <c r="E19" s="33">
        <f t="shared" si="2"/>
        <v>82495</v>
      </c>
      <c r="F19" s="31">
        <v>19359</v>
      </c>
      <c r="G19" s="32">
        <v>23645</v>
      </c>
      <c r="H19" s="32">
        <v>35609</v>
      </c>
      <c r="I19" s="42">
        <v>13114</v>
      </c>
      <c r="J19" s="52">
        <f t="shared" si="1"/>
        <v>91727</v>
      </c>
      <c r="K19" s="52">
        <f t="shared" si="0"/>
        <v>174222</v>
      </c>
    </row>
    <row r="20" spans="1:11">
      <c r="A20" s="1" t="s">
        <v>1</v>
      </c>
      <c r="B20" s="18" t="s">
        <v>32</v>
      </c>
      <c r="C20" s="20">
        <v>28342</v>
      </c>
      <c r="D20" s="21">
        <v>770</v>
      </c>
      <c r="E20" s="21">
        <f t="shared" si="2"/>
        <v>29112</v>
      </c>
      <c r="F20" s="19">
        <v>35154</v>
      </c>
      <c r="G20" s="20">
        <v>26223</v>
      </c>
      <c r="H20" s="20">
        <v>28051</v>
      </c>
      <c r="I20" s="39">
        <v>31092</v>
      </c>
      <c r="J20" s="49">
        <f t="shared" si="1"/>
        <v>120520</v>
      </c>
      <c r="K20" s="49">
        <f t="shared" si="0"/>
        <v>149632</v>
      </c>
    </row>
    <row r="21" spans="1:11" ht="19.5" thickBot="1">
      <c r="A21" s="1" t="s">
        <v>1</v>
      </c>
      <c r="B21" s="26" t="s">
        <v>33</v>
      </c>
      <c r="C21" s="28">
        <v>0</v>
      </c>
      <c r="D21" s="29">
        <v>0</v>
      </c>
      <c r="E21" s="29">
        <f t="shared" si="2"/>
        <v>0</v>
      </c>
      <c r="F21" s="27">
        <v>0</v>
      </c>
      <c r="G21" s="28">
        <v>0</v>
      </c>
      <c r="H21" s="28">
        <v>0</v>
      </c>
      <c r="I21" s="41">
        <v>0</v>
      </c>
      <c r="J21" s="51">
        <f t="shared" si="1"/>
        <v>0</v>
      </c>
      <c r="K21" s="51">
        <f t="shared" si="0"/>
        <v>0</v>
      </c>
    </row>
    <row r="22" spans="1:11" ht="19.5" thickBot="1">
      <c r="A22" s="1" t="s">
        <v>1</v>
      </c>
      <c r="B22" s="30" t="s">
        <v>34</v>
      </c>
      <c r="C22" s="32">
        <v>28342</v>
      </c>
      <c r="D22" s="33">
        <v>770</v>
      </c>
      <c r="E22" s="33">
        <f t="shared" si="2"/>
        <v>29112</v>
      </c>
      <c r="F22" s="31">
        <v>35154</v>
      </c>
      <c r="G22" s="32">
        <v>26223</v>
      </c>
      <c r="H22" s="32">
        <v>28051</v>
      </c>
      <c r="I22" s="42">
        <v>31092</v>
      </c>
      <c r="J22" s="52">
        <f t="shared" si="1"/>
        <v>120520</v>
      </c>
      <c r="K22" s="52">
        <f t="shared" si="0"/>
        <v>149632</v>
      </c>
    </row>
    <row r="23" spans="1:11" ht="19.5" thickBot="1">
      <c r="A23" s="1" t="s">
        <v>1</v>
      </c>
      <c r="B23" s="30" t="s">
        <v>35</v>
      </c>
      <c r="C23" s="32">
        <v>311847</v>
      </c>
      <c r="D23" s="33">
        <v>770</v>
      </c>
      <c r="E23" s="33">
        <f t="shared" si="2"/>
        <v>312617</v>
      </c>
      <c r="F23" s="31">
        <v>108795</v>
      </c>
      <c r="G23" s="32">
        <v>93578</v>
      </c>
      <c r="H23" s="32">
        <v>113442</v>
      </c>
      <c r="I23" s="42">
        <v>80978</v>
      </c>
      <c r="J23" s="52">
        <f t="shared" si="1"/>
        <v>396793</v>
      </c>
      <c r="K23" s="52">
        <f t="shared" si="0"/>
        <v>709410</v>
      </c>
    </row>
    <row r="24" spans="1:11" ht="19.5" thickBot="1">
      <c r="A24" s="1" t="s">
        <v>1</v>
      </c>
      <c r="B24" s="30" t="s">
        <v>36</v>
      </c>
      <c r="C24" s="32">
        <v>0</v>
      </c>
      <c r="D24" s="33">
        <v>0</v>
      </c>
      <c r="E24" s="33">
        <f t="shared" si="2"/>
        <v>0</v>
      </c>
      <c r="F24" s="31">
        <v>0</v>
      </c>
      <c r="G24" s="32">
        <v>0</v>
      </c>
      <c r="H24" s="32">
        <v>0</v>
      </c>
      <c r="I24" s="42">
        <v>0</v>
      </c>
      <c r="J24" s="52">
        <f t="shared" si="1"/>
        <v>0</v>
      </c>
      <c r="K24" s="52">
        <f t="shared" si="0"/>
        <v>0</v>
      </c>
    </row>
    <row r="25" spans="1:11" ht="19.5" thickBot="1">
      <c r="A25" s="1" t="s">
        <v>1</v>
      </c>
      <c r="B25" s="30" t="s">
        <v>37</v>
      </c>
      <c r="C25" s="32">
        <v>311847</v>
      </c>
      <c r="D25" s="33">
        <v>770</v>
      </c>
      <c r="E25" s="33">
        <f t="shared" si="2"/>
        <v>312617</v>
      </c>
      <c r="F25" s="31">
        <v>108795</v>
      </c>
      <c r="G25" s="32">
        <v>93578</v>
      </c>
      <c r="H25" s="32">
        <v>113442</v>
      </c>
      <c r="I25" s="42">
        <v>80978</v>
      </c>
      <c r="J25" s="52">
        <f t="shared" si="1"/>
        <v>396793</v>
      </c>
      <c r="K25" s="52">
        <f t="shared" si="0"/>
        <v>709410</v>
      </c>
    </row>
    <row r="26" spans="1:11">
      <c r="A26" s="1" t="s">
        <v>1</v>
      </c>
      <c r="B26" s="18" t="s">
        <v>38</v>
      </c>
      <c r="C26" s="20">
        <v>1</v>
      </c>
      <c r="D26" s="21">
        <v>0</v>
      </c>
      <c r="E26" s="21"/>
      <c r="F26" s="19">
        <v>1</v>
      </c>
      <c r="G26" s="20">
        <v>0</v>
      </c>
      <c r="H26" s="20">
        <v>1</v>
      </c>
      <c r="I26" s="39">
        <v>2</v>
      </c>
      <c r="J26" s="49"/>
      <c r="K26" s="49"/>
    </row>
    <row r="27" spans="1:11">
      <c r="A27" s="1" t="s">
        <v>1</v>
      </c>
      <c r="B27" s="4" t="s">
        <v>39</v>
      </c>
      <c r="C27" s="13">
        <v>8.1679999999999993</v>
      </c>
      <c r="D27" s="14">
        <v>4.0839999999999996</v>
      </c>
      <c r="E27" s="14"/>
      <c r="F27" s="12">
        <v>6.1260000000000003</v>
      </c>
      <c r="G27" s="13">
        <v>12.252000000000001</v>
      </c>
      <c r="H27" s="13">
        <v>16.335999999999999</v>
      </c>
      <c r="I27" s="43">
        <v>6.1260000000000003</v>
      </c>
      <c r="J27" s="53"/>
      <c r="K27" s="53"/>
    </row>
    <row r="28" spans="1:11" ht="19.5" thickBot="1">
      <c r="A28" s="1" t="s">
        <v>1</v>
      </c>
      <c r="B28" s="5" t="s">
        <v>40</v>
      </c>
      <c r="C28" s="16">
        <v>341411</v>
      </c>
      <c r="D28" s="17">
        <v>80913</v>
      </c>
      <c r="E28" s="17"/>
      <c r="F28" s="15">
        <v>336917</v>
      </c>
      <c r="G28" s="16">
        <v>393471</v>
      </c>
      <c r="H28" s="16">
        <v>490201</v>
      </c>
      <c r="I28" s="44">
        <v>330236</v>
      </c>
      <c r="J28" s="54"/>
      <c r="K28" s="54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4年冬賞与 (2)</vt:lpstr>
      <vt:lpstr>'4年冬賞与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2022-12-17T05:05:38Z</cp:lastPrinted>
  <dcterms:created xsi:type="dcterms:W3CDTF">2022-12-15T01:10:25Z</dcterms:created>
  <dcterms:modified xsi:type="dcterms:W3CDTF">2022-12-17T05:46:06Z</dcterms:modified>
</cp:coreProperties>
</file>