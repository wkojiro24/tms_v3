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年冬季賞与・年調\"/>
    </mc:Choice>
  </mc:AlternateContent>
  <xr:revisionPtr revIDLastSave="0" documentId="13_ncr:1_{3DDE7184-A72C-415A-A7DE-6233519CCA76}" xr6:coauthVersionLast="47" xr6:coauthVersionMax="47" xr10:uidLastSave="{00000000-0000-0000-0000-000000000000}"/>
  <bookViews>
    <workbookView xWindow="-120" yWindow="-120" windowWidth="20730" windowHeight="11160" xr2:uid="{3769A460-00BD-46B5-9BC6-542196FB506D}"/>
  </bookViews>
  <sheets>
    <sheet name="4年冬賞与 (2)" sheetId="3" r:id="rId1"/>
  </sheets>
  <definedNames>
    <definedName name="_xlnm.Print_Area" localSheetId="0">'4年冬賞与 (2)'!$A$1:$M$28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5" i="3"/>
  <c r="E5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9" i="3"/>
</calcChain>
</file>

<file path=xl/sharedStrings.xml><?xml version="1.0" encoding="utf-8"?>
<sst xmlns="http://schemas.openxmlformats.org/spreadsheetml/2006/main" count="73" uniqueCount="49">
  <si>
    <t>賞与支給控除一覧表</t>
    <phoneticPr fontId="4"/>
  </si>
  <si>
    <t/>
  </si>
  <si>
    <t>4年冬賞与</t>
    <phoneticPr fontId="4"/>
  </si>
  <si>
    <t>1056</t>
    <phoneticPr fontId="4"/>
  </si>
  <si>
    <t>1057</t>
    <phoneticPr fontId="4"/>
  </si>
  <si>
    <t>1061</t>
    <phoneticPr fontId="4"/>
  </si>
  <si>
    <t>1063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</si>
  <si>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</si>
  <si>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</si>
  <si>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</si>
  <si>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</si>
  <si>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</si>
  <si>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</si>
  <si>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</si>
  <si>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</si>
  <si>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木下　知美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</si>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</sst>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2" xfId="1" applyNumberFormat="1" applyFont="1" applyBorder="1" applyAlignment="1">
      <alignment horizontal="center"/>
    </xf>
    <xf numFmtId="3" fontId="2" fillId="0" borderId="5" xfId="1" applyNumberFormat="1" applyFont="1" applyBorder="1"/>
    <xf numFmtId="3" fontId="2" fillId="0" borderId="6" xfId="1" applyNumberFormat="1" applyFont="1" applyBorder="1"/>
    <xf numFmtId="176" fontId="2" fillId="0" borderId="5" xfId="1" applyNumberFormat="1" applyFont="1" applyBorder="1"/>
    <xf numFmtId="176" fontId="2" fillId="0" borderId="6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49" fontId="2" fillId="0" borderId="1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3" fontId="2" fillId="0" borderId="4" xfId="1" applyNumberFormat="1" applyFont="1" applyBorder="1"/>
    <xf numFmtId="176" fontId="2" fillId="0" borderId="4" xfId="1" applyNumberFormat="1" applyFont="1" applyBorder="1"/>
    <xf numFmtId="3" fontId="2" fillId="0" borderId="7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left"/>
    </xf>
    <xf numFmtId="0" fontId="2" fillId="0" borderId="31" xfId="1" applyFont="1" applyBorder="1"/>
    <xf numFmtId="49" fontId="2" fillId="0" borderId="32" xfId="1" applyNumberFormat="1" applyFont="1" applyBorder="1" applyAlignment="1">
      <alignment horizontal="righ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0" xfId="1" applyNumberFormat="1" applyFont="1" applyBorder="1"/>
    <xf numFmtId="176" fontId="2" fillId="0" borderId="34" xfId="1" applyNumberFormat="1" applyFont="1" applyBorder="1"/>
    <xf numFmtId="3" fontId="2" fillId="0" borderId="32" xfId="1" applyNumberFormat="1" applyFont="1" applyBorder="1"/>
    <xf numFmtId="0" fontId="2" fillId="0" borderId="36" xfId="1" applyFont="1" applyBorder="1"/>
    <xf numFmtId="0" fontId="2" fillId="0" borderId="32" xfId="1" applyFont="1" applyBorder="1" applyAlignment="1">
      <alignment horizontal="right"/>
    </xf>
  </cellXfs>
  <cellStyles count="2">
    <cellStyle name="標準" xfId="0" builtinId="0"/>
    <cellStyle name="標準 2" xfId="1" xr:uid="{52208F7E-0C33-4EC2-A786-4F206850E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CFE3-8C94-4208-B35D-10635EFA0643}">
  <dimension ref="A1:O28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0" width="11.125" style="2" bestFit="1" customWidth="1"/>
    <col min="11" max="12" width="11.125" style="2" customWidth="1"/>
    <col min="13" max="258" width="9" style="2"/>
    <col min="259" max="259" width="2.375" style="2" customWidth="1"/>
    <col min="260" max="260" width="13.25" style="2" bestFit="1" customWidth="1"/>
    <col min="261" max="264" width="11.125" style="2" bestFit="1" customWidth="1"/>
    <col min="265" max="265" width="9" style="2"/>
    <col min="266" max="268" width="11.125" style="2" bestFit="1" customWidth="1"/>
    <col min="269" max="514" width="9" style="2"/>
    <col min="515" max="515" width="2.375" style="2" customWidth="1"/>
    <col min="516" max="516" width="13.25" style="2" bestFit="1" customWidth="1"/>
    <col min="517" max="520" width="11.125" style="2" bestFit="1" customWidth="1"/>
    <col min="521" max="521" width="9" style="2"/>
    <col min="522" max="524" width="11.125" style="2" bestFit="1" customWidth="1"/>
    <col min="525" max="770" width="9" style="2"/>
    <col min="771" max="771" width="2.375" style="2" customWidth="1"/>
    <col min="772" max="772" width="13.25" style="2" bestFit="1" customWidth="1"/>
    <col min="773" max="776" width="11.125" style="2" bestFit="1" customWidth="1"/>
    <col min="777" max="777" width="9" style="2"/>
    <col min="778" max="780" width="11.1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2" width="11.125" style="2" bestFit="1" customWidth="1"/>
    <col min="1033" max="1033" width="9" style="2"/>
    <col min="1034" max="1036" width="11.1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8" width="11.125" style="2" bestFit="1" customWidth="1"/>
    <col min="1289" max="1289" width="9" style="2"/>
    <col min="1290" max="1292" width="11.1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4" width="11.125" style="2" bestFit="1" customWidth="1"/>
    <col min="1545" max="1545" width="9" style="2"/>
    <col min="1546" max="1548" width="11.1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800" width="11.125" style="2" bestFit="1" customWidth="1"/>
    <col min="1801" max="1801" width="9" style="2"/>
    <col min="1802" max="1804" width="11.1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6" width="11.125" style="2" bestFit="1" customWidth="1"/>
    <col min="2057" max="2057" width="9" style="2"/>
    <col min="2058" max="2060" width="11.1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2" width="11.125" style="2" bestFit="1" customWidth="1"/>
    <col min="2313" max="2313" width="9" style="2"/>
    <col min="2314" max="2316" width="11.1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8" width="11.125" style="2" bestFit="1" customWidth="1"/>
    <col min="2569" max="2569" width="9" style="2"/>
    <col min="2570" max="2572" width="11.1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4" width="11.125" style="2" bestFit="1" customWidth="1"/>
    <col min="2825" max="2825" width="9" style="2"/>
    <col min="2826" max="2828" width="11.1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80" width="11.125" style="2" bestFit="1" customWidth="1"/>
    <col min="3081" max="3081" width="9" style="2"/>
    <col min="3082" max="3084" width="11.1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6" width="11.125" style="2" bestFit="1" customWidth="1"/>
    <col min="3337" max="3337" width="9" style="2"/>
    <col min="3338" max="3340" width="11.1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2" width="11.125" style="2" bestFit="1" customWidth="1"/>
    <col min="3593" max="3593" width="9" style="2"/>
    <col min="3594" max="3596" width="11.1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8" width="11.125" style="2" bestFit="1" customWidth="1"/>
    <col min="3849" max="3849" width="9" style="2"/>
    <col min="3850" max="3852" width="11.1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4" width="11.125" style="2" bestFit="1" customWidth="1"/>
    <col min="4105" max="4105" width="9" style="2"/>
    <col min="4106" max="4108" width="11.1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60" width="11.125" style="2" bestFit="1" customWidth="1"/>
    <col min="4361" max="4361" width="9" style="2"/>
    <col min="4362" max="4364" width="11.1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6" width="11.125" style="2" bestFit="1" customWidth="1"/>
    <col min="4617" max="4617" width="9" style="2"/>
    <col min="4618" max="4620" width="11.1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2" width="11.125" style="2" bestFit="1" customWidth="1"/>
    <col min="4873" max="4873" width="9" style="2"/>
    <col min="4874" max="4876" width="11.1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8" width="11.125" style="2" bestFit="1" customWidth="1"/>
    <col min="5129" max="5129" width="9" style="2"/>
    <col min="5130" max="5132" width="11.1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4" width="11.125" style="2" bestFit="1" customWidth="1"/>
    <col min="5385" max="5385" width="9" style="2"/>
    <col min="5386" max="5388" width="11.1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40" width="11.125" style="2" bestFit="1" customWidth="1"/>
    <col min="5641" max="5641" width="9" style="2"/>
    <col min="5642" max="5644" width="11.1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6" width="11.125" style="2" bestFit="1" customWidth="1"/>
    <col min="5897" max="5897" width="9" style="2"/>
    <col min="5898" max="5900" width="11.1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2" width="11.125" style="2" bestFit="1" customWidth="1"/>
    <col min="6153" max="6153" width="9" style="2"/>
    <col min="6154" max="6156" width="11.1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8" width="11.125" style="2" bestFit="1" customWidth="1"/>
    <col min="6409" max="6409" width="9" style="2"/>
    <col min="6410" max="6412" width="11.1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4" width="11.125" style="2" bestFit="1" customWidth="1"/>
    <col min="6665" max="6665" width="9" style="2"/>
    <col min="6666" max="6668" width="11.1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20" width="11.125" style="2" bestFit="1" customWidth="1"/>
    <col min="6921" max="6921" width="9" style="2"/>
    <col min="6922" max="6924" width="11.1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6" width="11.125" style="2" bestFit="1" customWidth="1"/>
    <col min="7177" max="7177" width="9" style="2"/>
    <col min="7178" max="7180" width="11.1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2" width="11.125" style="2" bestFit="1" customWidth="1"/>
    <col min="7433" max="7433" width="9" style="2"/>
    <col min="7434" max="7436" width="11.1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8" width="11.125" style="2" bestFit="1" customWidth="1"/>
    <col min="7689" max="7689" width="9" style="2"/>
    <col min="7690" max="7692" width="11.1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4" width="11.125" style="2" bestFit="1" customWidth="1"/>
    <col min="7945" max="7945" width="9" style="2"/>
    <col min="7946" max="7948" width="11.1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200" width="11.125" style="2" bestFit="1" customWidth="1"/>
    <col min="8201" max="8201" width="9" style="2"/>
    <col min="8202" max="8204" width="11.1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6" width="11.125" style="2" bestFit="1" customWidth="1"/>
    <col min="8457" max="8457" width="9" style="2"/>
    <col min="8458" max="8460" width="11.1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2" width="11.125" style="2" bestFit="1" customWidth="1"/>
    <col min="8713" max="8713" width="9" style="2"/>
    <col min="8714" max="8716" width="11.1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8" width="11.125" style="2" bestFit="1" customWidth="1"/>
    <col min="8969" max="8969" width="9" style="2"/>
    <col min="8970" max="8972" width="11.1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4" width="11.125" style="2" bestFit="1" customWidth="1"/>
    <col min="9225" max="9225" width="9" style="2"/>
    <col min="9226" max="9228" width="11.1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80" width="11.125" style="2" bestFit="1" customWidth="1"/>
    <col min="9481" max="9481" width="9" style="2"/>
    <col min="9482" max="9484" width="11.1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6" width="11.125" style="2" bestFit="1" customWidth="1"/>
    <col min="9737" max="9737" width="9" style="2"/>
    <col min="9738" max="9740" width="11.1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2" width="11.125" style="2" bestFit="1" customWidth="1"/>
    <col min="9993" max="9993" width="9" style="2"/>
    <col min="9994" max="9996" width="11.1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8" width="11.125" style="2" bestFit="1" customWidth="1"/>
    <col min="10249" max="10249" width="9" style="2"/>
    <col min="10250" max="10252" width="11.1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4" width="11.125" style="2" bestFit="1" customWidth="1"/>
    <col min="10505" max="10505" width="9" style="2"/>
    <col min="10506" max="10508" width="11.1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60" width="11.125" style="2" bestFit="1" customWidth="1"/>
    <col min="10761" max="10761" width="9" style="2"/>
    <col min="10762" max="10764" width="11.1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6" width="11.125" style="2" bestFit="1" customWidth="1"/>
    <col min="11017" max="11017" width="9" style="2"/>
    <col min="11018" max="11020" width="11.1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2" width="11.125" style="2" bestFit="1" customWidth="1"/>
    <col min="11273" max="11273" width="9" style="2"/>
    <col min="11274" max="11276" width="11.1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8" width="11.125" style="2" bestFit="1" customWidth="1"/>
    <col min="11529" max="11529" width="9" style="2"/>
    <col min="11530" max="11532" width="11.1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4" width="11.125" style="2" bestFit="1" customWidth="1"/>
    <col min="11785" max="11785" width="9" style="2"/>
    <col min="11786" max="11788" width="11.1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40" width="11.125" style="2" bestFit="1" customWidth="1"/>
    <col min="12041" max="12041" width="9" style="2"/>
    <col min="12042" max="12044" width="11.1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6" width="11.125" style="2" bestFit="1" customWidth="1"/>
    <col min="12297" max="12297" width="9" style="2"/>
    <col min="12298" max="12300" width="11.1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2" width="11.125" style="2" bestFit="1" customWidth="1"/>
    <col min="12553" max="12553" width="9" style="2"/>
    <col min="12554" max="12556" width="11.1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8" width="11.125" style="2" bestFit="1" customWidth="1"/>
    <col min="12809" max="12809" width="9" style="2"/>
    <col min="12810" max="12812" width="11.1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4" width="11.125" style="2" bestFit="1" customWidth="1"/>
    <col min="13065" max="13065" width="9" style="2"/>
    <col min="13066" max="13068" width="11.1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20" width="11.125" style="2" bestFit="1" customWidth="1"/>
    <col min="13321" max="13321" width="9" style="2"/>
    <col min="13322" max="13324" width="11.1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6" width="11.125" style="2" bestFit="1" customWidth="1"/>
    <col min="13577" max="13577" width="9" style="2"/>
    <col min="13578" max="13580" width="11.1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2" width="11.125" style="2" bestFit="1" customWidth="1"/>
    <col min="13833" max="13833" width="9" style="2"/>
    <col min="13834" max="13836" width="11.1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8" width="11.125" style="2" bestFit="1" customWidth="1"/>
    <col min="14089" max="14089" width="9" style="2"/>
    <col min="14090" max="14092" width="11.1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4" width="11.125" style="2" bestFit="1" customWidth="1"/>
    <col min="14345" max="14345" width="9" style="2"/>
    <col min="14346" max="14348" width="11.1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600" width="11.125" style="2" bestFit="1" customWidth="1"/>
    <col min="14601" max="14601" width="9" style="2"/>
    <col min="14602" max="14604" width="11.1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6" width="11.125" style="2" bestFit="1" customWidth="1"/>
    <col min="14857" max="14857" width="9" style="2"/>
    <col min="14858" max="14860" width="11.1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2" width="11.125" style="2" bestFit="1" customWidth="1"/>
    <col min="15113" max="15113" width="9" style="2"/>
    <col min="15114" max="15116" width="11.1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8" width="11.125" style="2" bestFit="1" customWidth="1"/>
    <col min="15369" max="15369" width="9" style="2"/>
    <col min="15370" max="15372" width="11.1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4" width="11.125" style="2" bestFit="1" customWidth="1"/>
    <col min="15625" max="15625" width="9" style="2"/>
    <col min="15626" max="15628" width="11.1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80" width="11.125" style="2" bestFit="1" customWidth="1"/>
    <col min="15881" max="15881" width="9" style="2"/>
    <col min="15882" max="15884" width="11.1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6" width="11.125" style="2" bestFit="1" customWidth="1"/>
    <col min="16137" max="16137" width="9" style="2"/>
    <col min="16138" max="16140" width="11.125" style="2" bestFit="1" customWidth="1"/>
    <col min="16141" max="16384" width="9" style="2"/>
  </cols>
  <sheetData>
    <row r="1" spans="1:15">
      <c r="A1" s="1" t="s">
        <v>0</v>
      </c>
    </row>
    <row r="2" spans="1:15" ht="19.5" thickBot="1">
      <c r="A2" s="1" t="s">
        <v>2</v>
      </c>
    </row>
    <row r="3" spans="1:15">
      <c r="B3" s="10"/>
      <c r="C3" s="3" t="s">
        <v>4</v>
      </c>
      <c r="D3" s="3" t="s">
        <v>6</v>
      </c>
      <c r="E3" s="37" t="s">
        <v>45</v>
      </c>
      <c r="F3" s="13" t="s">
        <v>3</v>
      </c>
      <c r="G3" s="3" t="s">
        <v>5</v>
      </c>
      <c r="H3" s="3" t="s">
        <v>7</v>
      </c>
      <c r="I3" s="3" t="s">
        <v>8</v>
      </c>
      <c r="J3" s="3" t="s">
        <v>9</v>
      </c>
      <c r="K3" s="14" t="s">
        <v>10</v>
      </c>
      <c r="L3" s="39" t="s">
        <v>45</v>
      </c>
      <c r="M3" s="40" t="s">
        <v>20</v>
      </c>
    </row>
    <row r="4" spans="1:15" ht="19.5" thickBot="1">
      <c r="A4" s="48"/>
      <c r="B4" s="22" t="s">
        <v>11</v>
      </c>
      <c r="C4" s="24" t="s">
        <v>13</v>
      </c>
      <c r="D4" s="24" t="s">
        <v>15</v>
      </c>
      <c r="E4" s="38" t="s">
        <v>46</v>
      </c>
      <c r="F4" s="23" t="s">
        <v>12</v>
      </c>
      <c r="G4" s="24" t="s">
        <v>14</v>
      </c>
      <c r="H4" s="24" t="s">
        <v>16</v>
      </c>
      <c r="I4" s="24" t="s">
        <v>17</v>
      </c>
      <c r="J4" s="24" t="s">
        <v>18</v>
      </c>
      <c r="K4" s="25" t="s">
        <v>19</v>
      </c>
      <c r="L4" s="41" t="s">
        <v>47</v>
      </c>
      <c r="M4" s="49" t="s">
        <v>48</v>
      </c>
    </row>
    <row r="5" spans="1:15">
      <c r="A5" s="1" t="s">
        <v>1</v>
      </c>
      <c r="B5" s="18" t="s">
        <v>21</v>
      </c>
      <c r="C5" s="20">
        <v>376000</v>
      </c>
      <c r="D5" s="20">
        <v>0</v>
      </c>
      <c r="E5" s="34">
        <f>SUM(C5:D5)</f>
        <v>376000</v>
      </c>
      <c r="F5" s="19">
        <v>75000</v>
      </c>
      <c r="G5" s="20">
        <v>75000</v>
      </c>
      <c r="H5" s="20">
        <v>75000</v>
      </c>
      <c r="I5" s="20">
        <v>75000</v>
      </c>
      <c r="J5" s="20">
        <v>63000</v>
      </c>
      <c r="K5" s="21"/>
      <c r="L5" s="42">
        <f>SUM(F5:K5)</f>
        <v>363000</v>
      </c>
      <c r="M5" s="42">
        <f>E5+L5</f>
        <v>739000</v>
      </c>
      <c r="O5"/>
    </row>
    <row r="6" spans="1:15">
      <c r="A6" s="1" t="s">
        <v>1</v>
      </c>
      <c r="B6" s="11" t="s">
        <v>22</v>
      </c>
      <c r="C6" s="4">
        <v>0</v>
      </c>
      <c r="D6" s="4">
        <v>0</v>
      </c>
      <c r="E6" s="35"/>
      <c r="F6" s="15">
        <v>0</v>
      </c>
      <c r="G6" s="4">
        <v>0</v>
      </c>
      <c r="H6" s="4">
        <v>0</v>
      </c>
      <c r="I6" s="4">
        <v>0</v>
      </c>
      <c r="J6" s="4">
        <v>0</v>
      </c>
      <c r="K6" s="5">
        <v>0</v>
      </c>
      <c r="L6" s="43">
        <f t="shared" ref="L6:L25" si="0">SUM(F6:K6)</f>
        <v>0</v>
      </c>
      <c r="M6" s="43">
        <f t="shared" ref="M6:M25" si="1">E6+L6</f>
        <v>0</v>
      </c>
      <c r="O6"/>
    </row>
    <row r="7" spans="1:15">
      <c r="A7" s="1" t="s">
        <v>1</v>
      </c>
      <c r="B7" s="11" t="s">
        <v>23</v>
      </c>
      <c r="C7" s="4">
        <v>0</v>
      </c>
      <c r="D7" s="4">
        <v>0</v>
      </c>
      <c r="E7" s="35"/>
      <c r="F7" s="15">
        <v>0</v>
      </c>
      <c r="G7" s="4">
        <v>0</v>
      </c>
      <c r="H7" s="4">
        <v>0</v>
      </c>
      <c r="I7" s="4">
        <v>0</v>
      </c>
      <c r="J7" s="4">
        <v>0</v>
      </c>
      <c r="K7" s="5">
        <v>0</v>
      </c>
      <c r="L7" s="43">
        <f t="shared" si="0"/>
        <v>0</v>
      </c>
      <c r="M7" s="43">
        <f t="shared" si="1"/>
        <v>0</v>
      </c>
      <c r="O7"/>
    </row>
    <row r="8" spans="1:15" ht="19.5" thickBot="1">
      <c r="A8" s="1" t="s">
        <v>1</v>
      </c>
      <c r="B8" s="26" t="s">
        <v>24</v>
      </c>
      <c r="C8" s="28">
        <v>0</v>
      </c>
      <c r="D8" s="28">
        <v>0</v>
      </c>
      <c r="E8" s="36"/>
      <c r="F8" s="27">
        <v>6000</v>
      </c>
      <c r="G8" s="28">
        <v>0</v>
      </c>
      <c r="H8" s="28">
        <v>6000</v>
      </c>
      <c r="I8" s="28">
        <v>0</v>
      </c>
      <c r="J8" s="28">
        <v>0</v>
      </c>
      <c r="K8" s="29">
        <v>0</v>
      </c>
      <c r="L8" s="44">
        <f t="shared" si="0"/>
        <v>12000</v>
      </c>
      <c r="M8" s="44">
        <f t="shared" si="1"/>
        <v>12000</v>
      </c>
      <c r="O8"/>
    </row>
    <row r="9" spans="1:15" ht="19.5" thickBot="1">
      <c r="A9" s="1" t="s">
        <v>1</v>
      </c>
      <c r="B9" s="30" t="s">
        <v>25</v>
      </c>
      <c r="C9" s="32">
        <v>376000</v>
      </c>
      <c r="D9" s="32">
        <v>0</v>
      </c>
      <c r="E9" s="32">
        <f>SUM(C9:D9)</f>
        <v>376000</v>
      </c>
      <c r="F9" s="31">
        <v>81000</v>
      </c>
      <c r="G9" s="32">
        <v>75000</v>
      </c>
      <c r="H9" s="32">
        <v>81000</v>
      </c>
      <c r="I9" s="32">
        <v>75000</v>
      </c>
      <c r="J9" s="32">
        <v>63000</v>
      </c>
      <c r="K9" s="33">
        <v>0</v>
      </c>
      <c r="L9" s="45">
        <f t="shared" si="0"/>
        <v>375000</v>
      </c>
      <c r="M9" s="45">
        <f t="shared" si="1"/>
        <v>751000</v>
      </c>
      <c r="O9"/>
    </row>
    <row r="10" spans="1:15" ht="19.5" thickBot="1">
      <c r="A10" s="1" t="s">
        <v>1</v>
      </c>
      <c r="B10" s="30" t="s">
        <v>26</v>
      </c>
      <c r="C10" s="32">
        <v>0</v>
      </c>
      <c r="D10" s="32">
        <v>0</v>
      </c>
      <c r="E10" s="32">
        <f t="shared" ref="E10:E25" si="2">SUM(C10:D10)</f>
        <v>0</v>
      </c>
      <c r="F10" s="31">
        <v>0</v>
      </c>
      <c r="G10" s="32">
        <v>0</v>
      </c>
      <c r="H10" s="32">
        <v>0</v>
      </c>
      <c r="I10" s="32">
        <v>0</v>
      </c>
      <c r="J10" s="32">
        <v>0</v>
      </c>
      <c r="K10" s="33">
        <v>0</v>
      </c>
      <c r="L10" s="45">
        <f t="shared" si="0"/>
        <v>0</v>
      </c>
      <c r="M10" s="45">
        <f t="shared" si="1"/>
        <v>0</v>
      </c>
      <c r="O10"/>
    </row>
    <row r="11" spans="1:15" ht="19.5" thickBot="1">
      <c r="A11" s="1" t="s">
        <v>1</v>
      </c>
      <c r="B11" s="30" t="s">
        <v>27</v>
      </c>
      <c r="C11" s="32">
        <v>376000</v>
      </c>
      <c r="D11" s="32">
        <v>0</v>
      </c>
      <c r="E11" s="32">
        <f t="shared" si="2"/>
        <v>376000</v>
      </c>
      <c r="F11" s="31">
        <v>81000</v>
      </c>
      <c r="G11" s="32">
        <v>75000</v>
      </c>
      <c r="H11" s="32">
        <v>81000</v>
      </c>
      <c r="I11" s="32">
        <v>75000</v>
      </c>
      <c r="J11" s="32">
        <v>63000</v>
      </c>
      <c r="K11" s="33">
        <v>0</v>
      </c>
      <c r="L11" s="45">
        <f t="shared" si="0"/>
        <v>375000</v>
      </c>
      <c r="M11" s="45">
        <f t="shared" si="1"/>
        <v>751000</v>
      </c>
      <c r="O11"/>
    </row>
    <row r="12" spans="1:15">
      <c r="A12" s="1" t="s">
        <v>1</v>
      </c>
      <c r="B12" s="18" t="s">
        <v>28</v>
      </c>
      <c r="C12" s="20">
        <v>19176</v>
      </c>
      <c r="D12" s="20">
        <v>0</v>
      </c>
      <c r="E12" s="20">
        <f t="shared" si="2"/>
        <v>19176</v>
      </c>
      <c r="F12" s="19">
        <v>4131</v>
      </c>
      <c r="G12" s="20">
        <v>3825</v>
      </c>
      <c r="H12" s="20">
        <v>4131</v>
      </c>
      <c r="I12" s="20">
        <v>3825</v>
      </c>
      <c r="J12" s="20">
        <v>3213</v>
      </c>
      <c r="K12" s="21">
        <v>0</v>
      </c>
      <c r="L12" s="42">
        <f t="shared" si="0"/>
        <v>19125</v>
      </c>
      <c r="M12" s="42">
        <f t="shared" si="1"/>
        <v>38301</v>
      </c>
      <c r="O12"/>
    </row>
    <row r="13" spans="1:15">
      <c r="A13" s="1" t="s">
        <v>1</v>
      </c>
      <c r="B13" s="11" t="s">
        <v>29</v>
      </c>
      <c r="C13" s="4">
        <v>3384</v>
      </c>
      <c r="D13" s="4">
        <v>0</v>
      </c>
      <c r="E13" s="4">
        <f t="shared" si="2"/>
        <v>3384</v>
      </c>
      <c r="F13" s="15">
        <v>0</v>
      </c>
      <c r="G13" s="4">
        <v>675</v>
      </c>
      <c r="H13" s="4">
        <v>729</v>
      </c>
      <c r="I13" s="4">
        <v>675</v>
      </c>
      <c r="J13" s="4">
        <v>567</v>
      </c>
      <c r="K13" s="5">
        <v>0</v>
      </c>
      <c r="L13" s="43">
        <f t="shared" si="0"/>
        <v>2646</v>
      </c>
      <c r="M13" s="43">
        <f t="shared" si="1"/>
        <v>6030</v>
      </c>
      <c r="O13"/>
    </row>
    <row r="14" spans="1:15">
      <c r="A14" s="1" t="s">
        <v>1</v>
      </c>
      <c r="B14" s="11" t="s">
        <v>30</v>
      </c>
      <c r="C14" s="4">
        <v>34404</v>
      </c>
      <c r="D14" s="4">
        <v>0</v>
      </c>
      <c r="E14" s="4">
        <f t="shared" si="2"/>
        <v>34404</v>
      </c>
      <c r="F14" s="15">
        <v>7411</v>
      </c>
      <c r="G14" s="4">
        <v>6862</v>
      </c>
      <c r="H14" s="4">
        <v>7411</v>
      </c>
      <c r="I14" s="4">
        <v>6862</v>
      </c>
      <c r="J14" s="4">
        <v>5764</v>
      </c>
      <c r="K14" s="5">
        <v>0</v>
      </c>
      <c r="L14" s="43">
        <f t="shared" si="0"/>
        <v>34310</v>
      </c>
      <c r="M14" s="43">
        <f t="shared" si="1"/>
        <v>68714</v>
      </c>
      <c r="O14"/>
    </row>
    <row r="15" spans="1:15" ht="19.5" thickBot="1">
      <c r="A15" s="1" t="s">
        <v>1</v>
      </c>
      <c r="B15" s="26" t="s">
        <v>31</v>
      </c>
      <c r="C15" s="28">
        <v>1880</v>
      </c>
      <c r="D15" s="28">
        <v>0</v>
      </c>
      <c r="E15" s="28">
        <f t="shared" si="2"/>
        <v>1880</v>
      </c>
      <c r="F15" s="27">
        <v>405</v>
      </c>
      <c r="G15" s="28">
        <v>375</v>
      </c>
      <c r="H15" s="28">
        <v>405</v>
      </c>
      <c r="I15" s="28">
        <v>375</v>
      </c>
      <c r="J15" s="28">
        <v>315</v>
      </c>
      <c r="K15" s="29">
        <v>0</v>
      </c>
      <c r="L15" s="44">
        <f t="shared" si="0"/>
        <v>1875</v>
      </c>
      <c r="M15" s="44">
        <f t="shared" si="1"/>
        <v>3755</v>
      </c>
      <c r="O15"/>
    </row>
    <row r="16" spans="1:15" ht="19.5" thickBot="1">
      <c r="A16" s="1" t="s">
        <v>1</v>
      </c>
      <c r="B16" s="30" t="s">
        <v>32</v>
      </c>
      <c r="C16" s="32">
        <v>317156</v>
      </c>
      <c r="D16" s="32">
        <v>0</v>
      </c>
      <c r="E16" s="32">
        <f t="shared" si="2"/>
        <v>317156</v>
      </c>
      <c r="F16" s="31">
        <v>69053</v>
      </c>
      <c r="G16" s="32">
        <v>63263</v>
      </c>
      <c r="H16" s="32">
        <v>68324</v>
      </c>
      <c r="I16" s="32">
        <v>63263</v>
      </c>
      <c r="J16" s="32">
        <v>53141</v>
      </c>
      <c r="K16" s="33">
        <v>0</v>
      </c>
      <c r="L16" s="45">
        <f t="shared" si="0"/>
        <v>317044</v>
      </c>
      <c r="M16" s="45">
        <f t="shared" si="1"/>
        <v>634200</v>
      </c>
      <c r="O16"/>
    </row>
    <row r="17" spans="1:15" ht="19.5" thickBot="1">
      <c r="A17" s="1" t="s">
        <v>1</v>
      </c>
      <c r="B17" s="30" t="s">
        <v>33</v>
      </c>
      <c r="C17" s="32">
        <v>25905</v>
      </c>
      <c r="D17" s="32">
        <v>0</v>
      </c>
      <c r="E17" s="32">
        <f t="shared" si="2"/>
        <v>25905</v>
      </c>
      <c r="F17" s="31">
        <v>5640</v>
      </c>
      <c r="G17" s="32">
        <v>3875</v>
      </c>
      <c r="H17" s="32">
        <v>4185</v>
      </c>
      <c r="I17" s="32">
        <v>3875</v>
      </c>
      <c r="J17" s="32">
        <v>3255</v>
      </c>
      <c r="K17" s="33">
        <v>0</v>
      </c>
      <c r="L17" s="45">
        <f t="shared" si="0"/>
        <v>20830</v>
      </c>
      <c r="M17" s="45">
        <f t="shared" si="1"/>
        <v>46735</v>
      </c>
      <c r="O17"/>
    </row>
    <row r="18" spans="1:15" ht="19.5" thickBot="1">
      <c r="A18" s="1" t="s">
        <v>1</v>
      </c>
      <c r="B18" s="30" t="s">
        <v>34</v>
      </c>
      <c r="C18" s="32">
        <v>58844</v>
      </c>
      <c r="D18" s="32">
        <v>0</v>
      </c>
      <c r="E18" s="32">
        <f t="shared" si="2"/>
        <v>58844</v>
      </c>
      <c r="F18" s="31">
        <v>11947</v>
      </c>
      <c r="G18" s="32">
        <v>11737</v>
      </c>
      <c r="H18" s="32">
        <v>12676</v>
      </c>
      <c r="I18" s="32">
        <v>11737</v>
      </c>
      <c r="J18" s="32">
        <v>9859</v>
      </c>
      <c r="K18" s="33">
        <v>0</v>
      </c>
      <c r="L18" s="45">
        <f t="shared" si="0"/>
        <v>57956</v>
      </c>
      <c r="M18" s="45">
        <f t="shared" si="1"/>
        <v>116800</v>
      </c>
      <c r="O18"/>
    </row>
    <row r="19" spans="1:15" ht="19.5" thickBot="1">
      <c r="A19" s="1" t="s">
        <v>1</v>
      </c>
      <c r="B19" s="30" t="s">
        <v>35</v>
      </c>
      <c r="C19" s="32">
        <v>84749</v>
      </c>
      <c r="D19" s="32">
        <v>0</v>
      </c>
      <c r="E19" s="32">
        <f t="shared" si="2"/>
        <v>84749</v>
      </c>
      <c r="F19" s="31">
        <v>17587</v>
      </c>
      <c r="G19" s="32">
        <v>15612</v>
      </c>
      <c r="H19" s="32">
        <v>16861</v>
      </c>
      <c r="I19" s="32">
        <v>15612</v>
      </c>
      <c r="J19" s="32">
        <v>13114</v>
      </c>
      <c r="K19" s="33">
        <v>0</v>
      </c>
      <c r="L19" s="45">
        <f t="shared" si="0"/>
        <v>78786</v>
      </c>
      <c r="M19" s="45">
        <f t="shared" si="1"/>
        <v>163535</v>
      </c>
      <c r="O19"/>
    </row>
    <row r="20" spans="1:15">
      <c r="A20" s="1" t="s">
        <v>1</v>
      </c>
      <c r="B20" s="18" t="s">
        <v>36</v>
      </c>
      <c r="C20" s="20">
        <v>28807</v>
      </c>
      <c r="D20" s="20">
        <v>850</v>
      </c>
      <c r="E20" s="20">
        <f t="shared" si="2"/>
        <v>29657</v>
      </c>
      <c r="F20" s="19">
        <v>16201</v>
      </c>
      <c r="G20" s="20">
        <v>16026</v>
      </c>
      <c r="H20" s="20">
        <v>74883</v>
      </c>
      <c r="I20" s="20">
        <v>72786</v>
      </c>
      <c r="J20" s="20">
        <v>13542</v>
      </c>
      <c r="K20" s="21">
        <v>8690</v>
      </c>
      <c r="L20" s="42">
        <f t="shared" si="0"/>
        <v>202128</v>
      </c>
      <c r="M20" s="42">
        <f t="shared" si="1"/>
        <v>231785</v>
      </c>
      <c r="O20"/>
    </row>
    <row r="21" spans="1:15" ht="19.5" thickBot="1">
      <c r="A21" s="1" t="s">
        <v>1</v>
      </c>
      <c r="B21" s="26" t="s">
        <v>37</v>
      </c>
      <c r="C21" s="28">
        <v>0</v>
      </c>
      <c r="D21" s="28">
        <v>0</v>
      </c>
      <c r="E21" s="28">
        <f t="shared" si="2"/>
        <v>0</v>
      </c>
      <c r="F21" s="27">
        <v>0</v>
      </c>
      <c r="G21" s="28">
        <v>0</v>
      </c>
      <c r="H21" s="28">
        <v>0</v>
      </c>
      <c r="I21" s="28">
        <v>0</v>
      </c>
      <c r="J21" s="28">
        <v>0</v>
      </c>
      <c r="K21" s="29">
        <v>0</v>
      </c>
      <c r="L21" s="44">
        <f t="shared" si="0"/>
        <v>0</v>
      </c>
      <c r="M21" s="44">
        <f t="shared" si="1"/>
        <v>0</v>
      </c>
      <c r="O21"/>
    </row>
    <row r="22" spans="1:15" ht="19.5" thickBot="1">
      <c r="A22" s="1" t="s">
        <v>1</v>
      </c>
      <c r="B22" s="30" t="s">
        <v>38</v>
      </c>
      <c r="C22" s="32">
        <v>28807</v>
      </c>
      <c r="D22" s="32">
        <v>850</v>
      </c>
      <c r="E22" s="32">
        <f t="shared" si="2"/>
        <v>29657</v>
      </c>
      <c r="F22" s="31">
        <v>16201</v>
      </c>
      <c r="G22" s="32">
        <v>16026</v>
      </c>
      <c r="H22" s="32">
        <v>74883</v>
      </c>
      <c r="I22" s="32">
        <v>72786</v>
      </c>
      <c r="J22" s="32">
        <v>13542</v>
      </c>
      <c r="K22" s="33">
        <v>8690</v>
      </c>
      <c r="L22" s="45">
        <f t="shared" si="0"/>
        <v>202128</v>
      </c>
      <c r="M22" s="45">
        <f t="shared" si="1"/>
        <v>231785</v>
      </c>
      <c r="O22"/>
    </row>
    <row r="23" spans="1:15" ht="19.5" thickBot="1">
      <c r="A23" s="1" t="s">
        <v>1</v>
      </c>
      <c r="B23" s="30" t="s">
        <v>39</v>
      </c>
      <c r="C23" s="32">
        <v>320058</v>
      </c>
      <c r="D23" s="32">
        <v>850</v>
      </c>
      <c r="E23" s="32">
        <f t="shared" si="2"/>
        <v>320908</v>
      </c>
      <c r="F23" s="31">
        <v>79614</v>
      </c>
      <c r="G23" s="32">
        <v>75414</v>
      </c>
      <c r="H23" s="32">
        <v>139022</v>
      </c>
      <c r="I23" s="32">
        <v>132174</v>
      </c>
      <c r="J23" s="32">
        <v>63428</v>
      </c>
      <c r="K23" s="33">
        <v>8690</v>
      </c>
      <c r="L23" s="45">
        <f t="shared" si="0"/>
        <v>498342</v>
      </c>
      <c r="M23" s="45">
        <f t="shared" si="1"/>
        <v>819250</v>
      </c>
      <c r="O23"/>
    </row>
    <row r="24" spans="1:15" ht="19.5" thickBot="1">
      <c r="A24" s="1" t="s">
        <v>1</v>
      </c>
      <c r="B24" s="30" t="s">
        <v>40</v>
      </c>
      <c r="C24" s="32">
        <v>0</v>
      </c>
      <c r="D24" s="32">
        <v>0</v>
      </c>
      <c r="E24" s="32">
        <f t="shared" si="2"/>
        <v>0</v>
      </c>
      <c r="F24" s="31">
        <v>0</v>
      </c>
      <c r="G24" s="32">
        <v>0</v>
      </c>
      <c r="H24" s="32">
        <v>0</v>
      </c>
      <c r="I24" s="32">
        <v>0</v>
      </c>
      <c r="J24" s="32">
        <v>0</v>
      </c>
      <c r="K24" s="33">
        <v>0</v>
      </c>
      <c r="L24" s="45">
        <f t="shared" si="0"/>
        <v>0</v>
      </c>
      <c r="M24" s="45">
        <f t="shared" si="1"/>
        <v>0</v>
      </c>
      <c r="O24"/>
    </row>
    <row r="25" spans="1:15" ht="19.5" thickBot="1">
      <c r="A25" s="1" t="s">
        <v>1</v>
      </c>
      <c r="B25" s="30" t="s">
        <v>41</v>
      </c>
      <c r="C25" s="32">
        <v>320058</v>
      </c>
      <c r="D25" s="32">
        <v>850</v>
      </c>
      <c r="E25" s="32">
        <f t="shared" si="2"/>
        <v>320908</v>
      </c>
      <c r="F25" s="31">
        <v>79614</v>
      </c>
      <c r="G25" s="32">
        <v>75414</v>
      </c>
      <c r="H25" s="32">
        <v>139022</v>
      </c>
      <c r="I25" s="32">
        <v>132174</v>
      </c>
      <c r="J25" s="32">
        <v>63428</v>
      </c>
      <c r="K25" s="33">
        <v>8690</v>
      </c>
      <c r="L25" s="45">
        <f t="shared" si="0"/>
        <v>498342</v>
      </c>
      <c r="M25" s="45">
        <f t="shared" si="1"/>
        <v>819250</v>
      </c>
      <c r="O25"/>
    </row>
    <row r="26" spans="1:15">
      <c r="A26" s="1" t="s">
        <v>1</v>
      </c>
      <c r="B26" s="18" t="s">
        <v>42</v>
      </c>
      <c r="C26" s="20">
        <v>0</v>
      </c>
      <c r="D26" s="20">
        <v>0</v>
      </c>
      <c r="E26" s="20"/>
      <c r="F26" s="19">
        <v>0</v>
      </c>
      <c r="G26" s="20">
        <v>1</v>
      </c>
      <c r="H26" s="20">
        <v>1</v>
      </c>
      <c r="I26" s="20">
        <v>1</v>
      </c>
      <c r="J26" s="20">
        <v>0</v>
      </c>
      <c r="K26" s="21">
        <v>0</v>
      </c>
      <c r="L26" s="42"/>
      <c r="M26" s="42"/>
    </row>
    <row r="27" spans="1:15">
      <c r="A27" s="1" t="s">
        <v>1</v>
      </c>
      <c r="B27" s="11" t="s">
        <v>43</v>
      </c>
      <c r="C27" s="6">
        <v>8.1679999999999993</v>
      </c>
      <c r="D27" s="6">
        <v>4.0839999999999996</v>
      </c>
      <c r="E27" s="6"/>
      <c r="F27" s="16">
        <v>8.1679999999999993</v>
      </c>
      <c r="G27" s="6">
        <v>6.1260000000000003</v>
      </c>
      <c r="H27" s="6">
        <v>6.1260000000000003</v>
      </c>
      <c r="I27" s="6">
        <v>6.1260000000000003</v>
      </c>
      <c r="J27" s="6">
        <v>6.1260000000000003</v>
      </c>
      <c r="K27" s="7">
        <v>4.0839999999999996</v>
      </c>
      <c r="L27" s="46"/>
      <c r="M27" s="46"/>
    </row>
    <row r="28" spans="1:15" ht="19.5" thickBot="1">
      <c r="A28" s="1" t="s">
        <v>1</v>
      </c>
      <c r="B28" s="12" t="s">
        <v>44</v>
      </c>
      <c r="C28" s="8">
        <v>308612</v>
      </c>
      <c r="D28" s="8">
        <v>83087</v>
      </c>
      <c r="E28" s="8"/>
      <c r="F28" s="17">
        <v>314905</v>
      </c>
      <c r="G28" s="8">
        <v>301647</v>
      </c>
      <c r="H28" s="8">
        <v>299724</v>
      </c>
      <c r="I28" s="8">
        <v>307946</v>
      </c>
      <c r="J28" s="8">
        <v>278060</v>
      </c>
      <c r="K28" s="9">
        <v>139386</v>
      </c>
      <c r="L28" s="47"/>
      <c r="M28" s="47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4年冬賞与 (2)</vt:lpstr>
      <vt:lpstr>'4年冬賞与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2022-12-17T05:17:03Z</cp:lastPrinted>
  <dcterms:created xsi:type="dcterms:W3CDTF">2022-12-15T01:13:46Z</dcterms:created>
  <dcterms:modified xsi:type="dcterms:W3CDTF">2022-12-17T05:45:10Z</dcterms:modified>
</cp:coreProperties>
</file>