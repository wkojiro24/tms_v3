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1\"/>
    </mc:Choice>
  </mc:AlternateContent>
  <xr:revisionPtr revIDLastSave="0" documentId="13_ncr:1_{DBF81E2C-B0C9-4F14-A0AF-4693B7403E88}" xr6:coauthVersionLast="47" xr6:coauthVersionMax="47" xr10:uidLastSave="{00000000-0000-0000-0000-000000000000}"/>
  <bookViews>
    <workbookView xWindow="-120" yWindow="-120" windowWidth="20730" windowHeight="11160" xr2:uid="{0574EE85-45CE-45DA-9012-4B2B03CFC4EF}"/>
  </bookViews>
  <sheets>
    <sheet name="2022年11月度給与 (2)" sheetId="3" r:id="rId1"/>
  </sheets>
  <definedNames>
    <definedName name="_xlnm.Print_Area" localSheetId="0">'2022年11月度給与 (2)'!$A$1:$K$61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3" l="1"/>
  <c r="K8" i="3"/>
  <c r="K10" i="3"/>
  <c r="K11" i="3"/>
  <c r="K15" i="3"/>
  <c r="K16" i="3"/>
  <c r="K17" i="3"/>
  <c r="K18" i="3"/>
  <c r="K19" i="3"/>
  <c r="K20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23" i="3"/>
  <c r="J22" i="3"/>
  <c r="J21" i="3"/>
  <c r="J14" i="3"/>
  <c r="K14" i="3" s="1"/>
  <c r="J13" i="3"/>
  <c r="K13" i="3" s="1"/>
  <c r="J9" i="3"/>
  <c r="J6" i="3"/>
  <c r="K6" i="3" s="1"/>
  <c r="J5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23" i="3"/>
  <c r="E22" i="3"/>
  <c r="E21" i="3"/>
  <c r="E12" i="3"/>
  <c r="K12" i="3" s="1"/>
  <c r="E9" i="3"/>
  <c r="E5" i="3"/>
  <c r="K9" i="3" l="1"/>
  <c r="K23" i="3"/>
  <c r="K56" i="3"/>
  <c r="K52" i="3"/>
  <c r="K49" i="3"/>
  <c r="K45" i="3"/>
  <c r="K42" i="3"/>
  <c r="K38" i="3"/>
  <c r="K32" i="3"/>
  <c r="K28" i="3"/>
  <c r="K25" i="3"/>
  <c r="K21" i="3"/>
  <c r="K58" i="3"/>
  <c r="K53" i="3"/>
  <c r="K47" i="3"/>
  <c r="K44" i="3"/>
  <c r="K40" i="3"/>
  <c r="K36" i="3"/>
  <c r="K33" i="3"/>
  <c r="K30" i="3"/>
  <c r="K27" i="3"/>
  <c r="K5" i="3"/>
  <c r="K59" i="3"/>
  <c r="K55" i="3"/>
  <c r="K54" i="3"/>
  <c r="K51" i="3"/>
  <c r="K48" i="3"/>
  <c r="K41" i="3"/>
  <c r="K37" i="3"/>
  <c r="K34" i="3"/>
  <c r="K31" i="3"/>
  <c r="K24" i="3"/>
  <c r="K22" i="3"/>
  <c r="K57" i="3"/>
  <c r="K50" i="3"/>
  <c r="K46" i="3"/>
  <c r="K43" i="3"/>
  <c r="K39" i="3"/>
  <c r="K35" i="3"/>
  <c r="K29" i="3"/>
  <c r="K26" i="3"/>
</calcChain>
</file>

<file path=xl/sharedStrings.xml><?xml version="1.0" encoding="utf-8"?>
<sst xmlns="http://schemas.openxmlformats.org/spreadsheetml/2006/main" count="141" uniqueCount="76">
  <si>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</si>
  <si>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</si>
  <si>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</si>
  <si>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</si>
  <si>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</si>
  <si>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</si>
  <si>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</si>
  <si>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</si>
  <si>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</si>
  <si>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</si>
  <si>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</si>
  <si>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</si>
  <si>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</si>
  <si>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</si>
  <si>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</si>
  <si>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</si>
  <si>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</si>
  <si>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</si>
  <si>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</si>
  <si>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</si>
  <si>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</si>
  <si>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</si>
  <si>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</si>
  <si>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</si>
  <si>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</si>
  <si>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</si>
  <si>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</si>
  <si>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</si>
  <si>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</si>
  <si>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</si>
  <si>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</si>
  <si>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</si>
  <si>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</si>
  <si>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</si>
  <si>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</si>
  <si>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</si>
  <si>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</si>
  <si>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</si>
  <si>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</si>
  <si>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</si>
  <si>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</si>
  <si>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</si>
  <si>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</si>
  <si>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</si>
  <si>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</si>
  <si>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</si>
  <si>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</si>
  <si>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</si>
  <si>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</si>
  <si>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</si>
  <si>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</si>
  <si>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</si>
  <si>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</si>
  <si>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</si>
  <si>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</si>
  <si>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</si>
  <si>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</si>
  <si>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</si>
  <si>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</si>
  <si>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</si>
  <si>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</si>
  <si>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</si>
  <si>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</si>
  <si>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</si>
  <si>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</si>
  <si>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</si>
  <si>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</si>
  <si>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</si>
  <si>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</si>
  <si>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</si>
  <si>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</si>
  <si>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2022年11月度給与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</si>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</sst>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49" fontId="2" fillId="0" borderId="27" xfId="1" applyNumberFormat="1" applyFont="1" applyBorder="1" applyAlignment="1">
      <alignment horizontal="right"/>
    </xf>
    <xf numFmtId="49" fontId="2" fillId="0" borderId="26" xfId="1" applyNumberFormat="1" applyFont="1" applyBorder="1" applyAlignment="1">
      <alignment horizontal="lef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6FCE9555-B182-4074-A4A8-F80E1849A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60B3-D20A-4DCE-A41A-86534891C544}">
  <sheetPr>
    <pageSetUpPr fitToPage="1"/>
  </sheetPr>
  <dimension ref="A1:M61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:C61"/>
    </sheetView>
  </sheetViews>
  <sheetFormatPr defaultRowHeight="18.75"/>
  <cols>
    <col min="1" max="1" width="2.375" style="2" customWidth="1"/>
    <col min="2" max="2" width="13.25" style="2" bestFit="1" customWidth="1"/>
    <col min="3" max="11" width="12.75" style="2" customWidth="1"/>
    <col min="12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6" width="11.125" style="2" bestFit="1" customWidth="1"/>
    <col min="267" max="267" width="9.625" style="2" bestFit="1" customWidth="1"/>
    <col min="268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2" width="11.125" style="2" bestFit="1" customWidth="1"/>
    <col min="523" max="523" width="9.625" style="2" bestFit="1" customWidth="1"/>
    <col min="524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78" width="11.125" style="2" bestFit="1" customWidth="1"/>
    <col min="779" max="779" width="9.6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4" width="11.125" style="2" bestFit="1" customWidth="1"/>
    <col min="1035" max="1035" width="9.6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0" width="11.125" style="2" bestFit="1" customWidth="1"/>
    <col min="1291" max="1291" width="9.6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6" width="11.125" style="2" bestFit="1" customWidth="1"/>
    <col min="1547" max="1547" width="9.6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2" width="11.125" style="2" bestFit="1" customWidth="1"/>
    <col min="1803" max="1803" width="9.6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58" width="11.125" style="2" bestFit="1" customWidth="1"/>
    <col min="2059" max="2059" width="9.6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4" width="11.125" style="2" bestFit="1" customWidth="1"/>
    <col min="2315" max="2315" width="9.6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0" width="11.125" style="2" bestFit="1" customWidth="1"/>
    <col min="2571" max="2571" width="9.6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6" width="11.125" style="2" bestFit="1" customWidth="1"/>
    <col min="2827" max="2827" width="9.6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2" width="11.125" style="2" bestFit="1" customWidth="1"/>
    <col min="3083" max="3083" width="9.6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38" width="11.125" style="2" bestFit="1" customWidth="1"/>
    <col min="3339" max="3339" width="9.6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4" width="11.125" style="2" bestFit="1" customWidth="1"/>
    <col min="3595" max="3595" width="9.6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0" width="11.125" style="2" bestFit="1" customWidth="1"/>
    <col min="3851" max="3851" width="9.6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6" width="11.125" style="2" bestFit="1" customWidth="1"/>
    <col min="4107" max="4107" width="9.6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2" width="11.125" style="2" bestFit="1" customWidth="1"/>
    <col min="4363" max="4363" width="9.6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18" width="11.125" style="2" bestFit="1" customWidth="1"/>
    <col min="4619" max="4619" width="9.6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4" width="11.125" style="2" bestFit="1" customWidth="1"/>
    <col min="4875" max="4875" width="9.6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0" width="11.125" style="2" bestFit="1" customWidth="1"/>
    <col min="5131" max="5131" width="9.6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6" width="11.125" style="2" bestFit="1" customWidth="1"/>
    <col min="5387" max="5387" width="9.6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2" width="11.125" style="2" bestFit="1" customWidth="1"/>
    <col min="5643" max="5643" width="9.6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898" width="11.125" style="2" bestFit="1" customWidth="1"/>
    <col min="5899" max="5899" width="9.6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4" width="11.125" style="2" bestFit="1" customWidth="1"/>
    <col min="6155" max="6155" width="9.6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0" width="11.125" style="2" bestFit="1" customWidth="1"/>
    <col min="6411" max="6411" width="9.6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6" width="11.125" style="2" bestFit="1" customWidth="1"/>
    <col min="6667" max="6667" width="9.6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2" width="11.125" style="2" bestFit="1" customWidth="1"/>
    <col min="6923" max="6923" width="9.6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78" width="11.125" style="2" bestFit="1" customWidth="1"/>
    <col min="7179" max="7179" width="9.6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4" width="11.125" style="2" bestFit="1" customWidth="1"/>
    <col min="7435" max="7435" width="9.6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0" width="11.125" style="2" bestFit="1" customWidth="1"/>
    <col min="7691" max="7691" width="9.6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6" width="11.125" style="2" bestFit="1" customWidth="1"/>
    <col min="7947" max="7947" width="9.6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2" width="11.125" style="2" bestFit="1" customWidth="1"/>
    <col min="8203" max="8203" width="9.6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58" width="11.125" style="2" bestFit="1" customWidth="1"/>
    <col min="8459" max="8459" width="9.6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4" width="11.125" style="2" bestFit="1" customWidth="1"/>
    <col min="8715" max="8715" width="9.6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0" width="11.125" style="2" bestFit="1" customWidth="1"/>
    <col min="8971" max="8971" width="9.6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6" width="11.125" style="2" bestFit="1" customWidth="1"/>
    <col min="9227" max="9227" width="9.6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2" width="11.125" style="2" bestFit="1" customWidth="1"/>
    <col min="9483" max="9483" width="9.6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38" width="11.125" style="2" bestFit="1" customWidth="1"/>
    <col min="9739" max="9739" width="9.6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4" width="11.125" style="2" bestFit="1" customWidth="1"/>
    <col min="9995" max="9995" width="9.6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0" width="11.125" style="2" bestFit="1" customWidth="1"/>
    <col min="10251" max="10251" width="9.6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6" width="11.125" style="2" bestFit="1" customWidth="1"/>
    <col min="10507" max="10507" width="9.6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2" width="11.125" style="2" bestFit="1" customWidth="1"/>
    <col min="10763" max="10763" width="9.6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18" width="11.125" style="2" bestFit="1" customWidth="1"/>
    <col min="11019" max="11019" width="9.6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4" width="11.125" style="2" bestFit="1" customWidth="1"/>
    <col min="11275" max="11275" width="9.6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0" width="11.125" style="2" bestFit="1" customWidth="1"/>
    <col min="11531" max="11531" width="9.6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6" width="11.125" style="2" bestFit="1" customWidth="1"/>
    <col min="11787" max="11787" width="9.6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2" width="11.125" style="2" bestFit="1" customWidth="1"/>
    <col min="12043" max="12043" width="9.6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298" width="11.125" style="2" bestFit="1" customWidth="1"/>
    <col min="12299" max="12299" width="9.6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4" width="11.125" style="2" bestFit="1" customWidth="1"/>
    <col min="12555" max="12555" width="9.6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0" width="11.125" style="2" bestFit="1" customWidth="1"/>
    <col min="12811" max="12811" width="9.6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6" width="11.125" style="2" bestFit="1" customWidth="1"/>
    <col min="13067" max="13067" width="9.6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2" width="11.125" style="2" bestFit="1" customWidth="1"/>
    <col min="13323" max="13323" width="9.6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78" width="11.125" style="2" bestFit="1" customWidth="1"/>
    <col min="13579" max="13579" width="9.6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4" width="11.125" style="2" bestFit="1" customWidth="1"/>
    <col min="13835" max="13835" width="9.6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0" width="11.125" style="2" bestFit="1" customWidth="1"/>
    <col min="14091" max="14091" width="9.6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6" width="11.125" style="2" bestFit="1" customWidth="1"/>
    <col min="14347" max="14347" width="9.6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2" width="11.125" style="2" bestFit="1" customWidth="1"/>
    <col min="14603" max="14603" width="9.6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58" width="11.125" style="2" bestFit="1" customWidth="1"/>
    <col min="14859" max="14859" width="9.6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4" width="11.125" style="2" bestFit="1" customWidth="1"/>
    <col min="15115" max="15115" width="9.6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0" width="11.125" style="2" bestFit="1" customWidth="1"/>
    <col min="15371" max="15371" width="9.6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6" width="11.125" style="2" bestFit="1" customWidth="1"/>
    <col min="15627" max="15627" width="9.6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2" width="11.125" style="2" bestFit="1" customWidth="1"/>
    <col min="15883" max="15883" width="9.6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38" width="11.125" style="2" bestFit="1" customWidth="1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 ht="19.5" thickBot="1">
      <c r="A2" s="1" t="s">
        <v>71</v>
      </c>
    </row>
    <row r="3" spans="1:13">
      <c r="B3" s="3"/>
      <c r="C3" s="7" t="s">
        <v>5</v>
      </c>
      <c r="D3" s="8" t="s">
        <v>7</v>
      </c>
      <c r="E3" s="49" t="s">
        <v>72</v>
      </c>
      <c r="F3" s="6" t="s">
        <v>2</v>
      </c>
      <c r="G3" s="7" t="s">
        <v>3</v>
      </c>
      <c r="H3" s="7" t="s">
        <v>4</v>
      </c>
      <c r="I3" s="50" t="s">
        <v>6</v>
      </c>
      <c r="J3" s="61" t="s">
        <v>72</v>
      </c>
      <c r="K3" s="62" t="s">
        <v>15</v>
      </c>
    </row>
    <row r="4" spans="1:13" ht="19.5" thickBot="1">
      <c r="A4" s="43"/>
      <c r="B4" s="25" t="s">
        <v>8</v>
      </c>
      <c r="C4" s="27" t="s">
        <v>12</v>
      </c>
      <c r="D4" s="28" t="s">
        <v>14</v>
      </c>
      <c r="E4" s="48" t="s">
        <v>73</v>
      </c>
      <c r="F4" s="26" t="s">
        <v>9</v>
      </c>
      <c r="G4" s="27" t="s">
        <v>10</v>
      </c>
      <c r="H4" s="27" t="s">
        <v>11</v>
      </c>
      <c r="I4" s="51" t="s">
        <v>13</v>
      </c>
      <c r="J4" s="63" t="s">
        <v>74</v>
      </c>
      <c r="K4" s="64" t="s">
        <v>75</v>
      </c>
    </row>
    <row r="5" spans="1:13">
      <c r="A5" s="1" t="s">
        <v>1</v>
      </c>
      <c r="B5" s="21" t="s">
        <v>16</v>
      </c>
      <c r="C5" s="23">
        <v>20</v>
      </c>
      <c r="D5" s="24">
        <v>19</v>
      </c>
      <c r="E5" s="44">
        <f>SUM(C5:D5)</f>
        <v>39</v>
      </c>
      <c r="F5" s="22">
        <v>20</v>
      </c>
      <c r="G5" s="23">
        <v>20</v>
      </c>
      <c r="H5" s="23">
        <v>21</v>
      </c>
      <c r="I5" s="52">
        <v>20</v>
      </c>
      <c r="J5" s="65">
        <f>SUM(F5:I5)</f>
        <v>81</v>
      </c>
      <c r="K5" s="65">
        <f>E5+J5</f>
        <v>120</v>
      </c>
      <c r="M5"/>
    </row>
    <row r="6" spans="1:13">
      <c r="A6" s="1" t="s">
        <v>1</v>
      </c>
      <c r="B6" s="4" t="s">
        <v>17</v>
      </c>
      <c r="C6" s="10">
        <v>0</v>
      </c>
      <c r="D6" s="11">
        <v>0</v>
      </c>
      <c r="E6" s="45"/>
      <c r="F6" s="9">
        <v>0</v>
      </c>
      <c r="G6" s="10">
        <v>1</v>
      </c>
      <c r="H6" s="10">
        <v>3</v>
      </c>
      <c r="I6" s="53">
        <v>1</v>
      </c>
      <c r="J6" s="66">
        <f>SUM(F6:I6)</f>
        <v>5</v>
      </c>
      <c r="K6" s="66">
        <f t="shared" ref="K6:K52" si="0">E6+J6</f>
        <v>5</v>
      </c>
      <c r="M6"/>
    </row>
    <row r="7" spans="1:13">
      <c r="A7" s="1" t="s">
        <v>1</v>
      </c>
      <c r="B7" s="4" t="s">
        <v>18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0</v>
      </c>
      <c r="I7" s="53">
        <v>0</v>
      </c>
      <c r="J7" s="66"/>
      <c r="K7" s="66">
        <f t="shared" si="0"/>
        <v>0</v>
      </c>
      <c r="M7"/>
    </row>
    <row r="8" spans="1:13">
      <c r="A8" s="1" t="s">
        <v>1</v>
      </c>
      <c r="B8" s="4" t="s">
        <v>19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53">
        <v>0</v>
      </c>
      <c r="J8" s="66"/>
      <c r="K8" s="66">
        <f t="shared" si="0"/>
        <v>0</v>
      </c>
      <c r="M8"/>
    </row>
    <row r="9" spans="1:13">
      <c r="A9" s="1" t="s">
        <v>1</v>
      </c>
      <c r="B9" s="4" t="s">
        <v>20</v>
      </c>
      <c r="C9" s="10">
        <v>1</v>
      </c>
      <c r="D9" s="11">
        <v>0</v>
      </c>
      <c r="E9" s="45">
        <f>SUM(C9:D9)</f>
        <v>1</v>
      </c>
      <c r="F9" s="9">
        <v>1</v>
      </c>
      <c r="G9" s="10">
        <v>1</v>
      </c>
      <c r="H9" s="10">
        <v>0</v>
      </c>
      <c r="I9" s="53">
        <v>1</v>
      </c>
      <c r="J9" s="66">
        <f>SUM(F9:I9)</f>
        <v>3</v>
      </c>
      <c r="K9" s="66">
        <f t="shared" si="0"/>
        <v>4</v>
      </c>
      <c r="M9"/>
    </row>
    <row r="10" spans="1:13">
      <c r="A10" s="1" t="s">
        <v>1</v>
      </c>
      <c r="B10" s="4" t="s">
        <v>21</v>
      </c>
      <c r="C10" s="10">
        <v>0</v>
      </c>
      <c r="D10" s="11">
        <v>0</v>
      </c>
      <c r="E10" s="45"/>
      <c r="F10" s="9">
        <v>0</v>
      </c>
      <c r="G10" s="10">
        <v>0</v>
      </c>
      <c r="H10" s="10">
        <v>0</v>
      </c>
      <c r="I10" s="53">
        <v>0</v>
      </c>
      <c r="J10" s="66"/>
      <c r="K10" s="66">
        <f t="shared" si="0"/>
        <v>0</v>
      </c>
      <c r="M10"/>
    </row>
    <row r="11" spans="1:13">
      <c r="A11" s="1" t="s">
        <v>1</v>
      </c>
      <c r="B11" s="4" t="s">
        <v>22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53">
        <v>0</v>
      </c>
      <c r="J11" s="66"/>
      <c r="K11" s="66">
        <f t="shared" si="0"/>
        <v>0</v>
      </c>
      <c r="M11"/>
    </row>
    <row r="12" spans="1:13">
      <c r="A12" s="1" t="s">
        <v>1</v>
      </c>
      <c r="B12" s="4" t="s">
        <v>23</v>
      </c>
      <c r="C12" s="13">
        <v>0</v>
      </c>
      <c r="D12" s="14">
        <v>3.3333333333333335</v>
      </c>
      <c r="E12" s="46">
        <f>SUM(C12:D12)</f>
        <v>3.3333333333333335</v>
      </c>
      <c r="F12" s="12">
        <v>0</v>
      </c>
      <c r="G12" s="13">
        <v>0</v>
      </c>
      <c r="H12" s="13">
        <v>0</v>
      </c>
      <c r="I12" s="54">
        <v>0</v>
      </c>
      <c r="J12" s="67"/>
      <c r="K12" s="67">
        <f t="shared" si="0"/>
        <v>3.3333333333333335</v>
      </c>
      <c r="M12"/>
    </row>
    <row r="13" spans="1:13">
      <c r="A13" s="1" t="s">
        <v>1</v>
      </c>
      <c r="B13" s="4" t="s">
        <v>24</v>
      </c>
      <c r="C13" s="13">
        <v>0</v>
      </c>
      <c r="D13" s="14">
        <v>0</v>
      </c>
      <c r="E13" s="46"/>
      <c r="F13" s="12">
        <v>2.3333333333333335</v>
      </c>
      <c r="G13" s="13">
        <v>3.0833333333333335</v>
      </c>
      <c r="H13" s="13">
        <v>2.75</v>
      </c>
      <c r="I13" s="54">
        <v>1.5833333333333335</v>
      </c>
      <c r="J13" s="67">
        <f>SUM(F13:I13)</f>
        <v>9.7500000000000018</v>
      </c>
      <c r="K13" s="67">
        <f t="shared" si="0"/>
        <v>9.7500000000000018</v>
      </c>
      <c r="M13"/>
    </row>
    <row r="14" spans="1:13">
      <c r="A14" s="1" t="s">
        <v>1</v>
      </c>
      <c r="B14" s="4" t="s">
        <v>25</v>
      </c>
      <c r="C14" s="13">
        <v>0</v>
      </c>
      <c r="D14" s="14">
        <v>0</v>
      </c>
      <c r="E14" s="46"/>
      <c r="F14" s="12">
        <v>0</v>
      </c>
      <c r="G14" s="13">
        <v>0.54166666666666663</v>
      </c>
      <c r="H14" s="13">
        <v>0.83333333333333337</v>
      </c>
      <c r="I14" s="54">
        <v>0.25</v>
      </c>
      <c r="J14" s="67">
        <f>SUM(F14:I14)</f>
        <v>1.625</v>
      </c>
      <c r="K14" s="67">
        <f t="shared" si="0"/>
        <v>1.625</v>
      </c>
      <c r="M14"/>
    </row>
    <row r="15" spans="1:13">
      <c r="A15" s="1" t="s">
        <v>1</v>
      </c>
      <c r="B15" s="4" t="s">
        <v>26</v>
      </c>
      <c r="C15" s="13">
        <v>0</v>
      </c>
      <c r="D15" s="14">
        <v>0</v>
      </c>
      <c r="E15" s="46"/>
      <c r="F15" s="12">
        <v>0</v>
      </c>
      <c r="G15" s="13">
        <v>0</v>
      </c>
      <c r="H15" s="13">
        <v>0</v>
      </c>
      <c r="I15" s="54">
        <v>0</v>
      </c>
      <c r="J15" s="67"/>
      <c r="K15" s="67">
        <f t="shared" si="0"/>
        <v>0</v>
      </c>
      <c r="M15"/>
    </row>
    <row r="16" spans="1:13">
      <c r="A16" s="1" t="s">
        <v>1</v>
      </c>
      <c r="B16" s="4" t="s">
        <v>27</v>
      </c>
      <c r="C16" s="13">
        <v>0</v>
      </c>
      <c r="D16" s="14">
        <v>0</v>
      </c>
      <c r="E16" s="46"/>
      <c r="F16" s="12">
        <v>0</v>
      </c>
      <c r="G16" s="13">
        <v>0</v>
      </c>
      <c r="H16" s="13">
        <v>0</v>
      </c>
      <c r="I16" s="54">
        <v>0</v>
      </c>
      <c r="J16" s="67"/>
      <c r="K16" s="67">
        <f t="shared" si="0"/>
        <v>0</v>
      </c>
      <c r="M16"/>
    </row>
    <row r="17" spans="1:13">
      <c r="A17" s="1" t="s">
        <v>1</v>
      </c>
      <c r="B17" s="4" t="s">
        <v>28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54">
        <v>0</v>
      </c>
      <c r="J17" s="67"/>
      <c r="K17" s="67">
        <f t="shared" si="0"/>
        <v>0</v>
      </c>
      <c r="M17"/>
    </row>
    <row r="18" spans="1:13">
      <c r="A18" s="1" t="s">
        <v>1</v>
      </c>
      <c r="B18" s="4" t="s">
        <v>29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54">
        <v>0</v>
      </c>
      <c r="J18" s="67"/>
      <c r="K18" s="67">
        <f t="shared" si="0"/>
        <v>0</v>
      </c>
      <c r="M18"/>
    </row>
    <row r="19" spans="1:13">
      <c r="A19" s="1" t="s">
        <v>1</v>
      </c>
      <c r="B19" s="4" t="s">
        <v>30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54">
        <v>0</v>
      </c>
      <c r="J19" s="67"/>
      <c r="K19" s="67">
        <f t="shared" si="0"/>
        <v>0</v>
      </c>
      <c r="M19"/>
    </row>
    <row r="20" spans="1:13">
      <c r="A20" s="1" t="s">
        <v>1</v>
      </c>
      <c r="B20" s="4" t="s">
        <v>31</v>
      </c>
      <c r="C20" s="13">
        <v>0</v>
      </c>
      <c r="D20" s="14">
        <v>0</v>
      </c>
      <c r="E20" s="46"/>
      <c r="F20" s="12">
        <v>0</v>
      </c>
      <c r="G20" s="13">
        <v>0</v>
      </c>
      <c r="H20" s="13">
        <v>0</v>
      </c>
      <c r="I20" s="54">
        <v>0</v>
      </c>
      <c r="J20" s="67"/>
      <c r="K20" s="67">
        <f t="shared" si="0"/>
        <v>0</v>
      </c>
      <c r="M20"/>
    </row>
    <row r="21" spans="1:13">
      <c r="A21" s="1" t="s">
        <v>1</v>
      </c>
      <c r="B21" s="4" t="s">
        <v>32</v>
      </c>
      <c r="C21" s="13">
        <v>8.3333333333333329E-2</v>
      </c>
      <c r="D21" s="14">
        <v>0</v>
      </c>
      <c r="E21" s="46">
        <f>SUM(C21:D21)</f>
        <v>8.3333333333333329E-2</v>
      </c>
      <c r="F21" s="12">
        <v>0.33333333333333331</v>
      </c>
      <c r="G21" s="13">
        <v>0.29166666666666669</v>
      </c>
      <c r="H21" s="13">
        <v>0.20833333333333334</v>
      </c>
      <c r="I21" s="54">
        <v>0.16666666666666666</v>
      </c>
      <c r="J21" s="67">
        <f>SUM(F21:I21)</f>
        <v>1</v>
      </c>
      <c r="K21" s="67">
        <f t="shared" si="0"/>
        <v>1.0833333333333333</v>
      </c>
      <c r="M21"/>
    </row>
    <row r="22" spans="1:13" ht="19.5" thickBot="1">
      <c r="A22" s="1" t="s">
        <v>1</v>
      </c>
      <c r="B22" s="5" t="s">
        <v>33</v>
      </c>
      <c r="C22" s="33">
        <v>24</v>
      </c>
      <c r="D22" s="34">
        <v>10</v>
      </c>
      <c r="E22" s="47">
        <f>SUM(C22:D22)</f>
        <v>34</v>
      </c>
      <c r="F22" s="32">
        <v>27</v>
      </c>
      <c r="G22" s="33">
        <v>27</v>
      </c>
      <c r="H22" s="33">
        <v>16</v>
      </c>
      <c r="I22" s="55">
        <v>9</v>
      </c>
      <c r="J22" s="68">
        <f>SUM(F22:I22)</f>
        <v>79</v>
      </c>
      <c r="K22" s="68">
        <f t="shared" si="0"/>
        <v>113</v>
      </c>
      <c r="M22"/>
    </row>
    <row r="23" spans="1:13">
      <c r="A23" s="1" t="s">
        <v>1</v>
      </c>
      <c r="B23" s="21" t="s">
        <v>34</v>
      </c>
      <c r="C23" s="30">
        <v>355000</v>
      </c>
      <c r="D23" s="31">
        <v>0</v>
      </c>
      <c r="E23" s="31">
        <f>SUM(C23:D23)</f>
        <v>355000</v>
      </c>
      <c r="F23" s="29">
        <v>182000</v>
      </c>
      <c r="G23" s="30">
        <v>192000</v>
      </c>
      <c r="H23" s="30">
        <v>177000</v>
      </c>
      <c r="I23" s="56">
        <v>182000</v>
      </c>
      <c r="J23" s="69">
        <f>SUM(F23:I23)</f>
        <v>733000</v>
      </c>
      <c r="K23" s="69">
        <f t="shared" si="0"/>
        <v>1088000</v>
      </c>
      <c r="M23"/>
    </row>
    <row r="24" spans="1:13">
      <c r="A24" s="1" t="s">
        <v>1</v>
      </c>
      <c r="B24" s="4" t="s">
        <v>35</v>
      </c>
      <c r="C24" s="16">
        <v>0</v>
      </c>
      <c r="D24" s="17">
        <v>0</v>
      </c>
      <c r="E24" s="17">
        <f t="shared" ref="E24:E59" si="1">SUM(C24:D24)</f>
        <v>0</v>
      </c>
      <c r="F24" s="15">
        <v>5000</v>
      </c>
      <c r="G24" s="16">
        <v>0</v>
      </c>
      <c r="H24" s="16">
        <v>5000</v>
      </c>
      <c r="I24" s="57">
        <v>0</v>
      </c>
      <c r="J24" s="70">
        <f t="shared" ref="J24:J59" si="2">SUM(F24:I24)</f>
        <v>10000</v>
      </c>
      <c r="K24" s="70">
        <f t="shared" si="0"/>
        <v>10000</v>
      </c>
      <c r="M24"/>
    </row>
    <row r="25" spans="1:13">
      <c r="A25" s="1" t="s">
        <v>1</v>
      </c>
      <c r="B25" s="4" t="s">
        <v>36</v>
      </c>
      <c r="C25" s="16">
        <v>0</v>
      </c>
      <c r="D25" s="17">
        <v>0</v>
      </c>
      <c r="E25" s="17">
        <f t="shared" si="1"/>
        <v>0</v>
      </c>
      <c r="F25" s="15">
        <v>3000</v>
      </c>
      <c r="G25" s="16">
        <v>3000</v>
      </c>
      <c r="H25" s="16">
        <v>6000</v>
      </c>
      <c r="I25" s="57">
        <v>0</v>
      </c>
      <c r="J25" s="70">
        <f t="shared" si="2"/>
        <v>12000</v>
      </c>
      <c r="K25" s="70">
        <f t="shared" si="0"/>
        <v>12000</v>
      </c>
      <c r="M25"/>
    </row>
    <row r="26" spans="1:13">
      <c r="A26" s="1" t="s">
        <v>1</v>
      </c>
      <c r="B26" s="4" t="s">
        <v>37</v>
      </c>
      <c r="C26" s="16">
        <v>50000</v>
      </c>
      <c r="D26" s="17">
        <v>0</v>
      </c>
      <c r="E26" s="17">
        <f t="shared" si="1"/>
        <v>50000</v>
      </c>
      <c r="F26" s="15">
        <v>50000</v>
      </c>
      <c r="G26" s="16">
        <v>50000</v>
      </c>
      <c r="H26" s="16">
        <v>50000</v>
      </c>
      <c r="I26" s="57">
        <v>50000</v>
      </c>
      <c r="J26" s="70">
        <f t="shared" si="2"/>
        <v>200000</v>
      </c>
      <c r="K26" s="70">
        <f t="shared" si="0"/>
        <v>250000</v>
      </c>
      <c r="M26"/>
    </row>
    <row r="27" spans="1:13">
      <c r="A27" s="1" t="s">
        <v>1</v>
      </c>
      <c r="B27" s="4" t="s">
        <v>38</v>
      </c>
      <c r="C27" s="16">
        <v>0</v>
      </c>
      <c r="D27" s="17">
        <v>86000</v>
      </c>
      <c r="E27" s="17">
        <f t="shared" si="1"/>
        <v>86000</v>
      </c>
      <c r="F27" s="15">
        <v>0</v>
      </c>
      <c r="G27" s="16">
        <v>0</v>
      </c>
      <c r="H27" s="16">
        <v>0</v>
      </c>
      <c r="I27" s="57">
        <v>0</v>
      </c>
      <c r="J27" s="70">
        <f t="shared" si="2"/>
        <v>0</v>
      </c>
      <c r="K27" s="70">
        <f t="shared" si="0"/>
        <v>86000</v>
      </c>
      <c r="M27"/>
    </row>
    <row r="28" spans="1:13">
      <c r="A28" s="1" t="s">
        <v>1</v>
      </c>
      <c r="B28" s="4" t="s">
        <v>39</v>
      </c>
      <c r="C28" s="16">
        <v>0</v>
      </c>
      <c r="D28" s="17">
        <v>0</v>
      </c>
      <c r="E28" s="17">
        <f t="shared" si="1"/>
        <v>0</v>
      </c>
      <c r="F28" s="15">
        <v>0</v>
      </c>
      <c r="G28" s="16">
        <v>0</v>
      </c>
      <c r="H28" s="16">
        <v>0</v>
      </c>
      <c r="I28" s="57">
        <v>0</v>
      </c>
      <c r="J28" s="70">
        <f t="shared" si="2"/>
        <v>0</v>
      </c>
      <c r="K28" s="70">
        <f t="shared" si="0"/>
        <v>0</v>
      </c>
      <c r="M28"/>
    </row>
    <row r="29" spans="1:13">
      <c r="A29" s="1" t="s">
        <v>1</v>
      </c>
      <c r="B29" s="4" t="s">
        <v>40</v>
      </c>
      <c r="C29" s="16">
        <v>0</v>
      </c>
      <c r="D29" s="17">
        <v>0</v>
      </c>
      <c r="E29" s="17">
        <f t="shared" si="1"/>
        <v>0</v>
      </c>
      <c r="F29" s="15">
        <v>0</v>
      </c>
      <c r="G29" s="16">
        <v>0</v>
      </c>
      <c r="H29" s="16">
        <v>0</v>
      </c>
      <c r="I29" s="57">
        <v>0</v>
      </c>
      <c r="J29" s="70">
        <f t="shared" si="2"/>
        <v>0</v>
      </c>
      <c r="K29" s="70">
        <f t="shared" si="0"/>
        <v>0</v>
      </c>
      <c r="M29"/>
    </row>
    <row r="30" spans="1:13">
      <c r="A30" s="1" t="s">
        <v>1</v>
      </c>
      <c r="B30" s="4" t="s">
        <v>41</v>
      </c>
      <c r="C30" s="16">
        <v>0</v>
      </c>
      <c r="D30" s="17">
        <v>0</v>
      </c>
      <c r="E30" s="17">
        <f t="shared" si="1"/>
        <v>0</v>
      </c>
      <c r="F30" s="15">
        <v>2000</v>
      </c>
      <c r="G30" s="16">
        <v>2000</v>
      </c>
      <c r="H30" s="16">
        <v>0</v>
      </c>
      <c r="I30" s="57">
        <v>2000</v>
      </c>
      <c r="J30" s="70">
        <f t="shared" si="2"/>
        <v>6000</v>
      </c>
      <c r="K30" s="70">
        <f t="shared" si="0"/>
        <v>6000</v>
      </c>
      <c r="M30"/>
    </row>
    <row r="31" spans="1:13">
      <c r="A31" s="1" t="s">
        <v>1</v>
      </c>
      <c r="B31" s="4" t="s">
        <v>42</v>
      </c>
      <c r="C31" s="16">
        <v>0</v>
      </c>
      <c r="D31" s="17">
        <v>0</v>
      </c>
      <c r="E31" s="17">
        <f t="shared" si="1"/>
        <v>0</v>
      </c>
      <c r="F31" s="15">
        <v>0</v>
      </c>
      <c r="G31" s="16">
        <v>0</v>
      </c>
      <c r="H31" s="16">
        <v>0</v>
      </c>
      <c r="I31" s="57">
        <v>0</v>
      </c>
      <c r="J31" s="70">
        <f t="shared" si="2"/>
        <v>0</v>
      </c>
      <c r="K31" s="70">
        <f t="shared" si="0"/>
        <v>0</v>
      </c>
      <c r="M31"/>
    </row>
    <row r="32" spans="1:13">
      <c r="A32" s="1" t="s">
        <v>1</v>
      </c>
      <c r="B32" s="4" t="s">
        <v>43</v>
      </c>
      <c r="C32" s="16">
        <v>0</v>
      </c>
      <c r="D32" s="17">
        <v>0</v>
      </c>
      <c r="E32" s="17">
        <f t="shared" si="1"/>
        <v>0</v>
      </c>
      <c r="F32" s="15">
        <v>0</v>
      </c>
      <c r="G32" s="16">
        <v>13000</v>
      </c>
      <c r="H32" s="16">
        <v>15000</v>
      </c>
      <c r="I32" s="57">
        <v>13000</v>
      </c>
      <c r="J32" s="70">
        <f t="shared" si="2"/>
        <v>41000</v>
      </c>
      <c r="K32" s="70">
        <f t="shared" si="0"/>
        <v>41000</v>
      </c>
      <c r="M32"/>
    </row>
    <row r="33" spans="1:13">
      <c r="A33" s="1" t="s">
        <v>1</v>
      </c>
      <c r="B33" s="4" t="s">
        <v>44</v>
      </c>
      <c r="C33" s="16">
        <v>0</v>
      </c>
      <c r="D33" s="17">
        <v>0</v>
      </c>
      <c r="E33" s="17">
        <f t="shared" si="1"/>
        <v>0</v>
      </c>
      <c r="F33" s="15">
        <v>0</v>
      </c>
      <c r="G33" s="16">
        <v>0</v>
      </c>
      <c r="H33" s="16">
        <v>0</v>
      </c>
      <c r="I33" s="57">
        <v>0</v>
      </c>
      <c r="J33" s="70">
        <f t="shared" si="2"/>
        <v>0</v>
      </c>
      <c r="K33" s="70">
        <f t="shared" si="0"/>
        <v>0</v>
      </c>
      <c r="M33"/>
    </row>
    <row r="34" spans="1:13">
      <c r="A34" s="1" t="s">
        <v>1</v>
      </c>
      <c r="B34" s="4" t="s">
        <v>45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0</v>
      </c>
      <c r="H34" s="16">
        <v>0</v>
      </c>
      <c r="I34" s="57">
        <v>0</v>
      </c>
      <c r="J34" s="70">
        <f t="shared" si="2"/>
        <v>0</v>
      </c>
      <c r="K34" s="70">
        <f t="shared" si="0"/>
        <v>0</v>
      </c>
      <c r="M34"/>
    </row>
    <row r="35" spans="1:13">
      <c r="A35" s="1" t="s">
        <v>1</v>
      </c>
      <c r="B35" s="4" t="s">
        <v>24</v>
      </c>
      <c r="C35" s="16">
        <v>0</v>
      </c>
      <c r="D35" s="17">
        <v>0</v>
      </c>
      <c r="E35" s="17">
        <f t="shared" si="1"/>
        <v>0</v>
      </c>
      <c r="F35" s="15">
        <v>101416</v>
      </c>
      <c r="G35" s="16">
        <v>144004</v>
      </c>
      <c r="H35" s="16">
        <v>125004</v>
      </c>
      <c r="I35" s="57">
        <v>70262</v>
      </c>
      <c r="J35" s="70">
        <f t="shared" si="2"/>
        <v>440686</v>
      </c>
      <c r="K35" s="70">
        <f t="shared" si="0"/>
        <v>440686</v>
      </c>
      <c r="M35"/>
    </row>
    <row r="36" spans="1:13">
      <c r="A36" s="1" t="s">
        <v>1</v>
      </c>
      <c r="B36" s="4" t="s">
        <v>46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27326</v>
      </c>
      <c r="H36" s="16">
        <v>40900</v>
      </c>
      <c r="I36" s="57">
        <v>11982</v>
      </c>
      <c r="J36" s="70">
        <f t="shared" si="2"/>
        <v>80208</v>
      </c>
      <c r="K36" s="70">
        <f t="shared" si="0"/>
        <v>80208</v>
      </c>
      <c r="M36"/>
    </row>
    <row r="37" spans="1:13">
      <c r="A37" s="1" t="s">
        <v>1</v>
      </c>
      <c r="B37" s="4" t="s">
        <v>47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0</v>
      </c>
      <c r="H37" s="16">
        <v>0</v>
      </c>
      <c r="I37" s="57">
        <v>0</v>
      </c>
      <c r="J37" s="70">
        <f t="shared" si="2"/>
        <v>0</v>
      </c>
      <c r="K37" s="70">
        <f t="shared" si="0"/>
        <v>0</v>
      </c>
      <c r="M37"/>
    </row>
    <row r="38" spans="1:13">
      <c r="A38" s="1" t="s">
        <v>1</v>
      </c>
      <c r="B38" s="4" t="s">
        <v>48</v>
      </c>
      <c r="C38" s="16">
        <v>0</v>
      </c>
      <c r="D38" s="17">
        <v>0</v>
      </c>
      <c r="E38" s="17">
        <f t="shared" si="1"/>
        <v>0</v>
      </c>
      <c r="F38" s="15">
        <v>0</v>
      </c>
      <c r="G38" s="16">
        <v>0</v>
      </c>
      <c r="H38" s="16">
        <v>0</v>
      </c>
      <c r="I38" s="57">
        <v>0</v>
      </c>
      <c r="J38" s="70">
        <f t="shared" si="2"/>
        <v>0</v>
      </c>
      <c r="K38" s="70">
        <f t="shared" si="0"/>
        <v>0</v>
      </c>
      <c r="M38"/>
    </row>
    <row r="39" spans="1:13">
      <c r="A39" s="1" t="s">
        <v>1</v>
      </c>
      <c r="B39" s="4" t="s">
        <v>49</v>
      </c>
      <c r="C39" s="16">
        <v>0</v>
      </c>
      <c r="D39" s="17">
        <v>0</v>
      </c>
      <c r="E39" s="17">
        <f t="shared" si="1"/>
        <v>0</v>
      </c>
      <c r="F39" s="15">
        <v>0</v>
      </c>
      <c r="G39" s="16">
        <v>0</v>
      </c>
      <c r="H39" s="16">
        <v>0</v>
      </c>
      <c r="I39" s="57">
        <v>0</v>
      </c>
      <c r="J39" s="70">
        <f t="shared" si="2"/>
        <v>0</v>
      </c>
      <c r="K39" s="70">
        <f t="shared" si="0"/>
        <v>0</v>
      </c>
      <c r="M39"/>
    </row>
    <row r="40" spans="1:13">
      <c r="A40" s="1" t="s">
        <v>1</v>
      </c>
      <c r="B40" s="4" t="s">
        <v>50</v>
      </c>
      <c r="C40" s="16">
        <v>0</v>
      </c>
      <c r="D40" s="17">
        <v>0</v>
      </c>
      <c r="E40" s="17">
        <f t="shared" si="1"/>
        <v>0</v>
      </c>
      <c r="F40" s="15">
        <v>0</v>
      </c>
      <c r="G40" s="16">
        <v>0</v>
      </c>
      <c r="H40" s="16">
        <v>0</v>
      </c>
      <c r="I40" s="57">
        <v>0</v>
      </c>
      <c r="J40" s="70">
        <f t="shared" si="2"/>
        <v>0</v>
      </c>
      <c r="K40" s="70">
        <f t="shared" si="0"/>
        <v>0</v>
      </c>
      <c r="M40"/>
    </row>
    <row r="41" spans="1:13">
      <c r="A41" s="1" t="s">
        <v>1</v>
      </c>
      <c r="B41" s="4" t="s">
        <v>29</v>
      </c>
      <c r="C41" s="16">
        <v>0</v>
      </c>
      <c r="D41" s="17">
        <v>0</v>
      </c>
      <c r="E41" s="17">
        <f t="shared" si="1"/>
        <v>0</v>
      </c>
      <c r="F41" s="15">
        <v>0</v>
      </c>
      <c r="G41" s="16">
        <v>0</v>
      </c>
      <c r="H41" s="16">
        <v>0</v>
      </c>
      <c r="I41" s="57">
        <v>0</v>
      </c>
      <c r="J41" s="70">
        <f t="shared" si="2"/>
        <v>0</v>
      </c>
      <c r="K41" s="70">
        <f t="shared" si="0"/>
        <v>0</v>
      </c>
      <c r="M41"/>
    </row>
    <row r="42" spans="1:13" ht="19.5" thickBot="1">
      <c r="A42" s="1" t="s">
        <v>1</v>
      </c>
      <c r="B42" s="35" t="s">
        <v>32</v>
      </c>
      <c r="C42" s="37">
        <v>1212</v>
      </c>
      <c r="D42" s="38">
        <v>0</v>
      </c>
      <c r="E42" s="38">
        <f t="shared" si="1"/>
        <v>1212</v>
      </c>
      <c r="F42" s="36">
        <v>2896</v>
      </c>
      <c r="G42" s="37">
        <v>2723</v>
      </c>
      <c r="H42" s="37">
        <v>1895</v>
      </c>
      <c r="I42" s="58">
        <v>1480</v>
      </c>
      <c r="J42" s="71">
        <f t="shared" si="2"/>
        <v>8994</v>
      </c>
      <c r="K42" s="71">
        <f t="shared" si="0"/>
        <v>10206</v>
      </c>
      <c r="M42"/>
    </row>
    <row r="43" spans="1:13" ht="19.5" thickBot="1">
      <c r="A43" s="1" t="s">
        <v>1</v>
      </c>
      <c r="B43" s="39" t="s">
        <v>51</v>
      </c>
      <c r="C43" s="41">
        <v>406212</v>
      </c>
      <c r="D43" s="42">
        <v>86000</v>
      </c>
      <c r="E43" s="42">
        <f t="shared" si="1"/>
        <v>492212</v>
      </c>
      <c r="F43" s="40">
        <v>346312</v>
      </c>
      <c r="G43" s="41">
        <v>434053</v>
      </c>
      <c r="H43" s="41">
        <v>420799</v>
      </c>
      <c r="I43" s="59">
        <v>330724</v>
      </c>
      <c r="J43" s="72">
        <f t="shared" si="2"/>
        <v>1531888</v>
      </c>
      <c r="K43" s="72">
        <f t="shared" si="0"/>
        <v>2024100</v>
      </c>
      <c r="M43"/>
    </row>
    <row r="44" spans="1:13" ht="19.5" thickBot="1">
      <c r="A44" s="1" t="s">
        <v>1</v>
      </c>
      <c r="B44" s="21" t="s">
        <v>52</v>
      </c>
      <c r="C44" s="30">
        <v>9059</v>
      </c>
      <c r="D44" s="31">
        <v>0</v>
      </c>
      <c r="E44" s="31">
        <f t="shared" si="1"/>
        <v>9059</v>
      </c>
      <c r="F44" s="29">
        <v>5964</v>
      </c>
      <c r="G44" s="30">
        <v>1581</v>
      </c>
      <c r="H44" s="30">
        <v>4000</v>
      </c>
      <c r="I44" s="56">
        <v>0</v>
      </c>
      <c r="J44" s="69">
        <f t="shared" si="2"/>
        <v>11545</v>
      </c>
      <c r="K44" s="69">
        <f t="shared" si="0"/>
        <v>20604</v>
      </c>
      <c r="M44"/>
    </row>
    <row r="45" spans="1:13" ht="19.5" thickBot="1">
      <c r="A45" s="1" t="s">
        <v>1</v>
      </c>
      <c r="B45" s="39" t="s">
        <v>53</v>
      </c>
      <c r="C45" s="41">
        <v>9059</v>
      </c>
      <c r="D45" s="42">
        <v>0</v>
      </c>
      <c r="E45" s="42">
        <f t="shared" si="1"/>
        <v>9059</v>
      </c>
      <c r="F45" s="40">
        <v>5964</v>
      </c>
      <c r="G45" s="41">
        <v>1581</v>
      </c>
      <c r="H45" s="41">
        <v>4000</v>
      </c>
      <c r="I45" s="59">
        <v>0</v>
      </c>
      <c r="J45" s="72">
        <f t="shared" si="2"/>
        <v>11545</v>
      </c>
      <c r="K45" s="72">
        <f t="shared" si="0"/>
        <v>20604</v>
      </c>
      <c r="M45"/>
    </row>
    <row r="46" spans="1:13" ht="19.5" thickBot="1">
      <c r="A46" s="1" t="s">
        <v>1</v>
      </c>
      <c r="B46" s="39" t="s">
        <v>54</v>
      </c>
      <c r="C46" s="41">
        <v>415271</v>
      </c>
      <c r="D46" s="42">
        <v>86000</v>
      </c>
      <c r="E46" s="42">
        <f t="shared" si="1"/>
        <v>501271</v>
      </c>
      <c r="F46" s="40">
        <v>352276</v>
      </c>
      <c r="G46" s="41">
        <v>435634</v>
      </c>
      <c r="H46" s="41">
        <v>424799</v>
      </c>
      <c r="I46" s="59">
        <v>330724</v>
      </c>
      <c r="J46" s="72">
        <f t="shared" si="2"/>
        <v>1543433</v>
      </c>
      <c r="K46" s="72">
        <f t="shared" si="0"/>
        <v>2044704</v>
      </c>
      <c r="M46"/>
    </row>
    <row r="47" spans="1:13">
      <c r="A47" s="1" t="s">
        <v>1</v>
      </c>
      <c r="B47" s="21" t="s">
        <v>55</v>
      </c>
      <c r="C47" s="30">
        <v>20910</v>
      </c>
      <c r="D47" s="31">
        <v>0</v>
      </c>
      <c r="E47" s="31">
        <f t="shared" si="1"/>
        <v>20910</v>
      </c>
      <c r="F47" s="29">
        <v>17340</v>
      </c>
      <c r="G47" s="30">
        <v>19380</v>
      </c>
      <c r="H47" s="30">
        <v>18360</v>
      </c>
      <c r="I47" s="56">
        <v>16320</v>
      </c>
      <c r="J47" s="69">
        <f t="shared" si="2"/>
        <v>71400</v>
      </c>
      <c r="K47" s="69">
        <f t="shared" si="0"/>
        <v>92310</v>
      </c>
      <c r="M47"/>
    </row>
    <row r="48" spans="1:13">
      <c r="A48" s="1" t="s">
        <v>1</v>
      </c>
      <c r="B48" s="4" t="s">
        <v>56</v>
      </c>
      <c r="C48" s="16">
        <v>3690</v>
      </c>
      <c r="D48" s="17">
        <v>0</v>
      </c>
      <c r="E48" s="17">
        <f t="shared" si="1"/>
        <v>3690</v>
      </c>
      <c r="F48" s="15">
        <v>3060</v>
      </c>
      <c r="G48" s="16">
        <v>3420</v>
      </c>
      <c r="H48" s="16">
        <v>3240</v>
      </c>
      <c r="I48" s="57">
        <v>2880</v>
      </c>
      <c r="J48" s="70">
        <f t="shared" si="2"/>
        <v>12600</v>
      </c>
      <c r="K48" s="70">
        <f t="shared" si="0"/>
        <v>16290</v>
      </c>
      <c r="M48"/>
    </row>
    <row r="49" spans="1:13">
      <c r="A49" s="1" t="s">
        <v>1</v>
      </c>
      <c r="B49" s="4" t="s">
        <v>57</v>
      </c>
      <c r="C49" s="16">
        <v>37515</v>
      </c>
      <c r="D49" s="17">
        <v>0</v>
      </c>
      <c r="E49" s="17">
        <f t="shared" si="1"/>
        <v>37515</v>
      </c>
      <c r="F49" s="15">
        <v>31110</v>
      </c>
      <c r="G49" s="16">
        <v>34770</v>
      </c>
      <c r="H49" s="16">
        <v>32940</v>
      </c>
      <c r="I49" s="57">
        <v>29280</v>
      </c>
      <c r="J49" s="70">
        <f t="shared" si="2"/>
        <v>128100</v>
      </c>
      <c r="K49" s="70">
        <f t="shared" si="0"/>
        <v>165615</v>
      </c>
      <c r="M49"/>
    </row>
    <row r="50" spans="1:13" ht="19.5" thickBot="1">
      <c r="A50" s="1" t="s">
        <v>1</v>
      </c>
      <c r="B50" s="4" t="s">
        <v>58</v>
      </c>
      <c r="C50" s="16">
        <v>2076</v>
      </c>
      <c r="D50" s="17">
        <v>430</v>
      </c>
      <c r="E50" s="17">
        <f t="shared" si="1"/>
        <v>2506</v>
      </c>
      <c r="F50" s="15">
        <v>1761</v>
      </c>
      <c r="G50" s="16">
        <v>2178</v>
      </c>
      <c r="H50" s="16">
        <v>2124</v>
      </c>
      <c r="I50" s="57">
        <v>1654</v>
      </c>
      <c r="J50" s="70">
        <f t="shared" si="2"/>
        <v>7717</v>
      </c>
      <c r="K50" s="70">
        <f t="shared" si="0"/>
        <v>10223</v>
      </c>
      <c r="M50"/>
    </row>
    <row r="51" spans="1:13" ht="19.5" thickBot="1">
      <c r="A51" s="1" t="s">
        <v>1</v>
      </c>
      <c r="B51" s="39" t="s">
        <v>59</v>
      </c>
      <c r="C51" s="41">
        <v>64191</v>
      </c>
      <c r="D51" s="42">
        <v>430</v>
      </c>
      <c r="E51" s="42">
        <f t="shared" si="1"/>
        <v>64621</v>
      </c>
      <c r="F51" s="40">
        <v>53271</v>
      </c>
      <c r="G51" s="41">
        <v>59748</v>
      </c>
      <c r="H51" s="41">
        <v>56664</v>
      </c>
      <c r="I51" s="59">
        <v>50134</v>
      </c>
      <c r="J51" s="72">
        <f t="shared" si="2"/>
        <v>219817</v>
      </c>
      <c r="K51" s="72">
        <f t="shared" si="0"/>
        <v>284438</v>
      </c>
      <c r="M51"/>
    </row>
    <row r="52" spans="1:13">
      <c r="A52" s="1" t="s">
        <v>1</v>
      </c>
      <c r="B52" s="21" t="s">
        <v>60</v>
      </c>
      <c r="C52" s="30">
        <v>8580</v>
      </c>
      <c r="D52" s="31">
        <v>0</v>
      </c>
      <c r="E52" s="31">
        <f t="shared" si="1"/>
        <v>8580</v>
      </c>
      <c r="F52" s="29">
        <v>8090</v>
      </c>
      <c r="G52" s="30">
        <v>14450</v>
      </c>
      <c r="H52" s="30">
        <v>10390</v>
      </c>
      <c r="I52" s="56">
        <v>4410</v>
      </c>
      <c r="J52" s="69">
        <f t="shared" si="2"/>
        <v>37340</v>
      </c>
      <c r="K52" s="69">
        <f t="shared" si="0"/>
        <v>45920</v>
      </c>
      <c r="M52"/>
    </row>
    <row r="53" spans="1:13">
      <c r="A53" s="1" t="s">
        <v>1</v>
      </c>
      <c r="B53" s="4" t="s">
        <v>61</v>
      </c>
      <c r="C53" s="16">
        <v>19900</v>
      </c>
      <c r="D53" s="17">
        <v>0</v>
      </c>
      <c r="E53" s="17">
        <f t="shared" si="1"/>
        <v>19900</v>
      </c>
      <c r="F53" s="15">
        <v>12100</v>
      </c>
      <c r="G53" s="16">
        <v>17900</v>
      </c>
      <c r="H53" s="16">
        <v>18900</v>
      </c>
      <c r="I53" s="57">
        <v>6000</v>
      </c>
      <c r="J53" s="70">
        <f t="shared" si="2"/>
        <v>54900</v>
      </c>
      <c r="K53" s="70">
        <f t="shared" ref="K53:K59" si="3">E53+J53</f>
        <v>74800</v>
      </c>
      <c r="M53"/>
    </row>
    <row r="54" spans="1:13" ht="19.5" thickBot="1">
      <c r="A54" s="1" t="s">
        <v>1</v>
      </c>
      <c r="B54" s="4" t="s">
        <v>62</v>
      </c>
      <c r="C54" s="16">
        <v>0</v>
      </c>
      <c r="D54" s="17">
        <v>0</v>
      </c>
      <c r="E54" s="17">
        <f t="shared" si="1"/>
        <v>0</v>
      </c>
      <c r="F54" s="15">
        <v>0</v>
      </c>
      <c r="G54" s="16">
        <v>0</v>
      </c>
      <c r="H54" s="16">
        <v>0</v>
      </c>
      <c r="I54" s="57">
        <v>0</v>
      </c>
      <c r="J54" s="70">
        <f t="shared" si="2"/>
        <v>0</v>
      </c>
      <c r="K54" s="70">
        <f t="shared" si="3"/>
        <v>0</v>
      </c>
      <c r="M54"/>
    </row>
    <row r="55" spans="1:13" ht="19.5" thickBot="1">
      <c r="A55" s="1" t="s">
        <v>1</v>
      </c>
      <c r="B55" s="39" t="s">
        <v>63</v>
      </c>
      <c r="C55" s="41">
        <v>92671</v>
      </c>
      <c r="D55" s="42">
        <v>430</v>
      </c>
      <c r="E55" s="42">
        <f t="shared" si="1"/>
        <v>93101</v>
      </c>
      <c r="F55" s="40">
        <v>73461</v>
      </c>
      <c r="G55" s="41">
        <v>92098</v>
      </c>
      <c r="H55" s="41">
        <v>85954</v>
      </c>
      <c r="I55" s="59">
        <v>60544</v>
      </c>
      <c r="J55" s="72">
        <f t="shared" si="2"/>
        <v>312057</v>
      </c>
      <c r="K55" s="72">
        <f t="shared" si="3"/>
        <v>405158</v>
      </c>
      <c r="M55"/>
    </row>
    <row r="56" spans="1:13" ht="19.5" thickBot="1">
      <c r="A56" s="1" t="s">
        <v>1</v>
      </c>
      <c r="B56" s="39" t="s">
        <v>64</v>
      </c>
      <c r="C56" s="41">
        <v>342021</v>
      </c>
      <c r="D56" s="42">
        <v>85570</v>
      </c>
      <c r="E56" s="42">
        <f t="shared" si="1"/>
        <v>427591</v>
      </c>
      <c r="F56" s="40">
        <v>293041</v>
      </c>
      <c r="G56" s="41">
        <v>374305</v>
      </c>
      <c r="H56" s="41">
        <v>364135</v>
      </c>
      <c r="I56" s="59">
        <v>280590</v>
      </c>
      <c r="J56" s="72">
        <f t="shared" si="2"/>
        <v>1312071</v>
      </c>
      <c r="K56" s="72">
        <f t="shared" si="3"/>
        <v>1739662</v>
      </c>
      <c r="M56"/>
    </row>
    <row r="57" spans="1:13" ht="19.5" thickBot="1">
      <c r="A57" s="1" t="s">
        <v>1</v>
      </c>
      <c r="B57" s="39" t="s">
        <v>65</v>
      </c>
      <c r="C57" s="41">
        <v>322600</v>
      </c>
      <c r="D57" s="42">
        <v>85570</v>
      </c>
      <c r="E57" s="42">
        <f t="shared" si="1"/>
        <v>408170</v>
      </c>
      <c r="F57" s="40">
        <v>278815</v>
      </c>
      <c r="G57" s="41">
        <v>343536</v>
      </c>
      <c r="H57" s="41">
        <v>338845</v>
      </c>
      <c r="I57" s="59">
        <v>270180</v>
      </c>
      <c r="J57" s="72">
        <f t="shared" si="2"/>
        <v>1231376</v>
      </c>
      <c r="K57" s="72">
        <f t="shared" si="3"/>
        <v>1639546</v>
      </c>
      <c r="M57"/>
    </row>
    <row r="58" spans="1:13">
      <c r="A58" s="1" t="s">
        <v>1</v>
      </c>
      <c r="B58" s="21" t="s">
        <v>66</v>
      </c>
      <c r="C58" s="30">
        <v>0</v>
      </c>
      <c r="D58" s="31">
        <v>0</v>
      </c>
      <c r="E58" s="31">
        <f t="shared" si="1"/>
        <v>0</v>
      </c>
      <c r="F58" s="29">
        <v>0</v>
      </c>
      <c r="G58" s="30">
        <v>0</v>
      </c>
      <c r="H58" s="30">
        <v>0</v>
      </c>
      <c r="I58" s="56">
        <v>0</v>
      </c>
      <c r="J58" s="69">
        <f t="shared" si="2"/>
        <v>0</v>
      </c>
      <c r="K58" s="69">
        <f t="shared" si="3"/>
        <v>0</v>
      </c>
      <c r="M58"/>
    </row>
    <row r="59" spans="1:13">
      <c r="A59" s="1" t="s">
        <v>1</v>
      </c>
      <c r="B59" s="4" t="s">
        <v>67</v>
      </c>
      <c r="C59" s="16">
        <v>322600</v>
      </c>
      <c r="D59" s="17">
        <v>85570</v>
      </c>
      <c r="E59" s="17">
        <f t="shared" si="1"/>
        <v>408170</v>
      </c>
      <c r="F59" s="15">
        <v>278815</v>
      </c>
      <c r="G59" s="16">
        <v>343536</v>
      </c>
      <c r="H59" s="16">
        <v>338845</v>
      </c>
      <c r="I59" s="57">
        <v>270180</v>
      </c>
      <c r="J59" s="70">
        <f t="shared" si="2"/>
        <v>1231376</v>
      </c>
      <c r="K59" s="70">
        <f t="shared" si="3"/>
        <v>1639546</v>
      </c>
      <c r="M59"/>
    </row>
    <row r="60" spans="1:13">
      <c r="A60" s="1" t="s">
        <v>1</v>
      </c>
      <c r="B60" s="4" t="s">
        <v>68</v>
      </c>
      <c r="C60" s="16">
        <v>1</v>
      </c>
      <c r="D60" s="17">
        <v>0</v>
      </c>
      <c r="E60" s="17"/>
      <c r="F60" s="15">
        <v>0</v>
      </c>
      <c r="G60" s="16">
        <v>0</v>
      </c>
      <c r="H60" s="16">
        <v>1</v>
      </c>
      <c r="I60" s="57">
        <v>2</v>
      </c>
      <c r="J60" s="70"/>
      <c r="K60" s="70"/>
    </row>
    <row r="61" spans="1:13" ht="19.5" thickBot="1">
      <c r="A61" s="1" t="s">
        <v>1</v>
      </c>
      <c r="B61" s="5" t="s">
        <v>69</v>
      </c>
      <c r="C61" s="19" t="s">
        <v>70</v>
      </c>
      <c r="D61" s="20" t="s">
        <v>70</v>
      </c>
      <c r="E61" s="20"/>
      <c r="F61" s="18" t="s">
        <v>70</v>
      </c>
      <c r="G61" s="19" t="s">
        <v>70</v>
      </c>
      <c r="H61" s="19" t="s">
        <v>70</v>
      </c>
      <c r="I61" s="60" t="s">
        <v>70</v>
      </c>
      <c r="J61" s="73"/>
      <c r="K61" s="73"/>
    </row>
  </sheetData>
  <phoneticPr fontId="4"/>
  <pageMargins left="0.31496062992125984" right="0.31496062992125984" top="0.15748031496062992" bottom="0.35433070866141736" header="0.11811023622047245" footer="0.11811023622047245"/>
  <pageSetup paperSize="12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2022年11月度給与 (2)</vt:lpstr>
      <vt:lpstr>'2022年11月度給与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2022-12-16T00:02:03Z</cp:lastPrinted>
  <dcterms:created xsi:type="dcterms:W3CDTF">2022-12-07T01:48:19Z</dcterms:created>
  <dcterms:modified xsi:type="dcterms:W3CDTF">2022-12-16T00:02:06Z</dcterms:modified>
</cp:coreProperties>
</file>