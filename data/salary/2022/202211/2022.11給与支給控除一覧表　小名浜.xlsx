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11\"/>
    </mc:Choice>
  </mc:AlternateContent>
  <xr:revisionPtr revIDLastSave="0" documentId="13_ncr:1_{F727F789-441C-4A49-B94A-377E5A540A1D}" xr6:coauthVersionLast="47" xr6:coauthVersionMax="47" xr10:uidLastSave="{00000000-0000-0000-0000-000000000000}"/>
  <bookViews>
    <workbookView xWindow="-120" yWindow="-120" windowWidth="20730" windowHeight="11160" xr2:uid="{E546CB98-2D2F-4663-89B0-D3DB301E281A}"/>
  </bookViews>
  <sheets>
    <sheet name="2022年11月度給与 (2)" sheetId="3" r:id="rId1"/>
    <sheet name="2022年11月度給与 (4)" sheetId="5" r:id="rId2"/>
  </sheets>
  <definedNames>
    <definedName name="_xlnm.Print_Area" localSheetId="0">'2022年11月度給与 (2)'!$A:$O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62" i="5" l="1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1" i="5"/>
  <c r="U18" i="5"/>
  <c r="U17" i="5"/>
  <c r="U16" i="5"/>
  <c r="U15" i="5"/>
  <c r="U14" i="5"/>
  <c r="U12" i="5"/>
  <c r="U11" i="5"/>
  <c r="U10" i="5"/>
  <c r="U9" i="5"/>
  <c r="U8" i="5"/>
  <c r="U7" i="5"/>
  <c r="U6" i="5"/>
  <c r="U5" i="5"/>
  <c r="L34" i="3"/>
  <c r="N34" i="3"/>
  <c r="N24" i="3"/>
  <c r="N25" i="3"/>
  <c r="N26" i="3"/>
  <c r="N27" i="3"/>
  <c r="N28" i="3"/>
  <c r="N29" i="3"/>
  <c r="N30" i="3"/>
  <c r="N31" i="3"/>
  <c r="N32" i="3"/>
  <c r="N33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23" i="3"/>
  <c r="N5" i="3"/>
  <c r="L24" i="3"/>
  <c r="L25" i="3"/>
  <c r="L26" i="3"/>
  <c r="L27" i="3"/>
  <c r="L28" i="3"/>
  <c r="L29" i="3"/>
  <c r="L30" i="3"/>
  <c r="L31" i="3"/>
  <c r="L32" i="3"/>
  <c r="L33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3" i="3"/>
  <c r="L21" i="3"/>
  <c r="L20" i="3"/>
  <c r="L15" i="3"/>
  <c r="L14" i="3"/>
  <c r="L13" i="3"/>
  <c r="L9" i="3"/>
  <c r="L6" i="3"/>
  <c r="L5" i="3"/>
</calcChain>
</file>

<file path=xl/sharedStrings.xml><?xml version="1.0" encoding="utf-8"?>
<sst xmlns="http://schemas.openxmlformats.org/spreadsheetml/2006/main" count="338" uniqueCount="124">
  <si>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</si>
  <si>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</si>
  <si>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</si>
  <si>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</si>
  <si>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</si>
  <si>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</si>
  <si>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</si>
  <si>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</si>
  <si>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</si>
  <si>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</si>
  <si>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</si>
  <si>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</si>
  <si>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</si>
  <si>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</si>
  <si>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</si>
  <si>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</si>
  <si>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</si>
  <si>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</si>
  <si>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</si>
  <si>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</si>
  <si>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</si>
  <si>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</si>
  <si>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</si>
  <si>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</si>
  <si>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</si>
  <si>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</si>
  <si>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</si>
  <si>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</si>
  <si>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</si>
  <si>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</si>
  <si>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</si>
  <si>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</si>
  <si>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</si>
  <si>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</si>
  <si>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</si>
  <si>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</si>
  <si>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</si>
  <si>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</si>
  <si>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</si>
  <si>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</si>
  <si>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</si>
  <si>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</si>
  <si>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</si>
  <si>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</si>
  <si>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</si>
  <si>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</si>
  <si>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</si>
  <si>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</si>
  <si>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</si>
  <si>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</si>
  <si>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渡邉進一</t>
    <phoneticPr fontId="4"/>
  </si>
  <si>
    <t>山口豊</t>
    <phoneticPr fontId="4"/>
  </si>
  <si>
    <t>瀬野尾　勉</t>
    <phoneticPr fontId="4"/>
  </si>
  <si>
    <t>鈴木　重夫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</si>
  <si>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</si>
  <si>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</si>
  <si>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</si>
  <si>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</si>
  <si>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</si>
  <si>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</si>
  <si>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</si>
  <si>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</si>
  <si>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</si>
  <si>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</si>
  <si>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</si>
  <si>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</si>
  <si>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</si>
  <si>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</si>
  <si>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</si>
  <si>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</si>
  <si>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</si>
  <si>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</si>
  <si>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</si>
  <si>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</si>
  <si>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</si>
  <si>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</si>
  <si>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</si>
  <si>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</si>
  <si>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</si>
  <si>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</si>
  <si>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</si>
  <si>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</si>
  <si>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</si>
  <si>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呼出手当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</si>
  <si>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</si>
  <si>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</si>
  <si>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</si>
  <si>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</si>
  <si>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</si>
  <si>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</si>
  <si>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</si>
  <si>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</si>
  <si>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</si>
  <si>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</si>
  <si>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</si>
  <si>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</si>
  <si>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</si>
  <si>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</si>
  <si>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</si>
  <si>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</si>
  <si>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</si>
  <si>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</si>
  <si>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</si>
  <si>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</si>
  <si>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</si>
  <si>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</si>
  <si>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</si>
  <si>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</si>
  <si>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</si>
  <si>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</si>
  <si>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</si>
  <si>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</si>
  <si>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</si>
  <si>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</si>
  <si>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</si>
  <si>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</si>
  <si>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</si>
  <si>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</si>
  <si>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2022年11月度給与</t>
    <phoneticPr fontId="4"/>
  </si>
  <si>
    <t>小計</t>
    <rPh sb="0" eb="2">
      <t>ショウケイ</t>
    </rPh>
    <phoneticPr fontId="3"/>
  </si>
  <si>
    <t>18名</t>
    <rPh sb="2" eb="3">
      <t>メイ</t>
    </rPh>
    <phoneticPr fontId="3"/>
  </si>
  <si>
    <t>9名</t>
    <rPh sb="1" eb="2">
      <t>メイ</t>
    </rPh>
    <phoneticPr fontId="3"/>
  </si>
  <si>
    <t>1名</t>
    <rPh sb="1" eb="2">
      <t>メイ</t>
    </rPh>
    <phoneticPr fontId="3"/>
  </si>
  <si>
    <t>28名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</si>
</sst>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3" fontId="2" fillId="0" borderId="5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49" fontId="2" fillId="0" borderId="20" xfId="1" applyNumberFormat="1" applyFont="1" applyBorder="1" applyAlignment="1">
      <alignment horizontal="left"/>
    </xf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0" fontId="2" fillId="0" borderId="28" xfId="1" applyFont="1" applyBorder="1"/>
    <xf numFmtId="49" fontId="2" fillId="0" borderId="29" xfId="1" applyNumberFormat="1" applyFont="1" applyBorder="1" applyAlignment="1">
      <alignment horizontal="center"/>
    </xf>
    <xf numFmtId="49" fontId="2" fillId="0" borderId="30" xfId="1" applyNumberFormat="1" applyFont="1" applyBorder="1" applyAlignment="1">
      <alignment horizontal="center"/>
    </xf>
    <xf numFmtId="2" fontId="2" fillId="0" borderId="31" xfId="1" applyNumberFormat="1" applyFont="1" applyBorder="1"/>
    <xf numFmtId="2" fontId="2" fillId="0" borderId="32" xfId="1" applyNumberFormat="1" applyFont="1" applyBorder="1"/>
    <xf numFmtId="176" fontId="2" fillId="0" borderId="32" xfId="1" applyNumberFormat="1" applyFont="1" applyBorder="1"/>
    <xf numFmtId="2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49" fontId="2" fillId="0" borderId="30" xfId="1" applyNumberFormat="1" applyFont="1" applyBorder="1"/>
    <xf numFmtId="177" fontId="2" fillId="0" borderId="11" xfId="1" applyNumberFormat="1" applyFont="1" applyBorder="1"/>
    <xf numFmtId="49" fontId="2" fillId="0" borderId="36" xfId="1" applyNumberFormat="1" applyFont="1" applyBorder="1" applyAlignment="1">
      <alignment horizontal="left"/>
    </xf>
    <xf numFmtId="49" fontId="2" fillId="0" borderId="36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right"/>
    </xf>
    <xf numFmtId="49" fontId="2" fillId="0" borderId="37" xfId="1" applyNumberFormat="1" applyFont="1" applyBorder="1" applyAlignment="1">
      <alignment horizontal="center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35" xfId="1" applyNumberFormat="1" applyFont="1" applyBorder="1"/>
    <xf numFmtId="49" fontId="2" fillId="0" borderId="37" xfId="1" applyNumberFormat="1" applyFont="1" applyBorder="1"/>
    <xf numFmtId="177" fontId="2" fillId="0" borderId="39" xfId="1" applyNumberFormat="1" applyFont="1" applyBorder="1"/>
    <xf numFmtId="177" fontId="2" fillId="0" borderId="32" xfId="1" applyNumberFormat="1" applyFont="1" applyBorder="1"/>
    <xf numFmtId="0" fontId="2" fillId="0" borderId="6" xfId="1" applyFont="1" applyBorder="1" applyAlignment="1">
      <alignment horizontal="right"/>
    </xf>
  </cellXfs>
  <cellStyles count="2">
    <cellStyle name="標準" xfId="0" builtinId="0"/>
    <cellStyle name="標準 2" xfId="1" xr:uid="{AFB1A0FD-FE2B-4FBE-9E2F-CA48D0137A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5F88-2426-4484-ABCB-A8C60B749FA5}">
  <sheetPr>
    <pageSetUpPr fitToPage="1"/>
  </sheetPr>
  <dimension ref="A1:O64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5" width="10.5" style="2" customWidth="1"/>
    <col min="16" max="238" width="9" style="2"/>
    <col min="239" max="239" width="2.375" style="2" customWidth="1"/>
    <col min="240" max="240" width="13.25" style="2" bestFit="1" customWidth="1"/>
    <col min="241" max="242" width="11.125" style="2" bestFit="1" customWidth="1"/>
    <col min="243" max="243" width="13.25" style="2" bestFit="1" customWidth="1"/>
    <col min="244" max="244" width="11.125" style="2" bestFit="1" customWidth="1"/>
    <col min="245" max="245" width="9" style="2"/>
    <col min="246" max="246" width="11.125" style="2" bestFit="1" customWidth="1"/>
    <col min="247" max="247" width="9" style="2"/>
    <col min="248" max="259" width="11.125" style="2" bestFit="1" customWidth="1"/>
    <col min="260" max="260" width="9" style="2"/>
    <col min="261" max="261" width="8" style="2" bestFit="1" customWidth="1"/>
    <col min="262" max="268" width="11.125" style="2" bestFit="1" customWidth="1"/>
    <col min="269" max="269" width="9.625" style="2" bestFit="1" customWidth="1"/>
    <col min="270" max="494" width="9" style="2"/>
    <col min="495" max="495" width="2.375" style="2" customWidth="1"/>
    <col min="496" max="496" width="13.25" style="2" bestFit="1" customWidth="1"/>
    <col min="497" max="498" width="11.125" style="2" bestFit="1" customWidth="1"/>
    <col min="499" max="499" width="13.25" style="2" bestFit="1" customWidth="1"/>
    <col min="500" max="500" width="11.125" style="2" bestFit="1" customWidth="1"/>
    <col min="501" max="501" width="9" style="2"/>
    <col min="502" max="502" width="11.125" style="2" bestFit="1" customWidth="1"/>
    <col min="503" max="503" width="9" style="2"/>
    <col min="504" max="515" width="11.125" style="2" bestFit="1" customWidth="1"/>
    <col min="516" max="516" width="9" style="2"/>
    <col min="517" max="517" width="8" style="2" bestFit="1" customWidth="1"/>
    <col min="518" max="524" width="11.125" style="2" bestFit="1" customWidth="1"/>
    <col min="525" max="525" width="9.625" style="2" bestFit="1" customWidth="1"/>
    <col min="526" max="750" width="9" style="2"/>
    <col min="751" max="751" width="2.375" style="2" customWidth="1"/>
    <col min="752" max="752" width="13.25" style="2" bestFit="1" customWidth="1"/>
    <col min="753" max="754" width="11.125" style="2" bestFit="1" customWidth="1"/>
    <col min="755" max="755" width="13.25" style="2" bestFit="1" customWidth="1"/>
    <col min="756" max="756" width="11.125" style="2" bestFit="1" customWidth="1"/>
    <col min="757" max="757" width="9" style="2"/>
    <col min="758" max="758" width="11.125" style="2" bestFit="1" customWidth="1"/>
    <col min="759" max="759" width="9" style="2"/>
    <col min="760" max="771" width="11.125" style="2" bestFit="1" customWidth="1"/>
    <col min="772" max="772" width="9" style="2"/>
    <col min="773" max="773" width="8" style="2" bestFit="1" customWidth="1"/>
    <col min="774" max="780" width="11.125" style="2" bestFit="1" customWidth="1"/>
    <col min="781" max="781" width="9.625" style="2" bestFit="1" customWidth="1"/>
    <col min="782" max="1006" width="9" style="2"/>
    <col min="1007" max="1007" width="2.375" style="2" customWidth="1"/>
    <col min="1008" max="1008" width="13.25" style="2" bestFit="1" customWidth="1"/>
    <col min="1009" max="1010" width="11.125" style="2" bestFit="1" customWidth="1"/>
    <col min="1011" max="1011" width="13.25" style="2" bestFit="1" customWidth="1"/>
    <col min="1012" max="1012" width="11.125" style="2" bestFit="1" customWidth="1"/>
    <col min="1013" max="1013" width="9" style="2"/>
    <col min="1014" max="1014" width="11.125" style="2" bestFit="1" customWidth="1"/>
    <col min="1015" max="1015" width="9" style="2"/>
    <col min="1016" max="1027" width="11.125" style="2" bestFit="1" customWidth="1"/>
    <col min="1028" max="1028" width="9" style="2"/>
    <col min="1029" max="1029" width="8" style="2" bestFit="1" customWidth="1"/>
    <col min="1030" max="1036" width="11.125" style="2" bestFit="1" customWidth="1"/>
    <col min="1037" max="1037" width="9.625" style="2" bestFit="1" customWidth="1"/>
    <col min="1038" max="1262" width="9" style="2"/>
    <col min="1263" max="1263" width="2.375" style="2" customWidth="1"/>
    <col min="1264" max="1264" width="13.25" style="2" bestFit="1" customWidth="1"/>
    <col min="1265" max="1266" width="11.125" style="2" bestFit="1" customWidth="1"/>
    <col min="1267" max="1267" width="13.25" style="2" bestFit="1" customWidth="1"/>
    <col min="1268" max="1268" width="11.125" style="2" bestFit="1" customWidth="1"/>
    <col min="1269" max="1269" width="9" style="2"/>
    <col min="1270" max="1270" width="11.125" style="2" bestFit="1" customWidth="1"/>
    <col min="1271" max="1271" width="9" style="2"/>
    <col min="1272" max="1283" width="11.125" style="2" bestFit="1" customWidth="1"/>
    <col min="1284" max="1284" width="9" style="2"/>
    <col min="1285" max="1285" width="8" style="2" bestFit="1" customWidth="1"/>
    <col min="1286" max="1292" width="11.125" style="2" bestFit="1" customWidth="1"/>
    <col min="1293" max="1293" width="9.625" style="2" bestFit="1" customWidth="1"/>
    <col min="1294" max="1518" width="9" style="2"/>
    <col min="1519" max="1519" width="2.375" style="2" customWidth="1"/>
    <col min="1520" max="1520" width="13.25" style="2" bestFit="1" customWidth="1"/>
    <col min="1521" max="1522" width="11.125" style="2" bestFit="1" customWidth="1"/>
    <col min="1523" max="1523" width="13.25" style="2" bestFit="1" customWidth="1"/>
    <col min="1524" max="1524" width="11.125" style="2" bestFit="1" customWidth="1"/>
    <col min="1525" max="1525" width="9" style="2"/>
    <col min="1526" max="1526" width="11.125" style="2" bestFit="1" customWidth="1"/>
    <col min="1527" max="1527" width="9" style="2"/>
    <col min="1528" max="1539" width="11.125" style="2" bestFit="1" customWidth="1"/>
    <col min="1540" max="1540" width="9" style="2"/>
    <col min="1541" max="1541" width="8" style="2" bestFit="1" customWidth="1"/>
    <col min="1542" max="1548" width="11.125" style="2" bestFit="1" customWidth="1"/>
    <col min="1549" max="1549" width="9.625" style="2" bestFit="1" customWidth="1"/>
    <col min="1550" max="1774" width="9" style="2"/>
    <col min="1775" max="1775" width="2.375" style="2" customWidth="1"/>
    <col min="1776" max="1776" width="13.25" style="2" bestFit="1" customWidth="1"/>
    <col min="1777" max="1778" width="11.125" style="2" bestFit="1" customWidth="1"/>
    <col min="1779" max="1779" width="13.25" style="2" bestFit="1" customWidth="1"/>
    <col min="1780" max="1780" width="11.125" style="2" bestFit="1" customWidth="1"/>
    <col min="1781" max="1781" width="9" style="2"/>
    <col min="1782" max="1782" width="11.125" style="2" bestFit="1" customWidth="1"/>
    <col min="1783" max="1783" width="9" style="2"/>
    <col min="1784" max="1795" width="11.125" style="2" bestFit="1" customWidth="1"/>
    <col min="1796" max="1796" width="9" style="2"/>
    <col min="1797" max="1797" width="8" style="2" bestFit="1" customWidth="1"/>
    <col min="1798" max="1804" width="11.125" style="2" bestFit="1" customWidth="1"/>
    <col min="1805" max="1805" width="9.625" style="2" bestFit="1" customWidth="1"/>
    <col min="1806" max="2030" width="9" style="2"/>
    <col min="2031" max="2031" width="2.375" style="2" customWidth="1"/>
    <col min="2032" max="2032" width="13.25" style="2" bestFit="1" customWidth="1"/>
    <col min="2033" max="2034" width="11.125" style="2" bestFit="1" customWidth="1"/>
    <col min="2035" max="2035" width="13.25" style="2" bestFit="1" customWidth="1"/>
    <col min="2036" max="2036" width="11.125" style="2" bestFit="1" customWidth="1"/>
    <col min="2037" max="2037" width="9" style="2"/>
    <col min="2038" max="2038" width="11.125" style="2" bestFit="1" customWidth="1"/>
    <col min="2039" max="2039" width="9" style="2"/>
    <col min="2040" max="2051" width="11.125" style="2" bestFit="1" customWidth="1"/>
    <col min="2052" max="2052" width="9" style="2"/>
    <col min="2053" max="2053" width="8" style="2" bestFit="1" customWidth="1"/>
    <col min="2054" max="2060" width="11.125" style="2" bestFit="1" customWidth="1"/>
    <col min="2061" max="2061" width="9.625" style="2" bestFit="1" customWidth="1"/>
    <col min="2062" max="2286" width="9" style="2"/>
    <col min="2287" max="2287" width="2.375" style="2" customWidth="1"/>
    <col min="2288" max="2288" width="13.25" style="2" bestFit="1" customWidth="1"/>
    <col min="2289" max="2290" width="11.125" style="2" bestFit="1" customWidth="1"/>
    <col min="2291" max="2291" width="13.25" style="2" bestFit="1" customWidth="1"/>
    <col min="2292" max="2292" width="11.125" style="2" bestFit="1" customWidth="1"/>
    <col min="2293" max="2293" width="9" style="2"/>
    <col min="2294" max="2294" width="11.125" style="2" bestFit="1" customWidth="1"/>
    <col min="2295" max="2295" width="9" style="2"/>
    <col min="2296" max="2307" width="11.125" style="2" bestFit="1" customWidth="1"/>
    <col min="2308" max="2308" width="9" style="2"/>
    <col min="2309" max="2309" width="8" style="2" bestFit="1" customWidth="1"/>
    <col min="2310" max="2316" width="11.125" style="2" bestFit="1" customWidth="1"/>
    <col min="2317" max="2317" width="9.625" style="2" bestFit="1" customWidth="1"/>
    <col min="2318" max="2542" width="9" style="2"/>
    <col min="2543" max="2543" width="2.375" style="2" customWidth="1"/>
    <col min="2544" max="2544" width="13.25" style="2" bestFit="1" customWidth="1"/>
    <col min="2545" max="2546" width="11.125" style="2" bestFit="1" customWidth="1"/>
    <col min="2547" max="2547" width="13.25" style="2" bestFit="1" customWidth="1"/>
    <col min="2548" max="2548" width="11.125" style="2" bestFit="1" customWidth="1"/>
    <col min="2549" max="2549" width="9" style="2"/>
    <col min="2550" max="2550" width="11.125" style="2" bestFit="1" customWidth="1"/>
    <col min="2551" max="2551" width="9" style="2"/>
    <col min="2552" max="2563" width="11.125" style="2" bestFit="1" customWidth="1"/>
    <col min="2564" max="2564" width="9" style="2"/>
    <col min="2565" max="2565" width="8" style="2" bestFit="1" customWidth="1"/>
    <col min="2566" max="2572" width="11.125" style="2" bestFit="1" customWidth="1"/>
    <col min="2573" max="2573" width="9.625" style="2" bestFit="1" customWidth="1"/>
    <col min="2574" max="2798" width="9" style="2"/>
    <col min="2799" max="2799" width="2.375" style="2" customWidth="1"/>
    <col min="2800" max="2800" width="13.25" style="2" bestFit="1" customWidth="1"/>
    <col min="2801" max="2802" width="11.125" style="2" bestFit="1" customWidth="1"/>
    <col min="2803" max="2803" width="13.25" style="2" bestFit="1" customWidth="1"/>
    <col min="2804" max="2804" width="11.125" style="2" bestFit="1" customWidth="1"/>
    <col min="2805" max="2805" width="9" style="2"/>
    <col min="2806" max="2806" width="11.125" style="2" bestFit="1" customWidth="1"/>
    <col min="2807" max="2807" width="9" style="2"/>
    <col min="2808" max="2819" width="11.125" style="2" bestFit="1" customWidth="1"/>
    <col min="2820" max="2820" width="9" style="2"/>
    <col min="2821" max="2821" width="8" style="2" bestFit="1" customWidth="1"/>
    <col min="2822" max="2828" width="11.125" style="2" bestFit="1" customWidth="1"/>
    <col min="2829" max="2829" width="9.625" style="2" bestFit="1" customWidth="1"/>
    <col min="2830" max="3054" width="9" style="2"/>
    <col min="3055" max="3055" width="2.375" style="2" customWidth="1"/>
    <col min="3056" max="3056" width="13.25" style="2" bestFit="1" customWidth="1"/>
    <col min="3057" max="3058" width="11.125" style="2" bestFit="1" customWidth="1"/>
    <col min="3059" max="3059" width="13.25" style="2" bestFit="1" customWidth="1"/>
    <col min="3060" max="3060" width="11.125" style="2" bestFit="1" customWidth="1"/>
    <col min="3061" max="3061" width="9" style="2"/>
    <col min="3062" max="3062" width="11.125" style="2" bestFit="1" customWidth="1"/>
    <col min="3063" max="3063" width="9" style="2"/>
    <col min="3064" max="3075" width="11.125" style="2" bestFit="1" customWidth="1"/>
    <col min="3076" max="3076" width="9" style="2"/>
    <col min="3077" max="3077" width="8" style="2" bestFit="1" customWidth="1"/>
    <col min="3078" max="3084" width="11.125" style="2" bestFit="1" customWidth="1"/>
    <col min="3085" max="3085" width="9.625" style="2" bestFit="1" customWidth="1"/>
    <col min="3086" max="3310" width="9" style="2"/>
    <col min="3311" max="3311" width="2.375" style="2" customWidth="1"/>
    <col min="3312" max="3312" width="13.25" style="2" bestFit="1" customWidth="1"/>
    <col min="3313" max="3314" width="11.125" style="2" bestFit="1" customWidth="1"/>
    <col min="3315" max="3315" width="13.25" style="2" bestFit="1" customWidth="1"/>
    <col min="3316" max="3316" width="11.125" style="2" bestFit="1" customWidth="1"/>
    <col min="3317" max="3317" width="9" style="2"/>
    <col min="3318" max="3318" width="11.125" style="2" bestFit="1" customWidth="1"/>
    <col min="3319" max="3319" width="9" style="2"/>
    <col min="3320" max="3331" width="11.125" style="2" bestFit="1" customWidth="1"/>
    <col min="3332" max="3332" width="9" style="2"/>
    <col min="3333" max="3333" width="8" style="2" bestFit="1" customWidth="1"/>
    <col min="3334" max="3340" width="11.125" style="2" bestFit="1" customWidth="1"/>
    <col min="3341" max="3341" width="9.625" style="2" bestFit="1" customWidth="1"/>
    <col min="3342" max="3566" width="9" style="2"/>
    <col min="3567" max="3567" width="2.375" style="2" customWidth="1"/>
    <col min="3568" max="3568" width="13.25" style="2" bestFit="1" customWidth="1"/>
    <col min="3569" max="3570" width="11.125" style="2" bestFit="1" customWidth="1"/>
    <col min="3571" max="3571" width="13.25" style="2" bestFit="1" customWidth="1"/>
    <col min="3572" max="3572" width="11.125" style="2" bestFit="1" customWidth="1"/>
    <col min="3573" max="3573" width="9" style="2"/>
    <col min="3574" max="3574" width="11.125" style="2" bestFit="1" customWidth="1"/>
    <col min="3575" max="3575" width="9" style="2"/>
    <col min="3576" max="3587" width="11.125" style="2" bestFit="1" customWidth="1"/>
    <col min="3588" max="3588" width="9" style="2"/>
    <col min="3589" max="3589" width="8" style="2" bestFit="1" customWidth="1"/>
    <col min="3590" max="3596" width="11.125" style="2" bestFit="1" customWidth="1"/>
    <col min="3597" max="3597" width="9.625" style="2" bestFit="1" customWidth="1"/>
    <col min="3598" max="3822" width="9" style="2"/>
    <col min="3823" max="3823" width="2.375" style="2" customWidth="1"/>
    <col min="3824" max="3824" width="13.25" style="2" bestFit="1" customWidth="1"/>
    <col min="3825" max="3826" width="11.125" style="2" bestFit="1" customWidth="1"/>
    <col min="3827" max="3827" width="13.25" style="2" bestFit="1" customWidth="1"/>
    <col min="3828" max="3828" width="11.125" style="2" bestFit="1" customWidth="1"/>
    <col min="3829" max="3829" width="9" style="2"/>
    <col min="3830" max="3830" width="11.125" style="2" bestFit="1" customWidth="1"/>
    <col min="3831" max="3831" width="9" style="2"/>
    <col min="3832" max="3843" width="11.125" style="2" bestFit="1" customWidth="1"/>
    <col min="3844" max="3844" width="9" style="2"/>
    <col min="3845" max="3845" width="8" style="2" bestFit="1" customWidth="1"/>
    <col min="3846" max="3852" width="11.125" style="2" bestFit="1" customWidth="1"/>
    <col min="3853" max="3853" width="9.625" style="2" bestFit="1" customWidth="1"/>
    <col min="3854" max="4078" width="9" style="2"/>
    <col min="4079" max="4079" width="2.375" style="2" customWidth="1"/>
    <col min="4080" max="4080" width="13.25" style="2" bestFit="1" customWidth="1"/>
    <col min="4081" max="4082" width="11.125" style="2" bestFit="1" customWidth="1"/>
    <col min="4083" max="4083" width="13.25" style="2" bestFit="1" customWidth="1"/>
    <col min="4084" max="4084" width="11.125" style="2" bestFit="1" customWidth="1"/>
    <col min="4085" max="4085" width="9" style="2"/>
    <col min="4086" max="4086" width="11.125" style="2" bestFit="1" customWidth="1"/>
    <col min="4087" max="4087" width="9" style="2"/>
    <col min="4088" max="4099" width="11.125" style="2" bestFit="1" customWidth="1"/>
    <col min="4100" max="4100" width="9" style="2"/>
    <col min="4101" max="4101" width="8" style="2" bestFit="1" customWidth="1"/>
    <col min="4102" max="4108" width="11.125" style="2" bestFit="1" customWidth="1"/>
    <col min="4109" max="4109" width="9.625" style="2" bestFit="1" customWidth="1"/>
    <col min="4110" max="4334" width="9" style="2"/>
    <col min="4335" max="4335" width="2.375" style="2" customWidth="1"/>
    <col min="4336" max="4336" width="13.25" style="2" bestFit="1" customWidth="1"/>
    <col min="4337" max="4338" width="11.125" style="2" bestFit="1" customWidth="1"/>
    <col min="4339" max="4339" width="13.25" style="2" bestFit="1" customWidth="1"/>
    <col min="4340" max="4340" width="11.125" style="2" bestFit="1" customWidth="1"/>
    <col min="4341" max="4341" width="9" style="2"/>
    <col min="4342" max="4342" width="11.125" style="2" bestFit="1" customWidth="1"/>
    <col min="4343" max="4343" width="9" style="2"/>
    <col min="4344" max="4355" width="11.125" style="2" bestFit="1" customWidth="1"/>
    <col min="4356" max="4356" width="9" style="2"/>
    <col min="4357" max="4357" width="8" style="2" bestFit="1" customWidth="1"/>
    <col min="4358" max="4364" width="11.125" style="2" bestFit="1" customWidth="1"/>
    <col min="4365" max="4365" width="9.625" style="2" bestFit="1" customWidth="1"/>
    <col min="4366" max="4590" width="9" style="2"/>
    <col min="4591" max="4591" width="2.375" style="2" customWidth="1"/>
    <col min="4592" max="4592" width="13.25" style="2" bestFit="1" customWidth="1"/>
    <col min="4593" max="4594" width="11.125" style="2" bestFit="1" customWidth="1"/>
    <col min="4595" max="4595" width="13.25" style="2" bestFit="1" customWidth="1"/>
    <col min="4596" max="4596" width="11.125" style="2" bestFit="1" customWidth="1"/>
    <col min="4597" max="4597" width="9" style="2"/>
    <col min="4598" max="4598" width="11.125" style="2" bestFit="1" customWidth="1"/>
    <col min="4599" max="4599" width="9" style="2"/>
    <col min="4600" max="4611" width="11.125" style="2" bestFit="1" customWidth="1"/>
    <col min="4612" max="4612" width="9" style="2"/>
    <col min="4613" max="4613" width="8" style="2" bestFit="1" customWidth="1"/>
    <col min="4614" max="4620" width="11.125" style="2" bestFit="1" customWidth="1"/>
    <col min="4621" max="4621" width="9.625" style="2" bestFit="1" customWidth="1"/>
    <col min="4622" max="4846" width="9" style="2"/>
    <col min="4847" max="4847" width="2.375" style="2" customWidth="1"/>
    <col min="4848" max="4848" width="13.25" style="2" bestFit="1" customWidth="1"/>
    <col min="4849" max="4850" width="11.125" style="2" bestFit="1" customWidth="1"/>
    <col min="4851" max="4851" width="13.25" style="2" bestFit="1" customWidth="1"/>
    <col min="4852" max="4852" width="11.125" style="2" bestFit="1" customWidth="1"/>
    <col min="4853" max="4853" width="9" style="2"/>
    <col min="4854" max="4854" width="11.125" style="2" bestFit="1" customWidth="1"/>
    <col min="4855" max="4855" width="9" style="2"/>
    <col min="4856" max="4867" width="11.125" style="2" bestFit="1" customWidth="1"/>
    <col min="4868" max="4868" width="9" style="2"/>
    <col min="4869" max="4869" width="8" style="2" bestFit="1" customWidth="1"/>
    <col min="4870" max="4876" width="11.125" style="2" bestFit="1" customWidth="1"/>
    <col min="4877" max="4877" width="9.625" style="2" bestFit="1" customWidth="1"/>
    <col min="4878" max="5102" width="9" style="2"/>
    <col min="5103" max="5103" width="2.375" style="2" customWidth="1"/>
    <col min="5104" max="5104" width="13.25" style="2" bestFit="1" customWidth="1"/>
    <col min="5105" max="5106" width="11.125" style="2" bestFit="1" customWidth="1"/>
    <col min="5107" max="5107" width="13.25" style="2" bestFit="1" customWidth="1"/>
    <col min="5108" max="5108" width="11.125" style="2" bestFit="1" customWidth="1"/>
    <col min="5109" max="5109" width="9" style="2"/>
    <col min="5110" max="5110" width="11.125" style="2" bestFit="1" customWidth="1"/>
    <col min="5111" max="5111" width="9" style="2"/>
    <col min="5112" max="5123" width="11.125" style="2" bestFit="1" customWidth="1"/>
    <col min="5124" max="5124" width="9" style="2"/>
    <col min="5125" max="5125" width="8" style="2" bestFit="1" customWidth="1"/>
    <col min="5126" max="5132" width="11.125" style="2" bestFit="1" customWidth="1"/>
    <col min="5133" max="5133" width="9.625" style="2" bestFit="1" customWidth="1"/>
    <col min="5134" max="5358" width="9" style="2"/>
    <col min="5359" max="5359" width="2.375" style="2" customWidth="1"/>
    <col min="5360" max="5360" width="13.25" style="2" bestFit="1" customWidth="1"/>
    <col min="5361" max="5362" width="11.125" style="2" bestFit="1" customWidth="1"/>
    <col min="5363" max="5363" width="13.25" style="2" bestFit="1" customWidth="1"/>
    <col min="5364" max="5364" width="11.125" style="2" bestFit="1" customWidth="1"/>
    <col min="5365" max="5365" width="9" style="2"/>
    <col min="5366" max="5366" width="11.125" style="2" bestFit="1" customWidth="1"/>
    <col min="5367" max="5367" width="9" style="2"/>
    <col min="5368" max="5379" width="11.125" style="2" bestFit="1" customWidth="1"/>
    <col min="5380" max="5380" width="9" style="2"/>
    <col min="5381" max="5381" width="8" style="2" bestFit="1" customWidth="1"/>
    <col min="5382" max="5388" width="11.125" style="2" bestFit="1" customWidth="1"/>
    <col min="5389" max="5389" width="9.625" style="2" bestFit="1" customWidth="1"/>
    <col min="5390" max="5614" width="9" style="2"/>
    <col min="5615" max="5615" width="2.375" style="2" customWidth="1"/>
    <col min="5616" max="5616" width="13.25" style="2" bestFit="1" customWidth="1"/>
    <col min="5617" max="5618" width="11.125" style="2" bestFit="1" customWidth="1"/>
    <col min="5619" max="5619" width="13.25" style="2" bestFit="1" customWidth="1"/>
    <col min="5620" max="5620" width="11.125" style="2" bestFit="1" customWidth="1"/>
    <col min="5621" max="5621" width="9" style="2"/>
    <col min="5622" max="5622" width="11.125" style="2" bestFit="1" customWidth="1"/>
    <col min="5623" max="5623" width="9" style="2"/>
    <col min="5624" max="5635" width="11.125" style="2" bestFit="1" customWidth="1"/>
    <col min="5636" max="5636" width="9" style="2"/>
    <col min="5637" max="5637" width="8" style="2" bestFit="1" customWidth="1"/>
    <col min="5638" max="5644" width="11.125" style="2" bestFit="1" customWidth="1"/>
    <col min="5645" max="5645" width="9.625" style="2" bestFit="1" customWidth="1"/>
    <col min="5646" max="5870" width="9" style="2"/>
    <col min="5871" max="5871" width="2.375" style="2" customWidth="1"/>
    <col min="5872" max="5872" width="13.25" style="2" bestFit="1" customWidth="1"/>
    <col min="5873" max="5874" width="11.125" style="2" bestFit="1" customWidth="1"/>
    <col min="5875" max="5875" width="13.25" style="2" bestFit="1" customWidth="1"/>
    <col min="5876" max="5876" width="11.125" style="2" bestFit="1" customWidth="1"/>
    <col min="5877" max="5877" width="9" style="2"/>
    <col min="5878" max="5878" width="11.125" style="2" bestFit="1" customWidth="1"/>
    <col min="5879" max="5879" width="9" style="2"/>
    <col min="5880" max="5891" width="11.125" style="2" bestFit="1" customWidth="1"/>
    <col min="5892" max="5892" width="9" style="2"/>
    <col min="5893" max="5893" width="8" style="2" bestFit="1" customWidth="1"/>
    <col min="5894" max="5900" width="11.125" style="2" bestFit="1" customWidth="1"/>
    <col min="5901" max="5901" width="9.625" style="2" bestFit="1" customWidth="1"/>
    <col min="5902" max="6126" width="9" style="2"/>
    <col min="6127" max="6127" width="2.375" style="2" customWidth="1"/>
    <col min="6128" max="6128" width="13.25" style="2" bestFit="1" customWidth="1"/>
    <col min="6129" max="6130" width="11.125" style="2" bestFit="1" customWidth="1"/>
    <col min="6131" max="6131" width="13.25" style="2" bestFit="1" customWidth="1"/>
    <col min="6132" max="6132" width="11.125" style="2" bestFit="1" customWidth="1"/>
    <col min="6133" max="6133" width="9" style="2"/>
    <col min="6134" max="6134" width="11.125" style="2" bestFit="1" customWidth="1"/>
    <col min="6135" max="6135" width="9" style="2"/>
    <col min="6136" max="6147" width="11.125" style="2" bestFit="1" customWidth="1"/>
    <col min="6148" max="6148" width="9" style="2"/>
    <col min="6149" max="6149" width="8" style="2" bestFit="1" customWidth="1"/>
    <col min="6150" max="6156" width="11.125" style="2" bestFit="1" customWidth="1"/>
    <col min="6157" max="6157" width="9.625" style="2" bestFit="1" customWidth="1"/>
    <col min="6158" max="6382" width="9" style="2"/>
    <col min="6383" max="6383" width="2.375" style="2" customWidth="1"/>
    <col min="6384" max="6384" width="13.25" style="2" bestFit="1" customWidth="1"/>
    <col min="6385" max="6386" width="11.125" style="2" bestFit="1" customWidth="1"/>
    <col min="6387" max="6387" width="13.25" style="2" bestFit="1" customWidth="1"/>
    <col min="6388" max="6388" width="11.125" style="2" bestFit="1" customWidth="1"/>
    <col min="6389" max="6389" width="9" style="2"/>
    <col min="6390" max="6390" width="11.125" style="2" bestFit="1" customWidth="1"/>
    <col min="6391" max="6391" width="9" style="2"/>
    <col min="6392" max="6403" width="11.125" style="2" bestFit="1" customWidth="1"/>
    <col min="6404" max="6404" width="9" style="2"/>
    <col min="6405" max="6405" width="8" style="2" bestFit="1" customWidth="1"/>
    <col min="6406" max="6412" width="11.125" style="2" bestFit="1" customWidth="1"/>
    <col min="6413" max="6413" width="9.625" style="2" bestFit="1" customWidth="1"/>
    <col min="6414" max="6638" width="9" style="2"/>
    <col min="6639" max="6639" width="2.375" style="2" customWidth="1"/>
    <col min="6640" max="6640" width="13.25" style="2" bestFit="1" customWidth="1"/>
    <col min="6641" max="6642" width="11.125" style="2" bestFit="1" customWidth="1"/>
    <col min="6643" max="6643" width="13.25" style="2" bestFit="1" customWidth="1"/>
    <col min="6644" max="6644" width="11.125" style="2" bestFit="1" customWidth="1"/>
    <col min="6645" max="6645" width="9" style="2"/>
    <col min="6646" max="6646" width="11.125" style="2" bestFit="1" customWidth="1"/>
    <col min="6647" max="6647" width="9" style="2"/>
    <col min="6648" max="6659" width="11.125" style="2" bestFit="1" customWidth="1"/>
    <col min="6660" max="6660" width="9" style="2"/>
    <col min="6661" max="6661" width="8" style="2" bestFit="1" customWidth="1"/>
    <col min="6662" max="6668" width="11.125" style="2" bestFit="1" customWidth="1"/>
    <col min="6669" max="6669" width="9.625" style="2" bestFit="1" customWidth="1"/>
    <col min="6670" max="6894" width="9" style="2"/>
    <col min="6895" max="6895" width="2.375" style="2" customWidth="1"/>
    <col min="6896" max="6896" width="13.25" style="2" bestFit="1" customWidth="1"/>
    <col min="6897" max="6898" width="11.125" style="2" bestFit="1" customWidth="1"/>
    <col min="6899" max="6899" width="13.25" style="2" bestFit="1" customWidth="1"/>
    <col min="6900" max="6900" width="11.125" style="2" bestFit="1" customWidth="1"/>
    <col min="6901" max="6901" width="9" style="2"/>
    <col min="6902" max="6902" width="11.125" style="2" bestFit="1" customWidth="1"/>
    <col min="6903" max="6903" width="9" style="2"/>
    <col min="6904" max="6915" width="11.125" style="2" bestFit="1" customWidth="1"/>
    <col min="6916" max="6916" width="9" style="2"/>
    <col min="6917" max="6917" width="8" style="2" bestFit="1" customWidth="1"/>
    <col min="6918" max="6924" width="11.125" style="2" bestFit="1" customWidth="1"/>
    <col min="6925" max="6925" width="9.625" style="2" bestFit="1" customWidth="1"/>
    <col min="6926" max="7150" width="9" style="2"/>
    <col min="7151" max="7151" width="2.375" style="2" customWidth="1"/>
    <col min="7152" max="7152" width="13.25" style="2" bestFit="1" customWidth="1"/>
    <col min="7153" max="7154" width="11.125" style="2" bestFit="1" customWidth="1"/>
    <col min="7155" max="7155" width="13.25" style="2" bestFit="1" customWidth="1"/>
    <col min="7156" max="7156" width="11.125" style="2" bestFit="1" customWidth="1"/>
    <col min="7157" max="7157" width="9" style="2"/>
    <col min="7158" max="7158" width="11.125" style="2" bestFit="1" customWidth="1"/>
    <col min="7159" max="7159" width="9" style="2"/>
    <col min="7160" max="7171" width="11.125" style="2" bestFit="1" customWidth="1"/>
    <col min="7172" max="7172" width="9" style="2"/>
    <col min="7173" max="7173" width="8" style="2" bestFit="1" customWidth="1"/>
    <col min="7174" max="7180" width="11.125" style="2" bestFit="1" customWidth="1"/>
    <col min="7181" max="7181" width="9.625" style="2" bestFit="1" customWidth="1"/>
    <col min="7182" max="7406" width="9" style="2"/>
    <col min="7407" max="7407" width="2.375" style="2" customWidth="1"/>
    <col min="7408" max="7408" width="13.25" style="2" bestFit="1" customWidth="1"/>
    <col min="7409" max="7410" width="11.125" style="2" bestFit="1" customWidth="1"/>
    <col min="7411" max="7411" width="13.25" style="2" bestFit="1" customWidth="1"/>
    <col min="7412" max="7412" width="11.125" style="2" bestFit="1" customWidth="1"/>
    <col min="7413" max="7413" width="9" style="2"/>
    <col min="7414" max="7414" width="11.125" style="2" bestFit="1" customWidth="1"/>
    <col min="7415" max="7415" width="9" style="2"/>
    <col min="7416" max="7427" width="11.125" style="2" bestFit="1" customWidth="1"/>
    <col min="7428" max="7428" width="9" style="2"/>
    <col min="7429" max="7429" width="8" style="2" bestFit="1" customWidth="1"/>
    <col min="7430" max="7436" width="11.125" style="2" bestFit="1" customWidth="1"/>
    <col min="7437" max="7437" width="9.625" style="2" bestFit="1" customWidth="1"/>
    <col min="7438" max="7662" width="9" style="2"/>
    <col min="7663" max="7663" width="2.375" style="2" customWidth="1"/>
    <col min="7664" max="7664" width="13.25" style="2" bestFit="1" customWidth="1"/>
    <col min="7665" max="7666" width="11.125" style="2" bestFit="1" customWidth="1"/>
    <col min="7667" max="7667" width="13.25" style="2" bestFit="1" customWidth="1"/>
    <col min="7668" max="7668" width="11.125" style="2" bestFit="1" customWidth="1"/>
    <col min="7669" max="7669" width="9" style="2"/>
    <col min="7670" max="7670" width="11.125" style="2" bestFit="1" customWidth="1"/>
    <col min="7671" max="7671" width="9" style="2"/>
    <col min="7672" max="7683" width="11.125" style="2" bestFit="1" customWidth="1"/>
    <col min="7684" max="7684" width="9" style="2"/>
    <col min="7685" max="7685" width="8" style="2" bestFit="1" customWidth="1"/>
    <col min="7686" max="7692" width="11.125" style="2" bestFit="1" customWidth="1"/>
    <col min="7693" max="7693" width="9.625" style="2" bestFit="1" customWidth="1"/>
    <col min="7694" max="7918" width="9" style="2"/>
    <col min="7919" max="7919" width="2.375" style="2" customWidth="1"/>
    <col min="7920" max="7920" width="13.25" style="2" bestFit="1" customWidth="1"/>
    <col min="7921" max="7922" width="11.125" style="2" bestFit="1" customWidth="1"/>
    <col min="7923" max="7923" width="13.25" style="2" bestFit="1" customWidth="1"/>
    <col min="7924" max="7924" width="11.125" style="2" bestFit="1" customWidth="1"/>
    <col min="7925" max="7925" width="9" style="2"/>
    <col min="7926" max="7926" width="11.125" style="2" bestFit="1" customWidth="1"/>
    <col min="7927" max="7927" width="9" style="2"/>
    <col min="7928" max="7939" width="11.125" style="2" bestFit="1" customWidth="1"/>
    <col min="7940" max="7940" width="9" style="2"/>
    <col min="7941" max="7941" width="8" style="2" bestFit="1" customWidth="1"/>
    <col min="7942" max="7948" width="11.125" style="2" bestFit="1" customWidth="1"/>
    <col min="7949" max="7949" width="9.625" style="2" bestFit="1" customWidth="1"/>
    <col min="7950" max="8174" width="9" style="2"/>
    <col min="8175" max="8175" width="2.375" style="2" customWidth="1"/>
    <col min="8176" max="8176" width="13.25" style="2" bestFit="1" customWidth="1"/>
    <col min="8177" max="8178" width="11.125" style="2" bestFit="1" customWidth="1"/>
    <col min="8179" max="8179" width="13.25" style="2" bestFit="1" customWidth="1"/>
    <col min="8180" max="8180" width="11.125" style="2" bestFit="1" customWidth="1"/>
    <col min="8181" max="8181" width="9" style="2"/>
    <col min="8182" max="8182" width="11.125" style="2" bestFit="1" customWidth="1"/>
    <col min="8183" max="8183" width="9" style="2"/>
    <col min="8184" max="8195" width="11.125" style="2" bestFit="1" customWidth="1"/>
    <col min="8196" max="8196" width="9" style="2"/>
    <col min="8197" max="8197" width="8" style="2" bestFit="1" customWidth="1"/>
    <col min="8198" max="8204" width="11.125" style="2" bestFit="1" customWidth="1"/>
    <col min="8205" max="8205" width="9.625" style="2" bestFit="1" customWidth="1"/>
    <col min="8206" max="8430" width="9" style="2"/>
    <col min="8431" max="8431" width="2.375" style="2" customWidth="1"/>
    <col min="8432" max="8432" width="13.25" style="2" bestFit="1" customWidth="1"/>
    <col min="8433" max="8434" width="11.125" style="2" bestFit="1" customWidth="1"/>
    <col min="8435" max="8435" width="13.25" style="2" bestFit="1" customWidth="1"/>
    <col min="8436" max="8436" width="11.125" style="2" bestFit="1" customWidth="1"/>
    <col min="8437" max="8437" width="9" style="2"/>
    <col min="8438" max="8438" width="11.125" style="2" bestFit="1" customWidth="1"/>
    <col min="8439" max="8439" width="9" style="2"/>
    <col min="8440" max="8451" width="11.125" style="2" bestFit="1" customWidth="1"/>
    <col min="8452" max="8452" width="9" style="2"/>
    <col min="8453" max="8453" width="8" style="2" bestFit="1" customWidth="1"/>
    <col min="8454" max="8460" width="11.125" style="2" bestFit="1" customWidth="1"/>
    <col min="8461" max="8461" width="9.625" style="2" bestFit="1" customWidth="1"/>
    <col min="8462" max="8686" width="9" style="2"/>
    <col min="8687" max="8687" width="2.375" style="2" customWidth="1"/>
    <col min="8688" max="8688" width="13.25" style="2" bestFit="1" customWidth="1"/>
    <col min="8689" max="8690" width="11.125" style="2" bestFit="1" customWidth="1"/>
    <col min="8691" max="8691" width="13.25" style="2" bestFit="1" customWidth="1"/>
    <col min="8692" max="8692" width="11.125" style="2" bestFit="1" customWidth="1"/>
    <col min="8693" max="8693" width="9" style="2"/>
    <col min="8694" max="8694" width="11.125" style="2" bestFit="1" customWidth="1"/>
    <col min="8695" max="8695" width="9" style="2"/>
    <col min="8696" max="8707" width="11.125" style="2" bestFit="1" customWidth="1"/>
    <col min="8708" max="8708" width="9" style="2"/>
    <col min="8709" max="8709" width="8" style="2" bestFit="1" customWidth="1"/>
    <col min="8710" max="8716" width="11.125" style="2" bestFit="1" customWidth="1"/>
    <col min="8717" max="8717" width="9.625" style="2" bestFit="1" customWidth="1"/>
    <col min="8718" max="8942" width="9" style="2"/>
    <col min="8943" max="8943" width="2.375" style="2" customWidth="1"/>
    <col min="8944" max="8944" width="13.25" style="2" bestFit="1" customWidth="1"/>
    <col min="8945" max="8946" width="11.125" style="2" bestFit="1" customWidth="1"/>
    <col min="8947" max="8947" width="13.25" style="2" bestFit="1" customWidth="1"/>
    <col min="8948" max="8948" width="11.125" style="2" bestFit="1" customWidth="1"/>
    <col min="8949" max="8949" width="9" style="2"/>
    <col min="8950" max="8950" width="11.125" style="2" bestFit="1" customWidth="1"/>
    <col min="8951" max="8951" width="9" style="2"/>
    <col min="8952" max="8963" width="11.125" style="2" bestFit="1" customWidth="1"/>
    <col min="8964" max="8964" width="9" style="2"/>
    <col min="8965" max="8965" width="8" style="2" bestFit="1" customWidth="1"/>
    <col min="8966" max="8972" width="11.125" style="2" bestFit="1" customWidth="1"/>
    <col min="8973" max="8973" width="9.625" style="2" bestFit="1" customWidth="1"/>
    <col min="8974" max="9198" width="9" style="2"/>
    <col min="9199" max="9199" width="2.375" style="2" customWidth="1"/>
    <col min="9200" max="9200" width="13.25" style="2" bestFit="1" customWidth="1"/>
    <col min="9201" max="9202" width="11.125" style="2" bestFit="1" customWidth="1"/>
    <col min="9203" max="9203" width="13.25" style="2" bestFit="1" customWidth="1"/>
    <col min="9204" max="9204" width="11.125" style="2" bestFit="1" customWidth="1"/>
    <col min="9205" max="9205" width="9" style="2"/>
    <col min="9206" max="9206" width="11.125" style="2" bestFit="1" customWidth="1"/>
    <col min="9207" max="9207" width="9" style="2"/>
    <col min="9208" max="9219" width="11.125" style="2" bestFit="1" customWidth="1"/>
    <col min="9220" max="9220" width="9" style="2"/>
    <col min="9221" max="9221" width="8" style="2" bestFit="1" customWidth="1"/>
    <col min="9222" max="9228" width="11.125" style="2" bestFit="1" customWidth="1"/>
    <col min="9229" max="9229" width="9.625" style="2" bestFit="1" customWidth="1"/>
    <col min="9230" max="9454" width="9" style="2"/>
    <col min="9455" max="9455" width="2.375" style="2" customWidth="1"/>
    <col min="9456" max="9456" width="13.25" style="2" bestFit="1" customWidth="1"/>
    <col min="9457" max="9458" width="11.125" style="2" bestFit="1" customWidth="1"/>
    <col min="9459" max="9459" width="13.25" style="2" bestFit="1" customWidth="1"/>
    <col min="9460" max="9460" width="11.125" style="2" bestFit="1" customWidth="1"/>
    <col min="9461" max="9461" width="9" style="2"/>
    <col min="9462" max="9462" width="11.125" style="2" bestFit="1" customWidth="1"/>
    <col min="9463" max="9463" width="9" style="2"/>
    <col min="9464" max="9475" width="11.125" style="2" bestFit="1" customWidth="1"/>
    <col min="9476" max="9476" width="9" style="2"/>
    <col min="9477" max="9477" width="8" style="2" bestFit="1" customWidth="1"/>
    <col min="9478" max="9484" width="11.125" style="2" bestFit="1" customWidth="1"/>
    <col min="9485" max="9485" width="9.625" style="2" bestFit="1" customWidth="1"/>
    <col min="9486" max="9710" width="9" style="2"/>
    <col min="9711" max="9711" width="2.375" style="2" customWidth="1"/>
    <col min="9712" max="9712" width="13.25" style="2" bestFit="1" customWidth="1"/>
    <col min="9713" max="9714" width="11.125" style="2" bestFit="1" customWidth="1"/>
    <col min="9715" max="9715" width="13.25" style="2" bestFit="1" customWidth="1"/>
    <col min="9716" max="9716" width="11.125" style="2" bestFit="1" customWidth="1"/>
    <col min="9717" max="9717" width="9" style="2"/>
    <col min="9718" max="9718" width="11.125" style="2" bestFit="1" customWidth="1"/>
    <col min="9719" max="9719" width="9" style="2"/>
    <col min="9720" max="9731" width="11.125" style="2" bestFit="1" customWidth="1"/>
    <col min="9732" max="9732" width="9" style="2"/>
    <col min="9733" max="9733" width="8" style="2" bestFit="1" customWidth="1"/>
    <col min="9734" max="9740" width="11.125" style="2" bestFit="1" customWidth="1"/>
    <col min="9741" max="9741" width="9.625" style="2" bestFit="1" customWidth="1"/>
    <col min="9742" max="9966" width="9" style="2"/>
    <col min="9967" max="9967" width="2.375" style="2" customWidth="1"/>
    <col min="9968" max="9968" width="13.25" style="2" bestFit="1" customWidth="1"/>
    <col min="9969" max="9970" width="11.125" style="2" bestFit="1" customWidth="1"/>
    <col min="9971" max="9971" width="13.25" style="2" bestFit="1" customWidth="1"/>
    <col min="9972" max="9972" width="11.125" style="2" bestFit="1" customWidth="1"/>
    <col min="9973" max="9973" width="9" style="2"/>
    <col min="9974" max="9974" width="11.125" style="2" bestFit="1" customWidth="1"/>
    <col min="9975" max="9975" width="9" style="2"/>
    <col min="9976" max="9987" width="11.125" style="2" bestFit="1" customWidth="1"/>
    <col min="9988" max="9988" width="9" style="2"/>
    <col min="9989" max="9989" width="8" style="2" bestFit="1" customWidth="1"/>
    <col min="9990" max="9996" width="11.125" style="2" bestFit="1" customWidth="1"/>
    <col min="9997" max="9997" width="9.625" style="2" bestFit="1" customWidth="1"/>
    <col min="9998" max="10222" width="9" style="2"/>
    <col min="10223" max="10223" width="2.375" style="2" customWidth="1"/>
    <col min="10224" max="10224" width="13.25" style="2" bestFit="1" customWidth="1"/>
    <col min="10225" max="10226" width="11.125" style="2" bestFit="1" customWidth="1"/>
    <col min="10227" max="10227" width="13.25" style="2" bestFit="1" customWidth="1"/>
    <col min="10228" max="10228" width="11.125" style="2" bestFit="1" customWidth="1"/>
    <col min="10229" max="10229" width="9" style="2"/>
    <col min="10230" max="10230" width="11.125" style="2" bestFit="1" customWidth="1"/>
    <col min="10231" max="10231" width="9" style="2"/>
    <col min="10232" max="10243" width="11.125" style="2" bestFit="1" customWidth="1"/>
    <col min="10244" max="10244" width="9" style="2"/>
    <col min="10245" max="10245" width="8" style="2" bestFit="1" customWidth="1"/>
    <col min="10246" max="10252" width="11.125" style="2" bestFit="1" customWidth="1"/>
    <col min="10253" max="10253" width="9.625" style="2" bestFit="1" customWidth="1"/>
    <col min="10254" max="10478" width="9" style="2"/>
    <col min="10479" max="10479" width="2.375" style="2" customWidth="1"/>
    <col min="10480" max="10480" width="13.25" style="2" bestFit="1" customWidth="1"/>
    <col min="10481" max="10482" width="11.125" style="2" bestFit="1" customWidth="1"/>
    <col min="10483" max="10483" width="13.25" style="2" bestFit="1" customWidth="1"/>
    <col min="10484" max="10484" width="11.125" style="2" bestFit="1" customWidth="1"/>
    <col min="10485" max="10485" width="9" style="2"/>
    <col min="10486" max="10486" width="11.125" style="2" bestFit="1" customWidth="1"/>
    <col min="10487" max="10487" width="9" style="2"/>
    <col min="10488" max="10499" width="11.125" style="2" bestFit="1" customWidth="1"/>
    <col min="10500" max="10500" width="9" style="2"/>
    <col min="10501" max="10501" width="8" style="2" bestFit="1" customWidth="1"/>
    <col min="10502" max="10508" width="11.125" style="2" bestFit="1" customWidth="1"/>
    <col min="10509" max="10509" width="9.625" style="2" bestFit="1" customWidth="1"/>
    <col min="10510" max="10734" width="9" style="2"/>
    <col min="10735" max="10735" width="2.375" style="2" customWidth="1"/>
    <col min="10736" max="10736" width="13.25" style="2" bestFit="1" customWidth="1"/>
    <col min="10737" max="10738" width="11.125" style="2" bestFit="1" customWidth="1"/>
    <col min="10739" max="10739" width="13.25" style="2" bestFit="1" customWidth="1"/>
    <col min="10740" max="10740" width="11.125" style="2" bestFit="1" customWidth="1"/>
    <col min="10741" max="10741" width="9" style="2"/>
    <col min="10742" max="10742" width="11.125" style="2" bestFit="1" customWidth="1"/>
    <col min="10743" max="10743" width="9" style="2"/>
    <col min="10744" max="10755" width="11.125" style="2" bestFit="1" customWidth="1"/>
    <col min="10756" max="10756" width="9" style="2"/>
    <col min="10757" max="10757" width="8" style="2" bestFit="1" customWidth="1"/>
    <col min="10758" max="10764" width="11.125" style="2" bestFit="1" customWidth="1"/>
    <col min="10765" max="10765" width="9.625" style="2" bestFit="1" customWidth="1"/>
    <col min="10766" max="10990" width="9" style="2"/>
    <col min="10991" max="10991" width="2.375" style="2" customWidth="1"/>
    <col min="10992" max="10992" width="13.25" style="2" bestFit="1" customWidth="1"/>
    <col min="10993" max="10994" width="11.125" style="2" bestFit="1" customWidth="1"/>
    <col min="10995" max="10995" width="13.25" style="2" bestFit="1" customWidth="1"/>
    <col min="10996" max="10996" width="11.125" style="2" bestFit="1" customWidth="1"/>
    <col min="10997" max="10997" width="9" style="2"/>
    <col min="10998" max="10998" width="11.125" style="2" bestFit="1" customWidth="1"/>
    <col min="10999" max="10999" width="9" style="2"/>
    <col min="11000" max="11011" width="11.125" style="2" bestFit="1" customWidth="1"/>
    <col min="11012" max="11012" width="9" style="2"/>
    <col min="11013" max="11013" width="8" style="2" bestFit="1" customWidth="1"/>
    <col min="11014" max="11020" width="11.125" style="2" bestFit="1" customWidth="1"/>
    <col min="11021" max="11021" width="9.625" style="2" bestFit="1" customWidth="1"/>
    <col min="11022" max="11246" width="9" style="2"/>
    <col min="11247" max="11247" width="2.375" style="2" customWidth="1"/>
    <col min="11248" max="11248" width="13.25" style="2" bestFit="1" customWidth="1"/>
    <col min="11249" max="11250" width="11.125" style="2" bestFit="1" customWidth="1"/>
    <col min="11251" max="11251" width="13.25" style="2" bestFit="1" customWidth="1"/>
    <col min="11252" max="11252" width="11.125" style="2" bestFit="1" customWidth="1"/>
    <col min="11253" max="11253" width="9" style="2"/>
    <col min="11254" max="11254" width="11.125" style="2" bestFit="1" customWidth="1"/>
    <col min="11255" max="11255" width="9" style="2"/>
    <col min="11256" max="11267" width="11.125" style="2" bestFit="1" customWidth="1"/>
    <col min="11268" max="11268" width="9" style="2"/>
    <col min="11269" max="11269" width="8" style="2" bestFit="1" customWidth="1"/>
    <col min="11270" max="11276" width="11.125" style="2" bestFit="1" customWidth="1"/>
    <col min="11277" max="11277" width="9.625" style="2" bestFit="1" customWidth="1"/>
    <col min="11278" max="11502" width="9" style="2"/>
    <col min="11503" max="11503" width="2.375" style="2" customWidth="1"/>
    <col min="11504" max="11504" width="13.25" style="2" bestFit="1" customWidth="1"/>
    <col min="11505" max="11506" width="11.125" style="2" bestFit="1" customWidth="1"/>
    <col min="11507" max="11507" width="13.25" style="2" bestFit="1" customWidth="1"/>
    <col min="11508" max="11508" width="11.125" style="2" bestFit="1" customWidth="1"/>
    <col min="11509" max="11509" width="9" style="2"/>
    <col min="11510" max="11510" width="11.125" style="2" bestFit="1" customWidth="1"/>
    <col min="11511" max="11511" width="9" style="2"/>
    <col min="11512" max="11523" width="11.125" style="2" bestFit="1" customWidth="1"/>
    <col min="11524" max="11524" width="9" style="2"/>
    <col min="11525" max="11525" width="8" style="2" bestFit="1" customWidth="1"/>
    <col min="11526" max="11532" width="11.125" style="2" bestFit="1" customWidth="1"/>
    <col min="11533" max="11533" width="9.625" style="2" bestFit="1" customWidth="1"/>
    <col min="11534" max="11758" width="9" style="2"/>
    <col min="11759" max="11759" width="2.375" style="2" customWidth="1"/>
    <col min="11760" max="11760" width="13.25" style="2" bestFit="1" customWidth="1"/>
    <col min="11761" max="11762" width="11.125" style="2" bestFit="1" customWidth="1"/>
    <col min="11763" max="11763" width="13.25" style="2" bestFit="1" customWidth="1"/>
    <col min="11764" max="11764" width="11.125" style="2" bestFit="1" customWidth="1"/>
    <col min="11765" max="11765" width="9" style="2"/>
    <col min="11766" max="11766" width="11.125" style="2" bestFit="1" customWidth="1"/>
    <col min="11767" max="11767" width="9" style="2"/>
    <col min="11768" max="11779" width="11.125" style="2" bestFit="1" customWidth="1"/>
    <col min="11780" max="11780" width="9" style="2"/>
    <col min="11781" max="11781" width="8" style="2" bestFit="1" customWidth="1"/>
    <col min="11782" max="11788" width="11.125" style="2" bestFit="1" customWidth="1"/>
    <col min="11789" max="11789" width="9.625" style="2" bestFit="1" customWidth="1"/>
    <col min="11790" max="12014" width="9" style="2"/>
    <col min="12015" max="12015" width="2.375" style="2" customWidth="1"/>
    <col min="12016" max="12016" width="13.25" style="2" bestFit="1" customWidth="1"/>
    <col min="12017" max="12018" width="11.125" style="2" bestFit="1" customWidth="1"/>
    <col min="12019" max="12019" width="13.25" style="2" bestFit="1" customWidth="1"/>
    <col min="12020" max="12020" width="11.125" style="2" bestFit="1" customWidth="1"/>
    <col min="12021" max="12021" width="9" style="2"/>
    <col min="12022" max="12022" width="11.125" style="2" bestFit="1" customWidth="1"/>
    <col min="12023" max="12023" width="9" style="2"/>
    <col min="12024" max="12035" width="11.125" style="2" bestFit="1" customWidth="1"/>
    <col min="12036" max="12036" width="9" style="2"/>
    <col min="12037" max="12037" width="8" style="2" bestFit="1" customWidth="1"/>
    <col min="12038" max="12044" width="11.125" style="2" bestFit="1" customWidth="1"/>
    <col min="12045" max="12045" width="9.625" style="2" bestFit="1" customWidth="1"/>
    <col min="12046" max="12270" width="9" style="2"/>
    <col min="12271" max="12271" width="2.375" style="2" customWidth="1"/>
    <col min="12272" max="12272" width="13.25" style="2" bestFit="1" customWidth="1"/>
    <col min="12273" max="12274" width="11.125" style="2" bestFit="1" customWidth="1"/>
    <col min="12275" max="12275" width="13.25" style="2" bestFit="1" customWidth="1"/>
    <col min="12276" max="12276" width="11.125" style="2" bestFit="1" customWidth="1"/>
    <col min="12277" max="12277" width="9" style="2"/>
    <col min="12278" max="12278" width="11.125" style="2" bestFit="1" customWidth="1"/>
    <col min="12279" max="12279" width="9" style="2"/>
    <col min="12280" max="12291" width="11.125" style="2" bestFit="1" customWidth="1"/>
    <col min="12292" max="12292" width="9" style="2"/>
    <col min="12293" max="12293" width="8" style="2" bestFit="1" customWidth="1"/>
    <col min="12294" max="12300" width="11.125" style="2" bestFit="1" customWidth="1"/>
    <col min="12301" max="12301" width="9.625" style="2" bestFit="1" customWidth="1"/>
    <col min="12302" max="12526" width="9" style="2"/>
    <col min="12527" max="12527" width="2.375" style="2" customWidth="1"/>
    <col min="12528" max="12528" width="13.25" style="2" bestFit="1" customWidth="1"/>
    <col min="12529" max="12530" width="11.125" style="2" bestFit="1" customWidth="1"/>
    <col min="12531" max="12531" width="13.25" style="2" bestFit="1" customWidth="1"/>
    <col min="12532" max="12532" width="11.125" style="2" bestFit="1" customWidth="1"/>
    <col min="12533" max="12533" width="9" style="2"/>
    <col min="12534" max="12534" width="11.125" style="2" bestFit="1" customWidth="1"/>
    <col min="12535" max="12535" width="9" style="2"/>
    <col min="12536" max="12547" width="11.125" style="2" bestFit="1" customWidth="1"/>
    <col min="12548" max="12548" width="9" style="2"/>
    <col min="12549" max="12549" width="8" style="2" bestFit="1" customWidth="1"/>
    <col min="12550" max="12556" width="11.125" style="2" bestFit="1" customWidth="1"/>
    <col min="12557" max="12557" width="9.625" style="2" bestFit="1" customWidth="1"/>
    <col min="12558" max="12782" width="9" style="2"/>
    <col min="12783" max="12783" width="2.375" style="2" customWidth="1"/>
    <col min="12784" max="12784" width="13.25" style="2" bestFit="1" customWidth="1"/>
    <col min="12785" max="12786" width="11.125" style="2" bestFit="1" customWidth="1"/>
    <col min="12787" max="12787" width="13.25" style="2" bestFit="1" customWidth="1"/>
    <col min="12788" max="12788" width="11.125" style="2" bestFit="1" customWidth="1"/>
    <col min="12789" max="12789" width="9" style="2"/>
    <col min="12790" max="12790" width="11.125" style="2" bestFit="1" customWidth="1"/>
    <col min="12791" max="12791" width="9" style="2"/>
    <col min="12792" max="12803" width="11.125" style="2" bestFit="1" customWidth="1"/>
    <col min="12804" max="12804" width="9" style="2"/>
    <col min="12805" max="12805" width="8" style="2" bestFit="1" customWidth="1"/>
    <col min="12806" max="12812" width="11.125" style="2" bestFit="1" customWidth="1"/>
    <col min="12813" max="12813" width="9.625" style="2" bestFit="1" customWidth="1"/>
    <col min="12814" max="13038" width="9" style="2"/>
    <col min="13039" max="13039" width="2.375" style="2" customWidth="1"/>
    <col min="13040" max="13040" width="13.25" style="2" bestFit="1" customWidth="1"/>
    <col min="13041" max="13042" width="11.125" style="2" bestFit="1" customWidth="1"/>
    <col min="13043" max="13043" width="13.25" style="2" bestFit="1" customWidth="1"/>
    <col min="13044" max="13044" width="11.125" style="2" bestFit="1" customWidth="1"/>
    <col min="13045" max="13045" width="9" style="2"/>
    <col min="13046" max="13046" width="11.125" style="2" bestFit="1" customWidth="1"/>
    <col min="13047" max="13047" width="9" style="2"/>
    <col min="13048" max="13059" width="11.125" style="2" bestFit="1" customWidth="1"/>
    <col min="13060" max="13060" width="9" style="2"/>
    <col min="13061" max="13061" width="8" style="2" bestFit="1" customWidth="1"/>
    <col min="13062" max="13068" width="11.125" style="2" bestFit="1" customWidth="1"/>
    <col min="13069" max="13069" width="9.625" style="2" bestFit="1" customWidth="1"/>
    <col min="13070" max="13294" width="9" style="2"/>
    <col min="13295" max="13295" width="2.375" style="2" customWidth="1"/>
    <col min="13296" max="13296" width="13.25" style="2" bestFit="1" customWidth="1"/>
    <col min="13297" max="13298" width="11.125" style="2" bestFit="1" customWidth="1"/>
    <col min="13299" max="13299" width="13.25" style="2" bestFit="1" customWidth="1"/>
    <col min="13300" max="13300" width="11.125" style="2" bestFit="1" customWidth="1"/>
    <col min="13301" max="13301" width="9" style="2"/>
    <col min="13302" max="13302" width="11.125" style="2" bestFit="1" customWidth="1"/>
    <col min="13303" max="13303" width="9" style="2"/>
    <col min="13304" max="13315" width="11.125" style="2" bestFit="1" customWidth="1"/>
    <col min="13316" max="13316" width="9" style="2"/>
    <col min="13317" max="13317" width="8" style="2" bestFit="1" customWidth="1"/>
    <col min="13318" max="13324" width="11.125" style="2" bestFit="1" customWidth="1"/>
    <col min="13325" max="13325" width="9.625" style="2" bestFit="1" customWidth="1"/>
    <col min="13326" max="13550" width="9" style="2"/>
    <col min="13551" max="13551" width="2.375" style="2" customWidth="1"/>
    <col min="13552" max="13552" width="13.25" style="2" bestFit="1" customWidth="1"/>
    <col min="13553" max="13554" width="11.125" style="2" bestFit="1" customWidth="1"/>
    <col min="13555" max="13555" width="13.25" style="2" bestFit="1" customWidth="1"/>
    <col min="13556" max="13556" width="11.125" style="2" bestFit="1" customWidth="1"/>
    <col min="13557" max="13557" width="9" style="2"/>
    <col min="13558" max="13558" width="11.125" style="2" bestFit="1" customWidth="1"/>
    <col min="13559" max="13559" width="9" style="2"/>
    <col min="13560" max="13571" width="11.125" style="2" bestFit="1" customWidth="1"/>
    <col min="13572" max="13572" width="9" style="2"/>
    <col min="13573" max="13573" width="8" style="2" bestFit="1" customWidth="1"/>
    <col min="13574" max="13580" width="11.125" style="2" bestFit="1" customWidth="1"/>
    <col min="13581" max="13581" width="9.625" style="2" bestFit="1" customWidth="1"/>
    <col min="13582" max="13806" width="9" style="2"/>
    <col min="13807" max="13807" width="2.375" style="2" customWidth="1"/>
    <col min="13808" max="13808" width="13.25" style="2" bestFit="1" customWidth="1"/>
    <col min="13809" max="13810" width="11.125" style="2" bestFit="1" customWidth="1"/>
    <col min="13811" max="13811" width="13.25" style="2" bestFit="1" customWidth="1"/>
    <col min="13812" max="13812" width="11.125" style="2" bestFit="1" customWidth="1"/>
    <col min="13813" max="13813" width="9" style="2"/>
    <col min="13814" max="13814" width="11.125" style="2" bestFit="1" customWidth="1"/>
    <col min="13815" max="13815" width="9" style="2"/>
    <col min="13816" max="13827" width="11.125" style="2" bestFit="1" customWidth="1"/>
    <col min="13828" max="13828" width="9" style="2"/>
    <col min="13829" max="13829" width="8" style="2" bestFit="1" customWidth="1"/>
    <col min="13830" max="13836" width="11.125" style="2" bestFit="1" customWidth="1"/>
    <col min="13837" max="13837" width="9.625" style="2" bestFit="1" customWidth="1"/>
    <col min="13838" max="14062" width="9" style="2"/>
    <col min="14063" max="14063" width="2.375" style="2" customWidth="1"/>
    <col min="14064" max="14064" width="13.25" style="2" bestFit="1" customWidth="1"/>
    <col min="14065" max="14066" width="11.125" style="2" bestFit="1" customWidth="1"/>
    <col min="14067" max="14067" width="13.25" style="2" bestFit="1" customWidth="1"/>
    <col min="14068" max="14068" width="11.125" style="2" bestFit="1" customWidth="1"/>
    <col min="14069" max="14069" width="9" style="2"/>
    <col min="14070" max="14070" width="11.125" style="2" bestFit="1" customWidth="1"/>
    <col min="14071" max="14071" width="9" style="2"/>
    <col min="14072" max="14083" width="11.125" style="2" bestFit="1" customWidth="1"/>
    <col min="14084" max="14084" width="9" style="2"/>
    <col min="14085" max="14085" width="8" style="2" bestFit="1" customWidth="1"/>
    <col min="14086" max="14092" width="11.125" style="2" bestFit="1" customWidth="1"/>
    <col min="14093" max="14093" width="9.625" style="2" bestFit="1" customWidth="1"/>
    <col min="14094" max="14318" width="9" style="2"/>
    <col min="14319" max="14319" width="2.375" style="2" customWidth="1"/>
    <col min="14320" max="14320" width="13.25" style="2" bestFit="1" customWidth="1"/>
    <col min="14321" max="14322" width="11.125" style="2" bestFit="1" customWidth="1"/>
    <col min="14323" max="14323" width="13.25" style="2" bestFit="1" customWidth="1"/>
    <col min="14324" max="14324" width="11.125" style="2" bestFit="1" customWidth="1"/>
    <col min="14325" max="14325" width="9" style="2"/>
    <col min="14326" max="14326" width="11.125" style="2" bestFit="1" customWidth="1"/>
    <col min="14327" max="14327" width="9" style="2"/>
    <col min="14328" max="14339" width="11.125" style="2" bestFit="1" customWidth="1"/>
    <col min="14340" max="14340" width="9" style="2"/>
    <col min="14341" max="14341" width="8" style="2" bestFit="1" customWidth="1"/>
    <col min="14342" max="14348" width="11.125" style="2" bestFit="1" customWidth="1"/>
    <col min="14349" max="14349" width="9.625" style="2" bestFit="1" customWidth="1"/>
    <col min="14350" max="14574" width="9" style="2"/>
    <col min="14575" max="14575" width="2.375" style="2" customWidth="1"/>
    <col min="14576" max="14576" width="13.25" style="2" bestFit="1" customWidth="1"/>
    <col min="14577" max="14578" width="11.125" style="2" bestFit="1" customWidth="1"/>
    <col min="14579" max="14579" width="13.25" style="2" bestFit="1" customWidth="1"/>
    <col min="14580" max="14580" width="11.125" style="2" bestFit="1" customWidth="1"/>
    <col min="14581" max="14581" width="9" style="2"/>
    <col min="14582" max="14582" width="11.125" style="2" bestFit="1" customWidth="1"/>
    <col min="14583" max="14583" width="9" style="2"/>
    <col min="14584" max="14595" width="11.125" style="2" bestFit="1" customWidth="1"/>
    <col min="14596" max="14596" width="9" style="2"/>
    <col min="14597" max="14597" width="8" style="2" bestFit="1" customWidth="1"/>
    <col min="14598" max="14604" width="11.125" style="2" bestFit="1" customWidth="1"/>
    <col min="14605" max="14605" width="9.625" style="2" bestFit="1" customWidth="1"/>
    <col min="14606" max="14830" width="9" style="2"/>
    <col min="14831" max="14831" width="2.375" style="2" customWidth="1"/>
    <col min="14832" max="14832" width="13.25" style="2" bestFit="1" customWidth="1"/>
    <col min="14833" max="14834" width="11.125" style="2" bestFit="1" customWidth="1"/>
    <col min="14835" max="14835" width="13.25" style="2" bestFit="1" customWidth="1"/>
    <col min="14836" max="14836" width="11.125" style="2" bestFit="1" customWidth="1"/>
    <col min="14837" max="14837" width="9" style="2"/>
    <col min="14838" max="14838" width="11.125" style="2" bestFit="1" customWidth="1"/>
    <col min="14839" max="14839" width="9" style="2"/>
    <col min="14840" max="14851" width="11.125" style="2" bestFit="1" customWidth="1"/>
    <col min="14852" max="14852" width="9" style="2"/>
    <col min="14853" max="14853" width="8" style="2" bestFit="1" customWidth="1"/>
    <col min="14854" max="14860" width="11.125" style="2" bestFit="1" customWidth="1"/>
    <col min="14861" max="14861" width="9.625" style="2" bestFit="1" customWidth="1"/>
    <col min="14862" max="15086" width="9" style="2"/>
    <col min="15087" max="15087" width="2.375" style="2" customWidth="1"/>
    <col min="15088" max="15088" width="13.25" style="2" bestFit="1" customWidth="1"/>
    <col min="15089" max="15090" width="11.125" style="2" bestFit="1" customWidth="1"/>
    <col min="15091" max="15091" width="13.25" style="2" bestFit="1" customWidth="1"/>
    <col min="15092" max="15092" width="11.125" style="2" bestFit="1" customWidth="1"/>
    <col min="15093" max="15093" width="9" style="2"/>
    <col min="15094" max="15094" width="11.125" style="2" bestFit="1" customWidth="1"/>
    <col min="15095" max="15095" width="9" style="2"/>
    <col min="15096" max="15107" width="11.125" style="2" bestFit="1" customWidth="1"/>
    <col min="15108" max="15108" width="9" style="2"/>
    <col min="15109" max="15109" width="8" style="2" bestFit="1" customWidth="1"/>
    <col min="15110" max="15116" width="11.125" style="2" bestFit="1" customWidth="1"/>
    <col min="15117" max="15117" width="9.625" style="2" bestFit="1" customWidth="1"/>
    <col min="15118" max="15342" width="9" style="2"/>
    <col min="15343" max="15343" width="2.375" style="2" customWidth="1"/>
    <col min="15344" max="15344" width="13.25" style="2" bestFit="1" customWidth="1"/>
    <col min="15345" max="15346" width="11.125" style="2" bestFit="1" customWidth="1"/>
    <col min="15347" max="15347" width="13.25" style="2" bestFit="1" customWidth="1"/>
    <col min="15348" max="15348" width="11.125" style="2" bestFit="1" customWidth="1"/>
    <col min="15349" max="15349" width="9" style="2"/>
    <col min="15350" max="15350" width="11.125" style="2" bestFit="1" customWidth="1"/>
    <col min="15351" max="15351" width="9" style="2"/>
    <col min="15352" max="15363" width="11.125" style="2" bestFit="1" customWidth="1"/>
    <col min="15364" max="15364" width="9" style="2"/>
    <col min="15365" max="15365" width="8" style="2" bestFit="1" customWidth="1"/>
    <col min="15366" max="15372" width="11.125" style="2" bestFit="1" customWidth="1"/>
    <col min="15373" max="15373" width="9.625" style="2" bestFit="1" customWidth="1"/>
    <col min="15374" max="15598" width="9" style="2"/>
    <col min="15599" max="15599" width="2.375" style="2" customWidth="1"/>
    <col min="15600" max="15600" width="13.25" style="2" bestFit="1" customWidth="1"/>
    <col min="15601" max="15602" width="11.125" style="2" bestFit="1" customWidth="1"/>
    <col min="15603" max="15603" width="13.25" style="2" bestFit="1" customWidth="1"/>
    <col min="15604" max="15604" width="11.125" style="2" bestFit="1" customWidth="1"/>
    <col min="15605" max="15605" width="9" style="2"/>
    <col min="15606" max="15606" width="11.125" style="2" bestFit="1" customWidth="1"/>
    <col min="15607" max="15607" width="9" style="2"/>
    <col min="15608" max="15619" width="11.125" style="2" bestFit="1" customWidth="1"/>
    <col min="15620" max="15620" width="9" style="2"/>
    <col min="15621" max="15621" width="8" style="2" bestFit="1" customWidth="1"/>
    <col min="15622" max="15628" width="11.125" style="2" bestFit="1" customWidth="1"/>
    <col min="15629" max="15629" width="9.625" style="2" bestFit="1" customWidth="1"/>
    <col min="15630" max="15854" width="9" style="2"/>
    <col min="15855" max="15855" width="2.375" style="2" customWidth="1"/>
    <col min="15856" max="15856" width="13.25" style="2" bestFit="1" customWidth="1"/>
    <col min="15857" max="15858" width="11.125" style="2" bestFit="1" customWidth="1"/>
    <col min="15859" max="15859" width="13.25" style="2" bestFit="1" customWidth="1"/>
    <col min="15860" max="15860" width="11.125" style="2" bestFit="1" customWidth="1"/>
    <col min="15861" max="15861" width="9" style="2"/>
    <col min="15862" max="15862" width="11.125" style="2" bestFit="1" customWidth="1"/>
    <col min="15863" max="15863" width="9" style="2"/>
    <col min="15864" max="15875" width="11.125" style="2" bestFit="1" customWidth="1"/>
    <col min="15876" max="15876" width="9" style="2"/>
    <col min="15877" max="15877" width="8" style="2" bestFit="1" customWidth="1"/>
    <col min="15878" max="15884" width="11.125" style="2" bestFit="1" customWidth="1"/>
    <col min="15885" max="15885" width="9.625" style="2" bestFit="1" customWidth="1"/>
    <col min="15886" max="16110" width="9" style="2"/>
    <col min="16111" max="16111" width="2.375" style="2" customWidth="1"/>
    <col min="16112" max="16112" width="13.25" style="2" bestFit="1" customWidth="1"/>
    <col min="16113" max="16114" width="11.125" style="2" bestFit="1" customWidth="1"/>
    <col min="16115" max="16115" width="13.25" style="2" bestFit="1" customWidth="1"/>
    <col min="16116" max="16116" width="11.125" style="2" bestFit="1" customWidth="1"/>
    <col min="16117" max="16117" width="9" style="2"/>
    <col min="16118" max="16118" width="11.125" style="2" bestFit="1" customWidth="1"/>
    <col min="16119" max="16119" width="9" style="2"/>
    <col min="16120" max="16131" width="11.125" style="2" bestFit="1" customWidth="1"/>
    <col min="16132" max="16132" width="9" style="2"/>
    <col min="16133" max="16133" width="8" style="2" bestFit="1" customWidth="1"/>
    <col min="16134" max="16140" width="11.125" style="2" bestFit="1" customWidth="1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 ht="19.5" thickBot="1">
      <c r="A2" s="1" t="s">
        <v>118</v>
      </c>
    </row>
    <row r="3" spans="1:15">
      <c r="B3" s="3"/>
      <c r="C3" s="10" t="s">
        <v>17</v>
      </c>
      <c r="D3" s="10" t="s">
        <v>4</v>
      </c>
      <c r="E3" s="10" t="s">
        <v>26</v>
      </c>
      <c r="F3" s="10" t="s">
        <v>27</v>
      </c>
      <c r="G3" s="10" t="s">
        <v>23</v>
      </c>
      <c r="H3" s="10" t="s">
        <v>24</v>
      </c>
      <c r="I3" s="10" t="s">
        <v>25</v>
      </c>
      <c r="J3" s="10" t="s">
        <v>28</v>
      </c>
      <c r="K3" s="11" t="s">
        <v>29</v>
      </c>
      <c r="L3" s="59" t="s">
        <v>119</v>
      </c>
      <c r="M3" s="60" t="s">
        <v>5</v>
      </c>
      <c r="N3" s="59" t="s">
        <v>119</v>
      </c>
      <c r="O3" s="4" t="s">
        <v>59</v>
      </c>
    </row>
    <row r="4" spans="1:15" ht="19.5" thickBot="1">
      <c r="A4" s="46"/>
      <c r="B4" s="28" t="s">
        <v>30</v>
      </c>
      <c r="C4" s="30" t="s">
        <v>46</v>
      </c>
      <c r="D4" s="30" t="s">
        <v>33</v>
      </c>
      <c r="E4" s="30" t="s">
        <v>55</v>
      </c>
      <c r="F4" s="30" t="s">
        <v>56</v>
      </c>
      <c r="G4" s="30" t="s">
        <v>52</v>
      </c>
      <c r="H4" s="30" t="s">
        <v>53</v>
      </c>
      <c r="I4" s="30" t="s">
        <v>54</v>
      </c>
      <c r="J4" s="30" t="s">
        <v>57</v>
      </c>
      <c r="K4" s="31" t="s">
        <v>58</v>
      </c>
      <c r="L4" s="61" t="s">
        <v>121</v>
      </c>
      <c r="M4" s="62" t="s">
        <v>34</v>
      </c>
      <c r="N4" s="61" t="s">
        <v>122</v>
      </c>
      <c r="O4" s="74" t="s">
        <v>123</v>
      </c>
    </row>
    <row r="5" spans="1:15">
      <c r="A5" s="1" t="s">
        <v>1</v>
      </c>
      <c r="B5" s="24" t="s">
        <v>60</v>
      </c>
      <c r="C5" s="26">
        <v>21</v>
      </c>
      <c r="D5" s="26">
        <v>21</v>
      </c>
      <c r="E5" s="26">
        <v>14</v>
      </c>
      <c r="F5" s="26">
        <v>14</v>
      </c>
      <c r="G5" s="26">
        <v>10</v>
      </c>
      <c r="H5" s="26">
        <v>10</v>
      </c>
      <c r="I5" s="26">
        <v>10</v>
      </c>
      <c r="J5" s="26">
        <v>4</v>
      </c>
      <c r="K5" s="27">
        <v>20</v>
      </c>
      <c r="L5" s="63">
        <f>SUM(C5:K5)</f>
        <v>124</v>
      </c>
      <c r="M5" s="63">
        <v>21</v>
      </c>
      <c r="N5" s="63">
        <f>SUM(M5)</f>
        <v>21</v>
      </c>
      <c r="O5" s="63">
        <v>486</v>
      </c>
    </row>
    <row r="6" spans="1:15">
      <c r="A6" s="1" t="s">
        <v>1</v>
      </c>
      <c r="B6" s="5" t="s">
        <v>61</v>
      </c>
      <c r="C6" s="13">
        <v>0</v>
      </c>
      <c r="D6" s="13">
        <v>3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4">
        <v>0</v>
      </c>
      <c r="L6" s="64">
        <f>SUM(C6:K6)</f>
        <v>3</v>
      </c>
      <c r="M6" s="64">
        <v>0</v>
      </c>
      <c r="N6" s="64"/>
      <c r="O6" s="64">
        <v>37</v>
      </c>
    </row>
    <row r="7" spans="1:15">
      <c r="A7" s="1" t="s">
        <v>1</v>
      </c>
      <c r="B7" s="5" t="s">
        <v>62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4">
        <v>0</v>
      </c>
      <c r="L7" s="64"/>
      <c r="M7" s="64">
        <v>0</v>
      </c>
      <c r="N7" s="64"/>
      <c r="O7" s="64">
        <v>47</v>
      </c>
    </row>
    <row r="8" spans="1:15">
      <c r="A8" s="1" t="s">
        <v>1</v>
      </c>
      <c r="B8" s="5" t="s">
        <v>63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0</v>
      </c>
      <c r="L8" s="64"/>
      <c r="M8" s="64">
        <v>0</v>
      </c>
      <c r="N8" s="64"/>
      <c r="O8" s="64">
        <v>4</v>
      </c>
    </row>
    <row r="9" spans="1:15">
      <c r="A9" s="1" t="s">
        <v>1</v>
      </c>
      <c r="B9" s="5" t="s">
        <v>64</v>
      </c>
      <c r="C9" s="13">
        <v>0</v>
      </c>
      <c r="D9" s="13">
        <v>0</v>
      </c>
      <c r="E9" s="13">
        <v>0</v>
      </c>
      <c r="F9" s="13">
        <v>0</v>
      </c>
      <c r="G9" s="13">
        <v>1</v>
      </c>
      <c r="H9" s="13">
        <v>1</v>
      </c>
      <c r="I9" s="13">
        <v>0</v>
      </c>
      <c r="J9" s="13">
        <v>0</v>
      </c>
      <c r="K9" s="14">
        <v>0</v>
      </c>
      <c r="L9" s="64">
        <f>SUM(C9:K9)</f>
        <v>2</v>
      </c>
      <c r="M9" s="64">
        <v>0</v>
      </c>
      <c r="N9" s="64"/>
      <c r="O9" s="64">
        <v>14</v>
      </c>
    </row>
    <row r="10" spans="1:15">
      <c r="A10" s="1" t="s">
        <v>1</v>
      </c>
      <c r="B10" s="5" t="s">
        <v>65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0</v>
      </c>
      <c r="L10" s="64"/>
      <c r="M10" s="64">
        <v>0</v>
      </c>
      <c r="N10" s="64"/>
      <c r="O10" s="64">
        <v>2</v>
      </c>
    </row>
    <row r="11" spans="1:15">
      <c r="A11" s="1" t="s">
        <v>1</v>
      </c>
      <c r="B11" s="5" t="s">
        <v>66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4">
        <v>0</v>
      </c>
      <c r="L11" s="64"/>
      <c r="M11" s="64">
        <v>0</v>
      </c>
      <c r="N11" s="64"/>
      <c r="O11" s="64">
        <v>19</v>
      </c>
    </row>
    <row r="12" spans="1:15">
      <c r="A12" s="1" t="s">
        <v>1</v>
      </c>
      <c r="B12" s="5" t="s">
        <v>67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0</v>
      </c>
      <c r="L12" s="64"/>
      <c r="M12" s="64">
        <v>0</v>
      </c>
      <c r="N12" s="64"/>
      <c r="O12" s="64">
        <v>5</v>
      </c>
    </row>
    <row r="13" spans="1:15">
      <c r="A13" s="1" t="s">
        <v>1</v>
      </c>
      <c r="B13" s="5" t="s">
        <v>68</v>
      </c>
      <c r="C13" s="16">
        <v>0</v>
      </c>
      <c r="D13" s="16">
        <v>0</v>
      </c>
      <c r="E13" s="16">
        <v>4.083333333333333</v>
      </c>
      <c r="F13" s="16">
        <v>3.7916666666666665</v>
      </c>
      <c r="G13" s="16">
        <v>2.9583333333333335</v>
      </c>
      <c r="H13" s="16">
        <v>2.9166666666666665</v>
      </c>
      <c r="I13" s="16">
        <v>2.9583333333333335</v>
      </c>
      <c r="J13" s="16">
        <v>1.3333333333333333</v>
      </c>
      <c r="K13" s="17">
        <v>3.875</v>
      </c>
      <c r="L13" s="65">
        <f>SUM(C13:K13)</f>
        <v>21.916666666666664</v>
      </c>
      <c r="M13" s="65">
        <v>0</v>
      </c>
      <c r="N13" s="65"/>
      <c r="O13" s="65">
        <v>21.916666666666664</v>
      </c>
    </row>
    <row r="14" spans="1:15">
      <c r="A14" s="1" t="s">
        <v>1</v>
      </c>
      <c r="B14" s="5" t="s">
        <v>69</v>
      </c>
      <c r="C14" s="16">
        <v>0</v>
      </c>
      <c r="D14" s="16">
        <v>2.25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8.3333333333333329E-2</v>
      </c>
      <c r="K14" s="17">
        <v>0</v>
      </c>
      <c r="L14" s="65">
        <f>SUM(C14:K14)</f>
        <v>2.3333333333333335</v>
      </c>
      <c r="M14" s="65">
        <v>0</v>
      </c>
      <c r="N14" s="65"/>
      <c r="O14" s="65">
        <v>36</v>
      </c>
    </row>
    <row r="15" spans="1:15">
      <c r="A15" s="1" t="s">
        <v>1</v>
      </c>
      <c r="B15" s="5" t="s">
        <v>70</v>
      </c>
      <c r="C15" s="16">
        <v>0</v>
      </c>
      <c r="D15" s="16">
        <v>0.875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7">
        <v>0</v>
      </c>
      <c r="L15" s="65">
        <f>SUM(C15:K15)</f>
        <v>0.875</v>
      </c>
      <c r="M15" s="65">
        <v>0</v>
      </c>
      <c r="N15" s="65"/>
      <c r="O15" s="65">
        <v>12.083333333333334</v>
      </c>
    </row>
    <row r="16" spans="1:15">
      <c r="A16" s="1" t="s">
        <v>1</v>
      </c>
      <c r="B16" s="5" t="s">
        <v>71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7">
        <v>0</v>
      </c>
      <c r="L16" s="65"/>
      <c r="M16" s="65">
        <v>0</v>
      </c>
      <c r="N16" s="65"/>
      <c r="O16" s="65">
        <v>15.333333333333334</v>
      </c>
    </row>
    <row r="17" spans="1:15">
      <c r="A17" s="1" t="s">
        <v>1</v>
      </c>
      <c r="B17" s="5" t="s">
        <v>72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7">
        <v>0</v>
      </c>
      <c r="L17" s="65"/>
      <c r="M17" s="65">
        <v>0</v>
      </c>
      <c r="N17" s="65"/>
      <c r="O17" s="65">
        <v>0.41666666666666669</v>
      </c>
    </row>
    <row r="18" spans="1:15">
      <c r="A18" s="1" t="s">
        <v>1</v>
      </c>
      <c r="B18" s="5" t="s">
        <v>73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7">
        <v>0</v>
      </c>
      <c r="L18" s="65"/>
      <c r="M18" s="65">
        <v>0</v>
      </c>
      <c r="N18" s="65"/>
      <c r="O18" s="65">
        <v>1.0833333333333335</v>
      </c>
    </row>
    <row r="19" spans="1:15">
      <c r="A19" s="1" t="s">
        <v>1</v>
      </c>
      <c r="B19" s="5" t="s">
        <v>74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7">
        <v>0</v>
      </c>
      <c r="L19" s="65"/>
      <c r="M19" s="65">
        <v>0</v>
      </c>
      <c r="N19" s="65"/>
      <c r="O19" s="65">
        <v>0</v>
      </c>
    </row>
    <row r="20" spans="1:15">
      <c r="A20" s="1" t="s">
        <v>1</v>
      </c>
      <c r="B20" s="5" t="s">
        <v>75</v>
      </c>
      <c r="C20" s="16">
        <v>0</v>
      </c>
      <c r="D20" s="16">
        <v>0</v>
      </c>
      <c r="E20" s="16">
        <v>0</v>
      </c>
      <c r="F20" s="16">
        <v>0</v>
      </c>
      <c r="G20" s="16">
        <v>0.29166666666666669</v>
      </c>
      <c r="H20" s="16">
        <v>0.29166666666666669</v>
      </c>
      <c r="I20" s="16">
        <v>0</v>
      </c>
      <c r="J20" s="16">
        <v>0</v>
      </c>
      <c r="K20" s="17">
        <v>0</v>
      </c>
      <c r="L20" s="65">
        <f>SUM(C20:K20)</f>
        <v>0.58333333333333337</v>
      </c>
      <c r="M20" s="65">
        <v>0</v>
      </c>
      <c r="N20" s="65"/>
      <c r="O20" s="65">
        <v>0.58333333333333337</v>
      </c>
    </row>
    <row r="21" spans="1:15">
      <c r="A21" s="1" t="s">
        <v>1</v>
      </c>
      <c r="B21" s="5" t="s">
        <v>76</v>
      </c>
      <c r="C21" s="16">
        <v>0.375</v>
      </c>
      <c r="D21" s="16">
        <v>0</v>
      </c>
      <c r="E21" s="16">
        <v>0</v>
      </c>
      <c r="F21" s="16">
        <v>0</v>
      </c>
      <c r="G21" s="16">
        <v>2.0833333333333335</v>
      </c>
      <c r="H21" s="16">
        <v>2.0833333333333335</v>
      </c>
      <c r="I21" s="16">
        <v>2.0833333333333335</v>
      </c>
      <c r="J21" s="16">
        <v>0</v>
      </c>
      <c r="K21" s="17">
        <v>0</v>
      </c>
      <c r="L21" s="65">
        <f>SUM(C21:K21)</f>
        <v>6.625</v>
      </c>
      <c r="M21" s="65">
        <v>0</v>
      </c>
      <c r="N21" s="65"/>
      <c r="O21" s="65">
        <v>17.833333333333332</v>
      </c>
    </row>
    <row r="22" spans="1:15" ht="19.5" thickBot="1">
      <c r="A22" s="1" t="s">
        <v>1</v>
      </c>
      <c r="B22" s="6" t="s">
        <v>77</v>
      </c>
      <c r="C22" s="36">
        <v>19</v>
      </c>
      <c r="D22" s="36">
        <v>38</v>
      </c>
      <c r="E22" s="36">
        <v>21</v>
      </c>
      <c r="F22" s="36">
        <v>20</v>
      </c>
      <c r="G22" s="36">
        <v>1</v>
      </c>
      <c r="H22" s="36">
        <v>0</v>
      </c>
      <c r="I22" s="36">
        <v>0</v>
      </c>
      <c r="J22" s="36">
        <v>3</v>
      </c>
      <c r="K22" s="37">
        <v>11</v>
      </c>
      <c r="L22" s="66"/>
      <c r="M22" s="66">
        <v>38</v>
      </c>
      <c r="N22" s="66"/>
      <c r="O22" s="66">
        <v>0</v>
      </c>
    </row>
    <row r="23" spans="1:15">
      <c r="A23" s="1" t="s">
        <v>1</v>
      </c>
      <c r="B23" s="24" t="s">
        <v>78</v>
      </c>
      <c r="C23" s="33">
        <v>355000</v>
      </c>
      <c r="D23" s="33">
        <v>270000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4">
        <v>0</v>
      </c>
      <c r="L23" s="67">
        <f>SUM(C23:K23)</f>
        <v>625000</v>
      </c>
      <c r="M23" s="67">
        <v>365000</v>
      </c>
      <c r="N23" s="67">
        <f>SUM(M23)</f>
        <v>365000</v>
      </c>
      <c r="O23" s="67">
        <v>4209000</v>
      </c>
    </row>
    <row r="24" spans="1:15">
      <c r="A24" s="1" t="s">
        <v>1</v>
      </c>
      <c r="B24" s="5" t="s">
        <v>79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20">
        <v>0</v>
      </c>
      <c r="L24" s="68">
        <f t="shared" ref="L24:L62" si="0">SUM(C24:K24)</f>
        <v>0</v>
      </c>
      <c r="M24" s="68">
        <v>0</v>
      </c>
      <c r="N24" s="68">
        <f t="shared" ref="N24:N62" si="1">SUM(M24)</f>
        <v>0</v>
      </c>
      <c r="O24" s="68">
        <v>35000</v>
      </c>
    </row>
    <row r="25" spans="1:15">
      <c r="A25" s="1" t="s">
        <v>1</v>
      </c>
      <c r="B25" s="5" t="s">
        <v>80</v>
      </c>
      <c r="C25" s="19">
        <v>0</v>
      </c>
      <c r="D25" s="19">
        <v>3000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20">
        <v>0</v>
      </c>
      <c r="L25" s="68">
        <f t="shared" si="0"/>
        <v>3000</v>
      </c>
      <c r="M25" s="68">
        <v>0</v>
      </c>
      <c r="N25" s="68">
        <f t="shared" si="1"/>
        <v>0</v>
      </c>
      <c r="O25" s="68">
        <v>6000</v>
      </c>
    </row>
    <row r="26" spans="1:15">
      <c r="A26" s="1" t="s">
        <v>1</v>
      </c>
      <c r="B26" s="5" t="s">
        <v>81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20">
        <v>0</v>
      </c>
      <c r="L26" s="68">
        <f t="shared" si="0"/>
        <v>0</v>
      </c>
      <c r="M26" s="68">
        <v>0</v>
      </c>
      <c r="N26" s="68">
        <f t="shared" si="1"/>
        <v>0</v>
      </c>
      <c r="O26" s="68">
        <v>0</v>
      </c>
    </row>
    <row r="27" spans="1:15">
      <c r="A27" s="1" t="s">
        <v>1</v>
      </c>
      <c r="B27" s="5" t="s">
        <v>82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20">
        <v>0</v>
      </c>
      <c r="L27" s="68">
        <f t="shared" si="0"/>
        <v>0</v>
      </c>
      <c r="M27" s="68">
        <v>0</v>
      </c>
      <c r="N27" s="68">
        <f t="shared" si="1"/>
        <v>0</v>
      </c>
      <c r="O27" s="68">
        <v>83563</v>
      </c>
    </row>
    <row r="28" spans="1:15">
      <c r="A28" s="1" t="s">
        <v>1</v>
      </c>
      <c r="B28" s="5" t="s">
        <v>83</v>
      </c>
      <c r="C28" s="19">
        <v>0</v>
      </c>
      <c r="D28" s="19">
        <v>1000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20">
        <v>0</v>
      </c>
      <c r="L28" s="68">
        <f t="shared" si="0"/>
        <v>1000</v>
      </c>
      <c r="M28" s="68">
        <v>0</v>
      </c>
      <c r="N28" s="68">
        <f t="shared" si="1"/>
        <v>0</v>
      </c>
      <c r="O28" s="68">
        <v>1000</v>
      </c>
    </row>
    <row r="29" spans="1:15">
      <c r="A29" s="1" t="s">
        <v>1</v>
      </c>
      <c r="B29" s="5" t="s">
        <v>84</v>
      </c>
      <c r="C29" s="19">
        <v>0</v>
      </c>
      <c r="D29" s="19">
        <v>0</v>
      </c>
      <c r="E29" s="19">
        <v>92120</v>
      </c>
      <c r="F29" s="19">
        <v>85540</v>
      </c>
      <c r="G29" s="19">
        <v>61060</v>
      </c>
      <c r="H29" s="19">
        <v>60200</v>
      </c>
      <c r="I29" s="19">
        <v>61060</v>
      </c>
      <c r="J29" s="19">
        <v>27520</v>
      </c>
      <c r="K29" s="20">
        <v>79980</v>
      </c>
      <c r="L29" s="68">
        <f t="shared" si="0"/>
        <v>467480</v>
      </c>
      <c r="M29" s="68">
        <v>0</v>
      </c>
      <c r="N29" s="68">
        <f t="shared" si="1"/>
        <v>0</v>
      </c>
      <c r="O29" s="68">
        <v>467480</v>
      </c>
    </row>
    <row r="30" spans="1:15">
      <c r="A30" s="1" t="s">
        <v>1</v>
      </c>
      <c r="B30" s="5" t="s">
        <v>85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20">
        <v>0</v>
      </c>
      <c r="L30" s="68">
        <f t="shared" si="0"/>
        <v>0</v>
      </c>
      <c r="M30" s="68">
        <v>0</v>
      </c>
      <c r="N30" s="68">
        <f t="shared" si="1"/>
        <v>0</v>
      </c>
      <c r="O30" s="68">
        <v>0</v>
      </c>
    </row>
    <row r="31" spans="1:15">
      <c r="A31" s="1" t="s">
        <v>1</v>
      </c>
      <c r="B31" s="5" t="s">
        <v>86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20">
        <v>0</v>
      </c>
      <c r="L31" s="68">
        <f t="shared" si="0"/>
        <v>0</v>
      </c>
      <c r="M31" s="68">
        <v>0</v>
      </c>
      <c r="N31" s="68">
        <f t="shared" si="1"/>
        <v>0</v>
      </c>
      <c r="O31" s="68">
        <v>0</v>
      </c>
    </row>
    <row r="32" spans="1:15">
      <c r="A32" s="1" t="s">
        <v>1</v>
      </c>
      <c r="B32" s="5" t="s">
        <v>87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20">
        <v>0</v>
      </c>
      <c r="L32" s="68">
        <f t="shared" si="0"/>
        <v>0</v>
      </c>
      <c r="M32" s="68">
        <v>0</v>
      </c>
      <c r="N32" s="68">
        <f t="shared" si="1"/>
        <v>0</v>
      </c>
      <c r="O32" s="68">
        <v>27000</v>
      </c>
    </row>
    <row r="33" spans="1:15">
      <c r="A33" s="1" t="s">
        <v>1</v>
      </c>
      <c r="B33" s="5" t="s">
        <v>88</v>
      </c>
      <c r="C33" s="19">
        <v>0</v>
      </c>
      <c r="D33" s="19">
        <v>0</v>
      </c>
      <c r="E33" s="19">
        <v>0</v>
      </c>
      <c r="F33" s="19">
        <v>0</v>
      </c>
      <c r="G33" s="19">
        <v>6020</v>
      </c>
      <c r="H33" s="19">
        <v>6020</v>
      </c>
      <c r="I33" s="19">
        <v>0</v>
      </c>
      <c r="J33" s="19">
        <v>0</v>
      </c>
      <c r="K33" s="20">
        <v>0</v>
      </c>
      <c r="L33" s="68">
        <f t="shared" si="0"/>
        <v>12040</v>
      </c>
      <c r="M33" s="68">
        <v>0</v>
      </c>
      <c r="N33" s="68">
        <f t="shared" si="1"/>
        <v>0</v>
      </c>
      <c r="O33" s="68">
        <v>12040</v>
      </c>
    </row>
    <row r="34" spans="1:15">
      <c r="A34" s="1" t="s">
        <v>1</v>
      </c>
      <c r="B34" s="5" t="s">
        <v>89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20">
        <v>0</v>
      </c>
      <c r="L34" s="68">
        <f t="shared" si="0"/>
        <v>0</v>
      </c>
      <c r="M34" s="68">
        <v>0</v>
      </c>
      <c r="N34" s="68">
        <f t="shared" si="1"/>
        <v>0</v>
      </c>
      <c r="O34" s="68">
        <v>0</v>
      </c>
    </row>
    <row r="35" spans="1:15">
      <c r="A35" s="1" t="s">
        <v>1</v>
      </c>
      <c r="B35" s="5" t="s">
        <v>90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20">
        <v>0</v>
      </c>
      <c r="L35" s="68">
        <f t="shared" si="0"/>
        <v>0</v>
      </c>
      <c r="M35" s="68">
        <v>0</v>
      </c>
      <c r="N35" s="68">
        <f t="shared" si="1"/>
        <v>0</v>
      </c>
      <c r="O35" s="72">
        <v>-154574</v>
      </c>
    </row>
    <row r="36" spans="1:15">
      <c r="A36" s="1" t="s">
        <v>1</v>
      </c>
      <c r="B36" s="5" t="s">
        <v>69</v>
      </c>
      <c r="C36" s="19">
        <v>0</v>
      </c>
      <c r="D36" s="19">
        <v>110376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2150</v>
      </c>
      <c r="K36" s="20">
        <v>0</v>
      </c>
      <c r="L36" s="68">
        <f t="shared" si="0"/>
        <v>112526</v>
      </c>
      <c r="M36" s="68">
        <v>0</v>
      </c>
      <c r="N36" s="68">
        <f t="shared" si="1"/>
        <v>0</v>
      </c>
      <c r="O36" s="68">
        <v>1212963</v>
      </c>
    </row>
    <row r="37" spans="1:15">
      <c r="A37" s="1" t="s">
        <v>1</v>
      </c>
      <c r="B37" s="5" t="s">
        <v>91</v>
      </c>
      <c r="C37" s="19">
        <v>0</v>
      </c>
      <c r="D37" s="19">
        <v>46347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20">
        <v>0</v>
      </c>
      <c r="L37" s="68">
        <f t="shared" si="0"/>
        <v>46347</v>
      </c>
      <c r="M37" s="68">
        <v>0</v>
      </c>
      <c r="N37" s="68">
        <f t="shared" si="1"/>
        <v>0</v>
      </c>
      <c r="O37" s="68">
        <v>446504</v>
      </c>
    </row>
    <row r="38" spans="1:15">
      <c r="A38" s="1" t="s">
        <v>1</v>
      </c>
      <c r="B38" s="5" t="s">
        <v>92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20">
        <v>0</v>
      </c>
      <c r="L38" s="68">
        <f t="shared" si="0"/>
        <v>0</v>
      </c>
      <c r="M38" s="68">
        <v>0</v>
      </c>
      <c r="N38" s="68">
        <f t="shared" si="1"/>
        <v>0</v>
      </c>
      <c r="O38" s="68">
        <v>550627</v>
      </c>
    </row>
    <row r="39" spans="1:15">
      <c r="A39" s="1" t="s">
        <v>1</v>
      </c>
      <c r="B39" s="5" t="s">
        <v>93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20">
        <v>0</v>
      </c>
      <c r="L39" s="68">
        <f t="shared" si="0"/>
        <v>0</v>
      </c>
      <c r="M39" s="68">
        <v>0</v>
      </c>
      <c r="N39" s="68">
        <f t="shared" si="1"/>
        <v>0</v>
      </c>
      <c r="O39" s="68">
        <v>3730</v>
      </c>
    </row>
    <row r="40" spans="1:15">
      <c r="A40" s="1" t="s">
        <v>1</v>
      </c>
      <c r="B40" s="5" t="s">
        <v>94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20">
        <v>0</v>
      </c>
      <c r="L40" s="68">
        <f t="shared" si="0"/>
        <v>0</v>
      </c>
      <c r="M40" s="68">
        <v>0</v>
      </c>
      <c r="N40" s="68">
        <f t="shared" si="1"/>
        <v>0</v>
      </c>
      <c r="O40" s="68">
        <v>9484</v>
      </c>
    </row>
    <row r="41" spans="1:15">
      <c r="A41" s="1" t="s">
        <v>1</v>
      </c>
      <c r="B41" s="5" t="s">
        <v>95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20">
        <v>0</v>
      </c>
      <c r="L41" s="68">
        <f t="shared" si="0"/>
        <v>0</v>
      </c>
      <c r="M41" s="68">
        <v>0</v>
      </c>
      <c r="N41" s="68">
        <f t="shared" si="1"/>
        <v>0</v>
      </c>
      <c r="O41" s="68">
        <v>42340</v>
      </c>
    </row>
    <row r="42" spans="1:15">
      <c r="A42" s="1" t="s">
        <v>1</v>
      </c>
      <c r="B42" s="5" t="s">
        <v>74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20">
        <v>0</v>
      </c>
      <c r="L42" s="68">
        <f t="shared" si="0"/>
        <v>0</v>
      </c>
      <c r="M42" s="68">
        <v>0</v>
      </c>
      <c r="N42" s="68">
        <f t="shared" si="1"/>
        <v>0</v>
      </c>
      <c r="O42" s="68">
        <v>0</v>
      </c>
    </row>
    <row r="43" spans="1:15" ht="19.5" thickBot="1">
      <c r="A43" s="1" t="s">
        <v>1</v>
      </c>
      <c r="B43" s="38" t="s">
        <v>76</v>
      </c>
      <c r="C43" s="40">
        <v>4788</v>
      </c>
      <c r="D43" s="40">
        <v>0</v>
      </c>
      <c r="E43" s="40">
        <v>0</v>
      </c>
      <c r="F43" s="40">
        <v>0</v>
      </c>
      <c r="G43" s="40">
        <v>10750</v>
      </c>
      <c r="H43" s="40">
        <v>10750</v>
      </c>
      <c r="I43" s="40">
        <v>10750</v>
      </c>
      <c r="J43" s="40">
        <v>0</v>
      </c>
      <c r="K43" s="41">
        <v>0</v>
      </c>
      <c r="L43" s="69">
        <f t="shared" si="0"/>
        <v>37038</v>
      </c>
      <c r="M43" s="69">
        <v>0</v>
      </c>
      <c r="N43" s="69">
        <f t="shared" si="1"/>
        <v>0</v>
      </c>
      <c r="O43" s="69">
        <v>109832</v>
      </c>
    </row>
    <row r="44" spans="1:15" ht="19.5" thickBot="1">
      <c r="A44" s="1" t="s">
        <v>1</v>
      </c>
      <c r="B44" s="42" t="s">
        <v>96</v>
      </c>
      <c r="C44" s="44">
        <v>359788</v>
      </c>
      <c r="D44" s="44">
        <v>430723</v>
      </c>
      <c r="E44" s="44">
        <v>92120</v>
      </c>
      <c r="F44" s="44">
        <v>85540</v>
      </c>
      <c r="G44" s="44">
        <v>77830</v>
      </c>
      <c r="H44" s="44">
        <v>76970</v>
      </c>
      <c r="I44" s="44">
        <v>71810</v>
      </c>
      <c r="J44" s="44">
        <v>29670</v>
      </c>
      <c r="K44" s="45">
        <v>79980</v>
      </c>
      <c r="L44" s="70">
        <f t="shared" si="0"/>
        <v>1304431</v>
      </c>
      <c r="M44" s="70">
        <v>365000</v>
      </c>
      <c r="N44" s="70">
        <f t="shared" si="1"/>
        <v>365000</v>
      </c>
      <c r="O44" s="70">
        <v>7061989</v>
      </c>
    </row>
    <row r="45" spans="1:15">
      <c r="A45" s="1" t="s">
        <v>1</v>
      </c>
      <c r="B45" s="24" t="s">
        <v>97</v>
      </c>
      <c r="C45" s="33">
        <v>3720</v>
      </c>
      <c r="D45" s="33">
        <v>5580</v>
      </c>
      <c r="E45" s="33">
        <v>2894</v>
      </c>
      <c r="F45" s="33">
        <v>1809</v>
      </c>
      <c r="G45" s="33">
        <v>3100</v>
      </c>
      <c r="H45" s="33">
        <v>3875</v>
      </c>
      <c r="I45" s="33">
        <v>4133</v>
      </c>
      <c r="J45" s="33">
        <v>1344</v>
      </c>
      <c r="K45" s="34">
        <v>7233</v>
      </c>
      <c r="L45" s="67">
        <f t="shared" si="0"/>
        <v>33688</v>
      </c>
      <c r="M45" s="67">
        <v>7724</v>
      </c>
      <c r="N45" s="67">
        <f t="shared" si="1"/>
        <v>7724</v>
      </c>
      <c r="O45" s="67">
        <v>149185</v>
      </c>
    </row>
    <row r="46" spans="1:15" ht="19.5" thickBot="1">
      <c r="A46" s="1" t="s">
        <v>1</v>
      </c>
      <c r="B46" s="38" t="s">
        <v>98</v>
      </c>
      <c r="C46" s="40">
        <v>0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1">
        <v>0</v>
      </c>
      <c r="L46" s="69">
        <f t="shared" si="0"/>
        <v>0</v>
      </c>
      <c r="M46" s="69">
        <v>0</v>
      </c>
      <c r="N46" s="69">
        <f t="shared" si="1"/>
        <v>0</v>
      </c>
      <c r="O46" s="69">
        <v>0</v>
      </c>
    </row>
    <row r="47" spans="1:15" ht="19.5" thickBot="1">
      <c r="A47" s="1" t="s">
        <v>1</v>
      </c>
      <c r="B47" s="42" t="s">
        <v>99</v>
      </c>
      <c r="C47" s="44">
        <v>3720</v>
      </c>
      <c r="D47" s="44">
        <v>5580</v>
      </c>
      <c r="E47" s="44">
        <v>2894</v>
      </c>
      <c r="F47" s="44">
        <v>1809</v>
      </c>
      <c r="G47" s="44">
        <v>3100</v>
      </c>
      <c r="H47" s="44">
        <v>3875</v>
      </c>
      <c r="I47" s="44">
        <v>4133</v>
      </c>
      <c r="J47" s="44">
        <v>1344</v>
      </c>
      <c r="K47" s="45">
        <v>7233</v>
      </c>
      <c r="L47" s="70">
        <f t="shared" si="0"/>
        <v>33688</v>
      </c>
      <c r="M47" s="70">
        <v>7724</v>
      </c>
      <c r="N47" s="70">
        <f t="shared" si="1"/>
        <v>7724</v>
      </c>
      <c r="O47" s="70">
        <v>149185</v>
      </c>
    </row>
    <row r="48" spans="1:15" ht="19.5" thickBot="1">
      <c r="A48" s="1" t="s">
        <v>1</v>
      </c>
      <c r="B48" s="42" t="s">
        <v>100</v>
      </c>
      <c r="C48" s="44">
        <v>363508</v>
      </c>
      <c r="D48" s="44">
        <v>436303</v>
      </c>
      <c r="E48" s="44">
        <v>95014</v>
      </c>
      <c r="F48" s="44">
        <v>87349</v>
      </c>
      <c r="G48" s="44">
        <v>80930</v>
      </c>
      <c r="H48" s="44">
        <v>80845</v>
      </c>
      <c r="I48" s="44">
        <v>75943</v>
      </c>
      <c r="J48" s="44">
        <v>31014</v>
      </c>
      <c r="K48" s="45">
        <v>87213</v>
      </c>
      <c r="L48" s="70">
        <f t="shared" si="0"/>
        <v>1338119</v>
      </c>
      <c r="M48" s="70">
        <v>372724</v>
      </c>
      <c r="N48" s="70">
        <f t="shared" si="1"/>
        <v>372724</v>
      </c>
      <c r="O48" s="70">
        <v>7211174</v>
      </c>
    </row>
    <row r="49" spans="1:15">
      <c r="A49" s="1" t="s">
        <v>1</v>
      </c>
      <c r="B49" s="24" t="s">
        <v>101</v>
      </c>
      <c r="C49" s="33">
        <v>19380</v>
      </c>
      <c r="D49" s="33">
        <v>20910</v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4">
        <v>0</v>
      </c>
      <c r="L49" s="67">
        <f t="shared" si="0"/>
        <v>40290</v>
      </c>
      <c r="M49" s="67">
        <v>19380</v>
      </c>
      <c r="N49" s="67">
        <f t="shared" si="1"/>
        <v>19380</v>
      </c>
      <c r="O49" s="67">
        <v>343230</v>
      </c>
    </row>
    <row r="50" spans="1:15">
      <c r="A50" s="1" t="s">
        <v>1</v>
      </c>
      <c r="B50" s="5" t="s">
        <v>102</v>
      </c>
      <c r="C50" s="19">
        <v>3420</v>
      </c>
      <c r="D50" s="19">
        <v>3690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20">
        <v>0</v>
      </c>
      <c r="L50" s="68">
        <f t="shared" si="0"/>
        <v>7110</v>
      </c>
      <c r="M50" s="68">
        <v>3420</v>
      </c>
      <c r="N50" s="68">
        <f t="shared" si="1"/>
        <v>3420</v>
      </c>
      <c r="O50" s="68">
        <v>60570</v>
      </c>
    </row>
    <row r="51" spans="1:15">
      <c r="A51" s="1" t="s">
        <v>1</v>
      </c>
      <c r="B51" s="5" t="s">
        <v>103</v>
      </c>
      <c r="C51" s="19">
        <v>34770</v>
      </c>
      <c r="D51" s="19">
        <v>37515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20">
        <v>0</v>
      </c>
      <c r="L51" s="68">
        <f t="shared" si="0"/>
        <v>72285</v>
      </c>
      <c r="M51" s="68">
        <v>34770</v>
      </c>
      <c r="N51" s="68">
        <f t="shared" si="1"/>
        <v>34770</v>
      </c>
      <c r="O51" s="68">
        <v>615795</v>
      </c>
    </row>
    <row r="52" spans="1:15" ht="19.5" thickBot="1">
      <c r="A52" s="1" t="s">
        <v>1</v>
      </c>
      <c r="B52" s="5" t="s">
        <v>104</v>
      </c>
      <c r="C52" s="19">
        <v>1818</v>
      </c>
      <c r="D52" s="19">
        <v>2182</v>
      </c>
      <c r="E52" s="19">
        <v>475</v>
      </c>
      <c r="F52" s="19">
        <v>437</v>
      </c>
      <c r="G52" s="19">
        <v>0</v>
      </c>
      <c r="H52" s="19">
        <v>0</v>
      </c>
      <c r="I52" s="19">
        <v>0</v>
      </c>
      <c r="J52" s="19">
        <v>0</v>
      </c>
      <c r="K52" s="20">
        <v>436</v>
      </c>
      <c r="L52" s="68">
        <f t="shared" si="0"/>
        <v>5348</v>
      </c>
      <c r="M52" s="68">
        <v>1864</v>
      </c>
      <c r="N52" s="68">
        <f t="shared" si="1"/>
        <v>1864</v>
      </c>
      <c r="O52" s="68">
        <v>34714</v>
      </c>
    </row>
    <row r="53" spans="1:15" ht="19.5" thickBot="1">
      <c r="A53" s="1" t="s">
        <v>1</v>
      </c>
      <c r="B53" s="42" t="s">
        <v>105</v>
      </c>
      <c r="C53" s="44">
        <v>59388</v>
      </c>
      <c r="D53" s="44">
        <v>64297</v>
      </c>
      <c r="E53" s="44">
        <v>475</v>
      </c>
      <c r="F53" s="44">
        <v>437</v>
      </c>
      <c r="G53" s="44">
        <v>0</v>
      </c>
      <c r="H53" s="44">
        <v>0</v>
      </c>
      <c r="I53" s="44">
        <v>0</v>
      </c>
      <c r="J53" s="44">
        <v>0</v>
      </c>
      <c r="K53" s="45">
        <v>436</v>
      </c>
      <c r="L53" s="70">
        <f t="shared" si="0"/>
        <v>125033</v>
      </c>
      <c r="M53" s="70">
        <v>59434</v>
      </c>
      <c r="N53" s="70">
        <f t="shared" si="1"/>
        <v>59434</v>
      </c>
      <c r="O53" s="70">
        <v>1054309</v>
      </c>
    </row>
    <row r="54" spans="1:15">
      <c r="A54" s="1" t="s">
        <v>1</v>
      </c>
      <c r="B54" s="24" t="s">
        <v>106</v>
      </c>
      <c r="C54" s="33">
        <v>8410</v>
      </c>
      <c r="D54" s="33">
        <v>10570</v>
      </c>
      <c r="E54" s="33">
        <v>300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4">
        <v>0</v>
      </c>
      <c r="L54" s="67">
        <f t="shared" si="0"/>
        <v>19280</v>
      </c>
      <c r="M54" s="67">
        <v>8830</v>
      </c>
      <c r="N54" s="67">
        <f t="shared" si="1"/>
        <v>8830</v>
      </c>
      <c r="O54" s="67">
        <v>135240</v>
      </c>
    </row>
    <row r="55" spans="1:15">
      <c r="A55" s="1" t="s">
        <v>1</v>
      </c>
      <c r="B55" s="5" t="s">
        <v>107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20">
        <v>0</v>
      </c>
      <c r="L55" s="68">
        <f t="shared" si="0"/>
        <v>0</v>
      </c>
      <c r="M55" s="68">
        <v>0</v>
      </c>
      <c r="N55" s="68">
        <f t="shared" si="1"/>
        <v>0</v>
      </c>
      <c r="O55" s="68">
        <v>15600</v>
      </c>
    </row>
    <row r="56" spans="1:15">
      <c r="A56" s="1" t="s">
        <v>1</v>
      </c>
      <c r="B56" s="5" t="s">
        <v>108</v>
      </c>
      <c r="C56" s="19">
        <v>15200</v>
      </c>
      <c r="D56" s="19">
        <v>16300</v>
      </c>
      <c r="E56" s="19">
        <v>600</v>
      </c>
      <c r="F56" s="19">
        <v>500</v>
      </c>
      <c r="G56" s="19">
        <v>0</v>
      </c>
      <c r="H56" s="19">
        <v>0</v>
      </c>
      <c r="I56" s="19">
        <v>0</v>
      </c>
      <c r="J56" s="19">
        <v>0</v>
      </c>
      <c r="K56" s="20">
        <v>11600</v>
      </c>
      <c r="L56" s="68">
        <f t="shared" si="0"/>
        <v>44200</v>
      </c>
      <c r="M56" s="68">
        <v>17800</v>
      </c>
      <c r="N56" s="68">
        <f t="shared" si="1"/>
        <v>17800</v>
      </c>
      <c r="O56" s="68">
        <v>258100</v>
      </c>
    </row>
    <row r="57" spans="1:15" ht="19.5" thickBot="1">
      <c r="A57" s="1" t="s">
        <v>1</v>
      </c>
      <c r="B57" s="5" t="s">
        <v>109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20">
        <v>0</v>
      </c>
      <c r="L57" s="68">
        <f t="shared" si="0"/>
        <v>0</v>
      </c>
      <c r="M57" s="68">
        <v>0</v>
      </c>
      <c r="N57" s="68">
        <f t="shared" si="1"/>
        <v>0</v>
      </c>
      <c r="O57" s="68">
        <v>0</v>
      </c>
    </row>
    <row r="58" spans="1:15" ht="19.5" thickBot="1">
      <c r="A58" s="1" t="s">
        <v>1</v>
      </c>
      <c r="B58" s="42" t="s">
        <v>110</v>
      </c>
      <c r="C58" s="44">
        <v>82998</v>
      </c>
      <c r="D58" s="44">
        <v>91167</v>
      </c>
      <c r="E58" s="44">
        <v>1375</v>
      </c>
      <c r="F58" s="44">
        <v>937</v>
      </c>
      <c r="G58" s="44">
        <v>0</v>
      </c>
      <c r="H58" s="44">
        <v>0</v>
      </c>
      <c r="I58" s="44">
        <v>0</v>
      </c>
      <c r="J58" s="44">
        <v>0</v>
      </c>
      <c r="K58" s="45">
        <v>12036</v>
      </c>
      <c r="L58" s="70">
        <f t="shared" si="0"/>
        <v>188513</v>
      </c>
      <c r="M58" s="70">
        <v>86064</v>
      </c>
      <c r="N58" s="70">
        <f t="shared" si="1"/>
        <v>86064</v>
      </c>
      <c r="O58" s="70">
        <v>1463249</v>
      </c>
    </row>
    <row r="59" spans="1:15" ht="19.5" thickBot="1">
      <c r="A59" s="1" t="s">
        <v>1</v>
      </c>
      <c r="B59" s="42" t="s">
        <v>111</v>
      </c>
      <c r="C59" s="44">
        <v>300400</v>
      </c>
      <c r="D59" s="44">
        <v>366426</v>
      </c>
      <c r="E59" s="44">
        <v>91645</v>
      </c>
      <c r="F59" s="44">
        <v>85103</v>
      </c>
      <c r="G59" s="44">
        <v>77830</v>
      </c>
      <c r="H59" s="44">
        <v>76970</v>
      </c>
      <c r="I59" s="44">
        <v>71810</v>
      </c>
      <c r="J59" s="44">
        <v>29670</v>
      </c>
      <c r="K59" s="45">
        <v>79544</v>
      </c>
      <c r="L59" s="70">
        <f t="shared" si="0"/>
        <v>1179398</v>
      </c>
      <c r="M59" s="70">
        <v>305566</v>
      </c>
      <c r="N59" s="70">
        <f t="shared" si="1"/>
        <v>305566</v>
      </c>
      <c r="O59" s="70">
        <v>6007680</v>
      </c>
    </row>
    <row r="60" spans="1:15" ht="19.5" thickBot="1">
      <c r="A60" s="1" t="s">
        <v>1</v>
      </c>
      <c r="B60" s="42" t="s">
        <v>112</v>
      </c>
      <c r="C60" s="44">
        <v>280510</v>
      </c>
      <c r="D60" s="44">
        <v>345136</v>
      </c>
      <c r="E60" s="44">
        <v>93639</v>
      </c>
      <c r="F60" s="44">
        <v>86412</v>
      </c>
      <c r="G60" s="44">
        <v>80930</v>
      </c>
      <c r="H60" s="44">
        <v>80845</v>
      </c>
      <c r="I60" s="44">
        <v>75943</v>
      </c>
      <c r="J60" s="44">
        <v>31014</v>
      </c>
      <c r="K60" s="45">
        <v>75177</v>
      </c>
      <c r="L60" s="70">
        <f t="shared" si="0"/>
        <v>1149606</v>
      </c>
      <c r="M60" s="70">
        <v>286660</v>
      </c>
      <c r="N60" s="70">
        <f t="shared" si="1"/>
        <v>286660</v>
      </c>
      <c r="O60" s="70">
        <v>5747925</v>
      </c>
    </row>
    <row r="61" spans="1:15">
      <c r="A61" s="1" t="s">
        <v>1</v>
      </c>
      <c r="B61" s="24" t="s">
        <v>113</v>
      </c>
      <c r="C61" s="33">
        <v>0</v>
      </c>
      <c r="D61" s="33">
        <v>0</v>
      </c>
      <c r="E61" s="33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4">
        <v>0</v>
      </c>
      <c r="L61" s="67">
        <f t="shared" si="0"/>
        <v>0</v>
      </c>
      <c r="M61" s="67">
        <v>0</v>
      </c>
      <c r="N61" s="67">
        <f t="shared" si="1"/>
        <v>0</v>
      </c>
      <c r="O61" s="67">
        <v>0</v>
      </c>
    </row>
    <row r="62" spans="1:15">
      <c r="A62" s="1" t="s">
        <v>1</v>
      </c>
      <c r="B62" s="5" t="s">
        <v>114</v>
      </c>
      <c r="C62" s="19">
        <v>280510</v>
      </c>
      <c r="D62" s="19">
        <v>345136</v>
      </c>
      <c r="E62" s="19">
        <v>93639</v>
      </c>
      <c r="F62" s="19">
        <v>86412</v>
      </c>
      <c r="G62" s="19">
        <v>80930</v>
      </c>
      <c r="H62" s="19">
        <v>80845</v>
      </c>
      <c r="I62" s="19">
        <v>75943</v>
      </c>
      <c r="J62" s="19">
        <v>31014</v>
      </c>
      <c r="K62" s="20">
        <v>75177</v>
      </c>
      <c r="L62" s="68">
        <f t="shared" si="0"/>
        <v>1149606</v>
      </c>
      <c r="M62" s="68">
        <v>286660</v>
      </c>
      <c r="N62" s="68">
        <f t="shared" si="1"/>
        <v>286660</v>
      </c>
      <c r="O62" s="68">
        <v>5747925</v>
      </c>
    </row>
    <row r="63" spans="1:15">
      <c r="A63" s="1" t="s">
        <v>1</v>
      </c>
      <c r="B63" s="5" t="s">
        <v>115</v>
      </c>
      <c r="C63" s="19">
        <v>0</v>
      </c>
      <c r="D63" s="19">
        <v>1</v>
      </c>
      <c r="E63" s="19">
        <v>0</v>
      </c>
      <c r="F63" s="19">
        <v>0</v>
      </c>
      <c r="G63" s="19">
        <v>1</v>
      </c>
      <c r="H63" s="19">
        <v>1</v>
      </c>
      <c r="I63" s="19">
        <v>1</v>
      </c>
      <c r="J63" s="19">
        <v>1</v>
      </c>
      <c r="K63" s="20">
        <v>1</v>
      </c>
      <c r="L63" s="68"/>
      <c r="M63" s="68">
        <v>0</v>
      </c>
      <c r="N63" s="68"/>
      <c r="O63" s="7"/>
    </row>
    <row r="64" spans="1:15" ht="19.5" thickBot="1">
      <c r="A64" s="1" t="s">
        <v>1</v>
      </c>
      <c r="B64" s="6" t="s">
        <v>116</v>
      </c>
      <c r="C64" s="22" t="s">
        <v>117</v>
      </c>
      <c r="D64" s="22" t="s">
        <v>117</v>
      </c>
      <c r="E64" s="22" t="s">
        <v>117</v>
      </c>
      <c r="F64" s="22" t="s">
        <v>117</v>
      </c>
      <c r="G64" s="22" t="s">
        <v>117</v>
      </c>
      <c r="H64" s="22" t="s">
        <v>117</v>
      </c>
      <c r="I64" s="22" t="s">
        <v>117</v>
      </c>
      <c r="J64" s="22" t="s">
        <v>117</v>
      </c>
      <c r="K64" s="23" t="s">
        <v>117</v>
      </c>
      <c r="L64" s="71"/>
      <c r="M64" s="71" t="s">
        <v>117</v>
      </c>
      <c r="N64" s="71"/>
      <c r="O64" s="8"/>
    </row>
  </sheetData>
  <phoneticPr fontId="4"/>
  <pageMargins left="0.31496062992125984" right="0.31496062992125984" top="0.15748031496062992" bottom="0.35433070866141736" header="0.11811023622047245" footer="0.11811023622047245"/>
  <pageSetup paperSize="12" scale="59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9F58-6E69-41DB-BB72-9C2131E8A228}">
  <sheetPr>
    <pageSetUpPr fitToPage="1"/>
  </sheetPr>
  <dimension ref="A1:U64"/>
  <sheetViews>
    <sheetView showZeros="0" workbookViewId="0">
      <pane xSplit="2" ySplit="4" topLeftCell="I5" activePane="bottomRight" state="frozen"/>
      <selection pane="topRight" activeCell="C1" sqref="C1"/>
      <selection pane="bottomLeft" activeCell="A9" sqref="A9"/>
      <selection pane="bottomRight" activeCell="M60" sqref="M60"/>
    </sheetView>
  </sheetViews>
  <sheetFormatPr defaultRowHeight="18.75"/>
  <cols>
    <col min="1" max="1" width="2.375" style="2" customWidth="1"/>
    <col min="2" max="2" width="13.25" style="2" bestFit="1" customWidth="1"/>
    <col min="3" max="21" width="10.625" style="2" customWidth="1"/>
    <col min="22" max="245" width="9" style="2"/>
    <col min="246" max="246" width="2.375" style="2" customWidth="1"/>
    <col min="247" max="247" width="13.25" style="2" bestFit="1" customWidth="1"/>
    <col min="248" max="249" width="11.125" style="2" bestFit="1" customWidth="1"/>
    <col min="250" max="250" width="13.25" style="2" bestFit="1" customWidth="1"/>
    <col min="251" max="251" width="11.125" style="2" bestFit="1" customWidth="1"/>
    <col min="252" max="252" width="9" style="2"/>
    <col min="253" max="253" width="11.125" style="2" bestFit="1" customWidth="1"/>
    <col min="254" max="254" width="9" style="2"/>
    <col min="255" max="266" width="11.125" style="2" bestFit="1" customWidth="1"/>
    <col min="267" max="267" width="9" style="2"/>
    <col min="268" max="268" width="8" style="2" bestFit="1" customWidth="1"/>
    <col min="269" max="275" width="11.125" style="2" bestFit="1" customWidth="1"/>
    <col min="276" max="276" width="9.625" style="2" bestFit="1" customWidth="1"/>
    <col min="277" max="501" width="9" style="2"/>
    <col min="502" max="502" width="2.375" style="2" customWidth="1"/>
    <col min="503" max="503" width="13.25" style="2" bestFit="1" customWidth="1"/>
    <col min="504" max="505" width="11.125" style="2" bestFit="1" customWidth="1"/>
    <col min="506" max="506" width="13.25" style="2" bestFit="1" customWidth="1"/>
    <col min="507" max="507" width="11.125" style="2" bestFit="1" customWidth="1"/>
    <col min="508" max="508" width="9" style="2"/>
    <col min="509" max="509" width="11.125" style="2" bestFit="1" customWidth="1"/>
    <col min="510" max="510" width="9" style="2"/>
    <col min="511" max="522" width="11.125" style="2" bestFit="1" customWidth="1"/>
    <col min="523" max="523" width="9" style="2"/>
    <col min="524" max="524" width="8" style="2" bestFit="1" customWidth="1"/>
    <col min="525" max="531" width="11.125" style="2" bestFit="1" customWidth="1"/>
    <col min="532" max="532" width="9.625" style="2" bestFit="1" customWidth="1"/>
    <col min="533" max="757" width="9" style="2"/>
    <col min="758" max="758" width="2.375" style="2" customWidth="1"/>
    <col min="759" max="759" width="13.25" style="2" bestFit="1" customWidth="1"/>
    <col min="760" max="761" width="11.125" style="2" bestFit="1" customWidth="1"/>
    <col min="762" max="762" width="13.25" style="2" bestFit="1" customWidth="1"/>
    <col min="763" max="763" width="11.125" style="2" bestFit="1" customWidth="1"/>
    <col min="764" max="764" width="9" style="2"/>
    <col min="765" max="765" width="11.125" style="2" bestFit="1" customWidth="1"/>
    <col min="766" max="766" width="9" style="2"/>
    <col min="767" max="778" width="11.125" style="2" bestFit="1" customWidth="1"/>
    <col min="779" max="779" width="9" style="2"/>
    <col min="780" max="780" width="8" style="2" bestFit="1" customWidth="1"/>
    <col min="781" max="787" width="11.125" style="2" bestFit="1" customWidth="1"/>
    <col min="788" max="788" width="9.625" style="2" bestFit="1" customWidth="1"/>
    <col min="789" max="1013" width="9" style="2"/>
    <col min="1014" max="1014" width="2.375" style="2" customWidth="1"/>
    <col min="1015" max="1015" width="13.25" style="2" bestFit="1" customWidth="1"/>
    <col min="1016" max="1017" width="11.125" style="2" bestFit="1" customWidth="1"/>
    <col min="1018" max="1018" width="13.25" style="2" bestFit="1" customWidth="1"/>
    <col min="1019" max="1019" width="11.125" style="2" bestFit="1" customWidth="1"/>
    <col min="1020" max="1020" width="9" style="2"/>
    <col min="1021" max="1021" width="11.125" style="2" bestFit="1" customWidth="1"/>
    <col min="1022" max="1022" width="9" style="2"/>
    <col min="1023" max="1034" width="11.125" style="2" bestFit="1" customWidth="1"/>
    <col min="1035" max="1035" width="9" style="2"/>
    <col min="1036" max="1036" width="8" style="2" bestFit="1" customWidth="1"/>
    <col min="1037" max="1043" width="11.125" style="2" bestFit="1" customWidth="1"/>
    <col min="1044" max="1044" width="9.625" style="2" bestFit="1" customWidth="1"/>
    <col min="1045" max="1269" width="9" style="2"/>
    <col min="1270" max="1270" width="2.375" style="2" customWidth="1"/>
    <col min="1271" max="1271" width="13.25" style="2" bestFit="1" customWidth="1"/>
    <col min="1272" max="1273" width="11.125" style="2" bestFit="1" customWidth="1"/>
    <col min="1274" max="1274" width="13.25" style="2" bestFit="1" customWidth="1"/>
    <col min="1275" max="1275" width="11.125" style="2" bestFit="1" customWidth="1"/>
    <col min="1276" max="1276" width="9" style="2"/>
    <col min="1277" max="1277" width="11.125" style="2" bestFit="1" customWidth="1"/>
    <col min="1278" max="1278" width="9" style="2"/>
    <col min="1279" max="1290" width="11.125" style="2" bestFit="1" customWidth="1"/>
    <col min="1291" max="1291" width="9" style="2"/>
    <col min="1292" max="1292" width="8" style="2" bestFit="1" customWidth="1"/>
    <col min="1293" max="1299" width="11.125" style="2" bestFit="1" customWidth="1"/>
    <col min="1300" max="1300" width="9.625" style="2" bestFit="1" customWidth="1"/>
    <col min="1301" max="1525" width="9" style="2"/>
    <col min="1526" max="1526" width="2.375" style="2" customWidth="1"/>
    <col min="1527" max="1527" width="13.25" style="2" bestFit="1" customWidth="1"/>
    <col min="1528" max="1529" width="11.125" style="2" bestFit="1" customWidth="1"/>
    <col min="1530" max="1530" width="13.25" style="2" bestFit="1" customWidth="1"/>
    <col min="1531" max="1531" width="11.125" style="2" bestFit="1" customWidth="1"/>
    <col min="1532" max="1532" width="9" style="2"/>
    <col min="1533" max="1533" width="11.125" style="2" bestFit="1" customWidth="1"/>
    <col min="1534" max="1534" width="9" style="2"/>
    <col min="1535" max="1546" width="11.125" style="2" bestFit="1" customWidth="1"/>
    <col min="1547" max="1547" width="9" style="2"/>
    <col min="1548" max="1548" width="8" style="2" bestFit="1" customWidth="1"/>
    <col min="1549" max="1555" width="11.125" style="2" bestFit="1" customWidth="1"/>
    <col min="1556" max="1556" width="9.625" style="2" bestFit="1" customWidth="1"/>
    <col min="1557" max="1781" width="9" style="2"/>
    <col min="1782" max="1782" width="2.375" style="2" customWidth="1"/>
    <col min="1783" max="1783" width="13.25" style="2" bestFit="1" customWidth="1"/>
    <col min="1784" max="1785" width="11.125" style="2" bestFit="1" customWidth="1"/>
    <col min="1786" max="1786" width="13.25" style="2" bestFit="1" customWidth="1"/>
    <col min="1787" max="1787" width="11.125" style="2" bestFit="1" customWidth="1"/>
    <col min="1788" max="1788" width="9" style="2"/>
    <col min="1789" max="1789" width="11.125" style="2" bestFit="1" customWidth="1"/>
    <col min="1790" max="1790" width="9" style="2"/>
    <col min="1791" max="1802" width="11.125" style="2" bestFit="1" customWidth="1"/>
    <col min="1803" max="1803" width="9" style="2"/>
    <col min="1804" max="1804" width="8" style="2" bestFit="1" customWidth="1"/>
    <col min="1805" max="1811" width="11.125" style="2" bestFit="1" customWidth="1"/>
    <col min="1812" max="1812" width="9.625" style="2" bestFit="1" customWidth="1"/>
    <col min="1813" max="2037" width="9" style="2"/>
    <col min="2038" max="2038" width="2.375" style="2" customWidth="1"/>
    <col min="2039" max="2039" width="13.25" style="2" bestFit="1" customWidth="1"/>
    <col min="2040" max="2041" width="11.125" style="2" bestFit="1" customWidth="1"/>
    <col min="2042" max="2042" width="13.25" style="2" bestFit="1" customWidth="1"/>
    <col min="2043" max="2043" width="11.125" style="2" bestFit="1" customWidth="1"/>
    <col min="2044" max="2044" width="9" style="2"/>
    <col min="2045" max="2045" width="11.125" style="2" bestFit="1" customWidth="1"/>
    <col min="2046" max="2046" width="9" style="2"/>
    <col min="2047" max="2058" width="11.125" style="2" bestFit="1" customWidth="1"/>
    <col min="2059" max="2059" width="9" style="2"/>
    <col min="2060" max="2060" width="8" style="2" bestFit="1" customWidth="1"/>
    <col min="2061" max="2067" width="11.125" style="2" bestFit="1" customWidth="1"/>
    <col min="2068" max="2068" width="9.625" style="2" bestFit="1" customWidth="1"/>
    <col min="2069" max="2293" width="9" style="2"/>
    <col min="2294" max="2294" width="2.375" style="2" customWidth="1"/>
    <col min="2295" max="2295" width="13.25" style="2" bestFit="1" customWidth="1"/>
    <col min="2296" max="2297" width="11.125" style="2" bestFit="1" customWidth="1"/>
    <col min="2298" max="2298" width="13.25" style="2" bestFit="1" customWidth="1"/>
    <col min="2299" max="2299" width="11.125" style="2" bestFit="1" customWidth="1"/>
    <col min="2300" max="2300" width="9" style="2"/>
    <col min="2301" max="2301" width="11.125" style="2" bestFit="1" customWidth="1"/>
    <col min="2302" max="2302" width="9" style="2"/>
    <col min="2303" max="2314" width="11.125" style="2" bestFit="1" customWidth="1"/>
    <col min="2315" max="2315" width="9" style="2"/>
    <col min="2316" max="2316" width="8" style="2" bestFit="1" customWidth="1"/>
    <col min="2317" max="2323" width="11.125" style="2" bestFit="1" customWidth="1"/>
    <col min="2324" max="2324" width="9.625" style="2" bestFit="1" customWidth="1"/>
    <col min="2325" max="2549" width="9" style="2"/>
    <col min="2550" max="2550" width="2.375" style="2" customWidth="1"/>
    <col min="2551" max="2551" width="13.25" style="2" bestFit="1" customWidth="1"/>
    <col min="2552" max="2553" width="11.125" style="2" bestFit="1" customWidth="1"/>
    <col min="2554" max="2554" width="13.25" style="2" bestFit="1" customWidth="1"/>
    <col min="2555" max="2555" width="11.125" style="2" bestFit="1" customWidth="1"/>
    <col min="2556" max="2556" width="9" style="2"/>
    <col min="2557" max="2557" width="11.125" style="2" bestFit="1" customWidth="1"/>
    <col min="2558" max="2558" width="9" style="2"/>
    <col min="2559" max="2570" width="11.125" style="2" bestFit="1" customWidth="1"/>
    <col min="2571" max="2571" width="9" style="2"/>
    <col min="2572" max="2572" width="8" style="2" bestFit="1" customWidth="1"/>
    <col min="2573" max="2579" width="11.125" style="2" bestFit="1" customWidth="1"/>
    <col min="2580" max="2580" width="9.625" style="2" bestFit="1" customWidth="1"/>
    <col min="2581" max="2805" width="9" style="2"/>
    <col min="2806" max="2806" width="2.375" style="2" customWidth="1"/>
    <col min="2807" max="2807" width="13.25" style="2" bestFit="1" customWidth="1"/>
    <col min="2808" max="2809" width="11.125" style="2" bestFit="1" customWidth="1"/>
    <col min="2810" max="2810" width="13.25" style="2" bestFit="1" customWidth="1"/>
    <col min="2811" max="2811" width="11.125" style="2" bestFit="1" customWidth="1"/>
    <col min="2812" max="2812" width="9" style="2"/>
    <col min="2813" max="2813" width="11.125" style="2" bestFit="1" customWidth="1"/>
    <col min="2814" max="2814" width="9" style="2"/>
    <col min="2815" max="2826" width="11.125" style="2" bestFit="1" customWidth="1"/>
    <col min="2827" max="2827" width="9" style="2"/>
    <col min="2828" max="2828" width="8" style="2" bestFit="1" customWidth="1"/>
    <col min="2829" max="2835" width="11.125" style="2" bestFit="1" customWidth="1"/>
    <col min="2836" max="2836" width="9.625" style="2" bestFit="1" customWidth="1"/>
    <col min="2837" max="3061" width="9" style="2"/>
    <col min="3062" max="3062" width="2.375" style="2" customWidth="1"/>
    <col min="3063" max="3063" width="13.25" style="2" bestFit="1" customWidth="1"/>
    <col min="3064" max="3065" width="11.125" style="2" bestFit="1" customWidth="1"/>
    <col min="3066" max="3066" width="13.25" style="2" bestFit="1" customWidth="1"/>
    <col min="3067" max="3067" width="11.125" style="2" bestFit="1" customWidth="1"/>
    <col min="3068" max="3068" width="9" style="2"/>
    <col min="3069" max="3069" width="11.125" style="2" bestFit="1" customWidth="1"/>
    <col min="3070" max="3070" width="9" style="2"/>
    <col min="3071" max="3082" width="11.125" style="2" bestFit="1" customWidth="1"/>
    <col min="3083" max="3083" width="9" style="2"/>
    <col min="3084" max="3084" width="8" style="2" bestFit="1" customWidth="1"/>
    <col min="3085" max="3091" width="11.125" style="2" bestFit="1" customWidth="1"/>
    <col min="3092" max="3092" width="9.625" style="2" bestFit="1" customWidth="1"/>
    <col min="3093" max="3317" width="9" style="2"/>
    <col min="3318" max="3318" width="2.375" style="2" customWidth="1"/>
    <col min="3319" max="3319" width="13.25" style="2" bestFit="1" customWidth="1"/>
    <col min="3320" max="3321" width="11.125" style="2" bestFit="1" customWidth="1"/>
    <col min="3322" max="3322" width="13.25" style="2" bestFit="1" customWidth="1"/>
    <col min="3323" max="3323" width="11.125" style="2" bestFit="1" customWidth="1"/>
    <col min="3324" max="3324" width="9" style="2"/>
    <col min="3325" max="3325" width="11.125" style="2" bestFit="1" customWidth="1"/>
    <col min="3326" max="3326" width="9" style="2"/>
    <col min="3327" max="3338" width="11.125" style="2" bestFit="1" customWidth="1"/>
    <col min="3339" max="3339" width="9" style="2"/>
    <col min="3340" max="3340" width="8" style="2" bestFit="1" customWidth="1"/>
    <col min="3341" max="3347" width="11.125" style="2" bestFit="1" customWidth="1"/>
    <col min="3348" max="3348" width="9.625" style="2" bestFit="1" customWidth="1"/>
    <col min="3349" max="3573" width="9" style="2"/>
    <col min="3574" max="3574" width="2.375" style="2" customWidth="1"/>
    <col min="3575" max="3575" width="13.25" style="2" bestFit="1" customWidth="1"/>
    <col min="3576" max="3577" width="11.125" style="2" bestFit="1" customWidth="1"/>
    <col min="3578" max="3578" width="13.25" style="2" bestFit="1" customWidth="1"/>
    <col min="3579" max="3579" width="11.125" style="2" bestFit="1" customWidth="1"/>
    <col min="3580" max="3580" width="9" style="2"/>
    <col min="3581" max="3581" width="11.125" style="2" bestFit="1" customWidth="1"/>
    <col min="3582" max="3582" width="9" style="2"/>
    <col min="3583" max="3594" width="11.125" style="2" bestFit="1" customWidth="1"/>
    <col min="3595" max="3595" width="9" style="2"/>
    <col min="3596" max="3596" width="8" style="2" bestFit="1" customWidth="1"/>
    <col min="3597" max="3603" width="11.125" style="2" bestFit="1" customWidth="1"/>
    <col min="3604" max="3604" width="9.625" style="2" bestFit="1" customWidth="1"/>
    <col min="3605" max="3829" width="9" style="2"/>
    <col min="3830" max="3830" width="2.375" style="2" customWidth="1"/>
    <col min="3831" max="3831" width="13.25" style="2" bestFit="1" customWidth="1"/>
    <col min="3832" max="3833" width="11.125" style="2" bestFit="1" customWidth="1"/>
    <col min="3834" max="3834" width="13.25" style="2" bestFit="1" customWidth="1"/>
    <col min="3835" max="3835" width="11.125" style="2" bestFit="1" customWidth="1"/>
    <col min="3836" max="3836" width="9" style="2"/>
    <col min="3837" max="3837" width="11.125" style="2" bestFit="1" customWidth="1"/>
    <col min="3838" max="3838" width="9" style="2"/>
    <col min="3839" max="3850" width="11.125" style="2" bestFit="1" customWidth="1"/>
    <col min="3851" max="3851" width="9" style="2"/>
    <col min="3852" max="3852" width="8" style="2" bestFit="1" customWidth="1"/>
    <col min="3853" max="3859" width="11.125" style="2" bestFit="1" customWidth="1"/>
    <col min="3860" max="3860" width="9.625" style="2" bestFit="1" customWidth="1"/>
    <col min="3861" max="4085" width="9" style="2"/>
    <col min="4086" max="4086" width="2.375" style="2" customWidth="1"/>
    <col min="4087" max="4087" width="13.25" style="2" bestFit="1" customWidth="1"/>
    <col min="4088" max="4089" width="11.125" style="2" bestFit="1" customWidth="1"/>
    <col min="4090" max="4090" width="13.25" style="2" bestFit="1" customWidth="1"/>
    <col min="4091" max="4091" width="11.125" style="2" bestFit="1" customWidth="1"/>
    <col min="4092" max="4092" width="9" style="2"/>
    <col min="4093" max="4093" width="11.125" style="2" bestFit="1" customWidth="1"/>
    <col min="4094" max="4094" width="9" style="2"/>
    <col min="4095" max="4106" width="11.125" style="2" bestFit="1" customWidth="1"/>
    <col min="4107" max="4107" width="9" style="2"/>
    <col min="4108" max="4108" width="8" style="2" bestFit="1" customWidth="1"/>
    <col min="4109" max="4115" width="11.125" style="2" bestFit="1" customWidth="1"/>
    <col min="4116" max="4116" width="9.625" style="2" bestFit="1" customWidth="1"/>
    <col min="4117" max="4341" width="9" style="2"/>
    <col min="4342" max="4342" width="2.375" style="2" customWidth="1"/>
    <col min="4343" max="4343" width="13.25" style="2" bestFit="1" customWidth="1"/>
    <col min="4344" max="4345" width="11.125" style="2" bestFit="1" customWidth="1"/>
    <col min="4346" max="4346" width="13.25" style="2" bestFit="1" customWidth="1"/>
    <col min="4347" max="4347" width="11.125" style="2" bestFit="1" customWidth="1"/>
    <col min="4348" max="4348" width="9" style="2"/>
    <col min="4349" max="4349" width="11.125" style="2" bestFit="1" customWidth="1"/>
    <col min="4350" max="4350" width="9" style="2"/>
    <col min="4351" max="4362" width="11.125" style="2" bestFit="1" customWidth="1"/>
    <col min="4363" max="4363" width="9" style="2"/>
    <col min="4364" max="4364" width="8" style="2" bestFit="1" customWidth="1"/>
    <col min="4365" max="4371" width="11.125" style="2" bestFit="1" customWidth="1"/>
    <col min="4372" max="4372" width="9.625" style="2" bestFit="1" customWidth="1"/>
    <col min="4373" max="4597" width="9" style="2"/>
    <col min="4598" max="4598" width="2.375" style="2" customWidth="1"/>
    <col min="4599" max="4599" width="13.25" style="2" bestFit="1" customWidth="1"/>
    <col min="4600" max="4601" width="11.125" style="2" bestFit="1" customWidth="1"/>
    <col min="4602" max="4602" width="13.25" style="2" bestFit="1" customWidth="1"/>
    <col min="4603" max="4603" width="11.125" style="2" bestFit="1" customWidth="1"/>
    <col min="4604" max="4604" width="9" style="2"/>
    <col min="4605" max="4605" width="11.125" style="2" bestFit="1" customWidth="1"/>
    <col min="4606" max="4606" width="9" style="2"/>
    <col min="4607" max="4618" width="11.125" style="2" bestFit="1" customWidth="1"/>
    <col min="4619" max="4619" width="9" style="2"/>
    <col min="4620" max="4620" width="8" style="2" bestFit="1" customWidth="1"/>
    <col min="4621" max="4627" width="11.125" style="2" bestFit="1" customWidth="1"/>
    <col min="4628" max="4628" width="9.625" style="2" bestFit="1" customWidth="1"/>
    <col min="4629" max="4853" width="9" style="2"/>
    <col min="4854" max="4854" width="2.375" style="2" customWidth="1"/>
    <col min="4855" max="4855" width="13.25" style="2" bestFit="1" customWidth="1"/>
    <col min="4856" max="4857" width="11.125" style="2" bestFit="1" customWidth="1"/>
    <col min="4858" max="4858" width="13.25" style="2" bestFit="1" customWidth="1"/>
    <col min="4859" max="4859" width="11.125" style="2" bestFit="1" customWidth="1"/>
    <col min="4860" max="4860" width="9" style="2"/>
    <col min="4861" max="4861" width="11.125" style="2" bestFit="1" customWidth="1"/>
    <col min="4862" max="4862" width="9" style="2"/>
    <col min="4863" max="4874" width="11.125" style="2" bestFit="1" customWidth="1"/>
    <col min="4875" max="4875" width="9" style="2"/>
    <col min="4876" max="4876" width="8" style="2" bestFit="1" customWidth="1"/>
    <col min="4877" max="4883" width="11.125" style="2" bestFit="1" customWidth="1"/>
    <col min="4884" max="4884" width="9.625" style="2" bestFit="1" customWidth="1"/>
    <col min="4885" max="5109" width="9" style="2"/>
    <col min="5110" max="5110" width="2.375" style="2" customWidth="1"/>
    <col min="5111" max="5111" width="13.25" style="2" bestFit="1" customWidth="1"/>
    <col min="5112" max="5113" width="11.125" style="2" bestFit="1" customWidth="1"/>
    <col min="5114" max="5114" width="13.25" style="2" bestFit="1" customWidth="1"/>
    <col min="5115" max="5115" width="11.125" style="2" bestFit="1" customWidth="1"/>
    <col min="5116" max="5116" width="9" style="2"/>
    <col min="5117" max="5117" width="11.125" style="2" bestFit="1" customWidth="1"/>
    <col min="5118" max="5118" width="9" style="2"/>
    <col min="5119" max="5130" width="11.125" style="2" bestFit="1" customWidth="1"/>
    <col min="5131" max="5131" width="9" style="2"/>
    <col min="5132" max="5132" width="8" style="2" bestFit="1" customWidth="1"/>
    <col min="5133" max="5139" width="11.125" style="2" bestFit="1" customWidth="1"/>
    <col min="5140" max="5140" width="9.625" style="2" bestFit="1" customWidth="1"/>
    <col min="5141" max="5365" width="9" style="2"/>
    <col min="5366" max="5366" width="2.375" style="2" customWidth="1"/>
    <col min="5367" max="5367" width="13.25" style="2" bestFit="1" customWidth="1"/>
    <col min="5368" max="5369" width="11.125" style="2" bestFit="1" customWidth="1"/>
    <col min="5370" max="5370" width="13.25" style="2" bestFit="1" customWidth="1"/>
    <col min="5371" max="5371" width="11.125" style="2" bestFit="1" customWidth="1"/>
    <col min="5372" max="5372" width="9" style="2"/>
    <col min="5373" max="5373" width="11.125" style="2" bestFit="1" customWidth="1"/>
    <col min="5374" max="5374" width="9" style="2"/>
    <col min="5375" max="5386" width="11.125" style="2" bestFit="1" customWidth="1"/>
    <col min="5387" max="5387" width="9" style="2"/>
    <col min="5388" max="5388" width="8" style="2" bestFit="1" customWidth="1"/>
    <col min="5389" max="5395" width="11.125" style="2" bestFit="1" customWidth="1"/>
    <col min="5396" max="5396" width="9.625" style="2" bestFit="1" customWidth="1"/>
    <col min="5397" max="5621" width="9" style="2"/>
    <col min="5622" max="5622" width="2.375" style="2" customWidth="1"/>
    <col min="5623" max="5623" width="13.25" style="2" bestFit="1" customWidth="1"/>
    <col min="5624" max="5625" width="11.125" style="2" bestFit="1" customWidth="1"/>
    <col min="5626" max="5626" width="13.25" style="2" bestFit="1" customWidth="1"/>
    <col min="5627" max="5627" width="11.125" style="2" bestFit="1" customWidth="1"/>
    <col min="5628" max="5628" width="9" style="2"/>
    <col min="5629" max="5629" width="11.125" style="2" bestFit="1" customWidth="1"/>
    <col min="5630" max="5630" width="9" style="2"/>
    <col min="5631" max="5642" width="11.125" style="2" bestFit="1" customWidth="1"/>
    <col min="5643" max="5643" width="9" style="2"/>
    <col min="5644" max="5644" width="8" style="2" bestFit="1" customWidth="1"/>
    <col min="5645" max="5651" width="11.125" style="2" bestFit="1" customWidth="1"/>
    <col min="5652" max="5652" width="9.625" style="2" bestFit="1" customWidth="1"/>
    <col min="5653" max="5877" width="9" style="2"/>
    <col min="5878" max="5878" width="2.375" style="2" customWidth="1"/>
    <col min="5879" max="5879" width="13.25" style="2" bestFit="1" customWidth="1"/>
    <col min="5880" max="5881" width="11.125" style="2" bestFit="1" customWidth="1"/>
    <col min="5882" max="5882" width="13.25" style="2" bestFit="1" customWidth="1"/>
    <col min="5883" max="5883" width="11.125" style="2" bestFit="1" customWidth="1"/>
    <col min="5884" max="5884" width="9" style="2"/>
    <col min="5885" max="5885" width="11.125" style="2" bestFit="1" customWidth="1"/>
    <col min="5886" max="5886" width="9" style="2"/>
    <col min="5887" max="5898" width="11.125" style="2" bestFit="1" customWidth="1"/>
    <col min="5899" max="5899" width="9" style="2"/>
    <col min="5900" max="5900" width="8" style="2" bestFit="1" customWidth="1"/>
    <col min="5901" max="5907" width="11.125" style="2" bestFit="1" customWidth="1"/>
    <col min="5908" max="5908" width="9.625" style="2" bestFit="1" customWidth="1"/>
    <col min="5909" max="6133" width="9" style="2"/>
    <col min="6134" max="6134" width="2.375" style="2" customWidth="1"/>
    <col min="6135" max="6135" width="13.25" style="2" bestFit="1" customWidth="1"/>
    <col min="6136" max="6137" width="11.125" style="2" bestFit="1" customWidth="1"/>
    <col min="6138" max="6138" width="13.25" style="2" bestFit="1" customWidth="1"/>
    <col min="6139" max="6139" width="11.125" style="2" bestFit="1" customWidth="1"/>
    <col min="6140" max="6140" width="9" style="2"/>
    <col min="6141" max="6141" width="11.125" style="2" bestFit="1" customWidth="1"/>
    <col min="6142" max="6142" width="9" style="2"/>
    <col min="6143" max="6154" width="11.125" style="2" bestFit="1" customWidth="1"/>
    <col min="6155" max="6155" width="9" style="2"/>
    <col min="6156" max="6156" width="8" style="2" bestFit="1" customWidth="1"/>
    <col min="6157" max="6163" width="11.125" style="2" bestFit="1" customWidth="1"/>
    <col min="6164" max="6164" width="9.625" style="2" bestFit="1" customWidth="1"/>
    <col min="6165" max="6389" width="9" style="2"/>
    <col min="6390" max="6390" width="2.375" style="2" customWidth="1"/>
    <col min="6391" max="6391" width="13.25" style="2" bestFit="1" customWidth="1"/>
    <col min="6392" max="6393" width="11.125" style="2" bestFit="1" customWidth="1"/>
    <col min="6394" max="6394" width="13.25" style="2" bestFit="1" customWidth="1"/>
    <col min="6395" max="6395" width="11.125" style="2" bestFit="1" customWidth="1"/>
    <col min="6396" max="6396" width="9" style="2"/>
    <col min="6397" max="6397" width="11.125" style="2" bestFit="1" customWidth="1"/>
    <col min="6398" max="6398" width="9" style="2"/>
    <col min="6399" max="6410" width="11.125" style="2" bestFit="1" customWidth="1"/>
    <col min="6411" max="6411" width="9" style="2"/>
    <col min="6412" max="6412" width="8" style="2" bestFit="1" customWidth="1"/>
    <col min="6413" max="6419" width="11.125" style="2" bestFit="1" customWidth="1"/>
    <col min="6420" max="6420" width="9.625" style="2" bestFit="1" customWidth="1"/>
    <col min="6421" max="6645" width="9" style="2"/>
    <col min="6646" max="6646" width="2.375" style="2" customWidth="1"/>
    <col min="6647" max="6647" width="13.25" style="2" bestFit="1" customWidth="1"/>
    <col min="6648" max="6649" width="11.125" style="2" bestFit="1" customWidth="1"/>
    <col min="6650" max="6650" width="13.25" style="2" bestFit="1" customWidth="1"/>
    <col min="6651" max="6651" width="11.125" style="2" bestFit="1" customWidth="1"/>
    <col min="6652" max="6652" width="9" style="2"/>
    <col min="6653" max="6653" width="11.125" style="2" bestFit="1" customWidth="1"/>
    <col min="6654" max="6654" width="9" style="2"/>
    <col min="6655" max="6666" width="11.125" style="2" bestFit="1" customWidth="1"/>
    <col min="6667" max="6667" width="9" style="2"/>
    <col min="6668" max="6668" width="8" style="2" bestFit="1" customWidth="1"/>
    <col min="6669" max="6675" width="11.125" style="2" bestFit="1" customWidth="1"/>
    <col min="6676" max="6676" width="9.625" style="2" bestFit="1" customWidth="1"/>
    <col min="6677" max="6901" width="9" style="2"/>
    <col min="6902" max="6902" width="2.375" style="2" customWidth="1"/>
    <col min="6903" max="6903" width="13.25" style="2" bestFit="1" customWidth="1"/>
    <col min="6904" max="6905" width="11.125" style="2" bestFit="1" customWidth="1"/>
    <col min="6906" max="6906" width="13.25" style="2" bestFit="1" customWidth="1"/>
    <col min="6907" max="6907" width="11.125" style="2" bestFit="1" customWidth="1"/>
    <col min="6908" max="6908" width="9" style="2"/>
    <col min="6909" max="6909" width="11.125" style="2" bestFit="1" customWidth="1"/>
    <col min="6910" max="6910" width="9" style="2"/>
    <col min="6911" max="6922" width="11.125" style="2" bestFit="1" customWidth="1"/>
    <col min="6923" max="6923" width="9" style="2"/>
    <col min="6924" max="6924" width="8" style="2" bestFit="1" customWidth="1"/>
    <col min="6925" max="6931" width="11.125" style="2" bestFit="1" customWidth="1"/>
    <col min="6932" max="6932" width="9.625" style="2" bestFit="1" customWidth="1"/>
    <col min="6933" max="7157" width="9" style="2"/>
    <col min="7158" max="7158" width="2.375" style="2" customWidth="1"/>
    <col min="7159" max="7159" width="13.25" style="2" bestFit="1" customWidth="1"/>
    <col min="7160" max="7161" width="11.125" style="2" bestFit="1" customWidth="1"/>
    <col min="7162" max="7162" width="13.25" style="2" bestFit="1" customWidth="1"/>
    <col min="7163" max="7163" width="11.125" style="2" bestFit="1" customWidth="1"/>
    <col min="7164" max="7164" width="9" style="2"/>
    <col min="7165" max="7165" width="11.125" style="2" bestFit="1" customWidth="1"/>
    <col min="7166" max="7166" width="9" style="2"/>
    <col min="7167" max="7178" width="11.125" style="2" bestFit="1" customWidth="1"/>
    <col min="7179" max="7179" width="9" style="2"/>
    <col min="7180" max="7180" width="8" style="2" bestFit="1" customWidth="1"/>
    <col min="7181" max="7187" width="11.125" style="2" bestFit="1" customWidth="1"/>
    <col min="7188" max="7188" width="9.625" style="2" bestFit="1" customWidth="1"/>
    <col min="7189" max="7413" width="9" style="2"/>
    <col min="7414" max="7414" width="2.375" style="2" customWidth="1"/>
    <col min="7415" max="7415" width="13.25" style="2" bestFit="1" customWidth="1"/>
    <col min="7416" max="7417" width="11.125" style="2" bestFit="1" customWidth="1"/>
    <col min="7418" max="7418" width="13.25" style="2" bestFit="1" customWidth="1"/>
    <col min="7419" max="7419" width="11.125" style="2" bestFit="1" customWidth="1"/>
    <col min="7420" max="7420" width="9" style="2"/>
    <col min="7421" max="7421" width="11.125" style="2" bestFit="1" customWidth="1"/>
    <col min="7422" max="7422" width="9" style="2"/>
    <col min="7423" max="7434" width="11.125" style="2" bestFit="1" customWidth="1"/>
    <col min="7435" max="7435" width="9" style="2"/>
    <col min="7436" max="7436" width="8" style="2" bestFit="1" customWidth="1"/>
    <col min="7437" max="7443" width="11.125" style="2" bestFit="1" customWidth="1"/>
    <col min="7444" max="7444" width="9.625" style="2" bestFit="1" customWidth="1"/>
    <col min="7445" max="7669" width="9" style="2"/>
    <col min="7670" max="7670" width="2.375" style="2" customWidth="1"/>
    <col min="7671" max="7671" width="13.25" style="2" bestFit="1" customWidth="1"/>
    <col min="7672" max="7673" width="11.125" style="2" bestFit="1" customWidth="1"/>
    <col min="7674" max="7674" width="13.25" style="2" bestFit="1" customWidth="1"/>
    <col min="7675" max="7675" width="11.125" style="2" bestFit="1" customWidth="1"/>
    <col min="7676" max="7676" width="9" style="2"/>
    <col min="7677" max="7677" width="11.125" style="2" bestFit="1" customWidth="1"/>
    <col min="7678" max="7678" width="9" style="2"/>
    <col min="7679" max="7690" width="11.125" style="2" bestFit="1" customWidth="1"/>
    <col min="7691" max="7691" width="9" style="2"/>
    <col min="7692" max="7692" width="8" style="2" bestFit="1" customWidth="1"/>
    <col min="7693" max="7699" width="11.125" style="2" bestFit="1" customWidth="1"/>
    <col min="7700" max="7700" width="9.625" style="2" bestFit="1" customWidth="1"/>
    <col min="7701" max="7925" width="9" style="2"/>
    <col min="7926" max="7926" width="2.375" style="2" customWidth="1"/>
    <col min="7927" max="7927" width="13.25" style="2" bestFit="1" customWidth="1"/>
    <col min="7928" max="7929" width="11.125" style="2" bestFit="1" customWidth="1"/>
    <col min="7930" max="7930" width="13.25" style="2" bestFit="1" customWidth="1"/>
    <col min="7931" max="7931" width="11.125" style="2" bestFit="1" customWidth="1"/>
    <col min="7932" max="7932" width="9" style="2"/>
    <col min="7933" max="7933" width="11.125" style="2" bestFit="1" customWidth="1"/>
    <col min="7934" max="7934" width="9" style="2"/>
    <col min="7935" max="7946" width="11.125" style="2" bestFit="1" customWidth="1"/>
    <col min="7947" max="7947" width="9" style="2"/>
    <col min="7948" max="7948" width="8" style="2" bestFit="1" customWidth="1"/>
    <col min="7949" max="7955" width="11.125" style="2" bestFit="1" customWidth="1"/>
    <col min="7956" max="7956" width="9.625" style="2" bestFit="1" customWidth="1"/>
    <col min="7957" max="8181" width="9" style="2"/>
    <col min="8182" max="8182" width="2.375" style="2" customWidth="1"/>
    <col min="8183" max="8183" width="13.25" style="2" bestFit="1" customWidth="1"/>
    <col min="8184" max="8185" width="11.125" style="2" bestFit="1" customWidth="1"/>
    <col min="8186" max="8186" width="13.25" style="2" bestFit="1" customWidth="1"/>
    <col min="8187" max="8187" width="11.125" style="2" bestFit="1" customWidth="1"/>
    <col min="8188" max="8188" width="9" style="2"/>
    <col min="8189" max="8189" width="11.125" style="2" bestFit="1" customWidth="1"/>
    <col min="8190" max="8190" width="9" style="2"/>
    <col min="8191" max="8202" width="11.125" style="2" bestFit="1" customWidth="1"/>
    <col min="8203" max="8203" width="9" style="2"/>
    <col min="8204" max="8204" width="8" style="2" bestFit="1" customWidth="1"/>
    <col min="8205" max="8211" width="11.125" style="2" bestFit="1" customWidth="1"/>
    <col min="8212" max="8212" width="9.625" style="2" bestFit="1" customWidth="1"/>
    <col min="8213" max="8437" width="9" style="2"/>
    <col min="8438" max="8438" width="2.375" style="2" customWidth="1"/>
    <col min="8439" max="8439" width="13.25" style="2" bestFit="1" customWidth="1"/>
    <col min="8440" max="8441" width="11.125" style="2" bestFit="1" customWidth="1"/>
    <col min="8442" max="8442" width="13.25" style="2" bestFit="1" customWidth="1"/>
    <col min="8443" max="8443" width="11.125" style="2" bestFit="1" customWidth="1"/>
    <col min="8444" max="8444" width="9" style="2"/>
    <col min="8445" max="8445" width="11.125" style="2" bestFit="1" customWidth="1"/>
    <col min="8446" max="8446" width="9" style="2"/>
    <col min="8447" max="8458" width="11.125" style="2" bestFit="1" customWidth="1"/>
    <col min="8459" max="8459" width="9" style="2"/>
    <col min="8460" max="8460" width="8" style="2" bestFit="1" customWidth="1"/>
    <col min="8461" max="8467" width="11.125" style="2" bestFit="1" customWidth="1"/>
    <col min="8468" max="8468" width="9.625" style="2" bestFit="1" customWidth="1"/>
    <col min="8469" max="8693" width="9" style="2"/>
    <col min="8694" max="8694" width="2.375" style="2" customWidth="1"/>
    <col min="8695" max="8695" width="13.25" style="2" bestFit="1" customWidth="1"/>
    <col min="8696" max="8697" width="11.125" style="2" bestFit="1" customWidth="1"/>
    <col min="8698" max="8698" width="13.25" style="2" bestFit="1" customWidth="1"/>
    <col min="8699" max="8699" width="11.125" style="2" bestFit="1" customWidth="1"/>
    <col min="8700" max="8700" width="9" style="2"/>
    <col min="8701" max="8701" width="11.125" style="2" bestFit="1" customWidth="1"/>
    <col min="8702" max="8702" width="9" style="2"/>
    <col min="8703" max="8714" width="11.125" style="2" bestFit="1" customWidth="1"/>
    <col min="8715" max="8715" width="9" style="2"/>
    <col min="8716" max="8716" width="8" style="2" bestFit="1" customWidth="1"/>
    <col min="8717" max="8723" width="11.125" style="2" bestFit="1" customWidth="1"/>
    <col min="8724" max="8724" width="9.625" style="2" bestFit="1" customWidth="1"/>
    <col min="8725" max="8949" width="9" style="2"/>
    <col min="8950" max="8950" width="2.375" style="2" customWidth="1"/>
    <col min="8951" max="8951" width="13.25" style="2" bestFit="1" customWidth="1"/>
    <col min="8952" max="8953" width="11.125" style="2" bestFit="1" customWidth="1"/>
    <col min="8954" max="8954" width="13.25" style="2" bestFit="1" customWidth="1"/>
    <col min="8955" max="8955" width="11.125" style="2" bestFit="1" customWidth="1"/>
    <col min="8956" max="8956" width="9" style="2"/>
    <col min="8957" max="8957" width="11.125" style="2" bestFit="1" customWidth="1"/>
    <col min="8958" max="8958" width="9" style="2"/>
    <col min="8959" max="8970" width="11.125" style="2" bestFit="1" customWidth="1"/>
    <col min="8971" max="8971" width="9" style="2"/>
    <col min="8972" max="8972" width="8" style="2" bestFit="1" customWidth="1"/>
    <col min="8973" max="8979" width="11.125" style="2" bestFit="1" customWidth="1"/>
    <col min="8980" max="8980" width="9.625" style="2" bestFit="1" customWidth="1"/>
    <col min="8981" max="9205" width="9" style="2"/>
    <col min="9206" max="9206" width="2.375" style="2" customWidth="1"/>
    <col min="9207" max="9207" width="13.25" style="2" bestFit="1" customWidth="1"/>
    <col min="9208" max="9209" width="11.125" style="2" bestFit="1" customWidth="1"/>
    <col min="9210" max="9210" width="13.25" style="2" bestFit="1" customWidth="1"/>
    <col min="9211" max="9211" width="11.125" style="2" bestFit="1" customWidth="1"/>
    <col min="9212" max="9212" width="9" style="2"/>
    <col min="9213" max="9213" width="11.125" style="2" bestFit="1" customWidth="1"/>
    <col min="9214" max="9214" width="9" style="2"/>
    <col min="9215" max="9226" width="11.125" style="2" bestFit="1" customWidth="1"/>
    <col min="9227" max="9227" width="9" style="2"/>
    <col min="9228" max="9228" width="8" style="2" bestFit="1" customWidth="1"/>
    <col min="9229" max="9235" width="11.125" style="2" bestFit="1" customWidth="1"/>
    <col min="9236" max="9236" width="9.625" style="2" bestFit="1" customWidth="1"/>
    <col min="9237" max="9461" width="9" style="2"/>
    <col min="9462" max="9462" width="2.375" style="2" customWidth="1"/>
    <col min="9463" max="9463" width="13.25" style="2" bestFit="1" customWidth="1"/>
    <col min="9464" max="9465" width="11.125" style="2" bestFit="1" customWidth="1"/>
    <col min="9466" max="9466" width="13.25" style="2" bestFit="1" customWidth="1"/>
    <col min="9467" max="9467" width="11.125" style="2" bestFit="1" customWidth="1"/>
    <col min="9468" max="9468" width="9" style="2"/>
    <col min="9469" max="9469" width="11.125" style="2" bestFit="1" customWidth="1"/>
    <col min="9470" max="9470" width="9" style="2"/>
    <col min="9471" max="9482" width="11.125" style="2" bestFit="1" customWidth="1"/>
    <col min="9483" max="9483" width="9" style="2"/>
    <col min="9484" max="9484" width="8" style="2" bestFit="1" customWidth="1"/>
    <col min="9485" max="9491" width="11.125" style="2" bestFit="1" customWidth="1"/>
    <col min="9492" max="9492" width="9.625" style="2" bestFit="1" customWidth="1"/>
    <col min="9493" max="9717" width="9" style="2"/>
    <col min="9718" max="9718" width="2.375" style="2" customWidth="1"/>
    <col min="9719" max="9719" width="13.25" style="2" bestFit="1" customWidth="1"/>
    <col min="9720" max="9721" width="11.125" style="2" bestFit="1" customWidth="1"/>
    <col min="9722" max="9722" width="13.25" style="2" bestFit="1" customWidth="1"/>
    <col min="9723" max="9723" width="11.125" style="2" bestFit="1" customWidth="1"/>
    <col min="9724" max="9724" width="9" style="2"/>
    <col min="9725" max="9725" width="11.125" style="2" bestFit="1" customWidth="1"/>
    <col min="9726" max="9726" width="9" style="2"/>
    <col min="9727" max="9738" width="11.125" style="2" bestFit="1" customWidth="1"/>
    <col min="9739" max="9739" width="9" style="2"/>
    <col min="9740" max="9740" width="8" style="2" bestFit="1" customWidth="1"/>
    <col min="9741" max="9747" width="11.125" style="2" bestFit="1" customWidth="1"/>
    <col min="9748" max="9748" width="9.625" style="2" bestFit="1" customWidth="1"/>
    <col min="9749" max="9973" width="9" style="2"/>
    <col min="9974" max="9974" width="2.375" style="2" customWidth="1"/>
    <col min="9975" max="9975" width="13.25" style="2" bestFit="1" customWidth="1"/>
    <col min="9976" max="9977" width="11.125" style="2" bestFit="1" customWidth="1"/>
    <col min="9978" max="9978" width="13.25" style="2" bestFit="1" customWidth="1"/>
    <col min="9979" max="9979" width="11.125" style="2" bestFit="1" customWidth="1"/>
    <col min="9980" max="9980" width="9" style="2"/>
    <col min="9981" max="9981" width="11.125" style="2" bestFit="1" customWidth="1"/>
    <col min="9982" max="9982" width="9" style="2"/>
    <col min="9983" max="9994" width="11.125" style="2" bestFit="1" customWidth="1"/>
    <col min="9995" max="9995" width="9" style="2"/>
    <col min="9996" max="9996" width="8" style="2" bestFit="1" customWidth="1"/>
    <col min="9997" max="10003" width="11.125" style="2" bestFit="1" customWidth="1"/>
    <col min="10004" max="10004" width="9.625" style="2" bestFit="1" customWidth="1"/>
    <col min="10005" max="10229" width="9" style="2"/>
    <col min="10230" max="10230" width="2.375" style="2" customWidth="1"/>
    <col min="10231" max="10231" width="13.25" style="2" bestFit="1" customWidth="1"/>
    <col min="10232" max="10233" width="11.125" style="2" bestFit="1" customWidth="1"/>
    <col min="10234" max="10234" width="13.25" style="2" bestFit="1" customWidth="1"/>
    <col min="10235" max="10235" width="11.125" style="2" bestFit="1" customWidth="1"/>
    <col min="10236" max="10236" width="9" style="2"/>
    <col min="10237" max="10237" width="11.125" style="2" bestFit="1" customWidth="1"/>
    <col min="10238" max="10238" width="9" style="2"/>
    <col min="10239" max="10250" width="11.125" style="2" bestFit="1" customWidth="1"/>
    <col min="10251" max="10251" width="9" style="2"/>
    <col min="10252" max="10252" width="8" style="2" bestFit="1" customWidth="1"/>
    <col min="10253" max="10259" width="11.125" style="2" bestFit="1" customWidth="1"/>
    <col min="10260" max="10260" width="9.625" style="2" bestFit="1" customWidth="1"/>
    <col min="10261" max="10485" width="9" style="2"/>
    <col min="10486" max="10486" width="2.375" style="2" customWidth="1"/>
    <col min="10487" max="10487" width="13.25" style="2" bestFit="1" customWidth="1"/>
    <col min="10488" max="10489" width="11.125" style="2" bestFit="1" customWidth="1"/>
    <col min="10490" max="10490" width="13.25" style="2" bestFit="1" customWidth="1"/>
    <col min="10491" max="10491" width="11.125" style="2" bestFit="1" customWidth="1"/>
    <col min="10492" max="10492" width="9" style="2"/>
    <col min="10493" max="10493" width="11.125" style="2" bestFit="1" customWidth="1"/>
    <col min="10494" max="10494" width="9" style="2"/>
    <col min="10495" max="10506" width="11.125" style="2" bestFit="1" customWidth="1"/>
    <col min="10507" max="10507" width="9" style="2"/>
    <col min="10508" max="10508" width="8" style="2" bestFit="1" customWidth="1"/>
    <col min="10509" max="10515" width="11.125" style="2" bestFit="1" customWidth="1"/>
    <col min="10516" max="10516" width="9.625" style="2" bestFit="1" customWidth="1"/>
    <col min="10517" max="10741" width="9" style="2"/>
    <col min="10742" max="10742" width="2.375" style="2" customWidth="1"/>
    <col min="10743" max="10743" width="13.25" style="2" bestFit="1" customWidth="1"/>
    <col min="10744" max="10745" width="11.125" style="2" bestFit="1" customWidth="1"/>
    <col min="10746" max="10746" width="13.25" style="2" bestFit="1" customWidth="1"/>
    <col min="10747" max="10747" width="11.125" style="2" bestFit="1" customWidth="1"/>
    <col min="10748" max="10748" width="9" style="2"/>
    <col min="10749" max="10749" width="11.125" style="2" bestFit="1" customWidth="1"/>
    <col min="10750" max="10750" width="9" style="2"/>
    <col min="10751" max="10762" width="11.125" style="2" bestFit="1" customWidth="1"/>
    <col min="10763" max="10763" width="9" style="2"/>
    <col min="10764" max="10764" width="8" style="2" bestFit="1" customWidth="1"/>
    <col min="10765" max="10771" width="11.125" style="2" bestFit="1" customWidth="1"/>
    <col min="10772" max="10772" width="9.625" style="2" bestFit="1" customWidth="1"/>
    <col min="10773" max="10997" width="9" style="2"/>
    <col min="10998" max="10998" width="2.375" style="2" customWidth="1"/>
    <col min="10999" max="10999" width="13.25" style="2" bestFit="1" customWidth="1"/>
    <col min="11000" max="11001" width="11.125" style="2" bestFit="1" customWidth="1"/>
    <col min="11002" max="11002" width="13.25" style="2" bestFit="1" customWidth="1"/>
    <col min="11003" max="11003" width="11.125" style="2" bestFit="1" customWidth="1"/>
    <col min="11004" max="11004" width="9" style="2"/>
    <col min="11005" max="11005" width="11.125" style="2" bestFit="1" customWidth="1"/>
    <col min="11006" max="11006" width="9" style="2"/>
    <col min="11007" max="11018" width="11.125" style="2" bestFit="1" customWidth="1"/>
    <col min="11019" max="11019" width="9" style="2"/>
    <col min="11020" max="11020" width="8" style="2" bestFit="1" customWidth="1"/>
    <col min="11021" max="11027" width="11.125" style="2" bestFit="1" customWidth="1"/>
    <col min="11028" max="11028" width="9.625" style="2" bestFit="1" customWidth="1"/>
    <col min="11029" max="11253" width="9" style="2"/>
    <col min="11254" max="11254" width="2.375" style="2" customWidth="1"/>
    <col min="11255" max="11255" width="13.25" style="2" bestFit="1" customWidth="1"/>
    <col min="11256" max="11257" width="11.125" style="2" bestFit="1" customWidth="1"/>
    <col min="11258" max="11258" width="13.25" style="2" bestFit="1" customWidth="1"/>
    <col min="11259" max="11259" width="11.125" style="2" bestFit="1" customWidth="1"/>
    <col min="11260" max="11260" width="9" style="2"/>
    <col min="11261" max="11261" width="11.125" style="2" bestFit="1" customWidth="1"/>
    <col min="11262" max="11262" width="9" style="2"/>
    <col min="11263" max="11274" width="11.125" style="2" bestFit="1" customWidth="1"/>
    <col min="11275" max="11275" width="9" style="2"/>
    <col min="11276" max="11276" width="8" style="2" bestFit="1" customWidth="1"/>
    <col min="11277" max="11283" width="11.125" style="2" bestFit="1" customWidth="1"/>
    <col min="11284" max="11284" width="9.625" style="2" bestFit="1" customWidth="1"/>
    <col min="11285" max="11509" width="9" style="2"/>
    <col min="11510" max="11510" width="2.375" style="2" customWidth="1"/>
    <col min="11511" max="11511" width="13.25" style="2" bestFit="1" customWidth="1"/>
    <col min="11512" max="11513" width="11.125" style="2" bestFit="1" customWidth="1"/>
    <col min="11514" max="11514" width="13.25" style="2" bestFit="1" customWidth="1"/>
    <col min="11515" max="11515" width="11.125" style="2" bestFit="1" customWidth="1"/>
    <col min="11516" max="11516" width="9" style="2"/>
    <col min="11517" max="11517" width="11.125" style="2" bestFit="1" customWidth="1"/>
    <col min="11518" max="11518" width="9" style="2"/>
    <col min="11519" max="11530" width="11.125" style="2" bestFit="1" customWidth="1"/>
    <col min="11531" max="11531" width="9" style="2"/>
    <col min="11532" max="11532" width="8" style="2" bestFit="1" customWidth="1"/>
    <col min="11533" max="11539" width="11.125" style="2" bestFit="1" customWidth="1"/>
    <col min="11540" max="11540" width="9.625" style="2" bestFit="1" customWidth="1"/>
    <col min="11541" max="11765" width="9" style="2"/>
    <col min="11766" max="11766" width="2.375" style="2" customWidth="1"/>
    <col min="11767" max="11767" width="13.25" style="2" bestFit="1" customWidth="1"/>
    <col min="11768" max="11769" width="11.125" style="2" bestFit="1" customWidth="1"/>
    <col min="11770" max="11770" width="13.25" style="2" bestFit="1" customWidth="1"/>
    <col min="11771" max="11771" width="11.125" style="2" bestFit="1" customWidth="1"/>
    <col min="11772" max="11772" width="9" style="2"/>
    <col min="11773" max="11773" width="11.125" style="2" bestFit="1" customWidth="1"/>
    <col min="11774" max="11774" width="9" style="2"/>
    <col min="11775" max="11786" width="11.125" style="2" bestFit="1" customWidth="1"/>
    <col min="11787" max="11787" width="9" style="2"/>
    <col min="11788" max="11788" width="8" style="2" bestFit="1" customWidth="1"/>
    <col min="11789" max="11795" width="11.125" style="2" bestFit="1" customWidth="1"/>
    <col min="11796" max="11796" width="9.625" style="2" bestFit="1" customWidth="1"/>
    <col min="11797" max="12021" width="9" style="2"/>
    <col min="12022" max="12022" width="2.375" style="2" customWidth="1"/>
    <col min="12023" max="12023" width="13.25" style="2" bestFit="1" customWidth="1"/>
    <col min="12024" max="12025" width="11.125" style="2" bestFit="1" customWidth="1"/>
    <col min="12026" max="12026" width="13.25" style="2" bestFit="1" customWidth="1"/>
    <col min="12027" max="12027" width="11.125" style="2" bestFit="1" customWidth="1"/>
    <col min="12028" max="12028" width="9" style="2"/>
    <col min="12029" max="12029" width="11.125" style="2" bestFit="1" customWidth="1"/>
    <col min="12030" max="12030" width="9" style="2"/>
    <col min="12031" max="12042" width="11.125" style="2" bestFit="1" customWidth="1"/>
    <col min="12043" max="12043" width="9" style="2"/>
    <col min="12044" max="12044" width="8" style="2" bestFit="1" customWidth="1"/>
    <col min="12045" max="12051" width="11.125" style="2" bestFit="1" customWidth="1"/>
    <col min="12052" max="12052" width="9.625" style="2" bestFit="1" customWidth="1"/>
    <col min="12053" max="12277" width="9" style="2"/>
    <col min="12278" max="12278" width="2.375" style="2" customWidth="1"/>
    <col min="12279" max="12279" width="13.25" style="2" bestFit="1" customWidth="1"/>
    <col min="12280" max="12281" width="11.125" style="2" bestFit="1" customWidth="1"/>
    <col min="12282" max="12282" width="13.25" style="2" bestFit="1" customWidth="1"/>
    <col min="12283" max="12283" width="11.125" style="2" bestFit="1" customWidth="1"/>
    <col min="12284" max="12284" width="9" style="2"/>
    <col min="12285" max="12285" width="11.125" style="2" bestFit="1" customWidth="1"/>
    <col min="12286" max="12286" width="9" style="2"/>
    <col min="12287" max="12298" width="11.125" style="2" bestFit="1" customWidth="1"/>
    <col min="12299" max="12299" width="9" style="2"/>
    <col min="12300" max="12300" width="8" style="2" bestFit="1" customWidth="1"/>
    <col min="12301" max="12307" width="11.125" style="2" bestFit="1" customWidth="1"/>
    <col min="12308" max="12308" width="9.625" style="2" bestFit="1" customWidth="1"/>
    <col min="12309" max="12533" width="9" style="2"/>
    <col min="12534" max="12534" width="2.375" style="2" customWidth="1"/>
    <col min="12535" max="12535" width="13.25" style="2" bestFit="1" customWidth="1"/>
    <col min="12536" max="12537" width="11.125" style="2" bestFit="1" customWidth="1"/>
    <col min="12538" max="12538" width="13.25" style="2" bestFit="1" customWidth="1"/>
    <col min="12539" max="12539" width="11.125" style="2" bestFit="1" customWidth="1"/>
    <col min="12540" max="12540" width="9" style="2"/>
    <col min="12541" max="12541" width="11.125" style="2" bestFit="1" customWidth="1"/>
    <col min="12542" max="12542" width="9" style="2"/>
    <col min="12543" max="12554" width="11.125" style="2" bestFit="1" customWidth="1"/>
    <col min="12555" max="12555" width="9" style="2"/>
    <col min="12556" max="12556" width="8" style="2" bestFit="1" customWidth="1"/>
    <col min="12557" max="12563" width="11.125" style="2" bestFit="1" customWidth="1"/>
    <col min="12564" max="12564" width="9.625" style="2" bestFit="1" customWidth="1"/>
    <col min="12565" max="12789" width="9" style="2"/>
    <col min="12790" max="12790" width="2.375" style="2" customWidth="1"/>
    <col min="12791" max="12791" width="13.25" style="2" bestFit="1" customWidth="1"/>
    <col min="12792" max="12793" width="11.125" style="2" bestFit="1" customWidth="1"/>
    <col min="12794" max="12794" width="13.25" style="2" bestFit="1" customWidth="1"/>
    <col min="12795" max="12795" width="11.125" style="2" bestFit="1" customWidth="1"/>
    <col min="12796" max="12796" width="9" style="2"/>
    <col min="12797" max="12797" width="11.125" style="2" bestFit="1" customWidth="1"/>
    <col min="12798" max="12798" width="9" style="2"/>
    <col min="12799" max="12810" width="11.125" style="2" bestFit="1" customWidth="1"/>
    <col min="12811" max="12811" width="9" style="2"/>
    <col min="12812" max="12812" width="8" style="2" bestFit="1" customWidth="1"/>
    <col min="12813" max="12819" width="11.125" style="2" bestFit="1" customWidth="1"/>
    <col min="12820" max="12820" width="9.625" style="2" bestFit="1" customWidth="1"/>
    <col min="12821" max="13045" width="9" style="2"/>
    <col min="13046" max="13046" width="2.375" style="2" customWidth="1"/>
    <col min="13047" max="13047" width="13.25" style="2" bestFit="1" customWidth="1"/>
    <col min="13048" max="13049" width="11.125" style="2" bestFit="1" customWidth="1"/>
    <col min="13050" max="13050" width="13.25" style="2" bestFit="1" customWidth="1"/>
    <col min="13051" max="13051" width="11.125" style="2" bestFit="1" customWidth="1"/>
    <col min="13052" max="13052" width="9" style="2"/>
    <col min="13053" max="13053" width="11.125" style="2" bestFit="1" customWidth="1"/>
    <col min="13054" max="13054" width="9" style="2"/>
    <col min="13055" max="13066" width="11.125" style="2" bestFit="1" customWidth="1"/>
    <col min="13067" max="13067" width="9" style="2"/>
    <col min="13068" max="13068" width="8" style="2" bestFit="1" customWidth="1"/>
    <col min="13069" max="13075" width="11.125" style="2" bestFit="1" customWidth="1"/>
    <col min="13076" max="13076" width="9.625" style="2" bestFit="1" customWidth="1"/>
    <col min="13077" max="13301" width="9" style="2"/>
    <col min="13302" max="13302" width="2.375" style="2" customWidth="1"/>
    <col min="13303" max="13303" width="13.25" style="2" bestFit="1" customWidth="1"/>
    <col min="13304" max="13305" width="11.125" style="2" bestFit="1" customWidth="1"/>
    <col min="13306" max="13306" width="13.25" style="2" bestFit="1" customWidth="1"/>
    <col min="13307" max="13307" width="11.125" style="2" bestFit="1" customWidth="1"/>
    <col min="13308" max="13308" width="9" style="2"/>
    <col min="13309" max="13309" width="11.125" style="2" bestFit="1" customWidth="1"/>
    <col min="13310" max="13310" width="9" style="2"/>
    <col min="13311" max="13322" width="11.125" style="2" bestFit="1" customWidth="1"/>
    <col min="13323" max="13323" width="9" style="2"/>
    <col min="13324" max="13324" width="8" style="2" bestFit="1" customWidth="1"/>
    <col min="13325" max="13331" width="11.125" style="2" bestFit="1" customWidth="1"/>
    <col min="13332" max="13332" width="9.625" style="2" bestFit="1" customWidth="1"/>
    <col min="13333" max="13557" width="9" style="2"/>
    <col min="13558" max="13558" width="2.375" style="2" customWidth="1"/>
    <col min="13559" max="13559" width="13.25" style="2" bestFit="1" customWidth="1"/>
    <col min="13560" max="13561" width="11.125" style="2" bestFit="1" customWidth="1"/>
    <col min="13562" max="13562" width="13.25" style="2" bestFit="1" customWidth="1"/>
    <col min="13563" max="13563" width="11.125" style="2" bestFit="1" customWidth="1"/>
    <col min="13564" max="13564" width="9" style="2"/>
    <col min="13565" max="13565" width="11.125" style="2" bestFit="1" customWidth="1"/>
    <col min="13566" max="13566" width="9" style="2"/>
    <col min="13567" max="13578" width="11.125" style="2" bestFit="1" customWidth="1"/>
    <col min="13579" max="13579" width="9" style="2"/>
    <col min="13580" max="13580" width="8" style="2" bestFit="1" customWidth="1"/>
    <col min="13581" max="13587" width="11.125" style="2" bestFit="1" customWidth="1"/>
    <col min="13588" max="13588" width="9.625" style="2" bestFit="1" customWidth="1"/>
    <col min="13589" max="13813" width="9" style="2"/>
    <col min="13814" max="13814" width="2.375" style="2" customWidth="1"/>
    <col min="13815" max="13815" width="13.25" style="2" bestFit="1" customWidth="1"/>
    <col min="13816" max="13817" width="11.125" style="2" bestFit="1" customWidth="1"/>
    <col min="13818" max="13818" width="13.25" style="2" bestFit="1" customWidth="1"/>
    <col min="13819" max="13819" width="11.125" style="2" bestFit="1" customWidth="1"/>
    <col min="13820" max="13820" width="9" style="2"/>
    <col min="13821" max="13821" width="11.125" style="2" bestFit="1" customWidth="1"/>
    <col min="13822" max="13822" width="9" style="2"/>
    <col min="13823" max="13834" width="11.125" style="2" bestFit="1" customWidth="1"/>
    <col min="13835" max="13835" width="9" style="2"/>
    <col min="13836" max="13836" width="8" style="2" bestFit="1" customWidth="1"/>
    <col min="13837" max="13843" width="11.125" style="2" bestFit="1" customWidth="1"/>
    <col min="13844" max="13844" width="9.625" style="2" bestFit="1" customWidth="1"/>
    <col min="13845" max="14069" width="9" style="2"/>
    <col min="14070" max="14070" width="2.375" style="2" customWidth="1"/>
    <col min="14071" max="14071" width="13.25" style="2" bestFit="1" customWidth="1"/>
    <col min="14072" max="14073" width="11.125" style="2" bestFit="1" customWidth="1"/>
    <col min="14074" max="14074" width="13.25" style="2" bestFit="1" customWidth="1"/>
    <col min="14075" max="14075" width="11.125" style="2" bestFit="1" customWidth="1"/>
    <col min="14076" max="14076" width="9" style="2"/>
    <col min="14077" max="14077" width="11.125" style="2" bestFit="1" customWidth="1"/>
    <col min="14078" max="14078" width="9" style="2"/>
    <col min="14079" max="14090" width="11.125" style="2" bestFit="1" customWidth="1"/>
    <col min="14091" max="14091" width="9" style="2"/>
    <col min="14092" max="14092" width="8" style="2" bestFit="1" customWidth="1"/>
    <col min="14093" max="14099" width="11.125" style="2" bestFit="1" customWidth="1"/>
    <col min="14100" max="14100" width="9.625" style="2" bestFit="1" customWidth="1"/>
    <col min="14101" max="14325" width="9" style="2"/>
    <col min="14326" max="14326" width="2.375" style="2" customWidth="1"/>
    <col min="14327" max="14327" width="13.25" style="2" bestFit="1" customWidth="1"/>
    <col min="14328" max="14329" width="11.125" style="2" bestFit="1" customWidth="1"/>
    <col min="14330" max="14330" width="13.25" style="2" bestFit="1" customWidth="1"/>
    <col min="14331" max="14331" width="11.125" style="2" bestFit="1" customWidth="1"/>
    <col min="14332" max="14332" width="9" style="2"/>
    <col min="14333" max="14333" width="11.125" style="2" bestFit="1" customWidth="1"/>
    <col min="14334" max="14334" width="9" style="2"/>
    <col min="14335" max="14346" width="11.125" style="2" bestFit="1" customWidth="1"/>
    <col min="14347" max="14347" width="9" style="2"/>
    <col min="14348" max="14348" width="8" style="2" bestFit="1" customWidth="1"/>
    <col min="14349" max="14355" width="11.125" style="2" bestFit="1" customWidth="1"/>
    <col min="14356" max="14356" width="9.625" style="2" bestFit="1" customWidth="1"/>
    <col min="14357" max="14581" width="9" style="2"/>
    <col min="14582" max="14582" width="2.375" style="2" customWidth="1"/>
    <col min="14583" max="14583" width="13.25" style="2" bestFit="1" customWidth="1"/>
    <col min="14584" max="14585" width="11.125" style="2" bestFit="1" customWidth="1"/>
    <col min="14586" max="14586" width="13.25" style="2" bestFit="1" customWidth="1"/>
    <col min="14587" max="14587" width="11.125" style="2" bestFit="1" customWidth="1"/>
    <col min="14588" max="14588" width="9" style="2"/>
    <col min="14589" max="14589" width="11.125" style="2" bestFit="1" customWidth="1"/>
    <col min="14590" max="14590" width="9" style="2"/>
    <col min="14591" max="14602" width="11.125" style="2" bestFit="1" customWidth="1"/>
    <col min="14603" max="14603" width="9" style="2"/>
    <col min="14604" max="14604" width="8" style="2" bestFit="1" customWidth="1"/>
    <col min="14605" max="14611" width="11.125" style="2" bestFit="1" customWidth="1"/>
    <col min="14612" max="14612" width="9.625" style="2" bestFit="1" customWidth="1"/>
    <col min="14613" max="14837" width="9" style="2"/>
    <col min="14838" max="14838" width="2.375" style="2" customWidth="1"/>
    <col min="14839" max="14839" width="13.25" style="2" bestFit="1" customWidth="1"/>
    <col min="14840" max="14841" width="11.125" style="2" bestFit="1" customWidth="1"/>
    <col min="14842" max="14842" width="13.25" style="2" bestFit="1" customWidth="1"/>
    <col min="14843" max="14843" width="11.125" style="2" bestFit="1" customWidth="1"/>
    <col min="14844" max="14844" width="9" style="2"/>
    <col min="14845" max="14845" width="11.125" style="2" bestFit="1" customWidth="1"/>
    <col min="14846" max="14846" width="9" style="2"/>
    <col min="14847" max="14858" width="11.125" style="2" bestFit="1" customWidth="1"/>
    <col min="14859" max="14859" width="9" style="2"/>
    <col min="14860" max="14860" width="8" style="2" bestFit="1" customWidth="1"/>
    <col min="14861" max="14867" width="11.125" style="2" bestFit="1" customWidth="1"/>
    <col min="14868" max="14868" width="9.625" style="2" bestFit="1" customWidth="1"/>
    <col min="14869" max="15093" width="9" style="2"/>
    <col min="15094" max="15094" width="2.375" style="2" customWidth="1"/>
    <col min="15095" max="15095" width="13.25" style="2" bestFit="1" customWidth="1"/>
    <col min="15096" max="15097" width="11.125" style="2" bestFit="1" customWidth="1"/>
    <col min="15098" max="15098" width="13.25" style="2" bestFit="1" customWidth="1"/>
    <col min="15099" max="15099" width="11.125" style="2" bestFit="1" customWidth="1"/>
    <col min="15100" max="15100" width="9" style="2"/>
    <col min="15101" max="15101" width="11.125" style="2" bestFit="1" customWidth="1"/>
    <col min="15102" max="15102" width="9" style="2"/>
    <col min="15103" max="15114" width="11.125" style="2" bestFit="1" customWidth="1"/>
    <col min="15115" max="15115" width="9" style="2"/>
    <col min="15116" max="15116" width="8" style="2" bestFit="1" customWidth="1"/>
    <col min="15117" max="15123" width="11.125" style="2" bestFit="1" customWidth="1"/>
    <col min="15124" max="15124" width="9.625" style="2" bestFit="1" customWidth="1"/>
    <col min="15125" max="15349" width="9" style="2"/>
    <col min="15350" max="15350" width="2.375" style="2" customWidth="1"/>
    <col min="15351" max="15351" width="13.25" style="2" bestFit="1" customWidth="1"/>
    <col min="15352" max="15353" width="11.125" style="2" bestFit="1" customWidth="1"/>
    <col min="15354" max="15354" width="13.25" style="2" bestFit="1" customWidth="1"/>
    <col min="15355" max="15355" width="11.125" style="2" bestFit="1" customWidth="1"/>
    <col min="15356" max="15356" width="9" style="2"/>
    <col min="15357" max="15357" width="11.125" style="2" bestFit="1" customWidth="1"/>
    <col min="15358" max="15358" width="9" style="2"/>
    <col min="15359" max="15370" width="11.125" style="2" bestFit="1" customWidth="1"/>
    <col min="15371" max="15371" width="9" style="2"/>
    <col min="15372" max="15372" width="8" style="2" bestFit="1" customWidth="1"/>
    <col min="15373" max="15379" width="11.125" style="2" bestFit="1" customWidth="1"/>
    <col min="15380" max="15380" width="9.625" style="2" bestFit="1" customWidth="1"/>
    <col min="15381" max="15605" width="9" style="2"/>
    <col min="15606" max="15606" width="2.375" style="2" customWidth="1"/>
    <col min="15607" max="15607" width="13.25" style="2" bestFit="1" customWidth="1"/>
    <col min="15608" max="15609" width="11.125" style="2" bestFit="1" customWidth="1"/>
    <col min="15610" max="15610" width="13.25" style="2" bestFit="1" customWidth="1"/>
    <col min="15611" max="15611" width="11.125" style="2" bestFit="1" customWidth="1"/>
    <col min="15612" max="15612" width="9" style="2"/>
    <col min="15613" max="15613" width="11.125" style="2" bestFit="1" customWidth="1"/>
    <col min="15614" max="15614" width="9" style="2"/>
    <col min="15615" max="15626" width="11.125" style="2" bestFit="1" customWidth="1"/>
    <col min="15627" max="15627" width="9" style="2"/>
    <col min="15628" max="15628" width="8" style="2" bestFit="1" customWidth="1"/>
    <col min="15629" max="15635" width="11.125" style="2" bestFit="1" customWidth="1"/>
    <col min="15636" max="15636" width="9.625" style="2" bestFit="1" customWidth="1"/>
    <col min="15637" max="15861" width="9" style="2"/>
    <col min="15862" max="15862" width="2.375" style="2" customWidth="1"/>
    <col min="15863" max="15863" width="13.25" style="2" bestFit="1" customWidth="1"/>
    <col min="15864" max="15865" width="11.125" style="2" bestFit="1" customWidth="1"/>
    <col min="15866" max="15866" width="13.25" style="2" bestFit="1" customWidth="1"/>
    <col min="15867" max="15867" width="11.125" style="2" bestFit="1" customWidth="1"/>
    <col min="15868" max="15868" width="9" style="2"/>
    <col min="15869" max="15869" width="11.125" style="2" bestFit="1" customWidth="1"/>
    <col min="15870" max="15870" width="9" style="2"/>
    <col min="15871" max="15882" width="11.125" style="2" bestFit="1" customWidth="1"/>
    <col min="15883" max="15883" width="9" style="2"/>
    <col min="15884" max="15884" width="8" style="2" bestFit="1" customWidth="1"/>
    <col min="15885" max="15891" width="11.125" style="2" bestFit="1" customWidth="1"/>
    <col min="15892" max="15892" width="9.625" style="2" bestFit="1" customWidth="1"/>
    <col min="15893" max="16117" width="9" style="2"/>
    <col min="16118" max="16118" width="2.375" style="2" customWidth="1"/>
    <col min="16119" max="16119" width="13.25" style="2" bestFit="1" customWidth="1"/>
    <col min="16120" max="16121" width="11.125" style="2" bestFit="1" customWidth="1"/>
    <col min="16122" max="16122" width="13.25" style="2" bestFit="1" customWidth="1"/>
    <col min="16123" max="16123" width="11.125" style="2" bestFit="1" customWidth="1"/>
    <col min="16124" max="16124" width="9" style="2"/>
    <col min="16125" max="16125" width="11.125" style="2" bestFit="1" customWidth="1"/>
    <col min="16126" max="16126" width="9" style="2"/>
    <col min="16127" max="16138" width="11.125" style="2" bestFit="1" customWidth="1"/>
    <col min="16139" max="16139" width="9" style="2"/>
    <col min="16140" max="16140" width="8" style="2" bestFit="1" customWidth="1"/>
    <col min="16141" max="16147" width="11.125" style="2" bestFit="1" customWidth="1"/>
    <col min="16148" max="16148" width="9.625" style="2" bestFit="1" customWidth="1"/>
    <col min="16149" max="16384" width="9" style="2"/>
  </cols>
  <sheetData>
    <row r="1" spans="1:21">
      <c r="A1" s="1" t="s">
        <v>0</v>
      </c>
    </row>
    <row r="2" spans="1:21" ht="19.5" thickBot="1">
      <c r="A2" s="1" t="s">
        <v>118</v>
      </c>
    </row>
    <row r="3" spans="1:21">
      <c r="B3" s="3"/>
      <c r="C3" s="9" t="s">
        <v>2</v>
      </c>
      <c r="D3" s="10" t="s">
        <v>3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18</v>
      </c>
      <c r="Q3" s="10" t="s">
        <v>19</v>
      </c>
      <c r="R3" s="10" t="s">
        <v>20</v>
      </c>
      <c r="S3" s="10" t="s">
        <v>21</v>
      </c>
      <c r="T3" s="47" t="s">
        <v>22</v>
      </c>
      <c r="U3" s="59" t="s">
        <v>119</v>
      </c>
    </row>
    <row r="4" spans="1:21" ht="19.5" thickBot="1">
      <c r="A4" s="46"/>
      <c r="B4" s="28" t="s">
        <v>30</v>
      </c>
      <c r="C4" s="29" t="s">
        <v>31</v>
      </c>
      <c r="D4" s="30" t="s">
        <v>32</v>
      </c>
      <c r="E4" s="30" t="s">
        <v>35</v>
      </c>
      <c r="F4" s="30" t="s">
        <v>36</v>
      </c>
      <c r="G4" s="30" t="s">
        <v>37</v>
      </c>
      <c r="H4" s="30" t="s">
        <v>38</v>
      </c>
      <c r="I4" s="30" t="s">
        <v>39</v>
      </c>
      <c r="J4" s="30" t="s">
        <v>40</v>
      </c>
      <c r="K4" s="30" t="s">
        <v>41</v>
      </c>
      <c r="L4" s="30" t="s">
        <v>42</v>
      </c>
      <c r="M4" s="30" t="s">
        <v>43</v>
      </c>
      <c r="N4" s="30" t="s">
        <v>44</v>
      </c>
      <c r="O4" s="30" t="s">
        <v>45</v>
      </c>
      <c r="P4" s="30" t="s">
        <v>47</v>
      </c>
      <c r="Q4" s="30" t="s">
        <v>48</v>
      </c>
      <c r="R4" s="30" t="s">
        <v>49</v>
      </c>
      <c r="S4" s="30" t="s">
        <v>50</v>
      </c>
      <c r="T4" s="48" t="s">
        <v>51</v>
      </c>
      <c r="U4" s="61" t="s">
        <v>120</v>
      </c>
    </row>
    <row r="5" spans="1:21">
      <c r="A5" s="1" t="s">
        <v>1</v>
      </c>
      <c r="B5" s="24" t="s">
        <v>60</v>
      </c>
      <c r="C5" s="25">
        <v>20</v>
      </c>
      <c r="D5" s="26">
        <v>20</v>
      </c>
      <c r="E5" s="26">
        <v>20</v>
      </c>
      <c r="F5" s="26">
        <v>21</v>
      </c>
      <c r="G5" s="26">
        <v>20</v>
      </c>
      <c r="H5" s="26">
        <v>19</v>
      </c>
      <c r="I5" s="26">
        <v>20</v>
      </c>
      <c r="J5" s="26">
        <v>18</v>
      </c>
      <c r="K5" s="26">
        <v>19</v>
      </c>
      <c r="L5" s="26">
        <v>20</v>
      </c>
      <c r="M5" s="26">
        <v>20</v>
      </c>
      <c r="N5" s="26">
        <v>19</v>
      </c>
      <c r="O5" s="26">
        <v>21</v>
      </c>
      <c r="P5" s="26">
        <v>21</v>
      </c>
      <c r="Q5" s="26">
        <v>15</v>
      </c>
      <c r="R5" s="26">
        <v>20</v>
      </c>
      <c r="S5" s="26">
        <v>20</v>
      </c>
      <c r="T5" s="49">
        <v>8</v>
      </c>
      <c r="U5" s="63">
        <f>SUM(C5:T5)</f>
        <v>341</v>
      </c>
    </row>
    <row r="6" spans="1:21">
      <c r="A6" s="1" t="s">
        <v>1</v>
      </c>
      <c r="B6" s="5" t="s">
        <v>61</v>
      </c>
      <c r="C6" s="12">
        <v>3</v>
      </c>
      <c r="D6" s="13">
        <v>1</v>
      </c>
      <c r="E6" s="13">
        <v>2</v>
      </c>
      <c r="F6" s="13">
        <v>2</v>
      </c>
      <c r="G6" s="13">
        <v>1</v>
      </c>
      <c r="H6" s="13">
        <v>2</v>
      </c>
      <c r="I6" s="13">
        <v>4</v>
      </c>
      <c r="J6" s="13">
        <v>2</v>
      </c>
      <c r="K6" s="13">
        <v>1</v>
      </c>
      <c r="L6" s="13">
        <v>3</v>
      </c>
      <c r="M6" s="13">
        <v>3</v>
      </c>
      <c r="N6" s="13">
        <v>3</v>
      </c>
      <c r="O6" s="13">
        <v>1</v>
      </c>
      <c r="P6" s="13">
        <v>3</v>
      </c>
      <c r="Q6" s="13">
        <v>2</v>
      </c>
      <c r="R6" s="13">
        <v>1</v>
      </c>
      <c r="S6" s="13">
        <v>0</v>
      </c>
      <c r="T6" s="50">
        <v>0</v>
      </c>
      <c r="U6" s="63">
        <f t="shared" ref="U6:U12" si="0">SUM(C6:T6)</f>
        <v>34</v>
      </c>
    </row>
    <row r="7" spans="1:21">
      <c r="A7" s="1" t="s">
        <v>1</v>
      </c>
      <c r="B7" s="5" t="s">
        <v>62</v>
      </c>
      <c r="C7" s="12">
        <v>3</v>
      </c>
      <c r="D7" s="13">
        <v>4</v>
      </c>
      <c r="E7" s="13">
        <v>3</v>
      </c>
      <c r="F7" s="13">
        <v>2</v>
      </c>
      <c r="G7" s="13">
        <v>4</v>
      </c>
      <c r="H7" s="13">
        <v>4</v>
      </c>
      <c r="I7" s="13">
        <v>2</v>
      </c>
      <c r="J7" s="13">
        <v>2</v>
      </c>
      <c r="K7" s="13">
        <v>4</v>
      </c>
      <c r="L7" s="13">
        <v>3</v>
      </c>
      <c r="M7" s="13">
        <v>3</v>
      </c>
      <c r="N7" s="13">
        <v>2</v>
      </c>
      <c r="O7" s="13">
        <v>3</v>
      </c>
      <c r="P7" s="13">
        <v>1</v>
      </c>
      <c r="Q7" s="13">
        <v>2</v>
      </c>
      <c r="R7" s="13">
        <v>2</v>
      </c>
      <c r="S7" s="13">
        <v>3</v>
      </c>
      <c r="T7" s="50">
        <v>0</v>
      </c>
      <c r="U7" s="63">
        <f t="shared" si="0"/>
        <v>47</v>
      </c>
    </row>
    <row r="8" spans="1:21">
      <c r="A8" s="1" t="s">
        <v>1</v>
      </c>
      <c r="B8" s="5" t="s">
        <v>63</v>
      </c>
      <c r="C8" s="12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1</v>
      </c>
      <c r="N8" s="13">
        <v>1</v>
      </c>
      <c r="O8" s="13">
        <v>0</v>
      </c>
      <c r="P8" s="13">
        <v>0</v>
      </c>
      <c r="Q8" s="13">
        <v>1</v>
      </c>
      <c r="R8" s="13">
        <v>1</v>
      </c>
      <c r="S8" s="13">
        <v>0</v>
      </c>
      <c r="T8" s="50">
        <v>0</v>
      </c>
      <c r="U8" s="63">
        <f t="shared" si="0"/>
        <v>4</v>
      </c>
    </row>
    <row r="9" spans="1:21">
      <c r="A9" s="1" t="s">
        <v>1</v>
      </c>
      <c r="B9" s="5" t="s">
        <v>64</v>
      </c>
      <c r="C9" s="12">
        <v>1</v>
      </c>
      <c r="D9" s="13">
        <v>1</v>
      </c>
      <c r="E9" s="13">
        <v>1</v>
      </c>
      <c r="F9" s="13">
        <v>0</v>
      </c>
      <c r="G9" s="13">
        <v>1</v>
      </c>
      <c r="H9" s="13">
        <v>2</v>
      </c>
      <c r="I9" s="13">
        <v>1</v>
      </c>
      <c r="J9" s="13">
        <v>3</v>
      </c>
      <c r="K9" s="13">
        <v>0</v>
      </c>
      <c r="L9" s="13">
        <v>1</v>
      </c>
      <c r="M9" s="13">
        <v>0</v>
      </c>
      <c r="N9" s="13">
        <v>1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50">
        <v>0</v>
      </c>
      <c r="U9" s="63">
        <f t="shared" si="0"/>
        <v>12</v>
      </c>
    </row>
    <row r="10" spans="1:21">
      <c r="A10" s="1" t="s">
        <v>1</v>
      </c>
      <c r="B10" s="5" t="s">
        <v>65</v>
      </c>
      <c r="C10" s="12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2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50">
        <v>0</v>
      </c>
      <c r="U10" s="63">
        <f t="shared" si="0"/>
        <v>2</v>
      </c>
    </row>
    <row r="11" spans="1:21">
      <c r="A11" s="1" t="s">
        <v>1</v>
      </c>
      <c r="B11" s="5" t="s">
        <v>66</v>
      </c>
      <c r="C11" s="12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5</v>
      </c>
      <c r="R11" s="13">
        <v>0</v>
      </c>
      <c r="S11" s="13">
        <v>1</v>
      </c>
      <c r="T11" s="50">
        <v>13</v>
      </c>
      <c r="U11" s="63">
        <f t="shared" si="0"/>
        <v>19</v>
      </c>
    </row>
    <row r="12" spans="1:21">
      <c r="A12" s="1" t="s">
        <v>1</v>
      </c>
      <c r="B12" s="5" t="s">
        <v>67</v>
      </c>
      <c r="C12" s="12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5</v>
      </c>
      <c r="R12" s="13">
        <v>0</v>
      </c>
      <c r="S12" s="13">
        <v>0</v>
      </c>
      <c r="T12" s="50">
        <v>0</v>
      </c>
      <c r="U12" s="63">
        <f t="shared" si="0"/>
        <v>5</v>
      </c>
    </row>
    <row r="13" spans="1:21">
      <c r="A13" s="1" t="s">
        <v>1</v>
      </c>
      <c r="B13" s="5" t="s">
        <v>68</v>
      </c>
      <c r="C13" s="15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51">
        <v>0</v>
      </c>
      <c r="U13" s="65"/>
    </row>
    <row r="14" spans="1:21">
      <c r="A14" s="1" t="s">
        <v>1</v>
      </c>
      <c r="B14" s="5" t="s">
        <v>69</v>
      </c>
      <c r="C14" s="15">
        <v>1.2916666666666667</v>
      </c>
      <c r="D14" s="16">
        <v>2.0833333333333335</v>
      </c>
      <c r="E14" s="16">
        <v>0.25</v>
      </c>
      <c r="F14" s="16">
        <v>2.4583333333333335</v>
      </c>
      <c r="G14" s="16">
        <v>1.9166666666666665</v>
      </c>
      <c r="H14" s="16">
        <v>2.4583333333333335</v>
      </c>
      <c r="I14" s="16">
        <v>2.7083333333333335</v>
      </c>
      <c r="J14" s="16">
        <v>1.875</v>
      </c>
      <c r="K14" s="16">
        <v>2.2083333333333335</v>
      </c>
      <c r="L14" s="16">
        <v>2.4583333333333335</v>
      </c>
      <c r="M14" s="16">
        <v>1.9166666666666665</v>
      </c>
      <c r="N14" s="16">
        <v>1.7083333333333335</v>
      </c>
      <c r="O14" s="16">
        <v>1.75</v>
      </c>
      <c r="P14" s="16">
        <v>3.375</v>
      </c>
      <c r="Q14" s="16">
        <v>0.95833333333333337</v>
      </c>
      <c r="R14" s="16">
        <v>1.5</v>
      </c>
      <c r="S14" s="16">
        <v>2.1666666666666665</v>
      </c>
      <c r="T14" s="51">
        <v>0.58333333333333337</v>
      </c>
      <c r="U14" s="65">
        <f>SUM(C14:T14)</f>
        <v>33.666666666666664</v>
      </c>
    </row>
    <row r="15" spans="1:21">
      <c r="A15" s="1" t="s">
        <v>1</v>
      </c>
      <c r="B15" s="5" t="s">
        <v>70</v>
      </c>
      <c r="C15" s="15">
        <v>0.70833333333333337</v>
      </c>
      <c r="D15" s="16">
        <v>0.33333333333333331</v>
      </c>
      <c r="E15" s="16">
        <v>0.66666666666666663</v>
      </c>
      <c r="F15" s="16">
        <v>0.83333333333333337</v>
      </c>
      <c r="G15" s="16">
        <v>0.16666666666666666</v>
      </c>
      <c r="H15" s="16">
        <v>0.95833333333333337</v>
      </c>
      <c r="I15" s="16">
        <v>1.2083333333333333</v>
      </c>
      <c r="J15" s="16">
        <v>0.70833333333333337</v>
      </c>
      <c r="K15" s="16">
        <v>0.29166666666666669</v>
      </c>
      <c r="L15" s="16">
        <v>1</v>
      </c>
      <c r="M15" s="16">
        <v>1.0416666666666667</v>
      </c>
      <c r="N15" s="16">
        <v>1.125</v>
      </c>
      <c r="O15" s="16">
        <v>0.29166666666666669</v>
      </c>
      <c r="P15" s="16">
        <v>1</v>
      </c>
      <c r="Q15" s="16">
        <v>0.375</v>
      </c>
      <c r="R15" s="16">
        <v>0.5</v>
      </c>
      <c r="S15" s="16">
        <v>0</v>
      </c>
      <c r="T15" s="51">
        <v>0</v>
      </c>
      <c r="U15" s="65">
        <f t="shared" ref="U15:U18" si="1">SUM(C15:T15)</f>
        <v>11.208333333333334</v>
      </c>
    </row>
    <row r="16" spans="1:21">
      <c r="A16" s="1" t="s">
        <v>1</v>
      </c>
      <c r="B16" s="5" t="s">
        <v>71</v>
      </c>
      <c r="C16" s="15">
        <v>0.70833333333333337</v>
      </c>
      <c r="D16" s="16">
        <v>1.1666666666666667</v>
      </c>
      <c r="E16" s="16">
        <v>0.875</v>
      </c>
      <c r="F16" s="16">
        <v>0.875</v>
      </c>
      <c r="G16" s="16">
        <v>1.1666666666666667</v>
      </c>
      <c r="H16" s="16">
        <v>1.625</v>
      </c>
      <c r="I16" s="16">
        <v>0.79166666666666663</v>
      </c>
      <c r="J16" s="16">
        <v>0.66666666666666663</v>
      </c>
      <c r="K16" s="16">
        <v>1.2083333333333333</v>
      </c>
      <c r="L16" s="16">
        <v>1.125</v>
      </c>
      <c r="M16" s="16">
        <v>1.3333333333333333</v>
      </c>
      <c r="N16" s="16">
        <v>0.54166666666666663</v>
      </c>
      <c r="O16" s="16">
        <v>0.95833333333333337</v>
      </c>
      <c r="P16" s="16">
        <v>0.54166666666666663</v>
      </c>
      <c r="Q16" s="16">
        <v>0.375</v>
      </c>
      <c r="R16" s="16">
        <v>0.45833333333333331</v>
      </c>
      <c r="S16" s="16">
        <v>0.91666666666666663</v>
      </c>
      <c r="T16" s="51">
        <v>0</v>
      </c>
      <c r="U16" s="65">
        <f t="shared" si="1"/>
        <v>15.333333333333334</v>
      </c>
    </row>
    <row r="17" spans="1:21">
      <c r="A17" s="1" t="s">
        <v>1</v>
      </c>
      <c r="B17" s="5" t="s">
        <v>72</v>
      </c>
      <c r="C17" s="15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0.41666666666666669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51">
        <v>0</v>
      </c>
      <c r="U17" s="65">
        <f t="shared" si="1"/>
        <v>0.41666666666666669</v>
      </c>
    </row>
    <row r="18" spans="1:21">
      <c r="A18" s="1" t="s">
        <v>1</v>
      </c>
      <c r="B18" s="5" t="s">
        <v>73</v>
      </c>
      <c r="C18" s="15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0.375</v>
      </c>
      <c r="O18" s="16">
        <v>0</v>
      </c>
      <c r="P18" s="16">
        <v>0</v>
      </c>
      <c r="Q18" s="16">
        <v>0.20833333333333334</v>
      </c>
      <c r="R18" s="16">
        <v>0.5</v>
      </c>
      <c r="S18" s="16">
        <v>0</v>
      </c>
      <c r="T18" s="51">
        <v>0</v>
      </c>
      <c r="U18" s="65">
        <f t="shared" si="1"/>
        <v>1.0833333333333335</v>
      </c>
    </row>
    <row r="19" spans="1:21">
      <c r="A19" s="1" t="s">
        <v>1</v>
      </c>
      <c r="B19" s="5" t="s">
        <v>74</v>
      </c>
      <c r="C19" s="15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51">
        <v>0</v>
      </c>
      <c r="U19" s="65"/>
    </row>
    <row r="20" spans="1:21">
      <c r="A20" s="1" t="s">
        <v>1</v>
      </c>
      <c r="B20" s="5" t="s">
        <v>75</v>
      </c>
      <c r="C20" s="15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51">
        <v>0</v>
      </c>
      <c r="U20" s="65"/>
    </row>
    <row r="21" spans="1:21">
      <c r="A21" s="1" t="s">
        <v>1</v>
      </c>
      <c r="B21" s="5" t="s">
        <v>76</v>
      </c>
      <c r="C21" s="15">
        <v>0.45833333333333331</v>
      </c>
      <c r="D21" s="16">
        <v>0.33333333333333331</v>
      </c>
      <c r="E21" s="16">
        <v>0</v>
      </c>
      <c r="F21" s="16">
        <v>0.79166666666666663</v>
      </c>
      <c r="G21" s="16">
        <v>1</v>
      </c>
      <c r="H21" s="16">
        <v>1.125</v>
      </c>
      <c r="I21" s="16">
        <v>0.5</v>
      </c>
      <c r="J21" s="16">
        <v>0.20833333333333334</v>
      </c>
      <c r="K21" s="16">
        <v>0.29166666666666669</v>
      </c>
      <c r="L21" s="16">
        <v>0.33333333333333331</v>
      </c>
      <c r="M21" s="16">
        <v>0.25</v>
      </c>
      <c r="N21" s="16">
        <v>0.75</v>
      </c>
      <c r="O21" s="16">
        <v>0.20833333333333334</v>
      </c>
      <c r="P21" s="16">
        <v>1.7083333333333335</v>
      </c>
      <c r="Q21" s="16">
        <v>0.45833333333333331</v>
      </c>
      <c r="R21" s="16">
        <v>1.6666666666666665</v>
      </c>
      <c r="S21" s="16">
        <v>1.0416666666666667</v>
      </c>
      <c r="T21" s="51">
        <v>8.3333333333333329E-2</v>
      </c>
      <c r="U21" s="65">
        <f>SUM(C21:T21)</f>
        <v>11.208333333333332</v>
      </c>
    </row>
    <row r="22" spans="1:21" ht="19.5" thickBot="1">
      <c r="A22" s="1" t="s">
        <v>1</v>
      </c>
      <c r="B22" s="6" t="s">
        <v>77</v>
      </c>
      <c r="C22" s="35">
        <v>14</v>
      </c>
      <c r="D22" s="36">
        <v>27</v>
      </c>
      <c r="E22" s="36">
        <v>27</v>
      </c>
      <c r="F22" s="36">
        <v>28</v>
      </c>
      <c r="G22" s="36">
        <v>24</v>
      </c>
      <c r="H22" s="36">
        <v>27</v>
      </c>
      <c r="I22" s="36">
        <v>26</v>
      </c>
      <c r="J22" s="36">
        <v>13</v>
      </c>
      <c r="K22" s="36">
        <v>27</v>
      </c>
      <c r="L22" s="36">
        <v>32</v>
      </c>
      <c r="M22" s="36">
        <v>0</v>
      </c>
      <c r="N22" s="36">
        <v>9</v>
      </c>
      <c r="O22" s="36">
        <v>24</v>
      </c>
      <c r="P22" s="36">
        <v>14</v>
      </c>
      <c r="Q22" s="36">
        <v>11</v>
      </c>
      <c r="R22" s="36">
        <v>0</v>
      </c>
      <c r="S22" s="36">
        <v>0</v>
      </c>
      <c r="T22" s="52">
        <v>0</v>
      </c>
      <c r="U22" s="66"/>
    </row>
    <row r="23" spans="1:21">
      <c r="A23" s="1" t="s">
        <v>1</v>
      </c>
      <c r="B23" s="24" t="s">
        <v>78</v>
      </c>
      <c r="C23" s="32">
        <v>177000</v>
      </c>
      <c r="D23" s="33">
        <v>187000</v>
      </c>
      <c r="E23" s="33">
        <v>187000</v>
      </c>
      <c r="F23" s="33">
        <v>192000</v>
      </c>
      <c r="G23" s="33">
        <v>187000</v>
      </c>
      <c r="H23" s="33">
        <v>192000</v>
      </c>
      <c r="I23" s="33">
        <v>177000</v>
      </c>
      <c r="J23" s="33">
        <v>177000</v>
      </c>
      <c r="K23" s="33">
        <v>177000</v>
      </c>
      <c r="L23" s="33">
        <v>187000</v>
      </c>
      <c r="M23" s="33">
        <v>177000</v>
      </c>
      <c r="N23" s="33">
        <v>177000</v>
      </c>
      <c r="O23" s="33">
        <v>170000</v>
      </c>
      <c r="P23" s="33">
        <v>170000</v>
      </c>
      <c r="Q23" s="33">
        <v>175000</v>
      </c>
      <c r="R23" s="33">
        <v>170000</v>
      </c>
      <c r="S23" s="33">
        <v>170000</v>
      </c>
      <c r="T23" s="53">
        <v>170000</v>
      </c>
      <c r="U23" s="67">
        <f>SUM(C23:T23)</f>
        <v>3219000</v>
      </c>
    </row>
    <row r="24" spans="1:21">
      <c r="A24" s="1" t="s">
        <v>1</v>
      </c>
      <c r="B24" s="5" t="s">
        <v>79</v>
      </c>
      <c r="C24" s="18">
        <v>0</v>
      </c>
      <c r="D24" s="19">
        <v>0</v>
      </c>
      <c r="E24" s="19">
        <v>20000</v>
      </c>
      <c r="F24" s="19">
        <v>5000</v>
      </c>
      <c r="G24" s="19">
        <v>5000</v>
      </c>
      <c r="H24" s="19">
        <v>5000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54">
        <v>0</v>
      </c>
      <c r="U24" s="68">
        <f t="shared" ref="U24:U62" si="2">SUM(C24:T24)</f>
        <v>35000</v>
      </c>
    </row>
    <row r="25" spans="1:21">
      <c r="A25" s="1" t="s">
        <v>1</v>
      </c>
      <c r="B25" s="5" t="s">
        <v>80</v>
      </c>
      <c r="C25" s="18">
        <v>0</v>
      </c>
      <c r="D25" s="19">
        <v>0</v>
      </c>
      <c r="E25" s="19">
        <v>3000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54">
        <v>0</v>
      </c>
      <c r="U25" s="68">
        <f t="shared" si="2"/>
        <v>3000</v>
      </c>
    </row>
    <row r="26" spans="1:21">
      <c r="A26" s="1" t="s">
        <v>1</v>
      </c>
      <c r="B26" s="5" t="s">
        <v>81</v>
      </c>
      <c r="C26" s="18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54">
        <v>0</v>
      </c>
      <c r="U26" s="68">
        <f t="shared" si="2"/>
        <v>0</v>
      </c>
    </row>
    <row r="27" spans="1:21">
      <c r="A27" s="1" t="s">
        <v>1</v>
      </c>
      <c r="B27" s="5" t="s">
        <v>82</v>
      </c>
      <c r="C27" s="18">
        <v>0</v>
      </c>
      <c r="D27" s="19">
        <v>0</v>
      </c>
      <c r="E27" s="19">
        <v>78413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5150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54">
        <v>0</v>
      </c>
      <c r="U27" s="68">
        <f t="shared" si="2"/>
        <v>83563</v>
      </c>
    </row>
    <row r="28" spans="1:21">
      <c r="A28" s="1" t="s">
        <v>1</v>
      </c>
      <c r="B28" s="5" t="s">
        <v>83</v>
      </c>
      <c r="C28" s="18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54">
        <v>0</v>
      </c>
      <c r="U28" s="68">
        <f t="shared" si="2"/>
        <v>0</v>
      </c>
    </row>
    <row r="29" spans="1:21">
      <c r="A29" s="1" t="s">
        <v>1</v>
      </c>
      <c r="B29" s="5" t="s">
        <v>84</v>
      </c>
      <c r="C29" s="18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54">
        <v>0</v>
      </c>
      <c r="U29" s="68">
        <f t="shared" si="2"/>
        <v>0</v>
      </c>
    </row>
    <row r="30" spans="1:21">
      <c r="A30" s="1" t="s">
        <v>1</v>
      </c>
      <c r="B30" s="5" t="s">
        <v>85</v>
      </c>
      <c r="C30" s="18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54">
        <v>0</v>
      </c>
      <c r="U30" s="68">
        <f t="shared" si="2"/>
        <v>0</v>
      </c>
    </row>
    <row r="31" spans="1:21">
      <c r="A31" s="1" t="s">
        <v>1</v>
      </c>
      <c r="B31" s="5" t="s">
        <v>86</v>
      </c>
      <c r="C31" s="18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54">
        <v>0</v>
      </c>
      <c r="U31" s="68">
        <f t="shared" si="2"/>
        <v>0</v>
      </c>
    </row>
    <row r="32" spans="1:21">
      <c r="A32" s="1" t="s">
        <v>1</v>
      </c>
      <c r="B32" s="5" t="s">
        <v>87</v>
      </c>
      <c r="C32" s="18">
        <v>2000</v>
      </c>
      <c r="D32" s="19">
        <v>2000</v>
      </c>
      <c r="E32" s="19">
        <v>2000</v>
      </c>
      <c r="F32" s="19">
        <v>2000</v>
      </c>
      <c r="G32" s="19">
        <v>2000</v>
      </c>
      <c r="H32" s="19">
        <v>2000</v>
      </c>
      <c r="I32" s="19">
        <v>2000</v>
      </c>
      <c r="J32" s="19">
        <v>2000</v>
      </c>
      <c r="K32" s="19">
        <v>2000</v>
      </c>
      <c r="L32" s="19">
        <v>2000</v>
      </c>
      <c r="M32" s="19">
        <v>1000</v>
      </c>
      <c r="N32" s="19">
        <v>1000</v>
      </c>
      <c r="O32" s="19">
        <v>2000</v>
      </c>
      <c r="P32" s="19">
        <v>1000</v>
      </c>
      <c r="Q32" s="19">
        <v>2000</v>
      </c>
      <c r="R32" s="19">
        <v>0</v>
      </c>
      <c r="S32" s="19">
        <v>0</v>
      </c>
      <c r="T32" s="54">
        <v>0</v>
      </c>
      <c r="U32" s="68">
        <f t="shared" si="2"/>
        <v>27000</v>
      </c>
    </row>
    <row r="33" spans="1:21">
      <c r="A33" s="1" t="s">
        <v>1</v>
      </c>
      <c r="B33" s="5" t="s">
        <v>88</v>
      </c>
      <c r="C33" s="18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54">
        <v>0</v>
      </c>
      <c r="U33" s="68">
        <f t="shared" si="2"/>
        <v>0</v>
      </c>
    </row>
    <row r="34" spans="1:21">
      <c r="A34" s="1" t="s">
        <v>1</v>
      </c>
      <c r="B34" s="5" t="s">
        <v>89</v>
      </c>
      <c r="C34" s="18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54">
        <v>0</v>
      </c>
      <c r="U34" s="68">
        <f t="shared" si="2"/>
        <v>0</v>
      </c>
    </row>
    <row r="35" spans="1:21">
      <c r="A35" s="1" t="s">
        <v>1</v>
      </c>
      <c r="B35" s="5" t="s">
        <v>90</v>
      </c>
      <c r="C35" s="18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58">
        <v>-42340</v>
      </c>
      <c r="R35" s="58">
        <v>0</v>
      </c>
      <c r="S35" s="58">
        <v>-7319</v>
      </c>
      <c r="T35" s="73">
        <v>-104915</v>
      </c>
      <c r="U35" s="72">
        <f t="shared" si="2"/>
        <v>-154574</v>
      </c>
    </row>
    <row r="36" spans="1:21">
      <c r="A36" s="1" t="s">
        <v>1</v>
      </c>
      <c r="B36" s="5" t="s">
        <v>69</v>
      </c>
      <c r="C36" s="18">
        <v>41540</v>
      </c>
      <c r="D36" s="19">
        <v>70750</v>
      </c>
      <c r="E36" s="19">
        <v>9516</v>
      </c>
      <c r="F36" s="19">
        <v>87910</v>
      </c>
      <c r="G36" s="19">
        <v>66838</v>
      </c>
      <c r="H36" s="19">
        <v>87910</v>
      </c>
      <c r="I36" s="19">
        <v>87100</v>
      </c>
      <c r="J36" s="19">
        <v>60300</v>
      </c>
      <c r="K36" s="19">
        <v>71020</v>
      </c>
      <c r="L36" s="19">
        <v>83485</v>
      </c>
      <c r="M36" s="19">
        <v>61318</v>
      </c>
      <c r="N36" s="19">
        <v>54653</v>
      </c>
      <c r="O36" s="19">
        <v>54096</v>
      </c>
      <c r="P36" s="19">
        <v>103680</v>
      </c>
      <c r="Q36" s="19">
        <v>30475</v>
      </c>
      <c r="R36" s="19">
        <v>45828</v>
      </c>
      <c r="S36" s="19">
        <v>66196</v>
      </c>
      <c r="T36" s="54">
        <v>17822</v>
      </c>
      <c r="U36" s="68">
        <f t="shared" si="2"/>
        <v>1100437</v>
      </c>
    </row>
    <row r="37" spans="1:21">
      <c r="A37" s="1" t="s">
        <v>1</v>
      </c>
      <c r="B37" s="5" t="s">
        <v>91</v>
      </c>
      <c r="C37" s="18">
        <v>24599</v>
      </c>
      <c r="D37" s="19">
        <v>12224</v>
      </c>
      <c r="E37" s="19">
        <v>27408</v>
      </c>
      <c r="F37" s="19">
        <v>32180</v>
      </c>
      <c r="G37" s="19">
        <v>6276</v>
      </c>
      <c r="H37" s="19">
        <v>37007</v>
      </c>
      <c r="I37" s="19">
        <v>41963</v>
      </c>
      <c r="J37" s="19">
        <v>24599</v>
      </c>
      <c r="K37" s="19">
        <v>10129</v>
      </c>
      <c r="L37" s="19">
        <v>36672</v>
      </c>
      <c r="M37" s="19">
        <v>35975</v>
      </c>
      <c r="N37" s="19">
        <v>38853</v>
      </c>
      <c r="O37" s="19">
        <v>9737</v>
      </c>
      <c r="P37" s="19">
        <v>33168</v>
      </c>
      <c r="Q37" s="19">
        <v>12879</v>
      </c>
      <c r="R37" s="19">
        <v>16488</v>
      </c>
      <c r="S37" s="19">
        <v>0</v>
      </c>
      <c r="T37" s="54">
        <v>0</v>
      </c>
      <c r="U37" s="68">
        <f t="shared" si="2"/>
        <v>400157</v>
      </c>
    </row>
    <row r="38" spans="1:21">
      <c r="A38" s="1" t="s">
        <v>1</v>
      </c>
      <c r="B38" s="5" t="s">
        <v>92</v>
      </c>
      <c r="C38" s="18">
        <v>24599</v>
      </c>
      <c r="D38" s="19">
        <v>42784</v>
      </c>
      <c r="E38" s="19">
        <v>35973</v>
      </c>
      <c r="F38" s="19">
        <v>33789</v>
      </c>
      <c r="G38" s="19">
        <v>43932</v>
      </c>
      <c r="H38" s="19">
        <v>62751</v>
      </c>
      <c r="I38" s="19">
        <v>27493</v>
      </c>
      <c r="J38" s="19">
        <v>23152</v>
      </c>
      <c r="K38" s="19">
        <v>41963</v>
      </c>
      <c r="L38" s="19">
        <v>41256</v>
      </c>
      <c r="M38" s="19">
        <v>46048</v>
      </c>
      <c r="N38" s="19">
        <v>18707</v>
      </c>
      <c r="O38" s="19">
        <v>31993</v>
      </c>
      <c r="P38" s="19">
        <v>17966</v>
      </c>
      <c r="Q38" s="19">
        <v>12879</v>
      </c>
      <c r="R38" s="19">
        <v>15114</v>
      </c>
      <c r="S38" s="19">
        <v>30228</v>
      </c>
      <c r="T38" s="54">
        <v>0</v>
      </c>
      <c r="U38" s="68">
        <f t="shared" si="2"/>
        <v>550627</v>
      </c>
    </row>
    <row r="39" spans="1:21">
      <c r="A39" s="1" t="s">
        <v>1</v>
      </c>
      <c r="B39" s="5" t="s">
        <v>93</v>
      </c>
      <c r="C39" s="18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3730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54">
        <v>0</v>
      </c>
      <c r="U39" s="68">
        <f t="shared" si="2"/>
        <v>3730</v>
      </c>
    </row>
    <row r="40" spans="1:21">
      <c r="A40" s="1" t="s">
        <v>1</v>
      </c>
      <c r="B40" s="5" t="s">
        <v>94</v>
      </c>
      <c r="C40" s="18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3357</v>
      </c>
      <c r="O40" s="19">
        <v>0</v>
      </c>
      <c r="P40" s="19">
        <v>0</v>
      </c>
      <c r="Q40" s="19">
        <v>1855</v>
      </c>
      <c r="R40" s="19">
        <v>4272</v>
      </c>
      <c r="S40" s="19">
        <v>0</v>
      </c>
      <c r="T40" s="54">
        <v>0</v>
      </c>
      <c r="U40" s="68">
        <f t="shared" si="2"/>
        <v>9484</v>
      </c>
    </row>
    <row r="41" spans="1:21">
      <c r="A41" s="1" t="s">
        <v>1</v>
      </c>
      <c r="B41" s="5" t="s">
        <v>95</v>
      </c>
      <c r="C41" s="18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42340</v>
      </c>
      <c r="R41" s="19">
        <v>0</v>
      </c>
      <c r="S41" s="19">
        <v>0</v>
      </c>
      <c r="T41" s="54">
        <v>0</v>
      </c>
      <c r="U41" s="68">
        <f t="shared" si="2"/>
        <v>42340</v>
      </c>
    </row>
    <row r="42" spans="1:21">
      <c r="A42" s="1" t="s">
        <v>1</v>
      </c>
      <c r="B42" s="5" t="s">
        <v>74</v>
      </c>
      <c r="C42" s="18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54">
        <v>0</v>
      </c>
      <c r="U42" s="68">
        <f t="shared" si="2"/>
        <v>0</v>
      </c>
    </row>
    <row r="43" spans="1:21" ht="19.5" thickBot="1">
      <c r="A43" s="1" t="s">
        <v>1</v>
      </c>
      <c r="B43" s="38" t="s">
        <v>76</v>
      </c>
      <c r="C43" s="39">
        <v>2948</v>
      </c>
      <c r="D43" s="40">
        <v>2264</v>
      </c>
      <c r="E43" s="40">
        <v>0</v>
      </c>
      <c r="F43" s="40">
        <v>5662</v>
      </c>
      <c r="G43" s="40">
        <v>6984</v>
      </c>
      <c r="H43" s="40">
        <v>8046</v>
      </c>
      <c r="I43" s="40">
        <v>3216</v>
      </c>
      <c r="J43" s="40">
        <v>1340</v>
      </c>
      <c r="K43" s="40">
        <v>1876</v>
      </c>
      <c r="L43" s="40">
        <v>2264</v>
      </c>
      <c r="M43" s="40">
        <v>1602</v>
      </c>
      <c r="N43" s="40">
        <v>4806</v>
      </c>
      <c r="O43" s="40">
        <v>1290</v>
      </c>
      <c r="P43" s="40">
        <v>10496</v>
      </c>
      <c r="Q43" s="40">
        <v>2915</v>
      </c>
      <c r="R43" s="40">
        <v>10200</v>
      </c>
      <c r="S43" s="40">
        <v>6375</v>
      </c>
      <c r="T43" s="55">
        <v>510</v>
      </c>
      <c r="U43" s="69">
        <f t="shared" si="2"/>
        <v>72794</v>
      </c>
    </row>
    <row r="44" spans="1:21" ht="19.5" thickBot="1">
      <c r="A44" s="1" t="s">
        <v>1</v>
      </c>
      <c r="B44" s="42" t="s">
        <v>96</v>
      </c>
      <c r="C44" s="43">
        <v>272686</v>
      </c>
      <c r="D44" s="44">
        <v>317022</v>
      </c>
      <c r="E44" s="44">
        <v>363310</v>
      </c>
      <c r="F44" s="44">
        <v>358541</v>
      </c>
      <c r="G44" s="44">
        <v>318030</v>
      </c>
      <c r="H44" s="44">
        <v>394714</v>
      </c>
      <c r="I44" s="44">
        <v>338772</v>
      </c>
      <c r="J44" s="44">
        <v>288391</v>
      </c>
      <c r="K44" s="44">
        <v>303988</v>
      </c>
      <c r="L44" s="44">
        <v>357827</v>
      </c>
      <c r="M44" s="44">
        <v>326673</v>
      </c>
      <c r="N44" s="44">
        <v>298376</v>
      </c>
      <c r="O44" s="44">
        <v>269116</v>
      </c>
      <c r="P44" s="44">
        <v>336310</v>
      </c>
      <c r="Q44" s="44">
        <v>238003</v>
      </c>
      <c r="R44" s="44">
        <v>261902</v>
      </c>
      <c r="S44" s="44">
        <v>265480</v>
      </c>
      <c r="T44" s="56">
        <v>83417</v>
      </c>
      <c r="U44" s="70">
        <f t="shared" si="2"/>
        <v>5392558</v>
      </c>
    </row>
    <row r="45" spans="1:21">
      <c r="A45" s="1" t="s">
        <v>1</v>
      </c>
      <c r="B45" s="24" t="s">
        <v>97</v>
      </c>
      <c r="C45" s="32">
        <v>13432</v>
      </c>
      <c r="D45" s="33">
        <v>3229</v>
      </c>
      <c r="E45" s="33">
        <v>5812</v>
      </c>
      <c r="F45" s="33">
        <v>3229</v>
      </c>
      <c r="G45" s="33">
        <v>14853</v>
      </c>
      <c r="H45" s="33">
        <v>2584</v>
      </c>
      <c r="I45" s="33">
        <v>2687</v>
      </c>
      <c r="J45" s="33">
        <v>1137</v>
      </c>
      <c r="K45" s="33">
        <v>3100</v>
      </c>
      <c r="L45" s="33">
        <v>5373</v>
      </c>
      <c r="M45" s="33">
        <v>6716</v>
      </c>
      <c r="N45" s="33">
        <v>4340</v>
      </c>
      <c r="O45" s="33">
        <v>7750</v>
      </c>
      <c r="P45" s="33">
        <v>6458</v>
      </c>
      <c r="Q45" s="33">
        <v>8344</v>
      </c>
      <c r="R45" s="33">
        <v>7130</v>
      </c>
      <c r="S45" s="33">
        <v>8912</v>
      </c>
      <c r="T45" s="53">
        <v>2687</v>
      </c>
      <c r="U45" s="67">
        <f t="shared" si="2"/>
        <v>107773</v>
      </c>
    </row>
    <row r="46" spans="1:21" ht="19.5" thickBot="1">
      <c r="A46" s="1" t="s">
        <v>1</v>
      </c>
      <c r="B46" s="38" t="s">
        <v>98</v>
      </c>
      <c r="C46" s="39">
        <v>0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55">
        <v>0</v>
      </c>
      <c r="U46" s="69">
        <f t="shared" si="2"/>
        <v>0</v>
      </c>
    </row>
    <row r="47" spans="1:21" ht="19.5" thickBot="1">
      <c r="A47" s="1" t="s">
        <v>1</v>
      </c>
      <c r="B47" s="42" t="s">
        <v>99</v>
      </c>
      <c r="C47" s="43">
        <v>13432</v>
      </c>
      <c r="D47" s="44">
        <v>3229</v>
      </c>
      <c r="E47" s="44">
        <v>5812</v>
      </c>
      <c r="F47" s="44">
        <v>3229</v>
      </c>
      <c r="G47" s="44">
        <v>14853</v>
      </c>
      <c r="H47" s="44">
        <v>2584</v>
      </c>
      <c r="I47" s="44">
        <v>2687</v>
      </c>
      <c r="J47" s="44">
        <v>1137</v>
      </c>
      <c r="K47" s="44">
        <v>3100</v>
      </c>
      <c r="L47" s="44">
        <v>5373</v>
      </c>
      <c r="M47" s="44">
        <v>6716</v>
      </c>
      <c r="N47" s="44">
        <v>4340</v>
      </c>
      <c r="O47" s="44">
        <v>7750</v>
      </c>
      <c r="P47" s="44">
        <v>6458</v>
      </c>
      <c r="Q47" s="44">
        <v>8344</v>
      </c>
      <c r="R47" s="44">
        <v>7130</v>
      </c>
      <c r="S47" s="44">
        <v>8912</v>
      </c>
      <c r="T47" s="56">
        <v>2687</v>
      </c>
      <c r="U47" s="70">
        <f t="shared" si="2"/>
        <v>107773</v>
      </c>
    </row>
    <row r="48" spans="1:21" ht="19.5" thickBot="1">
      <c r="A48" s="1" t="s">
        <v>1</v>
      </c>
      <c r="B48" s="42" t="s">
        <v>100</v>
      </c>
      <c r="C48" s="43">
        <v>286118</v>
      </c>
      <c r="D48" s="44">
        <v>320251</v>
      </c>
      <c r="E48" s="44">
        <v>369122</v>
      </c>
      <c r="F48" s="44">
        <v>361770</v>
      </c>
      <c r="G48" s="44">
        <v>332883</v>
      </c>
      <c r="H48" s="44">
        <v>397298</v>
      </c>
      <c r="I48" s="44">
        <v>341459</v>
      </c>
      <c r="J48" s="44">
        <v>289528</v>
      </c>
      <c r="K48" s="44">
        <v>307088</v>
      </c>
      <c r="L48" s="44">
        <v>363200</v>
      </c>
      <c r="M48" s="44">
        <v>333389</v>
      </c>
      <c r="N48" s="44">
        <v>302716</v>
      </c>
      <c r="O48" s="44">
        <v>276866</v>
      </c>
      <c r="P48" s="44">
        <v>342768</v>
      </c>
      <c r="Q48" s="44">
        <v>246347</v>
      </c>
      <c r="R48" s="44">
        <v>269032</v>
      </c>
      <c r="S48" s="44">
        <v>274392</v>
      </c>
      <c r="T48" s="56">
        <v>86104</v>
      </c>
      <c r="U48" s="70">
        <f t="shared" si="2"/>
        <v>5500331</v>
      </c>
    </row>
    <row r="49" spans="1:21">
      <c r="A49" s="1" t="s">
        <v>1</v>
      </c>
      <c r="B49" s="24" t="s">
        <v>101</v>
      </c>
      <c r="C49" s="32">
        <v>16320</v>
      </c>
      <c r="D49" s="33">
        <v>19380</v>
      </c>
      <c r="E49" s="33">
        <v>19380</v>
      </c>
      <c r="F49" s="33">
        <v>18360</v>
      </c>
      <c r="G49" s="33">
        <v>16320</v>
      </c>
      <c r="H49" s="33">
        <v>19380</v>
      </c>
      <c r="I49" s="33">
        <v>17340</v>
      </c>
      <c r="J49" s="33">
        <v>16320</v>
      </c>
      <c r="K49" s="33">
        <v>16320</v>
      </c>
      <c r="L49" s="33">
        <v>18360</v>
      </c>
      <c r="M49" s="33">
        <v>15300</v>
      </c>
      <c r="N49" s="33">
        <v>17340</v>
      </c>
      <c r="O49" s="33">
        <v>15300</v>
      </c>
      <c r="P49" s="33">
        <v>17340</v>
      </c>
      <c r="Q49" s="33">
        <v>14280</v>
      </c>
      <c r="R49" s="33">
        <v>13260</v>
      </c>
      <c r="S49" s="33">
        <v>13260</v>
      </c>
      <c r="T49" s="53">
        <v>0</v>
      </c>
      <c r="U49" s="67">
        <f t="shared" si="2"/>
        <v>283560</v>
      </c>
    </row>
    <row r="50" spans="1:21">
      <c r="A50" s="1" t="s">
        <v>1</v>
      </c>
      <c r="B50" s="5" t="s">
        <v>102</v>
      </c>
      <c r="C50" s="18">
        <v>2880</v>
      </c>
      <c r="D50" s="19">
        <v>3420</v>
      </c>
      <c r="E50" s="19">
        <v>3420</v>
      </c>
      <c r="F50" s="19">
        <v>3240</v>
      </c>
      <c r="G50" s="19">
        <v>2880</v>
      </c>
      <c r="H50" s="19">
        <v>3420</v>
      </c>
      <c r="I50" s="19">
        <v>3060</v>
      </c>
      <c r="J50" s="19">
        <v>2880</v>
      </c>
      <c r="K50" s="19">
        <v>2880</v>
      </c>
      <c r="L50" s="19">
        <v>3240</v>
      </c>
      <c r="M50" s="19">
        <v>2700</v>
      </c>
      <c r="N50" s="19">
        <v>3060</v>
      </c>
      <c r="O50" s="19">
        <v>2700</v>
      </c>
      <c r="P50" s="19">
        <v>3060</v>
      </c>
      <c r="Q50" s="19">
        <v>2520</v>
      </c>
      <c r="R50" s="19">
        <v>2340</v>
      </c>
      <c r="S50" s="19">
        <v>2340</v>
      </c>
      <c r="T50" s="54">
        <v>0</v>
      </c>
      <c r="U50" s="68">
        <f t="shared" si="2"/>
        <v>50040</v>
      </c>
    </row>
    <row r="51" spans="1:21">
      <c r="A51" s="1" t="s">
        <v>1</v>
      </c>
      <c r="B51" s="5" t="s">
        <v>103</v>
      </c>
      <c r="C51" s="18">
        <v>29280</v>
      </c>
      <c r="D51" s="19">
        <v>34770</v>
      </c>
      <c r="E51" s="19">
        <v>34770</v>
      </c>
      <c r="F51" s="19">
        <v>32940</v>
      </c>
      <c r="G51" s="19">
        <v>29280</v>
      </c>
      <c r="H51" s="19">
        <v>34770</v>
      </c>
      <c r="I51" s="19">
        <v>31110</v>
      </c>
      <c r="J51" s="19">
        <v>29280</v>
      </c>
      <c r="K51" s="19">
        <v>29280</v>
      </c>
      <c r="L51" s="19">
        <v>32940</v>
      </c>
      <c r="M51" s="19">
        <v>27450</v>
      </c>
      <c r="N51" s="19">
        <v>31110</v>
      </c>
      <c r="O51" s="19">
        <v>27450</v>
      </c>
      <c r="P51" s="19">
        <v>31110</v>
      </c>
      <c r="Q51" s="19">
        <v>25620</v>
      </c>
      <c r="R51" s="19">
        <v>23790</v>
      </c>
      <c r="S51" s="19">
        <v>23790</v>
      </c>
      <c r="T51" s="54">
        <v>0</v>
      </c>
      <c r="U51" s="68">
        <f t="shared" si="2"/>
        <v>508740</v>
      </c>
    </row>
    <row r="52" spans="1:21" ht="19.5" thickBot="1">
      <c r="A52" s="1" t="s">
        <v>1</v>
      </c>
      <c r="B52" s="5" t="s">
        <v>104</v>
      </c>
      <c r="C52" s="18">
        <v>1431</v>
      </c>
      <c r="D52" s="19">
        <v>1601</v>
      </c>
      <c r="E52" s="19">
        <v>1846</v>
      </c>
      <c r="F52" s="19">
        <v>1809</v>
      </c>
      <c r="G52" s="19">
        <v>1664</v>
      </c>
      <c r="H52" s="19">
        <v>1986</v>
      </c>
      <c r="I52" s="19">
        <v>1707</v>
      </c>
      <c r="J52" s="19">
        <v>1448</v>
      </c>
      <c r="K52" s="19">
        <v>1535</v>
      </c>
      <c r="L52" s="19">
        <v>1816</v>
      </c>
      <c r="M52" s="19">
        <v>1667</v>
      </c>
      <c r="N52" s="19">
        <v>1514</v>
      </c>
      <c r="O52" s="19">
        <v>1384</v>
      </c>
      <c r="P52" s="19">
        <v>1714</v>
      </c>
      <c r="Q52" s="19">
        <v>1232</v>
      </c>
      <c r="R52" s="19">
        <v>1345</v>
      </c>
      <c r="S52" s="19">
        <v>1372</v>
      </c>
      <c r="T52" s="54">
        <v>431</v>
      </c>
      <c r="U52" s="68">
        <f t="shared" si="2"/>
        <v>27502</v>
      </c>
    </row>
    <row r="53" spans="1:21" ht="19.5" thickBot="1">
      <c r="A53" s="1" t="s">
        <v>1</v>
      </c>
      <c r="B53" s="42" t="s">
        <v>105</v>
      </c>
      <c r="C53" s="43">
        <v>49911</v>
      </c>
      <c r="D53" s="44">
        <v>59171</v>
      </c>
      <c r="E53" s="44">
        <v>59416</v>
      </c>
      <c r="F53" s="44">
        <v>56349</v>
      </c>
      <c r="G53" s="44">
        <v>50144</v>
      </c>
      <c r="H53" s="44">
        <v>59556</v>
      </c>
      <c r="I53" s="44">
        <v>53217</v>
      </c>
      <c r="J53" s="44">
        <v>49928</v>
      </c>
      <c r="K53" s="44">
        <v>50015</v>
      </c>
      <c r="L53" s="44">
        <v>56356</v>
      </c>
      <c r="M53" s="44">
        <v>47117</v>
      </c>
      <c r="N53" s="44">
        <v>53024</v>
      </c>
      <c r="O53" s="44">
        <v>46834</v>
      </c>
      <c r="P53" s="44">
        <v>53224</v>
      </c>
      <c r="Q53" s="44">
        <v>43652</v>
      </c>
      <c r="R53" s="44">
        <v>40735</v>
      </c>
      <c r="S53" s="44">
        <v>40762</v>
      </c>
      <c r="T53" s="56">
        <v>431</v>
      </c>
      <c r="U53" s="70">
        <f t="shared" si="2"/>
        <v>869842</v>
      </c>
    </row>
    <row r="54" spans="1:21">
      <c r="A54" s="1" t="s">
        <v>1</v>
      </c>
      <c r="B54" s="24" t="s">
        <v>106</v>
      </c>
      <c r="C54" s="32">
        <v>3960</v>
      </c>
      <c r="D54" s="33">
        <v>6830</v>
      </c>
      <c r="E54" s="33">
        <v>6880</v>
      </c>
      <c r="F54" s="33">
        <v>8560</v>
      </c>
      <c r="G54" s="33">
        <v>5570</v>
      </c>
      <c r="H54" s="33">
        <v>11250</v>
      </c>
      <c r="I54" s="33">
        <v>7820</v>
      </c>
      <c r="J54" s="33">
        <v>4520</v>
      </c>
      <c r="K54" s="33">
        <v>6690</v>
      </c>
      <c r="L54" s="33">
        <v>8500</v>
      </c>
      <c r="M54" s="33">
        <v>7610</v>
      </c>
      <c r="N54" s="33">
        <v>6390</v>
      </c>
      <c r="O54" s="33">
        <v>5560</v>
      </c>
      <c r="P54" s="33">
        <v>2880</v>
      </c>
      <c r="Q54" s="33">
        <v>4560</v>
      </c>
      <c r="R54" s="33">
        <v>5520</v>
      </c>
      <c r="S54" s="33">
        <v>4030</v>
      </c>
      <c r="T54" s="53">
        <v>0</v>
      </c>
      <c r="U54" s="67">
        <f t="shared" si="2"/>
        <v>107130</v>
      </c>
    </row>
    <row r="55" spans="1:21">
      <c r="A55" s="1" t="s">
        <v>1</v>
      </c>
      <c r="B55" s="5" t="s">
        <v>107</v>
      </c>
      <c r="C55" s="18">
        <v>1300</v>
      </c>
      <c r="D55" s="19">
        <v>1300</v>
      </c>
      <c r="E55" s="19">
        <v>1300</v>
      </c>
      <c r="F55" s="19">
        <v>0</v>
      </c>
      <c r="G55" s="19">
        <v>1300</v>
      </c>
      <c r="H55" s="19">
        <v>1300</v>
      </c>
      <c r="I55" s="19">
        <v>1300</v>
      </c>
      <c r="J55" s="19">
        <v>1300</v>
      </c>
      <c r="K55" s="19">
        <v>1300</v>
      </c>
      <c r="L55" s="19">
        <v>1300</v>
      </c>
      <c r="M55" s="19">
        <v>0</v>
      </c>
      <c r="N55" s="19">
        <v>0</v>
      </c>
      <c r="O55" s="19">
        <v>1300</v>
      </c>
      <c r="P55" s="19">
        <v>1300</v>
      </c>
      <c r="Q55" s="19">
        <v>1300</v>
      </c>
      <c r="R55" s="19">
        <v>0</v>
      </c>
      <c r="S55" s="19">
        <v>0</v>
      </c>
      <c r="T55" s="54">
        <v>0</v>
      </c>
      <c r="U55" s="68">
        <f t="shared" si="2"/>
        <v>15600</v>
      </c>
    </row>
    <row r="56" spans="1:21">
      <c r="A56" s="1" t="s">
        <v>1</v>
      </c>
      <c r="B56" s="5" t="s">
        <v>108</v>
      </c>
      <c r="C56" s="18">
        <v>9900</v>
      </c>
      <c r="D56" s="19">
        <v>16100</v>
      </c>
      <c r="E56" s="19">
        <v>15700</v>
      </c>
      <c r="F56" s="19">
        <v>18800</v>
      </c>
      <c r="G56" s="19">
        <v>12100</v>
      </c>
      <c r="H56" s="19">
        <v>18500</v>
      </c>
      <c r="I56" s="19">
        <v>14500</v>
      </c>
      <c r="J56" s="19">
        <v>9300</v>
      </c>
      <c r="K56" s="19">
        <v>13400</v>
      </c>
      <c r="L56" s="19">
        <v>13900</v>
      </c>
      <c r="M56" s="19">
        <v>10400</v>
      </c>
      <c r="N56" s="19">
        <v>24600</v>
      </c>
      <c r="O56" s="19">
        <v>12200</v>
      </c>
      <c r="P56" s="19">
        <v>6700</v>
      </c>
      <c r="Q56" s="19">
        <v>0</v>
      </c>
      <c r="R56" s="19">
        <v>0</v>
      </c>
      <c r="S56" s="19">
        <v>0</v>
      </c>
      <c r="T56" s="54">
        <v>0</v>
      </c>
      <c r="U56" s="68">
        <f t="shared" si="2"/>
        <v>196100</v>
      </c>
    </row>
    <row r="57" spans="1:21" ht="19.5" thickBot="1">
      <c r="A57" s="1" t="s">
        <v>1</v>
      </c>
      <c r="B57" s="5" t="s">
        <v>109</v>
      </c>
      <c r="C57" s="18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54">
        <v>0</v>
      </c>
      <c r="U57" s="68">
        <f t="shared" si="2"/>
        <v>0</v>
      </c>
    </row>
    <row r="58" spans="1:21" ht="19.5" thickBot="1">
      <c r="A58" s="1" t="s">
        <v>1</v>
      </c>
      <c r="B58" s="42" t="s">
        <v>110</v>
      </c>
      <c r="C58" s="43">
        <v>65071</v>
      </c>
      <c r="D58" s="44">
        <v>83401</v>
      </c>
      <c r="E58" s="44">
        <v>83296</v>
      </c>
      <c r="F58" s="44">
        <v>83709</v>
      </c>
      <c r="G58" s="44">
        <v>69114</v>
      </c>
      <c r="H58" s="44">
        <v>90606</v>
      </c>
      <c r="I58" s="44">
        <v>76837</v>
      </c>
      <c r="J58" s="44">
        <v>65048</v>
      </c>
      <c r="K58" s="44">
        <v>71405</v>
      </c>
      <c r="L58" s="44">
        <v>80056</v>
      </c>
      <c r="M58" s="44">
        <v>65127</v>
      </c>
      <c r="N58" s="44">
        <v>84014</v>
      </c>
      <c r="O58" s="44">
        <v>65894</v>
      </c>
      <c r="P58" s="44">
        <v>64104</v>
      </c>
      <c r="Q58" s="44">
        <v>49512</v>
      </c>
      <c r="R58" s="44">
        <v>46255</v>
      </c>
      <c r="S58" s="44">
        <v>44792</v>
      </c>
      <c r="T58" s="56">
        <v>431</v>
      </c>
      <c r="U58" s="70">
        <f t="shared" si="2"/>
        <v>1188672</v>
      </c>
    </row>
    <row r="59" spans="1:21" ht="19.5" thickBot="1">
      <c r="A59" s="1" t="s">
        <v>1</v>
      </c>
      <c r="B59" s="42" t="s">
        <v>111</v>
      </c>
      <c r="C59" s="43">
        <v>222775</v>
      </c>
      <c r="D59" s="44">
        <v>257851</v>
      </c>
      <c r="E59" s="44">
        <v>303894</v>
      </c>
      <c r="F59" s="44">
        <v>302192</v>
      </c>
      <c r="G59" s="44">
        <v>267886</v>
      </c>
      <c r="H59" s="44">
        <v>335158</v>
      </c>
      <c r="I59" s="44">
        <v>285555</v>
      </c>
      <c r="J59" s="44">
        <v>238463</v>
      </c>
      <c r="K59" s="44">
        <v>253973</v>
      </c>
      <c r="L59" s="44">
        <v>301471</v>
      </c>
      <c r="M59" s="44">
        <v>279556</v>
      </c>
      <c r="N59" s="44">
        <v>245352</v>
      </c>
      <c r="O59" s="44">
        <v>222282</v>
      </c>
      <c r="P59" s="44">
        <v>283086</v>
      </c>
      <c r="Q59" s="44">
        <v>194351</v>
      </c>
      <c r="R59" s="44">
        <v>221167</v>
      </c>
      <c r="S59" s="44">
        <v>224718</v>
      </c>
      <c r="T59" s="56">
        <v>82986</v>
      </c>
      <c r="U59" s="70">
        <f t="shared" si="2"/>
        <v>4522716</v>
      </c>
    </row>
    <row r="60" spans="1:21" ht="19.5" thickBot="1">
      <c r="A60" s="1" t="s">
        <v>1</v>
      </c>
      <c r="B60" s="42" t="s">
        <v>112</v>
      </c>
      <c r="C60" s="43">
        <v>221047</v>
      </c>
      <c r="D60" s="44">
        <v>236850</v>
      </c>
      <c r="E60" s="44">
        <v>285826</v>
      </c>
      <c r="F60" s="44">
        <v>278061</v>
      </c>
      <c r="G60" s="44">
        <v>263769</v>
      </c>
      <c r="H60" s="44">
        <v>306692</v>
      </c>
      <c r="I60" s="44">
        <v>264622</v>
      </c>
      <c r="J60" s="44">
        <v>224480</v>
      </c>
      <c r="K60" s="44">
        <v>235683</v>
      </c>
      <c r="L60" s="44">
        <v>283144</v>
      </c>
      <c r="M60" s="44">
        <v>268262</v>
      </c>
      <c r="N60" s="44">
        <v>218702</v>
      </c>
      <c r="O60" s="44">
        <v>210972</v>
      </c>
      <c r="P60" s="44">
        <v>278664</v>
      </c>
      <c r="Q60" s="44">
        <v>196835</v>
      </c>
      <c r="R60" s="44">
        <v>222777</v>
      </c>
      <c r="S60" s="44">
        <v>229600</v>
      </c>
      <c r="T60" s="56">
        <v>85673</v>
      </c>
      <c r="U60" s="70">
        <f t="shared" si="2"/>
        <v>4311659</v>
      </c>
    </row>
    <row r="61" spans="1:21">
      <c r="A61" s="1" t="s">
        <v>1</v>
      </c>
      <c r="B61" s="24" t="s">
        <v>113</v>
      </c>
      <c r="C61" s="32">
        <v>0</v>
      </c>
      <c r="D61" s="33">
        <v>0</v>
      </c>
      <c r="E61" s="33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53">
        <v>0</v>
      </c>
      <c r="U61" s="67">
        <f t="shared" si="2"/>
        <v>0</v>
      </c>
    </row>
    <row r="62" spans="1:21">
      <c r="A62" s="1" t="s">
        <v>1</v>
      </c>
      <c r="B62" s="5" t="s">
        <v>114</v>
      </c>
      <c r="C62" s="18">
        <v>221047</v>
      </c>
      <c r="D62" s="19">
        <v>236850</v>
      </c>
      <c r="E62" s="19">
        <v>285826</v>
      </c>
      <c r="F62" s="19">
        <v>278061</v>
      </c>
      <c r="G62" s="19">
        <v>263769</v>
      </c>
      <c r="H62" s="19">
        <v>306692</v>
      </c>
      <c r="I62" s="19">
        <v>264622</v>
      </c>
      <c r="J62" s="19">
        <v>224480</v>
      </c>
      <c r="K62" s="19">
        <v>235683</v>
      </c>
      <c r="L62" s="19">
        <v>283144</v>
      </c>
      <c r="M62" s="19">
        <v>268262</v>
      </c>
      <c r="N62" s="19">
        <v>218702</v>
      </c>
      <c r="O62" s="19">
        <v>210972</v>
      </c>
      <c r="P62" s="19">
        <v>278664</v>
      </c>
      <c r="Q62" s="19">
        <v>196835</v>
      </c>
      <c r="R62" s="19">
        <v>222777</v>
      </c>
      <c r="S62" s="19">
        <v>229600</v>
      </c>
      <c r="T62" s="54">
        <v>85673</v>
      </c>
      <c r="U62" s="68">
        <f t="shared" si="2"/>
        <v>4311659</v>
      </c>
    </row>
    <row r="63" spans="1:21">
      <c r="A63" s="1" t="s">
        <v>1</v>
      </c>
      <c r="B63" s="5" t="s">
        <v>115</v>
      </c>
      <c r="C63" s="18">
        <v>1</v>
      </c>
      <c r="D63" s="19">
        <v>0</v>
      </c>
      <c r="E63" s="19">
        <v>1</v>
      </c>
      <c r="F63" s="19">
        <v>0</v>
      </c>
      <c r="G63" s="19">
        <v>1</v>
      </c>
      <c r="H63" s="19">
        <v>0</v>
      </c>
      <c r="I63" s="19">
        <v>0</v>
      </c>
      <c r="J63" s="19">
        <v>1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3</v>
      </c>
      <c r="Q63" s="19">
        <v>0</v>
      </c>
      <c r="R63" s="19">
        <v>0</v>
      </c>
      <c r="S63" s="19">
        <v>1</v>
      </c>
      <c r="T63" s="54">
        <v>0</v>
      </c>
      <c r="U63" s="68"/>
    </row>
    <row r="64" spans="1:21" ht="19.5" thickBot="1">
      <c r="A64" s="1" t="s">
        <v>1</v>
      </c>
      <c r="B64" s="6" t="s">
        <v>116</v>
      </c>
      <c r="C64" s="21" t="s">
        <v>117</v>
      </c>
      <c r="D64" s="22" t="s">
        <v>117</v>
      </c>
      <c r="E64" s="22" t="s">
        <v>117</v>
      </c>
      <c r="F64" s="22" t="s">
        <v>117</v>
      </c>
      <c r="G64" s="22" t="s">
        <v>117</v>
      </c>
      <c r="H64" s="22" t="s">
        <v>117</v>
      </c>
      <c r="I64" s="22" t="s">
        <v>117</v>
      </c>
      <c r="J64" s="22" t="s">
        <v>117</v>
      </c>
      <c r="K64" s="22" t="s">
        <v>117</v>
      </c>
      <c r="L64" s="22" t="s">
        <v>117</v>
      </c>
      <c r="M64" s="22" t="s">
        <v>117</v>
      </c>
      <c r="N64" s="22" t="s">
        <v>117</v>
      </c>
      <c r="O64" s="22" t="s">
        <v>117</v>
      </c>
      <c r="P64" s="22" t="s">
        <v>117</v>
      </c>
      <c r="Q64" s="22" t="s">
        <v>117</v>
      </c>
      <c r="R64" s="22" t="s">
        <v>117</v>
      </c>
      <c r="S64" s="22" t="s">
        <v>117</v>
      </c>
      <c r="T64" s="57" t="s">
        <v>117</v>
      </c>
      <c r="U64" s="71"/>
    </row>
  </sheetData>
  <phoneticPr fontId="3"/>
  <pageMargins left="0.11811023622047245" right="0.11811023622047245" top="0.15748031496062992" bottom="0.15748031496062992" header="0.11811023622047245" footer="0.11811023622047245"/>
  <pageSetup paperSize="12" scale="6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2022年11月度給与 (2)</vt:lpstr>
      <vt:lpstr>2022年11月度給与 (4)</vt:lpstr>
      <vt:lpstr>'2022年11月度給与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2022-12-13T05:23:45Z</cp:lastPrinted>
  <dcterms:created xsi:type="dcterms:W3CDTF">2022-12-07T02:20:23Z</dcterms:created>
  <dcterms:modified xsi:type="dcterms:W3CDTF">2022-12-16T00:02:41Z</dcterms:modified>
</cp:coreProperties>
</file>