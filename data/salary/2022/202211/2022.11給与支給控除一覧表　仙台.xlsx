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1\"/>
    </mc:Choice>
  </mc:AlternateContent>
  <xr:revisionPtr revIDLastSave="0" documentId="13_ncr:1_{CE6B65E8-3333-475A-94EF-DD7CB5A491FF}" xr6:coauthVersionLast="47" xr6:coauthVersionMax="47" xr10:uidLastSave="{00000000-0000-0000-0000-000000000000}"/>
  <bookViews>
    <workbookView xWindow="-120" yWindow="-120" windowWidth="20730" windowHeight="11160" xr2:uid="{F4D341F7-4FE5-48BA-9294-9190BE87F15F}"/>
  </bookViews>
  <sheets>
    <sheet name="2022年11月度給与 (2)" sheetId="3" r:id="rId1"/>
  </sheets>
  <definedNames>
    <definedName name="_xlnm.Print_Area" localSheetId="0">'2022年11月度給与 (2)'!$A$1:$O$68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3" l="1"/>
  <c r="O12" i="3"/>
  <c r="O13" i="3"/>
  <c r="O20" i="3"/>
  <c r="O21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24" i="3"/>
  <c r="N23" i="3"/>
  <c r="N22" i="3"/>
  <c r="N15" i="3"/>
  <c r="N16" i="3"/>
  <c r="O16" i="3" s="1"/>
  <c r="N17" i="3"/>
  <c r="O17" i="3" s="1"/>
  <c r="N18" i="3"/>
  <c r="O18" i="3" s="1"/>
  <c r="N14" i="3"/>
  <c r="N7" i="3"/>
  <c r="O7" i="3" s="1"/>
  <c r="N8" i="3"/>
  <c r="O8" i="3" s="1"/>
  <c r="N9" i="3"/>
  <c r="N10" i="3"/>
  <c r="N6" i="3"/>
  <c r="N5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24" i="3"/>
  <c r="F23" i="3"/>
  <c r="F22" i="3"/>
  <c r="F19" i="3"/>
  <c r="O19" i="3" s="1"/>
  <c r="F15" i="3"/>
  <c r="F14" i="3"/>
  <c r="F10" i="3"/>
  <c r="F9" i="3"/>
  <c r="F6" i="3"/>
  <c r="F5" i="3"/>
  <c r="O15" i="3" l="1"/>
  <c r="O9" i="3"/>
  <c r="O6" i="3"/>
  <c r="O24" i="3"/>
  <c r="O63" i="3"/>
  <c r="O58" i="3"/>
  <c r="O55" i="3"/>
  <c r="O51" i="3"/>
  <c r="O48" i="3"/>
  <c r="O44" i="3"/>
  <c r="O38" i="3"/>
  <c r="O33" i="3"/>
  <c r="O30" i="3"/>
  <c r="O26" i="3"/>
  <c r="O62" i="3"/>
  <c r="O57" i="3"/>
  <c r="O47" i="3"/>
  <c r="O43" i="3"/>
  <c r="O40" i="3"/>
  <c r="O36" i="3"/>
  <c r="O29" i="3"/>
  <c r="O25" i="3"/>
  <c r="O54" i="3"/>
  <c r="O66" i="3"/>
  <c r="O61" i="3"/>
  <c r="O14" i="3"/>
  <c r="O5" i="3"/>
  <c r="O23" i="3"/>
  <c r="O64" i="3"/>
  <c r="O59" i="3"/>
  <c r="O56" i="3"/>
  <c r="O52" i="3"/>
  <c r="O49" i="3"/>
  <c r="O45" i="3"/>
  <c r="O41" i="3"/>
  <c r="O37" i="3"/>
  <c r="O34" i="3"/>
  <c r="O31" i="3"/>
  <c r="O27" i="3"/>
  <c r="O10" i="3"/>
  <c r="O22" i="3"/>
  <c r="O65" i="3"/>
  <c r="O60" i="3"/>
  <c r="O53" i="3"/>
  <c r="O50" i="3"/>
  <c r="O46" i="3"/>
  <c r="O42" i="3"/>
  <c r="O39" i="3"/>
  <c r="O35" i="3"/>
  <c r="O32" i="3"/>
  <c r="O28" i="3"/>
</calcChain>
</file>

<file path=xl/sharedStrings.xml><?xml version="1.0" encoding="utf-8"?>
<sst xmlns="http://schemas.openxmlformats.org/spreadsheetml/2006/main" count="167" uniqueCount="91">
  <si>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</si>
  <si>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</si>
  <si>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</si>
  <si>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</si>
  <si>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</si>
  <si>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</si>
  <si>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</si>
  <si>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</si>
  <si>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</si>
  <si>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</si>
  <si>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</si>
  <si>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</si>
  <si>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</si>
  <si>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</si>
  <si>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</si>
  <si>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</si>
  <si>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</si>
  <si>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</si>
  <si>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</si>
  <si>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</si>
  <si>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</si>
  <si>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</si>
  <si>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</si>
  <si>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</si>
  <si>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</si>
  <si>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</si>
  <si>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</si>
  <si>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</si>
  <si>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</si>
  <si>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</si>
  <si>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</si>
  <si>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</si>
  <si>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</si>
  <si>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</si>
  <si>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</si>
  <si>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</si>
  <si>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</si>
  <si>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</si>
  <si>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</si>
  <si>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</si>
  <si>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</si>
  <si>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</si>
  <si>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</si>
  <si>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</si>
  <si>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</si>
  <si>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</si>
  <si>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</si>
  <si>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</si>
  <si>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</si>
  <si>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</si>
  <si>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</si>
  <si>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</si>
  <si>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</si>
  <si>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</si>
  <si>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</si>
  <si>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</si>
  <si>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</si>
  <si>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</si>
  <si>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</si>
  <si>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</si>
  <si>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</si>
  <si>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</si>
  <si>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</si>
  <si>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</si>
  <si>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</si>
  <si>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</si>
  <si>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</si>
  <si>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</si>
  <si>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</si>
  <si>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</si>
  <si>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</si>
  <si>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</si>
  <si>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</si>
  <si>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</si>
  <si>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</si>
  <si>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</si>
  <si>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</si>
  <si>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</si>
  <si>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</si>
  <si>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</si>
  <si>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</si>
  <si>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</si>
  <si>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</si>
  <si>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</si>
  <si>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2022年11月度給与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</si>
  <si>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</si>
  <si>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</si>
  <si>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</si>
  <si>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佐藤ゆうこ</t>
    <phoneticPr fontId="4"/>
  </si>
  <si>
    <t>小田島健司</t>
    <phoneticPr fontId="4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</si>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</sst>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0" fontId="2" fillId="0" borderId="30" xfId="1" applyFont="1" applyBorder="1"/>
    <xf numFmtId="49" fontId="2" fillId="0" borderId="31" xfId="1" applyNumberFormat="1" applyFont="1" applyBorder="1" applyAlignment="1">
      <alignment horizontal="left"/>
    </xf>
    <xf numFmtId="49" fontId="2" fillId="0" borderId="32" xfId="1" applyNumberFormat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5" xfId="1" applyNumberFormat="1" applyFont="1" applyBorder="1"/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32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33" xfId="1" applyNumberFormat="1" applyFont="1" applyBorder="1"/>
    <xf numFmtId="49" fontId="2" fillId="0" borderId="32" xfId="1" applyNumberFormat="1" applyFont="1" applyBorder="1"/>
  </cellXfs>
  <cellStyles count="2">
    <cellStyle name="標準" xfId="0" builtinId="0"/>
    <cellStyle name="標準 2" xfId="1" xr:uid="{25F4A0B5-80ED-4283-9A1B-427D116EE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CCBD-4BEF-41BF-AB8E-8DBD245E4CA1}">
  <sheetPr>
    <pageSetUpPr fitToPage="1"/>
  </sheetPr>
  <dimension ref="A1:O68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F3" sqref="F3:F68"/>
    </sheetView>
  </sheetViews>
  <sheetFormatPr defaultRowHeight="18.75"/>
  <cols>
    <col min="1" max="1" width="2.375" style="2" customWidth="1"/>
    <col min="2" max="2" width="13.25" style="2" bestFit="1" customWidth="1"/>
    <col min="3" max="15" width="12.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84</v>
      </c>
    </row>
    <row r="3" spans="1:15">
      <c r="B3" s="3"/>
      <c r="C3" s="12" t="s">
        <v>5</v>
      </c>
      <c r="D3" s="12" t="s">
        <v>9</v>
      </c>
      <c r="E3" s="55" t="s">
        <v>7</v>
      </c>
      <c r="F3" s="52" t="s">
        <v>85</v>
      </c>
      <c r="G3" s="11" t="s">
        <v>2</v>
      </c>
      <c r="H3" s="12" t="s">
        <v>3</v>
      </c>
      <c r="I3" s="12" t="s">
        <v>4</v>
      </c>
      <c r="J3" s="12" t="s">
        <v>6</v>
      </c>
      <c r="K3" s="12" t="s">
        <v>8</v>
      </c>
      <c r="L3" s="12" t="s">
        <v>10</v>
      </c>
      <c r="M3" s="13" t="s">
        <v>11</v>
      </c>
      <c r="N3" s="52" t="s">
        <v>85</v>
      </c>
      <c r="O3" s="4" t="s">
        <v>21</v>
      </c>
    </row>
    <row r="4" spans="1:15" ht="19.5" thickBot="1">
      <c r="A4" s="51"/>
      <c r="B4" s="31" t="s">
        <v>12</v>
      </c>
      <c r="C4" s="33" t="s">
        <v>16</v>
      </c>
      <c r="D4" s="33" t="s">
        <v>19</v>
      </c>
      <c r="E4" s="56" t="s">
        <v>88</v>
      </c>
      <c r="F4" s="53" t="s">
        <v>86</v>
      </c>
      <c r="G4" s="32" t="s">
        <v>13</v>
      </c>
      <c r="H4" s="33" t="s">
        <v>14</v>
      </c>
      <c r="I4" s="33" t="s">
        <v>15</v>
      </c>
      <c r="J4" s="33" t="s">
        <v>17</v>
      </c>
      <c r="K4" s="33" t="s">
        <v>18</v>
      </c>
      <c r="L4" s="33" t="s">
        <v>20</v>
      </c>
      <c r="M4" s="34" t="s">
        <v>89</v>
      </c>
      <c r="N4" s="53" t="s">
        <v>87</v>
      </c>
      <c r="O4" s="54" t="s">
        <v>90</v>
      </c>
    </row>
    <row r="5" spans="1:15">
      <c r="A5" s="1" t="s">
        <v>1</v>
      </c>
      <c r="B5" s="26" t="s">
        <v>22</v>
      </c>
      <c r="C5" s="28">
        <v>20</v>
      </c>
      <c r="D5" s="28">
        <v>19</v>
      </c>
      <c r="E5" s="57">
        <v>20</v>
      </c>
      <c r="F5" s="67">
        <f>SUM(C5:E5)</f>
        <v>59</v>
      </c>
      <c r="G5" s="27">
        <v>19</v>
      </c>
      <c r="H5" s="28">
        <v>18</v>
      </c>
      <c r="I5" s="28">
        <v>18</v>
      </c>
      <c r="J5" s="28">
        <v>19</v>
      </c>
      <c r="K5" s="28">
        <v>20</v>
      </c>
      <c r="L5" s="28">
        <v>19</v>
      </c>
      <c r="M5" s="29">
        <v>20</v>
      </c>
      <c r="N5" s="30">
        <f>SUM(G5:M5)</f>
        <v>133</v>
      </c>
      <c r="O5" s="30">
        <f>F5+N5</f>
        <v>192</v>
      </c>
    </row>
    <row r="6" spans="1:15">
      <c r="A6" s="1" t="s">
        <v>1</v>
      </c>
      <c r="B6" s="5" t="s">
        <v>23</v>
      </c>
      <c r="C6" s="15">
        <v>0</v>
      </c>
      <c r="D6" s="15">
        <v>0</v>
      </c>
      <c r="E6" s="58">
        <v>1</v>
      </c>
      <c r="F6" s="68">
        <f>SUM(C6:E6)</f>
        <v>1</v>
      </c>
      <c r="G6" s="14">
        <v>3</v>
      </c>
      <c r="H6" s="15">
        <v>4</v>
      </c>
      <c r="I6" s="15">
        <v>3</v>
      </c>
      <c r="J6" s="15">
        <v>3</v>
      </c>
      <c r="K6" s="15">
        <v>2</v>
      </c>
      <c r="L6" s="15">
        <v>1</v>
      </c>
      <c r="M6" s="16">
        <v>1</v>
      </c>
      <c r="N6" s="7">
        <f>SUM(G6:M6)</f>
        <v>17</v>
      </c>
      <c r="O6" s="7">
        <f t="shared" ref="O6:O58" si="0">F6+N6</f>
        <v>18</v>
      </c>
    </row>
    <row r="7" spans="1:15">
      <c r="A7" s="1" t="s">
        <v>1</v>
      </c>
      <c r="B7" s="5" t="s">
        <v>24</v>
      </c>
      <c r="C7" s="15">
        <v>0</v>
      </c>
      <c r="D7" s="15">
        <v>0</v>
      </c>
      <c r="E7" s="58">
        <v>0</v>
      </c>
      <c r="F7" s="68"/>
      <c r="G7" s="14">
        <v>2</v>
      </c>
      <c r="H7" s="15">
        <v>2</v>
      </c>
      <c r="I7" s="15">
        <v>2</v>
      </c>
      <c r="J7" s="15">
        <v>1</v>
      </c>
      <c r="K7" s="15">
        <v>2</v>
      </c>
      <c r="L7" s="15">
        <v>3</v>
      </c>
      <c r="M7" s="16">
        <v>3</v>
      </c>
      <c r="N7" s="7">
        <f t="shared" ref="N7:N10" si="1">SUM(G7:M7)</f>
        <v>15</v>
      </c>
      <c r="O7" s="7">
        <f t="shared" si="0"/>
        <v>15</v>
      </c>
    </row>
    <row r="8" spans="1:15">
      <c r="A8" s="1" t="s">
        <v>1</v>
      </c>
      <c r="B8" s="5" t="s">
        <v>25</v>
      </c>
      <c r="C8" s="15">
        <v>0</v>
      </c>
      <c r="D8" s="15">
        <v>0</v>
      </c>
      <c r="E8" s="58">
        <v>0</v>
      </c>
      <c r="F8" s="68"/>
      <c r="G8" s="14">
        <v>0</v>
      </c>
      <c r="H8" s="15">
        <v>0</v>
      </c>
      <c r="I8" s="15">
        <v>2</v>
      </c>
      <c r="J8" s="15">
        <v>0</v>
      </c>
      <c r="K8" s="15">
        <v>0</v>
      </c>
      <c r="L8" s="15">
        <v>1</v>
      </c>
      <c r="M8" s="16">
        <v>0</v>
      </c>
      <c r="N8" s="7">
        <f t="shared" si="1"/>
        <v>3</v>
      </c>
      <c r="O8" s="7">
        <f t="shared" si="0"/>
        <v>3</v>
      </c>
    </row>
    <row r="9" spans="1:15">
      <c r="A9" s="1" t="s">
        <v>1</v>
      </c>
      <c r="B9" s="5" t="s">
        <v>26</v>
      </c>
      <c r="C9" s="15">
        <v>1</v>
      </c>
      <c r="D9" s="15">
        <v>0</v>
      </c>
      <c r="E9" s="58">
        <v>1.5</v>
      </c>
      <c r="F9" s="68">
        <f>SUM(C9:E9)</f>
        <v>2.5</v>
      </c>
      <c r="G9" s="14">
        <v>2</v>
      </c>
      <c r="H9" s="15">
        <v>3</v>
      </c>
      <c r="I9" s="15">
        <v>1</v>
      </c>
      <c r="J9" s="15">
        <v>2</v>
      </c>
      <c r="K9" s="15">
        <v>1</v>
      </c>
      <c r="L9" s="15">
        <v>1</v>
      </c>
      <c r="M9" s="16">
        <v>0</v>
      </c>
      <c r="N9" s="7">
        <f t="shared" si="1"/>
        <v>10</v>
      </c>
      <c r="O9" s="7">
        <f t="shared" si="0"/>
        <v>12.5</v>
      </c>
    </row>
    <row r="10" spans="1:15">
      <c r="A10" s="1" t="s">
        <v>1</v>
      </c>
      <c r="B10" s="5" t="s">
        <v>27</v>
      </c>
      <c r="C10" s="15">
        <v>0</v>
      </c>
      <c r="D10" s="15">
        <v>1</v>
      </c>
      <c r="E10" s="58">
        <v>0</v>
      </c>
      <c r="F10" s="68">
        <f>SUM(C10:E10)</f>
        <v>1</v>
      </c>
      <c r="G10" s="14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6">
        <v>1</v>
      </c>
      <c r="N10" s="7">
        <f t="shared" si="1"/>
        <v>1</v>
      </c>
      <c r="O10" s="7">
        <f t="shared" si="0"/>
        <v>2</v>
      </c>
    </row>
    <row r="11" spans="1:15">
      <c r="A11" s="1" t="s">
        <v>1</v>
      </c>
      <c r="B11" s="5" t="s">
        <v>28</v>
      </c>
      <c r="C11" s="15">
        <v>0</v>
      </c>
      <c r="D11" s="15">
        <v>0</v>
      </c>
      <c r="E11" s="58">
        <v>0</v>
      </c>
      <c r="F11" s="68"/>
      <c r="G11" s="14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6">
        <v>0</v>
      </c>
      <c r="N11" s="7"/>
      <c r="O11" s="7">
        <f t="shared" si="0"/>
        <v>0</v>
      </c>
    </row>
    <row r="12" spans="1:15">
      <c r="A12" s="1" t="s">
        <v>1</v>
      </c>
      <c r="B12" s="5" t="s">
        <v>29</v>
      </c>
      <c r="C12" s="15">
        <v>0</v>
      </c>
      <c r="D12" s="15">
        <v>0</v>
      </c>
      <c r="E12" s="58">
        <v>0</v>
      </c>
      <c r="F12" s="68"/>
      <c r="G12" s="14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6">
        <v>0</v>
      </c>
      <c r="N12" s="7"/>
      <c r="O12" s="7">
        <f t="shared" si="0"/>
        <v>0</v>
      </c>
    </row>
    <row r="13" spans="1:15">
      <c r="A13" s="1" t="s">
        <v>1</v>
      </c>
      <c r="B13" s="5" t="s">
        <v>30</v>
      </c>
      <c r="C13" s="18">
        <v>0</v>
      </c>
      <c r="D13" s="18">
        <v>0</v>
      </c>
      <c r="E13" s="59">
        <v>0</v>
      </c>
      <c r="F13" s="69"/>
      <c r="G13" s="17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9">
        <v>0</v>
      </c>
      <c r="N13" s="8"/>
      <c r="O13" s="8">
        <f t="shared" si="0"/>
        <v>0</v>
      </c>
    </row>
    <row r="14" spans="1:15">
      <c r="A14" s="1" t="s">
        <v>1</v>
      </c>
      <c r="B14" s="5" t="s">
        <v>31</v>
      </c>
      <c r="C14" s="18">
        <v>0</v>
      </c>
      <c r="D14" s="18">
        <v>0</v>
      </c>
      <c r="E14" s="59">
        <v>8.3333333333333329E-2</v>
      </c>
      <c r="F14" s="69">
        <f>SUM(C14:E14)</f>
        <v>8.3333333333333329E-2</v>
      </c>
      <c r="G14" s="17">
        <v>2.0833333333333335</v>
      </c>
      <c r="H14" s="18">
        <v>0.625</v>
      </c>
      <c r="I14" s="18">
        <v>1.125</v>
      </c>
      <c r="J14" s="18">
        <v>1.9166666666666665</v>
      </c>
      <c r="K14" s="18">
        <v>2</v>
      </c>
      <c r="L14" s="18">
        <v>1.75</v>
      </c>
      <c r="M14" s="19">
        <v>2.2916666666666665</v>
      </c>
      <c r="N14" s="8">
        <f>SUM(G14:M14)</f>
        <v>11.791666666666666</v>
      </c>
      <c r="O14" s="8">
        <f t="shared" si="0"/>
        <v>11.875</v>
      </c>
    </row>
    <row r="15" spans="1:15">
      <c r="A15" s="1" t="s">
        <v>1</v>
      </c>
      <c r="B15" s="5" t="s">
        <v>32</v>
      </c>
      <c r="C15" s="18">
        <v>0</v>
      </c>
      <c r="D15" s="18">
        <v>0</v>
      </c>
      <c r="E15" s="59">
        <v>0.41666666666666669</v>
      </c>
      <c r="F15" s="69">
        <f>SUM(C15:E15)</f>
        <v>0.41666666666666669</v>
      </c>
      <c r="G15" s="17">
        <v>1.3333333333333333</v>
      </c>
      <c r="H15" s="18">
        <v>1.25</v>
      </c>
      <c r="I15" s="18">
        <v>0.375</v>
      </c>
      <c r="J15" s="18">
        <v>1.25</v>
      </c>
      <c r="K15" s="18">
        <v>0.70833333333333337</v>
      </c>
      <c r="L15" s="18">
        <v>0.5</v>
      </c>
      <c r="M15" s="19">
        <v>0.33333333333333331</v>
      </c>
      <c r="N15" s="8">
        <f t="shared" ref="N15:N18" si="2">SUM(G15:M15)</f>
        <v>5.7499999999999991</v>
      </c>
      <c r="O15" s="8">
        <f t="shared" si="0"/>
        <v>6.1666666666666661</v>
      </c>
    </row>
    <row r="16" spans="1:15">
      <c r="A16" s="1" t="s">
        <v>1</v>
      </c>
      <c r="B16" s="5" t="s">
        <v>33</v>
      </c>
      <c r="C16" s="18">
        <v>0</v>
      </c>
      <c r="D16" s="18">
        <v>0</v>
      </c>
      <c r="E16" s="59">
        <v>0</v>
      </c>
      <c r="F16" s="69"/>
      <c r="G16" s="17">
        <v>0.875</v>
      </c>
      <c r="H16" s="18">
        <v>0.58333333333333337</v>
      </c>
      <c r="I16" s="18">
        <v>0.75</v>
      </c>
      <c r="J16" s="18">
        <v>0.375</v>
      </c>
      <c r="K16" s="18">
        <v>0.83333333333333337</v>
      </c>
      <c r="L16" s="18">
        <v>0.625</v>
      </c>
      <c r="M16" s="19">
        <v>1.2083333333333333</v>
      </c>
      <c r="N16" s="8">
        <f t="shared" si="2"/>
        <v>5.25</v>
      </c>
      <c r="O16" s="8">
        <f t="shared" si="0"/>
        <v>5.25</v>
      </c>
    </row>
    <row r="17" spans="1:15">
      <c r="A17" s="1" t="s">
        <v>1</v>
      </c>
      <c r="B17" s="5" t="s">
        <v>34</v>
      </c>
      <c r="C17" s="18">
        <v>0</v>
      </c>
      <c r="D17" s="18">
        <v>0</v>
      </c>
      <c r="E17" s="59">
        <v>0</v>
      </c>
      <c r="F17" s="69"/>
      <c r="G17" s="17">
        <v>0</v>
      </c>
      <c r="H17" s="18">
        <v>0</v>
      </c>
      <c r="I17" s="18">
        <v>0.66666666666666663</v>
      </c>
      <c r="J17" s="18">
        <v>0</v>
      </c>
      <c r="K17" s="18">
        <v>0</v>
      </c>
      <c r="L17" s="18">
        <v>0</v>
      </c>
      <c r="M17" s="19">
        <v>0</v>
      </c>
      <c r="N17" s="8">
        <f t="shared" si="2"/>
        <v>0.66666666666666663</v>
      </c>
      <c r="O17" s="8">
        <f t="shared" si="0"/>
        <v>0.66666666666666663</v>
      </c>
    </row>
    <row r="18" spans="1:15">
      <c r="A18" s="1" t="s">
        <v>1</v>
      </c>
      <c r="B18" s="5" t="s">
        <v>35</v>
      </c>
      <c r="C18" s="18">
        <v>0</v>
      </c>
      <c r="D18" s="18">
        <v>0</v>
      </c>
      <c r="E18" s="59">
        <v>0</v>
      </c>
      <c r="F18" s="69"/>
      <c r="G18" s="17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0.29166666666666669</v>
      </c>
      <c r="M18" s="19">
        <v>0</v>
      </c>
      <c r="N18" s="8">
        <f t="shared" si="2"/>
        <v>0.29166666666666669</v>
      </c>
      <c r="O18" s="8">
        <f t="shared" si="0"/>
        <v>0.29166666666666669</v>
      </c>
    </row>
    <row r="19" spans="1:15">
      <c r="A19" s="1" t="s">
        <v>1</v>
      </c>
      <c r="B19" s="5" t="s">
        <v>36</v>
      </c>
      <c r="C19" s="18">
        <v>0</v>
      </c>
      <c r="D19" s="18">
        <v>0</v>
      </c>
      <c r="E19" s="59">
        <v>0.25</v>
      </c>
      <c r="F19" s="69">
        <f>SUM(C19:E19)</f>
        <v>0.25</v>
      </c>
      <c r="G19" s="17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9">
        <v>0</v>
      </c>
      <c r="N19" s="8"/>
      <c r="O19" s="8">
        <f t="shared" si="0"/>
        <v>0.25</v>
      </c>
    </row>
    <row r="20" spans="1:15">
      <c r="A20" s="1" t="s">
        <v>1</v>
      </c>
      <c r="B20" s="5" t="s">
        <v>37</v>
      </c>
      <c r="C20" s="18">
        <v>0</v>
      </c>
      <c r="D20" s="18">
        <v>0</v>
      </c>
      <c r="E20" s="59">
        <v>0</v>
      </c>
      <c r="F20" s="69"/>
      <c r="G20" s="17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9">
        <v>0</v>
      </c>
      <c r="N20" s="8"/>
      <c r="O20" s="8">
        <f t="shared" si="0"/>
        <v>0</v>
      </c>
    </row>
    <row r="21" spans="1:15">
      <c r="A21" s="1" t="s">
        <v>1</v>
      </c>
      <c r="B21" s="5" t="s">
        <v>38</v>
      </c>
      <c r="C21" s="18">
        <v>0</v>
      </c>
      <c r="D21" s="18">
        <v>0</v>
      </c>
      <c r="E21" s="59">
        <v>0</v>
      </c>
      <c r="F21" s="69"/>
      <c r="G21" s="17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9">
        <v>0</v>
      </c>
      <c r="N21" s="8"/>
      <c r="O21" s="8">
        <f t="shared" si="0"/>
        <v>0</v>
      </c>
    </row>
    <row r="22" spans="1:15">
      <c r="A22" s="1" t="s">
        <v>1</v>
      </c>
      <c r="B22" s="5" t="s">
        <v>39</v>
      </c>
      <c r="C22" s="18">
        <v>0.33333333333333331</v>
      </c>
      <c r="D22" s="18">
        <v>0</v>
      </c>
      <c r="E22" s="59">
        <v>0</v>
      </c>
      <c r="F22" s="69">
        <f>SUM(C22:E22)</f>
        <v>0.33333333333333331</v>
      </c>
      <c r="G22" s="17">
        <v>1.125</v>
      </c>
      <c r="H22" s="18">
        <v>1.7916666666666665</v>
      </c>
      <c r="I22" s="18">
        <v>1.4166666666666667</v>
      </c>
      <c r="J22" s="18">
        <v>1.1666666666666667</v>
      </c>
      <c r="K22" s="18">
        <v>1.3333333333333333</v>
      </c>
      <c r="L22" s="18">
        <v>0.625</v>
      </c>
      <c r="M22" s="19">
        <v>0.79166666666666663</v>
      </c>
      <c r="N22" s="8">
        <f>SUM(G22:M22)</f>
        <v>8.25</v>
      </c>
      <c r="O22" s="8">
        <f t="shared" si="0"/>
        <v>8.5833333333333339</v>
      </c>
    </row>
    <row r="23" spans="1:15" ht="19.5" thickBot="1">
      <c r="A23" s="1" t="s">
        <v>1</v>
      </c>
      <c r="B23" s="6" t="s">
        <v>40</v>
      </c>
      <c r="C23" s="39">
        <v>34.5</v>
      </c>
      <c r="D23" s="39">
        <v>15</v>
      </c>
      <c r="E23" s="60">
        <v>14.5</v>
      </c>
      <c r="F23" s="70">
        <f>SUM(C23:E23)</f>
        <v>64</v>
      </c>
      <c r="G23" s="38">
        <v>31</v>
      </c>
      <c r="H23" s="39">
        <v>28</v>
      </c>
      <c r="I23" s="39">
        <v>27</v>
      </c>
      <c r="J23" s="39">
        <v>29</v>
      </c>
      <c r="K23" s="39">
        <v>12</v>
      </c>
      <c r="L23" s="39">
        <v>8</v>
      </c>
      <c r="M23" s="40">
        <v>7</v>
      </c>
      <c r="N23" s="41">
        <f>SUM(G23:M23)</f>
        <v>142</v>
      </c>
      <c r="O23" s="41">
        <f t="shared" si="0"/>
        <v>206</v>
      </c>
    </row>
    <row r="24" spans="1:15">
      <c r="A24" s="1" t="s">
        <v>1</v>
      </c>
      <c r="B24" s="26" t="s">
        <v>41</v>
      </c>
      <c r="C24" s="36">
        <v>355000</v>
      </c>
      <c r="D24" s="36">
        <v>355000</v>
      </c>
      <c r="E24" s="61">
        <v>170000</v>
      </c>
      <c r="F24" s="71">
        <f>SUM(C24:E24)</f>
        <v>880000</v>
      </c>
      <c r="G24" s="35">
        <v>177000</v>
      </c>
      <c r="H24" s="36">
        <v>177000</v>
      </c>
      <c r="I24" s="36">
        <v>177000</v>
      </c>
      <c r="J24" s="36">
        <v>192000</v>
      </c>
      <c r="K24" s="36">
        <v>177000</v>
      </c>
      <c r="L24" s="36">
        <v>170000</v>
      </c>
      <c r="M24" s="37">
        <v>170000</v>
      </c>
      <c r="N24" s="37">
        <f>SUM(G24:M24)</f>
        <v>1240000</v>
      </c>
      <c r="O24" s="37">
        <f t="shared" si="0"/>
        <v>2120000</v>
      </c>
    </row>
    <row r="25" spans="1:15">
      <c r="A25" s="1" t="s">
        <v>1</v>
      </c>
      <c r="B25" s="5" t="s">
        <v>42</v>
      </c>
      <c r="C25" s="21">
        <v>0</v>
      </c>
      <c r="D25" s="21">
        <v>0</v>
      </c>
      <c r="E25" s="62">
        <v>0</v>
      </c>
      <c r="F25" s="72">
        <f t="shared" ref="F25:F66" si="3">SUM(C25:E25)</f>
        <v>0</v>
      </c>
      <c r="G25" s="20">
        <v>5000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2">
        <v>0</v>
      </c>
      <c r="N25" s="22">
        <f t="shared" ref="N25:N66" si="4">SUM(G25:M25)</f>
        <v>5000</v>
      </c>
      <c r="O25" s="22">
        <f t="shared" si="0"/>
        <v>5000</v>
      </c>
    </row>
    <row r="26" spans="1:15">
      <c r="A26" s="1" t="s">
        <v>1</v>
      </c>
      <c r="B26" s="5" t="s">
        <v>43</v>
      </c>
      <c r="C26" s="21">
        <v>0</v>
      </c>
      <c r="D26" s="21">
        <v>0</v>
      </c>
      <c r="E26" s="62">
        <v>6000</v>
      </c>
      <c r="F26" s="72">
        <f t="shared" si="3"/>
        <v>6000</v>
      </c>
      <c r="G26" s="20">
        <v>0</v>
      </c>
      <c r="H26" s="21">
        <v>10000</v>
      </c>
      <c r="I26" s="21">
        <v>0</v>
      </c>
      <c r="J26" s="21">
        <v>0</v>
      </c>
      <c r="K26" s="21">
        <v>0</v>
      </c>
      <c r="L26" s="21">
        <v>0</v>
      </c>
      <c r="M26" s="22">
        <v>0</v>
      </c>
      <c r="N26" s="22">
        <f t="shared" si="4"/>
        <v>10000</v>
      </c>
      <c r="O26" s="22">
        <f t="shared" si="0"/>
        <v>16000</v>
      </c>
    </row>
    <row r="27" spans="1:15">
      <c r="A27" s="1" t="s">
        <v>1</v>
      </c>
      <c r="B27" s="5" t="s">
        <v>44</v>
      </c>
      <c r="C27" s="21">
        <v>0</v>
      </c>
      <c r="D27" s="21">
        <v>0</v>
      </c>
      <c r="E27" s="62">
        <v>0</v>
      </c>
      <c r="F27" s="72">
        <f t="shared" si="3"/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2">
        <v>0</v>
      </c>
      <c r="N27" s="22">
        <f t="shared" si="4"/>
        <v>0</v>
      </c>
      <c r="O27" s="22">
        <f t="shared" si="0"/>
        <v>0</v>
      </c>
    </row>
    <row r="28" spans="1:15">
      <c r="A28" s="1" t="s">
        <v>1</v>
      </c>
      <c r="B28" s="5" t="s">
        <v>45</v>
      </c>
      <c r="C28" s="21">
        <v>0</v>
      </c>
      <c r="D28" s="21">
        <v>0</v>
      </c>
      <c r="E28" s="62">
        <v>0</v>
      </c>
      <c r="F28" s="72">
        <f t="shared" si="3"/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2">
        <v>0</v>
      </c>
      <c r="N28" s="22">
        <f t="shared" si="4"/>
        <v>0</v>
      </c>
      <c r="O28" s="22">
        <f t="shared" si="0"/>
        <v>0</v>
      </c>
    </row>
    <row r="29" spans="1:15">
      <c r="A29" s="1" t="s">
        <v>1</v>
      </c>
      <c r="B29" s="5" t="s">
        <v>46</v>
      </c>
      <c r="C29" s="21">
        <v>0</v>
      </c>
      <c r="D29" s="21">
        <v>0</v>
      </c>
      <c r="E29" s="62">
        <v>0</v>
      </c>
      <c r="F29" s="72">
        <f t="shared" si="3"/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2">
        <v>0</v>
      </c>
      <c r="N29" s="22">
        <f t="shared" si="4"/>
        <v>0</v>
      </c>
      <c r="O29" s="22">
        <f t="shared" si="0"/>
        <v>0</v>
      </c>
    </row>
    <row r="30" spans="1:15">
      <c r="A30" s="1" t="s">
        <v>1</v>
      </c>
      <c r="B30" s="5" t="s">
        <v>47</v>
      </c>
      <c r="C30" s="21">
        <v>0</v>
      </c>
      <c r="D30" s="21">
        <v>0</v>
      </c>
      <c r="E30" s="62">
        <v>0</v>
      </c>
      <c r="F30" s="72">
        <f t="shared" si="3"/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2">
        <v>0</v>
      </c>
      <c r="N30" s="22">
        <f t="shared" si="4"/>
        <v>0</v>
      </c>
      <c r="O30" s="22">
        <f t="shared" si="0"/>
        <v>0</v>
      </c>
    </row>
    <row r="31" spans="1:15">
      <c r="A31" s="1" t="s">
        <v>1</v>
      </c>
      <c r="B31" s="5" t="s">
        <v>48</v>
      </c>
      <c r="C31" s="21">
        <v>0</v>
      </c>
      <c r="D31" s="21">
        <v>0</v>
      </c>
      <c r="E31" s="62">
        <v>0</v>
      </c>
      <c r="F31" s="72">
        <f t="shared" si="3"/>
        <v>0</v>
      </c>
      <c r="G31" s="20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2">
        <v>0</v>
      </c>
      <c r="N31" s="22">
        <f t="shared" si="4"/>
        <v>0</v>
      </c>
      <c r="O31" s="22">
        <f t="shared" si="0"/>
        <v>0</v>
      </c>
    </row>
    <row r="32" spans="1:15">
      <c r="A32" s="1" t="s">
        <v>1</v>
      </c>
      <c r="B32" s="5" t="s">
        <v>49</v>
      </c>
      <c r="C32" s="21">
        <v>0</v>
      </c>
      <c r="D32" s="21">
        <v>0</v>
      </c>
      <c r="E32" s="62">
        <v>0</v>
      </c>
      <c r="F32" s="72">
        <f t="shared" si="3"/>
        <v>0</v>
      </c>
      <c r="G32" s="20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2">
        <v>0</v>
      </c>
      <c r="N32" s="22">
        <f t="shared" si="4"/>
        <v>0</v>
      </c>
      <c r="O32" s="22">
        <f t="shared" si="0"/>
        <v>0</v>
      </c>
    </row>
    <row r="33" spans="1:15">
      <c r="A33" s="1" t="s">
        <v>1</v>
      </c>
      <c r="B33" s="5" t="s">
        <v>50</v>
      </c>
      <c r="C33" s="21">
        <v>0</v>
      </c>
      <c r="D33" s="21">
        <v>0</v>
      </c>
      <c r="E33" s="62">
        <v>0</v>
      </c>
      <c r="F33" s="72">
        <f t="shared" si="3"/>
        <v>0</v>
      </c>
      <c r="G33" s="20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2">
        <v>0</v>
      </c>
      <c r="N33" s="22">
        <f t="shared" si="4"/>
        <v>0</v>
      </c>
      <c r="O33" s="22">
        <f t="shared" si="0"/>
        <v>0</v>
      </c>
    </row>
    <row r="34" spans="1:15">
      <c r="A34" s="1" t="s">
        <v>1</v>
      </c>
      <c r="B34" s="5" t="s">
        <v>51</v>
      </c>
      <c r="C34" s="21">
        <v>0</v>
      </c>
      <c r="D34" s="21">
        <v>0</v>
      </c>
      <c r="E34" s="62">
        <v>0</v>
      </c>
      <c r="F34" s="72">
        <f t="shared" si="3"/>
        <v>0</v>
      </c>
      <c r="G34" s="20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2">
        <v>0</v>
      </c>
      <c r="N34" s="22">
        <f t="shared" si="4"/>
        <v>0</v>
      </c>
      <c r="O34" s="22">
        <f t="shared" si="0"/>
        <v>0</v>
      </c>
    </row>
    <row r="35" spans="1:15">
      <c r="A35" s="1" t="s">
        <v>1</v>
      </c>
      <c r="B35" s="5" t="s">
        <v>52</v>
      </c>
      <c r="C35" s="21">
        <v>0</v>
      </c>
      <c r="D35" s="21">
        <v>0</v>
      </c>
      <c r="E35" s="62">
        <v>0</v>
      </c>
      <c r="F35" s="72">
        <f t="shared" si="3"/>
        <v>0</v>
      </c>
      <c r="G35" s="20">
        <v>2000</v>
      </c>
      <c r="H35" s="21">
        <v>2000</v>
      </c>
      <c r="I35" s="21">
        <v>2000</v>
      </c>
      <c r="J35" s="21">
        <v>2000</v>
      </c>
      <c r="K35" s="21">
        <v>1000</v>
      </c>
      <c r="L35" s="21">
        <v>0</v>
      </c>
      <c r="M35" s="22">
        <v>0</v>
      </c>
      <c r="N35" s="22">
        <f t="shared" si="4"/>
        <v>9000</v>
      </c>
      <c r="O35" s="22">
        <f t="shared" si="0"/>
        <v>9000</v>
      </c>
    </row>
    <row r="36" spans="1:15">
      <c r="A36" s="1" t="s">
        <v>1</v>
      </c>
      <c r="B36" s="5" t="s">
        <v>53</v>
      </c>
      <c r="C36" s="21">
        <v>0</v>
      </c>
      <c r="D36" s="21">
        <v>0</v>
      </c>
      <c r="E36" s="62">
        <v>0</v>
      </c>
      <c r="F36" s="72">
        <f t="shared" si="3"/>
        <v>0</v>
      </c>
      <c r="G36" s="20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2">
        <v>0</v>
      </c>
      <c r="N36" s="22">
        <f t="shared" si="4"/>
        <v>0</v>
      </c>
      <c r="O36" s="22">
        <f t="shared" si="0"/>
        <v>0</v>
      </c>
    </row>
    <row r="37" spans="1:15">
      <c r="A37" s="1" t="s">
        <v>1</v>
      </c>
      <c r="B37" s="5" t="s">
        <v>54</v>
      </c>
      <c r="C37" s="21">
        <v>0</v>
      </c>
      <c r="D37" s="21">
        <v>0</v>
      </c>
      <c r="E37" s="62">
        <v>0</v>
      </c>
      <c r="F37" s="72">
        <f t="shared" si="3"/>
        <v>0</v>
      </c>
      <c r="G37" s="20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2">
        <v>0</v>
      </c>
      <c r="N37" s="22">
        <f t="shared" si="4"/>
        <v>0</v>
      </c>
      <c r="O37" s="22">
        <f t="shared" si="0"/>
        <v>0</v>
      </c>
    </row>
    <row r="38" spans="1:15">
      <c r="A38" s="1" t="s">
        <v>1</v>
      </c>
      <c r="B38" s="5" t="s">
        <v>55</v>
      </c>
      <c r="C38" s="21">
        <v>0</v>
      </c>
      <c r="D38" s="21">
        <v>0</v>
      </c>
      <c r="E38" s="62">
        <v>0</v>
      </c>
      <c r="F38" s="72">
        <f t="shared" si="3"/>
        <v>0</v>
      </c>
      <c r="G38" s="20">
        <v>0</v>
      </c>
      <c r="H38" s="21">
        <v>12600</v>
      </c>
      <c r="I38" s="21">
        <v>0</v>
      </c>
      <c r="J38" s="21">
        <v>0</v>
      </c>
      <c r="K38" s="21">
        <v>0</v>
      </c>
      <c r="L38" s="21">
        <v>0</v>
      </c>
      <c r="M38" s="22">
        <v>0</v>
      </c>
      <c r="N38" s="22">
        <f t="shared" si="4"/>
        <v>12600</v>
      </c>
      <c r="O38" s="22">
        <f t="shared" si="0"/>
        <v>12600</v>
      </c>
    </row>
    <row r="39" spans="1:15">
      <c r="A39" s="1" t="s">
        <v>1</v>
      </c>
      <c r="B39" s="5" t="s">
        <v>56</v>
      </c>
      <c r="C39" s="21">
        <v>0</v>
      </c>
      <c r="D39" s="21">
        <v>0</v>
      </c>
      <c r="E39" s="62">
        <v>0</v>
      </c>
      <c r="F39" s="72">
        <f t="shared" si="3"/>
        <v>0</v>
      </c>
      <c r="G39" s="20">
        <v>0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2">
        <v>0</v>
      </c>
      <c r="N39" s="22">
        <f t="shared" si="4"/>
        <v>0</v>
      </c>
      <c r="O39" s="22">
        <f t="shared" si="0"/>
        <v>0</v>
      </c>
    </row>
    <row r="40" spans="1:15">
      <c r="A40" s="1" t="s">
        <v>1</v>
      </c>
      <c r="B40" s="5" t="s">
        <v>57</v>
      </c>
      <c r="C40" s="21">
        <v>0</v>
      </c>
      <c r="D40" s="21">
        <v>0</v>
      </c>
      <c r="E40" s="62">
        <v>0</v>
      </c>
      <c r="F40" s="72">
        <f t="shared" si="3"/>
        <v>0</v>
      </c>
      <c r="G40" s="20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2">
        <v>0</v>
      </c>
      <c r="N40" s="22">
        <f t="shared" si="4"/>
        <v>0</v>
      </c>
      <c r="O40" s="22">
        <f t="shared" si="0"/>
        <v>0</v>
      </c>
    </row>
    <row r="41" spans="1:15">
      <c r="A41" s="1" t="s">
        <v>1</v>
      </c>
      <c r="B41" s="5" t="s">
        <v>31</v>
      </c>
      <c r="C41" s="21">
        <v>0</v>
      </c>
      <c r="D41" s="21">
        <v>0</v>
      </c>
      <c r="E41" s="62">
        <v>3012</v>
      </c>
      <c r="F41" s="72">
        <f t="shared" si="3"/>
        <v>3012</v>
      </c>
      <c r="G41" s="20">
        <v>68900</v>
      </c>
      <c r="H41" s="21">
        <v>22635</v>
      </c>
      <c r="I41" s="21">
        <v>36180</v>
      </c>
      <c r="J41" s="21">
        <v>66838</v>
      </c>
      <c r="K41" s="21">
        <v>63984</v>
      </c>
      <c r="L41" s="21">
        <v>53466</v>
      </c>
      <c r="M41" s="22">
        <v>70015</v>
      </c>
      <c r="N41" s="22">
        <f t="shared" si="4"/>
        <v>382018</v>
      </c>
      <c r="O41" s="22">
        <f t="shared" si="0"/>
        <v>385030</v>
      </c>
    </row>
    <row r="42" spans="1:15">
      <c r="A42" s="1" t="s">
        <v>1</v>
      </c>
      <c r="B42" s="5" t="s">
        <v>58</v>
      </c>
      <c r="C42" s="21">
        <v>0</v>
      </c>
      <c r="D42" s="21">
        <v>0</v>
      </c>
      <c r="E42" s="62">
        <v>16270</v>
      </c>
      <c r="F42" s="72">
        <f t="shared" si="3"/>
        <v>16270</v>
      </c>
      <c r="G42" s="20">
        <v>47616</v>
      </c>
      <c r="H42" s="21">
        <v>48870</v>
      </c>
      <c r="I42" s="21">
        <v>13023</v>
      </c>
      <c r="J42" s="21">
        <v>47070</v>
      </c>
      <c r="K42" s="21">
        <v>24463</v>
      </c>
      <c r="L42" s="21">
        <v>16488</v>
      </c>
      <c r="M42" s="22">
        <v>10992</v>
      </c>
      <c r="N42" s="22">
        <f t="shared" si="4"/>
        <v>208522</v>
      </c>
      <c r="O42" s="22">
        <f t="shared" si="0"/>
        <v>224792</v>
      </c>
    </row>
    <row r="43" spans="1:15">
      <c r="A43" s="1" t="s">
        <v>1</v>
      </c>
      <c r="B43" s="5" t="s">
        <v>59</v>
      </c>
      <c r="C43" s="21">
        <v>0</v>
      </c>
      <c r="D43" s="21">
        <v>0</v>
      </c>
      <c r="E43" s="62">
        <v>0</v>
      </c>
      <c r="F43" s="72">
        <f t="shared" si="3"/>
        <v>0</v>
      </c>
      <c r="G43" s="20">
        <v>31248</v>
      </c>
      <c r="H43" s="21">
        <v>22806</v>
      </c>
      <c r="I43" s="21">
        <v>26046</v>
      </c>
      <c r="J43" s="21">
        <v>14121</v>
      </c>
      <c r="K43" s="21">
        <v>28780</v>
      </c>
      <c r="L43" s="21">
        <v>20610</v>
      </c>
      <c r="M43" s="22">
        <v>39846</v>
      </c>
      <c r="N43" s="22">
        <f t="shared" si="4"/>
        <v>183457</v>
      </c>
      <c r="O43" s="22">
        <f t="shared" si="0"/>
        <v>183457</v>
      </c>
    </row>
    <row r="44" spans="1:15">
      <c r="A44" s="1" t="s">
        <v>1</v>
      </c>
      <c r="B44" s="5" t="s">
        <v>60</v>
      </c>
      <c r="C44" s="21">
        <v>0</v>
      </c>
      <c r="D44" s="21">
        <v>0</v>
      </c>
      <c r="E44" s="62">
        <v>0</v>
      </c>
      <c r="F44" s="72">
        <f t="shared" si="3"/>
        <v>0</v>
      </c>
      <c r="G44" s="20">
        <v>0</v>
      </c>
      <c r="H44" s="21">
        <v>0</v>
      </c>
      <c r="I44" s="21">
        <v>6000</v>
      </c>
      <c r="J44" s="21">
        <v>0</v>
      </c>
      <c r="K44" s="21">
        <v>0</v>
      </c>
      <c r="L44" s="21">
        <v>0</v>
      </c>
      <c r="M44" s="22">
        <v>0</v>
      </c>
      <c r="N44" s="22">
        <f t="shared" si="4"/>
        <v>6000</v>
      </c>
      <c r="O44" s="22">
        <f t="shared" si="0"/>
        <v>6000</v>
      </c>
    </row>
    <row r="45" spans="1:15">
      <c r="A45" s="1" t="s">
        <v>1</v>
      </c>
      <c r="B45" s="5" t="s">
        <v>61</v>
      </c>
      <c r="C45" s="21">
        <v>0</v>
      </c>
      <c r="D45" s="21">
        <v>0</v>
      </c>
      <c r="E45" s="62">
        <v>0</v>
      </c>
      <c r="F45" s="72">
        <f t="shared" si="3"/>
        <v>0</v>
      </c>
      <c r="G45" s="20">
        <v>0</v>
      </c>
      <c r="H45" s="21">
        <v>0</v>
      </c>
      <c r="I45" s="21">
        <v>0</v>
      </c>
      <c r="J45" s="21">
        <v>0</v>
      </c>
      <c r="K45" s="21">
        <v>0</v>
      </c>
      <c r="L45" s="21">
        <v>2492</v>
      </c>
      <c r="M45" s="22">
        <v>0</v>
      </c>
      <c r="N45" s="22">
        <f t="shared" si="4"/>
        <v>2492</v>
      </c>
      <c r="O45" s="22">
        <f t="shared" si="0"/>
        <v>2492</v>
      </c>
    </row>
    <row r="46" spans="1:15">
      <c r="A46" s="1" t="s">
        <v>1</v>
      </c>
      <c r="B46" s="5" t="s">
        <v>62</v>
      </c>
      <c r="C46" s="21">
        <v>0</v>
      </c>
      <c r="D46" s="21">
        <v>0</v>
      </c>
      <c r="E46" s="62">
        <v>0</v>
      </c>
      <c r="F46" s="72">
        <f t="shared" si="3"/>
        <v>0</v>
      </c>
      <c r="G46" s="20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2">
        <v>0</v>
      </c>
      <c r="N46" s="22">
        <f t="shared" si="4"/>
        <v>0</v>
      </c>
      <c r="O46" s="22">
        <f t="shared" si="0"/>
        <v>0</v>
      </c>
    </row>
    <row r="47" spans="1:15">
      <c r="A47" s="1" t="s">
        <v>1</v>
      </c>
      <c r="B47" s="5" t="s">
        <v>36</v>
      </c>
      <c r="C47" s="21">
        <v>0</v>
      </c>
      <c r="D47" s="21">
        <v>0</v>
      </c>
      <c r="E47" s="62">
        <v>7230</v>
      </c>
      <c r="F47" s="72">
        <f t="shared" si="3"/>
        <v>7230</v>
      </c>
      <c r="G47" s="20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2">
        <v>0</v>
      </c>
      <c r="N47" s="22">
        <f t="shared" si="4"/>
        <v>0</v>
      </c>
      <c r="O47" s="22">
        <f t="shared" si="0"/>
        <v>7230</v>
      </c>
    </row>
    <row r="48" spans="1:15" ht="19.5" thickBot="1">
      <c r="A48" s="1" t="s">
        <v>1</v>
      </c>
      <c r="B48" s="42" t="s">
        <v>39</v>
      </c>
      <c r="C48" s="44">
        <v>4256</v>
      </c>
      <c r="D48" s="44">
        <v>0</v>
      </c>
      <c r="E48" s="63">
        <v>0</v>
      </c>
      <c r="F48" s="73">
        <f t="shared" si="3"/>
        <v>4256</v>
      </c>
      <c r="G48" s="43">
        <v>7452</v>
      </c>
      <c r="H48" s="44">
        <v>12986</v>
      </c>
      <c r="I48" s="44">
        <v>9112</v>
      </c>
      <c r="J48" s="44">
        <v>8148</v>
      </c>
      <c r="K48" s="44">
        <v>8544</v>
      </c>
      <c r="L48" s="44">
        <v>3825</v>
      </c>
      <c r="M48" s="45">
        <v>4845</v>
      </c>
      <c r="N48" s="45">
        <f t="shared" si="4"/>
        <v>54912</v>
      </c>
      <c r="O48" s="45">
        <f t="shared" si="0"/>
        <v>59168</v>
      </c>
    </row>
    <row r="49" spans="1:15" ht="19.5" thickBot="1">
      <c r="A49" s="1" t="s">
        <v>1</v>
      </c>
      <c r="B49" s="46" t="s">
        <v>63</v>
      </c>
      <c r="C49" s="48">
        <v>359256</v>
      </c>
      <c r="D49" s="48">
        <v>355000</v>
      </c>
      <c r="E49" s="64">
        <v>202512</v>
      </c>
      <c r="F49" s="74">
        <f t="shared" si="3"/>
        <v>916768</v>
      </c>
      <c r="G49" s="47">
        <v>339216</v>
      </c>
      <c r="H49" s="48">
        <v>308897</v>
      </c>
      <c r="I49" s="48">
        <v>269361</v>
      </c>
      <c r="J49" s="48">
        <v>330177</v>
      </c>
      <c r="K49" s="48">
        <v>303771</v>
      </c>
      <c r="L49" s="48">
        <v>266881</v>
      </c>
      <c r="M49" s="49">
        <v>295698</v>
      </c>
      <c r="N49" s="49">
        <f t="shared" si="4"/>
        <v>2114001</v>
      </c>
      <c r="O49" s="49">
        <f t="shared" si="0"/>
        <v>3030769</v>
      </c>
    </row>
    <row r="50" spans="1:15" ht="19.5" thickBot="1">
      <c r="A50" s="1" t="s">
        <v>1</v>
      </c>
      <c r="B50" s="26" t="s">
        <v>64</v>
      </c>
      <c r="C50" s="36">
        <v>7342</v>
      </c>
      <c r="D50" s="36">
        <v>16501</v>
      </c>
      <c r="E50" s="61">
        <v>516</v>
      </c>
      <c r="F50" s="71">
        <f t="shared" si="3"/>
        <v>24359</v>
      </c>
      <c r="G50" s="35">
        <v>8840</v>
      </c>
      <c r="H50" s="36">
        <v>2358</v>
      </c>
      <c r="I50" s="36">
        <v>2259</v>
      </c>
      <c r="J50" s="36">
        <v>10731</v>
      </c>
      <c r="K50" s="36">
        <v>5304</v>
      </c>
      <c r="L50" s="36">
        <v>6777</v>
      </c>
      <c r="M50" s="37">
        <v>1179</v>
      </c>
      <c r="N50" s="37">
        <f t="shared" si="4"/>
        <v>37448</v>
      </c>
      <c r="O50" s="37">
        <f t="shared" si="0"/>
        <v>61807</v>
      </c>
    </row>
    <row r="51" spans="1:15" ht="19.5" thickBot="1">
      <c r="A51" s="1" t="s">
        <v>1</v>
      </c>
      <c r="B51" s="46" t="s">
        <v>65</v>
      </c>
      <c r="C51" s="48">
        <v>7342</v>
      </c>
      <c r="D51" s="48">
        <v>16501</v>
      </c>
      <c r="E51" s="64">
        <v>516</v>
      </c>
      <c r="F51" s="74">
        <f t="shared" si="3"/>
        <v>24359</v>
      </c>
      <c r="G51" s="47">
        <v>8840</v>
      </c>
      <c r="H51" s="48">
        <v>2358</v>
      </c>
      <c r="I51" s="48">
        <v>2259</v>
      </c>
      <c r="J51" s="48">
        <v>10731</v>
      </c>
      <c r="K51" s="48">
        <v>5304</v>
      </c>
      <c r="L51" s="48">
        <v>6777</v>
      </c>
      <c r="M51" s="49">
        <v>1179</v>
      </c>
      <c r="N51" s="49">
        <f t="shared" si="4"/>
        <v>37448</v>
      </c>
      <c r="O51" s="49">
        <f t="shared" si="0"/>
        <v>61807</v>
      </c>
    </row>
    <row r="52" spans="1:15" ht="19.5" thickBot="1">
      <c r="A52" s="1" t="s">
        <v>1</v>
      </c>
      <c r="B52" s="46" t="s">
        <v>66</v>
      </c>
      <c r="C52" s="48">
        <v>366598</v>
      </c>
      <c r="D52" s="48">
        <v>371501</v>
      </c>
      <c r="E52" s="64">
        <v>203028</v>
      </c>
      <c r="F52" s="74">
        <f t="shared" si="3"/>
        <v>941127</v>
      </c>
      <c r="G52" s="47">
        <v>348056</v>
      </c>
      <c r="H52" s="48">
        <v>311255</v>
      </c>
      <c r="I52" s="48">
        <v>271620</v>
      </c>
      <c r="J52" s="48">
        <v>340908</v>
      </c>
      <c r="K52" s="48">
        <v>309075</v>
      </c>
      <c r="L52" s="48">
        <v>273658</v>
      </c>
      <c r="M52" s="49">
        <v>296877</v>
      </c>
      <c r="N52" s="49">
        <f t="shared" si="4"/>
        <v>2151449</v>
      </c>
      <c r="O52" s="49">
        <f t="shared" si="0"/>
        <v>3092576</v>
      </c>
    </row>
    <row r="53" spans="1:15">
      <c r="A53" s="1" t="s">
        <v>1</v>
      </c>
      <c r="B53" s="26" t="s">
        <v>67</v>
      </c>
      <c r="C53" s="36">
        <v>17340</v>
      </c>
      <c r="D53" s="36">
        <v>18360</v>
      </c>
      <c r="E53" s="61">
        <v>11220</v>
      </c>
      <c r="F53" s="71">
        <f t="shared" si="3"/>
        <v>46920</v>
      </c>
      <c r="G53" s="35">
        <v>19380</v>
      </c>
      <c r="H53" s="36">
        <v>16320</v>
      </c>
      <c r="I53" s="36">
        <v>16320</v>
      </c>
      <c r="J53" s="36">
        <v>17340</v>
      </c>
      <c r="K53" s="36">
        <v>15300</v>
      </c>
      <c r="L53" s="36">
        <v>15300</v>
      </c>
      <c r="M53" s="37">
        <v>15300</v>
      </c>
      <c r="N53" s="37">
        <f t="shared" si="4"/>
        <v>115260</v>
      </c>
      <c r="O53" s="37">
        <f t="shared" si="0"/>
        <v>162180</v>
      </c>
    </row>
    <row r="54" spans="1:15">
      <c r="A54" s="1" t="s">
        <v>1</v>
      </c>
      <c r="B54" s="5" t="s">
        <v>68</v>
      </c>
      <c r="C54" s="21">
        <v>3060</v>
      </c>
      <c r="D54" s="21">
        <v>3240</v>
      </c>
      <c r="E54" s="62">
        <v>0</v>
      </c>
      <c r="F54" s="72">
        <f t="shared" si="3"/>
        <v>6300</v>
      </c>
      <c r="G54" s="20">
        <v>3420</v>
      </c>
      <c r="H54" s="21">
        <v>2880</v>
      </c>
      <c r="I54" s="21">
        <v>2880</v>
      </c>
      <c r="J54" s="21">
        <v>3060</v>
      </c>
      <c r="K54" s="21">
        <v>2700</v>
      </c>
      <c r="L54" s="21">
        <v>2700</v>
      </c>
      <c r="M54" s="22">
        <v>2700</v>
      </c>
      <c r="N54" s="22">
        <f t="shared" si="4"/>
        <v>20340</v>
      </c>
      <c r="O54" s="22">
        <f t="shared" si="0"/>
        <v>26640</v>
      </c>
    </row>
    <row r="55" spans="1:15">
      <c r="A55" s="1" t="s">
        <v>1</v>
      </c>
      <c r="B55" s="5" t="s">
        <v>69</v>
      </c>
      <c r="C55" s="21">
        <v>31110</v>
      </c>
      <c r="D55" s="21">
        <v>32940</v>
      </c>
      <c r="E55" s="62">
        <v>20130</v>
      </c>
      <c r="F55" s="72">
        <f t="shared" si="3"/>
        <v>84180</v>
      </c>
      <c r="G55" s="20">
        <v>34770</v>
      </c>
      <c r="H55" s="21">
        <v>29280</v>
      </c>
      <c r="I55" s="21">
        <v>29280</v>
      </c>
      <c r="J55" s="21">
        <v>31110</v>
      </c>
      <c r="K55" s="21">
        <v>27450</v>
      </c>
      <c r="L55" s="21">
        <v>27450</v>
      </c>
      <c r="M55" s="22">
        <v>27450</v>
      </c>
      <c r="N55" s="22">
        <f t="shared" si="4"/>
        <v>206790</v>
      </c>
      <c r="O55" s="22">
        <f t="shared" si="0"/>
        <v>290970</v>
      </c>
    </row>
    <row r="56" spans="1:15" ht="19.5" thickBot="1">
      <c r="A56" s="1" t="s">
        <v>1</v>
      </c>
      <c r="B56" s="5" t="s">
        <v>70</v>
      </c>
      <c r="C56" s="21">
        <v>1833</v>
      </c>
      <c r="D56" s="21">
        <v>1858</v>
      </c>
      <c r="E56" s="62">
        <v>1015</v>
      </c>
      <c r="F56" s="72">
        <f t="shared" si="3"/>
        <v>4706</v>
      </c>
      <c r="G56" s="20">
        <v>1740</v>
      </c>
      <c r="H56" s="21">
        <v>1556</v>
      </c>
      <c r="I56" s="21">
        <v>1358</v>
      </c>
      <c r="J56" s="21">
        <v>1705</v>
      </c>
      <c r="K56" s="21">
        <v>1545</v>
      </c>
      <c r="L56" s="21">
        <v>1368</v>
      </c>
      <c r="M56" s="22">
        <v>1484</v>
      </c>
      <c r="N56" s="22">
        <f t="shared" si="4"/>
        <v>10756</v>
      </c>
      <c r="O56" s="22">
        <f t="shared" si="0"/>
        <v>15462</v>
      </c>
    </row>
    <row r="57" spans="1:15" ht="19.5" thickBot="1">
      <c r="A57" s="1" t="s">
        <v>1</v>
      </c>
      <c r="B57" s="46" t="s">
        <v>71</v>
      </c>
      <c r="C57" s="48">
        <v>53343</v>
      </c>
      <c r="D57" s="48">
        <v>56398</v>
      </c>
      <c r="E57" s="64">
        <v>32365</v>
      </c>
      <c r="F57" s="74">
        <f t="shared" si="3"/>
        <v>142106</v>
      </c>
      <c r="G57" s="47">
        <v>59310</v>
      </c>
      <c r="H57" s="48">
        <v>50036</v>
      </c>
      <c r="I57" s="48">
        <v>49838</v>
      </c>
      <c r="J57" s="48">
        <v>53215</v>
      </c>
      <c r="K57" s="48">
        <v>46995</v>
      </c>
      <c r="L57" s="48">
        <v>46818</v>
      </c>
      <c r="M57" s="49">
        <v>46934</v>
      </c>
      <c r="N57" s="49">
        <f t="shared" si="4"/>
        <v>353146</v>
      </c>
      <c r="O57" s="49">
        <f t="shared" si="0"/>
        <v>495252</v>
      </c>
    </row>
    <row r="58" spans="1:15">
      <c r="A58" s="1" t="s">
        <v>1</v>
      </c>
      <c r="B58" s="26" t="s">
        <v>72</v>
      </c>
      <c r="C58" s="36">
        <v>8860</v>
      </c>
      <c r="D58" s="36">
        <v>8290</v>
      </c>
      <c r="E58" s="61">
        <v>3700</v>
      </c>
      <c r="F58" s="71">
        <f t="shared" si="3"/>
        <v>20850</v>
      </c>
      <c r="G58" s="35">
        <v>4390</v>
      </c>
      <c r="H58" s="36">
        <v>3630</v>
      </c>
      <c r="I58" s="36">
        <v>5460</v>
      </c>
      <c r="J58" s="36">
        <v>7510</v>
      </c>
      <c r="K58" s="36">
        <v>3560</v>
      </c>
      <c r="L58" s="36">
        <v>5480</v>
      </c>
      <c r="M58" s="37">
        <v>4890</v>
      </c>
      <c r="N58" s="37">
        <f t="shared" si="4"/>
        <v>34920</v>
      </c>
      <c r="O58" s="37">
        <f t="shared" si="0"/>
        <v>55770</v>
      </c>
    </row>
    <row r="59" spans="1:15">
      <c r="A59" s="1" t="s">
        <v>1</v>
      </c>
      <c r="B59" s="5" t="s">
        <v>73</v>
      </c>
      <c r="C59" s="21">
        <v>0</v>
      </c>
      <c r="D59" s="21">
        <v>0</v>
      </c>
      <c r="E59" s="62">
        <v>0</v>
      </c>
      <c r="F59" s="72">
        <f t="shared" si="3"/>
        <v>0</v>
      </c>
      <c r="G59" s="20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2">
        <v>0</v>
      </c>
      <c r="N59" s="22">
        <f t="shared" si="4"/>
        <v>0</v>
      </c>
      <c r="O59" s="22">
        <f t="shared" ref="O59:O66" si="5">F59+N59</f>
        <v>0</v>
      </c>
    </row>
    <row r="60" spans="1:15">
      <c r="A60" s="1" t="s">
        <v>1</v>
      </c>
      <c r="B60" s="5" t="s">
        <v>74</v>
      </c>
      <c r="C60" s="21">
        <v>14100</v>
      </c>
      <c r="D60" s="21">
        <v>15500</v>
      </c>
      <c r="E60" s="62">
        <v>5500</v>
      </c>
      <c r="F60" s="72">
        <f t="shared" si="3"/>
        <v>35100</v>
      </c>
      <c r="G60" s="20">
        <v>7700</v>
      </c>
      <c r="H60" s="21">
        <v>9200</v>
      </c>
      <c r="I60" s="21">
        <v>12700</v>
      </c>
      <c r="J60" s="21">
        <v>14400</v>
      </c>
      <c r="K60" s="21">
        <v>9200</v>
      </c>
      <c r="L60" s="21">
        <v>10700</v>
      </c>
      <c r="M60" s="22">
        <v>12800</v>
      </c>
      <c r="N60" s="22">
        <f t="shared" si="4"/>
        <v>76700</v>
      </c>
      <c r="O60" s="22">
        <f t="shared" si="5"/>
        <v>111800</v>
      </c>
    </row>
    <row r="61" spans="1:15" ht="19.5" thickBot="1">
      <c r="A61" s="1" t="s">
        <v>1</v>
      </c>
      <c r="B61" s="5" t="s">
        <v>75</v>
      </c>
      <c r="C61" s="21">
        <v>0</v>
      </c>
      <c r="D61" s="21">
        <v>0</v>
      </c>
      <c r="E61" s="62">
        <v>0</v>
      </c>
      <c r="F61" s="72">
        <f t="shared" si="3"/>
        <v>0</v>
      </c>
      <c r="G61" s="20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2">
        <v>0</v>
      </c>
      <c r="N61" s="22">
        <f t="shared" si="4"/>
        <v>0</v>
      </c>
      <c r="O61" s="22">
        <f t="shared" si="5"/>
        <v>0</v>
      </c>
    </row>
    <row r="62" spans="1:15" ht="19.5" thickBot="1">
      <c r="A62" s="1" t="s">
        <v>1</v>
      </c>
      <c r="B62" s="46" t="s">
        <v>76</v>
      </c>
      <c r="C62" s="48">
        <v>76303</v>
      </c>
      <c r="D62" s="48">
        <v>80188</v>
      </c>
      <c r="E62" s="64">
        <v>41565</v>
      </c>
      <c r="F62" s="74">
        <f t="shared" si="3"/>
        <v>198056</v>
      </c>
      <c r="G62" s="47">
        <v>71400</v>
      </c>
      <c r="H62" s="48">
        <v>62866</v>
      </c>
      <c r="I62" s="48">
        <v>67998</v>
      </c>
      <c r="J62" s="48">
        <v>75125</v>
      </c>
      <c r="K62" s="48">
        <v>59755</v>
      </c>
      <c r="L62" s="48">
        <v>62998</v>
      </c>
      <c r="M62" s="49">
        <v>64624</v>
      </c>
      <c r="N62" s="49">
        <f t="shared" si="4"/>
        <v>464766</v>
      </c>
      <c r="O62" s="49">
        <f t="shared" si="5"/>
        <v>662822</v>
      </c>
    </row>
    <row r="63" spans="1:15" ht="19.5" thickBot="1">
      <c r="A63" s="1" t="s">
        <v>1</v>
      </c>
      <c r="B63" s="46" t="s">
        <v>77</v>
      </c>
      <c r="C63" s="48">
        <v>305913</v>
      </c>
      <c r="D63" s="48">
        <v>298602</v>
      </c>
      <c r="E63" s="64">
        <v>170147</v>
      </c>
      <c r="F63" s="74">
        <f t="shared" si="3"/>
        <v>774662</v>
      </c>
      <c r="G63" s="47">
        <v>279906</v>
      </c>
      <c r="H63" s="48">
        <v>258861</v>
      </c>
      <c r="I63" s="48">
        <v>219523</v>
      </c>
      <c r="J63" s="48">
        <v>276962</v>
      </c>
      <c r="K63" s="48">
        <v>256776</v>
      </c>
      <c r="L63" s="48">
        <v>220063</v>
      </c>
      <c r="M63" s="49">
        <v>248764</v>
      </c>
      <c r="N63" s="49">
        <f t="shared" si="4"/>
        <v>1760855</v>
      </c>
      <c r="O63" s="49">
        <f t="shared" si="5"/>
        <v>2535517</v>
      </c>
    </row>
    <row r="64" spans="1:15" ht="19.5" thickBot="1">
      <c r="A64" s="1" t="s">
        <v>1</v>
      </c>
      <c r="B64" s="46" t="s">
        <v>78</v>
      </c>
      <c r="C64" s="48">
        <v>290295</v>
      </c>
      <c r="D64" s="48">
        <v>291313</v>
      </c>
      <c r="E64" s="64">
        <v>161463</v>
      </c>
      <c r="F64" s="74">
        <f t="shared" si="3"/>
        <v>743071</v>
      </c>
      <c r="G64" s="47">
        <v>276656</v>
      </c>
      <c r="H64" s="48">
        <v>248389</v>
      </c>
      <c r="I64" s="48">
        <v>203622</v>
      </c>
      <c r="J64" s="48">
        <v>265783</v>
      </c>
      <c r="K64" s="48">
        <v>249320</v>
      </c>
      <c r="L64" s="48">
        <v>210660</v>
      </c>
      <c r="M64" s="49">
        <v>232253</v>
      </c>
      <c r="N64" s="49">
        <f t="shared" si="4"/>
        <v>1686683</v>
      </c>
      <c r="O64" s="49">
        <f t="shared" si="5"/>
        <v>2429754</v>
      </c>
    </row>
    <row r="65" spans="1:15">
      <c r="A65" s="1" t="s">
        <v>1</v>
      </c>
      <c r="B65" s="26" t="s">
        <v>79</v>
      </c>
      <c r="C65" s="36">
        <v>0</v>
      </c>
      <c r="D65" s="36">
        <v>0</v>
      </c>
      <c r="E65" s="61">
        <v>0</v>
      </c>
      <c r="F65" s="71">
        <f t="shared" si="3"/>
        <v>0</v>
      </c>
      <c r="G65" s="35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7">
        <v>0</v>
      </c>
      <c r="N65" s="37">
        <f t="shared" si="4"/>
        <v>0</v>
      </c>
      <c r="O65" s="37">
        <f t="shared" si="5"/>
        <v>0</v>
      </c>
    </row>
    <row r="66" spans="1:15">
      <c r="A66" s="1" t="s">
        <v>1</v>
      </c>
      <c r="B66" s="5" t="s">
        <v>80</v>
      </c>
      <c r="C66" s="21">
        <v>290295</v>
      </c>
      <c r="D66" s="21">
        <v>291313</v>
      </c>
      <c r="E66" s="62">
        <v>161463</v>
      </c>
      <c r="F66" s="72">
        <f t="shared" si="3"/>
        <v>743071</v>
      </c>
      <c r="G66" s="20">
        <v>276656</v>
      </c>
      <c r="H66" s="21">
        <v>248389</v>
      </c>
      <c r="I66" s="21">
        <v>203622</v>
      </c>
      <c r="J66" s="21">
        <v>265783</v>
      </c>
      <c r="K66" s="21">
        <v>249320</v>
      </c>
      <c r="L66" s="21">
        <v>210660</v>
      </c>
      <c r="M66" s="22">
        <v>232253</v>
      </c>
      <c r="N66" s="22">
        <f t="shared" si="4"/>
        <v>1686683</v>
      </c>
      <c r="O66" s="22">
        <f t="shared" si="5"/>
        <v>2429754</v>
      </c>
    </row>
    <row r="67" spans="1:15">
      <c r="A67" s="1" t="s">
        <v>1</v>
      </c>
      <c r="B67" s="5" t="s">
        <v>81</v>
      </c>
      <c r="C67" s="21">
        <v>0</v>
      </c>
      <c r="D67" s="50"/>
      <c r="E67" s="65"/>
      <c r="F67" s="72"/>
      <c r="G67" s="20">
        <v>2</v>
      </c>
      <c r="H67" s="21">
        <v>2</v>
      </c>
      <c r="I67" s="21">
        <v>0</v>
      </c>
      <c r="J67" s="21">
        <v>0</v>
      </c>
      <c r="K67" s="21">
        <v>2</v>
      </c>
      <c r="L67" s="21">
        <v>0</v>
      </c>
      <c r="M67" s="22">
        <v>1</v>
      </c>
      <c r="N67" s="9"/>
      <c r="O67" s="9"/>
    </row>
    <row r="68" spans="1:15" ht="19.5" thickBot="1">
      <c r="A68" s="1" t="s">
        <v>1</v>
      </c>
      <c r="B68" s="6" t="s">
        <v>82</v>
      </c>
      <c r="C68" s="24" t="s">
        <v>83</v>
      </c>
      <c r="D68" s="24" t="s">
        <v>83</v>
      </c>
      <c r="E68" s="66" t="s">
        <v>83</v>
      </c>
      <c r="F68" s="75"/>
      <c r="G68" s="23" t="s">
        <v>83</v>
      </c>
      <c r="H68" s="24" t="s">
        <v>83</v>
      </c>
      <c r="I68" s="24" t="s">
        <v>83</v>
      </c>
      <c r="J68" s="24" t="s">
        <v>83</v>
      </c>
      <c r="K68" s="24" t="s">
        <v>83</v>
      </c>
      <c r="L68" s="24" t="s">
        <v>83</v>
      </c>
      <c r="M68" s="25" t="s">
        <v>83</v>
      </c>
      <c r="N68" s="10"/>
      <c r="O68" s="10"/>
    </row>
  </sheetData>
  <phoneticPr fontId="4"/>
  <pageMargins left="0.31496062992125984" right="0.11811023622047245" top="0.55118110236220474" bottom="0.15748031496062992" header="0.31496062992125984" footer="0.31496062992125984"/>
  <pageSetup paperSize="12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2022年11月度給与 (2)</vt:lpstr>
      <vt:lpstr>'2022年11月度給与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2022-12-15T23:56:44Z</cp:lastPrinted>
  <dcterms:created xsi:type="dcterms:W3CDTF">2022-12-07T01:38:43Z</dcterms:created>
  <dcterms:modified xsi:type="dcterms:W3CDTF">2022-12-15T23:56:46Z</dcterms:modified>
</cp:coreProperties>
</file>