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坂田先生←→若林運送小名浜営業所\小名浜　2022年\2022年8月\"/>
    </mc:Choice>
  </mc:AlternateContent>
  <xr:revisionPtr revIDLastSave="0" documentId="13_ncr:1_{F48BE58C-A8E8-44A9-8211-828ECE931F7D}" xr6:coauthVersionLast="47" xr6:coauthVersionMax="47" xr10:uidLastSave="{00000000-0000-0000-0000-000000000000}"/>
  <bookViews>
    <workbookView xWindow="-120" yWindow="-120" windowWidth="20730" windowHeight="11160" xr2:uid="{6EDCA8FA-8D48-497F-8A9A-B10D1E75CFBB}"/>
  </bookViews>
  <sheets>
    <sheet name="2022年 8月度給与" sheetId="2" r:id="rId1"/>
    <sheet name="2022年 8月度給与 (2)" sheetId="3" r:id="rId2"/>
    <sheet name="2022年 8月度給与 (3)" sheetId="4" r:id="rId3"/>
    <sheet name="2022年 8月度給与 (4)" sheetId="5" r:id="rId4"/>
  </sheets>
  <definedNames>
    <definedName name="_xlnm.Print_Area" localSheetId="2">'2022年 8月度給与 (3)'!$A$1:$O$67</definedName>
    <definedName name="_xlnm.Print_Area" localSheetId="3">'2022年 8月度給与 (4)'!$A$1:$T$67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65" i="5" l="1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1" i="5"/>
  <c r="T10" i="5"/>
  <c r="T9" i="5"/>
  <c r="T8" i="5"/>
  <c r="T7" i="5"/>
  <c r="T6" i="5"/>
  <c r="T5" i="5"/>
  <c r="N65" i="4"/>
  <c r="L65" i="4"/>
  <c r="N64" i="4"/>
  <c r="L64" i="4"/>
  <c r="N63" i="4"/>
  <c r="L63" i="4"/>
  <c r="N62" i="4"/>
  <c r="L62" i="4"/>
  <c r="N61" i="4"/>
  <c r="L61" i="4"/>
  <c r="N60" i="4"/>
  <c r="L60" i="4"/>
  <c r="N59" i="4"/>
  <c r="L59" i="4"/>
  <c r="N58" i="4"/>
  <c r="L58" i="4"/>
  <c r="N57" i="4"/>
  <c r="L57" i="4"/>
  <c r="N56" i="4"/>
  <c r="L56" i="4"/>
  <c r="N55" i="4"/>
  <c r="L55" i="4"/>
  <c r="N54" i="4"/>
  <c r="L54" i="4"/>
  <c r="N53" i="4"/>
  <c r="L53" i="4"/>
  <c r="N52" i="4"/>
  <c r="L52" i="4"/>
  <c r="N51" i="4"/>
  <c r="L51" i="4"/>
  <c r="N50" i="4"/>
  <c r="L50" i="4"/>
  <c r="N49" i="4"/>
  <c r="L49" i="4"/>
  <c r="N48" i="4"/>
  <c r="L48" i="4"/>
  <c r="N47" i="4"/>
  <c r="L47" i="4"/>
  <c r="N46" i="4"/>
  <c r="L46" i="4"/>
  <c r="N45" i="4"/>
  <c r="L45" i="4"/>
  <c r="N44" i="4"/>
  <c r="L44" i="4"/>
  <c r="N43" i="4"/>
  <c r="L43" i="4"/>
  <c r="N42" i="4"/>
  <c r="L42" i="4"/>
  <c r="N41" i="4"/>
  <c r="L41" i="4"/>
  <c r="N40" i="4"/>
  <c r="L40" i="4"/>
  <c r="N39" i="4"/>
  <c r="L39" i="4"/>
  <c r="N38" i="4"/>
  <c r="L38" i="4"/>
  <c r="N37" i="4"/>
  <c r="L37" i="4"/>
  <c r="N36" i="4"/>
  <c r="L36" i="4"/>
  <c r="N35" i="4"/>
  <c r="L35" i="4"/>
  <c r="N34" i="4"/>
  <c r="L34" i="4"/>
  <c r="N33" i="4"/>
  <c r="L33" i="4"/>
  <c r="N32" i="4"/>
  <c r="L32" i="4"/>
  <c r="N31" i="4"/>
  <c r="L31" i="4"/>
  <c r="N30" i="4"/>
  <c r="L30" i="4"/>
  <c r="N29" i="4"/>
  <c r="L29" i="4"/>
  <c r="N28" i="4"/>
  <c r="L28" i="4"/>
  <c r="N27" i="4"/>
  <c r="L27" i="4"/>
  <c r="N26" i="4"/>
  <c r="L26" i="4"/>
  <c r="N25" i="4"/>
  <c r="L25" i="4"/>
  <c r="N24" i="4"/>
  <c r="L24" i="4"/>
  <c r="N23" i="4"/>
  <c r="L23" i="4"/>
  <c r="L22" i="4"/>
  <c r="L21" i="4"/>
  <c r="L16" i="4"/>
  <c r="L15" i="4"/>
  <c r="L13" i="4"/>
  <c r="L9" i="4"/>
  <c r="L8" i="4"/>
  <c r="L7" i="4"/>
  <c r="L6" i="4"/>
  <c r="N5" i="4"/>
  <c r="L5" i="4"/>
  <c r="AG12" i="3"/>
  <c r="AG1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24" i="3"/>
  <c r="AF23" i="3"/>
  <c r="AF5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24" i="3"/>
  <c r="AD23" i="3"/>
  <c r="AD22" i="3"/>
  <c r="AD21" i="3"/>
  <c r="AD16" i="3"/>
  <c r="AD15" i="3"/>
  <c r="AD13" i="3"/>
  <c r="AG13" i="3" s="1"/>
  <c r="AD6" i="3"/>
  <c r="AD7" i="3"/>
  <c r="AD8" i="3"/>
  <c r="AD9" i="3"/>
  <c r="AD5" i="3"/>
  <c r="T25" i="3"/>
  <c r="T26" i="3"/>
  <c r="T27" i="3"/>
  <c r="T28" i="3"/>
  <c r="T29" i="3"/>
  <c r="T30" i="3"/>
  <c r="T31" i="3"/>
  <c r="AG31" i="3" s="1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24" i="3"/>
  <c r="T23" i="3"/>
  <c r="T16" i="3"/>
  <c r="T17" i="3"/>
  <c r="AG17" i="3" s="1"/>
  <c r="T18" i="3"/>
  <c r="AG18" i="3" s="1"/>
  <c r="T19" i="3"/>
  <c r="AG19" i="3" s="1"/>
  <c r="T20" i="3"/>
  <c r="AG20" i="3" s="1"/>
  <c r="T21" i="3"/>
  <c r="T22" i="3"/>
  <c r="T15" i="3"/>
  <c r="T6" i="3"/>
  <c r="T7" i="3"/>
  <c r="AG7" i="3" s="1"/>
  <c r="T8" i="3"/>
  <c r="T9" i="3"/>
  <c r="T10" i="3"/>
  <c r="AG10" i="3" s="1"/>
  <c r="T11" i="3"/>
  <c r="AG11" i="3" s="1"/>
  <c r="T5" i="3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G16" i="3" l="1"/>
  <c r="AG34" i="3"/>
  <c r="AG49" i="3"/>
  <c r="AG45" i="3"/>
  <c r="AG41" i="3"/>
  <c r="AG38" i="3"/>
  <c r="AG64" i="3"/>
  <c r="AG59" i="3"/>
  <c r="AG52" i="3"/>
  <c r="AG9" i="3"/>
  <c r="AG22" i="3"/>
  <c r="AG24" i="3"/>
  <c r="AG62" i="3"/>
  <c r="AG57" i="3"/>
  <c r="AG54" i="3"/>
  <c r="AG50" i="3"/>
  <c r="AG47" i="3"/>
  <c r="AG43" i="3"/>
  <c r="AG28" i="3"/>
  <c r="AG23" i="3"/>
  <c r="AG63" i="3"/>
  <c r="AG58" i="3"/>
  <c r="AG55" i="3"/>
  <c r="AG51" i="3"/>
  <c r="AG48" i="3"/>
  <c r="AG44" i="3"/>
  <c r="AG40" i="3"/>
  <c r="AG36" i="3"/>
  <c r="AG30" i="3"/>
  <c r="AG15" i="3"/>
  <c r="AG33" i="3"/>
  <c r="AG27" i="3"/>
  <c r="AG6" i="3"/>
  <c r="AG21" i="3"/>
  <c r="AG65" i="3"/>
  <c r="AG61" i="3"/>
  <c r="AG60" i="3"/>
  <c r="AG56" i="3"/>
  <c r="AG53" i="3"/>
  <c r="AG46" i="3"/>
  <c r="AG42" i="3"/>
  <c r="AG39" i="3"/>
  <c r="AG37" i="3"/>
  <c r="AG35" i="3"/>
  <c r="AG25" i="3"/>
  <c r="AG32" i="3"/>
  <c r="AG29" i="3"/>
  <c r="AG26" i="3"/>
  <c r="AG5" i="3"/>
  <c r="AG8" i="3"/>
</calcChain>
</file>

<file path=xl/sharedStrings.xml><?xml version="1.0" encoding="utf-8"?>
<sst xmlns="http://schemas.openxmlformats.org/spreadsheetml/2006/main" count="809" uniqueCount="142">
  <si>
    <t>支給控除一覧表</t>
    <phoneticPr fontId="4"/>
  </si>
  <si>
    <t>若林運送株式会社</t>
    <phoneticPr fontId="4"/>
  </si>
  <si>
    <t>2022年 9月 7日 作成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</si>
  <si>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</si>
  <si>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</si>
  <si>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</si>
  <si>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</si>
  <si>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</si>
  <si>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</si>
  <si>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</si>
  <si>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</si>
  <si>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</si>
  <si>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</si>
  <si>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</si>
  <si>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</si>
  <si>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</si>
  <si>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</si>
  <si>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</si>
  <si>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</si>
  <si>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</si>
  <si>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</si>
  <si>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</si>
  <si>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1098</t>
    <phoneticPr fontId="4"/>
  </si>
  <si>
    <t>1105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</si>
  <si>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</si>
  <si>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</si>
  <si>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</si>
  <si>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</si>
  <si>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</si>
  <si>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</si>
  <si>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</si>
  <si>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</si>
  <si>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</si>
  <si>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</si>
  <si>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</si>
  <si>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</si>
  <si>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</si>
  <si>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</si>
  <si>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</si>
  <si>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</si>
  <si>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</si>
  <si>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</si>
  <si>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</si>
  <si>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</si>
  <si>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</si>
  <si>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</si>
  <si>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</si>
  <si>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</si>
  <si>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</si>
  <si>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</si>
  <si>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圷　健佑</t>
    <phoneticPr fontId="4"/>
  </si>
  <si>
    <t>山本健介</t>
    <phoneticPr fontId="4"/>
  </si>
  <si>
    <t>瀬野尾　勉</t>
    <phoneticPr fontId="4"/>
  </si>
  <si>
    <t>鈴木　重夫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</si>
  <si>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</si>
  <si>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</si>
  <si>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</si>
  <si>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</si>
  <si>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</si>
  <si>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</si>
  <si>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</si>
  <si>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</si>
  <si>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</si>
  <si>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</si>
  <si>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</si>
  <si>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</si>
  <si>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</si>
  <si>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</si>
  <si>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</si>
  <si>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</si>
  <si>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</si>
  <si>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</si>
  <si>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</si>
  <si>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</si>
  <si>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</si>
  <si>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</si>
  <si>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</si>
  <si>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</si>
  <si>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</si>
  <si>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</si>
  <si>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</si>
  <si>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</si>
  <si>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</si>
  <si>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</si>
  <si>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</si>
  <si>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</si>
  <si>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</si>
  <si>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別居手当</t>
    <phoneticPr fontId="4"/>
  </si>
  <si>
    <t>呼出手当</t>
    <phoneticPr fontId="4"/>
  </si>
  <si>
    <t>宿泊手当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</si>
  <si>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</si>
  <si>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</si>
  <si>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</si>
  <si>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</si>
  <si>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</si>
  <si>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</si>
  <si>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有給休暇2</t>
    <phoneticPr fontId="4"/>
  </si>
  <si>
    <t>特別休暇</t>
    <phoneticPr fontId="4"/>
  </si>
  <si>
    <t>基本給加算</t>
    <phoneticPr fontId="4"/>
  </si>
  <si>
    <t>過不足調整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</si>
  <si>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</si>
  <si>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</si>
  <si>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</si>
  <si>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</si>
  <si>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</si>
  <si>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</si>
  <si>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</si>
  <si>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</si>
  <si>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</si>
  <si>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</si>
  <si>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</si>
  <si>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</si>
  <si>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</si>
  <si>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</si>
  <si>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</si>
  <si>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</si>
  <si>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</si>
  <si>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</si>
  <si>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</si>
  <si>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</si>
  <si>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</si>
  <si>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</si>
  <si>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</si>
  <si>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</si>
  <si>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</si>
  <si>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社宅費</t>
    <phoneticPr fontId="4"/>
  </si>
  <si>
    <t>税調整</t>
    <phoneticPr fontId="4"/>
  </si>
  <si>
    <t>減額金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</si>
  <si>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</si>
  <si>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</si>
  <si>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</si>
  <si>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</si>
  <si>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</si>
  <si>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</si>
  <si>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</si>
  <si>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</si>
  <si>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8月度給与</t>
    <phoneticPr fontId="4"/>
  </si>
  <si>
    <t>小計</t>
    <rPh sb="0" eb="2">
      <t>ショウケイ</t>
    </rPh>
    <phoneticPr fontId="3"/>
  </si>
  <si>
    <t>１７名</t>
    <rPh sb="2" eb="3">
      <t>メイ</t>
    </rPh>
    <phoneticPr fontId="3"/>
  </si>
  <si>
    <t>９名</t>
    <rPh sb="1" eb="2">
      <t>メイ</t>
    </rPh>
    <phoneticPr fontId="4"/>
  </si>
  <si>
    <t>１名</t>
    <rPh sb="1" eb="2">
      <t>メイ</t>
    </rPh>
    <phoneticPr fontId="4"/>
  </si>
  <si>
    <t>２７名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</si>
</sst>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1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0" fontId="2" fillId="0" borderId="3" xfId="1" applyFont="1" applyBorder="1"/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176" fontId="2" fillId="0" borderId="6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176" fontId="2" fillId="0" borderId="13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7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9" xfId="1" applyNumberFormat="1" applyFont="1" applyBorder="1" applyAlignment="1">
      <alignment horizontal="center"/>
    </xf>
    <xf numFmtId="49" fontId="2" fillId="0" borderId="40" xfId="1" applyNumberFormat="1" applyFont="1" applyBorder="1" applyAlignment="1">
      <alignment horizontal="center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49" fontId="2" fillId="0" borderId="40" xfId="1" applyNumberFormat="1" applyFont="1" applyBorder="1"/>
    <xf numFmtId="49" fontId="2" fillId="0" borderId="45" xfId="1" applyNumberFormat="1" applyFont="1" applyBorder="1" applyAlignment="1">
      <alignment horizontal="left"/>
    </xf>
    <xf numFmtId="49" fontId="2" fillId="0" borderId="46" xfId="1" applyNumberFormat="1" applyFont="1" applyBorder="1" applyAlignment="1">
      <alignment horizontal="center"/>
    </xf>
    <xf numFmtId="2" fontId="2" fillId="0" borderId="47" xfId="1" applyNumberFormat="1" applyFont="1" applyBorder="1"/>
    <xf numFmtId="2" fontId="2" fillId="0" borderId="48" xfId="1" applyNumberFormat="1" applyFont="1" applyBorder="1"/>
    <xf numFmtId="176" fontId="2" fillId="0" borderId="48" xfId="1" applyNumberFormat="1" applyFont="1" applyBorder="1"/>
    <xf numFmtId="2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38" xfId="1" applyNumberFormat="1" applyFont="1" applyBorder="1"/>
    <xf numFmtId="49" fontId="2" fillId="0" borderId="46" xfId="1" applyNumberFormat="1" applyFont="1" applyBorder="1"/>
    <xf numFmtId="49" fontId="2" fillId="0" borderId="50" xfId="1" applyNumberFormat="1" applyFont="1" applyBorder="1" applyAlignment="1">
      <alignment horizontal="center"/>
    </xf>
    <xf numFmtId="49" fontId="2" fillId="0" borderId="51" xfId="1" applyNumberFormat="1" applyFont="1" applyBorder="1" applyAlignment="1">
      <alignment horizontal="center"/>
    </xf>
    <xf numFmtId="2" fontId="2" fillId="0" borderId="52" xfId="1" applyNumberFormat="1" applyFont="1" applyBorder="1"/>
    <xf numFmtId="2" fontId="2" fillId="0" borderId="53" xfId="1" applyNumberFormat="1" applyFont="1" applyBorder="1"/>
    <xf numFmtId="176" fontId="2" fillId="0" borderId="53" xfId="1" applyNumberFormat="1" applyFont="1" applyBorder="1"/>
    <xf numFmtId="2" fontId="2" fillId="0" borderId="51" xfId="1" applyNumberFormat="1" applyFont="1" applyBorder="1"/>
    <xf numFmtId="3" fontId="2" fillId="0" borderId="52" xfId="1" applyNumberFormat="1" applyFont="1" applyBorder="1"/>
    <xf numFmtId="3" fontId="2" fillId="0" borderId="53" xfId="1" applyNumberFormat="1" applyFont="1" applyBorder="1"/>
    <xf numFmtId="3" fontId="2" fillId="0" borderId="54" xfId="1" applyNumberFormat="1" applyFont="1" applyBorder="1"/>
    <xf numFmtId="3" fontId="2" fillId="0" borderId="55" xfId="1" applyNumberFormat="1" applyFont="1" applyBorder="1"/>
    <xf numFmtId="49" fontId="2" fillId="0" borderId="51" xfId="1" applyNumberFormat="1" applyFont="1" applyBorder="1"/>
    <xf numFmtId="49" fontId="2" fillId="0" borderId="46" xfId="1" applyNumberFormat="1" applyFont="1" applyBorder="1" applyAlignment="1">
      <alignment horizontal="right"/>
    </xf>
    <xf numFmtId="177" fontId="2" fillId="0" borderId="12" xfId="1" applyNumberFormat="1" applyFont="1" applyBorder="1"/>
    <xf numFmtId="177" fontId="2" fillId="0" borderId="35" xfId="1" applyNumberFormat="1" applyFont="1" applyBorder="1"/>
    <xf numFmtId="177" fontId="2" fillId="0" borderId="48" xfId="1" applyNumberFormat="1" applyFont="1" applyBorder="1"/>
    <xf numFmtId="0" fontId="2" fillId="0" borderId="56" xfId="1" applyFont="1" applyBorder="1"/>
    <xf numFmtId="0" fontId="2" fillId="0" borderId="7" xfId="1" applyFont="1" applyBorder="1" applyAlignment="1">
      <alignment horizontal="right"/>
    </xf>
    <xf numFmtId="0" fontId="2" fillId="0" borderId="8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49" fontId="2" fillId="0" borderId="18" xfId="1" applyNumberFormat="1" applyFont="1" applyBorder="1" applyAlignment="1">
      <alignment horizontal="left"/>
    </xf>
    <xf numFmtId="49" fontId="2" fillId="0" borderId="11" xfId="1" applyNumberFormat="1" applyFont="1" applyBorder="1" applyAlignment="1">
      <alignment horizontal="left"/>
    </xf>
    <xf numFmtId="49" fontId="2" fillId="0" borderId="14" xfId="1" applyNumberFormat="1" applyFont="1" applyBorder="1" applyAlignment="1">
      <alignment horizontal="left"/>
    </xf>
    <xf numFmtId="49" fontId="2" fillId="0" borderId="23" xfId="1" applyNumberFormat="1" applyFont="1" applyBorder="1" applyAlignment="1">
      <alignment horizontal="left"/>
    </xf>
    <xf numFmtId="49" fontId="2" fillId="0" borderId="28" xfId="1" applyNumberFormat="1" applyFont="1" applyBorder="1" applyAlignment="1">
      <alignment horizontal="left"/>
    </xf>
  </cellXfs>
  <cellStyles count="2">
    <cellStyle name="標準" xfId="0" builtinId="0"/>
    <cellStyle name="標準 2" xfId="1" xr:uid="{10C5E56E-92D8-4F18-874C-78F1BD8552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1A0F-4F4D-475B-9D67-B0B6C42B29FB}">
  <dimension ref="A1:AD86"/>
  <sheetViews>
    <sheetView showZeros="0" tabSelected="1" workbookViewId="0">
      <selection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13.25" style="2" bestFit="1" customWidth="1"/>
    <col min="6" max="6" width="11.125" style="2" bestFit="1" customWidth="1"/>
    <col min="7" max="7" width="9" style="2" bestFit="1" customWidth="1"/>
    <col min="8" max="8" width="11.125" style="2" bestFit="1" customWidth="1"/>
    <col min="9" max="9" width="9" style="2" bestFit="1" customWidth="1"/>
    <col min="10" max="20" width="11.125" style="2" bestFit="1" customWidth="1"/>
    <col min="21" max="22" width="9" style="2" bestFit="1" customWidth="1"/>
    <col min="23" max="29" width="11.125" style="2" bestFit="1" customWidth="1"/>
    <col min="30" max="30" width="9.625" style="2" bestFit="1" customWidth="1"/>
    <col min="31" max="255" width="9" style="2"/>
    <col min="256" max="256" width="2.375" style="2" customWidth="1"/>
    <col min="257" max="257" width="13.25" style="2" bestFit="1" customWidth="1"/>
    <col min="258" max="259" width="11.125" style="2" bestFit="1" customWidth="1"/>
    <col min="260" max="260" width="13.25" style="2" bestFit="1" customWidth="1"/>
    <col min="261" max="261" width="11.125" style="2" bestFit="1" customWidth="1"/>
    <col min="262" max="262" width="9" style="2" bestFit="1"/>
    <col min="263" max="263" width="11.125" style="2" bestFit="1" customWidth="1"/>
    <col min="264" max="264" width="9" style="2" bestFit="1"/>
    <col min="265" max="275" width="11.125" style="2" bestFit="1" customWidth="1"/>
    <col min="276" max="277" width="9" style="2" bestFit="1"/>
    <col min="278" max="285" width="11.125" style="2" bestFit="1" customWidth="1"/>
    <col min="286" max="286" width="9.625" style="2" bestFit="1" customWidth="1"/>
    <col min="287" max="511" width="9" style="2"/>
    <col min="512" max="512" width="2.375" style="2" customWidth="1"/>
    <col min="513" max="513" width="13.25" style="2" bestFit="1" customWidth="1"/>
    <col min="514" max="515" width="11.125" style="2" bestFit="1" customWidth="1"/>
    <col min="516" max="516" width="13.25" style="2" bestFit="1" customWidth="1"/>
    <col min="517" max="517" width="11.125" style="2" bestFit="1" customWidth="1"/>
    <col min="518" max="518" width="9" style="2" bestFit="1"/>
    <col min="519" max="519" width="11.125" style="2" bestFit="1" customWidth="1"/>
    <col min="520" max="520" width="9" style="2" bestFit="1"/>
    <col min="521" max="531" width="11.125" style="2" bestFit="1" customWidth="1"/>
    <col min="532" max="533" width="9" style="2" bestFit="1"/>
    <col min="534" max="541" width="11.125" style="2" bestFit="1" customWidth="1"/>
    <col min="542" max="542" width="9.625" style="2" bestFit="1" customWidth="1"/>
    <col min="543" max="767" width="9" style="2"/>
    <col min="768" max="768" width="2.375" style="2" customWidth="1"/>
    <col min="769" max="769" width="13.25" style="2" bestFit="1" customWidth="1"/>
    <col min="770" max="771" width="11.125" style="2" bestFit="1" customWidth="1"/>
    <col min="772" max="772" width="13.25" style="2" bestFit="1" customWidth="1"/>
    <col min="773" max="773" width="11.125" style="2" bestFit="1" customWidth="1"/>
    <col min="774" max="774" width="9" style="2" bestFit="1"/>
    <col min="775" max="775" width="11.125" style="2" bestFit="1" customWidth="1"/>
    <col min="776" max="776" width="9" style="2" bestFit="1"/>
    <col min="777" max="787" width="11.125" style="2" bestFit="1" customWidth="1"/>
    <col min="788" max="789" width="9" style="2" bestFit="1"/>
    <col min="790" max="797" width="11.125" style="2" bestFit="1" customWidth="1"/>
    <col min="798" max="798" width="9.625" style="2" bestFit="1" customWidth="1"/>
    <col min="799" max="1023" width="9" style="2"/>
    <col min="1024" max="1024" width="2.375" style="2" customWidth="1"/>
    <col min="1025" max="1025" width="13.25" style="2" bestFit="1" customWidth="1"/>
    <col min="1026" max="1027" width="11.125" style="2" bestFit="1" customWidth="1"/>
    <col min="1028" max="1028" width="13.25" style="2" bestFit="1" customWidth="1"/>
    <col min="1029" max="1029" width="11.125" style="2" bestFit="1" customWidth="1"/>
    <col min="1030" max="1030" width="9" style="2" bestFit="1"/>
    <col min="1031" max="1031" width="11.125" style="2" bestFit="1" customWidth="1"/>
    <col min="1032" max="1032" width="9" style="2" bestFit="1"/>
    <col min="1033" max="1043" width="11.125" style="2" bestFit="1" customWidth="1"/>
    <col min="1044" max="1045" width="9" style="2" bestFit="1"/>
    <col min="1046" max="1053" width="11.125" style="2" bestFit="1" customWidth="1"/>
    <col min="1054" max="1054" width="9.625" style="2" bestFit="1" customWidth="1"/>
    <col min="1055" max="1279" width="9" style="2"/>
    <col min="1280" max="1280" width="2.375" style="2" customWidth="1"/>
    <col min="1281" max="1281" width="13.25" style="2" bestFit="1" customWidth="1"/>
    <col min="1282" max="1283" width="11.125" style="2" bestFit="1" customWidth="1"/>
    <col min="1284" max="1284" width="13.25" style="2" bestFit="1" customWidth="1"/>
    <col min="1285" max="1285" width="11.125" style="2" bestFit="1" customWidth="1"/>
    <col min="1286" max="1286" width="9" style="2" bestFit="1"/>
    <col min="1287" max="1287" width="11.125" style="2" bestFit="1" customWidth="1"/>
    <col min="1288" max="1288" width="9" style="2" bestFit="1"/>
    <col min="1289" max="1299" width="11.125" style="2" bestFit="1" customWidth="1"/>
    <col min="1300" max="1301" width="9" style="2" bestFit="1"/>
    <col min="1302" max="1309" width="11.125" style="2" bestFit="1" customWidth="1"/>
    <col min="1310" max="1310" width="9.625" style="2" bestFit="1" customWidth="1"/>
    <col min="1311" max="1535" width="9" style="2"/>
    <col min="1536" max="1536" width="2.375" style="2" customWidth="1"/>
    <col min="1537" max="1537" width="13.25" style="2" bestFit="1" customWidth="1"/>
    <col min="1538" max="1539" width="11.125" style="2" bestFit="1" customWidth="1"/>
    <col min="1540" max="1540" width="13.25" style="2" bestFit="1" customWidth="1"/>
    <col min="1541" max="1541" width="11.125" style="2" bestFit="1" customWidth="1"/>
    <col min="1542" max="1542" width="9" style="2" bestFit="1"/>
    <col min="1543" max="1543" width="11.125" style="2" bestFit="1" customWidth="1"/>
    <col min="1544" max="1544" width="9" style="2" bestFit="1"/>
    <col min="1545" max="1555" width="11.125" style="2" bestFit="1" customWidth="1"/>
    <col min="1556" max="1557" width="9" style="2" bestFit="1"/>
    <col min="1558" max="1565" width="11.125" style="2" bestFit="1" customWidth="1"/>
    <col min="1566" max="1566" width="9.625" style="2" bestFit="1" customWidth="1"/>
    <col min="1567" max="1791" width="9" style="2"/>
    <col min="1792" max="1792" width="2.375" style="2" customWidth="1"/>
    <col min="1793" max="1793" width="13.25" style="2" bestFit="1" customWidth="1"/>
    <col min="1794" max="1795" width="11.125" style="2" bestFit="1" customWidth="1"/>
    <col min="1796" max="1796" width="13.25" style="2" bestFit="1" customWidth="1"/>
    <col min="1797" max="1797" width="11.125" style="2" bestFit="1" customWidth="1"/>
    <col min="1798" max="1798" width="9" style="2" bestFit="1"/>
    <col min="1799" max="1799" width="11.125" style="2" bestFit="1" customWidth="1"/>
    <col min="1800" max="1800" width="9" style="2" bestFit="1"/>
    <col min="1801" max="1811" width="11.125" style="2" bestFit="1" customWidth="1"/>
    <col min="1812" max="1813" width="9" style="2" bestFit="1"/>
    <col min="1814" max="1821" width="11.125" style="2" bestFit="1" customWidth="1"/>
    <col min="1822" max="1822" width="9.625" style="2" bestFit="1" customWidth="1"/>
    <col min="1823" max="2047" width="9" style="2"/>
    <col min="2048" max="2048" width="2.375" style="2" customWidth="1"/>
    <col min="2049" max="2049" width="13.25" style="2" bestFit="1" customWidth="1"/>
    <col min="2050" max="2051" width="11.125" style="2" bestFit="1" customWidth="1"/>
    <col min="2052" max="2052" width="13.25" style="2" bestFit="1" customWidth="1"/>
    <col min="2053" max="2053" width="11.125" style="2" bestFit="1" customWidth="1"/>
    <col min="2054" max="2054" width="9" style="2" bestFit="1"/>
    <col min="2055" max="2055" width="11.125" style="2" bestFit="1" customWidth="1"/>
    <col min="2056" max="2056" width="9" style="2" bestFit="1"/>
    <col min="2057" max="2067" width="11.125" style="2" bestFit="1" customWidth="1"/>
    <col min="2068" max="2069" width="9" style="2" bestFit="1"/>
    <col min="2070" max="2077" width="11.125" style="2" bestFit="1" customWidth="1"/>
    <col min="2078" max="2078" width="9.625" style="2" bestFit="1" customWidth="1"/>
    <col min="2079" max="2303" width="9" style="2"/>
    <col min="2304" max="2304" width="2.375" style="2" customWidth="1"/>
    <col min="2305" max="2305" width="13.25" style="2" bestFit="1" customWidth="1"/>
    <col min="2306" max="2307" width="11.125" style="2" bestFit="1" customWidth="1"/>
    <col min="2308" max="2308" width="13.25" style="2" bestFit="1" customWidth="1"/>
    <col min="2309" max="2309" width="11.125" style="2" bestFit="1" customWidth="1"/>
    <col min="2310" max="2310" width="9" style="2" bestFit="1"/>
    <col min="2311" max="2311" width="11.125" style="2" bestFit="1" customWidth="1"/>
    <col min="2312" max="2312" width="9" style="2" bestFit="1"/>
    <col min="2313" max="2323" width="11.125" style="2" bestFit="1" customWidth="1"/>
    <col min="2324" max="2325" width="9" style="2" bestFit="1"/>
    <col min="2326" max="2333" width="11.125" style="2" bestFit="1" customWidth="1"/>
    <col min="2334" max="2334" width="9.625" style="2" bestFit="1" customWidth="1"/>
    <col min="2335" max="2559" width="9" style="2"/>
    <col min="2560" max="2560" width="2.375" style="2" customWidth="1"/>
    <col min="2561" max="2561" width="13.25" style="2" bestFit="1" customWidth="1"/>
    <col min="2562" max="2563" width="11.125" style="2" bestFit="1" customWidth="1"/>
    <col min="2564" max="2564" width="13.25" style="2" bestFit="1" customWidth="1"/>
    <col min="2565" max="2565" width="11.125" style="2" bestFit="1" customWidth="1"/>
    <col min="2566" max="2566" width="9" style="2" bestFit="1"/>
    <col min="2567" max="2567" width="11.125" style="2" bestFit="1" customWidth="1"/>
    <col min="2568" max="2568" width="9" style="2" bestFit="1"/>
    <col min="2569" max="2579" width="11.125" style="2" bestFit="1" customWidth="1"/>
    <col min="2580" max="2581" width="9" style="2" bestFit="1"/>
    <col min="2582" max="2589" width="11.125" style="2" bestFit="1" customWidth="1"/>
    <col min="2590" max="2590" width="9.625" style="2" bestFit="1" customWidth="1"/>
    <col min="2591" max="2815" width="9" style="2"/>
    <col min="2816" max="2816" width="2.375" style="2" customWidth="1"/>
    <col min="2817" max="2817" width="13.25" style="2" bestFit="1" customWidth="1"/>
    <col min="2818" max="2819" width="11.125" style="2" bestFit="1" customWidth="1"/>
    <col min="2820" max="2820" width="13.25" style="2" bestFit="1" customWidth="1"/>
    <col min="2821" max="2821" width="11.125" style="2" bestFit="1" customWidth="1"/>
    <col min="2822" max="2822" width="9" style="2" bestFit="1"/>
    <col min="2823" max="2823" width="11.125" style="2" bestFit="1" customWidth="1"/>
    <col min="2824" max="2824" width="9" style="2" bestFit="1"/>
    <col min="2825" max="2835" width="11.125" style="2" bestFit="1" customWidth="1"/>
    <col min="2836" max="2837" width="9" style="2" bestFit="1"/>
    <col min="2838" max="2845" width="11.125" style="2" bestFit="1" customWidth="1"/>
    <col min="2846" max="2846" width="9.625" style="2" bestFit="1" customWidth="1"/>
    <col min="2847" max="3071" width="9" style="2"/>
    <col min="3072" max="3072" width="2.375" style="2" customWidth="1"/>
    <col min="3073" max="3073" width="13.25" style="2" bestFit="1" customWidth="1"/>
    <col min="3074" max="3075" width="11.125" style="2" bestFit="1" customWidth="1"/>
    <col min="3076" max="3076" width="13.25" style="2" bestFit="1" customWidth="1"/>
    <col min="3077" max="3077" width="11.125" style="2" bestFit="1" customWidth="1"/>
    <col min="3078" max="3078" width="9" style="2" bestFit="1"/>
    <col min="3079" max="3079" width="11.125" style="2" bestFit="1" customWidth="1"/>
    <col min="3080" max="3080" width="9" style="2" bestFit="1"/>
    <col min="3081" max="3091" width="11.125" style="2" bestFit="1" customWidth="1"/>
    <col min="3092" max="3093" width="9" style="2" bestFit="1"/>
    <col min="3094" max="3101" width="11.125" style="2" bestFit="1" customWidth="1"/>
    <col min="3102" max="3102" width="9.625" style="2" bestFit="1" customWidth="1"/>
    <col min="3103" max="3327" width="9" style="2"/>
    <col min="3328" max="3328" width="2.375" style="2" customWidth="1"/>
    <col min="3329" max="3329" width="13.25" style="2" bestFit="1" customWidth="1"/>
    <col min="3330" max="3331" width="11.125" style="2" bestFit="1" customWidth="1"/>
    <col min="3332" max="3332" width="13.25" style="2" bestFit="1" customWidth="1"/>
    <col min="3333" max="3333" width="11.125" style="2" bestFit="1" customWidth="1"/>
    <col min="3334" max="3334" width="9" style="2" bestFit="1"/>
    <col min="3335" max="3335" width="11.125" style="2" bestFit="1" customWidth="1"/>
    <col min="3336" max="3336" width="9" style="2" bestFit="1"/>
    <col min="3337" max="3347" width="11.125" style="2" bestFit="1" customWidth="1"/>
    <col min="3348" max="3349" width="9" style="2" bestFit="1"/>
    <col min="3350" max="3357" width="11.125" style="2" bestFit="1" customWidth="1"/>
    <col min="3358" max="3358" width="9.625" style="2" bestFit="1" customWidth="1"/>
    <col min="3359" max="3583" width="9" style="2"/>
    <col min="3584" max="3584" width="2.375" style="2" customWidth="1"/>
    <col min="3585" max="3585" width="13.25" style="2" bestFit="1" customWidth="1"/>
    <col min="3586" max="3587" width="11.125" style="2" bestFit="1" customWidth="1"/>
    <col min="3588" max="3588" width="13.25" style="2" bestFit="1" customWidth="1"/>
    <col min="3589" max="3589" width="11.125" style="2" bestFit="1" customWidth="1"/>
    <col min="3590" max="3590" width="9" style="2" bestFit="1"/>
    <col min="3591" max="3591" width="11.125" style="2" bestFit="1" customWidth="1"/>
    <col min="3592" max="3592" width="9" style="2" bestFit="1"/>
    <col min="3593" max="3603" width="11.125" style="2" bestFit="1" customWidth="1"/>
    <col min="3604" max="3605" width="9" style="2" bestFit="1"/>
    <col min="3606" max="3613" width="11.125" style="2" bestFit="1" customWidth="1"/>
    <col min="3614" max="3614" width="9.625" style="2" bestFit="1" customWidth="1"/>
    <col min="3615" max="3839" width="9" style="2"/>
    <col min="3840" max="3840" width="2.375" style="2" customWidth="1"/>
    <col min="3841" max="3841" width="13.25" style="2" bestFit="1" customWidth="1"/>
    <col min="3842" max="3843" width="11.125" style="2" bestFit="1" customWidth="1"/>
    <col min="3844" max="3844" width="13.25" style="2" bestFit="1" customWidth="1"/>
    <col min="3845" max="3845" width="11.125" style="2" bestFit="1" customWidth="1"/>
    <col min="3846" max="3846" width="9" style="2" bestFit="1"/>
    <col min="3847" max="3847" width="11.125" style="2" bestFit="1" customWidth="1"/>
    <col min="3848" max="3848" width="9" style="2" bestFit="1"/>
    <col min="3849" max="3859" width="11.125" style="2" bestFit="1" customWidth="1"/>
    <col min="3860" max="3861" width="9" style="2" bestFit="1"/>
    <col min="3862" max="3869" width="11.125" style="2" bestFit="1" customWidth="1"/>
    <col min="3870" max="3870" width="9.625" style="2" bestFit="1" customWidth="1"/>
    <col min="3871" max="4095" width="9" style="2"/>
    <col min="4096" max="4096" width="2.375" style="2" customWidth="1"/>
    <col min="4097" max="4097" width="13.25" style="2" bestFit="1" customWidth="1"/>
    <col min="4098" max="4099" width="11.125" style="2" bestFit="1" customWidth="1"/>
    <col min="4100" max="4100" width="13.25" style="2" bestFit="1" customWidth="1"/>
    <col min="4101" max="4101" width="11.125" style="2" bestFit="1" customWidth="1"/>
    <col min="4102" max="4102" width="9" style="2" bestFit="1"/>
    <col min="4103" max="4103" width="11.125" style="2" bestFit="1" customWidth="1"/>
    <col min="4104" max="4104" width="9" style="2" bestFit="1"/>
    <col min="4105" max="4115" width="11.125" style="2" bestFit="1" customWidth="1"/>
    <col min="4116" max="4117" width="9" style="2" bestFit="1"/>
    <col min="4118" max="4125" width="11.125" style="2" bestFit="1" customWidth="1"/>
    <col min="4126" max="4126" width="9.625" style="2" bestFit="1" customWidth="1"/>
    <col min="4127" max="4351" width="9" style="2"/>
    <col min="4352" max="4352" width="2.375" style="2" customWidth="1"/>
    <col min="4353" max="4353" width="13.25" style="2" bestFit="1" customWidth="1"/>
    <col min="4354" max="4355" width="11.125" style="2" bestFit="1" customWidth="1"/>
    <col min="4356" max="4356" width="13.25" style="2" bestFit="1" customWidth="1"/>
    <col min="4357" max="4357" width="11.125" style="2" bestFit="1" customWidth="1"/>
    <col min="4358" max="4358" width="9" style="2" bestFit="1"/>
    <col min="4359" max="4359" width="11.125" style="2" bestFit="1" customWidth="1"/>
    <col min="4360" max="4360" width="9" style="2" bestFit="1"/>
    <col min="4361" max="4371" width="11.125" style="2" bestFit="1" customWidth="1"/>
    <col min="4372" max="4373" width="9" style="2" bestFit="1"/>
    <col min="4374" max="4381" width="11.125" style="2" bestFit="1" customWidth="1"/>
    <col min="4382" max="4382" width="9.625" style="2" bestFit="1" customWidth="1"/>
    <col min="4383" max="4607" width="9" style="2"/>
    <col min="4608" max="4608" width="2.375" style="2" customWidth="1"/>
    <col min="4609" max="4609" width="13.25" style="2" bestFit="1" customWidth="1"/>
    <col min="4610" max="4611" width="11.125" style="2" bestFit="1" customWidth="1"/>
    <col min="4612" max="4612" width="13.25" style="2" bestFit="1" customWidth="1"/>
    <col min="4613" max="4613" width="11.125" style="2" bestFit="1" customWidth="1"/>
    <col min="4614" max="4614" width="9" style="2" bestFit="1"/>
    <col min="4615" max="4615" width="11.125" style="2" bestFit="1" customWidth="1"/>
    <col min="4616" max="4616" width="9" style="2" bestFit="1"/>
    <col min="4617" max="4627" width="11.125" style="2" bestFit="1" customWidth="1"/>
    <col min="4628" max="4629" width="9" style="2" bestFit="1"/>
    <col min="4630" max="4637" width="11.125" style="2" bestFit="1" customWidth="1"/>
    <col min="4638" max="4638" width="9.625" style="2" bestFit="1" customWidth="1"/>
    <col min="4639" max="4863" width="9" style="2"/>
    <col min="4864" max="4864" width="2.375" style="2" customWidth="1"/>
    <col min="4865" max="4865" width="13.25" style="2" bestFit="1" customWidth="1"/>
    <col min="4866" max="4867" width="11.125" style="2" bestFit="1" customWidth="1"/>
    <col min="4868" max="4868" width="13.25" style="2" bestFit="1" customWidth="1"/>
    <col min="4869" max="4869" width="11.125" style="2" bestFit="1" customWidth="1"/>
    <col min="4870" max="4870" width="9" style="2" bestFit="1"/>
    <col min="4871" max="4871" width="11.125" style="2" bestFit="1" customWidth="1"/>
    <col min="4872" max="4872" width="9" style="2" bestFit="1"/>
    <col min="4873" max="4883" width="11.125" style="2" bestFit="1" customWidth="1"/>
    <col min="4884" max="4885" width="9" style="2" bestFit="1"/>
    <col min="4886" max="4893" width="11.125" style="2" bestFit="1" customWidth="1"/>
    <col min="4894" max="4894" width="9.625" style="2" bestFit="1" customWidth="1"/>
    <col min="4895" max="5119" width="9" style="2"/>
    <col min="5120" max="5120" width="2.375" style="2" customWidth="1"/>
    <col min="5121" max="5121" width="13.25" style="2" bestFit="1" customWidth="1"/>
    <col min="5122" max="5123" width="11.125" style="2" bestFit="1" customWidth="1"/>
    <col min="5124" max="5124" width="13.25" style="2" bestFit="1" customWidth="1"/>
    <col min="5125" max="5125" width="11.125" style="2" bestFit="1" customWidth="1"/>
    <col min="5126" max="5126" width="9" style="2" bestFit="1"/>
    <col min="5127" max="5127" width="11.125" style="2" bestFit="1" customWidth="1"/>
    <col min="5128" max="5128" width="9" style="2" bestFit="1"/>
    <col min="5129" max="5139" width="11.125" style="2" bestFit="1" customWidth="1"/>
    <col min="5140" max="5141" width="9" style="2" bestFit="1"/>
    <col min="5142" max="5149" width="11.125" style="2" bestFit="1" customWidth="1"/>
    <col min="5150" max="5150" width="9.625" style="2" bestFit="1" customWidth="1"/>
    <col min="5151" max="5375" width="9" style="2"/>
    <col min="5376" max="5376" width="2.375" style="2" customWidth="1"/>
    <col min="5377" max="5377" width="13.25" style="2" bestFit="1" customWidth="1"/>
    <col min="5378" max="5379" width="11.125" style="2" bestFit="1" customWidth="1"/>
    <col min="5380" max="5380" width="13.25" style="2" bestFit="1" customWidth="1"/>
    <col min="5381" max="5381" width="11.125" style="2" bestFit="1" customWidth="1"/>
    <col min="5382" max="5382" width="9" style="2" bestFit="1"/>
    <col min="5383" max="5383" width="11.125" style="2" bestFit="1" customWidth="1"/>
    <col min="5384" max="5384" width="9" style="2" bestFit="1"/>
    <col min="5385" max="5395" width="11.125" style="2" bestFit="1" customWidth="1"/>
    <col min="5396" max="5397" width="9" style="2" bestFit="1"/>
    <col min="5398" max="5405" width="11.125" style="2" bestFit="1" customWidth="1"/>
    <col min="5406" max="5406" width="9.625" style="2" bestFit="1" customWidth="1"/>
    <col min="5407" max="5631" width="9" style="2"/>
    <col min="5632" max="5632" width="2.375" style="2" customWidth="1"/>
    <col min="5633" max="5633" width="13.25" style="2" bestFit="1" customWidth="1"/>
    <col min="5634" max="5635" width="11.125" style="2" bestFit="1" customWidth="1"/>
    <col min="5636" max="5636" width="13.25" style="2" bestFit="1" customWidth="1"/>
    <col min="5637" max="5637" width="11.125" style="2" bestFit="1" customWidth="1"/>
    <col min="5638" max="5638" width="9" style="2" bestFit="1"/>
    <col min="5639" max="5639" width="11.125" style="2" bestFit="1" customWidth="1"/>
    <col min="5640" max="5640" width="9" style="2" bestFit="1"/>
    <col min="5641" max="5651" width="11.125" style="2" bestFit="1" customWidth="1"/>
    <col min="5652" max="5653" width="9" style="2" bestFit="1"/>
    <col min="5654" max="5661" width="11.125" style="2" bestFit="1" customWidth="1"/>
    <col min="5662" max="5662" width="9.625" style="2" bestFit="1" customWidth="1"/>
    <col min="5663" max="5887" width="9" style="2"/>
    <col min="5888" max="5888" width="2.375" style="2" customWidth="1"/>
    <col min="5889" max="5889" width="13.25" style="2" bestFit="1" customWidth="1"/>
    <col min="5890" max="5891" width="11.125" style="2" bestFit="1" customWidth="1"/>
    <col min="5892" max="5892" width="13.25" style="2" bestFit="1" customWidth="1"/>
    <col min="5893" max="5893" width="11.125" style="2" bestFit="1" customWidth="1"/>
    <col min="5894" max="5894" width="9" style="2" bestFit="1"/>
    <col min="5895" max="5895" width="11.125" style="2" bestFit="1" customWidth="1"/>
    <col min="5896" max="5896" width="9" style="2" bestFit="1"/>
    <col min="5897" max="5907" width="11.125" style="2" bestFit="1" customWidth="1"/>
    <col min="5908" max="5909" width="9" style="2" bestFit="1"/>
    <col min="5910" max="5917" width="11.125" style="2" bestFit="1" customWidth="1"/>
    <col min="5918" max="5918" width="9.625" style="2" bestFit="1" customWidth="1"/>
    <col min="5919" max="6143" width="9" style="2"/>
    <col min="6144" max="6144" width="2.375" style="2" customWidth="1"/>
    <col min="6145" max="6145" width="13.25" style="2" bestFit="1" customWidth="1"/>
    <col min="6146" max="6147" width="11.125" style="2" bestFit="1" customWidth="1"/>
    <col min="6148" max="6148" width="13.25" style="2" bestFit="1" customWidth="1"/>
    <col min="6149" max="6149" width="11.125" style="2" bestFit="1" customWidth="1"/>
    <col min="6150" max="6150" width="9" style="2" bestFit="1"/>
    <col min="6151" max="6151" width="11.125" style="2" bestFit="1" customWidth="1"/>
    <col min="6152" max="6152" width="9" style="2" bestFit="1"/>
    <col min="6153" max="6163" width="11.125" style="2" bestFit="1" customWidth="1"/>
    <col min="6164" max="6165" width="9" style="2" bestFit="1"/>
    <col min="6166" max="6173" width="11.125" style="2" bestFit="1" customWidth="1"/>
    <col min="6174" max="6174" width="9.625" style="2" bestFit="1" customWidth="1"/>
    <col min="6175" max="6399" width="9" style="2"/>
    <col min="6400" max="6400" width="2.375" style="2" customWidth="1"/>
    <col min="6401" max="6401" width="13.25" style="2" bestFit="1" customWidth="1"/>
    <col min="6402" max="6403" width="11.125" style="2" bestFit="1" customWidth="1"/>
    <col min="6404" max="6404" width="13.25" style="2" bestFit="1" customWidth="1"/>
    <col min="6405" max="6405" width="11.125" style="2" bestFit="1" customWidth="1"/>
    <col min="6406" max="6406" width="9" style="2" bestFit="1"/>
    <col min="6407" max="6407" width="11.125" style="2" bestFit="1" customWidth="1"/>
    <col min="6408" max="6408" width="9" style="2" bestFit="1"/>
    <col min="6409" max="6419" width="11.125" style="2" bestFit="1" customWidth="1"/>
    <col min="6420" max="6421" width="9" style="2" bestFit="1"/>
    <col min="6422" max="6429" width="11.125" style="2" bestFit="1" customWidth="1"/>
    <col min="6430" max="6430" width="9.625" style="2" bestFit="1" customWidth="1"/>
    <col min="6431" max="6655" width="9" style="2"/>
    <col min="6656" max="6656" width="2.375" style="2" customWidth="1"/>
    <col min="6657" max="6657" width="13.25" style="2" bestFit="1" customWidth="1"/>
    <col min="6658" max="6659" width="11.125" style="2" bestFit="1" customWidth="1"/>
    <col min="6660" max="6660" width="13.25" style="2" bestFit="1" customWidth="1"/>
    <col min="6661" max="6661" width="11.125" style="2" bestFit="1" customWidth="1"/>
    <col min="6662" max="6662" width="9" style="2" bestFit="1"/>
    <col min="6663" max="6663" width="11.125" style="2" bestFit="1" customWidth="1"/>
    <col min="6664" max="6664" width="9" style="2" bestFit="1"/>
    <col min="6665" max="6675" width="11.125" style="2" bestFit="1" customWidth="1"/>
    <col min="6676" max="6677" width="9" style="2" bestFit="1"/>
    <col min="6678" max="6685" width="11.125" style="2" bestFit="1" customWidth="1"/>
    <col min="6686" max="6686" width="9.625" style="2" bestFit="1" customWidth="1"/>
    <col min="6687" max="6911" width="9" style="2"/>
    <col min="6912" max="6912" width="2.375" style="2" customWidth="1"/>
    <col min="6913" max="6913" width="13.25" style="2" bestFit="1" customWidth="1"/>
    <col min="6914" max="6915" width="11.125" style="2" bestFit="1" customWidth="1"/>
    <col min="6916" max="6916" width="13.25" style="2" bestFit="1" customWidth="1"/>
    <col min="6917" max="6917" width="11.125" style="2" bestFit="1" customWidth="1"/>
    <col min="6918" max="6918" width="9" style="2" bestFit="1"/>
    <col min="6919" max="6919" width="11.125" style="2" bestFit="1" customWidth="1"/>
    <col min="6920" max="6920" width="9" style="2" bestFit="1"/>
    <col min="6921" max="6931" width="11.125" style="2" bestFit="1" customWidth="1"/>
    <col min="6932" max="6933" width="9" style="2" bestFit="1"/>
    <col min="6934" max="6941" width="11.125" style="2" bestFit="1" customWidth="1"/>
    <col min="6942" max="6942" width="9.625" style="2" bestFit="1" customWidth="1"/>
    <col min="6943" max="7167" width="9" style="2"/>
    <col min="7168" max="7168" width="2.375" style="2" customWidth="1"/>
    <col min="7169" max="7169" width="13.25" style="2" bestFit="1" customWidth="1"/>
    <col min="7170" max="7171" width="11.125" style="2" bestFit="1" customWidth="1"/>
    <col min="7172" max="7172" width="13.25" style="2" bestFit="1" customWidth="1"/>
    <col min="7173" max="7173" width="11.125" style="2" bestFit="1" customWidth="1"/>
    <col min="7174" max="7174" width="9" style="2" bestFit="1"/>
    <col min="7175" max="7175" width="11.125" style="2" bestFit="1" customWidth="1"/>
    <col min="7176" max="7176" width="9" style="2" bestFit="1"/>
    <col min="7177" max="7187" width="11.125" style="2" bestFit="1" customWidth="1"/>
    <col min="7188" max="7189" width="9" style="2" bestFit="1"/>
    <col min="7190" max="7197" width="11.125" style="2" bestFit="1" customWidth="1"/>
    <col min="7198" max="7198" width="9.625" style="2" bestFit="1" customWidth="1"/>
    <col min="7199" max="7423" width="9" style="2"/>
    <col min="7424" max="7424" width="2.375" style="2" customWidth="1"/>
    <col min="7425" max="7425" width="13.25" style="2" bestFit="1" customWidth="1"/>
    <col min="7426" max="7427" width="11.125" style="2" bestFit="1" customWidth="1"/>
    <col min="7428" max="7428" width="13.25" style="2" bestFit="1" customWidth="1"/>
    <col min="7429" max="7429" width="11.125" style="2" bestFit="1" customWidth="1"/>
    <col min="7430" max="7430" width="9" style="2" bestFit="1"/>
    <col min="7431" max="7431" width="11.125" style="2" bestFit="1" customWidth="1"/>
    <col min="7432" max="7432" width="9" style="2" bestFit="1"/>
    <col min="7433" max="7443" width="11.125" style="2" bestFit="1" customWidth="1"/>
    <col min="7444" max="7445" width="9" style="2" bestFit="1"/>
    <col min="7446" max="7453" width="11.125" style="2" bestFit="1" customWidth="1"/>
    <col min="7454" max="7454" width="9.625" style="2" bestFit="1" customWidth="1"/>
    <col min="7455" max="7679" width="9" style="2"/>
    <col min="7680" max="7680" width="2.375" style="2" customWidth="1"/>
    <col min="7681" max="7681" width="13.25" style="2" bestFit="1" customWidth="1"/>
    <col min="7682" max="7683" width="11.125" style="2" bestFit="1" customWidth="1"/>
    <col min="7684" max="7684" width="13.25" style="2" bestFit="1" customWidth="1"/>
    <col min="7685" max="7685" width="11.125" style="2" bestFit="1" customWidth="1"/>
    <col min="7686" max="7686" width="9" style="2" bestFit="1"/>
    <col min="7687" max="7687" width="11.125" style="2" bestFit="1" customWidth="1"/>
    <col min="7688" max="7688" width="9" style="2" bestFit="1"/>
    <col min="7689" max="7699" width="11.125" style="2" bestFit="1" customWidth="1"/>
    <col min="7700" max="7701" width="9" style="2" bestFit="1"/>
    <col min="7702" max="7709" width="11.125" style="2" bestFit="1" customWidth="1"/>
    <col min="7710" max="7710" width="9.625" style="2" bestFit="1" customWidth="1"/>
    <col min="7711" max="7935" width="9" style="2"/>
    <col min="7936" max="7936" width="2.375" style="2" customWidth="1"/>
    <col min="7937" max="7937" width="13.25" style="2" bestFit="1" customWidth="1"/>
    <col min="7938" max="7939" width="11.125" style="2" bestFit="1" customWidth="1"/>
    <col min="7940" max="7940" width="13.25" style="2" bestFit="1" customWidth="1"/>
    <col min="7941" max="7941" width="11.125" style="2" bestFit="1" customWidth="1"/>
    <col min="7942" max="7942" width="9" style="2" bestFit="1"/>
    <col min="7943" max="7943" width="11.125" style="2" bestFit="1" customWidth="1"/>
    <col min="7944" max="7944" width="9" style="2" bestFit="1"/>
    <col min="7945" max="7955" width="11.125" style="2" bestFit="1" customWidth="1"/>
    <col min="7956" max="7957" width="9" style="2" bestFit="1"/>
    <col min="7958" max="7965" width="11.125" style="2" bestFit="1" customWidth="1"/>
    <col min="7966" max="7966" width="9.625" style="2" bestFit="1" customWidth="1"/>
    <col min="7967" max="8191" width="9" style="2"/>
    <col min="8192" max="8192" width="2.375" style="2" customWidth="1"/>
    <col min="8193" max="8193" width="13.25" style="2" bestFit="1" customWidth="1"/>
    <col min="8194" max="8195" width="11.125" style="2" bestFit="1" customWidth="1"/>
    <col min="8196" max="8196" width="13.25" style="2" bestFit="1" customWidth="1"/>
    <col min="8197" max="8197" width="11.125" style="2" bestFit="1" customWidth="1"/>
    <col min="8198" max="8198" width="9" style="2" bestFit="1"/>
    <col min="8199" max="8199" width="11.125" style="2" bestFit="1" customWidth="1"/>
    <col min="8200" max="8200" width="9" style="2" bestFit="1"/>
    <col min="8201" max="8211" width="11.125" style="2" bestFit="1" customWidth="1"/>
    <col min="8212" max="8213" width="9" style="2" bestFit="1"/>
    <col min="8214" max="8221" width="11.125" style="2" bestFit="1" customWidth="1"/>
    <col min="8222" max="8222" width="9.625" style="2" bestFit="1" customWidth="1"/>
    <col min="8223" max="8447" width="9" style="2"/>
    <col min="8448" max="8448" width="2.375" style="2" customWidth="1"/>
    <col min="8449" max="8449" width="13.25" style="2" bestFit="1" customWidth="1"/>
    <col min="8450" max="8451" width="11.125" style="2" bestFit="1" customWidth="1"/>
    <col min="8452" max="8452" width="13.25" style="2" bestFit="1" customWidth="1"/>
    <col min="8453" max="8453" width="11.125" style="2" bestFit="1" customWidth="1"/>
    <col min="8454" max="8454" width="9" style="2" bestFit="1"/>
    <col min="8455" max="8455" width="11.125" style="2" bestFit="1" customWidth="1"/>
    <col min="8456" max="8456" width="9" style="2" bestFit="1"/>
    <col min="8457" max="8467" width="11.125" style="2" bestFit="1" customWidth="1"/>
    <col min="8468" max="8469" width="9" style="2" bestFit="1"/>
    <col min="8470" max="8477" width="11.125" style="2" bestFit="1" customWidth="1"/>
    <col min="8478" max="8478" width="9.625" style="2" bestFit="1" customWidth="1"/>
    <col min="8479" max="8703" width="9" style="2"/>
    <col min="8704" max="8704" width="2.375" style="2" customWidth="1"/>
    <col min="8705" max="8705" width="13.25" style="2" bestFit="1" customWidth="1"/>
    <col min="8706" max="8707" width="11.125" style="2" bestFit="1" customWidth="1"/>
    <col min="8708" max="8708" width="13.25" style="2" bestFit="1" customWidth="1"/>
    <col min="8709" max="8709" width="11.125" style="2" bestFit="1" customWidth="1"/>
    <col min="8710" max="8710" width="9" style="2" bestFit="1"/>
    <col min="8711" max="8711" width="11.125" style="2" bestFit="1" customWidth="1"/>
    <col min="8712" max="8712" width="9" style="2" bestFit="1"/>
    <col min="8713" max="8723" width="11.125" style="2" bestFit="1" customWidth="1"/>
    <col min="8724" max="8725" width="9" style="2" bestFit="1"/>
    <col min="8726" max="8733" width="11.125" style="2" bestFit="1" customWidth="1"/>
    <col min="8734" max="8734" width="9.625" style="2" bestFit="1" customWidth="1"/>
    <col min="8735" max="8959" width="9" style="2"/>
    <col min="8960" max="8960" width="2.375" style="2" customWidth="1"/>
    <col min="8961" max="8961" width="13.25" style="2" bestFit="1" customWidth="1"/>
    <col min="8962" max="8963" width="11.125" style="2" bestFit="1" customWidth="1"/>
    <col min="8964" max="8964" width="13.25" style="2" bestFit="1" customWidth="1"/>
    <col min="8965" max="8965" width="11.125" style="2" bestFit="1" customWidth="1"/>
    <col min="8966" max="8966" width="9" style="2" bestFit="1"/>
    <col min="8967" max="8967" width="11.125" style="2" bestFit="1" customWidth="1"/>
    <col min="8968" max="8968" width="9" style="2" bestFit="1"/>
    <col min="8969" max="8979" width="11.125" style="2" bestFit="1" customWidth="1"/>
    <col min="8980" max="8981" width="9" style="2" bestFit="1"/>
    <col min="8982" max="8989" width="11.125" style="2" bestFit="1" customWidth="1"/>
    <col min="8990" max="8990" width="9.625" style="2" bestFit="1" customWidth="1"/>
    <col min="8991" max="9215" width="9" style="2"/>
    <col min="9216" max="9216" width="2.375" style="2" customWidth="1"/>
    <col min="9217" max="9217" width="13.25" style="2" bestFit="1" customWidth="1"/>
    <col min="9218" max="9219" width="11.125" style="2" bestFit="1" customWidth="1"/>
    <col min="9220" max="9220" width="13.25" style="2" bestFit="1" customWidth="1"/>
    <col min="9221" max="9221" width="11.125" style="2" bestFit="1" customWidth="1"/>
    <col min="9222" max="9222" width="9" style="2" bestFit="1"/>
    <col min="9223" max="9223" width="11.125" style="2" bestFit="1" customWidth="1"/>
    <col min="9224" max="9224" width="9" style="2" bestFit="1"/>
    <col min="9225" max="9235" width="11.125" style="2" bestFit="1" customWidth="1"/>
    <col min="9236" max="9237" width="9" style="2" bestFit="1"/>
    <col min="9238" max="9245" width="11.125" style="2" bestFit="1" customWidth="1"/>
    <col min="9246" max="9246" width="9.625" style="2" bestFit="1" customWidth="1"/>
    <col min="9247" max="9471" width="9" style="2"/>
    <col min="9472" max="9472" width="2.375" style="2" customWidth="1"/>
    <col min="9473" max="9473" width="13.25" style="2" bestFit="1" customWidth="1"/>
    <col min="9474" max="9475" width="11.125" style="2" bestFit="1" customWidth="1"/>
    <col min="9476" max="9476" width="13.25" style="2" bestFit="1" customWidth="1"/>
    <col min="9477" max="9477" width="11.125" style="2" bestFit="1" customWidth="1"/>
    <col min="9478" max="9478" width="9" style="2" bestFit="1"/>
    <col min="9479" max="9479" width="11.125" style="2" bestFit="1" customWidth="1"/>
    <col min="9480" max="9480" width="9" style="2" bestFit="1"/>
    <col min="9481" max="9491" width="11.125" style="2" bestFit="1" customWidth="1"/>
    <col min="9492" max="9493" width="9" style="2" bestFit="1"/>
    <col min="9494" max="9501" width="11.125" style="2" bestFit="1" customWidth="1"/>
    <col min="9502" max="9502" width="9.625" style="2" bestFit="1" customWidth="1"/>
    <col min="9503" max="9727" width="9" style="2"/>
    <col min="9728" max="9728" width="2.375" style="2" customWidth="1"/>
    <col min="9729" max="9729" width="13.25" style="2" bestFit="1" customWidth="1"/>
    <col min="9730" max="9731" width="11.125" style="2" bestFit="1" customWidth="1"/>
    <col min="9732" max="9732" width="13.25" style="2" bestFit="1" customWidth="1"/>
    <col min="9733" max="9733" width="11.125" style="2" bestFit="1" customWidth="1"/>
    <col min="9734" max="9734" width="9" style="2" bestFit="1"/>
    <col min="9735" max="9735" width="11.125" style="2" bestFit="1" customWidth="1"/>
    <col min="9736" max="9736" width="9" style="2" bestFit="1"/>
    <col min="9737" max="9747" width="11.125" style="2" bestFit="1" customWidth="1"/>
    <col min="9748" max="9749" width="9" style="2" bestFit="1"/>
    <col min="9750" max="9757" width="11.125" style="2" bestFit="1" customWidth="1"/>
    <col min="9758" max="9758" width="9.625" style="2" bestFit="1" customWidth="1"/>
    <col min="9759" max="9983" width="9" style="2"/>
    <col min="9984" max="9984" width="2.375" style="2" customWidth="1"/>
    <col min="9985" max="9985" width="13.25" style="2" bestFit="1" customWidth="1"/>
    <col min="9986" max="9987" width="11.125" style="2" bestFit="1" customWidth="1"/>
    <col min="9988" max="9988" width="13.25" style="2" bestFit="1" customWidth="1"/>
    <col min="9989" max="9989" width="11.125" style="2" bestFit="1" customWidth="1"/>
    <col min="9990" max="9990" width="9" style="2" bestFit="1"/>
    <col min="9991" max="9991" width="11.125" style="2" bestFit="1" customWidth="1"/>
    <col min="9992" max="9992" width="9" style="2" bestFit="1"/>
    <col min="9993" max="10003" width="11.125" style="2" bestFit="1" customWidth="1"/>
    <col min="10004" max="10005" width="9" style="2" bestFit="1"/>
    <col min="10006" max="10013" width="11.125" style="2" bestFit="1" customWidth="1"/>
    <col min="10014" max="10014" width="9.625" style="2" bestFit="1" customWidth="1"/>
    <col min="10015" max="10239" width="9" style="2"/>
    <col min="10240" max="10240" width="2.375" style="2" customWidth="1"/>
    <col min="10241" max="10241" width="13.25" style="2" bestFit="1" customWidth="1"/>
    <col min="10242" max="10243" width="11.125" style="2" bestFit="1" customWidth="1"/>
    <col min="10244" max="10244" width="13.25" style="2" bestFit="1" customWidth="1"/>
    <col min="10245" max="10245" width="11.125" style="2" bestFit="1" customWidth="1"/>
    <col min="10246" max="10246" width="9" style="2" bestFit="1"/>
    <col min="10247" max="10247" width="11.125" style="2" bestFit="1" customWidth="1"/>
    <col min="10248" max="10248" width="9" style="2" bestFit="1"/>
    <col min="10249" max="10259" width="11.125" style="2" bestFit="1" customWidth="1"/>
    <col min="10260" max="10261" width="9" style="2" bestFit="1"/>
    <col min="10262" max="10269" width="11.125" style="2" bestFit="1" customWidth="1"/>
    <col min="10270" max="10270" width="9.625" style="2" bestFit="1" customWidth="1"/>
    <col min="10271" max="10495" width="9" style="2"/>
    <col min="10496" max="10496" width="2.375" style="2" customWidth="1"/>
    <col min="10497" max="10497" width="13.25" style="2" bestFit="1" customWidth="1"/>
    <col min="10498" max="10499" width="11.125" style="2" bestFit="1" customWidth="1"/>
    <col min="10500" max="10500" width="13.25" style="2" bestFit="1" customWidth="1"/>
    <col min="10501" max="10501" width="11.125" style="2" bestFit="1" customWidth="1"/>
    <col min="10502" max="10502" width="9" style="2" bestFit="1"/>
    <col min="10503" max="10503" width="11.125" style="2" bestFit="1" customWidth="1"/>
    <col min="10504" max="10504" width="9" style="2" bestFit="1"/>
    <col min="10505" max="10515" width="11.125" style="2" bestFit="1" customWidth="1"/>
    <col min="10516" max="10517" width="9" style="2" bestFit="1"/>
    <col min="10518" max="10525" width="11.125" style="2" bestFit="1" customWidth="1"/>
    <col min="10526" max="10526" width="9.625" style="2" bestFit="1" customWidth="1"/>
    <col min="10527" max="10751" width="9" style="2"/>
    <col min="10752" max="10752" width="2.375" style="2" customWidth="1"/>
    <col min="10753" max="10753" width="13.25" style="2" bestFit="1" customWidth="1"/>
    <col min="10754" max="10755" width="11.125" style="2" bestFit="1" customWidth="1"/>
    <col min="10756" max="10756" width="13.25" style="2" bestFit="1" customWidth="1"/>
    <col min="10757" max="10757" width="11.125" style="2" bestFit="1" customWidth="1"/>
    <col min="10758" max="10758" width="9" style="2" bestFit="1"/>
    <col min="10759" max="10759" width="11.125" style="2" bestFit="1" customWidth="1"/>
    <col min="10760" max="10760" width="9" style="2" bestFit="1"/>
    <col min="10761" max="10771" width="11.125" style="2" bestFit="1" customWidth="1"/>
    <col min="10772" max="10773" width="9" style="2" bestFit="1"/>
    <col min="10774" max="10781" width="11.125" style="2" bestFit="1" customWidth="1"/>
    <col min="10782" max="10782" width="9.625" style="2" bestFit="1" customWidth="1"/>
    <col min="10783" max="11007" width="9" style="2"/>
    <col min="11008" max="11008" width="2.375" style="2" customWidth="1"/>
    <col min="11009" max="11009" width="13.25" style="2" bestFit="1" customWidth="1"/>
    <col min="11010" max="11011" width="11.125" style="2" bestFit="1" customWidth="1"/>
    <col min="11012" max="11012" width="13.25" style="2" bestFit="1" customWidth="1"/>
    <col min="11013" max="11013" width="11.125" style="2" bestFit="1" customWidth="1"/>
    <col min="11014" max="11014" width="9" style="2" bestFit="1"/>
    <col min="11015" max="11015" width="11.125" style="2" bestFit="1" customWidth="1"/>
    <col min="11016" max="11016" width="9" style="2" bestFit="1"/>
    <col min="11017" max="11027" width="11.125" style="2" bestFit="1" customWidth="1"/>
    <col min="11028" max="11029" width="9" style="2" bestFit="1"/>
    <col min="11030" max="11037" width="11.125" style="2" bestFit="1" customWidth="1"/>
    <col min="11038" max="11038" width="9.625" style="2" bestFit="1" customWidth="1"/>
    <col min="11039" max="11263" width="9" style="2"/>
    <col min="11264" max="11264" width="2.375" style="2" customWidth="1"/>
    <col min="11265" max="11265" width="13.25" style="2" bestFit="1" customWidth="1"/>
    <col min="11266" max="11267" width="11.125" style="2" bestFit="1" customWidth="1"/>
    <col min="11268" max="11268" width="13.25" style="2" bestFit="1" customWidth="1"/>
    <col min="11269" max="11269" width="11.125" style="2" bestFit="1" customWidth="1"/>
    <col min="11270" max="11270" width="9" style="2" bestFit="1"/>
    <col min="11271" max="11271" width="11.125" style="2" bestFit="1" customWidth="1"/>
    <col min="11272" max="11272" width="9" style="2" bestFit="1"/>
    <col min="11273" max="11283" width="11.125" style="2" bestFit="1" customWidth="1"/>
    <col min="11284" max="11285" width="9" style="2" bestFit="1"/>
    <col min="11286" max="11293" width="11.125" style="2" bestFit="1" customWidth="1"/>
    <col min="11294" max="11294" width="9.625" style="2" bestFit="1" customWidth="1"/>
    <col min="11295" max="11519" width="9" style="2"/>
    <col min="11520" max="11520" width="2.375" style="2" customWidth="1"/>
    <col min="11521" max="11521" width="13.25" style="2" bestFit="1" customWidth="1"/>
    <col min="11522" max="11523" width="11.125" style="2" bestFit="1" customWidth="1"/>
    <col min="11524" max="11524" width="13.25" style="2" bestFit="1" customWidth="1"/>
    <col min="11525" max="11525" width="11.125" style="2" bestFit="1" customWidth="1"/>
    <col min="11526" max="11526" width="9" style="2" bestFit="1"/>
    <col min="11527" max="11527" width="11.125" style="2" bestFit="1" customWidth="1"/>
    <col min="11528" max="11528" width="9" style="2" bestFit="1"/>
    <col min="11529" max="11539" width="11.125" style="2" bestFit="1" customWidth="1"/>
    <col min="11540" max="11541" width="9" style="2" bestFit="1"/>
    <col min="11542" max="11549" width="11.125" style="2" bestFit="1" customWidth="1"/>
    <col min="11550" max="11550" width="9.625" style="2" bestFit="1" customWidth="1"/>
    <col min="11551" max="11775" width="9" style="2"/>
    <col min="11776" max="11776" width="2.375" style="2" customWidth="1"/>
    <col min="11777" max="11777" width="13.25" style="2" bestFit="1" customWidth="1"/>
    <col min="11778" max="11779" width="11.125" style="2" bestFit="1" customWidth="1"/>
    <col min="11780" max="11780" width="13.25" style="2" bestFit="1" customWidth="1"/>
    <col min="11781" max="11781" width="11.125" style="2" bestFit="1" customWidth="1"/>
    <col min="11782" max="11782" width="9" style="2" bestFit="1"/>
    <col min="11783" max="11783" width="11.125" style="2" bestFit="1" customWidth="1"/>
    <col min="11784" max="11784" width="9" style="2" bestFit="1"/>
    <col min="11785" max="11795" width="11.125" style="2" bestFit="1" customWidth="1"/>
    <col min="11796" max="11797" width="9" style="2" bestFit="1"/>
    <col min="11798" max="11805" width="11.125" style="2" bestFit="1" customWidth="1"/>
    <col min="11806" max="11806" width="9.625" style="2" bestFit="1" customWidth="1"/>
    <col min="11807" max="12031" width="9" style="2"/>
    <col min="12032" max="12032" width="2.375" style="2" customWidth="1"/>
    <col min="12033" max="12033" width="13.25" style="2" bestFit="1" customWidth="1"/>
    <col min="12034" max="12035" width="11.125" style="2" bestFit="1" customWidth="1"/>
    <col min="12036" max="12036" width="13.25" style="2" bestFit="1" customWidth="1"/>
    <col min="12037" max="12037" width="11.125" style="2" bestFit="1" customWidth="1"/>
    <col min="12038" max="12038" width="9" style="2" bestFit="1"/>
    <col min="12039" max="12039" width="11.125" style="2" bestFit="1" customWidth="1"/>
    <col min="12040" max="12040" width="9" style="2" bestFit="1"/>
    <col min="12041" max="12051" width="11.125" style="2" bestFit="1" customWidth="1"/>
    <col min="12052" max="12053" width="9" style="2" bestFit="1"/>
    <col min="12054" max="12061" width="11.125" style="2" bestFit="1" customWidth="1"/>
    <col min="12062" max="12062" width="9.625" style="2" bestFit="1" customWidth="1"/>
    <col min="12063" max="12287" width="9" style="2"/>
    <col min="12288" max="12288" width="2.375" style="2" customWidth="1"/>
    <col min="12289" max="12289" width="13.25" style="2" bestFit="1" customWidth="1"/>
    <col min="12290" max="12291" width="11.125" style="2" bestFit="1" customWidth="1"/>
    <col min="12292" max="12292" width="13.25" style="2" bestFit="1" customWidth="1"/>
    <col min="12293" max="12293" width="11.125" style="2" bestFit="1" customWidth="1"/>
    <col min="12294" max="12294" width="9" style="2" bestFit="1"/>
    <col min="12295" max="12295" width="11.125" style="2" bestFit="1" customWidth="1"/>
    <col min="12296" max="12296" width="9" style="2" bestFit="1"/>
    <col min="12297" max="12307" width="11.125" style="2" bestFit="1" customWidth="1"/>
    <col min="12308" max="12309" width="9" style="2" bestFit="1"/>
    <col min="12310" max="12317" width="11.125" style="2" bestFit="1" customWidth="1"/>
    <col min="12318" max="12318" width="9.625" style="2" bestFit="1" customWidth="1"/>
    <col min="12319" max="12543" width="9" style="2"/>
    <col min="12544" max="12544" width="2.375" style="2" customWidth="1"/>
    <col min="12545" max="12545" width="13.25" style="2" bestFit="1" customWidth="1"/>
    <col min="12546" max="12547" width="11.125" style="2" bestFit="1" customWidth="1"/>
    <col min="12548" max="12548" width="13.25" style="2" bestFit="1" customWidth="1"/>
    <col min="12549" max="12549" width="11.125" style="2" bestFit="1" customWidth="1"/>
    <col min="12550" max="12550" width="9" style="2" bestFit="1"/>
    <col min="12551" max="12551" width="11.125" style="2" bestFit="1" customWidth="1"/>
    <col min="12552" max="12552" width="9" style="2" bestFit="1"/>
    <col min="12553" max="12563" width="11.125" style="2" bestFit="1" customWidth="1"/>
    <col min="12564" max="12565" width="9" style="2" bestFit="1"/>
    <col min="12566" max="12573" width="11.125" style="2" bestFit="1" customWidth="1"/>
    <col min="12574" max="12574" width="9.625" style="2" bestFit="1" customWidth="1"/>
    <col min="12575" max="12799" width="9" style="2"/>
    <col min="12800" max="12800" width="2.375" style="2" customWidth="1"/>
    <col min="12801" max="12801" width="13.25" style="2" bestFit="1" customWidth="1"/>
    <col min="12802" max="12803" width="11.125" style="2" bestFit="1" customWidth="1"/>
    <col min="12804" max="12804" width="13.25" style="2" bestFit="1" customWidth="1"/>
    <col min="12805" max="12805" width="11.125" style="2" bestFit="1" customWidth="1"/>
    <col min="12806" max="12806" width="9" style="2" bestFit="1"/>
    <col min="12807" max="12807" width="11.125" style="2" bestFit="1" customWidth="1"/>
    <col min="12808" max="12808" width="9" style="2" bestFit="1"/>
    <col min="12809" max="12819" width="11.125" style="2" bestFit="1" customWidth="1"/>
    <col min="12820" max="12821" width="9" style="2" bestFit="1"/>
    <col min="12822" max="12829" width="11.125" style="2" bestFit="1" customWidth="1"/>
    <col min="12830" max="12830" width="9.625" style="2" bestFit="1" customWidth="1"/>
    <col min="12831" max="13055" width="9" style="2"/>
    <col min="13056" max="13056" width="2.375" style="2" customWidth="1"/>
    <col min="13057" max="13057" width="13.25" style="2" bestFit="1" customWidth="1"/>
    <col min="13058" max="13059" width="11.125" style="2" bestFit="1" customWidth="1"/>
    <col min="13060" max="13060" width="13.25" style="2" bestFit="1" customWidth="1"/>
    <col min="13061" max="13061" width="11.125" style="2" bestFit="1" customWidth="1"/>
    <col min="13062" max="13062" width="9" style="2" bestFit="1"/>
    <col min="13063" max="13063" width="11.125" style="2" bestFit="1" customWidth="1"/>
    <col min="13064" max="13064" width="9" style="2" bestFit="1"/>
    <col min="13065" max="13075" width="11.125" style="2" bestFit="1" customWidth="1"/>
    <col min="13076" max="13077" width="9" style="2" bestFit="1"/>
    <col min="13078" max="13085" width="11.125" style="2" bestFit="1" customWidth="1"/>
    <col min="13086" max="13086" width="9.625" style="2" bestFit="1" customWidth="1"/>
    <col min="13087" max="13311" width="9" style="2"/>
    <col min="13312" max="13312" width="2.375" style="2" customWidth="1"/>
    <col min="13313" max="13313" width="13.25" style="2" bestFit="1" customWidth="1"/>
    <col min="13314" max="13315" width="11.125" style="2" bestFit="1" customWidth="1"/>
    <col min="13316" max="13316" width="13.25" style="2" bestFit="1" customWidth="1"/>
    <col min="13317" max="13317" width="11.125" style="2" bestFit="1" customWidth="1"/>
    <col min="13318" max="13318" width="9" style="2" bestFit="1"/>
    <col min="13319" max="13319" width="11.125" style="2" bestFit="1" customWidth="1"/>
    <col min="13320" max="13320" width="9" style="2" bestFit="1"/>
    <col min="13321" max="13331" width="11.125" style="2" bestFit="1" customWidth="1"/>
    <col min="13332" max="13333" width="9" style="2" bestFit="1"/>
    <col min="13334" max="13341" width="11.125" style="2" bestFit="1" customWidth="1"/>
    <col min="13342" max="13342" width="9.625" style="2" bestFit="1" customWidth="1"/>
    <col min="13343" max="13567" width="9" style="2"/>
    <col min="13568" max="13568" width="2.375" style="2" customWidth="1"/>
    <col min="13569" max="13569" width="13.25" style="2" bestFit="1" customWidth="1"/>
    <col min="13570" max="13571" width="11.125" style="2" bestFit="1" customWidth="1"/>
    <col min="13572" max="13572" width="13.25" style="2" bestFit="1" customWidth="1"/>
    <col min="13573" max="13573" width="11.125" style="2" bestFit="1" customWidth="1"/>
    <col min="13574" max="13574" width="9" style="2" bestFit="1"/>
    <col min="13575" max="13575" width="11.125" style="2" bestFit="1" customWidth="1"/>
    <col min="13576" max="13576" width="9" style="2" bestFit="1"/>
    <col min="13577" max="13587" width="11.125" style="2" bestFit="1" customWidth="1"/>
    <col min="13588" max="13589" width="9" style="2" bestFit="1"/>
    <col min="13590" max="13597" width="11.125" style="2" bestFit="1" customWidth="1"/>
    <col min="13598" max="13598" width="9.625" style="2" bestFit="1" customWidth="1"/>
    <col min="13599" max="13823" width="9" style="2"/>
    <col min="13824" max="13824" width="2.375" style="2" customWidth="1"/>
    <col min="13825" max="13825" width="13.25" style="2" bestFit="1" customWidth="1"/>
    <col min="13826" max="13827" width="11.125" style="2" bestFit="1" customWidth="1"/>
    <col min="13828" max="13828" width="13.25" style="2" bestFit="1" customWidth="1"/>
    <col min="13829" max="13829" width="11.125" style="2" bestFit="1" customWidth="1"/>
    <col min="13830" max="13830" width="9" style="2" bestFit="1"/>
    <col min="13831" max="13831" width="11.125" style="2" bestFit="1" customWidth="1"/>
    <col min="13832" max="13832" width="9" style="2" bestFit="1"/>
    <col min="13833" max="13843" width="11.125" style="2" bestFit="1" customWidth="1"/>
    <col min="13844" max="13845" width="9" style="2" bestFit="1"/>
    <col min="13846" max="13853" width="11.125" style="2" bestFit="1" customWidth="1"/>
    <col min="13854" max="13854" width="9.625" style="2" bestFit="1" customWidth="1"/>
    <col min="13855" max="14079" width="9" style="2"/>
    <col min="14080" max="14080" width="2.375" style="2" customWidth="1"/>
    <col min="14081" max="14081" width="13.25" style="2" bestFit="1" customWidth="1"/>
    <col min="14082" max="14083" width="11.125" style="2" bestFit="1" customWidth="1"/>
    <col min="14084" max="14084" width="13.25" style="2" bestFit="1" customWidth="1"/>
    <col min="14085" max="14085" width="11.125" style="2" bestFit="1" customWidth="1"/>
    <col min="14086" max="14086" width="9" style="2" bestFit="1"/>
    <col min="14087" max="14087" width="11.125" style="2" bestFit="1" customWidth="1"/>
    <col min="14088" max="14088" width="9" style="2" bestFit="1"/>
    <col min="14089" max="14099" width="11.125" style="2" bestFit="1" customWidth="1"/>
    <col min="14100" max="14101" width="9" style="2" bestFit="1"/>
    <col min="14102" max="14109" width="11.125" style="2" bestFit="1" customWidth="1"/>
    <col min="14110" max="14110" width="9.625" style="2" bestFit="1" customWidth="1"/>
    <col min="14111" max="14335" width="9" style="2"/>
    <col min="14336" max="14336" width="2.375" style="2" customWidth="1"/>
    <col min="14337" max="14337" width="13.25" style="2" bestFit="1" customWidth="1"/>
    <col min="14338" max="14339" width="11.125" style="2" bestFit="1" customWidth="1"/>
    <col min="14340" max="14340" width="13.25" style="2" bestFit="1" customWidth="1"/>
    <col min="14341" max="14341" width="11.125" style="2" bestFit="1" customWidth="1"/>
    <col min="14342" max="14342" width="9" style="2" bestFit="1"/>
    <col min="14343" max="14343" width="11.125" style="2" bestFit="1" customWidth="1"/>
    <col min="14344" max="14344" width="9" style="2" bestFit="1"/>
    <col min="14345" max="14355" width="11.125" style="2" bestFit="1" customWidth="1"/>
    <col min="14356" max="14357" width="9" style="2" bestFit="1"/>
    <col min="14358" max="14365" width="11.125" style="2" bestFit="1" customWidth="1"/>
    <col min="14366" max="14366" width="9.625" style="2" bestFit="1" customWidth="1"/>
    <col min="14367" max="14591" width="9" style="2"/>
    <col min="14592" max="14592" width="2.375" style="2" customWidth="1"/>
    <col min="14593" max="14593" width="13.25" style="2" bestFit="1" customWidth="1"/>
    <col min="14594" max="14595" width="11.125" style="2" bestFit="1" customWidth="1"/>
    <col min="14596" max="14596" width="13.25" style="2" bestFit="1" customWidth="1"/>
    <col min="14597" max="14597" width="11.125" style="2" bestFit="1" customWidth="1"/>
    <col min="14598" max="14598" width="9" style="2" bestFit="1"/>
    <col min="14599" max="14599" width="11.125" style="2" bestFit="1" customWidth="1"/>
    <col min="14600" max="14600" width="9" style="2" bestFit="1"/>
    <col min="14601" max="14611" width="11.125" style="2" bestFit="1" customWidth="1"/>
    <col min="14612" max="14613" width="9" style="2" bestFit="1"/>
    <col min="14614" max="14621" width="11.125" style="2" bestFit="1" customWidth="1"/>
    <col min="14622" max="14622" width="9.625" style="2" bestFit="1" customWidth="1"/>
    <col min="14623" max="14847" width="9" style="2"/>
    <col min="14848" max="14848" width="2.375" style="2" customWidth="1"/>
    <col min="14849" max="14849" width="13.25" style="2" bestFit="1" customWidth="1"/>
    <col min="14850" max="14851" width="11.125" style="2" bestFit="1" customWidth="1"/>
    <col min="14852" max="14852" width="13.25" style="2" bestFit="1" customWidth="1"/>
    <col min="14853" max="14853" width="11.125" style="2" bestFit="1" customWidth="1"/>
    <col min="14854" max="14854" width="9" style="2" bestFit="1"/>
    <col min="14855" max="14855" width="11.125" style="2" bestFit="1" customWidth="1"/>
    <col min="14856" max="14856" width="9" style="2" bestFit="1"/>
    <col min="14857" max="14867" width="11.125" style="2" bestFit="1" customWidth="1"/>
    <col min="14868" max="14869" width="9" style="2" bestFit="1"/>
    <col min="14870" max="14877" width="11.125" style="2" bestFit="1" customWidth="1"/>
    <col min="14878" max="14878" width="9.625" style="2" bestFit="1" customWidth="1"/>
    <col min="14879" max="15103" width="9" style="2"/>
    <col min="15104" max="15104" width="2.375" style="2" customWidth="1"/>
    <col min="15105" max="15105" width="13.25" style="2" bestFit="1" customWidth="1"/>
    <col min="15106" max="15107" width="11.125" style="2" bestFit="1" customWidth="1"/>
    <col min="15108" max="15108" width="13.25" style="2" bestFit="1" customWidth="1"/>
    <col min="15109" max="15109" width="11.125" style="2" bestFit="1" customWidth="1"/>
    <col min="15110" max="15110" width="9" style="2" bestFit="1"/>
    <col min="15111" max="15111" width="11.125" style="2" bestFit="1" customWidth="1"/>
    <col min="15112" max="15112" width="9" style="2" bestFit="1"/>
    <col min="15113" max="15123" width="11.125" style="2" bestFit="1" customWidth="1"/>
    <col min="15124" max="15125" width="9" style="2" bestFit="1"/>
    <col min="15126" max="15133" width="11.125" style="2" bestFit="1" customWidth="1"/>
    <col min="15134" max="15134" width="9.625" style="2" bestFit="1" customWidth="1"/>
    <col min="15135" max="15359" width="9" style="2"/>
    <col min="15360" max="15360" width="2.375" style="2" customWidth="1"/>
    <col min="15361" max="15361" width="13.25" style="2" bestFit="1" customWidth="1"/>
    <col min="15362" max="15363" width="11.125" style="2" bestFit="1" customWidth="1"/>
    <col min="15364" max="15364" width="13.25" style="2" bestFit="1" customWidth="1"/>
    <col min="15365" max="15365" width="11.125" style="2" bestFit="1" customWidth="1"/>
    <col min="15366" max="15366" width="9" style="2" bestFit="1"/>
    <col min="15367" max="15367" width="11.125" style="2" bestFit="1" customWidth="1"/>
    <col min="15368" max="15368" width="9" style="2" bestFit="1"/>
    <col min="15369" max="15379" width="11.125" style="2" bestFit="1" customWidth="1"/>
    <col min="15380" max="15381" width="9" style="2" bestFit="1"/>
    <col min="15382" max="15389" width="11.125" style="2" bestFit="1" customWidth="1"/>
    <col min="15390" max="15390" width="9.625" style="2" bestFit="1" customWidth="1"/>
    <col min="15391" max="15615" width="9" style="2"/>
    <col min="15616" max="15616" width="2.375" style="2" customWidth="1"/>
    <col min="15617" max="15617" width="13.25" style="2" bestFit="1" customWidth="1"/>
    <col min="15618" max="15619" width="11.125" style="2" bestFit="1" customWidth="1"/>
    <col min="15620" max="15620" width="13.25" style="2" bestFit="1" customWidth="1"/>
    <col min="15621" max="15621" width="11.125" style="2" bestFit="1" customWidth="1"/>
    <col min="15622" max="15622" width="9" style="2" bestFit="1"/>
    <col min="15623" max="15623" width="11.125" style="2" bestFit="1" customWidth="1"/>
    <col min="15624" max="15624" width="9" style="2" bestFit="1"/>
    <col min="15625" max="15635" width="11.125" style="2" bestFit="1" customWidth="1"/>
    <col min="15636" max="15637" width="9" style="2" bestFit="1"/>
    <col min="15638" max="15645" width="11.125" style="2" bestFit="1" customWidth="1"/>
    <col min="15646" max="15646" width="9.625" style="2" bestFit="1" customWidth="1"/>
    <col min="15647" max="15871" width="9" style="2"/>
    <col min="15872" max="15872" width="2.375" style="2" customWidth="1"/>
    <col min="15873" max="15873" width="13.25" style="2" bestFit="1" customWidth="1"/>
    <col min="15874" max="15875" width="11.125" style="2" bestFit="1" customWidth="1"/>
    <col min="15876" max="15876" width="13.25" style="2" bestFit="1" customWidth="1"/>
    <col min="15877" max="15877" width="11.125" style="2" bestFit="1" customWidth="1"/>
    <col min="15878" max="15878" width="9" style="2" bestFit="1"/>
    <col min="15879" max="15879" width="11.125" style="2" bestFit="1" customWidth="1"/>
    <col min="15880" max="15880" width="9" style="2" bestFit="1"/>
    <col min="15881" max="15891" width="11.125" style="2" bestFit="1" customWidth="1"/>
    <col min="15892" max="15893" width="9" style="2" bestFit="1"/>
    <col min="15894" max="15901" width="11.125" style="2" bestFit="1" customWidth="1"/>
    <col min="15902" max="15902" width="9.625" style="2" bestFit="1" customWidth="1"/>
    <col min="15903" max="16127" width="9" style="2"/>
    <col min="16128" max="16128" width="2.375" style="2" customWidth="1"/>
    <col min="16129" max="16129" width="13.25" style="2" bestFit="1" customWidth="1"/>
    <col min="16130" max="16131" width="11.125" style="2" bestFit="1" customWidth="1"/>
    <col min="16132" max="16132" width="13.25" style="2" bestFit="1" customWidth="1"/>
    <col min="16133" max="16133" width="11.125" style="2" bestFit="1" customWidth="1"/>
    <col min="16134" max="16134" width="9" style="2" bestFit="1"/>
    <col min="16135" max="16135" width="11.125" style="2" bestFit="1" customWidth="1"/>
    <col min="16136" max="16136" width="9" style="2" bestFit="1"/>
    <col min="16137" max="16147" width="11.125" style="2" bestFit="1" customWidth="1"/>
    <col min="16148" max="16149" width="9" style="2" bestFit="1"/>
    <col min="16150" max="16157" width="11.125" style="2" bestFit="1" customWidth="1"/>
    <col min="16158" max="16158" width="9.625" style="2" bestFit="1" customWidth="1"/>
    <col min="16159" max="16384" width="9" style="2"/>
  </cols>
  <sheetData>
    <row r="1" spans="1:30">
      <c r="A1" s="1" t="s">
        <v>0</v>
      </c>
    </row>
    <row r="2" spans="1:30">
      <c r="A2" s="1"/>
    </row>
    <row r="3" spans="1:30">
      <c r="A3" s="1" t="s">
        <v>1</v>
      </c>
    </row>
    <row r="4" spans="1:30">
      <c r="A4" s="1" t="s">
        <v>2</v>
      </c>
    </row>
    <row r="5" spans="1:30">
      <c r="A5" s="1" t="s">
        <v>3</v>
      </c>
    </row>
    <row r="6" spans="1:30" ht="19.5" thickBot="1">
      <c r="A6" s="1" t="s">
        <v>136</v>
      </c>
    </row>
    <row r="7" spans="1:30">
      <c r="B7" s="4"/>
      <c r="C7" s="12" t="s">
        <v>4</v>
      </c>
      <c r="D7" s="13" t="s">
        <v>5</v>
      </c>
      <c r="E7" s="13" t="s">
        <v>6</v>
      </c>
      <c r="F7" s="13" t="s">
        <v>7</v>
      </c>
      <c r="G7" s="13" t="s">
        <v>8</v>
      </c>
      <c r="H7" s="13" t="s">
        <v>9</v>
      </c>
      <c r="I7" s="13" t="s">
        <v>10</v>
      </c>
      <c r="J7" s="13" t="s">
        <v>11</v>
      </c>
      <c r="K7" s="13" t="s">
        <v>12</v>
      </c>
      <c r="L7" s="13" t="s">
        <v>13</v>
      </c>
      <c r="M7" s="13" t="s">
        <v>14</v>
      </c>
      <c r="N7" s="13" t="s">
        <v>15</v>
      </c>
      <c r="O7" s="13" t="s">
        <v>16</v>
      </c>
      <c r="P7" s="13" t="s">
        <v>17</v>
      </c>
      <c r="Q7" s="13" t="s">
        <v>18</v>
      </c>
      <c r="R7" s="13" t="s">
        <v>19</v>
      </c>
      <c r="S7" s="13" t="s">
        <v>20</v>
      </c>
      <c r="T7" s="13" t="s">
        <v>21</v>
      </c>
      <c r="U7" s="13" t="s">
        <v>22</v>
      </c>
      <c r="V7" s="13" t="s">
        <v>23</v>
      </c>
      <c r="W7" s="13" t="s">
        <v>24</v>
      </c>
      <c r="X7" s="13" t="s">
        <v>25</v>
      </c>
      <c r="Y7" s="13" t="s">
        <v>26</v>
      </c>
      <c r="Z7" s="13" t="s">
        <v>27</v>
      </c>
      <c r="AA7" s="13" t="s">
        <v>28</v>
      </c>
      <c r="AB7" s="13" t="s">
        <v>29</v>
      </c>
      <c r="AC7" s="14" t="s">
        <v>30</v>
      </c>
      <c r="AD7" s="5"/>
    </row>
    <row r="8" spans="1:30" ht="19.5" thickBot="1">
      <c r="A8" s="3"/>
      <c r="B8" s="32" t="s">
        <v>31</v>
      </c>
      <c r="C8" s="33" t="s">
        <v>32</v>
      </c>
      <c r="D8" s="34" t="s">
        <v>33</v>
      </c>
      <c r="E8" s="34" t="s">
        <v>34</v>
      </c>
      <c r="F8" s="34" t="s">
        <v>35</v>
      </c>
      <c r="G8" s="34" t="s">
        <v>36</v>
      </c>
      <c r="H8" s="34" t="s">
        <v>37</v>
      </c>
      <c r="I8" s="34" t="s">
        <v>38</v>
      </c>
      <c r="J8" s="34" t="s">
        <v>39</v>
      </c>
      <c r="K8" s="34" t="s">
        <v>40</v>
      </c>
      <c r="L8" s="34" t="s">
        <v>41</v>
      </c>
      <c r="M8" s="34" t="s">
        <v>42</v>
      </c>
      <c r="N8" s="34" t="s">
        <v>43</v>
      </c>
      <c r="O8" s="34" t="s">
        <v>44</v>
      </c>
      <c r="P8" s="34" t="s">
        <v>45</v>
      </c>
      <c r="Q8" s="34" t="s">
        <v>46</v>
      </c>
      <c r="R8" s="34" t="s">
        <v>47</v>
      </c>
      <c r="S8" s="34" t="s">
        <v>48</v>
      </c>
      <c r="T8" s="34" t="s">
        <v>49</v>
      </c>
      <c r="U8" s="34" t="s">
        <v>50</v>
      </c>
      <c r="V8" s="34" t="s">
        <v>51</v>
      </c>
      <c r="W8" s="34" t="s">
        <v>52</v>
      </c>
      <c r="X8" s="34" t="s">
        <v>53</v>
      </c>
      <c r="Y8" s="34" t="s">
        <v>54</v>
      </c>
      <c r="Z8" s="34" t="s">
        <v>55</v>
      </c>
      <c r="AA8" s="34" t="s">
        <v>56</v>
      </c>
      <c r="AB8" s="34" t="s">
        <v>57</v>
      </c>
      <c r="AC8" s="35" t="s">
        <v>58</v>
      </c>
      <c r="AD8" s="36" t="s">
        <v>59</v>
      </c>
    </row>
    <row r="9" spans="1:30">
      <c r="A9" s="1" t="s">
        <v>3</v>
      </c>
      <c r="B9" s="27" t="s">
        <v>60</v>
      </c>
      <c r="C9" s="28">
        <v>19</v>
      </c>
      <c r="D9" s="29">
        <v>19</v>
      </c>
      <c r="E9" s="29">
        <v>23</v>
      </c>
      <c r="F9" s="29">
        <v>23</v>
      </c>
      <c r="G9" s="29">
        <v>18</v>
      </c>
      <c r="H9" s="29">
        <v>19</v>
      </c>
      <c r="I9" s="29">
        <v>21</v>
      </c>
      <c r="J9" s="29">
        <v>20</v>
      </c>
      <c r="K9" s="29">
        <v>19</v>
      </c>
      <c r="L9" s="29">
        <v>22</v>
      </c>
      <c r="M9" s="29">
        <v>21</v>
      </c>
      <c r="N9" s="29">
        <v>22</v>
      </c>
      <c r="O9" s="29">
        <v>24</v>
      </c>
      <c r="P9" s="29">
        <v>6</v>
      </c>
      <c r="Q9" s="29">
        <v>23</v>
      </c>
      <c r="R9" s="29">
        <v>22</v>
      </c>
      <c r="S9" s="29">
        <v>22</v>
      </c>
      <c r="T9" s="29">
        <v>20</v>
      </c>
      <c r="U9" s="29">
        <v>18</v>
      </c>
      <c r="V9" s="29">
        <v>20</v>
      </c>
      <c r="W9" s="29">
        <v>10</v>
      </c>
      <c r="X9" s="29">
        <v>11</v>
      </c>
      <c r="Y9" s="29">
        <v>10</v>
      </c>
      <c r="Z9" s="29">
        <v>15</v>
      </c>
      <c r="AA9" s="29">
        <v>15</v>
      </c>
      <c r="AB9" s="29">
        <v>3</v>
      </c>
      <c r="AC9" s="30">
        <v>21</v>
      </c>
      <c r="AD9" s="31">
        <f>SUM(C9:AC9)</f>
        <v>486</v>
      </c>
    </row>
    <row r="10" spans="1:30">
      <c r="A10" s="1" t="s">
        <v>3</v>
      </c>
      <c r="B10" s="6" t="s">
        <v>61</v>
      </c>
      <c r="C10" s="15">
        <v>2</v>
      </c>
      <c r="D10" s="16">
        <v>1</v>
      </c>
      <c r="E10" s="16">
        <v>1</v>
      </c>
      <c r="F10" s="16">
        <v>0</v>
      </c>
      <c r="G10" s="16">
        <v>2</v>
      </c>
      <c r="H10" s="16">
        <v>1</v>
      </c>
      <c r="I10" s="16">
        <v>2</v>
      </c>
      <c r="J10" s="16">
        <v>1</v>
      </c>
      <c r="K10" s="16">
        <v>2</v>
      </c>
      <c r="L10" s="16">
        <v>1</v>
      </c>
      <c r="M10" s="16">
        <v>3</v>
      </c>
      <c r="N10" s="16">
        <v>1</v>
      </c>
      <c r="O10" s="16">
        <v>1</v>
      </c>
      <c r="P10" s="16">
        <v>1</v>
      </c>
      <c r="Q10" s="16">
        <v>2</v>
      </c>
      <c r="R10" s="16">
        <v>0</v>
      </c>
      <c r="S10" s="16">
        <v>1</v>
      </c>
      <c r="T10" s="16">
        <v>0</v>
      </c>
      <c r="U10" s="16">
        <v>1</v>
      </c>
      <c r="V10" s="16">
        <v>1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7">
        <v>0</v>
      </c>
      <c r="AD10" s="8">
        <f t="shared" ref="AD10:AD29" si="0">SUM(C10:AC10)</f>
        <v>24</v>
      </c>
    </row>
    <row r="11" spans="1:30">
      <c r="A11" s="1" t="s">
        <v>3</v>
      </c>
      <c r="B11" s="6" t="s">
        <v>62</v>
      </c>
      <c r="C11" s="15">
        <v>2</v>
      </c>
      <c r="D11" s="16">
        <v>1</v>
      </c>
      <c r="E11" s="16">
        <v>0</v>
      </c>
      <c r="F11" s="16">
        <v>0</v>
      </c>
      <c r="G11" s="16">
        <v>2</v>
      </c>
      <c r="H11" s="16">
        <v>2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2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1</v>
      </c>
      <c r="V11" s="16">
        <v>1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7">
        <v>0</v>
      </c>
      <c r="AD11" s="8">
        <f t="shared" si="0"/>
        <v>17</v>
      </c>
    </row>
    <row r="12" spans="1:30">
      <c r="A12" s="1" t="s">
        <v>3</v>
      </c>
      <c r="B12" s="6" t="s">
        <v>63</v>
      </c>
      <c r="C12" s="15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2</v>
      </c>
      <c r="V12" s="16">
        <v>2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7">
        <v>0</v>
      </c>
      <c r="AD12" s="8">
        <f t="shared" si="0"/>
        <v>4</v>
      </c>
    </row>
    <row r="13" spans="1:30">
      <c r="A13" s="1" t="s">
        <v>3</v>
      </c>
      <c r="B13" s="6" t="s">
        <v>64</v>
      </c>
      <c r="C13" s="15">
        <v>5</v>
      </c>
      <c r="D13" s="16">
        <v>5</v>
      </c>
      <c r="E13" s="16">
        <v>1</v>
      </c>
      <c r="F13" s="16">
        <v>0</v>
      </c>
      <c r="G13" s="16">
        <v>4</v>
      </c>
      <c r="H13" s="16">
        <v>5</v>
      </c>
      <c r="I13" s="16">
        <v>3</v>
      </c>
      <c r="J13" s="16">
        <v>4</v>
      </c>
      <c r="K13" s="16">
        <v>5</v>
      </c>
      <c r="L13" s="16">
        <v>2</v>
      </c>
      <c r="M13" s="16">
        <v>3</v>
      </c>
      <c r="N13" s="16">
        <v>2</v>
      </c>
      <c r="O13" s="16">
        <v>0</v>
      </c>
      <c r="P13" s="16">
        <v>2</v>
      </c>
      <c r="Q13" s="16">
        <v>1</v>
      </c>
      <c r="R13" s="16">
        <v>2</v>
      </c>
      <c r="S13" s="16">
        <v>2</v>
      </c>
      <c r="T13" s="16">
        <v>4</v>
      </c>
      <c r="U13" s="16">
        <v>4</v>
      </c>
      <c r="V13" s="16">
        <v>0</v>
      </c>
      <c r="W13" s="16">
        <v>1</v>
      </c>
      <c r="X13" s="16">
        <v>1</v>
      </c>
      <c r="Y13" s="16">
        <v>1</v>
      </c>
      <c r="Z13" s="16">
        <v>0</v>
      </c>
      <c r="AA13" s="16">
        <v>1</v>
      </c>
      <c r="AB13" s="16">
        <v>1</v>
      </c>
      <c r="AC13" s="17">
        <v>2</v>
      </c>
      <c r="AD13" s="8">
        <f t="shared" si="0"/>
        <v>61</v>
      </c>
    </row>
    <row r="14" spans="1:30">
      <c r="A14" s="1" t="s">
        <v>3</v>
      </c>
      <c r="B14" s="6" t="s">
        <v>65</v>
      </c>
      <c r="C14" s="15">
        <v>0</v>
      </c>
      <c r="D14" s="16">
        <v>0</v>
      </c>
      <c r="E14" s="16">
        <v>0</v>
      </c>
      <c r="F14" s="16">
        <v>0</v>
      </c>
      <c r="G14" s="16">
        <v>2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7">
        <v>0</v>
      </c>
      <c r="AD14" s="8">
        <f t="shared" si="0"/>
        <v>2</v>
      </c>
    </row>
    <row r="15" spans="1:30">
      <c r="A15" s="1" t="s">
        <v>3</v>
      </c>
      <c r="B15" s="6" t="s">
        <v>66</v>
      </c>
      <c r="C15" s="15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16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2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7">
        <v>0</v>
      </c>
      <c r="AD15" s="8">
        <f t="shared" si="0"/>
        <v>18</v>
      </c>
    </row>
    <row r="16" spans="1:30">
      <c r="A16" s="1" t="s">
        <v>3</v>
      </c>
      <c r="B16" s="6" t="s">
        <v>67</v>
      </c>
      <c r="C16" s="15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7">
        <v>0</v>
      </c>
      <c r="AD16" s="8">
        <f t="shared" si="0"/>
        <v>0</v>
      </c>
    </row>
    <row r="17" spans="1:30">
      <c r="A17" s="1" t="s">
        <v>3</v>
      </c>
      <c r="B17" s="6" t="s">
        <v>68</v>
      </c>
      <c r="C17" s="18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2.9583333333333335</v>
      </c>
      <c r="X17" s="19">
        <v>3.125</v>
      </c>
      <c r="Y17" s="19">
        <v>2.875</v>
      </c>
      <c r="Z17" s="19">
        <v>3.7916666666666665</v>
      </c>
      <c r="AA17" s="19">
        <v>3.4166666666666665</v>
      </c>
      <c r="AB17" s="19">
        <v>1</v>
      </c>
      <c r="AC17" s="20">
        <v>3.6666666666666665</v>
      </c>
      <c r="AD17" s="9">
        <f t="shared" si="0"/>
        <v>20.833333333333336</v>
      </c>
    </row>
    <row r="18" spans="1:30">
      <c r="A18" s="1" t="s">
        <v>3</v>
      </c>
      <c r="B18" s="6" t="s">
        <v>69</v>
      </c>
      <c r="C18" s="18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20">
        <v>0</v>
      </c>
      <c r="AD18" s="9">
        <f t="shared" si="0"/>
        <v>0</v>
      </c>
    </row>
    <row r="19" spans="1:30">
      <c r="A19" s="1" t="s">
        <v>3</v>
      </c>
      <c r="B19" s="6" t="s">
        <v>70</v>
      </c>
      <c r="C19" s="18">
        <v>1.2916666666666667</v>
      </c>
      <c r="D19" s="19">
        <v>0.58333333333333337</v>
      </c>
      <c r="E19" s="19">
        <v>0.91666666666666663</v>
      </c>
      <c r="F19" s="19">
        <v>0</v>
      </c>
      <c r="G19" s="19">
        <v>0.20833333333333334</v>
      </c>
      <c r="H19" s="19">
        <v>2.625</v>
      </c>
      <c r="I19" s="19">
        <v>1.2083333333333333</v>
      </c>
      <c r="J19" s="19">
        <v>2.7916666666666665</v>
      </c>
      <c r="K19" s="19">
        <v>2.7083333333333335</v>
      </c>
      <c r="L19" s="19">
        <v>2.375</v>
      </c>
      <c r="M19" s="19">
        <v>2.5416666666666665</v>
      </c>
      <c r="N19" s="19">
        <v>2.9166666666666665</v>
      </c>
      <c r="O19" s="19">
        <v>2.1666666666666665</v>
      </c>
      <c r="P19" s="19">
        <v>0.54166666666666663</v>
      </c>
      <c r="Q19" s="19">
        <v>2.125</v>
      </c>
      <c r="R19" s="19">
        <v>0</v>
      </c>
      <c r="S19" s="19">
        <v>3.375</v>
      </c>
      <c r="T19" s="19">
        <v>0.91666666666666663</v>
      </c>
      <c r="U19" s="19">
        <v>0.91666666666666663</v>
      </c>
      <c r="V19" s="19">
        <v>1.6666666666666665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0.125</v>
      </c>
      <c r="AC19" s="20">
        <v>0</v>
      </c>
      <c r="AD19" s="9">
        <f t="shared" si="0"/>
        <v>32.000000000000007</v>
      </c>
    </row>
    <row r="20" spans="1:30">
      <c r="A20" s="1" t="s">
        <v>3</v>
      </c>
      <c r="B20" s="6" t="s">
        <v>71</v>
      </c>
      <c r="C20" s="18">
        <v>0.58333333333333337</v>
      </c>
      <c r="D20" s="19">
        <v>0.29166666666666669</v>
      </c>
      <c r="E20" s="19">
        <v>0.29166666666666669</v>
      </c>
      <c r="F20" s="19">
        <v>0</v>
      </c>
      <c r="G20" s="19">
        <v>0.625</v>
      </c>
      <c r="H20" s="19">
        <v>0.33333333333333331</v>
      </c>
      <c r="I20" s="19">
        <v>0.70833333333333337</v>
      </c>
      <c r="J20" s="19">
        <v>0.33333333333333331</v>
      </c>
      <c r="K20" s="19">
        <v>0.91666666666666663</v>
      </c>
      <c r="L20" s="19">
        <v>0.375</v>
      </c>
      <c r="M20" s="19">
        <v>1.2083333333333333</v>
      </c>
      <c r="N20" s="19">
        <v>0.58333333333333337</v>
      </c>
      <c r="O20" s="19">
        <v>0.375</v>
      </c>
      <c r="P20" s="19">
        <v>0.58333333333333337</v>
      </c>
      <c r="Q20" s="19">
        <v>0.5</v>
      </c>
      <c r="R20" s="19">
        <v>0</v>
      </c>
      <c r="S20" s="19">
        <v>0.20833333333333334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20">
        <v>0</v>
      </c>
      <c r="AD20" s="9">
        <f t="shared" si="0"/>
        <v>7.9166666666666661</v>
      </c>
    </row>
    <row r="21" spans="1:30">
      <c r="A21" s="1" t="s">
        <v>3</v>
      </c>
      <c r="B21" s="6" t="s">
        <v>72</v>
      </c>
      <c r="C21" s="18">
        <v>0.58333333333333337</v>
      </c>
      <c r="D21" s="19">
        <v>0.33333333333333331</v>
      </c>
      <c r="E21" s="19">
        <v>0</v>
      </c>
      <c r="F21" s="19">
        <v>0</v>
      </c>
      <c r="G21" s="19">
        <v>0.54166666666666663</v>
      </c>
      <c r="H21" s="19">
        <v>0.66666666666666663</v>
      </c>
      <c r="I21" s="19">
        <v>0.29166666666666669</v>
      </c>
      <c r="J21" s="19">
        <v>0.41666666666666669</v>
      </c>
      <c r="K21" s="19">
        <v>0.16666666666666666</v>
      </c>
      <c r="L21" s="19">
        <v>0.375</v>
      </c>
      <c r="M21" s="19">
        <v>0.25</v>
      </c>
      <c r="N21" s="19">
        <v>0.75</v>
      </c>
      <c r="O21" s="19">
        <v>0</v>
      </c>
      <c r="P21" s="19">
        <v>0</v>
      </c>
      <c r="Q21" s="19">
        <v>0.33333333333333331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20">
        <v>0</v>
      </c>
      <c r="AD21" s="9">
        <f t="shared" si="0"/>
        <v>4.708333333333333</v>
      </c>
    </row>
    <row r="22" spans="1:30">
      <c r="A22" s="1" t="s">
        <v>3</v>
      </c>
      <c r="B22" s="6" t="s">
        <v>73</v>
      </c>
      <c r="C22" s="18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0.41666666666666669</v>
      </c>
      <c r="V22" s="19">
        <v>0.375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20">
        <v>0</v>
      </c>
      <c r="AD22" s="9">
        <f t="shared" si="0"/>
        <v>0.79166666666666674</v>
      </c>
    </row>
    <row r="23" spans="1:30">
      <c r="A23" s="1" t="s">
        <v>3</v>
      </c>
      <c r="B23" s="6" t="s">
        <v>74</v>
      </c>
      <c r="C23" s="18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0.33333333333333331</v>
      </c>
      <c r="V23" s="19">
        <v>0.375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20">
        <v>0</v>
      </c>
      <c r="AD23" s="9">
        <f t="shared" si="0"/>
        <v>0.70833333333333326</v>
      </c>
    </row>
    <row r="24" spans="1:30">
      <c r="A24" s="1" t="s">
        <v>3</v>
      </c>
      <c r="B24" s="6" t="s">
        <v>75</v>
      </c>
      <c r="C24" s="18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20">
        <v>0</v>
      </c>
      <c r="AD24" s="9">
        <f t="shared" si="0"/>
        <v>0</v>
      </c>
    </row>
    <row r="25" spans="1:30">
      <c r="A25" s="1" t="s">
        <v>3</v>
      </c>
      <c r="B25" s="6" t="s">
        <v>76</v>
      </c>
      <c r="C25" s="18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20">
        <v>0</v>
      </c>
      <c r="AD25" s="9">
        <f t="shared" si="0"/>
        <v>0</v>
      </c>
    </row>
    <row r="26" spans="1:30">
      <c r="A26" s="1" t="s">
        <v>3</v>
      </c>
      <c r="B26" s="6" t="s">
        <v>77</v>
      </c>
      <c r="C26" s="18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0.29166666666666669</v>
      </c>
      <c r="X26" s="19">
        <v>0.29166666666666669</v>
      </c>
      <c r="Y26" s="19">
        <v>0.29166666666666669</v>
      </c>
      <c r="Z26" s="19">
        <v>0</v>
      </c>
      <c r="AA26" s="19">
        <v>0.29166666666666669</v>
      </c>
      <c r="AB26" s="19">
        <v>0.33333333333333331</v>
      </c>
      <c r="AC26" s="20">
        <v>0.33333333333333331</v>
      </c>
      <c r="AD26" s="9">
        <f t="shared" si="0"/>
        <v>1.8333333333333333</v>
      </c>
    </row>
    <row r="27" spans="1:30">
      <c r="A27" s="1" t="s">
        <v>3</v>
      </c>
      <c r="B27" s="6" t="s">
        <v>78</v>
      </c>
      <c r="C27" s="18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20">
        <v>0</v>
      </c>
      <c r="AD27" s="9">
        <f t="shared" si="0"/>
        <v>0</v>
      </c>
    </row>
    <row r="28" spans="1:30">
      <c r="A28" s="1" t="s">
        <v>3</v>
      </c>
      <c r="B28" s="6" t="s">
        <v>79</v>
      </c>
      <c r="C28" s="18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20">
        <v>0</v>
      </c>
      <c r="AD28" s="9">
        <f t="shared" si="0"/>
        <v>0</v>
      </c>
    </row>
    <row r="29" spans="1:30">
      <c r="A29" s="1" t="s">
        <v>3</v>
      </c>
      <c r="B29" s="6" t="s">
        <v>80</v>
      </c>
      <c r="C29" s="18">
        <v>0.33333333333333331</v>
      </c>
      <c r="D29" s="19">
        <v>0</v>
      </c>
      <c r="E29" s="19">
        <v>0</v>
      </c>
      <c r="F29" s="19">
        <v>0</v>
      </c>
      <c r="G29" s="19">
        <v>0</v>
      </c>
      <c r="H29" s="19">
        <v>0.875</v>
      </c>
      <c r="I29" s="19">
        <v>0.25</v>
      </c>
      <c r="J29" s="19">
        <v>1.0416666666666667</v>
      </c>
      <c r="K29" s="19">
        <v>0.375</v>
      </c>
      <c r="L29" s="19">
        <v>0.25</v>
      </c>
      <c r="M29" s="19">
        <v>0.16666666666666666</v>
      </c>
      <c r="N29" s="19">
        <v>0.875</v>
      </c>
      <c r="O29" s="19">
        <v>0.625</v>
      </c>
      <c r="P29" s="19">
        <v>0.66666666666666663</v>
      </c>
      <c r="Q29" s="19">
        <v>0.45833333333333331</v>
      </c>
      <c r="R29" s="19">
        <v>0.95833333333333337</v>
      </c>
      <c r="S29" s="19">
        <v>1.2916666666666667</v>
      </c>
      <c r="T29" s="19">
        <v>0.75</v>
      </c>
      <c r="U29" s="19">
        <v>0.79166666666666663</v>
      </c>
      <c r="V29" s="19">
        <v>0.20833333333333334</v>
      </c>
      <c r="W29" s="19">
        <v>2.0833333333333335</v>
      </c>
      <c r="X29" s="19">
        <v>2.0833333333333335</v>
      </c>
      <c r="Y29" s="19">
        <v>1.9583333333333335</v>
      </c>
      <c r="Z29" s="19">
        <v>0</v>
      </c>
      <c r="AA29" s="19">
        <v>0</v>
      </c>
      <c r="AB29" s="19">
        <v>0</v>
      </c>
      <c r="AC29" s="20">
        <v>0</v>
      </c>
      <c r="AD29" s="9">
        <f t="shared" si="0"/>
        <v>16.041666666666668</v>
      </c>
    </row>
    <row r="30" spans="1:30" ht="19.5" thickBot="1">
      <c r="A30" s="1" t="s">
        <v>3</v>
      </c>
      <c r="B30" s="7" t="s">
        <v>81</v>
      </c>
      <c r="C30" s="41">
        <v>16</v>
      </c>
      <c r="D30" s="42">
        <v>30</v>
      </c>
      <c r="E30" s="42">
        <v>39</v>
      </c>
      <c r="F30" s="42">
        <v>39</v>
      </c>
      <c r="G30" s="42">
        <v>31</v>
      </c>
      <c r="H30" s="42">
        <v>33</v>
      </c>
      <c r="I30" s="42">
        <v>28</v>
      </c>
      <c r="J30" s="42">
        <v>32</v>
      </c>
      <c r="K30" s="42">
        <v>32</v>
      </c>
      <c r="L30" s="42">
        <v>19</v>
      </c>
      <c r="M30" s="42">
        <v>28</v>
      </c>
      <c r="N30" s="42">
        <v>35</v>
      </c>
      <c r="O30" s="42">
        <v>0</v>
      </c>
      <c r="P30" s="42">
        <v>13</v>
      </c>
      <c r="Q30" s="42">
        <v>27</v>
      </c>
      <c r="R30" s="42">
        <v>21</v>
      </c>
      <c r="S30" s="42">
        <v>17</v>
      </c>
      <c r="T30" s="42">
        <v>13</v>
      </c>
      <c r="U30" s="42">
        <v>3</v>
      </c>
      <c r="V30" s="42">
        <v>0</v>
      </c>
      <c r="W30" s="42">
        <v>4</v>
      </c>
      <c r="X30" s="42">
        <v>3</v>
      </c>
      <c r="Y30" s="42">
        <v>1</v>
      </c>
      <c r="Z30" s="42">
        <v>21</v>
      </c>
      <c r="AA30" s="42">
        <v>20</v>
      </c>
      <c r="AB30" s="42">
        <v>3</v>
      </c>
      <c r="AC30" s="43">
        <v>11</v>
      </c>
      <c r="AD30" s="44"/>
    </row>
    <row r="31" spans="1:30">
      <c r="A31" s="1" t="s">
        <v>3</v>
      </c>
      <c r="B31" s="27" t="s">
        <v>82</v>
      </c>
      <c r="C31" s="37">
        <v>177000</v>
      </c>
      <c r="D31" s="38">
        <v>187000</v>
      </c>
      <c r="E31" s="38">
        <v>280000</v>
      </c>
      <c r="F31" s="38">
        <v>375000</v>
      </c>
      <c r="G31" s="38">
        <v>187000</v>
      </c>
      <c r="H31" s="38">
        <v>192000</v>
      </c>
      <c r="I31" s="38">
        <v>182000</v>
      </c>
      <c r="J31" s="38">
        <v>187000</v>
      </c>
      <c r="K31" s="38">
        <v>177000</v>
      </c>
      <c r="L31" s="38">
        <v>177000</v>
      </c>
      <c r="M31" s="38">
        <v>172000</v>
      </c>
      <c r="N31" s="38">
        <v>187000</v>
      </c>
      <c r="O31" s="38">
        <v>177000</v>
      </c>
      <c r="P31" s="38">
        <v>177000</v>
      </c>
      <c r="Q31" s="38">
        <v>170000</v>
      </c>
      <c r="R31" s="38">
        <v>355000</v>
      </c>
      <c r="S31" s="38">
        <v>175000</v>
      </c>
      <c r="T31" s="38">
        <v>175000</v>
      </c>
      <c r="U31" s="38">
        <v>170000</v>
      </c>
      <c r="V31" s="38">
        <v>170000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39">
        <v>0</v>
      </c>
      <c r="AD31" s="40">
        <f t="shared" ref="AD31:AD84" si="1">SUM(C31:AC31)</f>
        <v>4049000</v>
      </c>
    </row>
    <row r="32" spans="1:30">
      <c r="A32" s="1" t="s">
        <v>3</v>
      </c>
      <c r="B32" s="6" t="s">
        <v>83</v>
      </c>
      <c r="C32" s="21">
        <v>0</v>
      </c>
      <c r="D32" s="22">
        <v>0</v>
      </c>
      <c r="E32" s="22">
        <v>0</v>
      </c>
      <c r="F32" s="22">
        <v>0</v>
      </c>
      <c r="G32" s="22">
        <v>20000</v>
      </c>
      <c r="H32" s="22">
        <v>5000</v>
      </c>
      <c r="I32" s="22">
        <v>5000</v>
      </c>
      <c r="J32" s="22">
        <v>5000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3">
        <v>0</v>
      </c>
      <c r="AD32" s="10">
        <f t="shared" si="1"/>
        <v>35000</v>
      </c>
    </row>
    <row r="33" spans="1:30">
      <c r="A33" s="1" t="s">
        <v>3</v>
      </c>
      <c r="B33" s="6" t="s">
        <v>84</v>
      </c>
      <c r="C33" s="21">
        <v>0</v>
      </c>
      <c r="D33" s="22">
        <v>0</v>
      </c>
      <c r="E33" s="22">
        <v>3000</v>
      </c>
      <c r="F33" s="22">
        <v>0</v>
      </c>
      <c r="G33" s="22">
        <v>3000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3">
        <v>0</v>
      </c>
      <c r="AD33" s="10">
        <f t="shared" si="1"/>
        <v>6000</v>
      </c>
    </row>
    <row r="34" spans="1:30">
      <c r="A34" s="1" t="s">
        <v>3</v>
      </c>
      <c r="B34" s="6" t="s">
        <v>85</v>
      </c>
      <c r="C34" s="21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3">
        <v>0</v>
      </c>
      <c r="AD34" s="10">
        <f t="shared" si="1"/>
        <v>0</v>
      </c>
    </row>
    <row r="35" spans="1:30">
      <c r="A35" s="1" t="s">
        <v>3</v>
      </c>
      <c r="B35" s="6" t="s">
        <v>86</v>
      </c>
      <c r="C35" s="21">
        <v>0</v>
      </c>
      <c r="D35" s="22">
        <v>0</v>
      </c>
      <c r="E35" s="22">
        <v>0</v>
      </c>
      <c r="F35" s="22">
        <v>0</v>
      </c>
      <c r="G35" s="22">
        <v>89871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19760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3">
        <v>0</v>
      </c>
      <c r="AD35" s="10">
        <f t="shared" si="1"/>
        <v>109631</v>
      </c>
    </row>
    <row r="36" spans="1:30">
      <c r="A36" s="1" t="s">
        <v>3</v>
      </c>
      <c r="B36" s="6" t="s">
        <v>87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3">
        <v>0</v>
      </c>
      <c r="AD36" s="10">
        <f t="shared" si="1"/>
        <v>0</v>
      </c>
    </row>
    <row r="37" spans="1:30">
      <c r="A37" s="1" t="s">
        <v>3</v>
      </c>
      <c r="B37" s="6" t="s">
        <v>88</v>
      </c>
      <c r="C37" s="21">
        <v>0</v>
      </c>
      <c r="D37" s="22">
        <v>0</v>
      </c>
      <c r="E37" s="22">
        <v>1000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3">
        <v>0</v>
      </c>
      <c r="AD37" s="10">
        <f t="shared" si="1"/>
        <v>1000</v>
      </c>
    </row>
    <row r="38" spans="1:30">
      <c r="A38" s="1" t="s">
        <v>3</v>
      </c>
      <c r="B38" s="6" t="s">
        <v>89</v>
      </c>
      <c r="C38" s="21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3">
        <v>0</v>
      </c>
      <c r="AD38" s="10">
        <f t="shared" si="1"/>
        <v>0</v>
      </c>
    </row>
    <row r="39" spans="1:30">
      <c r="A39" s="1" t="s">
        <v>3</v>
      </c>
      <c r="B39" s="6" t="s">
        <v>90</v>
      </c>
      <c r="C39" s="21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59640</v>
      </c>
      <c r="X39" s="22">
        <v>63000</v>
      </c>
      <c r="Y39" s="22">
        <v>57960</v>
      </c>
      <c r="Z39" s="22">
        <v>83720</v>
      </c>
      <c r="AA39" s="22">
        <v>75440</v>
      </c>
      <c r="AB39" s="22">
        <v>20160</v>
      </c>
      <c r="AC39" s="23">
        <v>73920</v>
      </c>
      <c r="AD39" s="10">
        <f t="shared" si="1"/>
        <v>433840</v>
      </c>
    </row>
    <row r="40" spans="1:30">
      <c r="A40" s="1" t="s">
        <v>3</v>
      </c>
      <c r="B40" s="6" t="s">
        <v>91</v>
      </c>
      <c r="C40" s="21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3">
        <v>0</v>
      </c>
      <c r="AD40" s="10">
        <f t="shared" si="1"/>
        <v>0</v>
      </c>
    </row>
    <row r="41" spans="1:30">
      <c r="A41" s="1" t="s">
        <v>3</v>
      </c>
      <c r="B41" s="6" t="s">
        <v>92</v>
      </c>
      <c r="C41" s="21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3">
        <v>0</v>
      </c>
      <c r="AD41" s="10">
        <f t="shared" si="1"/>
        <v>0</v>
      </c>
    </row>
    <row r="42" spans="1:30">
      <c r="A42" s="1" t="s">
        <v>3</v>
      </c>
      <c r="B42" s="6" t="s">
        <v>93</v>
      </c>
      <c r="C42" s="21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3">
        <v>0</v>
      </c>
      <c r="AD42" s="10">
        <f t="shared" si="1"/>
        <v>0</v>
      </c>
    </row>
    <row r="43" spans="1:30">
      <c r="A43" s="1" t="s">
        <v>3</v>
      </c>
      <c r="B43" s="6" t="s">
        <v>94</v>
      </c>
      <c r="C43" s="21">
        <v>1000</v>
      </c>
      <c r="D43" s="22">
        <v>1000</v>
      </c>
      <c r="E43" s="22">
        <v>0</v>
      </c>
      <c r="F43" s="22">
        <v>0</v>
      </c>
      <c r="G43" s="22">
        <v>1000</v>
      </c>
      <c r="H43" s="22">
        <v>1000</v>
      </c>
      <c r="I43" s="22">
        <v>1000</v>
      </c>
      <c r="J43" s="22">
        <v>1000</v>
      </c>
      <c r="K43" s="22">
        <v>1000</v>
      </c>
      <c r="L43" s="22">
        <v>1000</v>
      </c>
      <c r="M43" s="22">
        <v>1000</v>
      </c>
      <c r="N43" s="22">
        <v>1000</v>
      </c>
      <c r="O43" s="22">
        <v>1000</v>
      </c>
      <c r="P43" s="22">
        <v>1000</v>
      </c>
      <c r="Q43" s="22">
        <v>1000</v>
      </c>
      <c r="R43" s="22">
        <v>0</v>
      </c>
      <c r="S43" s="22">
        <v>1000</v>
      </c>
      <c r="T43" s="22">
        <v>1000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3">
        <v>0</v>
      </c>
      <c r="AD43" s="10">
        <f t="shared" si="1"/>
        <v>15000</v>
      </c>
    </row>
    <row r="44" spans="1:30">
      <c r="A44" s="1" t="s">
        <v>3</v>
      </c>
      <c r="B44" s="6" t="s">
        <v>95</v>
      </c>
      <c r="C44" s="21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5880</v>
      </c>
      <c r="X44" s="22">
        <v>5880</v>
      </c>
      <c r="Y44" s="22">
        <v>5880</v>
      </c>
      <c r="Z44" s="22">
        <v>0</v>
      </c>
      <c r="AA44" s="22">
        <v>6440</v>
      </c>
      <c r="AB44" s="22">
        <v>6720</v>
      </c>
      <c r="AC44" s="23">
        <v>6720</v>
      </c>
      <c r="AD44" s="10">
        <f t="shared" si="1"/>
        <v>37520</v>
      </c>
    </row>
    <row r="45" spans="1:30">
      <c r="A45" s="1" t="s">
        <v>3</v>
      </c>
      <c r="B45" s="6" t="s">
        <v>96</v>
      </c>
      <c r="C45" s="21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3">
        <v>0</v>
      </c>
      <c r="AD45" s="10">
        <f t="shared" si="1"/>
        <v>0</v>
      </c>
    </row>
    <row r="46" spans="1:30">
      <c r="A46" s="1" t="s">
        <v>3</v>
      </c>
      <c r="B46" s="6" t="s">
        <v>97</v>
      </c>
      <c r="C46" s="21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3">
        <v>0</v>
      </c>
      <c r="AD46" s="10">
        <f t="shared" si="1"/>
        <v>0</v>
      </c>
    </row>
    <row r="47" spans="1:30">
      <c r="A47" s="1" t="s">
        <v>3</v>
      </c>
      <c r="B47" s="6" t="s">
        <v>98</v>
      </c>
      <c r="C47" s="21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3">
        <v>0</v>
      </c>
      <c r="AD47" s="10">
        <f t="shared" si="1"/>
        <v>0</v>
      </c>
    </row>
    <row r="48" spans="1:30">
      <c r="A48" s="1" t="s">
        <v>3</v>
      </c>
      <c r="B48" s="6" t="s">
        <v>99</v>
      </c>
      <c r="C48" s="21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3">
        <v>0</v>
      </c>
      <c r="AD48" s="10">
        <f t="shared" si="1"/>
        <v>0</v>
      </c>
    </row>
    <row r="49" spans="1:30">
      <c r="A49" s="1" t="s">
        <v>3</v>
      </c>
      <c r="B49" s="6" t="s">
        <v>100</v>
      </c>
      <c r="C49" s="21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3">
        <v>0</v>
      </c>
      <c r="AD49" s="10">
        <f t="shared" si="1"/>
        <v>0</v>
      </c>
    </row>
    <row r="50" spans="1:30">
      <c r="A50" s="1" t="s">
        <v>3</v>
      </c>
      <c r="B50" s="6" t="s">
        <v>101</v>
      </c>
      <c r="C50" s="21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3">
        <v>0</v>
      </c>
      <c r="AD50" s="10">
        <f t="shared" si="1"/>
        <v>0</v>
      </c>
    </row>
    <row r="51" spans="1:30">
      <c r="A51" s="1" t="s">
        <v>3</v>
      </c>
      <c r="B51" s="6" t="s">
        <v>102</v>
      </c>
      <c r="C51" s="21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3">
        <v>0</v>
      </c>
      <c r="AD51" s="10">
        <f t="shared" si="1"/>
        <v>0</v>
      </c>
    </row>
    <row r="52" spans="1:30">
      <c r="A52" s="1" t="s">
        <v>3</v>
      </c>
      <c r="B52" s="6" t="s">
        <v>103</v>
      </c>
      <c r="C52" s="21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136256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16266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3">
        <v>0</v>
      </c>
      <c r="AD52" s="10">
        <f t="shared" si="1"/>
        <v>152522</v>
      </c>
    </row>
    <row r="53" spans="1:30">
      <c r="A53" s="1" t="s">
        <v>3</v>
      </c>
      <c r="B53" s="6" t="s">
        <v>104</v>
      </c>
      <c r="C53" s="21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3">
        <v>0</v>
      </c>
      <c r="AD53" s="10">
        <f t="shared" si="1"/>
        <v>0</v>
      </c>
    </row>
    <row r="54" spans="1:30">
      <c r="A54" s="1" t="s">
        <v>3</v>
      </c>
      <c r="B54" s="6" t="s">
        <v>70</v>
      </c>
      <c r="C54" s="21">
        <v>41323</v>
      </c>
      <c r="D54" s="22">
        <v>19712</v>
      </c>
      <c r="E54" s="22">
        <v>46618</v>
      </c>
      <c r="F54" s="22">
        <v>0</v>
      </c>
      <c r="G54" s="22">
        <v>7895</v>
      </c>
      <c r="H54" s="22">
        <v>93429</v>
      </c>
      <c r="I54" s="22">
        <v>40832</v>
      </c>
      <c r="J54" s="22">
        <v>96815</v>
      </c>
      <c r="K54" s="22">
        <v>86645</v>
      </c>
      <c r="L54" s="22">
        <v>75981</v>
      </c>
      <c r="M54" s="22">
        <v>78995</v>
      </c>
      <c r="N54" s="22">
        <v>98560</v>
      </c>
      <c r="O54" s="22">
        <v>69316</v>
      </c>
      <c r="P54" s="22">
        <v>17329</v>
      </c>
      <c r="Q54" s="22">
        <v>65280</v>
      </c>
      <c r="R54" s="22">
        <v>0</v>
      </c>
      <c r="S54" s="22">
        <v>106758</v>
      </c>
      <c r="T54" s="22">
        <v>28996</v>
      </c>
      <c r="U54" s="22">
        <v>28006</v>
      </c>
      <c r="V54" s="22">
        <v>50920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3150</v>
      </c>
      <c r="AC54" s="23">
        <v>0</v>
      </c>
      <c r="AD54" s="10">
        <f t="shared" si="1"/>
        <v>1056560</v>
      </c>
    </row>
    <row r="55" spans="1:30">
      <c r="A55" s="1" t="s">
        <v>3</v>
      </c>
      <c r="B55" s="6" t="s">
        <v>105</v>
      </c>
      <c r="C55" s="21">
        <v>20146</v>
      </c>
      <c r="D55" s="22">
        <v>10640</v>
      </c>
      <c r="E55" s="22">
        <v>16016</v>
      </c>
      <c r="F55" s="22">
        <v>0</v>
      </c>
      <c r="G55" s="22">
        <v>25575</v>
      </c>
      <c r="H55" s="22">
        <v>12808</v>
      </c>
      <c r="I55" s="22">
        <v>25840</v>
      </c>
      <c r="J55" s="22">
        <v>12488</v>
      </c>
      <c r="K55" s="22">
        <v>31658</v>
      </c>
      <c r="L55" s="22">
        <v>12951</v>
      </c>
      <c r="M55" s="22">
        <v>40571</v>
      </c>
      <c r="N55" s="22">
        <v>21280</v>
      </c>
      <c r="O55" s="22">
        <v>12951</v>
      </c>
      <c r="P55" s="22">
        <v>20146</v>
      </c>
      <c r="Q55" s="22">
        <v>16584</v>
      </c>
      <c r="R55" s="22">
        <v>0</v>
      </c>
      <c r="S55" s="22">
        <v>7115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3">
        <v>0</v>
      </c>
      <c r="AD55" s="10">
        <f t="shared" si="1"/>
        <v>286769</v>
      </c>
    </row>
    <row r="56" spans="1:30">
      <c r="A56" s="1" t="s">
        <v>3</v>
      </c>
      <c r="B56" s="6" t="s">
        <v>106</v>
      </c>
      <c r="C56" s="21">
        <v>20146</v>
      </c>
      <c r="D56" s="22">
        <v>12160</v>
      </c>
      <c r="E56" s="22">
        <v>0</v>
      </c>
      <c r="F56" s="22">
        <v>0</v>
      </c>
      <c r="G56" s="22">
        <v>22165</v>
      </c>
      <c r="H56" s="22">
        <v>25616</v>
      </c>
      <c r="I56" s="22">
        <v>10640</v>
      </c>
      <c r="J56" s="22">
        <v>15610</v>
      </c>
      <c r="K56" s="22">
        <v>5756</v>
      </c>
      <c r="L56" s="22">
        <v>12951</v>
      </c>
      <c r="M56" s="22">
        <v>8394</v>
      </c>
      <c r="N56" s="22">
        <v>27360</v>
      </c>
      <c r="O56" s="22">
        <v>0</v>
      </c>
      <c r="P56" s="22">
        <v>0</v>
      </c>
      <c r="Q56" s="22">
        <v>11056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3">
        <v>0</v>
      </c>
      <c r="AD56" s="10">
        <f t="shared" si="1"/>
        <v>171854</v>
      </c>
    </row>
    <row r="57" spans="1:30">
      <c r="A57" s="1" t="s">
        <v>3</v>
      </c>
      <c r="B57" s="6" t="s">
        <v>107</v>
      </c>
      <c r="C57" s="21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3560</v>
      </c>
      <c r="V57" s="22">
        <v>3204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3">
        <v>0</v>
      </c>
      <c r="AD57" s="10">
        <f t="shared" si="1"/>
        <v>6764</v>
      </c>
    </row>
    <row r="58" spans="1:30">
      <c r="A58" s="1" t="s">
        <v>3</v>
      </c>
      <c r="B58" s="6" t="s">
        <v>108</v>
      </c>
      <c r="C58" s="21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2848</v>
      </c>
      <c r="V58" s="22">
        <v>3204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3">
        <v>0</v>
      </c>
      <c r="AD58" s="10">
        <f t="shared" si="1"/>
        <v>6052</v>
      </c>
    </row>
    <row r="59" spans="1:30">
      <c r="A59" s="1" t="s">
        <v>3</v>
      </c>
      <c r="B59" s="6" t="s">
        <v>109</v>
      </c>
      <c r="C59" s="21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3">
        <v>0</v>
      </c>
      <c r="AD59" s="10">
        <f t="shared" si="1"/>
        <v>0</v>
      </c>
    </row>
    <row r="60" spans="1:30">
      <c r="A60" s="1" t="s">
        <v>3</v>
      </c>
      <c r="B60" s="6" t="s">
        <v>75</v>
      </c>
      <c r="C60" s="21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3">
        <v>0</v>
      </c>
      <c r="AD60" s="10">
        <f t="shared" si="1"/>
        <v>0</v>
      </c>
    </row>
    <row r="61" spans="1:30" ht="19.5" thickBot="1">
      <c r="A61" s="1" t="s">
        <v>3</v>
      </c>
      <c r="B61" s="45" t="s">
        <v>80</v>
      </c>
      <c r="C61" s="46">
        <v>2136</v>
      </c>
      <c r="D61" s="47">
        <v>0</v>
      </c>
      <c r="E61" s="47">
        <v>0</v>
      </c>
      <c r="F61" s="47">
        <v>0</v>
      </c>
      <c r="G61" s="47">
        <v>0</v>
      </c>
      <c r="H61" s="47">
        <v>6237</v>
      </c>
      <c r="I61" s="47">
        <v>1692</v>
      </c>
      <c r="J61" s="47">
        <v>7225</v>
      </c>
      <c r="K61" s="47">
        <v>2403</v>
      </c>
      <c r="L61" s="47">
        <v>1602</v>
      </c>
      <c r="M61" s="47">
        <v>1036</v>
      </c>
      <c r="N61" s="47">
        <v>5922</v>
      </c>
      <c r="O61" s="47">
        <v>4005</v>
      </c>
      <c r="P61" s="47">
        <v>4272</v>
      </c>
      <c r="Q61" s="47">
        <v>2816</v>
      </c>
      <c r="R61" s="47">
        <v>12236</v>
      </c>
      <c r="S61" s="47">
        <v>8184</v>
      </c>
      <c r="T61" s="47">
        <v>4752</v>
      </c>
      <c r="U61" s="47">
        <v>4845</v>
      </c>
      <c r="V61" s="47">
        <v>1275</v>
      </c>
      <c r="W61" s="47">
        <v>10500</v>
      </c>
      <c r="X61" s="47">
        <v>10500</v>
      </c>
      <c r="Y61" s="47">
        <v>9870</v>
      </c>
      <c r="Z61" s="47">
        <v>0</v>
      </c>
      <c r="AA61" s="47">
        <v>0</v>
      </c>
      <c r="AB61" s="47">
        <v>0</v>
      </c>
      <c r="AC61" s="48">
        <v>0</v>
      </c>
      <c r="AD61" s="49">
        <f t="shared" si="1"/>
        <v>101508</v>
      </c>
    </row>
    <row r="62" spans="1:30" ht="19.5" thickBot="1">
      <c r="A62" s="1" t="s">
        <v>3</v>
      </c>
      <c r="B62" s="50" t="s">
        <v>110</v>
      </c>
      <c r="C62" s="51">
        <v>261751</v>
      </c>
      <c r="D62" s="52">
        <v>230512</v>
      </c>
      <c r="E62" s="52">
        <v>346634</v>
      </c>
      <c r="F62" s="52">
        <v>375000</v>
      </c>
      <c r="G62" s="52">
        <v>356506</v>
      </c>
      <c r="H62" s="52">
        <v>336090</v>
      </c>
      <c r="I62" s="52">
        <v>267004</v>
      </c>
      <c r="J62" s="52">
        <v>325138</v>
      </c>
      <c r="K62" s="52">
        <v>304462</v>
      </c>
      <c r="L62" s="52">
        <v>281485</v>
      </c>
      <c r="M62" s="52">
        <v>301996</v>
      </c>
      <c r="N62" s="52">
        <v>360882</v>
      </c>
      <c r="O62" s="52">
        <v>264272</v>
      </c>
      <c r="P62" s="52">
        <v>83491</v>
      </c>
      <c r="Q62" s="52">
        <v>266736</v>
      </c>
      <c r="R62" s="52">
        <v>367236</v>
      </c>
      <c r="S62" s="52">
        <v>298057</v>
      </c>
      <c r="T62" s="52">
        <v>209748</v>
      </c>
      <c r="U62" s="52">
        <v>209259</v>
      </c>
      <c r="V62" s="52">
        <v>212337</v>
      </c>
      <c r="W62" s="52">
        <v>76020</v>
      </c>
      <c r="X62" s="52">
        <v>79380</v>
      </c>
      <c r="Y62" s="52">
        <v>73710</v>
      </c>
      <c r="Z62" s="52">
        <v>83720</v>
      </c>
      <c r="AA62" s="52">
        <v>81880</v>
      </c>
      <c r="AB62" s="52">
        <v>30030</v>
      </c>
      <c r="AC62" s="53">
        <v>80640</v>
      </c>
      <c r="AD62" s="54">
        <f t="shared" si="1"/>
        <v>6163976</v>
      </c>
    </row>
    <row r="63" spans="1:30">
      <c r="A63" s="1" t="s">
        <v>3</v>
      </c>
      <c r="B63" s="27" t="s">
        <v>111</v>
      </c>
      <c r="C63" s="37">
        <v>12003</v>
      </c>
      <c r="D63" s="38">
        <v>2740</v>
      </c>
      <c r="E63" s="38">
        <v>5871</v>
      </c>
      <c r="F63" s="38">
        <v>8141</v>
      </c>
      <c r="G63" s="38">
        <v>5167</v>
      </c>
      <c r="H63" s="38">
        <v>2871</v>
      </c>
      <c r="I63" s="38">
        <v>14403</v>
      </c>
      <c r="J63" s="38">
        <v>2297</v>
      </c>
      <c r="K63" s="38">
        <v>2297</v>
      </c>
      <c r="L63" s="38">
        <v>1253</v>
      </c>
      <c r="M63" s="38">
        <v>3262</v>
      </c>
      <c r="N63" s="38">
        <v>5219</v>
      </c>
      <c r="O63" s="38">
        <v>6524</v>
      </c>
      <c r="P63" s="38">
        <v>1279</v>
      </c>
      <c r="Q63" s="38">
        <v>8141</v>
      </c>
      <c r="R63" s="38">
        <v>3758</v>
      </c>
      <c r="S63" s="38">
        <v>6002</v>
      </c>
      <c r="T63" s="38">
        <v>8872</v>
      </c>
      <c r="U63" s="38">
        <v>3653</v>
      </c>
      <c r="V63" s="38">
        <v>10333</v>
      </c>
      <c r="W63" s="38">
        <v>3132</v>
      </c>
      <c r="X63" s="38">
        <v>4306</v>
      </c>
      <c r="Y63" s="38">
        <v>4175</v>
      </c>
      <c r="Z63" s="38">
        <v>3132</v>
      </c>
      <c r="AA63" s="38">
        <v>1957</v>
      </c>
      <c r="AB63" s="38">
        <v>1018</v>
      </c>
      <c r="AC63" s="39">
        <v>7672</v>
      </c>
      <c r="AD63" s="40">
        <f t="shared" si="1"/>
        <v>139478</v>
      </c>
    </row>
    <row r="64" spans="1:30" ht="19.5" thickBot="1">
      <c r="A64" s="1" t="s">
        <v>3</v>
      </c>
      <c r="B64" s="45" t="s">
        <v>112</v>
      </c>
      <c r="C64" s="46">
        <v>0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</v>
      </c>
      <c r="Y64" s="47">
        <v>0</v>
      </c>
      <c r="Z64" s="47">
        <v>0</v>
      </c>
      <c r="AA64" s="47">
        <v>0</v>
      </c>
      <c r="AB64" s="47">
        <v>0</v>
      </c>
      <c r="AC64" s="48">
        <v>0</v>
      </c>
      <c r="AD64" s="49">
        <f t="shared" si="1"/>
        <v>0</v>
      </c>
    </row>
    <row r="65" spans="1:30" ht="19.5" thickBot="1">
      <c r="A65" s="1" t="s">
        <v>3</v>
      </c>
      <c r="B65" s="50" t="s">
        <v>113</v>
      </c>
      <c r="C65" s="51">
        <v>12003</v>
      </c>
      <c r="D65" s="52">
        <v>2740</v>
      </c>
      <c r="E65" s="52">
        <v>5871</v>
      </c>
      <c r="F65" s="52">
        <v>8141</v>
      </c>
      <c r="G65" s="52">
        <v>5167</v>
      </c>
      <c r="H65" s="52">
        <v>2871</v>
      </c>
      <c r="I65" s="52">
        <v>14403</v>
      </c>
      <c r="J65" s="52">
        <v>2297</v>
      </c>
      <c r="K65" s="52">
        <v>2297</v>
      </c>
      <c r="L65" s="52">
        <v>1253</v>
      </c>
      <c r="M65" s="52">
        <v>3262</v>
      </c>
      <c r="N65" s="52">
        <v>5219</v>
      </c>
      <c r="O65" s="52">
        <v>6524</v>
      </c>
      <c r="P65" s="52">
        <v>1279</v>
      </c>
      <c r="Q65" s="52">
        <v>8141</v>
      </c>
      <c r="R65" s="52">
        <v>3758</v>
      </c>
      <c r="S65" s="52">
        <v>6002</v>
      </c>
      <c r="T65" s="52">
        <v>8872</v>
      </c>
      <c r="U65" s="52">
        <v>3653</v>
      </c>
      <c r="V65" s="52">
        <v>10333</v>
      </c>
      <c r="W65" s="52">
        <v>3132</v>
      </c>
      <c r="X65" s="52">
        <v>4306</v>
      </c>
      <c r="Y65" s="52">
        <v>4175</v>
      </c>
      <c r="Z65" s="52">
        <v>3132</v>
      </c>
      <c r="AA65" s="52">
        <v>1957</v>
      </c>
      <c r="AB65" s="52">
        <v>1018</v>
      </c>
      <c r="AC65" s="53">
        <v>7672</v>
      </c>
      <c r="AD65" s="54">
        <f t="shared" si="1"/>
        <v>139478</v>
      </c>
    </row>
    <row r="66" spans="1:30" ht="19.5" thickBot="1">
      <c r="A66" s="1" t="s">
        <v>3</v>
      </c>
      <c r="B66" s="50" t="s">
        <v>114</v>
      </c>
      <c r="C66" s="51">
        <v>273754</v>
      </c>
      <c r="D66" s="52">
        <v>233252</v>
      </c>
      <c r="E66" s="52">
        <v>352505</v>
      </c>
      <c r="F66" s="52">
        <v>383141</v>
      </c>
      <c r="G66" s="52">
        <v>361673</v>
      </c>
      <c r="H66" s="52">
        <v>338961</v>
      </c>
      <c r="I66" s="52">
        <v>281407</v>
      </c>
      <c r="J66" s="52">
        <v>327435</v>
      </c>
      <c r="K66" s="52">
        <v>306759</v>
      </c>
      <c r="L66" s="52">
        <v>282738</v>
      </c>
      <c r="M66" s="52">
        <v>305258</v>
      </c>
      <c r="N66" s="52">
        <v>366101</v>
      </c>
      <c r="O66" s="52">
        <v>270796</v>
      </c>
      <c r="P66" s="52">
        <v>84770</v>
      </c>
      <c r="Q66" s="52">
        <v>274877</v>
      </c>
      <c r="R66" s="52">
        <v>370994</v>
      </c>
      <c r="S66" s="52">
        <v>304059</v>
      </c>
      <c r="T66" s="52">
        <v>218620</v>
      </c>
      <c r="U66" s="52">
        <v>212912</v>
      </c>
      <c r="V66" s="52">
        <v>222670</v>
      </c>
      <c r="W66" s="52">
        <v>79152</v>
      </c>
      <c r="X66" s="52">
        <v>83686</v>
      </c>
      <c r="Y66" s="52">
        <v>77885</v>
      </c>
      <c r="Z66" s="52">
        <v>86852</v>
      </c>
      <c r="AA66" s="52">
        <v>83837</v>
      </c>
      <c r="AB66" s="52">
        <v>31048</v>
      </c>
      <c r="AC66" s="53">
        <v>88312</v>
      </c>
      <c r="AD66" s="54">
        <f t="shared" si="1"/>
        <v>6303454</v>
      </c>
    </row>
    <row r="67" spans="1:30">
      <c r="A67" s="1" t="s">
        <v>3</v>
      </c>
      <c r="B67" s="27" t="s">
        <v>115</v>
      </c>
      <c r="C67" s="37">
        <v>16320</v>
      </c>
      <c r="D67" s="38">
        <v>19380</v>
      </c>
      <c r="E67" s="38">
        <v>19380</v>
      </c>
      <c r="F67" s="38">
        <v>19380</v>
      </c>
      <c r="G67" s="38">
        <v>19380</v>
      </c>
      <c r="H67" s="38">
        <v>20910</v>
      </c>
      <c r="I67" s="38">
        <v>19380</v>
      </c>
      <c r="J67" s="38">
        <v>20910</v>
      </c>
      <c r="K67" s="38">
        <v>16320</v>
      </c>
      <c r="L67" s="38">
        <v>15300</v>
      </c>
      <c r="M67" s="38">
        <v>16320</v>
      </c>
      <c r="N67" s="38">
        <v>17340</v>
      </c>
      <c r="O67" s="38">
        <v>16320</v>
      </c>
      <c r="P67" s="38">
        <v>17340</v>
      </c>
      <c r="Q67" s="38">
        <v>15300</v>
      </c>
      <c r="R67" s="38">
        <v>19380</v>
      </c>
      <c r="S67" s="38">
        <v>17340</v>
      </c>
      <c r="T67" s="38">
        <v>15300</v>
      </c>
      <c r="U67" s="38">
        <v>13260</v>
      </c>
      <c r="V67" s="38">
        <v>13260</v>
      </c>
      <c r="W67" s="38">
        <v>0</v>
      </c>
      <c r="X67" s="38">
        <v>0</v>
      </c>
      <c r="Y67" s="38">
        <v>0</v>
      </c>
      <c r="Z67" s="38">
        <v>0</v>
      </c>
      <c r="AA67" s="38">
        <v>0</v>
      </c>
      <c r="AB67" s="38">
        <v>0</v>
      </c>
      <c r="AC67" s="39">
        <v>0</v>
      </c>
      <c r="AD67" s="40">
        <f t="shared" si="1"/>
        <v>347820</v>
      </c>
    </row>
    <row r="68" spans="1:30">
      <c r="A68" s="1" t="s">
        <v>3</v>
      </c>
      <c r="B68" s="6" t="s">
        <v>116</v>
      </c>
      <c r="C68" s="21">
        <v>2880</v>
      </c>
      <c r="D68" s="22">
        <v>3420</v>
      </c>
      <c r="E68" s="22">
        <v>3420</v>
      </c>
      <c r="F68" s="22">
        <v>3420</v>
      </c>
      <c r="G68" s="22">
        <v>3420</v>
      </c>
      <c r="H68" s="22">
        <v>3690</v>
      </c>
      <c r="I68" s="22">
        <v>3420</v>
      </c>
      <c r="J68" s="22">
        <v>3690</v>
      </c>
      <c r="K68" s="22">
        <v>2880</v>
      </c>
      <c r="L68" s="22">
        <v>2700</v>
      </c>
      <c r="M68" s="22">
        <v>2880</v>
      </c>
      <c r="N68" s="22">
        <v>3060</v>
      </c>
      <c r="O68" s="22">
        <v>2880</v>
      </c>
      <c r="P68" s="22">
        <v>3060</v>
      </c>
      <c r="Q68" s="22">
        <v>2700</v>
      </c>
      <c r="R68" s="22">
        <v>3420</v>
      </c>
      <c r="S68" s="22">
        <v>3060</v>
      </c>
      <c r="T68" s="22">
        <v>2700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3">
        <v>0</v>
      </c>
      <c r="AD68" s="10">
        <f t="shared" si="1"/>
        <v>56700</v>
      </c>
    </row>
    <row r="69" spans="1:30">
      <c r="A69" s="1" t="s">
        <v>3</v>
      </c>
      <c r="B69" s="6" t="s">
        <v>117</v>
      </c>
      <c r="C69" s="21">
        <v>29280</v>
      </c>
      <c r="D69" s="22">
        <v>34770</v>
      </c>
      <c r="E69" s="22">
        <v>34770</v>
      </c>
      <c r="F69" s="22">
        <v>34770</v>
      </c>
      <c r="G69" s="22">
        <v>34770</v>
      </c>
      <c r="H69" s="22">
        <v>37515</v>
      </c>
      <c r="I69" s="22">
        <v>34770</v>
      </c>
      <c r="J69" s="22">
        <v>37515</v>
      </c>
      <c r="K69" s="22">
        <v>29280</v>
      </c>
      <c r="L69" s="22">
        <v>27450</v>
      </c>
      <c r="M69" s="22">
        <v>29280</v>
      </c>
      <c r="N69" s="22">
        <v>31110</v>
      </c>
      <c r="O69" s="22">
        <v>29280</v>
      </c>
      <c r="P69" s="22">
        <v>31110</v>
      </c>
      <c r="Q69" s="22">
        <v>27450</v>
      </c>
      <c r="R69" s="22">
        <v>34770</v>
      </c>
      <c r="S69" s="22">
        <v>31110</v>
      </c>
      <c r="T69" s="22">
        <v>27450</v>
      </c>
      <c r="U69" s="22">
        <v>23790</v>
      </c>
      <c r="V69" s="22">
        <v>23790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3">
        <v>0</v>
      </c>
      <c r="AD69" s="10">
        <f t="shared" si="1"/>
        <v>624030</v>
      </c>
    </row>
    <row r="70" spans="1:30">
      <c r="A70" s="1" t="s">
        <v>3</v>
      </c>
      <c r="B70" s="6" t="s">
        <v>118</v>
      </c>
      <c r="C70" s="21">
        <v>821</v>
      </c>
      <c r="D70" s="22">
        <v>700</v>
      </c>
      <c r="E70" s="22">
        <v>1058</v>
      </c>
      <c r="F70" s="22">
        <v>1149</v>
      </c>
      <c r="G70" s="22">
        <v>1085</v>
      </c>
      <c r="H70" s="22">
        <v>1017</v>
      </c>
      <c r="I70" s="22">
        <v>844</v>
      </c>
      <c r="J70" s="22">
        <v>982</v>
      </c>
      <c r="K70" s="22">
        <v>920</v>
      </c>
      <c r="L70" s="22">
        <v>848</v>
      </c>
      <c r="M70" s="22">
        <v>916</v>
      </c>
      <c r="N70" s="22">
        <v>1098</v>
      </c>
      <c r="O70" s="22">
        <v>812</v>
      </c>
      <c r="P70" s="22">
        <v>254</v>
      </c>
      <c r="Q70" s="22">
        <v>825</v>
      </c>
      <c r="R70" s="22">
        <v>1113</v>
      </c>
      <c r="S70" s="22">
        <v>912</v>
      </c>
      <c r="T70" s="22">
        <v>656</v>
      </c>
      <c r="U70" s="22">
        <v>639</v>
      </c>
      <c r="V70" s="22">
        <v>668</v>
      </c>
      <c r="W70" s="22">
        <v>0</v>
      </c>
      <c r="X70" s="22">
        <v>0</v>
      </c>
      <c r="Y70" s="22">
        <v>0</v>
      </c>
      <c r="Z70" s="22">
        <v>261</v>
      </c>
      <c r="AA70" s="22">
        <v>252</v>
      </c>
      <c r="AB70" s="22">
        <v>0</v>
      </c>
      <c r="AC70" s="23">
        <v>265</v>
      </c>
      <c r="AD70" s="10">
        <f t="shared" si="1"/>
        <v>18095</v>
      </c>
    </row>
    <row r="71" spans="1:30" ht="19.5" thickBot="1">
      <c r="A71" s="1" t="s">
        <v>3</v>
      </c>
      <c r="B71" s="45" t="s">
        <v>119</v>
      </c>
      <c r="C71" s="46">
        <v>0</v>
      </c>
      <c r="D71" s="47">
        <v>0</v>
      </c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v>0</v>
      </c>
      <c r="O71" s="47">
        <v>0</v>
      </c>
      <c r="P71" s="47">
        <v>0</v>
      </c>
      <c r="Q71" s="47">
        <v>0</v>
      </c>
      <c r="R71" s="47">
        <v>0</v>
      </c>
      <c r="S71" s="47">
        <v>0</v>
      </c>
      <c r="T71" s="47">
        <v>0</v>
      </c>
      <c r="U71" s="47">
        <v>0</v>
      </c>
      <c r="V71" s="47">
        <v>0</v>
      </c>
      <c r="W71" s="47">
        <v>0</v>
      </c>
      <c r="X71" s="47">
        <v>0</v>
      </c>
      <c r="Y71" s="47">
        <v>0</v>
      </c>
      <c r="Z71" s="47">
        <v>0</v>
      </c>
      <c r="AA71" s="47">
        <v>0</v>
      </c>
      <c r="AB71" s="47">
        <v>0</v>
      </c>
      <c r="AC71" s="48">
        <v>0</v>
      </c>
      <c r="AD71" s="49">
        <f t="shared" si="1"/>
        <v>0</v>
      </c>
    </row>
    <row r="72" spans="1:30" ht="19.5" thickBot="1">
      <c r="A72" s="1" t="s">
        <v>3</v>
      </c>
      <c r="B72" s="50" t="s">
        <v>120</v>
      </c>
      <c r="C72" s="51">
        <v>49301</v>
      </c>
      <c r="D72" s="52">
        <v>58270</v>
      </c>
      <c r="E72" s="52">
        <v>58628</v>
      </c>
      <c r="F72" s="52">
        <v>58719</v>
      </c>
      <c r="G72" s="52">
        <v>58655</v>
      </c>
      <c r="H72" s="52">
        <v>63132</v>
      </c>
      <c r="I72" s="52">
        <v>58414</v>
      </c>
      <c r="J72" s="52">
        <v>63097</v>
      </c>
      <c r="K72" s="52">
        <v>49400</v>
      </c>
      <c r="L72" s="52">
        <v>46298</v>
      </c>
      <c r="M72" s="52">
        <v>49396</v>
      </c>
      <c r="N72" s="52">
        <v>52608</v>
      </c>
      <c r="O72" s="52">
        <v>49292</v>
      </c>
      <c r="P72" s="52">
        <v>51764</v>
      </c>
      <c r="Q72" s="52">
        <v>46275</v>
      </c>
      <c r="R72" s="52">
        <v>58683</v>
      </c>
      <c r="S72" s="52">
        <v>52422</v>
      </c>
      <c r="T72" s="52">
        <v>46106</v>
      </c>
      <c r="U72" s="52">
        <v>37689</v>
      </c>
      <c r="V72" s="52">
        <v>37718</v>
      </c>
      <c r="W72" s="52">
        <v>0</v>
      </c>
      <c r="X72" s="52">
        <v>0</v>
      </c>
      <c r="Y72" s="52">
        <v>0</v>
      </c>
      <c r="Z72" s="52">
        <v>261</v>
      </c>
      <c r="AA72" s="52">
        <v>252</v>
      </c>
      <c r="AB72" s="52">
        <v>0</v>
      </c>
      <c r="AC72" s="53">
        <v>265</v>
      </c>
      <c r="AD72" s="54">
        <f t="shared" si="1"/>
        <v>1046645</v>
      </c>
    </row>
    <row r="73" spans="1:30">
      <c r="A73" s="1" t="s">
        <v>3</v>
      </c>
      <c r="B73" s="27" t="s">
        <v>121</v>
      </c>
      <c r="C73" s="37">
        <v>3590</v>
      </c>
      <c r="D73" s="38">
        <v>3770</v>
      </c>
      <c r="E73" s="38">
        <v>6290</v>
      </c>
      <c r="F73" s="38">
        <v>9710</v>
      </c>
      <c r="G73" s="38">
        <v>6640</v>
      </c>
      <c r="H73" s="38">
        <v>7370</v>
      </c>
      <c r="I73" s="38">
        <v>3460</v>
      </c>
      <c r="J73" s="38">
        <v>6980</v>
      </c>
      <c r="K73" s="38">
        <v>6730</v>
      </c>
      <c r="L73" s="38">
        <v>4410</v>
      </c>
      <c r="M73" s="38">
        <v>6640</v>
      </c>
      <c r="N73" s="38">
        <v>9060</v>
      </c>
      <c r="O73" s="38">
        <v>5300</v>
      </c>
      <c r="P73" s="38">
        <v>0</v>
      </c>
      <c r="Q73" s="38">
        <v>5500</v>
      </c>
      <c r="R73" s="38">
        <v>9080</v>
      </c>
      <c r="S73" s="38">
        <v>1550</v>
      </c>
      <c r="T73" s="38">
        <v>3470</v>
      </c>
      <c r="U73" s="38">
        <v>3750</v>
      </c>
      <c r="V73" s="38">
        <v>3860</v>
      </c>
      <c r="W73" s="38">
        <v>0</v>
      </c>
      <c r="X73" s="38">
        <v>0</v>
      </c>
      <c r="Y73" s="38">
        <v>0</v>
      </c>
      <c r="Z73" s="38">
        <v>0</v>
      </c>
      <c r="AA73" s="38">
        <v>0</v>
      </c>
      <c r="AB73" s="38">
        <v>0</v>
      </c>
      <c r="AC73" s="39">
        <v>0</v>
      </c>
      <c r="AD73" s="40">
        <f t="shared" si="1"/>
        <v>107160</v>
      </c>
    </row>
    <row r="74" spans="1:30">
      <c r="A74" s="1" t="s">
        <v>3</v>
      </c>
      <c r="B74" s="6" t="s">
        <v>122</v>
      </c>
      <c r="C74" s="21">
        <v>1300</v>
      </c>
      <c r="D74" s="22">
        <v>1300</v>
      </c>
      <c r="E74" s="22">
        <v>0</v>
      </c>
      <c r="F74" s="22">
        <v>0</v>
      </c>
      <c r="G74" s="22">
        <v>1300</v>
      </c>
      <c r="H74" s="22">
        <v>0</v>
      </c>
      <c r="I74" s="22">
        <v>1300</v>
      </c>
      <c r="J74" s="22">
        <v>1300</v>
      </c>
      <c r="K74" s="22">
        <v>1300</v>
      </c>
      <c r="L74" s="22">
        <v>1300</v>
      </c>
      <c r="M74" s="22">
        <v>1300</v>
      </c>
      <c r="N74" s="22">
        <v>1300</v>
      </c>
      <c r="O74" s="22">
        <v>0</v>
      </c>
      <c r="P74" s="22">
        <v>0</v>
      </c>
      <c r="Q74" s="22">
        <v>1300</v>
      </c>
      <c r="R74" s="22">
        <v>0</v>
      </c>
      <c r="S74" s="22">
        <v>1300</v>
      </c>
      <c r="T74" s="22">
        <v>1300</v>
      </c>
      <c r="U74" s="22">
        <v>1300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3">
        <v>0</v>
      </c>
      <c r="AD74" s="10">
        <f t="shared" si="1"/>
        <v>16900</v>
      </c>
    </row>
    <row r="75" spans="1:30">
      <c r="A75" s="1" t="s">
        <v>3</v>
      </c>
      <c r="B75" s="6" t="s">
        <v>123</v>
      </c>
      <c r="C75" s="21">
        <v>9900</v>
      </c>
      <c r="D75" s="22">
        <v>16100</v>
      </c>
      <c r="E75" s="22">
        <v>16300</v>
      </c>
      <c r="F75" s="22">
        <v>17800</v>
      </c>
      <c r="G75" s="22">
        <v>15700</v>
      </c>
      <c r="H75" s="22">
        <v>18800</v>
      </c>
      <c r="I75" s="22">
        <v>12100</v>
      </c>
      <c r="J75" s="22">
        <v>18500</v>
      </c>
      <c r="K75" s="22">
        <v>14500</v>
      </c>
      <c r="L75" s="22">
        <v>9300</v>
      </c>
      <c r="M75" s="22">
        <v>13400</v>
      </c>
      <c r="N75" s="22">
        <v>13900</v>
      </c>
      <c r="O75" s="22">
        <v>10400</v>
      </c>
      <c r="P75" s="22">
        <v>24600</v>
      </c>
      <c r="Q75" s="22">
        <v>12200</v>
      </c>
      <c r="R75" s="22">
        <v>15200</v>
      </c>
      <c r="S75" s="22">
        <v>6700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600</v>
      </c>
      <c r="AA75" s="22">
        <v>500</v>
      </c>
      <c r="AB75" s="22">
        <v>0</v>
      </c>
      <c r="AC75" s="23">
        <v>11600</v>
      </c>
      <c r="AD75" s="10">
        <f t="shared" si="1"/>
        <v>258100</v>
      </c>
    </row>
    <row r="76" spans="1:30">
      <c r="A76" s="1" t="s">
        <v>3</v>
      </c>
      <c r="B76" s="6" t="s">
        <v>124</v>
      </c>
      <c r="C76" s="21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3">
        <v>0</v>
      </c>
      <c r="AD76" s="10">
        <f t="shared" si="1"/>
        <v>0</v>
      </c>
    </row>
    <row r="77" spans="1:30">
      <c r="A77" s="1" t="s">
        <v>3</v>
      </c>
      <c r="B77" s="6" t="s">
        <v>125</v>
      </c>
      <c r="C77" s="21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3">
        <v>0</v>
      </c>
      <c r="AD77" s="10">
        <f t="shared" si="1"/>
        <v>0</v>
      </c>
    </row>
    <row r="78" spans="1:30">
      <c r="A78" s="1" t="s">
        <v>3</v>
      </c>
      <c r="B78" s="6" t="s">
        <v>126</v>
      </c>
      <c r="C78" s="21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3">
        <v>0</v>
      </c>
      <c r="AD78" s="10">
        <f t="shared" si="1"/>
        <v>0</v>
      </c>
    </row>
    <row r="79" spans="1:30" ht="19.5" thickBot="1">
      <c r="A79" s="1" t="s">
        <v>3</v>
      </c>
      <c r="B79" s="45" t="s">
        <v>127</v>
      </c>
      <c r="C79" s="46">
        <v>0</v>
      </c>
      <c r="D79" s="47">
        <v>0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8">
        <v>0</v>
      </c>
      <c r="AD79" s="49">
        <f t="shared" si="1"/>
        <v>0</v>
      </c>
    </row>
    <row r="80" spans="1:30" ht="19.5" thickBot="1">
      <c r="A80" s="1" t="s">
        <v>3</v>
      </c>
      <c r="B80" s="50" t="s">
        <v>128</v>
      </c>
      <c r="C80" s="51">
        <v>64091</v>
      </c>
      <c r="D80" s="52">
        <v>79440</v>
      </c>
      <c r="E80" s="52">
        <v>81218</v>
      </c>
      <c r="F80" s="52">
        <v>86229</v>
      </c>
      <c r="G80" s="52">
        <v>82295</v>
      </c>
      <c r="H80" s="52">
        <v>89302</v>
      </c>
      <c r="I80" s="52">
        <v>75274</v>
      </c>
      <c r="J80" s="52">
        <v>89877</v>
      </c>
      <c r="K80" s="52">
        <v>71930</v>
      </c>
      <c r="L80" s="52">
        <v>61308</v>
      </c>
      <c r="M80" s="52">
        <v>70736</v>
      </c>
      <c r="N80" s="52">
        <v>76868</v>
      </c>
      <c r="O80" s="52">
        <v>64992</v>
      </c>
      <c r="P80" s="52">
        <v>76364</v>
      </c>
      <c r="Q80" s="52">
        <v>65275</v>
      </c>
      <c r="R80" s="52">
        <v>82963</v>
      </c>
      <c r="S80" s="52">
        <v>61972</v>
      </c>
      <c r="T80" s="52">
        <v>50876</v>
      </c>
      <c r="U80" s="52">
        <v>42739</v>
      </c>
      <c r="V80" s="52">
        <v>41578</v>
      </c>
      <c r="W80" s="52">
        <v>0</v>
      </c>
      <c r="X80" s="52">
        <v>0</v>
      </c>
      <c r="Y80" s="52">
        <v>0</v>
      </c>
      <c r="Z80" s="52">
        <v>861</v>
      </c>
      <c r="AA80" s="52">
        <v>752</v>
      </c>
      <c r="AB80" s="52">
        <v>0</v>
      </c>
      <c r="AC80" s="53">
        <v>11865</v>
      </c>
      <c r="AD80" s="54">
        <f t="shared" si="1"/>
        <v>1428805</v>
      </c>
    </row>
    <row r="81" spans="1:30" ht="19.5" thickBot="1">
      <c r="A81" s="1" t="s">
        <v>3</v>
      </c>
      <c r="B81" s="50" t="s">
        <v>129</v>
      </c>
      <c r="C81" s="51">
        <v>212450</v>
      </c>
      <c r="D81" s="52">
        <v>172242</v>
      </c>
      <c r="E81" s="52">
        <v>288006</v>
      </c>
      <c r="F81" s="52">
        <v>316281</v>
      </c>
      <c r="G81" s="52">
        <v>297851</v>
      </c>
      <c r="H81" s="52">
        <v>272958</v>
      </c>
      <c r="I81" s="52">
        <v>208590</v>
      </c>
      <c r="J81" s="52">
        <v>262041</v>
      </c>
      <c r="K81" s="52">
        <v>255062</v>
      </c>
      <c r="L81" s="52">
        <v>235187</v>
      </c>
      <c r="M81" s="52">
        <v>252600</v>
      </c>
      <c r="N81" s="52">
        <v>308274</v>
      </c>
      <c r="O81" s="52">
        <v>214980</v>
      </c>
      <c r="P81" s="52">
        <v>31727</v>
      </c>
      <c r="Q81" s="52">
        <v>220461</v>
      </c>
      <c r="R81" s="52">
        <v>308553</v>
      </c>
      <c r="S81" s="52">
        <v>245635</v>
      </c>
      <c r="T81" s="52">
        <v>163642</v>
      </c>
      <c r="U81" s="52">
        <v>171570</v>
      </c>
      <c r="V81" s="52">
        <v>174619</v>
      </c>
      <c r="W81" s="52">
        <v>76020</v>
      </c>
      <c r="X81" s="52">
        <v>79380</v>
      </c>
      <c r="Y81" s="52">
        <v>73710</v>
      </c>
      <c r="Z81" s="52">
        <v>83459</v>
      </c>
      <c r="AA81" s="52">
        <v>81628</v>
      </c>
      <c r="AB81" s="52">
        <v>30030</v>
      </c>
      <c r="AC81" s="53">
        <v>80375</v>
      </c>
      <c r="AD81" s="54">
        <f t="shared" si="1"/>
        <v>5117331</v>
      </c>
    </row>
    <row r="82" spans="1:30" ht="19.5" thickBot="1">
      <c r="A82" s="1" t="s">
        <v>3</v>
      </c>
      <c r="B82" s="50" t="s">
        <v>130</v>
      </c>
      <c r="C82" s="51">
        <v>209663</v>
      </c>
      <c r="D82" s="52">
        <v>153812</v>
      </c>
      <c r="E82" s="52">
        <v>271287</v>
      </c>
      <c r="F82" s="52">
        <v>296912</v>
      </c>
      <c r="G82" s="52">
        <v>279378</v>
      </c>
      <c r="H82" s="52">
        <v>249659</v>
      </c>
      <c r="I82" s="52">
        <v>206133</v>
      </c>
      <c r="J82" s="52">
        <v>237558</v>
      </c>
      <c r="K82" s="52">
        <v>234829</v>
      </c>
      <c r="L82" s="52">
        <v>221430</v>
      </c>
      <c r="M82" s="52">
        <v>234522</v>
      </c>
      <c r="N82" s="52">
        <v>289233</v>
      </c>
      <c r="O82" s="52">
        <v>205804</v>
      </c>
      <c r="P82" s="52">
        <v>8406</v>
      </c>
      <c r="Q82" s="52">
        <v>209602</v>
      </c>
      <c r="R82" s="52">
        <v>288031</v>
      </c>
      <c r="S82" s="52">
        <v>242087</v>
      </c>
      <c r="T82" s="52">
        <v>167744</v>
      </c>
      <c r="U82" s="52">
        <v>170173</v>
      </c>
      <c r="V82" s="52">
        <v>181092</v>
      </c>
      <c r="W82" s="52">
        <v>79152</v>
      </c>
      <c r="X82" s="52">
        <v>83686</v>
      </c>
      <c r="Y82" s="52">
        <v>77885</v>
      </c>
      <c r="Z82" s="52">
        <v>85991</v>
      </c>
      <c r="AA82" s="52">
        <v>83085</v>
      </c>
      <c r="AB82" s="52">
        <v>31048</v>
      </c>
      <c r="AC82" s="53">
        <v>76447</v>
      </c>
      <c r="AD82" s="54">
        <f t="shared" si="1"/>
        <v>4874649</v>
      </c>
    </row>
    <row r="83" spans="1:30">
      <c r="A83" s="1" t="s">
        <v>3</v>
      </c>
      <c r="B83" s="27" t="s">
        <v>131</v>
      </c>
      <c r="C83" s="37">
        <v>0</v>
      </c>
      <c r="D83" s="38">
        <v>0</v>
      </c>
      <c r="E83" s="38">
        <v>0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0</v>
      </c>
      <c r="T83" s="38">
        <v>0</v>
      </c>
      <c r="U83" s="38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  <c r="AA83" s="38">
        <v>0</v>
      </c>
      <c r="AB83" s="38">
        <v>0</v>
      </c>
      <c r="AC83" s="39">
        <v>0</v>
      </c>
      <c r="AD83" s="40">
        <f t="shared" si="1"/>
        <v>0</v>
      </c>
    </row>
    <row r="84" spans="1:30">
      <c r="A84" s="1" t="s">
        <v>3</v>
      </c>
      <c r="B84" s="6" t="s">
        <v>132</v>
      </c>
      <c r="C84" s="21">
        <v>209663</v>
      </c>
      <c r="D84" s="22">
        <v>153812</v>
      </c>
      <c r="E84" s="22">
        <v>271287</v>
      </c>
      <c r="F84" s="22">
        <v>296912</v>
      </c>
      <c r="G84" s="22">
        <v>279378</v>
      </c>
      <c r="H84" s="22">
        <v>249659</v>
      </c>
      <c r="I84" s="22">
        <v>206133</v>
      </c>
      <c r="J84" s="22">
        <v>237558</v>
      </c>
      <c r="K84" s="22">
        <v>234829</v>
      </c>
      <c r="L84" s="22">
        <v>221430</v>
      </c>
      <c r="M84" s="22">
        <v>234522</v>
      </c>
      <c r="N84" s="22">
        <v>289233</v>
      </c>
      <c r="O84" s="22">
        <v>205804</v>
      </c>
      <c r="P84" s="22">
        <v>8406</v>
      </c>
      <c r="Q84" s="22">
        <v>209602</v>
      </c>
      <c r="R84" s="22">
        <v>288031</v>
      </c>
      <c r="S84" s="22">
        <v>242087</v>
      </c>
      <c r="T84" s="22">
        <v>167744</v>
      </c>
      <c r="U84" s="22">
        <v>170173</v>
      </c>
      <c r="V84" s="22">
        <v>181092</v>
      </c>
      <c r="W84" s="22">
        <v>79152</v>
      </c>
      <c r="X84" s="22">
        <v>83686</v>
      </c>
      <c r="Y84" s="22">
        <v>77885</v>
      </c>
      <c r="Z84" s="22">
        <v>85991</v>
      </c>
      <c r="AA84" s="22">
        <v>83085</v>
      </c>
      <c r="AB84" s="22">
        <v>31048</v>
      </c>
      <c r="AC84" s="23">
        <v>76447</v>
      </c>
      <c r="AD84" s="10">
        <f t="shared" si="1"/>
        <v>4874649</v>
      </c>
    </row>
    <row r="85" spans="1:30">
      <c r="A85" s="1" t="s">
        <v>3</v>
      </c>
      <c r="B85" s="6" t="s">
        <v>133</v>
      </c>
      <c r="C85" s="21">
        <v>1</v>
      </c>
      <c r="D85" s="22">
        <v>0</v>
      </c>
      <c r="E85" s="22">
        <v>1</v>
      </c>
      <c r="F85" s="22">
        <v>0</v>
      </c>
      <c r="G85" s="22">
        <v>1</v>
      </c>
      <c r="H85" s="22">
        <v>0</v>
      </c>
      <c r="I85" s="22">
        <v>1</v>
      </c>
      <c r="J85" s="22">
        <v>0</v>
      </c>
      <c r="K85" s="22">
        <v>0</v>
      </c>
      <c r="L85" s="22">
        <v>1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3</v>
      </c>
      <c r="T85" s="22">
        <v>0</v>
      </c>
      <c r="U85" s="22">
        <v>0</v>
      </c>
      <c r="V85" s="22">
        <v>0</v>
      </c>
      <c r="W85" s="22">
        <v>1</v>
      </c>
      <c r="X85" s="22">
        <v>1</v>
      </c>
      <c r="Y85" s="22">
        <v>1</v>
      </c>
      <c r="Z85" s="22">
        <v>0</v>
      </c>
      <c r="AA85" s="22">
        <v>0</v>
      </c>
      <c r="AB85" s="22">
        <v>1</v>
      </c>
      <c r="AC85" s="23">
        <v>1</v>
      </c>
      <c r="AD85" s="10"/>
    </row>
    <row r="86" spans="1:30" ht="19.5" thickBot="1">
      <c r="A86" s="1" t="s">
        <v>3</v>
      </c>
      <c r="B86" s="7" t="s">
        <v>134</v>
      </c>
      <c r="C86" s="24" t="s">
        <v>135</v>
      </c>
      <c r="D86" s="25" t="s">
        <v>135</v>
      </c>
      <c r="E86" s="25" t="s">
        <v>135</v>
      </c>
      <c r="F86" s="25" t="s">
        <v>135</v>
      </c>
      <c r="G86" s="25" t="s">
        <v>135</v>
      </c>
      <c r="H86" s="25" t="s">
        <v>135</v>
      </c>
      <c r="I86" s="25" t="s">
        <v>135</v>
      </c>
      <c r="J86" s="25" t="s">
        <v>135</v>
      </c>
      <c r="K86" s="25" t="s">
        <v>135</v>
      </c>
      <c r="L86" s="25" t="s">
        <v>135</v>
      </c>
      <c r="M86" s="25" t="s">
        <v>135</v>
      </c>
      <c r="N86" s="25" t="s">
        <v>135</v>
      </c>
      <c r="O86" s="25" t="s">
        <v>135</v>
      </c>
      <c r="P86" s="25" t="s">
        <v>135</v>
      </c>
      <c r="Q86" s="25" t="s">
        <v>135</v>
      </c>
      <c r="R86" s="25" t="s">
        <v>135</v>
      </c>
      <c r="S86" s="25" t="s">
        <v>135</v>
      </c>
      <c r="T86" s="25" t="s">
        <v>135</v>
      </c>
      <c r="U86" s="25" t="s">
        <v>135</v>
      </c>
      <c r="V86" s="25" t="s">
        <v>135</v>
      </c>
      <c r="W86" s="25" t="s">
        <v>135</v>
      </c>
      <c r="X86" s="25" t="s">
        <v>135</v>
      </c>
      <c r="Y86" s="25" t="s">
        <v>135</v>
      </c>
      <c r="Z86" s="25" t="s">
        <v>135</v>
      </c>
      <c r="AA86" s="25" t="s">
        <v>135</v>
      </c>
      <c r="AB86" s="25" t="s">
        <v>135</v>
      </c>
      <c r="AC86" s="26" t="s">
        <v>135</v>
      </c>
      <c r="AD86" s="11"/>
    </row>
  </sheetData>
  <phoneticPr fontId="3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FAA6-AA1E-46FD-B541-4B8E46AA37DB}">
  <dimension ref="A1:AI67"/>
  <sheetViews>
    <sheetView showZeros="0" workbookViewId="0">
      <pane xSplit="2" ySplit="4" topLeftCell="C5" activePane="bottomRight" state="frozenSplit"/>
      <selection pane="topRight" activeCell="C1" sqref="C1"/>
      <selection pane="bottomLeft" activeCell="A9" sqref="A9"/>
      <selection pane="bottomRight"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33" width="11.625" style="2" customWidth="1"/>
    <col min="34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66" width="11.125" style="2" bestFit="1" customWidth="1"/>
    <col min="267" max="267" width="9" style="2"/>
    <col min="268" max="278" width="11.125" style="2" bestFit="1" customWidth="1"/>
    <col min="279" max="280" width="9" style="2"/>
    <col min="281" max="288" width="11.125" style="2" bestFit="1" customWidth="1"/>
    <col min="289" max="289" width="9.625" style="2" bestFit="1" customWidth="1"/>
    <col min="290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22" width="11.125" style="2" bestFit="1" customWidth="1"/>
    <col min="523" max="523" width="9" style="2"/>
    <col min="524" max="534" width="11.125" style="2" bestFit="1" customWidth="1"/>
    <col min="535" max="536" width="9" style="2"/>
    <col min="537" max="544" width="11.125" style="2" bestFit="1" customWidth="1"/>
    <col min="545" max="545" width="9.625" style="2" bestFit="1" customWidth="1"/>
    <col min="546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78" width="11.125" style="2" bestFit="1" customWidth="1"/>
    <col min="779" max="779" width="9" style="2"/>
    <col min="780" max="790" width="11.125" style="2" bestFit="1" customWidth="1"/>
    <col min="791" max="792" width="9" style="2"/>
    <col min="793" max="800" width="11.125" style="2" bestFit="1" customWidth="1"/>
    <col min="801" max="801" width="9.625" style="2" bestFit="1" customWidth="1"/>
    <col min="802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34" width="11.125" style="2" bestFit="1" customWidth="1"/>
    <col min="1035" max="1035" width="9" style="2"/>
    <col min="1036" max="1046" width="11.125" style="2" bestFit="1" customWidth="1"/>
    <col min="1047" max="1048" width="9" style="2"/>
    <col min="1049" max="1056" width="11.125" style="2" bestFit="1" customWidth="1"/>
    <col min="1057" max="1057" width="9.625" style="2" bestFit="1" customWidth="1"/>
    <col min="1058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290" width="11.125" style="2" bestFit="1" customWidth="1"/>
    <col min="1291" max="1291" width="9" style="2"/>
    <col min="1292" max="1302" width="11.125" style="2" bestFit="1" customWidth="1"/>
    <col min="1303" max="1304" width="9" style="2"/>
    <col min="1305" max="1312" width="11.125" style="2" bestFit="1" customWidth="1"/>
    <col min="1313" max="1313" width="9.625" style="2" bestFit="1" customWidth="1"/>
    <col min="1314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46" width="11.125" style="2" bestFit="1" customWidth="1"/>
    <col min="1547" max="1547" width="9" style="2"/>
    <col min="1548" max="1558" width="11.125" style="2" bestFit="1" customWidth="1"/>
    <col min="1559" max="1560" width="9" style="2"/>
    <col min="1561" max="1568" width="11.125" style="2" bestFit="1" customWidth="1"/>
    <col min="1569" max="1569" width="9.625" style="2" bestFit="1" customWidth="1"/>
    <col min="1570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02" width="11.125" style="2" bestFit="1" customWidth="1"/>
    <col min="1803" max="1803" width="9" style="2"/>
    <col min="1804" max="1814" width="11.125" style="2" bestFit="1" customWidth="1"/>
    <col min="1815" max="1816" width="9" style="2"/>
    <col min="1817" max="1824" width="11.125" style="2" bestFit="1" customWidth="1"/>
    <col min="1825" max="1825" width="9.625" style="2" bestFit="1" customWidth="1"/>
    <col min="1826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58" width="11.125" style="2" bestFit="1" customWidth="1"/>
    <col min="2059" max="2059" width="9" style="2"/>
    <col min="2060" max="2070" width="11.125" style="2" bestFit="1" customWidth="1"/>
    <col min="2071" max="2072" width="9" style="2"/>
    <col min="2073" max="2080" width="11.125" style="2" bestFit="1" customWidth="1"/>
    <col min="2081" max="2081" width="9.625" style="2" bestFit="1" customWidth="1"/>
    <col min="2082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14" width="11.125" style="2" bestFit="1" customWidth="1"/>
    <col min="2315" max="2315" width="9" style="2"/>
    <col min="2316" max="2326" width="11.125" style="2" bestFit="1" customWidth="1"/>
    <col min="2327" max="2328" width="9" style="2"/>
    <col min="2329" max="2336" width="11.125" style="2" bestFit="1" customWidth="1"/>
    <col min="2337" max="2337" width="9.625" style="2" bestFit="1" customWidth="1"/>
    <col min="2338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70" width="11.125" style="2" bestFit="1" customWidth="1"/>
    <col min="2571" max="2571" width="9" style="2"/>
    <col min="2572" max="2582" width="11.125" style="2" bestFit="1" customWidth="1"/>
    <col min="2583" max="2584" width="9" style="2"/>
    <col min="2585" max="2592" width="11.125" style="2" bestFit="1" customWidth="1"/>
    <col min="2593" max="2593" width="9.625" style="2" bestFit="1" customWidth="1"/>
    <col min="2594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26" width="11.125" style="2" bestFit="1" customWidth="1"/>
    <col min="2827" max="2827" width="9" style="2"/>
    <col min="2828" max="2838" width="11.125" style="2" bestFit="1" customWidth="1"/>
    <col min="2839" max="2840" width="9" style="2"/>
    <col min="2841" max="2848" width="11.125" style="2" bestFit="1" customWidth="1"/>
    <col min="2849" max="2849" width="9.625" style="2" bestFit="1" customWidth="1"/>
    <col min="2850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82" width="11.125" style="2" bestFit="1" customWidth="1"/>
    <col min="3083" max="3083" width="9" style="2"/>
    <col min="3084" max="3094" width="11.125" style="2" bestFit="1" customWidth="1"/>
    <col min="3095" max="3096" width="9" style="2"/>
    <col min="3097" max="3104" width="11.125" style="2" bestFit="1" customWidth="1"/>
    <col min="3105" max="3105" width="9.625" style="2" bestFit="1" customWidth="1"/>
    <col min="3106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38" width="11.125" style="2" bestFit="1" customWidth="1"/>
    <col min="3339" max="3339" width="9" style="2"/>
    <col min="3340" max="3350" width="11.125" style="2" bestFit="1" customWidth="1"/>
    <col min="3351" max="3352" width="9" style="2"/>
    <col min="3353" max="3360" width="11.125" style="2" bestFit="1" customWidth="1"/>
    <col min="3361" max="3361" width="9.625" style="2" bestFit="1" customWidth="1"/>
    <col min="3362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594" width="11.125" style="2" bestFit="1" customWidth="1"/>
    <col min="3595" max="3595" width="9" style="2"/>
    <col min="3596" max="3606" width="11.125" style="2" bestFit="1" customWidth="1"/>
    <col min="3607" max="3608" width="9" style="2"/>
    <col min="3609" max="3616" width="11.125" style="2" bestFit="1" customWidth="1"/>
    <col min="3617" max="3617" width="9.625" style="2" bestFit="1" customWidth="1"/>
    <col min="3618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50" width="11.125" style="2" bestFit="1" customWidth="1"/>
    <col min="3851" max="3851" width="9" style="2"/>
    <col min="3852" max="3862" width="11.125" style="2" bestFit="1" customWidth="1"/>
    <col min="3863" max="3864" width="9" style="2"/>
    <col min="3865" max="3872" width="11.125" style="2" bestFit="1" customWidth="1"/>
    <col min="3873" max="3873" width="9.625" style="2" bestFit="1" customWidth="1"/>
    <col min="3874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06" width="11.125" style="2" bestFit="1" customWidth="1"/>
    <col min="4107" max="4107" width="9" style="2"/>
    <col min="4108" max="4118" width="11.125" style="2" bestFit="1" customWidth="1"/>
    <col min="4119" max="4120" width="9" style="2"/>
    <col min="4121" max="4128" width="11.125" style="2" bestFit="1" customWidth="1"/>
    <col min="4129" max="4129" width="9.625" style="2" bestFit="1" customWidth="1"/>
    <col min="4130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62" width="11.125" style="2" bestFit="1" customWidth="1"/>
    <col min="4363" max="4363" width="9" style="2"/>
    <col min="4364" max="4374" width="11.125" style="2" bestFit="1" customWidth="1"/>
    <col min="4375" max="4376" width="9" style="2"/>
    <col min="4377" max="4384" width="11.125" style="2" bestFit="1" customWidth="1"/>
    <col min="4385" max="4385" width="9.625" style="2" bestFit="1" customWidth="1"/>
    <col min="4386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18" width="11.125" style="2" bestFit="1" customWidth="1"/>
    <col min="4619" max="4619" width="9" style="2"/>
    <col min="4620" max="4630" width="11.125" style="2" bestFit="1" customWidth="1"/>
    <col min="4631" max="4632" width="9" style="2"/>
    <col min="4633" max="4640" width="11.125" style="2" bestFit="1" customWidth="1"/>
    <col min="4641" max="4641" width="9.625" style="2" bestFit="1" customWidth="1"/>
    <col min="4642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74" width="11.125" style="2" bestFit="1" customWidth="1"/>
    <col min="4875" max="4875" width="9" style="2"/>
    <col min="4876" max="4886" width="11.125" style="2" bestFit="1" customWidth="1"/>
    <col min="4887" max="4888" width="9" style="2"/>
    <col min="4889" max="4896" width="11.125" style="2" bestFit="1" customWidth="1"/>
    <col min="4897" max="4897" width="9.625" style="2" bestFit="1" customWidth="1"/>
    <col min="4898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30" width="11.125" style="2" bestFit="1" customWidth="1"/>
    <col min="5131" max="5131" width="9" style="2"/>
    <col min="5132" max="5142" width="11.125" style="2" bestFit="1" customWidth="1"/>
    <col min="5143" max="5144" width="9" style="2"/>
    <col min="5145" max="5152" width="11.125" style="2" bestFit="1" customWidth="1"/>
    <col min="5153" max="5153" width="9.625" style="2" bestFit="1" customWidth="1"/>
    <col min="5154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86" width="11.125" style="2" bestFit="1" customWidth="1"/>
    <col min="5387" max="5387" width="9" style="2"/>
    <col min="5388" max="5398" width="11.125" style="2" bestFit="1" customWidth="1"/>
    <col min="5399" max="5400" width="9" style="2"/>
    <col min="5401" max="5408" width="11.125" style="2" bestFit="1" customWidth="1"/>
    <col min="5409" max="5409" width="9.625" style="2" bestFit="1" customWidth="1"/>
    <col min="5410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42" width="11.125" style="2" bestFit="1" customWidth="1"/>
    <col min="5643" max="5643" width="9" style="2"/>
    <col min="5644" max="5654" width="11.125" style="2" bestFit="1" customWidth="1"/>
    <col min="5655" max="5656" width="9" style="2"/>
    <col min="5657" max="5664" width="11.125" style="2" bestFit="1" customWidth="1"/>
    <col min="5665" max="5665" width="9.625" style="2" bestFit="1" customWidth="1"/>
    <col min="5666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898" width="11.125" style="2" bestFit="1" customWidth="1"/>
    <col min="5899" max="5899" width="9" style="2"/>
    <col min="5900" max="5910" width="11.125" style="2" bestFit="1" customWidth="1"/>
    <col min="5911" max="5912" width="9" style="2"/>
    <col min="5913" max="5920" width="11.125" style="2" bestFit="1" customWidth="1"/>
    <col min="5921" max="5921" width="9.625" style="2" bestFit="1" customWidth="1"/>
    <col min="5922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54" width="11.125" style="2" bestFit="1" customWidth="1"/>
    <col min="6155" max="6155" width="9" style="2"/>
    <col min="6156" max="6166" width="11.125" style="2" bestFit="1" customWidth="1"/>
    <col min="6167" max="6168" width="9" style="2"/>
    <col min="6169" max="6176" width="11.125" style="2" bestFit="1" customWidth="1"/>
    <col min="6177" max="6177" width="9.625" style="2" bestFit="1" customWidth="1"/>
    <col min="6178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10" width="11.125" style="2" bestFit="1" customWidth="1"/>
    <col min="6411" max="6411" width="9" style="2"/>
    <col min="6412" max="6422" width="11.125" style="2" bestFit="1" customWidth="1"/>
    <col min="6423" max="6424" width="9" style="2"/>
    <col min="6425" max="6432" width="11.125" style="2" bestFit="1" customWidth="1"/>
    <col min="6433" max="6433" width="9.625" style="2" bestFit="1" customWidth="1"/>
    <col min="6434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66" width="11.125" style="2" bestFit="1" customWidth="1"/>
    <col min="6667" max="6667" width="9" style="2"/>
    <col min="6668" max="6678" width="11.125" style="2" bestFit="1" customWidth="1"/>
    <col min="6679" max="6680" width="9" style="2"/>
    <col min="6681" max="6688" width="11.125" style="2" bestFit="1" customWidth="1"/>
    <col min="6689" max="6689" width="9.625" style="2" bestFit="1" customWidth="1"/>
    <col min="6690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22" width="11.125" style="2" bestFit="1" customWidth="1"/>
    <col min="6923" max="6923" width="9" style="2"/>
    <col min="6924" max="6934" width="11.125" style="2" bestFit="1" customWidth="1"/>
    <col min="6935" max="6936" width="9" style="2"/>
    <col min="6937" max="6944" width="11.125" style="2" bestFit="1" customWidth="1"/>
    <col min="6945" max="6945" width="9.625" style="2" bestFit="1" customWidth="1"/>
    <col min="6946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78" width="11.125" style="2" bestFit="1" customWidth="1"/>
    <col min="7179" max="7179" width="9" style="2"/>
    <col min="7180" max="7190" width="11.125" style="2" bestFit="1" customWidth="1"/>
    <col min="7191" max="7192" width="9" style="2"/>
    <col min="7193" max="7200" width="11.125" style="2" bestFit="1" customWidth="1"/>
    <col min="7201" max="7201" width="9.625" style="2" bestFit="1" customWidth="1"/>
    <col min="7202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34" width="11.125" style="2" bestFit="1" customWidth="1"/>
    <col min="7435" max="7435" width="9" style="2"/>
    <col min="7436" max="7446" width="11.125" style="2" bestFit="1" customWidth="1"/>
    <col min="7447" max="7448" width="9" style="2"/>
    <col min="7449" max="7456" width="11.125" style="2" bestFit="1" customWidth="1"/>
    <col min="7457" max="7457" width="9.625" style="2" bestFit="1" customWidth="1"/>
    <col min="7458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690" width="11.125" style="2" bestFit="1" customWidth="1"/>
    <col min="7691" max="7691" width="9" style="2"/>
    <col min="7692" max="7702" width="11.125" style="2" bestFit="1" customWidth="1"/>
    <col min="7703" max="7704" width="9" style="2"/>
    <col min="7705" max="7712" width="11.125" style="2" bestFit="1" customWidth="1"/>
    <col min="7713" max="7713" width="9.625" style="2" bestFit="1" customWidth="1"/>
    <col min="7714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46" width="11.125" style="2" bestFit="1" customWidth="1"/>
    <col min="7947" max="7947" width="9" style="2"/>
    <col min="7948" max="7958" width="11.125" style="2" bestFit="1" customWidth="1"/>
    <col min="7959" max="7960" width="9" style="2"/>
    <col min="7961" max="7968" width="11.125" style="2" bestFit="1" customWidth="1"/>
    <col min="7969" max="7969" width="9.625" style="2" bestFit="1" customWidth="1"/>
    <col min="7970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02" width="11.125" style="2" bestFit="1" customWidth="1"/>
    <col min="8203" max="8203" width="9" style="2"/>
    <col min="8204" max="8214" width="11.125" style="2" bestFit="1" customWidth="1"/>
    <col min="8215" max="8216" width="9" style="2"/>
    <col min="8217" max="8224" width="11.125" style="2" bestFit="1" customWidth="1"/>
    <col min="8225" max="8225" width="9.625" style="2" bestFit="1" customWidth="1"/>
    <col min="8226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58" width="11.125" style="2" bestFit="1" customWidth="1"/>
    <col min="8459" max="8459" width="9" style="2"/>
    <col min="8460" max="8470" width="11.125" style="2" bestFit="1" customWidth="1"/>
    <col min="8471" max="8472" width="9" style="2"/>
    <col min="8473" max="8480" width="11.125" style="2" bestFit="1" customWidth="1"/>
    <col min="8481" max="8481" width="9.625" style="2" bestFit="1" customWidth="1"/>
    <col min="8482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14" width="11.125" style="2" bestFit="1" customWidth="1"/>
    <col min="8715" max="8715" width="9" style="2"/>
    <col min="8716" max="8726" width="11.125" style="2" bestFit="1" customWidth="1"/>
    <col min="8727" max="8728" width="9" style="2"/>
    <col min="8729" max="8736" width="11.125" style="2" bestFit="1" customWidth="1"/>
    <col min="8737" max="8737" width="9.625" style="2" bestFit="1" customWidth="1"/>
    <col min="8738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70" width="11.125" style="2" bestFit="1" customWidth="1"/>
    <col min="8971" max="8971" width="9" style="2"/>
    <col min="8972" max="8982" width="11.125" style="2" bestFit="1" customWidth="1"/>
    <col min="8983" max="8984" width="9" style="2"/>
    <col min="8985" max="8992" width="11.125" style="2" bestFit="1" customWidth="1"/>
    <col min="8993" max="8993" width="9.625" style="2" bestFit="1" customWidth="1"/>
    <col min="8994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26" width="11.125" style="2" bestFit="1" customWidth="1"/>
    <col min="9227" max="9227" width="9" style="2"/>
    <col min="9228" max="9238" width="11.125" style="2" bestFit="1" customWidth="1"/>
    <col min="9239" max="9240" width="9" style="2"/>
    <col min="9241" max="9248" width="11.125" style="2" bestFit="1" customWidth="1"/>
    <col min="9249" max="9249" width="9.625" style="2" bestFit="1" customWidth="1"/>
    <col min="9250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82" width="11.125" style="2" bestFit="1" customWidth="1"/>
    <col min="9483" max="9483" width="9" style="2"/>
    <col min="9484" max="9494" width="11.125" style="2" bestFit="1" customWidth="1"/>
    <col min="9495" max="9496" width="9" style="2"/>
    <col min="9497" max="9504" width="11.125" style="2" bestFit="1" customWidth="1"/>
    <col min="9505" max="9505" width="9.625" style="2" bestFit="1" customWidth="1"/>
    <col min="9506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38" width="11.125" style="2" bestFit="1" customWidth="1"/>
    <col min="9739" max="9739" width="9" style="2"/>
    <col min="9740" max="9750" width="11.125" style="2" bestFit="1" customWidth="1"/>
    <col min="9751" max="9752" width="9" style="2"/>
    <col min="9753" max="9760" width="11.125" style="2" bestFit="1" customWidth="1"/>
    <col min="9761" max="9761" width="9.625" style="2" bestFit="1" customWidth="1"/>
    <col min="9762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9994" width="11.125" style="2" bestFit="1" customWidth="1"/>
    <col min="9995" max="9995" width="9" style="2"/>
    <col min="9996" max="10006" width="11.125" style="2" bestFit="1" customWidth="1"/>
    <col min="10007" max="10008" width="9" style="2"/>
    <col min="10009" max="10016" width="11.125" style="2" bestFit="1" customWidth="1"/>
    <col min="10017" max="10017" width="9.625" style="2" bestFit="1" customWidth="1"/>
    <col min="10018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50" width="11.125" style="2" bestFit="1" customWidth="1"/>
    <col min="10251" max="10251" width="9" style="2"/>
    <col min="10252" max="10262" width="11.125" style="2" bestFit="1" customWidth="1"/>
    <col min="10263" max="10264" width="9" style="2"/>
    <col min="10265" max="10272" width="11.125" style="2" bestFit="1" customWidth="1"/>
    <col min="10273" max="10273" width="9.625" style="2" bestFit="1" customWidth="1"/>
    <col min="10274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06" width="11.125" style="2" bestFit="1" customWidth="1"/>
    <col min="10507" max="10507" width="9" style="2"/>
    <col min="10508" max="10518" width="11.125" style="2" bestFit="1" customWidth="1"/>
    <col min="10519" max="10520" width="9" style="2"/>
    <col min="10521" max="10528" width="11.125" style="2" bestFit="1" customWidth="1"/>
    <col min="10529" max="10529" width="9.625" style="2" bestFit="1" customWidth="1"/>
    <col min="10530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62" width="11.125" style="2" bestFit="1" customWidth="1"/>
    <col min="10763" max="10763" width="9" style="2"/>
    <col min="10764" max="10774" width="11.125" style="2" bestFit="1" customWidth="1"/>
    <col min="10775" max="10776" width="9" style="2"/>
    <col min="10777" max="10784" width="11.125" style="2" bestFit="1" customWidth="1"/>
    <col min="10785" max="10785" width="9.625" style="2" bestFit="1" customWidth="1"/>
    <col min="10786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18" width="11.125" style="2" bestFit="1" customWidth="1"/>
    <col min="11019" max="11019" width="9" style="2"/>
    <col min="11020" max="11030" width="11.125" style="2" bestFit="1" customWidth="1"/>
    <col min="11031" max="11032" width="9" style="2"/>
    <col min="11033" max="11040" width="11.125" style="2" bestFit="1" customWidth="1"/>
    <col min="11041" max="11041" width="9.625" style="2" bestFit="1" customWidth="1"/>
    <col min="11042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74" width="11.125" style="2" bestFit="1" customWidth="1"/>
    <col min="11275" max="11275" width="9" style="2"/>
    <col min="11276" max="11286" width="11.125" style="2" bestFit="1" customWidth="1"/>
    <col min="11287" max="11288" width="9" style="2"/>
    <col min="11289" max="11296" width="11.125" style="2" bestFit="1" customWidth="1"/>
    <col min="11297" max="11297" width="9.625" style="2" bestFit="1" customWidth="1"/>
    <col min="11298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30" width="11.125" style="2" bestFit="1" customWidth="1"/>
    <col min="11531" max="11531" width="9" style="2"/>
    <col min="11532" max="11542" width="11.125" style="2" bestFit="1" customWidth="1"/>
    <col min="11543" max="11544" width="9" style="2"/>
    <col min="11545" max="11552" width="11.125" style="2" bestFit="1" customWidth="1"/>
    <col min="11553" max="11553" width="9.625" style="2" bestFit="1" customWidth="1"/>
    <col min="11554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86" width="11.125" style="2" bestFit="1" customWidth="1"/>
    <col min="11787" max="11787" width="9" style="2"/>
    <col min="11788" max="11798" width="11.125" style="2" bestFit="1" customWidth="1"/>
    <col min="11799" max="11800" width="9" style="2"/>
    <col min="11801" max="11808" width="11.125" style="2" bestFit="1" customWidth="1"/>
    <col min="11809" max="11809" width="9.625" style="2" bestFit="1" customWidth="1"/>
    <col min="11810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42" width="11.125" style="2" bestFit="1" customWidth="1"/>
    <col min="12043" max="12043" width="9" style="2"/>
    <col min="12044" max="12054" width="11.125" style="2" bestFit="1" customWidth="1"/>
    <col min="12055" max="12056" width="9" style="2"/>
    <col min="12057" max="12064" width="11.125" style="2" bestFit="1" customWidth="1"/>
    <col min="12065" max="12065" width="9.625" style="2" bestFit="1" customWidth="1"/>
    <col min="12066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298" width="11.125" style="2" bestFit="1" customWidth="1"/>
    <col min="12299" max="12299" width="9" style="2"/>
    <col min="12300" max="12310" width="11.125" style="2" bestFit="1" customWidth="1"/>
    <col min="12311" max="12312" width="9" style="2"/>
    <col min="12313" max="12320" width="11.125" style="2" bestFit="1" customWidth="1"/>
    <col min="12321" max="12321" width="9.625" style="2" bestFit="1" customWidth="1"/>
    <col min="12322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54" width="11.125" style="2" bestFit="1" customWidth="1"/>
    <col min="12555" max="12555" width="9" style="2"/>
    <col min="12556" max="12566" width="11.125" style="2" bestFit="1" customWidth="1"/>
    <col min="12567" max="12568" width="9" style="2"/>
    <col min="12569" max="12576" width="11.125" style="2" bestFit="1" customWidth="1"/>
    <col min="12577" max="12577" width="9.625" style="2" bestFit="1" customWidth="1"/>
    <col min="12578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10" width="11.125" style="2" bestFit="1" customWidth="1"/>
    <col min="12811" max="12811" width="9" style="2"/>
    <col min="12812" max="12822" width="11.125" style="2" bestFit="1" customWidth="1"/>
    <col min="12823" max="12824" width="9" style="2"/>
    <col min="12825" max="12832" width="11.125" style="2" bestFit="1" customWidth="1"/>
    <col min="12833" max="12833" width="9.625" style="2" bestFit="1" customWidth="1"/>
    <col min="12834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66" width="11.125" style="2" bestFit="1" customWidth="1"/>
    <col min="13067" max="13067" width="9" style="2"/>
    <col min="13068" max="13078" width="11.125" style="2" bestFit="1" customWidth="1"/>
    <col min="13079" max="13080" width="9" style="2"/>
    <col min="13081" max="13088" width="11.125" style="2" bestFit="1" customWidth="1"/>
    <col min="13089" max="13089" width="9.625" style="2" bestFit="1" customWidth="1"/>
    <col min="13090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22" width="11.125" style="2" bestFit="1" customWidth="1"/>
    <col min="13323" max="13323" width="9" style="2"/>
    <col min="13324" max="13334" width="11.125" style="2" bestFit="1" customWidth="1"/>
    <col min="13335" max="13336" width="9" style="2"/>
    <col min="13337" max="13344" width="11.125" style="2" bestFit="1" customWidth="1"/>
    <col min="13345" max="13345" width="9.625" style="2" bestFit="1" customWidth="1"/>
    <col min="13346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78" width="11.125" style="2" bestFit="1" customWidth="1"/>
    <col min="13579" max="13579" width="9" style="2"/>
    <col min="13580" max="13590" width="11.125" style="2" bestFit="1" customWidth="1"/>
    <col min="13591" max="13592" width="9" style="2"/>
    <col min="13593" max="13600" width="11.125" style="2" bestFit="1" customWidth="1"/>
    <col min="13601" max="13601" width="9.625" style="2" bestFit="1" customWidth="1"/>
    <col min="13602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34" width="11.125" style="2" bestFit="1" customWidth="1"/>
    <col min="13835" max="13835" width="9" style="2"/>
    <col min="13836" max="13846" width="11.125" style="2" bestFit="1" customWidth="1"/>
    <col min="13847" max="13848" width="9" style="2"/>
    <col min="13849" max="13856" width="11.125" style="2" bestFit="1" customWidth="1"/>
    <col min="13857" max="13857" width="9.625" style="2" bestFit="1" customWidth="1"/>
    <col min="13858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090" width="11.125" style="2" bestFit="1" customWidth="1"/>
    <col min="14091" max="14091" width="9" style="2"/>
    <col min="14092" max="14102" width="11.125" style="2" bestFit="1" customWidth="1"/>
    <col min="14103" max="14104" width="9" style="2"/>
    <col min="14105" max="14112" width="11.125" style="2" bestFit="1" customWidth="1"/>
    <col min="14113" max="14113" width="9.625" style="2" bestFit="1" customWidth="1"/>
    <col min="14114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46" width="11.125" style="2" bestFit="1" customWidth="1"/>
    <col min="14347" max="14347" width="9" style="2"/>
    <col min="14348" max="14358" width="11.125" style="2" bestFit="1" customWidth="1"/>
    <col min="14359" max="14360" width="9" style="2"/>
    <col min="14361" max="14368" width="11.125" style="2" bestFit="1" customWidth="1"/>
    <col min="14369" max="14369" width="9.625" style="2" bestFit="1" customWidth="1"/>
    <col min="14370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02" width="11.125" style="2" bestFit="1" customWidth="1"/>
    <col min="14603" max="14603" width="9" style="2"/>
    <col min="14604" max="14614" width="11.125" style="2" bestFit="1" customWidth="1"/>
    <col min="14615" max="14616" width="9" style="2"/>
    <col min="14617" max="14624" width="11.125" style="2" bestFit="1" customWidth="1"/>
    <col min="14625" max="14625" width="9.625" style="2" bestFit="1" customWidth="1"/>
    <col min="14626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58" width="11.125" style="2" bestFit="1" customWidth="1"/>
    <col min="14859" max="14859" width="9" style="2"/>
    <col min="14860" max="14870" width="11.125" style="2" bestFit="1" customWidth="1"/>
    <col min="14871" max="14872" width="9" style="2"/>
    <col min="14873" max="14880" width="11.125" style="2" bestFit="1" customWidth="1"/>
    <col min="14881" max="14881" width="9.625" style="2" bestFit="1" customWidth="1"/>
    <col min="14882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14" width="11.125" style="2" bestFit="1" customWidth="1"/>
    <col min="15115" max="15115" width="9" style="2"/>
    <col min="15116" max="15126" width="11.125" style="2" bestFit="1" customWidth="1"/>
    <col min="15127" max="15128" width="9" style="2"/>
    <col min="15129" max="15136" width="11.125" style="2" bestFit="1" customWidth="1"/>
    <col min="15137" max="15137" width="9.625" style="2" bestFit="1" customWidth="1"/>
    <col min="15138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70" width="11.125" style="2" bestFit="1" customWidth="1"/>
    <col min="15371" max="15371" width="9" style="2"/>
    <col min="15372" max="15382" width="11.125" style="2" bestFit="1" customWidth="1"/>
    <col min="15383" max="15384" width="9" style="2"/>
    <col min="15385" max="15392" width="11.125" style="2" bestFit="1" customWidth="1"/>
    <col min="15393" max="15393" width="9.625" style="2" bestFit="1" customWidth="1"/>
    <col min="15394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26" width="11.125" style="2" bestFit="1" customWidth="1"/>
    <col min="15627" max="15627" width="9" style="2"/>
    <col min="15628" max="15638" width="11.125" style="2" bestFit="1" customWidth="1"/>
    <col min="15639" max="15640" width="9" style="2"/>
    <col min="15641" max="15648" width="11.125" style="2" bestFit="1" customWidth="1"/>
    <col min="15649" max="15649" width="9.625" style="2" bestFit="1" customWidth="1"/>
    <col min="15650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82" width="11.125" style="2" bestFit="1" customWidth="1"/>
    <col min="15883" max="15883" width="9" style="2"/>
    <col min="15884" max="15894" width="11.125" style="2" bestFit="1" customWidth="1"/>
    <col min="15895" max="15896" width="9" style="2"/>
    <col min="15897" max="15904" width="11.125" style="2" bestFit="1" customWidth="1"/>
    <col min="15905" max="15905" width="9.625" style="2" bestFit="1" customWidth="1"/>
    <col min="15906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38" width="11.125" style="2" bestFit="1" customWidth="1"/>
    <col min="16139" max="16139" width="9" style="2"/>
    <col min="16140" max="16150" width="11.125" style="2" bestFit="1" customWidth="1"/>
    <col min="16151" max="16152" width="9" style="2"/>
    <col min="16153" max="16160" width="11.125" style="2" bestFit="1" customWidth="1"/>
    <col min="16161" max="16161" width="9.625" style="2" bestFit="1" customWidth="1"/>
    <col min="16162" max="16384" width="9" style="2"/>
  </cols>
  <sheetData>
    <row r="1" spans="1:35">
      <c r="A1" s="1" t="s">
        <v>0</v>
      </c>
    </row>
    <row r="2" spans="1:35" ht="19.5" thickBot="1">
      <c r="A2" s="1" t="s">
        <v>136</v>
      </c>
    </row>
    <row r="3" spans="1:35">
      <c r="B3" s="4"/>
      <c r="C3" s="12" t="s">
        <v>4</v>
      </c>
      <c r="D3" s="13" t="s">
        <v>5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  <c r="K3" s="13" t="s">
        <v>14</v>
      </c>
      <c r="L3" s="13" t="s">
        <v>15</v>
      </c>
      <c r="M3" s="13" t="s">
        <v>16</v>
      </c>
      <c r="N3" s="13" t="s">
        <v>17</v>
      </c>
      <c r="O3" s="13" t="s">
        <v>18</v>
      </c>
      <c r="P3" s="13" t="s">
        <v>20</v>
      </c>
      <c r="Q3" s="13" t="s">
        <v>21</v>
      </c>
      <c r="R3" s="13" t="s">
        <v>22</v>
      </c>
      <c r="S3" s="55" t="s">
        <v>23</v>
      </c>
      <c r="T3" s="77" t="s">
        <v>137</v>
      </c>
      <c r="U3" s="66" t="s">
        <v>19</v>
      </c>
      <c r="V3" s="13" t="s">
        <v>6</v>
      </c>
      <c r="W3" s="13" t="s">
        <v>27</v>
      </c>
      <c r="X3" s="13" t="s">
        <v>28</v>
      </c>
      <c r="Y3" s="13" t="s">
        <v>24</v>
      </c>
      <c r="Z3" s="13" t="s">
        <v>25</v>
      </c>
      <c r="AA3" s="13" t="s">
        <v>26</v>
      </c>
      <c r="AB3" s="13" t="s">
        <v>29</v>
      </c>
      <c r="AC3" s="14" t="s">
        <v>30</v>
      </c>
      <c r="AD3" s="77" t="s">
        <v>137</v>
      </c>
      <c r="AE3" s="88" t="s">
        <v>7</v>
      </c>
      <c r="AF3" s="77" t="s">
        <v>137</v>
      </c>
      <c r="AG3" s="5" t="s">
        <v>59</v>
      </c>
    </row>
    <row r="4" spans="1:35" ht="19.5" thickBot="1">
      <c r="A4" s="103"/>
      <c r="B4" s="32" t="s">
        <v>31</v>
      </c>
      <c r="C4" s="33" t="s">
        <v>32</v>
      </c>
      <c r="D4" s="34" t="s">
        <v>33</v>
      </c>
      <c r="E4" s="34" t="s">
        <v>36</v>
      </c>
      <c r="F4" s="34" t="s">
        <v>37</v>
      </c>
      <c r="G4" s="34" t="s">
        <v>38</v>
      </c>
      <c r="H4" s="34" t="s">
        <v>39</v>
      </c>
      <c r="I4" s="34" t="s">
        <v>40</v>
      </c>
      <c r="J4" s="34" t="s">
        <v>41</v>
      </c>
      <c r="K4" s="34" t="s">
        <v>42</v>
      </c>
      <c r="L4" s="34" t="s">
        <v>43</v>
      </c>
      <c r="M4" s="34" t="s">
        <v>44</v>
      </c>
      <c r="N4" s="34" t="s">
        <v>45</v>
      </c>
      <c r="O4" s="34" t="s">
        <v>46</v>
      </c>
      <c r="P4" s="34" t="s">
        <v>48</v>
      </c>
      <c r="Q4" s="34" t="s">
        <v>49</v>
      </c>
      <c r="R4" s="34" t="s">
        <v>50</v>
      </c>
      <c r="S4" s="56" t="s">
        <v>51</v>
      </c>
      <c r="T4" s="78" t="s">
        <v>138</v>
      </c>
      <c r="U4" s="67" t="s">
        <v>47</v>
      </c>
      <c r="V4" s="34" t="s">
        <v>34</v>
      </c>
      <c r="W4" s="34" t="s">
        <v>55</v>
      </c>
      <c r="X4" s="34" t="s">
        <v>56</v>
      </c>
      <c r="Y4" s="34" t="s">
        <v>52</v>
      </c>
      <c r="Z4" s="34" t="s">
        <v>53</v>
      </c>
      <c r="AA4" s="34" t="s">
        <v>54</v>
      </c>
      <c r="AB4" s="34" t="s">
        <v>57</v>
      </c>
      <c r="AC4" s="35" t="s">
        <v>58</v>
      </c>
      <c r="AD4" s="99" t="s">
        <v>139</v>
      </c>
      <c r="AE4" s="89" t="s">
        <v>35</v>
      </c>
      <c r="AF4" s="99" t="s">
        <v>140</v>
      </c>
      <c r="AG4" s="104" t="s">
        <v>141</v>
      </c>
    </row>
    <row r="5" spans="1:35">
      <c r="A5" s="1" t="s">
        <v>3</v>
      </c>
      <c r="B5" s="27" t="s">
        <v>60</v>
      </c>
      <c r="C5" s="28">
        <v>19</v>
      </c>
      <c r="D5" s="29">
        <v>19</v>
      </c>
      <c r="E5" s="29">
        <v>18</v>
      </c>
      <c r="F5" s="29">
        <v>19</v>
      </c>
      <c r="G5" s="29">
        <v>21</v>
      </c>
      <c r="H5" s="29">
        <v>20</v>
      </c>
      <c r="I5" s="29">
        <v>19</v>
      </c>
      <c r="J5" s="29">
        <v>22</v>
      </c>
      <c r="K5" s="29">
        <v>21</v>
      </c>
      <c r="L5" s="29">
        <v>22</v>
      </c>
      <c r="M5" s="29">
        <v>24</v>
      </c>
      <c r="N5" s="29">
        <v>6</v>
      </c>
      <c r="O5" s="29">
        <v>23</v>
      </c>
      <c r="P5" s="29">
        <v>22</v>
      </c>
      <c r="Q5" s="29">
        <v>20</v>
      </c>
      <c r="R5" s="29">
        <v>18</v>
      </c>
      <c r="S5" s="57">
        <v>20</v>
      </c>
      <c r="T5" s="79">
        <f>SUM(C5:S5)</f>
        <v>333</v>
      </c>
      <c r="U5" s="68">
        <v>22</v>
      </c>
      <c r="V5" s="29">
        <v>23</v>
      </c>
      <c r="W5" s="29">
        <v>15</v>
      </c>
      <c r="X5" s="29">
        <v>15</v>
      </c>
      <c r="Y5" s="29">
        <v>10</v>
      </c>
      <c r="Z5" s="29">
        <v>11</v>
      </c>
      <c r="AA5" s="29">
        <v>10</v>
      </c>
      <c r="AB5" s="29">
        <v>3</v>
      </c>
      <c r="AC5" s="30">
        <v>21</v>
      </c>
      <c r="AD5" s="79">
        <f>SUM(U5:AC5)</f>
        <v>130</v>
      </c>
      <c r="AE5" s="90">
        <v>23</v>
      </c>
      <c r="AF5" s="79">
        <f>SUM(AE5)</f>
        <v>23</v>
      </c>
      <c r="AG5" s="79">
        <f>T5+AD5+AF5</f>
        <v>486</v>
      </c>
      <c r="AI5"/>
    </row>
    <row r="6" spans="1:35">
      <c r="A6" s="1" t="s">
        <v>3</v>
      </c>
      <c r="B6" s="6" t="s">
        <v>61</v>
      </c>
      <c r="C6" s="15">
        <v>2</v>
      </c>
      <c r="D6" s="16">
        <v>1</v>
      </c>
      <c r="E6" s="16">
        <v>2</v>
      </c>
      <c r="F6" s="16">
        <v>1</v>
      </c>
      <c r="G6" s="16">
        <v>2</v>
      </c>
      <c r="H6" s="16">
        <v>1</v>
      </c>
      <c r="I6" s="16">
        <v>2</v>
      </c>
      <c r="J6" s="16">
        <v>1</v>
      </c>
      <c r="K6" s="16">
        <v>3</v>
      </c>
      <c r="L6" s="16">
        <v>1</v>
      </c>
      <c r="M6" s="16">
        <v>1</v>
      </c>
      <c r="N6" s="16">
        <v>1</v>
      </c>
      <c r="O6" s="16">
        <v>2</v>
      </c>
      <c r="P6" s="16">
        <v>1</v>
      </c>
      <c r="Q6" s="16">
        <v>0</v>
      </c>
      <c r="R6" s="16">
        <v>1</v>
      </c>
      <c r="S6" s="58">
        <v>1</v>
      </c>
      <c r="T6" s="79">
        <f t="shared" ref="T6:T11" si="0">SUM(C6:S6)</f>
        <v>23</v>
      </c>
      <c r="U6" s="69">
        <v>0</v>
      </c>
      <c r="V6" s="16">
        <v>1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7">
        <v>0</v>
      </c>
      <c r="AD6" s="79">
        <f t="shared" ref="AD6:AD9" si="1">SUM(U6:AC6)</f>
        <v>1</v>
      </c>
      <c r="AE6" s="91">
        <v>0</v>
      </c>
      <c r="AF6" s="80"/>
      <c r="AG6" s="80">
        <f t="shared" ref="AG6:AG57" si="2">T6+AD6+AF6</f>
        <v>24</v>
      </c>
      <c r="AI6"/>
    </row>
    <row r="7" spans="1:35">
      <c r="A7" s="1" t="s">
        <v>3</v>
      </c>
      <c r="B7" s="6" t="s">
        <v>62</v>
      </c>
      <c r="C7" s="15">
        <v>2</v>
      </c>
      <c r="D7" s="16">
        <v>1</v>
      </c>
      <c r="E7" s="16">
        <v>2</v>
      </c>
      <c r="F7" s="16">
        <v>2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2</v>
      </c>
      <c r="M7" s="16">
        <v>0</v>
      </c>
      <c r="N7" s="16">
        <v>0</v>
      </c>
      <c r="O7" s="16">
        <v>1</v>
      </c>
      <c r="P7" s="16">
        <v>0</v>
      </c>
      <c r="Q7" s="16">
        <v>0</v>
      </c>
      <c r="R7" s="16">
        <v>1</v>
      </c>
      <c r="S7" s="58">
        <v>1</v>
      </c>
      <c r="T7" s="79">
        <f t="shared" si="0"/>
        <v>17</v>
      </c>
      <c r="U7" s="69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7">
        <v>0</v>
      </c>
      <c r="AD7" s="79">
        <f t="shared" si="1"/>
        <v>0</v>
      </c>
      <c r="AE7" s="91">
        <v>0</v>
      </c>
      <c r="AF7" s="80"/>
      <c r="AG7" s="80">
        <f t="shared" si="2"/>
        <v>17</v>
      </c>
      <c r="AI7"/>
    </row>
    <row r="8" spans="1:35">
      <c r="A8" s="1" t="s">
        <v>3</v>
      </c>
      <c r="B8" s="6" t="s">
        <v>63</v>
      </c>
      <c r="C8" s="15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2</v>
      </c>
      <c r="S8" s="58">
        <v>2</v>
      </c>
      <c r="T8" s="79">
        <f t="shared" si="0"/>
        <v>4</v>
      </c>
      <c r="U8" s="69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7">
        <v>0</v>
      </c>
      <c r="AD8" s="79">
        <f t="shared" si="1"/>
        <v>0</v>
      </c>
      <c r="AE8" s="91">
        <v>0</v>
      </c>
      <c r="AF8" s="80"/>
      <c r="AG8" s="80">
        <f t="shared" si="2"/>
        <v>4</v>
      </c>
      <c r="AI8"/>
    </row>
    <row r="9" spans="1:35">
      <c r="A9" s="1" t="s">
        <v>3</v>
      </c>
      <c r="B9" s="6" t="s">
        <v>64</v>
      </c>
      <c r="C9" s="15">
        <v>5</v>
      </c>
      <c r="D9" s="16">
        <v>5</v>
      </c>
      <c r="E9" s="16">
        <v>4</v>
      </c>
      <c r="F9" s="16">
        <v>5</v>
      </c>
      <c r="G9" s="16">
        <v>3</v>
      </c>
      <c r="H9" s="16">
        <v>4</v>
      </c>
      <c r="I9" s="16">
        <v>5</v>
      </c>
      <c r="J9" s="16">
        <v>2</v>
      </c>
      <c r="K9" s="16">
        <v>3</v>
      </c>
      <c r="L9" s="16">
        <v>2</v>
      </c>
      <c r="M9" s="16">
        <v>0</v>
      </c>
      <c r="N9" s="16">
        <v>2</v>
      </c>
      <c r="O9" s="16">
        <v>1</v>
      </c>
      <c r="P9" s="16">
        <v>2</v>
      </c>
      <c r="Q9" s="16">
        <v>4</v>
      </c>
      <c r="R9" s="16">
        <v>4</v>
      </c>
      <c r="S9" s="58">
        <v>0</v>
      </c>
      <c r="T9" s="79">
        <f t="shared" si="0"/>
        <v>51</v>
      </c>
      <c r="U9" s="69">
        <v>2</v>
      </c>
      <c r="V9" s="16">
        <v>1</v>
      </c>
      <c r="W9" s="16">
        <v>0</v>
      </c>
      <c r="X9" s="16">
        <v>1</v>
      </c>
      <c r="Y9" s="16">
        <v>1</v>
      </c>
      <c r="Z9" s="16">
        <v>1</v>
      </c>
      <c r="AA9" s="16">
        <v>1</v>
      </c>
      <c r="AB9" s="16">
        <v>1</v>
      </c>
      <c r="AC9" s="17">
        <v>2</v>
      </c>
      <c r="AD9" s="79">
        <f t="shared" si="1"/>
        <v>10</v>
      </c>
      <c r="AE9" s="91">
        <v>0</v>
      </c>
      <c r="AF9" s="80"/>
      <c r="AG9" s="80">
        <f t="shared" si="2"/>
        <v>61</v>
      </c>
      <c r="AI9"/>
    </row>
    <row r="10" spans="1:35">
      <c r="A10" s="1" t="s">
        <v>3</v>
      </c>
      <c r="B10" s="6" t="s">
        <v>65</v>
      </c>
      <c r="C10" s="15">
        <v>0</v>
      </c>
      <c r="D10" s="16">
        <v>0</v>
      </c>
      <c r="E10" s="16">
        <v>2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58">
        <v>0</v>
      </c>
      <c r="T10" s="79">
        <f t="shared" si="0"/>
        <v>2</v>
      </c>
      <c r="U10" s="69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7">
        <v>0</v>
      </c>
      <c r="AD10" s="80"/>
      <c r="AE10" s="91">
        <v>0</v>
      </c>
      <c r="AF10" s="80"/>
      <c r="AG10" s="80">
        <f t="shared" si="2"/>
        <v>2</v>
      </c>
      <c r="AI10"/>
    </row>
    <row r="11" spans="1:35">
      <c r="A11" s="1" t="s">
        <v>3</v>
      </c>
      <c r="B11" s="6" t="s">
        <v>66</v>
      </c>
      <c r="C11" s="15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16</v>
      </c>
      <c r="O11" s="16">
        <v>0</v>
      </c>
      <c r="P11" s="16">
        <v>0</v>
      </c>
      <c r="Q11" s="16">
        <v>0</v>
      </c>
      <c r="R11" s="16">
        <v>0</v>
      </c>
      <c r="S11" s="58">
        <v>2</v>
      </c>
      <c r="T11" s="79">
        <f t="shared" si="0"/>
        <v>18</v>
      </c>
      <c r="U11" s="69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7">
        <v>0</v>
      </c>
      <c r="AD11" s="80"/>
      <c r="AE11" s="91">
        <v>0</v>
      </c>
      <c r="AF11" s="80"/>
      <c r="AG11" s="80">
        <f t="shared" si="2"/>
        <v>18</v>
      </c>
      <c r="AI11"/>
    </row>
    <row r="12" spans="1:35">
      <c r="A12" s="1" t="s">
        <v>3</v>
      </c>
      <c r="B12" s="6" t="s">
        <v>67</v>
      </c>
      <c r="C12" s="15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58">
        <v>0</v>
      </c>
      <c r="T12" s="80"/>
      <c r="U12" s="69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7">
        <v>0</v>
      </c>
      <c r="AD12" s="80"/>
      <c r="AE12" s="91">
        <v>0</v>
      </c>
      <c r="AF12" s="80"/>
      <c r="AG12" s="80">
        <f t="shared" si="2"/>
        <v>0</v>
      </c>
      <c r="AI12"/>
    </row>
    <row r="13" spans="1:35">
      <c r="A13" s="1" t="s">
        <v>3</v>
      </c>
      <c r="B13" s="6" t="s">
        <v>68</v>
      </c>
      <c r="C13" s="18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59">
        <v>0</v>
      </c>
      <c r="T13" s="81"/>
      <c r="U13" s="70">
        <v>0</v>
      </c>
      <c r="V13" s="19">
        <v>0</v>
      </c>
      <c r="W13" s="19">
        <v>3.7916666666666665</v>
      </c>
      <c r="X13" s="19">
        <v>3.4166666666666665</v>
      </c>
      <c r="Y13" s="19">
        <v>2.9583333333333335</v>
      </c>
      <c r="Z13" s="19">
        <v>3.125</v>
      </c>
      <c r="AA13" s="19">
        <v>2.875</v>
      </c>
      <c r="AB13" s="19">
        <v>1</v>
      </c>
      <c r="AC13" s="20">
        <v>3.6666666666666665</v>
      </c>
      <c r="AD13" s="81">
        <f>SUM(U13:AC13)</f>
        <v>20.833333333333332</v>
      </c>
      <c r="AE13" s="92">
        <v>0</v>
      </c>
      <c r="AF13" s="81"/>
      <c r="AG13" s="81">
        <f t="shared" si="2"/>
        <v>20.833333333333332</v>
      </c>
      <c r="AI13"/>
    </row>
    <row r="14" spans="1:35">
      <c r="A14" s="1" t="s">
        <v>3</v>
      </c>
      <c r="B14" s="6" t="s">
        <v>69</v>
      </c>
      <c r="C14" s="18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59">
        <v>0</v>
      </c>
      <c r="T14" s="81"/>
      <c r="U14" s="70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20">
        <v>0</v>
      </c>
      <c r="AD14" s="81"/>
      <c r="AE14" s="92">
        <v>0</v>
      </c>
      <c r="AF14" s="81"/>
      <c r="AG14" s="81">
        <f t="shared" si="2"/>
        <v>0</v>
      </c>
      <c r="AI14"/>
    </row>
    <row r="15" spans="1:35">
      <c r="A15" s="1" t="s">
        <v>3</v>
      </c>
      <c r="B15" s="6" t="s">
        <v>70</v>
      </c>
      <c r="C15" s="18">
        <v>1.2916666666666667</v>
      </c>
      <c r="D15" s="19">
        <v>0.58333333333333337</v>
      </c>
      <c r="E15" s="19">
        <v>0.20833333333333334</v>
      </c>
      <c r="F15" s="19">
        <v>2.625</v>
      </c>
      <c r="G15" s="19">
        <v>1.2083333333333333</v>
      </c>
      <c r="H15" s="19">
        <v>2.7916666666666665</v>
      </c>
      <c r="I15" s="19">
        <v>2.7083333333333335</v>
      </c>
      <c r="J15" s="19">
        <v>2.375</v>
      </c>
      <c r="K15" s="19">
        <v>2.5416666666666665</v>
      </c>
      <c r="L15" s="19">
        <v>2.9166666666666665</v>
      </c>
      <c r="M15" s="19">
        <v>2.1666666666666665</v>
      </c>
      <c r="N15" s="19">
        <v>0.54166666666666663</v>
      </c>
      <c r="O15" s="19">
        <v>2.125</v>
      </c>
      <c r="P15" s="19">
        <v>3.375</v>
      </c>
      <c r="Q15" s="19">
        <v>0.91666666666666663</v>
      </c>
      <c r="R15" s="19">
        <v>0.91666666666666663</v>
      </c>
      <c r="S15" s="59">
        <v>1.6666666666666665</v>
      </c>
      <c r="T15" s="81">
        <f>SUM(C15:S15)</f>
        <v>30.958333333333343</v>
      </c>
      <c r="U15" s="70">
        <v>0</v>
      </c>
      <c r="V15" s="19">
        <v>0.91666666666666663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0.125</v>
      </c>
      <c r="AC15" s="20">
        <v>0</v>
      </c>
      <c r="AD15" s="81">
        <f>SUM(U15:AC15)</f>
        <v>1.0416666666666665</v>
      </c>
      <c r="AE15" s="92">
        <v>0</v>
      </c>
      <c r="AF15" s="81"/>
      <c r="AG15" s="81">
        <f t="shared" si="2"/>
        <v>32.000000000000007</v>
      </c>
      <c r="AI15"/>
    </row>
    <row r="16" spans="1:35">
      <c r="A16" s="1" t="s">
        <v>3</v>
      </c>
      <c r="B16" s="6" t="s">
        <v>71</v>
      </c>
      <c r="C16" s="18">
        <v>0.58333333333333337</v>
      </c>
      <c r="D16" s="19">
        <v>0.29166666666666669</v>
      </c>
      <c r="E16" s="19">
        <v>0.625</v>
      </c>
      <c r="F16" s="19">
        <v>0.33333333333333331</v>
      </c>
      <c r="G16" s="19">
        <v>0.70833333333333337</v>
      </c>
      <c r="H16" s="19">
        <v>0.33333333333333331</v>
      </c>
      <c r="I16" s="19">
        <v>0.91666666666666663</v>
      </c>
      <c r="J16" s="19">
        <v>0.375</v>
      </c>
      <c r="K16" s="19">
        <v>1.2083333333333333</v>
      </c>
      <c r="L16" s="19">
        <v>0.58333333333333337</v>
      </c>
      <c r="M16" s="19">
        <v>0.375</v>
      </c>
      <c r="N16" s="19">
        <v>0.58333333333333337</v>
      </c>
      <c r="O16" s="19">
        <v>0.5</v>
      </c>
      <c r="P16" s="19">
        <v>0.20833333333333334</v>
      </c>
      <c r="Q16" s="19">
        <v>0</v>
      </c>
      <c r="R16" s="19">
        <v>0</v>
      </c>
      <c r="S16" s="59">
        <v>0</v>
      </c>
      <c r="T16" s="81">
        <f t="shared" ref="T16:T22" si="3">SUM(C16:S16)</f>
        <v>7.6249999999999982</v>
      </c>
      <c r="U16" s="70">
        <v>0</v>
      </c>
      <c r="V16" s="19">
        <v>0.29166666666666669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20">
        <v>0</v>
      </c>
      <c r="AD16" s="81">
        <f>SUM(U16:AC16)</f>
        <v>0.29166666666666669</v>
      </c>
      <c r="AE16" s="92">
        <v>0</v>
      </c>
      <c r="AF16" s="81"/>
      <c r="AG16" s="81">
        <f t="shared" si="2"/>
        <v>7.9166666666666652</v>
      </c>
      <c r="AI16"/>
    </row>
    <row r="17" spans="1:35">
      <c r="A17" s="1" t="s">
        <v>3</v>
      </c>
      <c r="B17" s="6" t="s">
        <v>72</v>
      </c>
      <c r="C17" s="18">
        <v>0.58333333333333337</v>
      </c>
      <c r="D17" s="19">
        <v>0.33333333333333331</v>
      </c>
      <c r="E17" s="19">
        <v>0.54166666666666663</v>
      </c>
      <c r="F17" s="19">
        <v>0.66666666666666663</v>
      </c>
      <c r="G17" s="19">
        <v>0.29166666666666669</v>
      </c>
      <c r="H17" s="19">
        <v>0.41666666666666669</v>
      </c>
      <c r="I17" s="19">
        <v>0.16666666666666666</v>
      </c>
      <c r="J17" s="19">
        <v>0.375</v>
      </c>
      <c r="K17" s="19">
        <v>0.25</v>
      </c>
      <c r="L17" s="19">
        <v>0.75</v>
      </c>
      <c r="M17" s="19">
        <v>0</v>
      </c>
      <c r="N17" s="19">
        <v>0</v>
      </c>
      <c r="O17" s="19">
        <v>0.33333333333333331</v>
      </c>
      <c r="P17" s="19">
        <v>0</v>
      </c>
      <c r="Q17" s="19">
        <v>0</v>
      </c>
      <c r="R17" s="19">
        <v>0</v>
      </c>
      <c r="S17" s="59">
        <v>0</v>
      </c>
      <c r="T17" s="81">
        <f t="shared" si="3"/>
        <v>4.708333333333333</v>
      </c>
      <c r="U17" s="70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20">
        <v>0</v>
      </c>
      <c r="AD17" s="81"/>
      <c r="AE17" s="92">
        <v>0</v>
      </c>
      <c r="AF17" s="81"/>
      <c r="AG17" s="81">
        <f t="shared" si="2"/>
        <v>4.708333333333333</v>
      </c>
      <c r="AI17"/>
    </row>
    <row r="18" spans="1:35">
      <c r="A18" s="1" t="s">
        <v>3</v>
      </c>
      <c r="B18" s="6" t="s">
        <v>73</v>
      </c>
      <c r="C18" s="18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0.41666666666666669</v>
      </c>
      <c r="S18" s="59">
        <v>0.375</v>
      </c>
      <c r="T18" s="81">
        <f t="shared" si="3"/>
        <v>0.79166666666666674</v>
      </c>
      <c r="U18" s="70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20">
        <v>0</v>
      </c>
      <c r="AD18" s="81"/>
      <c r="AE18" s="92">
        <v>0</v>
      </c>
      <c r="AF18" s="81"/>
      <c r="AG18" s="81">
        <f t="shared" si="2"/>
        <v>0.79166666666666674</v>
      </c>
      <c r="AI18"/>
    </row>
    <row r="19" spans="1:35">
      <c r="A19" s="1" t="s">
        <v>3</v>
      </c>
      <c r="B19" s="6" t="s">
        <v>74</v>
      </c>
      <c r="C19" s="18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0.33333333333333331</v>
      </c>
      <c r="S19" s="59">
        <v>0.375</v>
      </c>
      <c r="T19" s="81">
        <f t="shared" si="3"/>
        <v>0.70833333333333326</v>
      </c>
      <c r="U19" s="70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20">
        <v>0</v>
      </c>
      <c r="AD19" s="81"/>
      <c r="AE19" s="92">
        <v>0</v>
      </c>
      <c r="AF19" s="81"/>
      <c r="AG19" s="81">
        <f t="shared" si="2"/>
        <v>0.70833333333333326</v>
      </c>
      <c r="AI19"/>
    </row>
    <row r="20" spans="1:35">
      <c r="A20" s="1" t="s">
        <v>3</v>
      </c>
      <c r="B20" s="6" t="s">
        <v>75</v>
      </c>
      <c r="C20" s="18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59">
        <v>0</v>
      </c>
      <c r="T20" s="81">
        <f t="shared" si="3"/>
        <v>0</v>
      </c>
      <c r="U20" s="70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20">
        <v>0</v>
      </c>
      <c r="AD20" s="81"/>
      <c r="AE20" s="92">
        <v>0</v>
      </c>
      <c r="AF20" s="81"/>
      <c r="AG20" s="81">
        <f t="shared" si="2"/>
        <v>0</v>
      </c>
      <c r="AI20"/>
    </row>
    <row r="21" spans="1:35">
      <c r="A21" s="1" t="s">
        <v>3</v>
      </c>
      <c r="B21" s="6" t="s">
        <v>77</v>
      </c>
      <c r="C21" s="18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59">
        <v>0</v>
      </c>
      <c r="T21" s="81">
        <f t="shared" si="3"/>
        <v>0</v>
      </c>
      <c r="U21" s="70">
        <v>0</v>
      </c>
      <c r="V21" s="19">
        <v>0</v>
      </c>
      <c r="W21" s="19">
        <v>0</v>
      </c>
      <c r="X21" s="19">
        <v>0.29166666666666669</v>
      </c>
      <c r="Y21" s="19">
        <v>0.29166666666666669</v>
      </c>
      <c r="Z21" s="19">
        <v>0.29166666666666669</v>
      </c>
      <c r="AA21" s="19">
        <v>0.29166666666666669</v>
      </c>
      <c r="AB21" s="19">
        <v>0.33333333333333331</v>
      </c>
      <c r="AC21" s="20">
        <v>0.33333333333333331</v>
      </c>
      <c r="AD21" s="81">
        <f>SUM(U21:AC21)</f>
        <v>1.8333333333333333</v>
      </c>
      <c r="AE21" s="92">
        <v>0</v>
      </c>
      <c r="AF21" s="81"/>
      <c r="AG21" s="81">
        <f t="shared" si="2"/>
        <v>1.8333333333333333</v>
      </c>
      <c r="AI21"/>
    </row>
    <row r="22" spans="1:35">
      <c r="A22" s="1" t="s">
        <v>3</v>
      </c>
      <c r="B22" s="6" t="s">
        <v>80</v>
      </c>
      <c r="C22" s="18">
        <v>0.33333333333333331</v>
      </c>
      <c r="D22" s="19">
        <v>0</v>
      </c>
      <c r="E22" s="19">
        <v>0</v>
      </c>
      <c r="F22" s="19">
        <v>0.875</v>
      </c>
      <c r="G22" s="19">
        <v>0.25</v>
      </c>
      <c r="H22" s="19">
        <v>1.0416666666666667</v>
      </c>
      <c r="I22" s="19">
        <v>0.375</v>
      </c>
      <c r="J22" s="19">
        <v>0.25</v>
      </c>
      <c r="K22" s="19">
        <v>0.16666666666666666</v>
      </c>
      <c r="L22" s="19">
        <v>0.875</v>
      </c>
      <c r="M22" s="19">
        <v>0.625</v>
      </c>
      <c r="N22" s="19">
        <v>0.66666666666666663</v>
      </c>
      <c r="O22" s="19">
        <v>0.45833333333333331</v>
      </c>
      <c r="P22" s="19">
        <v>1.2916666666666667</v>
      </c>
      <c r="Q22" s="19">
        <v>0.75</v>
      </c>
      <c r="R22" s="19">
        <v>0.79166666666666663</v>
      </c>
      <c r="S22" s="59">
        <v>0.20833333333333334</v>
      </c>
      <c r="T22" s="81">
        <f t="shared" si="3"/>
        <v>8.9583333333333339</v>
      </c>
      <c r="U22" s="70">
        <v>0.95833333333333337</v>
      </c>
      <c r="V22" s="19">
        <v>0</v>
      </c>
      <c r="W22" s="19">
        <v>0</v>
      </c>
      <c r="X22" s="19">
        <v>0</v>
      </c>
      <c r="Y22" s="19">
        <v>2.0833333333333335</v>
      </c>
      <c r="Z22" s="19">
        <v>2.0833333333333335</v>
      </c>
      <c r="AA22" s="19">
        <v>1.9583333333333335</v>
      </c>
      <c r="AB22" s="19">
        <v>0</v>
      </c>
      <c r="AC22" s="20">
        <v>0</v>
      </c>
      <c r="AD22" s="81">
        <f>SUM(U22:AC22)</f>
        <v>7.0833333333333339</v>
      </c>
      <c r="AE22" s="92">
        <v>0</v>
      </c>
      <c r="AF22" s="81"/>
      <c r="AG22" s="81">
        <f t="shared" si="2"/>
        <v>16.041666666666668</v>
      </c>
      <c r="AI22"/>
    </row>
    <row r="23" spans="1:35" ht="19.5" thickBot="1">
      <c r="A23" s="1" t="s">
        <v>3</v>
      </c>
      <c r="B23" s="7" t="s">
        <v>81</v>
      </c>
      <c r="C23" s="41">
        <v>16</v>
      </c>
      <c r="D23" s="42">
        <v>30</v>
      </c>
      <c r="E23" s="42">
        <v>31</v>
      </c>
      <c r="F23" s="42">
        <v>33</v>
      </c>
      <c r="G23" s="42">
        <v>28</v>
      </c>
      <c r="H23" s="42">
        <v>32</v>
      </c>
      <c r="I23" s="42">
        <v>32</v>
      </c>
      <c r="J23" s="42">
        <v>19</v>
      </c>
      <c r="K23" s="42">
        <v>28</v>
      </c>
      <c r="L23" s="42">
        <v>35</v>
      </c>
      <c r="M23" s="42">
        <v>0</v>
      </c>
      <c r="N23" s="42">
        <v>13</v>
      </c>
      <c r="O23" s="42">
        <v>27</v>
      </c>
      <c r="P23" s="42">
        <v>17</v>
      </c>
      <c r="Q23" s="42">
        <v>13</v>
      </c>
      <c r="R23" s="42">
        <v>3</v>
      </c>
      <c r="S23" s="60">
        <v>0</v>
      </c>
      <c r="T23" s="82">
        <f>SUM(C23:S23)</f>
        <v>357</v>
      </c>
      <c r="U23" s="71">
        <v>21</v>
      </c>
      <c r="V23" s="42">
        <v>39</v>
      </c>
      <c r="W23" s="42">
        <v>21</v>
      </c>
      <c r="X23" s="42">
        <v>20</v>
      </c>
      <c r="Y23" s="42">
        <v>4</v>
      </c>
      <c r="Z23" s="42">
        <v>3</v>
      </c>
      <c r="AA23" s="42">
        <v>1</v>
      </c>
      <c r="AB23" s="42">
        <v>3</v>
      </c>
      <c r="AC23" s="43">
        <v>11</v>
      </c>
      <c r="AD23" s="82">
        <f>SUM(U23:AC23)</f>
        <v>123</v>
      </c>
      <c r="AE23" s="93">
        <v>39</v>
      </c>
      <c r="AF23" s="82">
        <f>SUM(AE23)</f>
        <v>39</v>
      </c>
      <c r="AG23" s="82">
        <f t="shared" si="2"/>
        <v>519</v>
      </c>
      <c r="AI23"/>
    </row>
    <row r="24" spans="1:35">
      <c r="A24" s="1" t="s">
        <v>3</v>
      </c>
      <c r="B24" s="27" t="s">
        <v>82</v>
      </c>
      <c r="C24" s="37">
        <v>177000</v>
      </c>
      <c r="D24" s="38">
        <v>187000</v>
      </c>
      <c r="E24" s="38">
        <v>187000</v>
      </c>
      <c r="F24" s="38">
        <v>192000</v>
      </c>
      <c r="G24" s="38">
        <v>182000</v>
      </c>
      <c r="H24" s="38">
        <v>187000</v>
      </c>
      <c r="I24" s="38">
        <v>177000</v>
      </c>
      <c r="J24" s="38">
        <v>177000</v>
      </c>
      <c r="K24" s="38">
        <v>172000</v>
      </c>
      <c r="L24" s="38">
        <v>187000</v>
      </c>
      <c r="M24" s="38">
        <v>177000</v>
      </c>
      <c r="N24" s="38">
        <v>177000</v>
      </c>
      <c r="O24" s="38">
        <v>170000</v>
      </c>
      <c r="P24" s="38">
        <v>175000</v>
      </c>
      <c r="Q24" s="38">
        <v>175000</v>
      </c>
      <c r="R24" s="38">
        <v>170000</v>
      </c>
      <c r="S24" s="61">
        <v>170000</v>
      </c>
      <c r="T24" s="83">
        <f>SUM(C24:S24)</f>
        <v>3039000</v>
      </c>
      <c r="U24" s="72">
        <v>355000</v>
      </c>
      <c r="V24" s="38">
        <v>280000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39">
        <v>0</v>
      </c>
      <c r="AD24" s="83">
        <f>SUM(U24:AC24)</f>
        <v>635000</v>
      </c>
      <c r="AE24" s="94">
        <v>375000</v>
      </c>
      <c r="AF24" s="83">
        <f>SUM(AE24)</f>
        <v>375000</v>
      </c>
      <c r="AG24" s="83">
        <f t="shared" si="2"/>
        <v>4049000</v>
      </c>
      <c r="AI24"/>
    </row>
    <row r="25" spans="1:35">
      <c r="A25" s="1" t="s">
        <v>3</v>
      </c>
      <c r="B25" s="6" t="s">
        <v>83</v>
      </c>
      <c r="C25" s="21">
        <v>0</v>
      </c>
      <c r="D25" s="22">
        <v>0</v>
      </c>
      <c r="E25" s="22">
        <v>20000</v>
      </c>
      <c r="F25" s="22">
        <v>5000</v>
      </c>
      <c r="G25" s="22">
        <v>5000</v>
      </c>
      <c r="H25" s="22">
        <v>5000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62">
        <v>0</v>
      </c>
      <c r="T25" s="84">
        <f t="shared" ref="T25:T65" si="4">SUM(C25:S25)</f>
        <v>35000</v>
      </c>
      <c r="U25" s="73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3">
        <v>0</v>
      </c>
      <c r="AD25" s="84">
        <f t="shared" ref="AD25:AD65" si="5">SUM(U25:AC25)</f>
        <v>0</v>
      </c>
      <c r="AE25" s="95">
        <v>0</v>
      </c>
      <c r="AF25" s="84">
        <f t="shared" ref="AF25:AF65" si="6">SUM(AE25)</f>
        <v>0</v>
      </c>
      <c r="AG25" s="84">
        <f t="shared" si="2"/>
        <v>35000</v>
      </c>
      <c r="AI25"/>
    </row>
    <row r="26" spans="1:35">
      <c r="A26" s="1" t="s">
        <v>3</v>
      </c>
      <c r="B26" s="6" t="s">
        <v>84</v>
      </c>
      <c r="C26" s="21">
        <v>0</v>
      </c>
      <c r="D26" s="22">
        <v>0</v>
      </c>
      <c r="E26" s="22">
        <v>3000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62">
        <v>0</v>
      </c>
      <c r="T26" s="84">
        <f t="shared" si="4"/>
        <v>3000</v>
      </c>
      <c r="U26" s="73">
        <v>0</v>
      </c>
      <c r="V26" s="22">
        <v>3000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3">
        <v>0</v>
      </c>
      <c r="AD26" s="84">
        <f t="shared" si="5"/>
        <v>3000</v>
      </c>
      <c r="AE26" s="95">
        <v>0</v>
      </c>
      <c r="AF26" s="84">
        <f t="shared" si="6"/>
        <v>0</v>
      </c>
      <c r="AG26" s="84">
        <f t="shared" si="2"/>
        <v>6000</v>
      </c>
      <c r="AI26"/>
    </row>
    <row r="27" spans="1:35">
      <c r="A27" s="1" t="s">
        <v>3</v>
      </c>
      <c r="B27" s="6" t="s">
        <v>85</v>
      </c>
      <c r="C27" s="21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62">
        <v>0</v>
      </c>
      <c r="T27" s="84">
        <f t="shared" si="4"/>
        <v>0</v>
      </c>
      <c r="U27" s="73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3">
        <v>0</v>
      </c>
      <c r="AD27" s="84">
        <f t="shared" si="5"/>
        <v>0</v>
      </c>
      <c r="AE27" s="95">
        <v>0</v>
      </c>
      <c r="AF27" s="84">
        <f t="shared" si="6"/>
        <v>0</v>
      </c>
      <c r="AG27" s="84">
        <f t="shared" si="2"/>
        <v>0</v>
      </c>
      <c r="AI27"/>
    </row>
    <row r="28" spans="1:35">
      <c r="A28" s="1" t="s">
        <v>3</v>
      </c>
      <c r="B28" s="6" t="s">
        <v>86</v>
      </c>
      <c r="C28" s="21">
        <v>0</v>
      </c>
      <c r="D28" s="22">
        <v>0</v>
      </c>
      <c r="E28" s="22">
        <v>89871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19760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62">
        <v>0</v>
      </c>
      <c r="T28" s="84">
        <f t="shared" si="4"/>
        <v>109631</v>
      </c>
      <c r="U28" s="73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3">
        <v>0</v>
      </c>
      <c r="AD28" s="84">
        <f t="shared" si="5"/>
        <v>0</v>
      </c>
      <c r="AE28" s="95">
        <v>0</v>
      </c>
      <c r="AF28" s="84">
        <f t="shared" si="6"/>
        <v>0</v>
      </c>
      <c r="AG28" s="84">
        <f t="shared" si="2"/>
        <v>109631</v>
      </c>
      <c r="AI28"/>
    </row>
    <row r="29" spans="1:35">
      <c r="A29" s="1" t="s">
        <v>3</v>
      </c>
      <c r="B29" s="6" t="s">
        <v>88</v>
      </c>
      <c r="C29" s="21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62">
        <v>0</v>
      </c>
      <c r="T29" s="84">
        <f t="shared" si="4"/>
        <v>0</v>
      </c>
      <c r="U29" s="73">
        <v>0</v>
      </c>
      <c r="V29" s="22">
        <v>1000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3">
        <v>0</v>
      </c>
      <c r="AD29" s="84">
        <f t="shared" si="5"/>
        <v>1000</v>
      </c>
      <c r="AE29" s="95">
        <v>0</v>
      </c>
      <c r="AF29" s="84">
        <f t="shared" si="6"/>
        <v>0</v>
      </c>
      <c r="AG29" s="84">
        <f t="shared" si="2"/>
        <v>1000</v>
      </c>
      <c r="AI29"/>
    </row>
    <row r="30" spans="1:35">
      <c r="A30" s="1" t="s">
        <v>3</v>
      </c>
      <c r="B30" s="6" t="s">
        <v>89</v>
      </c>
      <c r="C30" s="21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62">
        <v>0</v>
      </c>
      <c r="T30" s="84">
        <f t="shared" si="4"/>
        <v>0</v>
      </c>
      <c r="U30" s="73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3">
        <v>0</v>
      </c>
      <c r="AD30" s="84">
        <f t="shared" si="5"/>
        <v>0</v>
      </c>
      <c r="AE30" s="95">
        <v>0</v>
      </c>
      <c r="AF30" s="84">
        <f t="shared" si="6"/>
        <v>0</v>
      </c>
      <c r="AG30" s="84">
        <f t="shared" si="2"/>
        <v>0</v>
      </c>
      <c r="AI30"/>
    </row>
    <row r="31" spans="1:35">
      <c r="A31" s="1" t="s">
        <v>3</v>
      </c>
      <c r="B31" s="6" t="s">
        <v>90</v>
      </c>
      <c r="C31" s="21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62">
        <v>0</v>
      </c>
      <c r="T31" s="84">
        <f t="shared" si="4"/>
        <v>0</v>
      </c>
      <c r="U31" s="73">
        <v>0</v>
      </c>
      <c r="V31" s="22">
        <v>0</v>
      </c>
      <c r="W31" s="22">
        <v>83720</v>
      </c>
      <c r="X31" s="22">
        <v>75440</v>
      </c>
      <c r="Y31" s="22">
        <v>59640</v>
      </c>
      <c r="Z31" s="22">
        <v>63000</v>
      </c>
      <c r="AA31" s="22">
        <v>57960</v>
      </c>
      <c r="AB31" s="22">
        <v>20160</v>
      </c>
      <c r="AC31" s="23">
        <v>73920</v>
      </c>
      <c r="AD31" s="84">
        <f t="shared" si="5"/>
        <v>433840</v>
      </c>
      <c r="AE31" s="95">
        <v>0</v>
      </c>
      <c r="AF31" s="84">
        <f t="shared" si="6"/>
        <v>0</v>
      </c>
      <c r="AG31" s="84">
        <f t="shared" si="2"/>
        <v>433840</v>
      </c>
      <c r="AI31"/>
    </row>
    <row r="32" spans="1:35">
      <c r="A32" s="1" t="s">
        <v>3</v>
      </c>
      <c r="B32" s="6" t="s">
        <v>92</v>
      </c>
      <c r="C32" s="21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62">
        <v>0</v>
      </c>
      <c r="T32" s="84">
        <f t="shared" si="4"/>
        <v>0</v>
      </c>
      <c r="U32" s="73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3">
        <v>0</v>
      </c>
      <c r="AD32" s="84">
        <f t="shared" si="5"/>
        <v>0</v>
      </c>
      <c r="AE32" s="95">
        <v>0</v>
      </c>
      <c r="AF32" s="84">
        <f t="shared" si="6"/>
        <v>0</v>
      </c>
      <c r="AG32" s="84">
        <f t="shared" si="2"/>
        <v>0</v>
      </c>
      <c r="AI32"/>
    </row>
    <row r="33" spans="1:35">
      <c r="A33" s="1" t="s">
        <v>3</v>
      </c>
      <c r="B33" s="6" t="s">
        <v>93</v>
      </c>
      <c r="C33" s="21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62">
        <v>0</v>
      </c>
      <c r="T33" s="84">
        <f t="shared" si="4"/>
        <v>0</v>
      </c>
      <c r="U33" s="73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3">
        <v>0</v>
      </c>
      <c r="AD33" s="84">
        <f t="shared" si="5"/>
        <v>0</v>
      </c>
      <c r="AE33" s="95">
        <v>0</v>
      </c>
      <c r="AF33" s="84">
        <f t="shared" si="6"/>
        <v>0</v>
      </c>
      <c r="AG33" s="84">
        <f t="shared" si="2"/>
        <v>0</v>
      </c>
      <c r="AI33"/>
    </row>
    <row r="34" spans="1:35">
      <c r="A34" s="1" t="s">
        <v>3</v>
      </c>
      <c r="B34" s="6" t="s">
        <v>94</v>
      </c>
      <c r="C34" s="21">
        <v>1000</v>
      </c>
      <c r="D34" s="22">
        <v>1000</v>
      </c>
      <c r="E34" s="22">
        <v>1000</v>
      </c>
      <c r="F34" s="22">
        <v>1000</v>
      </c>
      <c r="G34" s="22">
        <v>1000</v>
      </c>
      <c r="H34" s="22">
        <v>1000</v>
      </c>
      <c r="I34" s="22">
        <v>1000</v>
      </c>
      <c r="J34" s="22">
        <v>1000</v>
      </c>
      <c r="K34" s="22">
        <v>1000</v>
      </c>
      <c r="L34" s="22">
        <v>1000</v>
      </c>
      <c r="M34" s="22">
        <v>1000</v>
      </c>
      <c r="N34" s="22">
        <v>1000</v>
      </c>
      <c r="O34" s="22">
        <v>1000</v>
      </c>
      <c r="P34" s="22">
        <v>1000</v>
      </c>
      <c r="Q34" s="22">
        <v>1000</v>
      </c>
      <c r="R34" s="22">
        <v>0</v>
      </c>
      <c r="S34" s="62">
        <v>0</v>
      </c>
      <c r="T34" s="84">
        <f t="shared" si="4"/>
        <v>15000</v>
      </c>
      <c r="U34" s="73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3">
        <v>0</v>
      </c>
      <c r="AD34" s="84">
        <f t="shared" si="5"/>
        <v>0</v>
      </c>
      <c r="AE34" s="95">
        <v>0</v>
      </c>
      <c r="AF34" s="84">
        <f t="shared" si="6"/>
        <v>0</v>
      </c>
      <c r="AG34" s="84">
        <f t="shared" si="2"/>
        <v>15000</v>
      </c>
      <c r="AI34"/>
    </row>
    <row r="35" spans="1:35">
      <c r="A35" s="1" t="s">
        <v>3</v>
      </c>
      <c r="B35" s="6" t="s">
        <v>95</v>
      </c>
      <c r="C35" s="21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62">
        <v>0</v>
      </c>
      <c r="T35" s="84">
        <f t="shared" si="4"/>
        <v>0</v>
      </c>
      <c r="U35" s="73">
        <v>0</v>
      </c>
      <c r="V35" s="22">
        <v>0</v>
      </c>
      <c r="W35" s="22">
        <v>0</v>
      </c>
      <c r="X35" s="22">
        <v>6440</v>
      </c>
      <c r="Y35" s="22">
        <v>5880</v>
      </c>
      <c r="Z35" s="22">
        <v>5880</v>
      </c>
      <c r="AA35" s="22">
        <v>5880</v>
      </c>
      <c r="AB35" s="22">
        <v>6720</v>
      </c>
      <c r="AC35" s="23">
        <v>6720</v>
      </c>
      <c r="AD35" s="84">
        <f t="shared" si="5"/>
        <v>37520</v>
      </c>
      <c r="AE35" s="95">
        <v>0</v>
      </c>
      <c r="AF35" s="84">
        <f t="shared" si="6"/>
        <v>0</v>
      </c>
      <c r="AG35" s="84">
        <f t="shared" si="2"/>
        <v>37520</v>
      </c>
      <c r="AI35"/>
    </row>
    <row r="36" spans="1:35">
      <c r="A36" s="1" t="s">
        <v>3</v>
      </c>
      <c r="B36" s="6" t="s">
        <v>97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62">
        <v>0</v>
      </c>
      <c r="T36" s="84">
        <f t="shared" si="4"/>
        <v>0</v>
      </c>
      <c r="U36" s="73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3">
        <v>0</v>
      </c>
      <c r="AD36" s="84">
        <f t="shared" si="5"/>
        <v>0</v>
      </c>
      <c r="AE36" s="95">
        <v>0</v>
      </c>
      <c r="AF36" s="84">
        <f t="shared" si="6"/>
        <v>0</v>
      </c>
      <c r="AG36" s="84">
        <f t="shared" si="2"/>
        <v>0</v>
      </c>
      <c r="AI36"/>
    </row>
    <row r="37" spans="1:35">
      <c r="A37" s="1" t="s">
        <v>3</v>
      </c>
      <c r="B37" s="6" t="s">
        <v>99</v>
      </c>
      <c r="C37" s="21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62">
        <v>0</v>
      </c>
      <c r="T37" s="84">
        <f t="shared" si="4"/>
        <v>0</v>
      </c>
      <c r="U37" s="73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3">
        <v>0</v>
      </c>
      <c r="AD37" s="84">
        <f t="shared" si="5"/>
        <v>0</v>
      </c>
      <c r="AE37" s="95">
        <v>0</v>
      </c>
      <c r="AF37" s="84">
        <f t="shared" si="6"/>
        <v>0</v>
      </c>
      <c r="AG37" s="84">
        <f t="shared" si="2"/>
        <v>0</v>
      </c>
      <c r="AI37"/>
    </row>
    <row r="38" spans="1:35">
      <c r="A38" s="1" t="s">
        <v>3</v>
      </c>
      <c r="B38" s="6" t="s">
        <v>102</v>
      </c>
      <c r="C38" s="21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62">
        <v>0</v>
      </c>
      <c r="T38" s="84">
        <f t="shared" si="4"/>
        <v>0</v>
      </c>
      <c r="U38" s="73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3">
        <v>0</v>
      </c>
      <c r="AD38" s="84">
        <f t="shared" si="5"/>
        <v>0</v>
      </c>
      <c r="AE38" s="95">
        <v>0</v>
      </c>
      <c r="AF38" s="84">
        <f t="shared" si="6"/>
        <v>0</v>
      </c>
      <c r="AG38" s="84">
        <f t="shared" si="2"/>
        <v>0</v>
      </c>
      <c r="AI38"/>
    </row>
    <row r="39" spans="1:35">
      <c r="A39" s="1" t="s">
        <v>3</v>
      </c>
      <c r="B39" s="6" t="s">
        <v>103</v>
      </c>
      <c r="C39" s="21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100">
        <v>-136256</v>
      </c>
      <c r="O39" s="22">
        <v>0</v>
      </c>
      <c r="P39" s="22">
        <v>0</v>
      </c>
      <c r="Q39" s="22">
        <v>0</v>
      </c>
      <c r="R39" s="22">
        <v>0</v>
      </c>
      <c r="S39" s="101">
        <v>-16266</v>
      </c>
      <c r="T39" s="102">
        <f t="shared" si="4"/>
        <v>-152522</v>
      </c>
      <c r="U39" s="73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3">
        <v>0</v>
      </c>
      <c r="AD39" s="84">
        <f t="shared" si="5"/>
        <v>0</v>
      </c>
      <c r="AE39" s="95">
        <v>0</v>
      </c>
      <c r="AF39" s="84">
        <f t="shared" si="6"/>
        <v>0</v>
      </c>
      <c r="AG39" s="102">
        <f t="shared" si="2"/>
        <v>-152522</v>
      </c>
      <c r="AI39"/>
    </row>
    <row r="40" spans="1:35">
      <c r="A40" s="1" t="s">
        <v>3</v>
      </c>
      <c r="B40" s="6" t="s">
        <v>70</v>
      </c>
      <c r="C40" s="21">
        <v>41323</v>
      </c>
      <c r="D40" s="22">
        <v>19712</v>
      </c>
      <c r="E40" s="22">
        <v>7895</v>
      </c>
      <c r="F40" s="22">
        <v>93429</v>
      </c>
      <c r="G40" s="22">
        <v>40832</v>
      </c>
      <c r="H40" s="22">
        <v>96815</v>
      </c>
      <c r="I40" s="22">
        <v>86645</v>
      </c>
      <c r="J40" s="22">
        <v>75981</v>
      </c>
      <c r="K40" s="22">
        <v>78995</v>
      </c>
      <c r="L40" s="22">
        <v>98560</v>
      </c>
      <c r="M40" s="22">
        <v>69316</v>
      </c>
      <c r="N40" s="22">
        <v>17329</v>
      </c>
      <c r="O40" s="22">
        <v>65280</v>
      </c>
      <c r="P40" s="22">
        <v>106758</v>
      </c>
      <c r="Q40" s="22">
        <v>28996</v>
      </c>
      <c r="R40" s="22">
        <v>28006</v>
      </c>
      <c r="S40" s="62">
        <v>50920</v>
      </c>
      <c r="T40" s="84">
        <f t="shared" si="4"/>
        <v>1006792</v>
      </c>
      <c r="U40" s="73">
        <v>0</v>
      </c>
      <c r="V40" s="22">
        <v>46618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3150</v>
      </c>
      <c r="AC40" s="23">
        <v>0</v>
      </c>
      <c r="AD40" s="84">
        <f t="shared" si="5"/>
        <v>49768</v>
      </c>
      <c r="AE40" s="95">
        <v>0</v>
      </c>
      <c r="AF40" s="84">
        <f t="shared" si="6"/>
        <v>0</v>
      </c>
      <c r="AG40" s="84">
        <f t="shared" si="2"/>
        <v>1056560</v>
      </c>
      <c r="AI40"/>
    </row>
    <row r="41" spans="1:35">
      <c r="A41" s="1" t="s">
        <v>3</v>
      </c>
      <c r="B41" s="6" t="s">
        <v>105</v>
      </c>
      <c r="C41" s="21">
        <v>20146</v>
      </c>
      <c r="D41" s="22">
        <v>10640</v>
      </c>
      <c r="E41" s="22">
        <v>25575</v>
      </c>
      <c r="F41" s="22">
        <v>12808</v>
      </c>
      <c r="G41" s="22">
        <v>25840</v>
      </c>
      <c r="H41" s="22">
        <v>12488</v>
      </c>
      <c r="I41" s="22">
        <v>31658</v>
      </c>
      <c r="J41" s="22">
        <v>12951</v>
      </c>
      <c r="K41" s="22">
        <v>40571</v>
      </c>
      <c r="L41" s="22">
        <v>21280</v>
      </c>
      <c r="M41" s="22">
        <v>12951</v>
      </c>
      <c r="N41" s="22">
        <v>20146</v>
      </c>
      <c r="O41" s="22">
        <v>16584</v>
      </c>
      <c r="P41" s="22">
        <v>7115</v>
      </c>
      <c r="Q41" s="22">
        <v>0</v>
      </c>
      <c r="R41" s="22">
        <v>0</v>
      </c>
      <c r="S41" s="62">
        <v>0</v>
      </c>
      <c r="T41" s="84">
        <f t="shared" si="4"/>
        <v>270753</v>
      </c>
      <c r="U41" s="73">
        <v>0</v>
      </c>
      <c r="V41" s="22">
        <v>16016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3">
        <v>0</v>
      </c>
      <c r="AD41" s="84">
        <f t="shared" si="5"/>
        <v>16016</v>
      </c>
      <c r="AE41" s="95">
        <v>0</v>
      </c>
      <c r="AF41" s="84">
        <f t="shared" si="6"/>
        <v>0</v>
      </c>
      <c r="AG41" s="84">
        <f t="shared" si="2"/>
        <v>286769</v>
      </c>
      <c r="AI41"/>
    </row>
    <row r="42" spans="1:35">
      <c r="A42" s="1" t="s">
        <v>3</v>
      </c>
      <c r="B42" s="6" t="s">
        <v>106</v>
      </c>
      <c r="C42" s="21">
        <v>20146</v>
      </c>
      <c r="D42" s="22">
        <v>12160</v>
      </c>
      <c r="E42" s="22">
        <v>22165</v>
      </c>
      <c r="F42" s="22">
        <v>25616</v>
      </c>
      <c r="G42" s="22">
        <v>10640</v>
      </c>
      <c r="H42" s="22">
        <v>15610</v>
      </c>
      <c r="I42" s="22">
        <v>5756</v>
      </c>
      <c r="J42" s="22">
        <v>12951</v>
      </c>
      <c r="K42" s="22">
        <v>8394</v>
      </c>
      <c r="L42" s="22">
        <v>27360</v>
      </c>
      <c r="M42" s="22">
        <v>0</v>
      </c>
      <c r="N42" s="22">
        <v>0</v>
      </c>
      <c r="O42" s="22">
        <v>11056</v>
      </c>
      <c r="P42" s="22">
        <v>0</v>
      </c>
      <c r="Q42" s="22">
        <v>0</v>
      </c>
      <c r="R42" s="22">
        <v>0</v>
      </c>
      <c r="S42" s="62">
        <v>0</v>
      </c>
      <c r="T42" s="84">
        <f t="shared" si="4"/>
        <v>171854</v>
      </c>
      <c r="U42" s="73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3">
        <v>0</v>
      </c>
      <c r="AD42" s="84">
        <f t="shared" si="5"/>
        <v>0</v>
      </c>
      <c r="AE42" s="95">
        <v>0</v>
      </c>
      <c r="AF42" s="84">
        <f t="shared" si="6"/>
        <v>0</v>
      </c>
      <c r="AG42" s="84">
        <f t="shared" si="2"/>
        <v>171854</v>
      </c>
      <c r="AI42"/>
    </row>
    <row r="43" spans="1:35">
      <c r="A43" s="1" t="s">
        <v>3</v>
      </c>
      <c r="B43" s="6" t="s">
        <v>107</v>
      </c>
      <c r="C43" s="21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3560</v>
      </c>
      <c r="S43" s="62">
        <v>3204</v>
      </c>
      <c r="T43" s="84">
        <f t="shared" si="4"/>
        <v>6764</v>
      </c>
      <c r="U43" s="73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3">
        <v>0</v>
      </c>
      <c r="AD43" s="84">
        <f t="shared" si="5"/>
        <v>0</v>
      </c>
      <c r="AE43" s="95">
        <v>0</v>
      </c>
      <c r="AF43" s="84">
        <f t="shared" si="6"/>
        <v>0</v>
      </c>
      <c r="AG43" s="84">
        <f t="shared" si="2"/>
        <v>6764</v>
      </c>
      <c r="AI43"/>
    </row>
    <row r="44" spans="1:35">
      <c r="A44" s="1" t="s">
        <v>3</v>
      </c>
      <c r="B44" s="6" t="s">
        <v>108</v>
      </c>
      <c r="C44" s="21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2848</v>
      </c>
      <c r="S44" s="62">
        <v>3204</v>
      </c>
      <c r="T44" s="84">
        <f t="shared" si="4"/>
        <v>6052</v>
      </c>
      <c r="U44" s="73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3">
        <v>0</v>
      </c>
      <c r="AD44" s="84">
        <f t="shared" si="5"/>
        <v>0</v>
      </c>
      <c r="AE44" s="95">
        <v>0</v>
      </c>
      <c r="AF44" s="84">
        <f t="shared" si="6"/>
        <v>0</v>
      </c>
      <c r="AG44" s="84">
        <f t="shared" si="2"/>
        <v>6052</v>
      </c>
      <c r="AI44"/>
    </row>
    <row r="45" spans="1:35">
      <c r="A45" s="1" t="s">
        <v>3</v>
      </c>
      <c r="B45" s="6" t="s">
        <v>109</v>
      </c>
      <c r="C45" s="21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62">
        <v>0</v>
      </c>
      <c r="T45" s="84">
        <f t="shared" si="4"/>
        <v>0</v>
      </c>
      <c r="U45" s="73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3">
        <v>0</v>
      </c>
      <c r="AD45" s="84">
        <f t="shared" si="5"/>
        <v>0</v>
      </c>
      <c r="AE45" s="95">
        <v>0</v>
      </c>
      <c r="AF45" s="84">
        <f t="shared" si="6"/>
        <v>0</v>
      </c>
      <c r="AG45" s="84">
        <f t="shared" si="2"/>
        <v>0</v>
      </c>
      <c r="AI45"/>
    </row>
    <row r="46" spans="1:35">
      <c r="A46" s="1" t="s">
        <v>3</v>
      </c>
      <c r="B46" s="6" t="s">
        <v>75</v>
      </c>
      <c r="C46" s="21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62">
        <v>0</v>
      </c>
      <c r="T46" s="84">
        <f t="shared" si="4"/>
        <v>0</v>
      </c>
      <c r="U46" s="73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3">
        <v>0</v>
      </c>
      <c r="AD46" s="84">
        <f t="shared" si="5"/>
        <v>0</v>
      </c>
      <c r="AE46" s="95">
        <v>0</v>
      </c>
      <c r="AF46" s="84">
        <f t="shared" si="6"/>
        <v>0</v>
      </c>
      <c r="AG46" s="84">
        <f t="shared" si="2"/>
        <v>0</v>
      </c>
      <c r="AI46"/>
    </row>
    <row r="47" spans="1:35" ht="19.5" thickBot="1">
      <c r="A47" s="1" t="s">
        <v>3</v>
      </c>
      <c r="B47" s="45" t="s">
        <v>80</v>
      </c>
      <c r="C47" s="46">
        <v>2136</v>
      </c>
      <c r="D47" s="47">
        <v>0</v>
      </c>
      <c r="E47" s="47">
        <v>0</v>
      </c>
      <c r="F47" s="47">
        <v>6237</v>
      </c>
      <c r="G47" s="47">
        <v>1692</v>
      </c>
      <c r="H47" s="47">
        <v>7225</v>
      </c>
      <c r="I47" s="47">
        <v>2403</v>
      </c>
      <c r="J47" s="47">
        <v>1602</v>
      </c>
      <c r="K47" s="47">
        <v>1036</v>
      </c>
      <c r="L47" s="47">
        <v>5922</v>
      </c>
      <c r="M47" s="47">
        <v>4005</v>
      </c>
      <c r="N47" s="47">
        <v>4272</v>
      </c>
      <c r="O47" s="47">
        <v>2816</v>
      </c>
      <c r="P47" s="47">
        <v>8184</v>
      </c>
      <c r="Q47" s="47">
        <v>4752</v>
      </c>
      <c r="R47" s="47">
        <v>4845</v>
      </c>
      <c r="S47" s="63">
        <v>1275</v>
      </c>
      <c r="T47" s="85">
        <f t="shared" si="4"/>
        <v>58402</v>
      </c>
      <c r="U47" s="74">
        <v>12236</v>
      </c>
      <c r="V47" s="47">
        <v>0</v>
      </c>
      <c r="W47" s="47">
        <v>0</v>
      </c>
      <c r="X47" s="47">
        <v>0</v>
      </c>
      <c r="Y47" s="47">
        <v>10500</v>
      </c>
      <c r="Z47" s="47">
        <v>10500</v>
      </c>
      <c r="AA47" s="47">
        <v>9870</v>
      </c>
      <c r="AB47" s="47">
        <v>0</v>
      </c>
      <c r="AC47" s="48">
        <v>0</v>
      </c>
      <c r="AD47" s="85">
        <f t="shared" si="5"/>
        <v>43106</v>
      </c>
      <c r="AE47" s="96">
        <v>0</v>
      </c>
      <c r="AF47" s="85">
        <f t="shared" si="6"/>
        <v>0</v>
      </c>
      <c r="AG47" s="85">
        <f t="shared" si="2"/>
        <v>101508</v>
      </c>
      <c r="AI47"/>
    </row>
    <row r="48" spans="1:35" ht="19.5" thickBot="1">
      <c r="A48" s="1" t="s">
        <v>3</v>
      </c>
      <c r="B48" s="50" t="s">
        <v>110</v>
      </c>
      <c r="C48" s="51">
        <v>261751</v>
      </c>
      <c r="D48" s="52">
        <v>230512</v>
      </c>
      <c r="E48" s="52">
        <v>356506</v>
      </c>
      <c r="F48" s="52">
        <v>336090</v>
      </c>
      <c r="G48" s="52">
        <v>267004</v>
      </c>
      <c r="H48" s="52">
        <v>325138</v>
      </c>
      <c r="I48" s="52">
        <v>304462</v>
      </c>
      <c r="J48" s="52">
        <v>281485</v>
      </c>
      <c r="K48" s="52">
        <v>301996</v>
      </c>
      <c r="L48" s="52">
        <v>360882</v>
      </c>
      <c r="M48" s="52">
        <v>264272</v>
      </c>
      <c r="N48" s="52">
        <v>83491</v>
      </c>
      <c r="O48" s="52">
        <v>266736</v>
      </c>
      <c r="P48" s="52">
        <v>298057</v>
      </c>
      <c r="Q48" s="52">
        <v>209748</v>
      </c>
      <c r="R48" s="52">
        <v>209259</v>
      </c>
      <c r="S48" s="64">
        <v>212337</v>
      </c>
      <c r="T48" s="86">
        <f t="shared" si="4"/>
        <v>4569726</v>
      </c>
      <c r="U48" s="75">
        <v>367236</v>
      </c>
      <c r="V48" s="52">
        <v>346634</v>
      </c>
      <c r="W48" s="52">
        <v>83720</v>
      </c>
      <c r="X48" s="52">
        <v>81880</v>
      </c>
      <c r="Y48" s="52">
        <v>76020</v>
      </c>
      <c r="Z48" s="52">
        <v>79380</v>
      </c>
      <c r="AA48" s="52">
        <v>73710</v>
      </c>
      <c r="AB48" s="52">
        <v>30030</v>
      </c>
      <c r="AC48" s="53">
        <v>80640</v>
      </c>
      <c r="AD48" s="86">
        <f t="shared" si="5"/>
        <v>1219250</v>
      </c>
      <c r="AE48" s="97">
        <v>375000</v>
      </c>
      <c r="AF48" s="86">
        <f t="shared" si="6"/>
        <v>375000</v>
      </c>
      <c r="AG48" s="86">
        <f t="shared" si="2"/>
        <v>6163976</v>
      </c>
      <c r="AI48"/>
    </row>
    <row r="49" spans="1:35" ht="19.5" thickBot="1">
      <c r="A49" s="1" t="s">
        <v>3</v>
      </c>
      <c r="B49" s="27" t="s">
        <v>111</v>
      </c>
      <c r="C49" s="37">
        <v>12003</v>
      </c>
      <c r="D49" s="38">
        <v>2740</v>
      </c>
      <c r="E49" s="38">
        <v>5167</v>
      </c>
      <c r="F49" s="38">
        <v>2871</v>
      </c>
      <c r="G49" s="38">
        <v>14403</v>
      </c>
      <c r="H49" s="38">
        <v>2297</v>
      </c>
      <c r="I49" s="38">
        <v>2297</v>
      </c>
      <c r="J49" s="38">
        <v>1253</v>
      </c>
      <c r="K49" s="38">
        <v>3262</v>
      </c>
      <c r="L49" s="38">
        <v>5219</v>
      </c>
      <c r="M49" s="38">
        <v>6524</v>
      </c>
      <c r="N49" s="38">
        <v>1279</v>
      </c>
      <c r="O49" s="38">
        <v>8141</v>
      </c>
      <c r="P49" s="38">
        <v>6002</v>
      </c>
      <c r="Q49" s="38">
        <v>8872</v>
      </c>
      <c r="R49" s="38">
        <v>3653</v>
      </c>
      <c r="S49" s="61">
        <v>10333</v>
      </c>
      <c r="T49" s="83">
        <f t="shared" si="4"/>
        <v>96316</v>
      </c>
      <c r="U49" s="72">
        <v>3758</v>
      </c>
      <c r="V49" s="38">
        <v>5871</v>
      </c>
      <c r="W49" s="38">
        <v>3132</v>
      </c>
      <c r="X49" s="38">
        <v>1957</v>
      </c>
      <c r="Y49" s="38">
        <v>3132</v>
      </c>
      <c r="Z49" s="38">
        <v>4306</v>
      </c>
      <c r="AA49" s="38">
        <v>4175</v>
      </c>
      <c r="AB49" s="38">
        <v>1018</v>
      </c>
      <c r="AC49" s="39">
        <v>7672</v>
      </c>
      <c r="AD49" s="83">
        <f t="shared" si="5"/>
        <v>35021</v>
      </c>
      <c r="AE49" s="94">
        <v>8141</v>
      </c>
      <c r="AF49" s="83">
        <f t="shared" si="6"/>
        <v>8141</v>
      </c>
      <c r="AG49" s="83">
        <f t="shared" si="2"/>
        <v>139478</v>
      </c>
      <c r="AI49"/>
    </row>
    <row r="50" spans="1:35" ht="19.5" thickBot="1">
      <c r="A50" s="1" t="s">
        <v>3</v>
      </c>
      <c r="B50" s="50" t="s">
        <v>113</v>
      </c>
      <c r="C50" s="51">
        <v>12003</v>
      </c>
      <c r="D50" s="52">
        <v>2740</v>
      </c>
      <c r="E50" s="52">
        <v>5167</v>
      </c>
      <c r="F50" s="52">
        <v>2871</v>
      </c>
      <c r="G50" s="52">
        <v>14403</v>
      </c>
      <c r="H50" s="52">
        <v>2297</v>
      </c>
      <c r="I50" s="52">
        <v>2297</v>
      </c>
      <c r="J50" s="52">
        <v>1253</v>
      </c>
      <c r="K50" s="52">
        <v>3262</v>
      </c>
      <c r="L50" s="52">
        <v>5219</v>
      </c>
      <c r="M50" s="52">
        <v>6524</v>
      </c>
      <c r="N50" s="52">
        <v>1279</v>
      </c>
      <c r="O50" s="52">
        <v>8141</v>
      </c>
      <c r="P50" s="52">
        <v>6002</v>
      </c>
      <c r="Q50" s="52">
        <v>8872</v>
      </c>
      <c r="R50" s="52">
        <v>3653</v>
      </c>
      <c r="S50" s="64">
        <v>10333</v>
      </c>
      <c r="T50" s="86">
        <f t="shared" si="4"/>
        <v>96316</v>
      </c>
      <c r="U50" s="75">
        <v>3758</v>
      </c>
      <c r="V50" s="52">
        <v>5871</v>
      </c>
      <c r="W50" s="52">
        <v>3132</v>
      </c>
      <c r="X50" s="52">
        <v>1957</v>
      </c>
      <c r="Y50" s="52">
        <v>3132</v>
      </c>
      <c r="Z50" s="52">
        <v>4306</v>
      </c>
      <c r="AA50" s="52">
        <v>4175</v>
      </c>
      <c r="AB50" s="52">
        <v>1018</v>
      </c>
      <c r="AC50" s="53">
        <v>7672</v>
      </c>
      <c r="AD50" s="86">
        <f t="shared" si="5"/>
        <v>35021</v>
      </c>
      <c r="AE50" s="97">
        <v>8141</v>
      </c>
      <c r="AF50" s="86">
        <f t="shared" si="6"/>
        <v>8141</v>
      </c>
      <c r="AG50" s="86">
        <f t="shared" si="2"/>
        <v>139478</v>
      </c>
      <c r="AI50"/>
    </row>
    <row r="51" spans="1:35" ht="19.5" thickBot="1">
      <c r="A51" s="1" t="s">
        <v>3</v>
      </c>
      <c r="B51" s="50" t="s">
        <v>114</v>
      </c>
      <c r="C51" s="51">
        <v>273754</v>
      </c>
      <c r="D51" s="52">
        <v>233252</v>
      </c>
      <c r="E51" s="52">
        <v>361673</v>
      </c>
      <c r="F51" s="52">
        <v>338961</v>
      </c>
      <c r="G51" s="52">
        <v>281407</v>
      </c>
      <c r="H51" s="52">
        <v>327435</v>
      </c>
      <c r="I51" s="52">
        <v>306759</v>
      </c>
      <c r="J51" s="52">
        <v>282738</v>
      </c>
      <c r="K51" s="52">
        <v>305258</v>
      </c>
      <c r="L51" s="52">
        <v>366101</v>
      </c>
      <c r="M51" s="52">
        <v>270796</v>
      </c>
      <c r="N51" s="52">
        <v>84770</v>
      </c>
      <c r="O51" s="52">
        <v>274877</v>
      </c>
      <c r="P51" s="52">
        <v>304059</v>
      </c>
      <c r="Q51" s="52">
        <v>218620</v>
      </c>
      <c r="R51" s="52">
        <v>212912</v>
      </c>
      <c r="S51" s="64">
        <v>222670</v>
      </c>
      <c r="T51" s="86">
        <f t="shared" si="4"/>
        <v>4666042</v>
      </c>
      <c r="U51" s="75">
        <v>370994</v>
      </c>
      <c r="V51" s="52">
        <v>352505</v>
      </c>
      <c r="W51" s="52">
        <v>86852</v>
      </c>
      <c r="X51" s="52">
        <v>83837</v>
      </c>
      <c r="Y51" s="52">
        <v>79152</v>
      </c>
      <c r="Z51" s="52">
        <v>83686</v>
      </c>
      <c r="AA51" s="52">
        <v>77885</v>
      </c>
      <c r="AB51" s="52">
        <v>31048</v>
      </c>
      <c r="AC51" s="53">
        <v>88312</v>
      </c>
      <c r="AD51" s="86">
        <f t="shared" si="5"/>
        <v>1254271</v>
      </c>
      <c r="AE51" s="97">
        <v>383141</v>
      </c>
      <c r="AF51" s="86">
        <f t="shared" si="6"/>
        <v>383141</v>
      </c>
      <c r="AG51" s="86">
        <f t="shared" si="2"/>
        <v>6303454</v>
      </c>
      <c r="AI51"/>
    </row>
    <row r="52" spans="1:35">
      <c r="A52" s="1" t="s">
        <v>3</v>
      </c>
      <c r="B52" s="27" t="s">
        <v>115</v>
      </c>
      <c r="C52" s="37">
        <v>16320</v>
      </c>
      <c r="D52" s="38">
        <v>19380</v>
      </c>
      <c r="E52" s="38">
        <v>19380</v>
      </c>
      <c r="F52" s="38">
        <v>20910</v>
      </c>
      <c r="G52" s="38">
        <v>19380</v>
      </c>
      <c r="H52" s="38">
        <v>20910</v>
      </c>
      <c r="I52" s="38">
        <v>16320</v>
      </c>
      <c r="J52" s="38">
        <v>15300</v>
      </c>
      <c r="K52" s="38">
        <v>16320</v>
      </c>
      <c r="L52" s="38">
        <v>17340</v>
      </c>
      <c r="M52" s="38">
        <v>16320</v>
      </c>
      <c r="N52" s="38">
        <v>17340</v>
      </c>
      <c r="O52" s="38">
        <v>15300</v>
      </c>
      <c r="P52" s="38">
        <v>17340</v>
      </c>
      <c r="Q52" s="38">
        <v>15300</v>
      </c>
      <c r="R52" s="38">
        <v>13260</v>
      </c>
      <c r="S52" s="61">
        <v>13260</v>
      </c>
      <c r="T52" s="83">
        <f t="shared" si="4"/>
        <v>289680</v>
      </c>
      <c r="U52" s="72">
        <v>19380</v>
      </c>
      <c r="V52" s="38">
        <v>19380</v>
      </c>
      <c r="W52" s="38">
        <v>0</v>
      </c>
      <c r="X52" s="38">
        <v>0</v>
      </c>
      <c r="Y52" s="38">
        <v>0</v>
      </c>
      <c r="Z52" s="38">
        <v>0</v>
      </c>
      <c r="AA52" s="38">
        <v>0</v>
      </c>
      <c r="AB52" s="38">
        <v>0</v>
      </c>
      <c r="AC52" s="39">
        <v>0</v>
      </c>
      <c r="AD52" s="83">
        <f t="shared" si="5"/>
        <v>38760</v>
      </c>
      <c r="AE52" s="94">
        <v>19380</v>
      </c>
      <c r="AF52" s="83">
        <f t="shared" si="6"/>
        <v>19380</v>
      </c>
      <c r="AG52" s="83">
        <f t="shared" si="2"/>
        <v>347820</v>
      </c>
      <c r="AI52"/>
    </row>
    <row r="53" spans="1:35">
      <c r="A53" s="1" t="s">
        <v>3</v>
      </c>
      <c r="B53" s="6" t="s">
        <v>116</v>
      </c>
      <c r="C53" s="21">
        <v>2880</v>
      </c>
      <c r="D53" s="22">
        <v>3420</v>
      </c>
      <c r="E53" s="22">
        <v>3420</v>
      </c>
      <c r="F53" s="22">
        <v>3690</v>
      </c>
      <c r="G53" s="22">
        <v>3420</v>
      </c>
      <c r="H53" s="22">
        <v>3690</v>
      </c>
      <c r="I53" s="22">
        <v>2880</v>
      </c>
      <c r="J53" s="22">
        <v>2700</v>
      </c>
      <c r="K53" s="22">
        <v>2880</v>
      </c>
      <c r="L53" s="22">
        <v>3060</v>
      </c>
      <c r="M53" s="22">
        <v>2880</v>
      </c>
      <c r="N53" s="22">
        <v>3060</v>
      </c>
      <c r="O53" s="22">
        <v>2700</v>
      </c>
      <c r="P53" s="22">
        <v>3060</v>
      </c>
      <c r="Q53" s="22">
        <v>2700</v>
      </c>
      <c r="R53" s="22">
        <v>0</v>
      </c>
      <c r="S53" s="62">
        <v>0</v>
      </c>
      <c r="T53" s="84">
        <f t="shared" si="4"/>
        <v>46440</v>
      </c>
      <c r="U53" s="73">
        <v>3420</v>
      </c>
      <c r="V53" s="22">
        <v>3420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3">
        <v>0</v>
      </c>
      <c r="AD53" s="84">
        <f t="shared" si="5"/>
        <v>6840</v>
      </c>
      <c r="AE53" s="95">
        <v>3420</v>
      </c>
      <c r="AF53" s="84">
        <f t="shared" si="6"/>
        <v>3420</v>
      </c>
      <c r="AG53" s="84">
        <f t="shared" si="2"/>
        <v>56700</v>
      </c>
      <c r="AI53"/>
    </row>
    <row r="54" spans="1:35">
      <c r="A54" s="1" t="s">
        <v>3</v>
      </c>
      <c r="B54" s="6" t="s">
        <v>117</v>
      </c>
      <c r="C54" s="21">
        <v>29280</v>
      </c>
      <c r="D54" s="22">
        <v>34770</v>
      </c>
      <c r="E54" s="22">
        <v>34770</v>
      </c>
      <c r="F54" s="22">
        <v>37515</v>
      </c>
      <c r="G54" s="22">
        <v>34770</v>
      </c>
      <c r="H54" s="22">
        <v>37515</v>
      </c>
      <c r="I54" s="22">
        <v>29280</v>
      </c>
      <c r="J54" s="22">
        <v>27450</v>
      </c>
      <c r="K54" s="22">
        <v>29280</v>
      </c>
      <c r="L54" s="22">
        <v>31110</v>
      </c>
      <c r="M54" s="22">
        <v>29280</v>
      </c>
      <c r="N54" s="22">
        <v>31110</v>
      </c>
      <c r="O54" s="22">
        <v>27450</v>
      </c>
      <c r="P54" s="22">
        <v>31110</v>
      </c>
      <c r="Q54" s="22">
        <v>27450</v>
      </c>
      <c r="R54" s="22">
        <v>23790</v>
      </c>
      <c r="S54" s="62">
        <v>23790</v>
      </c>
      <c r="T54" s="84">
        <f t="shared" si="4"/>
        <v>519720</v>
      </c>
      <c r="U54" s="73">
        <v>34770</v>
      </c>
      <c r="V54" s="22">
        <v>34770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3">
        <v>0</v>
      </c>
      <c r="AD54" s="84">
        <f t="shared" si="5"/>
        <v>69540</v>
      </c>
      <c r="AE54" s="95">
        <v>34770</v>
      </c>
      <c r="AF54" s="84">
        <f t="shared" si="6"/>
        <v>34770</v>
      </c>
      <c r="AG54" s="84">
        <f t="shared" si="2"/>
        <v>624030</v>
      </c>
      <c r="AI54"/>
    </row>
    <row r="55" spans="1:35" ht="19.5" thickBot="1">
      <c r="A55" s="1" t="s">
        <v>3</v>
      </c>
      <c r="B55" s="6" t="s">
        <v>118</v>
      </c>
      <c r="C55" s="21">
        <v>821</v>
      </c>
      <c r="D55" s="22">
        <v>700</v>
      </c>
      <c r="E55" s="22">
        <v>1085</v>
      </c>
      <c r="F55" s="22">
        <v>1017</v>
      </c>
      <c r="G55" s="22">
        <v>844</v>
      </c>
      <c r="H55" s="22">
        <v>982</v>
      </c>
      <c r="I55" s="22">
        <v>920</v>
      </c>
      <c r="J55" s="22">
        <v>848</v>
      </c>
      <c r="K55" s="22">
        <v>916</v>
      </c>
      <c r="L55" s="22">
        <v>1098</v>
      </c>
      <c r="M55" s="22">
        <v>812</v>
      </c>
      <c r="N55" s="22">
        <v>254</v>
      </c>
      <c r="O55" s="22">
        <v>825</v>
      </c>
      <c r="P55" s="22">
        <v>912</v>
      </c>
      <c r="Q55" s="22">
        <v>656</v>
      </c>
      <c r="R55" s="22">
        <v>639</v>
      </c>
      <c r="S55" s="62">
        <v>668</v>
      </c>
      <c r="T55" s="84">
        <f t="shared" si="4"/>
        <v>13997</v>
      </c>
      <c r="U55" s="73">
        <v>1113</v>
      </c>
      <c r="V55" s="22">
        <v>1058</v>
      </c>
      <c r="W55" s="22">
        <v>261</v>
      </c>
      <c r="X55" s="22">
        <v>252</v>
      </c>
      <c r="Y55" s="22">
        <v>0</v>
      </c>
      <c r="Z55" s="22">
        <v>0</v>
      </c>
      <c r="AA55" s="22">
        <v>0</v>
      </c>
      <c r="AB55" s="22">
        <v>0</v>
      </c>
      <c r="AC55" s="23">
        <v>265</v>
      </c>
      <c r="AD55" s="84">
        <f t="shared" si="5"/>
        <v>2949</v>
      </c>
      <c r="AE55" s="95">
        <v>1149</v>
      </c>
      <c r="AF55" s="84">
        <f t="shared" si="6"/>
        <v>1149</v>
      </c>
      <c r="AG55" s="84">
        <f t="shared" si="2"/>
        <v>18095</v>
      </c>
      <c r="AI55"/>
    </row>
    <row r="56" spans="1:35" ht="19.5" thickBot="1">
      <c r="A56" s="1" t="s">
        <v>3</v>
      </c>
      <c r="B56" s="50" t="s">
        <v>120</v>
      </c>
      <c r="C56" s="51">
        <v>49301</v>
      </c>
      <c r="D56" s="52">
        <v>58270</v>
      </c>
      <c r="E56" s="52">
        <v>58655</v>
      </c>
      <c r="F56" s="52">
        <v>63132</v>
      </c>
      <c r="G56" s="52">
        <v>58414</v>
      </c>
      <c r="H56" s="52">
        <v>63097</v>
      </c>
      <c r="I56" s="52">
        <v>49400</v>
      </c>
      <c r="J56" s="52">
        <v>46298</v>
      </c>
      <c r="K56" s="52">
        <v>49396</v>
      </c>
      <c r="L56" s="52">
        <v>52608</v>
      </c>
      <c r="M56" s="52">
        <v>49292</v>
      </c>
      <c r="N56" s="52">
        <v>51764</v>
      </c>
      <c r="O56" s="52">
        <v>46275</v>
      </c>
      <c r="P56" s="52">
        <v>52422</v>
      </c>
      <c r="Q56" s="52">
        <v>46106</v>
      </c>
      <c r="R56" s="52">
        <v>37689</v>
      </c>
      <c r="S56" s="64">
        <v>37718</v>
      </c>
      <c r="T56" s="86">
        <f t="shared" si="4"/>
        <v>869837</v>
      </c>
      <c r="U56" s="75">
        <v>58683</v>
      </c>
      <c r="V56" s="52">
        <v>58628</v>
      </c>
      <c r="W56" s="52">
        <v>261</v>
      </c>
      <c r="X56" s="52">
        <v>252</v>
      </c>
      <c r="Y56" s="52">
        <v>0</v>
      </c>
      <c r="Z56" s="52">
        <v>0</v>
      </c>
      <c r="AA56" s="52">
        <v>0</v>
      </c>
      <c r="AB56" s="52">
        <v>0</v>
      </c>
      <c r="AC56" s="53">
        <v>265</v>
      </c>
      <c r="AD56" s="86">
        <f t="shared" si="5"/>
        <v>118089</v>
      </c>
      <c r="AE56" s="97">
        <v>58719</v>
      </c>
      <c r="AF56" s="86">
        <f t="shared" si="6"/>
        <v>58719</v>
      </c>
      <c r="AG56" s="86">
        <f t="shared" si="2"/>
        <v>1046645</v>
      </c>
      <c r="AI56"/>
    </row>
    <row r="57" spans="1:35">
      <c r="A57" s="1" t="s">
        <v>3</v>
      </c>
      <c r="B57" s="27" t="s">
        <v>121</v>
      </c>
      <c r="C57" s="37">
        <v>3590</v>
      </c>
      <c r="D57" s="38">
        <v>3770</v>
      </c>
      <c r="E57" s="38">
        <v>6640</v>
      </c>
      <c r="F57" s="38">
        <v>7370</v>
      </c>
      <c r="G57" s="38">
        <v>3460</v>
      </c>
      <c r="H57" s="38">
        <v>6980</v>
      </c>
      <c r="I57" s="38">
        <v>6730</v>
      </c>
      <c r="J57" s="38">
        <v>4410</v>
      </c>
      <c r="K57" s="38">
        <v>6640</v>
      </c>
      <c r="L57" s="38">
        <v>9060</v>
      </c>
      <c r="M57" s="38">
        <v>5300</v>
      </c>
      <c r="N57" s="38">
        <v>0</v>
      </c>
      <c r="O57" s="38">
        <v>5500</v>
      </c>
      <c r="P57" s="38">
        <v>1550</v>
      </c>
      <c r="Q57" s="38">
        <v>3470</v>
      </c>
      <c r="R57" s="38">
        <v>3750</v>
      </c>
      <c r="S57" s="61">
        <v>3860</v>
      </c>
      <c r="T57" s="83">
        <f t="shared" si="4"/>
        <v>82080</v>
      </c>
      <c r="U57" s="72">
        <v>9080</v>
      </c>
      <c r="V57" s="38">
        <v>6290</v>
      </c>
      <c r="W57" s="38">
        <v>0</v>
      </c>
      <c r="X57" s="38">
        <v>0</v>
      </c>
      <c r="Y57" s="38">
        <v>0</v>
      </c>
      <c r="Z57" s="38">
        <v>0</v>
      </c>
      <c r="AA57" s="38">
        <v>0</v>
      </c>
      <c r="AB57" s="38">
        <v>0</v>
      </c>
      <c r="AC57" s="39">
        <v>0</v>
      </c>
      <c r="AD57" s="83">
        <f t="shared" si="5"/>
        <v>15370</v>
      </c>
      <c r="AE57" s="94">
        <v>9710</v>
      </c>
      <c r="AF57" s="83">
        <f t="shared" si="6"/>
        <v>9710</v>
      </c>
      <c r="AG57" s="83">
        <f t="shared" si="2"/>
        <v>107160</v>
      </c>
      <c r="AI57"/>
    </row>
    <row r="58" spans="1:35">
      <c r="A58" s="1" t="s">
        <v>3</v>
      </c>
      <c r="B58" s="6" t="s">
        <v>122</v>
      </c>
      <c r="C58" s="21">
        <v>1300</v>
      </c>
      <c r="D58" s="22">
        <v>1300</v>
      </c>
      <c r="E58" s="22">
        <v>1300</v>
      </c>
      <c r="F58" s="22">
        <v>0</v>
      </c>
      <c r="G58" s="22">
        <v>1300</v>
      </c>
      <c r="H58" s="22">
        <v>1300</v>
      </c>
      <c r="I58" s="22">
        <v>1300</v>
      </c>
      <c r="J58" s="22">
        <v>1300</v>
      </c>
      <c r="K58" s="22">
        <v>1300</v>
      </c>
      <c r="L58" s="22">
        <v>1300</v>
      </c>
      <c r="M58" s="22">
        <v>0</v>
      </c>
      <c r="N58" s="22">
        <v>0</v>
      </c>
      <c r="O58" s="22">
        <v>1300</v>
      </c>
      <c r="P58" s="22">
        <v>1300</v>
      </c>
      <c r="Q58" s="22">
        <v>1300</v>
      </c>
      <c r="R58" s="22">
        <v>1300</v>
      </c>
      <c r="S58" s="62">
        <v>0</v>
      </c>
      <c r="T58" s="84">
        <f t="shared" si="4"/>
        <v>16900</v>
      </c>
      <c r="U58" s="73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3">
        <v>0</v>
      </c>
      <c r="AD58" s="84">
        <f t="shared" si="5"/>
        <v>0</v>
      </c>
      <c r="AE58" s="95">
        <v>0</v>
      </c>
      <c r="AF58" s="84">
        <f t="shared" si="6"/>
        <v>0</v>
      </c>
      <c r="AG58" s="84">
        <f t="shared" ref="AG58:AG65" si="7">T58+AD58+AF58</f>
        <v>16900</v>
      </c>
      <c r="AI58"/>
    </row>
    <row r="59" spans="1:35">
      <c r="A59" s="1" t="s">
        <v>3</v>
      </c>
      <c r="B59" s="6" t="s">
        <v>123</v>
      </c>
      <c r="C59" s="21">
        <v>9900</v>
      </c>
      <c r="D59" s="22">
        <v>16100</v>
      </c>
      <c r="E59" s="22">
        <v>15700</v>
      </c>
      <c r="F59" s="22">
        <v>18800</v>
      </c>
      <c r="G59" s="22">
        <v>12100</v>
      </c>
      <c r="H59" s="22">
        <v>18500</v>
      </c>
      <c r="I59" s="22">
        <v>14500</v>
      </c>
      <c r="J59" s="22">
        <v>9300</v>
      </c>
      <c r="K59" s="22">
        <v>13400</v>
      </c>
      <c r="L59" s="22">
        <v>13900</v>
      </c>
      <c r="M59" s="22">
        <v>10400</v>
      </c>
      <c r="N59" s="22">
        <v>24600</v>
      </c>
      <c r="O59" s="22">
        <v>12200</v>
      </c>
      <c r="P59" s="22">
        <v>6700</v>
      </c>
      <c r="Q59" s="22">
        <v>0</v>
      </c>
      <c r="R59" s="22">
        <v>0</v>
      </c>
      <c r="S59" s="62">
        <v>0</v>
      </c>
      <c r="T59" s="84">
        <f t="shared" si="4"/>
        <v>196100</v>
      </c>
      <c r="U59" s="73">
        <v>15200</v>
      </c>
      <c r="V59" s="22">
        <v>16300</v>
      </c>
      <c r="W59" s="22">
        <v>600</v>
      </c>
      <c r="X59" s="22">
        <v>500</v>
      </c>
      <c r="Y59" s="22">
        <v>0</v>
      </c>
      <c r="Z59" s="22">
        <v>0</v>
      </c>
      <c r="AA59" s="22">
        <v>0</v>
      </c>
      <c r="AB59" s="22">
        <v>0</v>
      </c>
      <c r="AC59" s="23">
        <v>11600</v>
      </c>
      <c r="AD59" s="84">
        <f t="shared" si="5"/>
        <v>44200</v>
      </c>
      <c r="AE59" s="95">
        <v>17800</v>
      </c>
      <c r="AF59" s="84">
        <f t="shared" si="6"/>
        <v>17800</v>
      </c>
      <c r="AG59" s="84">
        <f t="shared" si="7"/>
        <v>258100</v>
      </c>
      <c r="AI59"/>
    </row>
    <row r="60" spans="1:35" ht="19.5" thickBot="1">
      <c r="A60" s="1" t="s">
        <v>3</v>
      </c>
      <c r="B60" s="6" t="s">
        <v>124</v>
      </c>
      <c r="C60" s="21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62">
        <v>0</v>
      </c>
      <c r="T60" s="84">
        <f t="shared" si="4"/>
        <v>0</v>
      </c>
      <c r="U60" s="73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3">
        <v>0</v>
      </c>
      <c r="AD60" s="84">
        <f t="shared" si="5"/>
        <v>0</v>
      </c>
      <c r="AE60" s="95">
        <v>0</v>
      </c>
      <c r="AF60" s="84">
        <f t="shared" si="6"/>
        <v>0</v>
      </c>
      <c r="AG60" s="84">
        <f t="shared" si="7"/>
        <v>0</v>
      </c>
      <c r="AI60"/>
    </row>
    <row r="61" spans="1:35" ht="19.5" thickBot="1">
      <c r="A61" s="1" t="s">
        <v>3</v>
      </c>
      <c r="B61" s="50" t="s">
        <v>128</v>
      </c>
      <c r="C61" s="51">
        <v>64091</v>
      </c>
      <c r="D61" s="52">
        <v>79440</v>
      </c>
      <c r="E61" s="52">
        <v>82295</v>
      </c>
      <c r="F61" s="52">
        <v>89302</v>
      </c>
      <c r="G61" s="52">
        <v>75274</v>
      </c>
      <c r="H61" s="52">
        <v>89877</v>
      </c>
      <c r="I61" s="52">
        <v>71930</v>
      </c>
      <c r="J61" s="52">
        <v>61308</v>
      </c>
      <c r="K61" s="52">
        <v>70736</v>
      </c>
      <c r="L61" s="52">
        <v>76868</v>
      </c>
      <c r="M61" s="52">
        <v>64992</v>
      </c>
      <c r="N61" s="52">
        <v>76364</v>
      </c>
      <c r="O61" s="52">
        <v>65275</v>
      </c>
      <c r="P61" s="52">
        <v>61972</v>
      </c>
      <c r="Q61" s="52">
        <v>50876</v>
      </c>
      <c r="R61" s="52">
        <v>42739</v>
      </c>
      <c r="S61" s="64">
        <v>41578</v>
      </c>
      <c r="T61" s="86">
        <f t="shared" si="4"/>
        <v>1164917</v>
      </c>
      <c r="U61" s="75">
        <v>82963</v>
      </c>
      <c r="V61" s="52">
        <v>81218</v>
      </c>
      <c r="W61" s="52">
        <v>861</v>
      </c>
      <c r="X61" s="52">
        <v>752</v>
      </c>
      <c r="Y61" s="52">
        <v>0</v>
      </c>
      <c r="Z61" s="52">
        <v>0</v>
      </c>
      <c r="AA61" s="52">
        <v>0</v>
      </c>
      <c r="AB61" s="52">
        <v>0</v>
      </c>
      <c r="AC61" s="53">
        <v>11865</v>
      </c>
      <c r="AD61" s="86">
        <f t="shared" si="5"/>
        <v>177659</v>
      </c>
      <c r="AE61" s="97">
        <v>86229</v>
      </c>
      <c r="AF61" s="86">
        <f t="shared" si="6"/>
        <v>86229</v>
      </c>
      <c r="AG61" s="86">
        <f t="shared" si="7"/>
        <v>1428805</v>
      </c>
      <c r="AI61"/>
    </row>
    <row r="62" spans="1:35" ht="19.5" thickBot="1">
      <c r="A62" s="1" t="s">
        <v>3</v>
      </c>
      <c r="B62" s="50" t="s">
        <v>129</v>
      </c>
      <c r="C62" s="51">
        <v>212450</v>
      </c>
      <c r="D62" s="52">
        <v>172242</v>
      </c>
      <c r="E62" s="52">
        <v>297851</v>
      </c>
      <c r="F62" s="52">
        <v>272958</v>
      </c>
      <c r="G62" s="52">
        <v>208590</v>
      </c>
      <c r="H62" s="52">
        <v>262041</v>
      </c>
      <c r="I62" s="52">
        <v>255062</v>
      </c>
      <c r="J62" s="52">
        <v>235187</v>
      </c>
      <c r="K62" s="52">
        <v>252600</v>
      </c>
      <c r="L62" s="52">
        <v>308274</v>
      </c>
      <c r="M62" s="52">
        <v>214980</v>
      </c>
      <c r="N62" s="52">
        <v>31727</v>
      </c>
      <c r="O62" s="52">
        <v>220461</v>
      </c>
      <c r="P62" s="52">
        <v>245635</v>
      </c>
      <c r="Q62" s="52">
        <v>163642</v>
      </c>
      <c r="R62" s="52">
        <v>171570</v>
      </c>
      <c r="S62" s="64">
        <v>174619</v>
      </c>
      <c r="T62" s="86">
        <f t="shared" si="4"/>
        <v>3699889</v>
      </c>
      <c r="U62" s="75">
        <v>308553</v>
      </c>
      <c r="V62" s="52">
        <v>288006</v>
      </c>
      <c r="W62" s="52">
        <v>83459</v>
      </c>
      <c r="X62" s="52">
        <v>81628</v>
      </c>
      <c r="Y62" s="52">
        <v>76020</v>
      </c>
      <c r="Z62" s="52">
        <v>79380</v>
      </c>
      <c r="AA62" s="52">
        <v>73710</v>
      </c>
      <c r="AB62" s="52">
        <v>30030</v>
      </c>
      <c r="AC62" s="53">
        <v>80375</v>
      </c>
      <c r="AD62" s="86">
        <f t="shared" si="5"/>
        <v>1101161</v>
      </c>
      <c r="AE62" s="97">
        <v>316281</v>
      </c>
      <c r="AF62" s="86">
        <f t="shared" si="6"/>
        <v>316281</v>
      </c>
      <c r="AG62" s="86">
        <f t="shared" si="7"/>
        <v>5117331</v>
      </c>
      <c r="AI62"/>
    </row>
    <row r="63" spans="1:35" ht="19.5" thickBot="1">
      <c r="A63" s="1" t="s">
        <v>3</v>
      </c>
      <c r="B63" s="50" t="s">
        <v>130</v>
      </c>
      <c r="C63" s="51">
        <v>209663</v>
      </c>
      <c r="D63" s="52">
        <v>153812</v>
      </c>
      <c r="E63" s="52">
        <v>279378</v>
      </c>
      <c r="F63" s="52">
        <v>249659</v>
      </c>
      <c r="G63" s="52">
        <v>206133</v>
      </c>
      <c r="H63" s="52">
        <v>237558</v>
      </c>
      <c r="I63" s="52">
        <v>234829</v>
      </c>
      <c r="J63" s="52">
        <v>221430</v>
      </c>
      <c r="K63" s="52">
        <v>234522</v>
      </c>
      <c r="L63" s="52">
        <v>289233</v>
      </c>
      <c r="M63" s="52">
        <v>205804</v>
      </c>
      <c r="N63" s="52">
        <v>8406</v>
      </c>
      <c r="O63" s="52">
        <v>209602</v>
      </c>
      <c r="P63" s="52">
        <v>242087</v>
      </c>
      <c r="Q63" s="52">
        <v>167744</v>
      </c>
      <c r="R63" s="52">
        <v>170173</v>
      </c>
      <c r="S63" s="64">
        <v>181092</v>
      </c>
      <c r="T63" s="86">
        <f t="shared" si="4"/>
        <v>3501125</v>
      </c>
      <c r="U63" s="75">
        <v>288031</v>
      </c>
      <c r="V63" s="52">
        <v>271287</v>
      </c>
      <c r="W63" s="52">
        <v>85991</v>
      </c>
      <c r="X63" s="52">
        <v>83085</v>
      </c>
      <c r="Y63" s="52">
        <v>79152</v>
      </c>
      <c r="Z63" s="52">
        <v>83686</v>
      </c>
      <c r="AA63" s="52">
        <v>77885</v>
      </c>
      <c r="AB63" s="52">
        <v>31048</v>
      </c>
      <c r="AC63" s="53">
        <v>76447</v>
      </c>
      <c r="AD63" s="86">
        <f t="shared" si="5"/>
        <v>1076612</v>
      </c>
      <c r="AE63" s="97">
        <v>296912</v>
      </c>
      <c r="AF63" s="86">
        <f t="shared" si="6"/>
        <v>296912</v>
      </c>
      <c r="AG63" s="86">
        <f t="shared" si="7"/>
        <v>4874649</v>
      </c>
      <c r="AI63"/>
    </row>
    <row r="64" spans="1:35">
      <c r="A64" s="1" t="s">
        <v>3</v>
      </c>
      <c r="B64" s="27" t="s">
        <v>131</v>
      </c>
      <c r="C64" s="37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  <c r="Q64" s="38">
        <v>0</v>
      </c>
      <c r="R64" s="38">
        <v>0</v>
      </c>
      <c r="S64" s="61">
        <v>0</v>
      </c>
      <c r="T64" s="83">
        <f t="shared" si="4"/>
        <v>0</v>
      </c>
      <c r="U64" s="72">
        <v>0</v>
      </c>
      <c r="V64" s="38">
        <v>0</v>
      </c>
      <c r="W64" s="38">
        <v>0</v>
      </c>
      <c r="X64" s="38">
        <v>0</v>
      </c>
      <c r="Y64" s="38">
        <v>0</v>
      </c>
      <c r="Z64" s="38">
        <v>0</v>
      </c>
      <c r="AA64" s="38">
        <v>0</v>
      </c>
      <c r="AB64" s="38">
        <v>0</v>
      </c>
      <c r="AC64" s="39">
        <v>0</v>
      </c>
      <c r="AD64" s="83">
        <f t="shared" si="5"/>
        <v>0</v>
      </c>
      <c r="AE64" s="94">
        <v>0</v>
      </c>
      <c r="AF64" s="83">
        <f t="shared" si="6"/>
        <v>0</v>
      </c>
      <c r="AG64" s="83">
        <f t="shared" si="7"/>
        <v>0</v>
      </c>
      <c r="AI64"/>
    </row>
    <row r="65" spans="1:35">
      <c r="A65" s="1" t="s">
        <v>3</v>
      </c>
      <c r="B65" s="6" t="s">
        <v>132</v>
      </c>
      <c r="C65" s="21">
        <v>209663</v>
      </c>
      <c r="D65" s="22">
        <v>153812</v>
      </c>
      <c r="E65" s="22">
        <v>279378</v>
      </c>
      <c r="F65" s="22">
        <v>249659</v>
      </c>
      <c r="G65" s="22">
        <v>206133</v>
      </c>
      <c r="H65" s="22">
        <v>237558</v>
      </c>
      <c r="I65" s="22">
        <v>234829</v>
      </c>
      <c r="J65" s="22">
        <v>221430</v>
      </c>
      <c r="K65" s="22">
        <v>234522</v>
      </c>
      <c r="L65" s="22">
        <v>289233</v>
      </c>
      <c r="M65" s="22">
        <v>205804</v>
      </c>
      <c r="N65" s="22">
        <v>8406</v>
      </c>
      <c r="O65" s="22">
        <v>209602</v>
      </c>
      <c r="P65" s="22">
        <v>242087</v>
      </c>
      <c r="Q65" s="22">
        <v>167744</v>
      </c>
      <c r="R65" s="22">
        <v>170173</v>
      </c>
      <c r="S65" s="62">
        <v>181092</v>
      </c>
      <c r="T65" s="84">
        <f t="shared" si="4"/>
        <v>3501125</v>
      </c>
      <c r="U65" s="73">
        <v>288031</v>
      </c>
      <c r="V65" s="22">
        <v>271287</v>
      </c>
      <c r="W65" s="22">
        <v>85991</v>
      </c>
      <c r="X65" s="22">
        <v>83085</v>
      </c>
      <c r="Y65" s="22">
        <v>79152</v>
      </c>
      <c r="Z65" s="22">
        <v>83686</v>
      </c>
      <c r="AA65" s="22">
        <v>77885</v>
      </c>
      <c r="AB65" s="22">
        <v>31048</v>
      </c>
      <c r="AC65" s="23">
        <v>76447</v>
      </c>
      <c r="AD65" s="84">
        <f t="shared" si="5"/>
        <v>1076612</v>
      </c>
      <c r="AE65" s="95">
        <v>296912</v>
      </c>
      <c r="AF65" s="84">
        <f t="shared" si="6"/>
        <v>296912</v>
      </c>
      <c r="AG65" s="84">
        <f t="shared" si="7"/>
        <v>4874649</v>
      </c>
      <c r="AI65"/>
    </row>
    <row r="66" spans="1:35">
      <c r="A66" s="1" t="s">
        <v>3</v>
      </c>
      <c r="B66" s="6" t="s">
        <v>133</v>
      </c>
      <c r="C66" s="21">
        <v>1</v>
      </c>
      <c r="D66" s="22">
        <v>0</v>
      </c>
      <c r="E66" s="22">
        <v>1</v>
      </c>
      <c r="F66" s="22">
        <v>0</v>
      </c>
      <c r="G66" s="22">
        <v>1</v>
      </c>
      <c r="H66" s="22">
        <v>0</v>
      </c>
      <c r="I66" s="22">
        <v>0</v>
      </c>
      <c r="J66" s="22">
        <v>1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3</v>
      </c>
      <c r="Q66" s="22">
        <v>0</v>
      </c>
      <c r="R66" s="22">
        <v>0</v>
      </c>
      <c r="S66" s="62">
        <v>0</v>
      </c>
      <c r="T66" s="84"/>
      <c r="U66" s="73">
        <v>0</v>
      </c>
      <c r="V66" s="22">
        <v>1</v>
      </c>
      <c r="W66" s="22">
        <v>0</v>
      </c>
      <c r="X66" s="22">
        <v>0</v>
      </c>
      <c r="Y66" s="22">
        <v>1</v>
      </c>
      <c r="Z66" s="22">
        <v>1</v>
      </c>
      <c r="AA66" s="22">
        <v>1</v>
      </c>
      <c r="AB66" s="22">
        <v>1</v>
      </c>
      <c r="AC66" s="23">
        <v>1</v>
      </c>
      <c r="AD66" s="84"/>
      <c r="AE66" s="95">
        <v>0</v>
      </c>
      <c r="AF66" s="84"/>
      <c r="AG66" s="10"/>
    </row>
    <row r="67" spans="1:35" ht="19.5" thickBot="1">
      <c r="A67" s="1" t="s">
        <v>3</v>
      </c>
      <c r="B67" s="7" t="s">
        <v>134</v>
      </c>
      <c r="C67" s="24" t="s">
        <v>135</v>
      </c>
      <c r="D67" s="25" t="s">
        <v>135</v>
      </c>
      <c r="E67" s="25" t="s">
        <v>135</v>
      </c>
      <c r="F67" s="25" t="s">
        <v>135</v>
      </c>
      <c r="G67" s="25" t="s">
        <v>135</v>
      </c>
      <c r="H67" s="25" t="s">
        <v>135</v>
      </c>
      <c r="I67" s="25" t="s">
        <v>135</v>
      </c>
      <c r="J67" s="25" t="s">
        <v>135</v>
      </c>
      <c r="K67" s="25" t="s">
        <v>135</v>
      </c>
      <c r="L67" s="25" t="s">
        <v>135</v>
      </c>
      <c r="M67" s="25" t="s">
        <v>135</v>
      </c>
      <c r="N67" s="25" t="s">
        <v>135</v>
      </c>
      <c r="O67" s="25" t="s">
        <v>135</v>
      </c>
      <c r="P67" s="25" t="s">
        <v>135</v>
      </c>
      <c r="Q67" s="25" t="s">
        <v>135</v>
      </c>
      <c r="R67" s="25" t="s">
        <v>135</v>
      </c>
      <c r="S67" s="65" t="s">
        <v>135</v>
      </c>
      <c r="T67" s="87"/>
      <c r="U67" s="76" t="s">
        <v>135</v>
      </c>
      <c r="V67" s="25" t="s">
        <v>135</v>
      </c>
      <c r="W67" s="25" t="s">
        <v>135</v>
      </c>
      <c r="X67" s="25" t="s">
        <v>135</v>
      </c>
      <c r="Y67" s="25" t="s">
        <v>135</v>
      </c>
      <c r="Z67" s="25" t="s">
        <v>135</v>
      </c>
      <c r="AA67" s="25" t="s">
        <v>135</v>
      </c>
      <c r="AB67" s="25" t="s">
        <v>135</v>
      </c>
      <c r="AC67" s="26" t="s">
        <v>135</v>
      </c>
      <c r="AD67" s="87"/>
      <c r="AE67" s="98" t="s">
        <v>135</v>
      </c>
      <c r="AF67" s="87"/>
      <c r="AG67" s="11"/>
    </row>
  </sheetData>
  <phoneticPr fontId="4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0AE0-1639-44FA-9EC4-52189327FAF2}">
  <sheetPr>
    <pageSetUpPr fitToPage="1"/>
  </sheetPr>
  <dimension ref="A1:O67"/>
  <sheetViews>
    <sheetView showZeros="0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G18" sqref="G18"/>
    </sheetView>
  </sheetViews>
  <sheetFormatPr defaultRowHeight="18.75"/>
  <cols>
    <col min="1" max="1" width="2.375" style="2" customWidth="1"/>
    <col min="2" max="2" width="13.25" style="2" bestFit="1" customWidth="1"/>
    <col min="3" max="15" width="11.625" style="2" customWidth="1"/>
    <col min="16" max="239" width="9" style="2"/>
    <col min="240" max="240" width="2.375" style="2" customWidth="1"/>
    <col min="241" max="241" width="13.25" style="2" bestFit="1" customWidth="1"/>
    <col min="242" max="243" width="11.125" style="2" bestFit="1" customWidth="1"/>
    <col min="244" max="244" width="13.25" style="2" bestFit="1" customWidth="1"/>
    <col min="245" max="245" width="11.125" style="2" bestFit="1" customWidth="1"/>
    <col min="246" max="246" width="9" style="2"/>
    <col min="247" max="247" width="11.125" style="2" bestFit="1" customWidth="1"/>
    <col min="248" max="248" width="9" style="2"/>
    <col min="249" max="259" width="11.125" style="2" bestFit="1" customWidth="1"/>
    <col min="260" max="261" width="9" style="2"/>
    <col min="262" max="269" width="11.125" style="2" bestFit="1" customWidth="1"/>
    <col min="270" max="270" width="9.625" style="2" bestFit="1" customWidth="1"/>
    <col min="271" max="495" width="9" style="2"/>
    <col min="496" max="496" width="2.375" style="2" customWidth="1"/>
    <col min="497" max="497" width="13.25" style="2" bestFit="1" customWidth="1"/>
    <col min="498" max="499" width="11.125" style="2" bestFit="1" customWidth="1"/>
    <col min="500" max="500" width="13.25" style="2" bestFit="1" customWidth="1"/>
    <col min="501" max="501" width="11.125" style="2" bestFit="1" customWidth="1"/>
    <col min="502" max="502" width="9" style="2"/>
    <col min="503" max="503" width="11.125" style="2" bestFit="1" customWidth="1"/>
    <col min="504" max="504" width="9" style="2"/>
    <col min="505" max="515" width="11.125" style="2" bestFit="1" customWidth="1"/>
    <col min="516" max="517" width="9" style="2"/>
    <col min="518" max="525" width="11.125" style="2" bestFit="1" customWidth="1"/>
    <col min="526" max="526" width="9.625" style="2" bestFit="1" customWidth="1"/>
    <col min="527" max="751" width="9" style="2"/>
    <col min="752" max="752" width="2.375" style="2" customWidth="1"/>
    <col min="753" max="753" width="13.25" style="2" bestFit="1" customWidth="1"/>
    <col min="754" max="755" width="11.125" style="2" bestFit="1" customWidth="1"/>
    <col min="756" max="756" width="13.25" style="2" bestFit="1" customWidth="1"/>
    <col min="757" max="757" width="11.125" style="2" bestFit="1" customWidth="1"/>
    <col min="758" max="758" width="9" style="2"/>
    <col min="759" max="759" width="11.125" style="2" bestFit="1" customWidth="1"/>
    <col min="760" max="760" width="9" style="2"/>
    <col min="761" max="771" width="11.125" style="2" bestFit="1" customWidth="1"/>
    <col min="772" max="773" width="9" style="2"/>
    <col min="774" max="781" width="11.125" style="2" bestFit="1" customWidth="1"/>
    <col min="782" max="782" width="9.625" style="2" bestFit="1" customWidth="1"/>
    <col min="783" max="1007" width="9" style="2"/>
    <col min="1008" max="1008" width="2.375" style="2" customWidth="1"/>
    <col min="1009" max="1009" width="13.25" style="2" bestFit="1" customWidth="1"/>
    <col min="1010" max="1011" width="11.125" style="2" bestFit="1" customWidth="1"/>
    <col min="1012" max="1012" width="13.25" style="2" bestFit="1" customWidth="1"/>
    <col min="1013" max="1013" width="11.125" style="2" bestFit="1" customWidth="1"/>
    <col min="1014" max="1014" width="9" style="2"/>
    <col min="1015" max="1015" width="11.125" style="2" bestFit="1" customWidth="1"/>
    <col min="1016" max="1016" width="9" style="2"/>
    <col min="1017" max="1027" width="11.125" style="2" bestFit="1" customWidth="1"/>
    <col min="1028" max="1029" width="9" style="2"/>
    <col min="1030" max="1037" width="11.125" style="2" bestFit="1" customWidth="1"/>
    <col min="1038" max="1038" width="9.625" style="2" bestFit="1" customWidth="1"/>
    <col min="1039" max="1263" width="9" style="2"/>
    <col min="1264" max="1264" width="2.375" style="2" customWidth="1"/>
    <col min="1265" max="1265" width="13.25" style="2" bestFit="1" customWidth="1"/>
    <col min="1266" max="1267" width="11.125" style="2" bestFit="1" customWidth="1"/>
    <col min="1268" max="1268" width="13.25" style="2" bestFit="1" customWidth="1"/>
    <col min="1269" max="1269" width="11.125" style="2" bestFit="1" customWidth="1"/>
    <col min="1270" max="1270" width="9" style="2"/>
    <col min="1271" max="1271" width="11.125" style="2" bestFit="1" customWidth="1"/>
    <col min="1272" max="1272" width="9" style="2"/>
    <col min="1273" max="1283" width="11.125" style="2" bestFit="1" customWidth="1"/>
    <col min="1284" max="1285" width="9" style="2"/>
    <col min="1286" max="1293" width="11.125" style="2" bestFit="1" customWidth="1"/>
    <col min="1294" max="1294" width="9.625" style="2" bestFit="1" customWidth="1"/>
    <col min="1295" max="1519" width="9" style="2"/>
    <col min="1520" max="1520" width="2.375" style="2" customWidth="1"/>
    <col min="1521" max="1521" width="13.25" style="2" bestFit="1" customWidth="1"/>
    <col min="1522" max="1523" width="11.125" style="2" bestFit="1" customWidth="1"/>
    <col min="1524" max="1524" width="13.25" style="2" bestFit="1" customWidth="1"/>
    <col min="1525" max="1525" width="11.125" style="2" bestFit="1" customWidth="1"/>
    <col min="1526" max="1526" width="9" style="2"/>
    <col min="1527" max="1527" width="11.125" style="2" bestFit="1" customWidth="1"/>
    <col min="1528" max="1528" width="9" style="2"/>
    <col min="1529" max="1539" width="11.125" style="2" bestFit="1" customWidth="1"/>
    <col min="1540" max="1541" width="9" style="2"/>
    <col min="1542" max="1549" width="11.125" style="2" bestFit="1" customWidth="1"/>
    <col min="1550" max="1550" width="9.625" style="2" bestFit="1" customWidth="1"/>
    <col min="1551" max="1775" width="9" style="2"/>
    <col min="1776" max="1776" width="2.375" style="2" customWidth="1"/>
    <col min="1777" max="1777" width="13.25" style="2" bestFit="1" customWidth="1"/>
    <col min="1778" max="1779" width="11.125" style="2" bestFit="1" customWidth="1"/>
    <col min="1780" max="1780" width="13.25" style="2" bestFit="1" customWidth="1"/>
    <col min="1781" max="1781" width="11.125" style="2" bestFit="1" customWidth="1"/>
    <col min="1782" max="1782" width="9" style="2"/>
    <col min="1783" max="1783" width="11.125" style="2" bestFit="1" customWidth="1"/>
    <col min="1784" max="1784" width="9" style="2"/>
    <col min="1785" max="1795" width="11.125" style="2" bestFit="1" customWidth="1"/>
    <col min="1796" max="1797" width="9" style="2"/>
    <col min="1798" max="1805" width="11.125" style="2" bestFit="1" customWidth="1"/>
    <col min="1806" max="1806" width="9.625" style="2" bestFit="1" customWidth="1"/>
    <col min="1807" max="2031" width="9" style="2"/>
    <col min="2032" max="2032" width="2.375" style="2" customWidth="1"/>
    <col min="2033" max="2033" width="13.25" style="2" bestFit="1" customWidth="1"/>
    <col min="2034" max="2035" width="11.125" style="2" bestFit="1" customWidth="1"/>
    <col min="2036" max="2036" width="13.25" style="2" bestFit="1" customWidth="1"/>
    <col min="2037" max="2037" width="11.125" style="2" bestFit="1" customWidth="1"/>
    <col min="2038" max="2038" width="9" style="2"/>
    <col min="2039" max="2039" width="11.125" style="2" bestFit="1" customWidth="1"/>
    <col min="2040" max="2040" width="9" style="2"/>
    <col min="2041" max="2051" width="11.125" style="2" bestFit="1" customWidth="1"/>
    <col min="2052" max="2053" width="9" style="2"/>
    <col min="2054" max="2061" width="11.125" style="2" bestFit="1" customWidth="1"/>
    <col min="2062" max="2062" width="9.625" style="2" bestFit="1" customWidth="1"/>
    <col min="2063" max="2287" width="9" style="2"/>
    <col min="2288" max="2288" width="2.375" style="2" customWidth="1"/>
    <col min="2289" max="2289" width="13.25" style="2" bestFit="1" customWidth="1"/>
    <col min="2290" max="2291" width="11.125" style="2" bestFit="1" customWidth="1"/>
    <col min="2292" max="2292" width="13.25" style="2" bestFit="1" customWidth="1"/>
    <col min="2293" max="2293" width="11.125" style="2" bestFit="1" customWidth="1"/>
    <col min="2294" max="2294" width="9" style="2"/>
    <col min="2295" max="2295" width="11.125" style="2" bestFit="1" customWidth="1"/>
    <col min="2296" max="2296" width="9" style="2"/>
    <col min="2297" max="2307" width="11.125" style="2" bestFit="1" customWidth="1"/>
    <col min="2308" max="2309" width="9" style="2"/>
    <col min="2310" max="2317" width="11.125" style="2" bestFit="1" customWidth="1"/>
    <col min="2318" max="2318" width="9.625" style="2" bestFit="1" customWidth="1"/>
    <col min="2319" max="2543" width="9" style="2"/>
    <col min="2544" max="2544" width="2.375" style="2" customWidth="1"/>
    <col min="2545" max="2545" width="13.25" style="2" bestFit="1" customWidth="1"/>
    <col min="2546" max="2547" width="11.125" style="2" bestFit="1" customWidth="1"/>
    <col min="2548" max="2548" width="13.25" style="2" bestFit="1" customWidth="1"/>
    <col min="2549" max="2549" width="11.125" style="2" bestFit="1" customWidth="1"/>
    <col min="2550" max="2550" width="9" style="2"/>
    <col min="2551" max="2551" width="11.125" style="2" bestFit="1" customWidth="1"/>
    <col min="2552" max="2552" width="9" style="2"/>
    <col min="2553" max="2563" width="11.125" style="2" bestFit="1" customWidth="1"/>
    <col min="2564" max="2565" width="9" style="2"/>
    <col min="2566" max="2573" width="11.125" style="2" bestFit="1" customWidth="1"/>
    <col min="2574" max="2574" width="9.625" style="2" bestFit="1" customWidth="1"/>
    <col min="2575" max="2799" width="9" style="2"/>
    <col min="2800" max="2800" width="2.375" style="2" customWidth="1"/>
    <col min="2801" max="2801" width="13.25" style="2" bestFit="1" customWidth="1"/>
    <col min="2802" max="2803" width="11.125" style="2" bestFit="1" customWidth="1"/>
    <col min="2804" max="2804" width="13.25" style="2" bestFit="1" customWidth="1"/>
    <col min="2805" max="2805" width="11.125" style="2" bestFit="1" customWidth="1"/>
    <col min="2806" max="2806" width="9" style="2"/>
    <col min="2807" max="2807" width="11.125" style="2" bestFit="1" customWidth="1"/>
    <col min="2808" max="2808" width="9" style="2"/>
    <col min="2809" max="2819" width="11.125" style="2" bestFit="1" customWidth="1"/>
    <col min="2820" max="2821" width="9" style="2"/>
    <col min="2822" max="2829" width="11.125" style="2" bestFit="1" customWidth="1"/>
    <col min="2830" max="2830" width="9.625" style="2" bestFit="1" customWidth="1"/>
    <col min="2831" max="3055" width="9" style="2"/>
    <col min="3056" max="3056" width="2.375" style="2" customWidth="1"/>
    <col min="3057" max="3057" width="13.25" style="2" bestFit="1" customWidth="1"/>
    <col min="3058" max="3059" width="11.125" style="2" bestFit="1" customWidth="1"/>
    <col min="3060" max="3060" width="13.25" style="2" bestFit="1" customWidth="1"/>
    <col min="3061" max="3061" width="11.125" style="2" bestFit="1" customWidth="1"/>
    <col min="3062" max="3062" width="9" style="2"/>
    <col min="3063" max="3063" width="11.125" style="2" bestFit="1" customWidth="1"/>
    <col min="3064" max="3064" width="9" style="2"/>
    <col min="3065" max="3075" width="11.125" style="2" bestFit="1" customWidth="1"/>
    <col min="3076" max="3077" width="9" style="2"/>
    <col min="3078" max="3085" width="11.125" style="2" bestFit="1" customWidth="1"/>
    <col min="3086" max="3086" width="9.625" style="2" bestFit="1" customWidth="1"/>
    <col min="3087" max="3311" width="9" style="2"/>
    <col min="3312" max="3312" width="2.375" style="2" customWidth="1"/>
    <col min="3313" max="3313" width="13.25" style="2" bestFit="1" customWidth="1"/>
    <col min="3314" max="3315" width="11.125" style="2" bestFit="1" customWidth="1"/>
    <col min="3316" max="3316" width="13.25" style="2" bestFit="1" customWidth="1"/>
    <col min="3317" max="3317" width="11.125" style="2" bestFit="1" customWidth="1"/>
    <col min="3318" max="3318" width="9" style="2"/>
    <col min="3319" max="3319" width="11.125" style="2" bestFit="1" customWidth="1"/>
    <col min="3320" max="3320" width="9" style="2"/>
    <col min="3321" max="3331" width="11.125" style="2" bestFit="1" customWidth="1"/>
    <col min="3332" max="3333" width="9" style="2"/>
    <col min="3334" max="3341" width="11.125" style="2" bestFit="1" customWidth="1"/>
    <col min="3342" max="3342" width="9.625" style="2" bestFit="1" customWidth="1"/>
    <col min="3343" max="3567" width="9" style="2"/>
    <col min="3568" max="3568" width="2.375" style="2" customWidth="1"/>
    <col min="3569" max="3569" width="13.25" style="2" bestFit="1" customWidth="1"/>
    <col min="3570" max="3571" width="11.125" style="2" bestFit="1" customWidth="1"/>
    <col min="3572" max="3572" width="13.25" style="2" bestFit="1" customWidth="1"/>
    <col min="3573" max="3573" width="11.125" style="2" bestFit="1" customWidth="1"/>
    <col min="3574" max="3574" width="9" style="2"/>
    <col min="3575" max="3575" width="11.125" style="2" bestFit="1" customWidth="1"/>
    <col min="3576" max="3576" width="9" style="2"/>
    <col min="3577" max="3587" width="11.125" style="2" bestFit="1" customWidth="1"/>
    <col min="3588" max="3589" width="9" style="2"/>
    <col min="3590" max="3597" width="11.125" style="2" bestFit="1" customWidth="1"/>
    <col min="3598" max="3598" width="9.625" style="2" bestFit="1" customWidth="1"/>
    <col min="3599" max="3823" width="9" style="2"/>
    <col min="3824" max="3824" width="2.375" style="2" customWidth="1"/>
    <col min="3825" max="3825" width="13.25" style="2" bestFit="1" customWidth="1"/>
    <col min="3826" max="3827" width="11.125" style="2" bestFit="1" customWidth="1"/>
    <col min="3828" max="3828" width="13.25" style="2" bestFit="1" customWidth="1"/>
    <col min="3829" max="3829" width="11.125" style="2" bestFit="1" customWidth="1"/>
    <col min="3830" max="3830" width="9" style="2"/>
    <col min="3831" max="3831" width="11.125" style="2" bestFit="1" customWidth="1"/>
    <col min="3832" max="3832" width="9" style="2"/>
    <col min="3833" max="3843" width="11.125" style="2" bestFit="1" customWidth="1"/>
    <col min="3844" max="3845" width="9" style="2"/>
    <col min="3846" max="3853" width="11.125" style="2" bestFit="1" customWidth="1"/>
    <col min="3854" max="3854" width="9.625" style="2" bestFit="1" customWidth="1"/>
    <col min="3855" max="4079" width="9" style="2"/>
    <col min="4080" max="4080" width="2.375" style="2" customWidth="1"/>
    <col min="4081" max="4081" width="13.25" style="2" bestFit="1" customWidth="1"/>
    <col min="4082" max="4083" width="11.125" style="2" bestFit="1" customWidth="1"/>
    <col min="4084" max="4084" width="13.25" style="2" bestFit="1" customWidth="1"/>
    <col min="4085" max="4085" width="11.125" style="2" bestFit="1" customWidth="1"/>
    <col min="4086" max="4086" width="9" style="2"/>
    <col min="4087" max="4087" width="11.125" style="2" bestFit="1" customWidth="1"/>
    <col min="4088" max="4088" width="9" style="2"/>
    <col min="4089" max="4099" width="11.125" style="2" bestFit="1" customWidth="1"/>
    <col min="4100" max="4101" width="9" style="2"/>
    <col min="4102" max="4109" width="11.125" style="2" bestFit="1" customWidth="1"/>
    <col min="4110" max="4110" width="9.625" style="2" bestFit="1" customWidth="1"/>
    <col min="4111" max="4335" width="9" style="2"/>
    <col min="4336" max="4336" width="2.375" style="2" customWidth="1"/>
    <col min="4337" max="4337" width="13.25" style="2" bestFit="1" customWidth="1"/>
    <col min="4338" max="4339" width="11.125" style="2" bestFit="1" customWidth="1"/>
    <col min="4340" max="4340" width="13.25" style="2" bestFit="1" customWidth="1"/>
    <col min="4341" max="4341" width="11.125" style="2" bestFit="1" customWidth="1"/>
    <col min="4342" max="4342" width="9" style="2"/>
    <col min="4343" max="4343" width="11.125" style="2" bestFit="1" customWidth="1"/>
    <col min="4344" max="4344" width="9" style="2"/>
    <col min="4345" max="4355" width="11.125" style="2" bestFit="1" customWidth="1"/>
    <col min="4356" max="4357" width="9" style="2"/>
    <col min="4358" max="4365" width="11.125" style="2" bestFit="1" customWidth="1"/>
    <col min="4366" max="4366" width="9.625" style="2" bestFit="1" customWidth="1"/>
    <col min="4367" max="4591" width="9" style="2"/>
    <col min="4592" max="4592" width="2.375" style="2" customWidth="1"/>
    <col min="4593" max="4593" width="13.25" style="2" bestFit="1" customWidth="1"/>
    <col min="4594" max="4595" width="11.125" style="2" bestFit="1" customWidth="1"/>
    <col min="4596" max="4596" width="13.25" style="2" bestFit="1" customWidth="1"/>
    <col min="4597" max="4597" width="11.125" style="2" bestFit="1" customWidth="1"/>
    <col min="4598" max="4598" width="9" style="2"/>
    <col min="4599" max="4599" width="11.125" style="2" bestFit="1" customWidth="1"/>
    <col min="4600" max="4600" width="9" style="2"/>
    <col min="4601" max="4611" width="11.125" style="2" bestFit="1" customWidth="1"/>
    <col min="4612" max="4613" width="9" style="2"/>
    <col min="4614" max="4621" width="11.125" style="2" bestFit="1" customWidth="1"/>
    <col min="4622" max="4622" width="9.625" style="2" bestFit="1" customWidth="1"/>
    <col min="4623" max="4847" width="9" style="2"/>
    <col min="4848" max="4848" width="2.375" style="2" customWidth="1"/>
    <col min="4849" max="4849" width="13.25" style="2" bestFit="1" customWidth="1"/>
    <col min="4850" max="4851" width="11.125" style="2" bestFit="1" customWidth="1"/>
    <col min="4852" max="4852" width="13.25" style="2" bestFit="1" customWidth="1"/>
    <col min="4853" max="4853" width="11.125" style="2" bestFit="1" customWidth="1"/>
    <col min="4854" max="4854" width="9" style="2"/>
    <col min="4855" max="4855" width="11.125" style="2" bestFit="1" customWidth="1"/>
    <col min="4856" max="4856" width="9" style="2"/>
    <col min="4857" max="4867" width="11.125" style="2" bestFit="1" customWidth="1"/>
    <col min="4868" max="4869" width="9" style="2"/>
    <col min="4870" max="4877" width="11.125" style="2" bestFit="1" customWidth="1"/>
    <col min="4878" max="4878" width="9.625" style="2" bestFit="1" customWidth="1"/>
    <col min="4879" max="5103" width="9" style="2"/>
    <col min="5104" max="5104" width="2.375" style="2" customWidth="1"/>
    <col min="5105" max="5105" width="13.25" style="2" bestFit="1" customWidth="1"/>
    <col min="5106" max="5107" width="11.125" style="2" bestFit="1" customWidth="1"/>
    <col min="5108" max="5108" width="13.25" style="2" bestFit="1" customWidth="1"/>
    <col min="5109" max="5109" width="11.125" style="2" bestFit="1" customWidth="1"/>
    <col min="5110" max="5110" width="9" style="2"/>
    <col min="5111" max="5111" width="11.125" style="2" bestFit="1" customWidth="1"/>
    <col min="5112" max="5112" width="9" style="2"/>
    <col min="5113" max="5123" width="11.125" style="2" bestFit="1" customWidth="1"/>
    <col min="5124" max="5125" width="9" style="2"/>
    <col min="5126" max="5133" width="11.125" style="2" bestFit="1" customWidth="1"/>
    <col min="5134" max="5134" width="9.625" style="2" bestFit="1" customWidth="1"/>
    <col min="5135" max="5359" width="9" style="2"/>
    <col min="5360" max="5360" width="2.375" style="2" customWidth="1"/>
    <col min="5361" max="5361" width="13.25" style="2" bestFit="1" customWidth="1"/>
    <col min="5362" max="5363" width="11.125" style="2" bestFit="1" customWidth="1"/>
    <col min="5364" max="5364" width="13.25" style="2" bestFit="1" customWidth="1"/>
    <col min="5365" max="5365" width="11.125" style="2" bestFit="1" customWidth="1"/>
    <col min="5366" max="5366" width="9" style="2"/>
    <col min="5367" max="5367" width="11.125" style="2" bestFit="1" customWidth="1"/>
    <col min="5368" max="5368" width="9" style="2"/>
    <col min="5369" max="5379" width="11.125" style="2" bestFit="1" customWidth="1"/>
    <col min="5380" max="5381" width="9" style="2"/>
    <col min="5382" max="5389" width="11.125" style="2" bestFit="1" customWidth="1"/>
    <col min="5390" max="5390" width="9.625" style="2" bestFit="1" customWidth="1"/>
    <col min="5391" max="5615" width="9" style="2"/>
    <col min="5616" max="5616" width="2.375" style="2" customWidth="1"/>
    <col min="5617" max="5617" width="13.25" style="2" bestFit="1" customWidth="1"/>
    <col min="5618" max="5619" width="11.125" style="2" bestFit="1" customWidth="1"/>
    <col min="5620" max="5620" width="13.25" style="2" bestFit="1" customWidth="1"/>
    <col min="5621" max="5621" width="11.125" style="2" bestFit="1" customWidth="1"/>
    <col min="5622" max="5622" width="9" style="2"/>
    <col min="5623" max="5623" width="11.125" style="2" bestFit="1" customWidth="1"/>
    <col min="5624" max="5624" width="9" style="2"/>
    <col min="5625" max="5635" width="11.125" style="2" bestFit="1" customWidth="1"/>
    <col min="5636" max="5637" width="9" style="2"/>
    <col min="5638" max="5645" width="11.125" style="2" bestFit="1" customWidth="1"/>
    <col min="5646" max="5646" width="9.625" style="2" bestFit="1" customWidth="1"/>
    <col min="5647" max="5871" width="9" style="2"/>
    <col min="5872" max="5872" width="2.375" style="2" customWidth="1"/>
    <col min="5873" max="5873" width="13.25" style="2" bestFit="1" customWidth="1"/>
    <col min="5874" max="5875" width="11.125" style="2" bestFit="1" customWidth="1"/>
    <col min="5876" max="5876" width="13.25" style="2" bestFit="1" customWidth="1"/>
    <col min="5877" max="5877" width="11.125" style="2" bestFit="1" customWidth="1"/>
    <col min="5878" max="5878" width="9" style="2"/>
    <col min="5879" max="5879" width="11.125" style="2" bestFit="1" customWidth="1"/>
    <col min="5880" max="5880" width="9" style="2"/>
    <col min="5881" max="5891" width="11.125" style="2" bestFit="1" customWidth="1"/>
    <col min="5892" max="5893" width="9" style="2"/>
    <col min="5894" max="5901" width="11.125" style="2" bestFit="1" customWidth="1"/>
    <col min="5902" max="5902" width="9.625" style="2" bestFit="1" customWidth="1"/>
    <col min="5903" max="6127" width="9" style="2"/>
    <col min="6128" max="6128" width="2.375" style="2" customWidth="1"/>
    <col min="6129" max="6129" width="13.25" style="2" bestFit="1" customWidth="1"/>
    <col min="6130" max="6131" width="11.125" style="2" bestFit="1" customWidth="1"/>
    <col min="6132" max="6132" width="13.25" style="2" bestFit="1" customWidth="1"/>
    <col min="6133" max="6133" width="11.125" style="2" bestFit="1" customWidth="1"/>
    <col min="6134" max="6134" width="9" style="2"/>
    <col min="6135" max="6135" width="11.125" style="2" bestFit="1" customWidth="1"/>
    <col min="6136" max="6136" width="9" style="2"/>
    <col min="6137" max="6147" width="11.125" style="2" bestFit="1" customWidth="1"/>
    <col min="6148" max="6149" width="9" style="2"/>
    <col min="6150" max="6157" width="11.125" style="2" bestFit="1" customWidth="1"/>
    <col min="6158" max="6158" width="9.625" style="2" bestFit="1" customWidth="1"/>
    <col min="6159" max="6383" width="9" style="2"/>
    <col min="6384" max="6384" width="2.375" style="2" customWidth="1"/>
    <col min="6385" max="6385" width="13.25" style="2" bestFit="1" customWidth="1"/>
    <col min="6386" max="6387" width="11.125" style="2" bestFit="1" customWidth="1"/>
    <col min="6388" max="6388" width="13.25" style="2" bestFit="1" customWidth="1"/>
    <col min="6389" max="6389" width="11.125" style="2" bestFit="1" customWidth="1"/>
    <col min="6390" max="6390" width="9" style="2"/>
    <col min="6391" max="6391" width="11.125" style="2" bestFit="1" customWidth="1"/>
    <col min="6392" max="6392" width="9" style="2"/>
    <col min="6393" max="6403" width="11.125" style="2" bestFit="1" customWidth="1"/>
    <col min="6404" max="6405" width="9" style="2"/>
    <col min="6406" max="6413" width="11.125" style="2" bestFit="1" customWidth="1"/>
    <col min="6414" max="6414" width="9.625" style="2" bestFit="1" customWidth="1"/>
    <col min="6415" max="6639" width="9" style="2"/>
    <col min="6640" max="6640" width="2.375" style="2" customWidth="1"/>
    <col min="6641" max="6641" width="13.25" style="2" bestFit="1" customWidth="1"/>
    <col min="6642" max="6643" width="11.125" style="2" bestFit="1" customWidth="1"/>
    <col min="6644" max="6644" width="13.25" style="2" bestFit="1" customWidth="1"/>
    <col min="6645" max="6645" width="11.125" style="2" bestFit="1" customWidth="1"/>
    <col min="6646" max="6646" width="9" style="2"/>
    <col min="6647" max="6647" width="11.125" style="2" bestFit="1" customWidth="1"/>
    <col min="6648" max="6648" width="9" style="2"/>
    <col min="6649" max="6659" width="11.125" style="2" bestFit="1" customWidth="1"/>
    <col min="6660" max="6661" width="9" style="2"/>
    <col min="6662" max="6669" width="11.125" style="2" bestFit="1" customWidth="1"/>
    <col min="6670" max="6670" width="9.625" style="2" bestFit="1" customWidth="1"/>
    <col min="6671" max="6895" width="9" style="2"/>
    <col min="6896" max="6896" width="2.375" style="2" customWidth="1"/>
    <col min="6897" max="6897" width="13.25" style="2" bestFit="1" customWidth="1"/>
    <col min="6898" max="6899" width="11.125" style="2" bestFit="1" customWidth="1"/>
    <col min="6900" max="6900" width="13.25" style="2" bestFit="1" customWidth="1"/>
    <col min="6901" max="6901" width="11.125" style="2" bestFit="1" customWidth="1"/>
    <col min="6902" max="6902" width="9" style="2"/>
    <col min="6903" max="6903" width="11.125" style="2" bestFit="1" customWidth="1"/>
    <col min="6904" max="6904" width="9" style="2"/>
    <col min="6905" max="6915" width="11.125" style="2" bestFit="1" customWidth="1"/>
    <col min="6916" max="6917" width="9" style="2"/>
    <col min="6918" max="6925" width="11.125" style="2" bestFit="1" customWidth="1"/>
    <col min="6926" max="6926" width="9.625" style="2" bestFit="1" customWidth="1"/>
    <col min="6927" max="7151" width="9" style="2"/>
    <col min="7152" max="7152" width="2.375" style="2" customWidth="1"/>
    <col min="7153" max="7153" width="13.25" style="2" bestFit="1" customWidth="1"/>
    <col min="7154" max="7155" width="11.125" style="2" bestFit="1" customWidth="1"/>
    <col min="7156" max="7156" width="13.25" style="2" bestFit="1" customWidth="1"/>
    <col min="7157" max="7157" width="11.125" style="2" bestFit="1" customWidth="1"/>
    <col min="7158" max="7158" width="9" style="2"/>
    <col min="7159" max="7159" width="11.125" style="2" bestFit="1" customWidth="1"/>
    <col min="7160" max="7160" width="9" style="2"/>
    <col min="7161" max="7171" width="11.125" style="2" bestFit="1" customWidth="1"/>
    <col min="7172" max="7173" width="9" style="2"/>
    <col min="7174" max="7181" width="11.125" style="2" bestFit="1" customWidth="1"/>
    <col min="7182" max="7182" width="9.625" style="2" bestFit="1" customWidth="1"/>
    <col min="7183" max="7407" width="9" style="2"/>
    <col min="7408" max="7408" width="2.375" style="2" customWidth="1"/>
    <col min="7409" max="7409" width="13.25" style="2" bestFit="1" customWidth="1"/>
    <col min="7410" max="7411" width="11.125" style="2" bestFit="1" customWidth="1"/>
    <col min="7412" max="7412" width="13.25" style="2" bestFit="1" customWidth="1"/>
    <col min="7413" max="7413" width="11.125" style="2" bestFit="1" customWidth="1"/>
    <col min="7414" max="7414" width="9" style="2"/>
    <col min="7415" max="7415" width="11.125" style="2" bestFit="1" customWidth="1"/>
    <col min="7416" max="7416" width="9" style="2"/>
    <col min="7417" max="7427" width="11.125" style="2" bestFit="1" customWidth="1"/>
    <col min="7428" max="7429" width="9" style="2"/>
    <col min="7430" max="7437" width="11.125" style="2" bestFit="1" customWidth="1"/>
    <col min="7438" max="7438" width="9.625" style="2" bestFit="1" customWidth="1"/>
    <col min="7439" max="7663" width="9" style="2"/>
    <col min="7664" max="7664" width="2.375" style="2" customWidth="1"/>
    <col min="7665" max="7665" width="13.25" style="2" bestFit="1" customWidth="1"/>
    <col min="7666" max="7667" width="11.125" style="2" bestFit="1" customWidth="1"/>
    <col min="7668" max="7668" width="13.25" style="2" bestFit="1" customWidth="1"/>
    <col min="7669" max="7669" width="11.125" style="2" bestFit="1" customWidth="1"/>
    <col min="7670" max="7670" width="9" style="2"/>
    <col min="7671" max="7671" width="11.125" style="2" bestFit="1" customWidth="1"/>
    <col min="7672" max="7672" width="9" style="2"/>
    <col min="7673" max="7683" width="11.125" style="2" bestFit="1" customWidth="1"/>
    <col min="7684" max="7685" width="9" style="2"/>
    <col min="7686" max="7693" width="11.125" style="2" bestFit="1" customWidth="1"/>
    <col min="7694" max="7694" width="9.625" style="2" bestFit="1" customWidth="1"/>
    <col min="7695" max="7919" width="9" style="2"/>
    <col min="7920" max="7920" width="2.375" style="2" customWidth="1"/>
    <col min="7921" max="7921" width="13.25" style="2" bestFit="1" customWidth="1"/>
    <col min="7922" max="7923" width="11.125" style="2" bestFit="1" customWidth="1"/>
    <col min="7924" max="7924" width="13.25" style="2" bestFit="1" customWidth="1"/>
    <col min="7925" max="7925" width="11.125" style="2" bestFit="1" customWidth="1"/>
    <col min="7926" max="7926" width="9" style="2"/>
    <col min="7927" max="7927" width="11.125" style="2" bestFit="1" customWidth="1"/>
    <col min="7928" max="7928" width="9" style="2"/>
    <col min="7929" max="7939" width="11.125" style="2" bestFit="1" customWidth="1"/>
    <col min="7940" max="7941" width="9" style="2"/>
    <col min="7942" max="7949" width="11.125" style="2" bestFit="1" customWidth="1"/>
    <col min="7950" max="7950" width="9.625" style="2" bestFit="1" customWidth="1"/>
    <col min="7951" max="8175" width="9" style="2"/>
    <col min="8176" max="8176" width="2.375" style="2" customWidth="1"/>
    <col min="8177" max="8177" width="13.25" style="2" bestFit="1" customWidth="1"/>
    <col min="8178" max="8179" width="11.125" style="2" bestFit="1" customWidth="1"/>
    <col min="8180" max="8180" width="13.25" style="2" bestFit="1" customWidth="1"/>
    <col min="8181" max="8181" width="11.125" style="2" bestFit="1" customWidth="1"/>
    <col min="8182" max="8182" width="9" style="2"/>
    <col min="8183" max="8183" width="11.125" style="2" bestFit="1" customWidth="1"/>
    <col min="8184" max="8184" width="9" style="2"/>
    <col min="8185" max="8195" width="11.125" style="2" bestFit="1" customWidth="1"/>
    <col min="8196" max="8197" width="9" style="2"/>
    <col min="8198" max="8205" width="11.125" style="2" bestFit="1" customWidth="1"/>
    <col min="8206" max="8206" width="9.625" style="2" bestFit="1" customWidth="1"/>
    <col min="8207" max="8431" width="9" style="2"/>
    <col min="8432" max="8432" width="2.375" style="2" customWidth="1"/>
    <col min="8433" max="8433" width="13.25" style="2" bestFit="1" customWidth="1"/>
    <col min="8434" max="8435" width="11.125" style="2" bestFit="1" customWidth="1"/>
    <col min="8436" max="8436" width="13.25" style="2" bestFit="1" customWidth="1"/>
    <col min="8437" max="8437" width="11.125" style="2" bestFit="1" customWidth="1"/>
    <col min="8438" max="8438" width="9" style="2"/>
    <col min="8439" max="8439" width="11.125" style="2" bestFit="1" customWidth="1"/>
    <col min="8440" max="8440" width="9" style="2"/>
    <col min="8441" max="8451" width="11.125" style="2" bestFit="1" customWidth="1"/>
    <col min="8452" max="8453" width="9" style="2"/>
    <col min="8454" max="8461" width="11.125" style="2" bestFit="1" customWidth="1"/>
    <col min="8462" max="8462" width="9.625" style="2" bestFit="1" customWidth="1"/>
    <col min="8463" max="8687" width="9" style="2"/>
    <col min="8688" max="8688" width="2.375" style="2" customWidth="1"/>
    <col min="8689" max="8689" width="13.25" style="2" bestFit="1" customWidth="1"/>
    <col min="8690" max="8691" width="11.125" style="2" bestFit="1" customWidth="1"/>
    <col min="8692" max="8692" width="13.25" style="2" bestFit="1" customWidth="1"/>
    <col min="8693" max="8693" width="11.125" style="2" bestFit="1" customWidth="1"/>
    <col min="8694" max="8694" width="9" style="2"/>
    <col min="8695" max="8695" width="11.125" style="2" bestFit="1" customWidth="1"/>
    <col min="8696" max="8696" width="9" style="2"/>
    <col min="8697" max="8707" width="11.125" style="2" bestFit="1" customWidth="1"/>
    <col min="8708" max="8709" width="9" style="2"/>
    <col min="8710" max="8717" width="11.125" style="2" bestFit="1" customWidth="1"/>
    <col min="8718" max="8718" width="9.625" style="2" bestFit="1" customWidth="1"/>
    <col min="8719" max="8943" width="9" style="2"/>
    <col min="8944" max="8944" width="2.375" style="2" customWidth="1"/>
    <col min="8945" max="8945" width="13.25" style="2" bestFit="1" customWidth="1"/>
    <col min="8946" max="8947" width="11.125" style="2" bestFit="1" customWidth="1"/>
    <col min="8948" max="8948" width="13.25" style="2" bestFit="1" customWidth="1"/>
    <col min="8949" max="8949" width="11.125" style="2" bestFit="1" customWidth="1"/>
    <col min="8950" max="8950" width="9" style="2"/>
    <col min="8951" max="8951" width="11.125" style="2" bestFit="1" customWidth="1"/>
    <col min="8952" max="8952" width="9" style="2"/>
    <col min="8953" max="8963" width="11.125" style="2" bestFit="1" customWidth="1"/>
    <col min="8964" max="8965" width="9" style="2"/>
    <col min="8966" max="8973" width="11.125" style="2" bestFit="1" customWidth="1"/>
    <col min="8974" max="8974" width="9.625" style="2" bestFit="1" customWidth="1"/>
    <col min="8975" max="9199" width="9" style="2"/>
    <col min="9200" max="9200" width="2.375" style="2" customWidth="1"/>
    <col min="9201" max="9201" width="13.25" style="2" bestFit="1" customWidth="1"/>
    <col min="9202" max="9203" width="11.125" style="2" bestFit="1" customWidth="1"/>
    <col min="9204" max="9204" width="13.25" style="2" bestFit="1" customWidth="1"/>
    <col min="9205" max="9205" width="11.125" style="2" bestFit="1" customWidth="1"/>
    <col min="9206" max="9206" width="9" style="2"/>
    <col min="9207" max="9207" width="11.125" style="2" bestFit="1" customWidth="1"/>
    <col min="9208" max="9208" width="9" style="2"/>
    <col min="9209" max="9219" width="11.125" style="2" bestFit="1" customWidth="1"/>
    <col min="9220" max="9221" width="9" style="2"/>
    <col min="9222" max="9229" width="11.125" style="2" bestFit="1" customWidth="1"/>
    <col min="9230" max="9230" width="9.625" style="2" bestFit="1" customWidth="1"/>
    <col min="9231" max="9455" width="9" style="2"/>
    <col min="9456" max="9456" width="2.375" style="2" customWidth="1"/>
    <col min="9457" max="9457" width="13.25" style="2" bestFit="1" customWidth="1"/>
    <col min="9458" max="9459" width="11.125" style="2" bestFit="1" customWidth="1"/>
    <col min="9460" max="9460" width="13.25" style="2" bestFit="1" customWidth="1"/>
    <col min="9461" max="9461" width="11.125" style="2" bestFit="1" customWidth="1"/>
    <col min="9462" max="9462" width="9" style="2"/>
    <col min="9463" max="9463" width="11.125" style="2" bestFit="1" customWidth="1"/>
    <col min="9464" max="9464" width="9" style="2"/>
    <col min="9465" max="9475" width="11.125" style="2" bestFit="1" customWidth="1"/>
    <col min="9476" max="9477" width="9" style="2"/>
    <col min="9478" max="9485" width="11.125" style="2" bestFit="1" customWidth="1"/>
    <col min="9486" max="9486" width="9.625" style="2" bestFit="1" customWidth="1"/>
    <col min="9487" max="9711" width="9" style="2"/>
    <col min="9712" max="9712" width="2.375" style="2" customWidth="1"/>
    <col min="9713" max="9713" width="13.25" style="2" bestFit="1" customWidth="1"/>
    <col min="9714" max="9715" width="11.125" style="2" bestFit="1" customWidth="1"/>
    <col min="9716" max="9716" width="13.25" style="2" bestFit="1" customWidth="1"/>
    <col min="9717" max="9717" width="11.125" style="2" bestFit="1" customWidth="1"/>
    <col min="9718" max="9718" width="9" style="2"/>
    <col min="9719" max="9719" width="11.125" style="2" bestFit="1" customWidth="1"/>
    <col min="9720" max="9720" width="9" style="2"/>
    <col min="9721" max="9731" width="11.125" style="2" bestFit="1" customWidth="1"/>
    <col min="9732" max="9733" width="9" style="2"/>
    <col min="9734" max="9741" width="11.125" style="2" bestFit="1" customWidth="1"/>
    <col min="9742" max="9742" width="9.625" style="2" bestFit="1" customWidth="1"/>
    <col min="9743" max="9967" width="9" style="2"/>
    <col min="9968" max="9968" width="2.375" style="2" customWidth="1"/>
    <col min="9969" max="9969" width="13.25" style="2" bestFit="1" customWidth="1"/>
    <col min="9970" max="9971" width="11.125" style="2" bestFit="1" customWidth="1"/>
    <col min="9972" max="9972" width="13.25" style="2" bestFit="1" customWidth="1"/>
    <col min="9973" max="9973" width="11.125" style="2" bestFit="1" customWidth="1"/>
    <col min="9974" max="9974" width="9" style="2"/>
    <col min="9975" max="9975" width="11.125" style="2" bestFit="1" customWidth="1"/>
    <col min="9976" max="9976" width="9" style="2"/>
    <col min="9977" max="9987" width="11.125" style="2" bestFit="1" customWidth="1"/>
    <col min="9988" max="9989" width="9" style="2"/>
    <col min="9990" max="9997" width="11.125" style="2" bestFit="1" customWidth="1"/>
    <col min="9998" max="9998" width="9.625" style="2" bestFit="1" customWidth="1"/>
    <col min="9999" max="10223" width="9" style="2"/>
    <col min="10224" max="10224" width="2.375" style="2" customWidth="1"/>
    <col min="10225" max="10225" width="13.25" style="2" bestFit="1" customWidth="1"/>
    <col min="10226" max="10227" width="11.125" style="2" bestFit="1" customWidth="1"/>
    <col min="10228" max="10228" width="13.25" style="2" bestFit="1" customWidth="1"/>
    <col min="10229" max="10229" width="11.125" style="2" bestFit="1" customWidth="1"/>
    <col min="10230" max="10230" width="9" style="2"/>
    <col min="10231" max="10231" width="11.125" style="2" bestFit="1" customWidth="1"/>
    <col min="10232" max="10232" width="9" style="2"/>
    <col min="10233" max="10243" width="11.125" style="2" bestFit="1" customWidth="1"/>
    <col min="10244" max="10245" width="9" style="2"/>
    <col min="10246" max="10253" width="11.125" style="2" bestFit="1" customWidth="1"/>
    <col min="10254" max="10254" width="9.625" style="2" bestFit="1" customWidth="1"/>
    <col min="10255" max="10479" width="9" style="2"/>
    <col min="10480" max="10480" width="2.375" style="2" customWidth="1"/>
    <col min="10481" max="10481" width="13.25" style="2" bestFit="1" customWidth="1"/>
    <col min="10482" max="10483" width="11.125" style="2" bestFit="1" customWidth="1"/>
    <col min="10484" max="10484" width="13.25" style="2" bestFit="1" customWidth="1"/>
    <col min="10485" max="10485" width="11.125" style="2" bestFit="1" customWidth="1"/>
    <col min="10486" max="10486" width="9" style="2"/>
    <col min="10487" max="10487" width="11.125" style="2" bestFit="1" customWidth="1"/>
    <col min="10488" max="10488" width="9" style="2"/>
    <col min="10489" max="10499" width="11.125" style="2" bestFit="1" customWidth="1"/>
    <col min="10500" max="10501" width="9" style="2"/>
    <col min="10502" max="10509" width="11.125" style="2" bestFit="1" customWidth="1"/>
    <col min="10510" max="10510" width="9.625" style="2" bestFit="1" customWidth="1"/>
    <col min="10511" max="10735" width="9" style="2"/>
    <col min="10736" max="10736" width="2.375" style="2" customWidth="1"/>
    <col min="10737" max="10737" width="13.25" style="2" bestFit="1" customWidth="1"/>
    <col min="10738" max="10739" width="11.125" style="2" bestFit="1" customWidth="1"/>
    <col min="10740" max="10740" width="13.25" style="2" bestFit="1" customWidth="1"/>
    <col min="10741" max="10741" width="11.125" style="2" bestFit="1" customWidth="1"/>
    <col min="10742" max="10742" width="9" style="2"/>
    <col min="10743" max="10743" width="11.125" style="2" bestFit="1" customWidth="1"/>
    <col min="10744" max="10744" width="9" style="2"/>
    <col min="10745" max="10755" width="11.125" style="2" bestFit="1" customWidth="1"/>
    <col min="10756" max="10757" width="9" style="2"/>
    <col min="10758" max="10765" width="11.125" style="2" bestFit="1" customWidth="1"/>
    <col min="10766" max="10766" width="9.625" style="2" bestFit="1" customWidth="1"/>
    <col min="10767" max="10991" width="9" style="2"/>
    <col min="10992" max="10992" width="2.375" style="2" customWidth="1"/>
    <col min="10993" max="10993" width="13.25" style="2" bestFit="1" customWidth="1"/>
    <col min="10994" max="10995" width="11.125" style="2" bestFit="1" customWidth="1"/>
    <col min="10996" max="10996" width="13.25" style="2" bestFit="1" customWidth="1"/>
    <col min="10997" max="10997" width="11.125" style="2" bestFit="1" customWidth="1"/>
    <col min="10998" max="10998" width="9" style="2"/>
    <col min="10999" max="10999" width="11.125" style="2" bestFit="1" customWidth="1"/>
    <col min="11000" max="11000" width="9" style="2"/>
    <col min="11001" max="11011" width="11.125" style="2" bestFit="1" customWidth="1"/>
    <col min="11012" max="11013" width="9" style="2"/>
    <col min="11014" max="11021" width="11.125" style="2" bestFit="1" customWidth="1"/>
    <col min="11022" max="11022" width="9.625" style="2" bestFit="1" customWidth="1"/>
    <col min="11023" max="11247" width="9" style="2"/>
    <col min="11248" max="11248" width="2.375" style="2" customWidth="1"/>
    <col min="11249" max="11249" width="13.25" style="2" bestFit="1" customWidth="1"/>
    <col min="11250" max="11251" width="11.125" style="2" bestFit="1" customWidth="1"/>
    <col min="11252" max="11252" width="13.25" style="2" bestFit="1" customWidth="1"/>
    <col min="11253" max="11253" width="11.125" style="2" bestFit="1" customWidth="1"/>
    <col min="11254" max="11254" width="9" style="2"/>
    <col min="11255" max="11255" width="11.125" style="2" bestFit="1" customWidth="1"/>
    <col min="11256" max="11256" width="9" style="2"/>
    <col min="11257" max="11267" width="11.125" style="2" bestFit="1" customWidth="1"/>
    <col min="11268" max="11269" width="9" style="2"/>
    <col min="11270" max="11277" width="11.125" style="2" bestFit="1" customWidth="1"/>
    <col min="11278" max="11278" width="9.625" style="2" bestFit="1" customWidth="1"/>
    <col min="11279" max="11503" width="9" style="2"/>
    <col min="11504" max="11504" width="2.375" style="2" customWidth="1"/>
    <col min="11505" max="11505" width="13.25" style="2" bestFit="1" customWidth="1"/>
    <col min="11506" max="11507" width="11.125" style="2" bestFit="1" customWidth="1"/>
    <col min="11508" max="11508" width="13.25" style="2" bestFit="1" customWidth="1"/>
    <col min="11509" max="11509" width="11.125" style="2" bestFit="1" customWidth="1"/>
    <col min="11510" max="11510" width="9" style="2"/>
    <col min="11511" max="11511" width="11.125" style="2" bestFit="1" customWidth="1"/>
    <col min="11512" max="11512" width="9" style="2"/>
    <col min="11513" max="11523" width="11.125" style="2" bestFit="1" customWidth="1"/>
    <col min="11524" max="11525" width="9" style="2"/>
    <col min="11526" max="11533" width="11.125" style="2" bestFit="1" customWidth="1"/>
    <col min="11534" max="11534" width="9.625" style="2" bestFit="1" customWidth="1"/>
    <col min="11535" max="11759" width="9" style="2"/>
    <col min="11760" max="11760" width="2.375" style="2" customWidth="1"/>
    <col min="11761" max="11761" width="13.25" style="2" bestFit="1" customWidth="1"/>
    <col min="11762" max="11763" width="11.125" style="2" bestFit="1" customWidth="1"/>
    <col min="11764" max="11764" width="13.25" style="2" bestFit="1" customWidth="1"/>
    <col min="11765" max="11765" width="11.125" style="2" bestFit="1" customWidth="1"/>
    <col min="11766" max="11766" width="9" style="2"/>
    <col min="11767" max="11767" width="11.125" style="2" bestFit="1" customWidth="1"/>
    <col min="11768" max="11768" width="9" style="2"/>
    <col min="11769" max="11779" width="11.125" style="2" bestFit="1" customWidth="1"/>
    <col min="11780" max="11781" width="9" style="2"/>
    <col min="11782" max="11789" width="11.125" style="2" bestFit="1" customWidth="1"/>
    <col min="11790" max="11790" width="9.625" style="2" bestFit="1" customWidth="1"/>
    <col min="11791" max="12015" width="9" style="2"/>
    <col min="12016" max="12016" width="2.375" style="2" customWidth="1"/>
    <col min="12017" max="12017" width="13.25" style="2" bestFit="1" customWidth="1"/>
    <col min="12018" max="12019" width="11.125" style="2" bestFit="1" customWidth="1"/>
    <col min="12020" max="12020" width="13.25" style="2" bestFit="1" customWidth="1"/>
    <col min="12021" max="12021" width="11.125" style="2" bestFit="1" customWidth="1"/>
    <col min="12022" max="12022" width="9" style="2"/>
    <col min="12023" max="12023" width="11.125" style="2" bestFit="1" customWidth="1"/>
    <col min="12024" max="12024" width="9" style="2"/>
    <col min="12025" max="12035" width="11.125" style="2" bestFit="1" customWidth="1"/>
    <col min="12036" max="12037" width="9" style="2"/>
    <col min="12038" max="12045" width="11.125" style="2" bestFit="1" customWidth="1"/>
    <col min="12046" max="12046" width="9.625" style="2" bestFit="1" customWidth="1"/>
    <col min="12047" max="12271" width="9" style="2"/>
    <col min="12272" max="12272" width="2.375" style="2" customWidth="1"/>
    <col min="12273" max="12273" width="13.25" style="2" bestFit="1" customWidth="1"/>
    <col min="12274" max="12275" width="11.125" style="2" bestFit="1" customWidth="1"/>
    <col min="12276" max="12276" width="13.25" style="2" bestFit="1" customWidth="1"/>
    <col min="12277" max="12277" width="11.125" style="2" bestFit="1" customWidth="1"/>
    <col min="12278" max="12278" width="9" style="2"/>
    <col min="12279" max="12279" width="11.125" style="2" bestFit="1" customWidth="1"/>
    <col min="12280" max="12280" width="9" style="2"/>
    <col min="12281" max="12291" width="11.125" style="2" bestFit="1" customWidth="1"/>
    <col min="12292" max="12293" width="9" style="2"/>
    <col min="12294" max="12301" width="11.125" style="2" bestFit="1" customWidth="1"/>
    <col min="12302" max="12302" width="9.625" style="2" bestFit="1" customWidth="1"/>
    <col min="12303" max="12527" width="9" style="2"/>
    <col min="12528" max="12528" width="2.375" style="2" customWidth="1"/>
    <col min="12529" max="12529" width="13.25" style="2" bestFit="1" customWidth="1"/>
    <col min="12530" max="12531" width="11.125" style="2" bestFit="1" customWidth="1"/>
    <col min="12532" max="12532" width="13.25" style="2" bestFit="1" customWidth="1"/>
    <col min="12533" max="12533" width="11.125" style="2" bestFit="1" customWidth="1"/>
    <col min="12534" max="12534" width="9" style="2"/>
    <col min="12535" max="12535" width="11.125" style="2" bestFit="1" customWidth="1"/>
    <col min="12536" max="12536" width="9" style="2"/>
    <col min="12537" max="12547" width="11.125" style="2" bestFit="1" customWidth="1"/>
    <col min="12548" max="12549" width="9" style="2"/>
    <col min="12550" max="12557" width="11.125" style="2" bestFit="1" customWidth="1"/>
    <col min="12558" max="12558" width="9.625" style="2" bestFit="1" customWidth="1"/>
    <col min="12559" max="12783" width="9" style="2"/>
    <col min="12784" max="12784" width="2.375" style="2" customWidth="1"/>
    <col min="12785" max="12785" width="13.25" style="2" bestFit="1" customWidth="1"/>
    <col min="12786" max="12787" width="11.125" style="2" bestFit="1" customWidth="1"/>
    <col min="12788" max="12788" width="13.25" style="2" bestFit="1" customWidth="1"/>
    <col min="12789" max="12789" width="11.125" style="2" bestFit="1" customWidth="1"/>
    <col min="12790" max="12790" width="9" style="2"/>
    <col min="12791" max="12791" width="11.125" style="2" bestFit="1" customWidth="1"/>
    <col min="12792" max="12792" width="9" style="2"/>
    <col min="12793" max="12803" width="11.125" style="2" bestFit="1" customWidth="1"/>
    <col min="12804" max="12805" width="9" style="2"/>
    <col min="12806" max="12813" width="11.125" style="2" bestFit="1" customWidth="1"/>
    <col min="12814" max="12814" width="9.625" style="2" bestFit="1" customWidth="1"/>
    <col min="12815" max="13039" width="9" style="2"/>
    <col min="13040" max="13040" width="2.375" style="2" customWidth="1"/>
    <col min="13041" max="13041" width="13.25" style="2" bestFit="1" customWidth="1"/>
    <col min="13042" max="13043" width="11.125" style="2" bestFit="1" customWidth="1"/>
    <col min="13044" max="13044" width="13.25" style="2" bestFit="1" customWidth="1"/>
    <col min="13045" max="13045" width="11.125" style="2" bestFit="1" customWidth="1"/>
    <col min="13046" max="13046" width="9" style="2"/>
    <col min="13047" max="13047" width="11.125" style="2" bestFit="1" customWidth="1"/>
    <col min="13048" max="13048" width="9" style="2"/>
    <col min="13049" max="13059" width="11.125" style="2" bestFit="1" customWidth="1"/>
    <col min="13060" max="13061" width="9" style="2"/>
    <col min="13062" max="13069" width="11.125" style="2" bestFit="1" customWidth="1"/>
    <col min="13070" max="13070" width="9.625" style="2" bestFit="1" customWidth="1"/>
    <col min="13071" max="13295" width="9" style="2"/>
    <col min="13296" max="13296" width="2.375" style="2" customWidth="1"/>
    <col min="13297" max="13297" width="13.25" style="2" bestFit="1" customWidth="1"/>
    <col min="13298" max="13299" width="11.125" style="2" bestFit="1" customWidth="1"/>
    <col min="13300" max="13300" width="13.25" style="2" bestFit="1" customWidth="1"/>
    <col min="13301" max="13301" width="11.125" style="2" bestFit="1" customWidth="1"/>
    <col min="13302" max="13302" width="9" style="2"/>
    <col min="13303" max="13303" width="11.125" style="2" bestFit="1" customWidth="1"/>
    <col min="13304" max="13304" width="9" style="2"/>
    <col min="13305" max="13315" width="11.125" style="2" bestFit="1" customWidth="1"/>
    <col min="13316" max="13317" width="9" style="2"/>
    <col min="13318" max="13325" width="11.125" style="2" bestFit="1" customWidth="1"/>
    <col min="13326" max="13326" width="9.625" style="2" bestFit="1" customWidth="1"/>
    <col min="13327" max="13551" width="9" style="2"/>
    <col min="13552" max="13552" width="2.375" style="2" customWidth="1"/>
    <col min="13553" max="13553" width="13.25" style="2" bestFit="1" customWidth="1"/>
    <col min="13554" max="13555" width="11.125" style="2" bestFit="1" customWidth="1"/>
    <col min="13556" max="13556" width="13.25" style="2" bestFit="1" customWidth="1"/>
    <col min="13557" max="13557" width="11.125" style="2" bestFit="1" customWidth="1"/>
    <col min="13558" max="13558" width="9" style="2"/>
    <col min="13559" max="13559" width="11.125" style="2" bestFit="1" customWidth="1"/>
    <col min="13560" max="13560" width="9" style="2"/>
    <col min="13561" max="13571" width="11.125" style="2" bestFit="1" customWidth="1"/>
    <col min="13572" max="13573" width="9" style="2"/>
    <col min="13574" max="13581" width="11.125" style="2" bestFit="1" customWidth="1"/>
    <col min="13582" max="13582" width="9.625" style="2" bestFit="1" customWidth="1"/>
    <col min="13583" max="13807" width="9" style="2"/>
    <col min="13808" max="13808" width="2.375" style="2" customWidth="1"/>
    <col min="13809" max="13809" width="13.25" style="2" bestFit="1" customWidth="1"/>
    <col min="13810" max="13811" width="11.125" style="2" bestFit="1" customWidth="1"/>
    <col min="13812" max="13812" width="13.25" style="2" bestFit="1" customWidth="1"/>
    <col min="13813" max="13813" width="11.125" style="2" bestFit="1" customWidth="1"/>
    <col min="13814" max="13814" width="9" style="2"/>
    <col min="13815" max="13815" width="11.125" style="2" bestFit="1" customWidth="1"/>
    <col min="13816" max="13816" width="9" style="2"/>
    <col min="13817" max="13827" width="11.125" style="2" bestFit="1" customWidth="1"/>
    <col min="13828" max="13829" width="9" style="2"/>
    <col min="13830" max="13837" width="11.125" style="2" bestFit="1" customWidth="1"/>
    <col min="13838" max="13838" width="9.625" style="2" bestFit="1" customWidth="1"/>
    <col min="13839" max="14063" width="9" style="2"/>
    <col min="14064" max="14064" width="2.375" style="2" customWidth="1"/>
    <col min="14065" max="14065" width="13.25" style="2" bestFit="1" customWidth="1"/>
    <col min="14066" max="14067" width="11.125" style="2" bestFit="1" customWidth="1"/>
    <col min="14068" max="14068" width="13.25" style="2" bestFit="1" customWidth="1"/>
    <col min="14069" max="14069" width="11.125" style="2" bestFit="1" customWidth="1"/>
    <col min="14070" max="14070" width="9" style="2"/>
    <col min="14071" max="14071" width="11.125" style="2" bestFit="1" customWidth="1"/>
    <col min="14072" max="14072" width="9" style="2"/>
    <col min="14073" max="14083" width="11.125" style="2" bestFit="1" customWidth="1"/>
    <col min="14084" max="14085" width="9" style="2"/>
    <col min="14086" max="14093" width="11.125" style="2" bestFit="1" customWidth="1"/>
    <col min="14094" max="14094" width="9.625" style="2" bestFit="1" customWidth="1"/>
    <col min="14095" max="14319" width="9" style="2"/>
    <col min="14320" max="14320" width="2.375" style="2" customWidth="1"/>
    <col min="14321" max="14321" width="13.25" style="2" bestFit="1" customWidth="1"/>
    <col min="14322" max="14323" width="11.125" style="2" bestFit="1" customWidth="1"/>
    <col min="14324" max="14324" width="13.25" style="2" bestFit="1" customWidth="1"/>
    <col min="14325" max="14325" width="11.125" style="2" bestFit="1" customWidth="1"/>
    <col min="14326" max="14326" width="9" style="2"/>
    <col min="14327" max="14327" width="11.125" style="2" bestFit="1" customWidth="1"/>
    <col min="14328" max="14328" width="9" style="2"/>
    <col min="14329" max="14339" width="11.125" style="2" bestFit="1" customWidth="1"/>
    <col min="14340" max="14341" width="9" style="2"/>
    <col min="14342" max="14349" width="11.125" style="2" bestFit="1" customWidth="1"/>
    <col min="14350" max="14350" width="9.625" style="2" bestFit="1" customWidth="1"/>
    <col min="14351" max="14575" width="9" style="2"/>
    <col min="14576" max="14576" width="2.375" style="2" customWidth="1"/>
    <col min="14577" max="14577" width="13.25" style="2" bestFit="1" customWidth="1"/>
    <col min="14578" max="14579" width="11.125" style="2" bestFit="1" customWidth="1"/>
    <col min="14580" max="14580" width="13.25" style="2" bestFit="1" customWidth="1"/>
    <col min="14581" max="14581" width="11.125" style="2" bestFit="1" customWidth="1"/>
    <col min="14582" max="14582" width="9" style="2"/>
    <col min="14583" max="14583" width="11.125" style="2" bestFit="1" customWidth="1"/>
    <col min="14584" max="14584" width="9" style="2"/>
    <col min="14585" max="14595" width="11.125" style="2" bestFit="1" customWidth="1"/>
    <col min="14596" max="14597" width="9" style="2"/>
    <col min="14598" max="14605" width="11.125" style="2" bestFit="1" customWidth="1"/>
    <col min="14606" max="14606" width="9.625" style="2" bestFit="1" customWidth="1"/>
    <col min="14607" max="14831" width="9" style="2"/>
    <col min="14832" max="14832" width="2.375" style="2" customWidth="1"/>
    <col min="14833" max="14833" width="13.25" style="2" bestFit="1" customWidth="1"/>
    <col min="14834" max="14835" width="11.125" style="2" bestFit="1" customWidth="1"/>
    <col min="14836" max="14836" width="13.25" style="2" bestFit="1" customWidth="1"/>
    <col min="14837" max="14837" width="11.125" style="2" bestFit="1" customWidth="1"/>
    <col min="14838" max="14838" width="9" style="2"/>
    <col min="14839" max="14839" width="11.125" style="2" bestFit="1" customWidth="1"/>
    <col min="14840" max="14840" width="9" style="2"/>
    <col min="14841" max="14851" width="11.125" style="2" bestFit="1" customWidth="1"/>
    <col min="14852" max="14853" width="9" style="2"/>
    <col min="14854" max="14861" width="11.125" style="2" bestFit="1" customWidth="1"/>
    <col min="14862" max="14862" width="9.625" style="2" bestFit="1" customWidth="1"/>
    <col min="14863" max="15087" width="9" style="2"/>
    <col min="15088" max="15088" width="2.375" style="2" customWidth="1"/>
    <col min="15089" max="15089" width="13.25" style="2" bestFit="1" customWidth="1"/>
    <col min="15090" max="15091" width="11.125" style="2" bestFit="1" customWidth="1"/>
    <col min="15092" max="15092" width="13.25" style="2" bestFit="1" customWidth="1"/>
    <col min="15093" max="15093" width="11.125" style="2" bestFit="1" customWidth="1"/>
    <col min="15094" max="15094" width="9" style="2"/>
    <col min="15095" max="15095" width="11.125" style="2" bestFit="1" customWidth="1"/>
    <col min="15096" max="15096" width="9" style="2"/>
    <col min="15097" max="15107" width="11.125" style="2" bestFit="1" customWidth="1"/>
    <col min="15108" max="15109" width="9" style="2"/>
    <col min="15110" max="15117" width="11.125" style="2" bestFit="1" customWidth="1"/>
    <col min="15118" max="15118" width="9.625" style="2" bestFit="1" customWidth="1"/>
    <col min="15119" max="15343" width="9" style="2"/>
    <col min="15344" max="15344" width="2.375" style="2" customWidth="1"/>
    <col min="15345" max="15345" width="13.25" style="2" bestFit="1" customWidth="1"/>
    <col min="15346" max="15347" width="11.125" style="2" bestFit="1" customWidth="1"/>
    <col min="15348" max="15348" width="13.25" style="2" bestFit="1" customWidth="1"/>
    <col min="15349" max="15349" width="11.125" style="2" bestFit="1" customWidth="1"/>
    <col min="15350" max="15350" width="9" style="2"/>
    <col min="15351" max="15351" width="11.125" style="2" bestFit="1" customWidth="1"/>
    <col min="15352" max="15352" width="9" style="2"/>
    <col min="15353" max="15363" width="11.125" style="2" bestFit="1" customWidth="1"/>
    <col min="15364" max="15365" width="9" style="2"/>
    <col min="15366" max="15373" width="11.125" style="2" bestFit="1" customWidth="1"/>
    <col min="15374" max="15374" width="9.625" style="2" bestFit="1" customWidth="1"/>
    <col min="15375" max="15599" width="9" style="2"/>
    <col min="15600" max="15600" width="2.375" style="2" customWidth="1"/>
    <col min="15601" max="15601" width="13.25" style="2" bestFit="1" customWidth="1"/>
    <col min="15602" max="15603" width="11.125" style="2" bestFit="1" customWidth="1"/>
    <col min="15604" max="15604" width="13.25" style="2" bestFit="1" customWidth="1"/>
    <col min="15605" max="15605" width="11.125" style="2" bestFit="1" customWidth="1"/>
    <col min="15606" max="15606" width="9" style="2"/>
    <col min="15607" max="15607" width="11.125" style="2" bestFit="1" customWidth="1"/>
    <col min="15608" max="15608" width="9" style="2"/>
    <col min="15609" max="15619" width="11.125" style="2" bestFit="1" customWidth="1"/>
    <col min="15620" max="15621" width="9" style="2"/>
    <col min="15622" max="15629" width="11.125" style="2" bestFit="1" customWidth="1"/>
    <col min="15630" max="15630" width="9.625" style="2" bestFit="1" customWidth="1"/>
    <col min="15631" max="15855" width="9" style="2"/>
    <col min="15856" max="15856" width="2.375" style="2" customWidth="1"/>
    <col min="15857" max="15857" width="13.25" style="2" bestFit="1" customWidth="1"/>
    <col min="15858" max="15859" width="11.125" style="2" bestFit="1" customWidth="1"/>
    <col min="15860" max="15860" width="13.25" style="2" bestFit="1" customWidth="1"/>
    <col min="15861" max="15861" width="11.125" style="2" bestFit="1" customWidth="1"/>
    <col min="15862" max="15862" width="9" style="2"/>
    <col min="15863" max="15863" width="11.125" style="2" bestFit="1" customWidth="1"/>
    <col min="15864" max="15864" width="9" style="2"/>
    <col min="15865" max="15875" width="11.125" style="2" bestFit="1" customWidth="1"/>
    <col min="15876" max="15877" width="9" style="2"/>
    <col min="15878" max="15885" width="11.125" style="2" bestFit="1" customWidth="1"/>
    <col min="15886" max="15886" width="9.625" style="2" bestFit="1" customWidth="1"/>
    <col min="15887" max="16111" width="9" style="2"/>
    <col min="16112" max="16112" width="2.375" style="2" customWidth="1"/>
    <col min="16113" max="16113" width="13.25" style="2" bestFit="1" customWidth="1"/>
    <col min="16114" max="16115" width="11.125" style="2" bestFit="1" customWidth="1"/>
    <col min="16116" max="16116" width="13.25" style="2" bestFit="1" customWidth="1"/>
    <col min="16117" max="16117" width="11.125" style="2" bestFit="1" customWidth="1"/>
    <col min="16118" max="16118" width="9" style="2"/>
    <col min="16119" max="16119" width="11.125" style="2" bestFit="1" customWidth="1"/>
    <col min="16120" max="16120" width="9" style="2"/>
    <col min="16121" max="16131" width="11.125" style="2" bestFit="1" customWidth="1"/>
    <col min="16132" max="16133" width="9" style="2"/>
    <col min="16134" max="16141" width="11.1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136</v>
      </c>
    </row>
    <row r="3" spans="1:15">
      <c r="B3" s="105"/>
      <c r="C3" s="66" t="s">
        <v>19</v>
      </c>
      <c r="D3" s="13" t="s">
        <v>6</v>
      </c>
      <c r="E3" s="13" t="s">
        <v>27</v>
      </c>
      <c r="F3" s="13" t="s">
        <v>28</v>
      </c>
      <c r="G3" s="13" t="s">
        <v>24</v>
      </c>
      <c r="H3" s="13" t="s">
        <v>25</v>
      </c>
      <c r="I3" s="13" t="s">
        <v>26</v>
      </c>
      <c r="J3" s="13" t="s">
        <v>29</v>
      </c>
      <c r="K3" s="14" t="s">
        <v>30</v>
      </c>
      <c r="L3" s="77" t="s">
        <v>137</v>
      </c>
      <c r="M3" s="88" t="s">
        <v>7</v>
      </c>
      <c r="N3" s="77" t="s">
        <v>137</v>
      </c>
      <c r="O3" s="5" t="s">
        <v>59</v>
      </c>
    </row>
    <row r="4" spans="1:15" ht="19.5" thickBot="1">
      <c r="A4" s="103"/>
      <c r="B4" s="106" t="s">
        <v>31</v>
      </c>
      <c r="C4" s="67" t="s">
        <v>47</v>
      </c>
      <c r="D4" s="34" t="s">
        <v>34</v>
      </c>
      <c r="E4" s="34" t="s">
        <v>55</v>
      </c>
      <c r="F4" s="34" t="s">
        <v>56</v>
      </c>
      <c r="G4" s="34" t="s">
        <v>52</v>
      </c>
      <c r="H4" s="34" t="s">
        <v>53</v>
      </c>
      <c r="I4" s="34" t="s">
        <v>54</v>
      </c>
      <c r="J4" s="34" t="s">
        <v>57</v>
      </c>
      <c r="K4" s="35" t="s">
        <v>58</v>
      </c>
      <c r="L4" s="99" t="s">
        <v>139</v>
      </c>
      <c r="M4" s="89" t="s">
        <v>35</v>
      </c>
      <c r="N4" s="99" t="s">
        <v>140</v>
      </c>
      <c r="O4" s="104" t="s">
        <v>141</v>
      </c>
    </row>
    <row r="5" spans="1:15">
      <c r="A5" s="1" t="s">
        <v>3</v>
      </c>
      <c r="B5" s="107" t="s">
        <v>60</v>
      </c>
      <c r="C5" s="68">
        <v>22</v>
      </c>
      <c r="D5" s="29">
        <v>23</v>
      </c>
      <c r="E5" s="29">
        <v>15</v>
      </c>
      <c r="F5" s="29">
        <v>15</v>
      </c>
      <c r="G5" s="29">
        <v>10</v>
      </c>
      <c r="H5" s="29">
        <v>11</v>
      </c>
      <c r="I5" s="29">
        <v>10</v>
      </c>
      <c r="J5" s="29">
        <v>3</v>
      </c>
      <c r="K5" s="30">
        <v>21</v>
      </c>
      <c r="L5" s="79">
        <f>SUM(C5:K5)</f>
        <v>130</v>
      </c>
      <c r="M5" s="90">
        <v>23</v>
      </c>
      <c r="N5" s="79">
        <f>SUM(M5)</f>
        <v>23</v>
      </c>
      <c r="O5" s="79">
        <v>486</v>
      </c>
    </row>
    <row r="6" spans="1:15">
      <c r="A6" s="1" t="s">
        <v>3</v>
      </c>
      <c r="B6" s="108" t="s">
        <v>61</v>
      </c>
      <c r="C6" s="69">
        <v>0</v>
      </c>
      <c r="D6" s="16">
        <v>1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7">
        <v>0</v>
      </c>
      <c r="L6" s="79">
        <f t="shared" ref="L6:L9" si="0">SUM(C6:K6)</f>
        <v>1</v>
      </c>
      <c r="M6" s="91">
        <v>0</v>
      </c>
      <c r="N6" s="80"/>
      <c r="O6" s="80">
        <v>24</v>
      </c>
    </row>
    <row r="7" spans="1:15">
      <c r="A7" s="1" t="s">
        <v>3</v>
      </c>
      <c r="B7" s="108" t="s">
        <v>62</v>
      </c>
      <c r="C7" s="69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7">
        <v>0</v>
      </c>
      <c r="L7" s="79">
        <f t="shared" si="0"/>
        <v>0</v>
      </c>
      <c r="M7" s="91">
        <v>0</v>
      </c>
      <c r="N7" s="80"/>
      <c r="O7" s="80">
        <v>17</v>
      </c>
    </row>
    <row r="8" spans="1:15">
      <c r="A8" s="1" t="s">
        <v>3</v>
      </c>
      <c r="B8" s="108" t="s">
        <v>63</v>
      </c>
      <c r="C8" s="69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7">
        <v>0</v>
      </c>
      <c r="L8" s="79">
        <f t="shared" si="0"/>
        <v>0</v>
      </c>
      <c r="M8" s="91">
        <v>0</v>
      </c>
      <c r="N8" s="80"/>
      <c r="O8" s="80">
        <v>4</v>
      </c>
    </row>
    <row r="9" spans="1:15">
      <c r="A9" s="1" t="s">
        <v>3</v>
      </c>
      <c r="B9" s="108" t="s">
        <v>64</v>
      </c>
      <c r="C9" s="69">
        <v>2</v>
      </c>
      <c r="D9" s="16">
        <v>1</v>
      </c>
      <c r="E9" s="16">
        <v>0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7">
        <v>2</v>
      </c>
      <c r="L9" s="79">
        <f t="shared" si="0"/>
        <v>10</v>
      </c>
      <c r="M9" s="91">
        <v>0</v>
      </c>
      <c r="N9" s="80"/>
      <c r="O9" s="80">
        <v>61</v>
      </c>
    </row>
    <row r="10" spans="1:15">
      <c r="A10" s="1" t="s">
        <v>3</v>
      </c>
      <c r="B10" s="108" t="s">
        <v>65</v>
      </c>
      <c r="C10" s="69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7">
        <v>0</v>
      </c>
      <c r="L10" s="80"/>
      <c r="M10" s="91">
        <v>0</v>
      </c>
      <c r="N10" s="80"/>
      <c r="O10" s="80">
        <v>2</v>
      </c>
    </row>
    <row r="11" spans="1:15">
      <c r="A11" s="1" t="s">
        <v>3</v>
      </c>
      <c r="B11" s="108" t="s">
        <v>66</v>
      </c>
      <c r="C11" s="69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7">
        <v>0</v>
      </c>
      <c r="L11" s="80"/>
      <c r="M11" s="91">
        <v>0</v>
      </c>
      <c r="N11" s="80"/>
      <c r="O11" s="80">
        <v>18</v>
      </c>
    </row>
    <row r="12" spans="1:15">
      <c r="A12" s="1" t="s">
        <v>3</v>
      </c>
      <c r="B12" s="108" t="s">
        <v>67</v>
      </c>
      <c r="C12" s="69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7">
        <v>0</v>
      </c>
      <c r="L12" s="80"/>
      <c r="M12" s="91">
        <v>0</v>
      </c>
      <c r="N12" s="80"/>
      <c r="O12" s="80">
        <v>0</v>
      </c>
    </row>
    <row r="13" spans="1:15">
      <c r="A13" s="1" t="s">
        <v>3</v>
      </c>
      <c r="B13" s="108" t="s">
        <v>68</v>
      </c>
      <c r="C13" s="70">
        <v>0</v>
      </c>
      <c r="D13" s="19">
        <v>0</v>
      </c>
      <c r="E13" s="19">
        <v>3.7916666666666665</v>
      </c>
      <c r="F13" s="19">
        <v>3.4166666666666665</v>
      </c>
      <c r="G13" s="19">
        <v>2.9583333333333335</v>
      </c>
      <c r="H13" s="19">
        <v>3.125</v>
      </c>
      <c r="I13" s="19">
        <v>2.875</v>
      </c>
      <c r="J13" s="19">
        <v>1</v>
      </c>
      <c r="K13" s="20">
        <v>3.6666666666666665</v>
      </c>
      <c r="L13" s="81">
        <f>SUM(C13:K13)</f>
        <v>20.833333333333332</v>
      </c>
      <c r="M13" s="92">
        <v>0</v>
      </c>
      <c r="N13" s="81"/>
      <c r="O13" s="81">
        <v>20.833333333333332</v>
      </c>
    </row>
    <row r="14" spans="1:15">
      <c r="A14" s="1" t="s">
        <v>3</v>
      </c>
      <c r="B14" s="108" t="s">
        <v>69</v>
      </c>
      <c r="C14" s="70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20">
        <v>0</v>
      </c>
      <c r="L14" s="81"/>
      <c r="M14" s="92">
        <v>0</v>
      </c>
      <c r="N14" s="81"/>
      <c r="O14" s="81">
        <v>0</v>
      </c>
    </row>
    <row r="15" spans="1:15">
      <c r="A15" s="1" t="s">
        <v>3</v>
      </c>
      <c r="B15" s="108" t="s">
        <v>70</v>
      </c>
      <c r="C15" s="70">
        <v>0</v>
      </c>
      <c r="D15" s="19">
        <v>0.91666666666666663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0.125</v>
      </c>
      <c r="K15" s="20">
        <v>0</v>
      </c>
      <c r="L15" s="81">
        <f>SUM(C15:K15)</f>
        <v>1.0416666666666665</v>
      </c>
      <c r="M15" s="92">
        <v>0</v>
      </c>
      <c r="N15" s="81"/>
      <c r="O15" s="81">
        <v>32.000000000000007</v>
      </c>
    </row>
    <row r="16" spans="1:15">
      <c r="A16" s="1" t="s">
        <v>3</v>
      </c>
      <c r="B16" s="108" t="s">
        <v>71</v>
      </c>
      <c r="C16" s="70">
        <v>0</v>
      </c>
      <c r="D16" s="19">
        <v>0.29166666666666669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20">
        <v>0</v>
      </c>
      <c r="L16" s="81">
        <f>SUM(C16:K16)</f>
        <v>0.29166666666666669</v>
      </c>
      <c r="M16" s="92">
        <v>0</v>
      </c>
      <c r="N16" s="81"/>
      <c r="O16" s="81">
        <v>7.9166666666666652</v>
      </c>
    </row>
    <row r="17" spans="1:15">
      <c r="A17" s="1" t="s">
        <v>3</v>
      </c>
      <c r="B17" s="108" t="s">
        <v>72</v>
      </c>
      <c r="C17" s="70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20">
        <v>0</v>
      </c>
      <c r="L17" s="81"/>
      <c r="M17" s="92">
        <v>0</v>
      </c>
      <c r="N17" s="81"/>
      <c r="O17" s="81">
        <v>4.708333333333333</v>
      </c>
    </row>
    <row r="18" spans="1:15">
      <c r="A18" s="1" t="s">
        <v>3</v>
      </c>
      <c r="B18" s="108" t="s">
        <v>73</v>
      </c>
      <c r="C18" s="70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20">
        <v>0</v>
      </c>
      <c r="L18" s="81"/>
      <c r="M18" s="92">
        <v>0</v>
      </c>
      <c r="N18" s="81"/>
      <c r="O18" s="81">
        <v>0.79166666666666674</v>
      </c>
    </row>
    <row r="19" spans="1:15">
      <c r="A19" s="1" t="s">
        <v>3</v>
      </c>
      <c r="B19" s="108" t="s">
        <v>74</v>
      </c>
      <c r="C19" s="70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20">
        <v>0</v>
      </c>
      <c r="L19" s="81"/>
      <c r="M19" s="92">
        <v>0</v>
      </c>
      <c r="N19" s="81"/>
      <c r="O19" s="81">
        <v>0.70833333333333326</v>
      </c>
    </row>
    <row r="20" spans="1:15">
      <c r="A20" s="1" t="s">
        <v>3</v>
      </c>
      <c r="B20" s="108" t="s">
        <v>75</v>
      </c>
      <c r="C20" s="70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20">
        <v>0</v>
      </c>
      <c r="L20" s="81"/>
      <c r="M20" s="92">
        <v>0</v>
      </c>
      <c r="N20" s="81"/>
      <c r="O20" s="81">
        <v>0</v>
      </c>
    </row>
    <row r="21" spans="1:15">
      <c r="A21" s="1" t="s">
        <v>3</v>
      </c>
      <c r="B21" s="108" t="s">
        <v>77</v>
      </c>
      <c r="C21" s="70">
        <v>0</v>
      </c>
      <c r="D21" s="19">
        <v>0</v>
      </c>
      <c r="E21" s="19">
        <v>0</v>
      </c>
      <c r="F21" s="19">
        <v>0.29166666666666669</v>
      </c>
      <c r="G21" s="19">
        <v>0.29166666666666669</v>
      </c>
      <c r="H21" s="19">
        <v>0.29166666666666669</v>
      </c>
      <c r="I21" s="19">
        <v>0.29166666666666669</v>
      </c>
      <c r="J21" s="19">
        <v>0.33333333333333331</v>
      </c>
      <c r="K21" s="20">
        <v>0.33333333333333331</v>
      </c>
      <c r="L21" s="81">
        <f>SUM(C21:K21)</f>
        <v>1.8333333333333333</v>
      </c>
      <c r="M21" s="92">
        <v>0</v>
      </c>
      <c r="N21" s="81"/>
      <c r="O21" s="81">
        <v>1.8333333333333333</v>
      </c>
    </row>
    <row r="22" spans="1:15">
      <c r="A22" s="1" t="s">
        <v>3</v>
      </c>
      <c r="B22" s="108" t="s">
        <v>80</v>
      </c>
      <c r="C22" s="70">
        <v>0.95833333333333337</v>
      </c>
      <c r="D22" s="19">
        <v>0</v>
      </c>
      <c r="E22" s="19">
        <v>0</v>
      </c>
      <c r="F22" s="19">
        <v>0</v>
      </c>
      <c r="G22" s="19">
        <v>2.0833333333333335</v>
      </c>
      <c r="H22" s="19">
        <v>2.0833333333333335</v>
      </c>
      <c r="I22" s="19">
        <v>1.9583333333333335</v>
      </c>
      <c r="J22" s="19">
        <v>0</v>
      </c>
      <c r="K22" s="20">
        <v>0</v>
      </c>
      <c r="L22" s="81">
        <f>SUM(C22:K22)</f>
        <v>7.0833333333333339</v>
      </c>
      <c r="M22" s="92">
        <v>0</v>
      </c>
      <c r="N22" s="81"/>
      <c r="O22" s="81">
        <v>16.041666666666668</v>
      </c>
    </row>
    <row r="23" spans="1:15" ht="19.5" thickBot="1">
      <c r="A23" s="1" t="s">
        <v>3</v>
      </c>
      <c r="B23" s="109" t="s">
        <v>81</v>
      </c>
      <c r="C23" s="71">
        <v>21</v>
      </c>
      <c r="D23" s="42">
        <v>39</v>
      </c>
      <c r="E23" s="42">
        <v>21</v>
      </c>
      <c r="F23" s="42">
        <v>20</v>
      </c>
      <c r="G23" s="42">
        <v>4</v>
      </c>
      <c r="H23" s="42">
        <v>3</v>
      </c>
      <c r="I23" s="42">
        <v>1</v>
      </c>
      <c r="J23" s="42">
        <v>3</v>
      </c>
      <c r="K23" s="43">
        <v>11</v>
      </c>
      <c r="L23" s="82">
        <f>SUM(C23:K23)</f>
        <v>123</v>
      </c>
      <c r="M23" s="93">
        <v>39</v>
      </c>
      <c r="N23" s="82">
        <f>SUM(M23)</f>
        <v>39</v>
      </c>
      <c r="O23" s="82">
        <v>519</v>
      </c>
    </row>
    <row r="24" spans="1:15">
      <c r="A24" s="1" t="s">
        <v>3</v>
      </c>
      <c r="B24" s="107" t="s">
        <v>82</v>
      </c>
      <c r="C24" s="72">
        <v>355000</v>
      </c>
      <c r="D24" s="38">
        <v>280000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9">
        <v>0</v>
      </c>
      <c r="L24" s="83">
        <f>SUM(C24:K24)</f>
        <v>635000</v>
      </c>
      <c r="M24" s="94">
        <v>375000</v>
      </c>
      <c r="N24" s="83">
        <f>SUM(M24)</f>
        <v>375000</v>
      </c>
      <c r="O24" s="83">
        <v>4049000</v>
      </c>
    </row>
    <row r="25" spans="1:15">
      <c r="A25" s="1" t="s">
        <v>3</v>
      </c>
      <c r="B25" s="108" t="s">
        <v>83</v>
      </c>
      <c r="C25" s="73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3">
        <v>0</v>
      </c>
      <c r="L25" s="84">
        <f t="shared" ref="L25:L65" si="1">SUM(C25:K25)</f>
        <v>0</v>
      </c>
      <c r="M25" s="95">
        <v>0</v>
      </c>
      <c r="N25" s="84">
        <f t="shared" ref="N25:N65" si="2">SUM(M25)</f>
        <v>0</v>
      </c>
      <c r="O25" s="84">
        <v>35000</v>
      </c>
    </row>
    <row r="26" spans="1:15">
      <c r="A26" s="1" t="s">
        <v>3</v>
      </c>
      <c r="B26" s="108" t="s">
        <v>84</v>
      </c>
      <c r="C26" s="73">
        <v>0</v>
      </c>
      <c r="D26" s="22">
        <v>3000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3">
        <v>0</v>
      </c>
      <c r="L26" s="84">
        <f t="shared" si="1"/>
        <v>3000</v>
      </c>
      <c r="M26" s="95">
        <v>0</v>
      </c>
      <c r="N26" s="84">
        <f t="shared" si="2"/>
        <v>0</v>
      </c>
      <c r="O26" s="84">
        <v>6000</v>
      </c>
    </row>
    <row r="27" spans="1:15">
      <c r="A27" s="1" t="s">
        <v>3</v>
      </c>
      <c r="B27" s="108" t="s">
        <v>85</v>
      </c>
      <c r="C27" s="73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3">
        <v>0</v>
      </c>
      <c r="L27" s="84">
        <f t="shared" si="1"/>
        <v>0</v>
      </c>
      <c r="M27" s="95">
        <v>0</v>
      </c>
      <c r="N27" s="84">
        <f t="shared" si="2"/>
        <v>0</v>
      </c>
      <c r="O27" s="84">
        <v>0</v>
      </c>
    </row>
    <row r="28" spans="1:15">
      <c r="A28" s="1" t="s">
        <v>3</v>
      </c>
      <c r="B28" s="108" t="s">
        <v>86</v>
      </c>
      <c r="C28" s="73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3">
        <v>0</v>
      </c>
      <c r="L28" s="84">
        <f t="shared" si="1"/>
        <v>0</v>
      </c>
      <c r="M28" s="95">
        <v>0</v>
      </c>
      <c r="N28" s="84">
        <f t="shared" si="2"/>
        <v>0</v>
      </c>
      <c r="O28" s="84">
        <v>109631</v>
      </c>
    </row>
    <row r="29" spans="1:15">
      <c r="A29" s="1" t="s">
        <v>3</v>
      </c>
      <c r="B29" s="108" t="s">
        <v>88</v>
      </c>
      <c r="C29" s="73">
        <v>0</v>
      </c>
      <c r="D29" s="22">
        <v>1000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3">
        <v>0</v>
      </c>
      <c r="L29" s="84">
        <f t="shared" si="1"/>
        <v>1000</v>
      </c>
      <c r="M29" s="95">
        <v>0</v>
      </c>
      <c r="N29" s="84">
        <f t="shared" si="2"/>
        <v>0</v>
      </c>
      <c r="O29" s="84">
        <v>1000</v>
      </c>
    </row>
    <row r="30" spans="1:15">
      <c r="A30" s="1" t="s">
        <v>3</v>
      </c>
      <c r="B30" s="108" t="s">
        <v>89</v>
      </c>
      <c r="C30" s="73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3">
        <v>0</v>
      </c>
      <c r="L30" s="84">
        <f t="shared" si="1"/>
        <v>0</v>
      </c>
      <c r="M30" s="95">
        <v>0</v>
      </c>
      <c r="N30" s="84">
        <f t="shared" si="2"/>
        <v>0</v>
      </c>
      <c r="O30" s="84">
        <v>0</v>
      </c>
    </row>
    <row r="31" spans="1:15">
      <c r="A31" s="1" t="s">
        <v>3</v>
      </c>
      <c r="B31" s="108" t="s">
        <v>90</v>
      </c>
      <c r="C31" s="73">
        <v>0</v>
      </c>
      <c r="D31" s="22">
        <v>0</v>
      </c>
      <c r="E31" s="22">
        <v>83720</v>
      </c>
      <c r="F31" s="22">
        <v>75440</v>
      </c>
      <c r="G31" s="22">
        <v>59640</v>
      </c>
      <c r="H31" s="22">
        <v>63000</v>
      </c>
      <c r="I31" s="22">
        <v>57960</v>
      </c>
      <c r="J31" s="22">
        <v>20160</v>
      </c>
      <c r="K31" s="23">
        <v>73920</v>
      </c>
      <c r="L31" s="84">
        <f t="shared" si="1"/>
        <v>433840</v>
      </c>
      <c r="M31" s="95">
        <v>0</v>
      </c>
      <c r="N31" s="84">
        <f t="shared" si="2"/>
        <v>0</v>
      </c>
      <c r="O31" s="84">
        <v>433840</v>
      </c>
    </row>
    <row r="32" spans="1:15">
      <c r="A32" s="1" t="s">
        <v>3</v>
      </c>
      <c r="B32" s="108" t="s">
        <v>92</v>
      </c>
      <c r="C32" s="73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3">
        <v>0</v>
      </c>
      <c r="L32" s="84">
        <f t="shared" si="1"/>
        <v>0</v>
      </c>
      <c r="M32" s="95">
        <v>0</v>
      </c>
      <c r="N32" s="84">
        <f t="shared" si="2"/>
        <v>0</v>
      </c>
      <c r="O32" s="84">
        <v>0</v>
      </c>
    </row>
    <row r="33" spans="1:15">
      <c r="A33" s="1" t="s">
        <v>3</v>
      </c>
      <c r="B33" s="108" t="s">
        <v>93</v>
      </c>
      <c r="C33" s="73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3">
        <v>0</v>
      </c>
      <c r="L33" s="84">
        <f t="shared" si="1"/>
        <v>0</v>
      </c>
      <c r="M33" s="95">
        <v>0</v>
      </c>
      <c r="N33" s="84">
        <f t="shared" si="2"/>
        <v>0</v>
      </c>
      <c r="O33" s="84">
        <v>0</v>
      </c>
    </row>
    <row r="34" spans="1:15">
      <c r="A34" s="1" t="s">
        <v>3</v>
      </c>
      <c r="B34" s="108" t="s">
        <v>94</v>
      </c>
      <c r="C34" s="73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3">
        <v>0</v>
      </c>
      <c r="L34" s="84">
        <f t="shared" si="1"/>
        <v>0</v>
      </c>
      <c r="M34" s="95">
        <v>0</v>
      </c>
      <c r="N34" s="84">
        <f t="shared" si="2"/>
        <v>0</v>
      </c>
      <c r="O34" s="84">
        <v>15000</v>
      </c>
    </row>
    <row r="35" spans="1:15">
      <c r="A35" s="1" t="s">
        <v>3</v>
      </c>
      <c r="B35" s="108" t="s">
        <v>95</v>
      </c>
      <c r="C35" s="73">
        <v>0</v>
      </c>
      <c r="D35" s="22">
        <v>0</v>
      </c>
      <c r="E35" s="22">
        <v>0</v>
      </c>
      <c r="F35" s="22">
        <v>6440</v>
      </c>
      <c r="G35" s="22">
        <v>5880</v>
      </c>
      <c r="H35" s="22">
        <v>5880</v>
      </c>
      <c r="I35" s="22">
        <v>5880</v>
      </c>
      <c r="J35" s="22">
        <v>6720</v>
      </c>
      <c r="K35" s="23">
        <v>6720</v>
      </c>
      <c r="L35" s="84">
        <f t="shared" si="1"/>
        <v>37520</v>
      </c>
      <c r="M35" s="95">
        <v>0</v>
      </c>
      <c r="N35" s="84">
        <f t="shared" si="2"/>
        <v>0</v>
      </c>
      <c r="O35" s="84">
        <v>37520</v>
      </c>
    </row>
    <row r="36" spans="1:15">
      <c r="A36" s="1" t="s">
        <v>3</v>
      </c>
      <c r="B36" s="108" t="s">
        <v>97</v>
      </c>
      <c r="C36" s="73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3">
        <v>0</v>
      </c>
      <c r="L36" s="84">
        <f t="shared" si="1"/>
        <v>0</v>
      </c>
      <c r="M36" s="95">
        <v>0</v>
      </c>
      <c r="N36" s="84">
        <f t="shared" si="2"/>
        <v>0</v>
      </c>
      <c r="O36" s="84">
        <v>0</v>
      </c>
    </row>
    <row r="37" spans="1:15">
      <c r="A37" s="1" t="s">
        <v>3</v>
      </c>
      <c r="B37" s="108" t="s">
        <v>99</v>
      </c>
      <c r="C37" s="73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3">
        <v>0</v>
      </c>
      <c r="L37" s="84">
        <f t="shared" si="1"/>
        <v>0</v>
      </c>
      <c r="M37" s="95">
        <v>0</v>
      </c>
      <c r="N37" s="84">
        <f t="shared" si="2"/>
        <v>0</v>
      </c>
      <c r="O37" s="84">
        <v>0</v>
      </c>
    </row>
    <row r="38" spans="1:15">
      <c r="A38" s="1" t="s">
        <v>3</v>
      </c>
      <c r="B38" s="108" t="s">
        <v>102</v>
      </c>
      <c r="C38" s="73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3">
        <v>0</v>
      </c>
      <c r="L38" s="84">
        <f t="shared" si="1"/>
        <v>0</v>
      </c>
      <c r="M38" s="95">
        <v>0</v>
      </c>
      <c r="N38" s="84">
        <f t="shared" si="2"/>
        <v>0</v>
      </c>
      <c r="O38" s="84">
        <v>0</v>
      </c>
    </row>
    <row r="39" spans="1:15">
      <c r="A39" s="1" t="s">
        <v>3</v>
      </c>
      <c r="B39" s="108" t="s">
        <v>103</v>
      </c>
      <c r="C39" s="73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3">
        <v>0</v>
      </c>
      <c r="L39" s="84">
        <f t="shared" si="1"/>
        <v>0</v>
      </c>
      <c r="M39" s="95">
        <v>0</v>
      </c>
      <c r="N39" s="84">
        <f t="shared" si="2"/>
        <v>0</v>
      </c>
      <c r="O39" s="102">
        <v>-152522</v>
      </c>
    </row>
    <row r="40" spans="1:15">
      <c r="A40" s="1" t="s">
        <v>3</v>
      </c>
      <c r="B40" s="108" t="s">
        <v>70</v>
      </c>
      <c r="C40" s="73">
        <v>0</v>
      </c>
      <c r="D40" s="22">
        <v>46618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3150</v>
      </c>
      <c r="K40" s="23">
        <v>0</v>
      </c>
      <c r="L40" s="84">
        <f t="shared" si="1"/>
        <v>49768</v>
      </c>
      <c r="M40" s="95">
        <v>0</v>
      </c>
      <c r="N40" s="84">
        <f t="shared" si="2"/>
        <v>0</v>
      </c>
      <c r="O40" s="84">
        <v>1056560</v>
      </c>
    </row>
    <row r="41" spans="1:15">
      <c r="A41" s="1" t="s">
        <v>3</v>
      </c>
      <c r="B41" s="108" t="s">
        <v>105</v>
      </c>
      <c r="C41" s="73">
        <v>0</v>
      </c>
      <c r="D41" s="22">
        <v>16016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3">
        <v>0</v>
      </c>
      <c r="L41" s="84">
        <f t="shared" si="1"/>
        <v>16016</v>
      </c>
      <c r="M41" s="95">
        <v>0</v>
      </c>
      <c r="N41" s="84">
        <f t="shared" si="2"/>
        <v>0</v>
      </c>
      <c r="O41" s="84">
        <v>286769</v>
      </c>
    </row>
    <row r="42" spans="1:15">
      <c r="A42" s="1" t="s">
        <v>3</v>
      </c>
      <c r="B42" s="108" t="s">
        <v>106</v>
      </c>
      <c r="C42" s="73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3">
        <v>0</v>
      </c>
      <c r="L42" s="84">
        <f t="shared" si="1"/>
        <v>0</v>
      </c>
      <c r="M42" s="95">
        <v>0</v>
      </c>
      <c r="N42" s="84">
        <f t="shared" si="2"/>
        <v>0</v>
      </c>
      <c r="O42" s="84">
        <v>171854</v>
      </c>
    </row>
    <row r="43" spans="1:15">
      <c r="A43" s="1" t="s">
        <v>3</v>
      </c>
      <c r="B43" s="108" t="s">
        <v>107</v>
      </c>
      <c r="C43" s="73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3">
        <v>0</v>
      </c>
      <c r="L43" s="84">
        <f t="shared" si="1"/>
        <v>0</v>
      </c>
      <c r="M43" s="95">
        <v>0</v>
      </c>
      <c r="N43" s="84">
        <f t="shared" si="2"/>
        <v>0</v>
      </c>
      <c r="O43" s="84">
        <v>6764</v>
      </c>
    </row>
    <row r="44" spans="1:15">
      <c r="A44" s="1" t="s">
        <v>3</v>
      </c>
      <c r="B44" s="108" t="s">
        <v>108</v>
      </c>
      <c r="C44" s="73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3">
        <v>0</v>
      </c>
      <c r="L44" s="84">
        <f t="shared" si="1"/>
        <v>0</v>
      </c>
      <c r="M44" s="95">
        <v>0</v>
      </c>
      <c r="N44" s="84">
        <f t="shared" si="2"/>
        <v>0</v>
      </c>
      <c r="O44" s="84">
        <v>6052</v>
      </c>
    </row>
    <row r="45" spans="1:15">
      <c r="A45" s="1" t="s">
        <v>3</v>
      </c>
      <c r="B45" s="108" t="s">
        <v>109</v>
      </c>
      <c r="C45" s="73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3">
        <v>0</v>
      </c>
      <c r="L45" s="84">
        <f t="shared" si="1"/>
        <v>0</v>
      </c>
      <c r="M45" s="95">
        <v>0</v>
      </c>
      <c r="N45" s="84">
        <f t="shared" si="2"/>
        <v>0</v>
      </c>
      <c r="O45" s="84">
        <v>0</v>
      </c>
    </row>
    <row r="46" spans="1:15">
      <c r="A46" s="1" t="s">
        <v>3</v>
      </c>
      <c r="B46" s="108" t="s">
        <v>75</v>
      </c>
      <c r="C46" s="73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3">
        <v>0</v>
      </c>
      <c r="L46" s="84">
        <f t="shared" si="1"/>
        <v>0</v>
      </c>
      <c r="M46" s="95">
        <v>0</v>
      </c>
      <c r="N46" s="84">
        <f t="shared" si="2"/>
        <v>0</v>
      </c>
      <c r="O46" s="84">
        <v>0</v>
      </c>
    </row>
    <row r="47" spans="1:15" ht="19.5" thickBot="1">
      <c r="A47" s="1" t="s">
        <v>3</v>
      </c>
      <c r="B47" s="110" t="s">
        <v>80</v>
      </c>
      <c r="C47" s="74">
        <v>12236</v>
      </c>
      <c r="D47" s="47">
        <v>0</v>
      </c>
      <c r="E47" s="47">
        <v>0</v>
      </c>
      <c r="F47" s="47">
        <v>0</v>
      </c>
      <c r="G47" s="47">
        <v>10500</v>
      </c>
      <c r="H47" s="47">
        <v>10500</v>
      </c>
      <c r="I47" s="47">
        <v>9870</v>
      </c>
      <c r="J47" s="47">
        <v>0</v>
      </c>
      <c r="K47" s="48">
        <v>0</v>
      </c>
      <c r="L47" s="85">
        <f t="shared" si="1"/>
        <v>43106</v>
      </c>
      <c r="M47" s="96">
        <v>0</v>
      </c>
      <c r="N47" s="85">
        <f t="shared" si="2"/>
        <v>0</v>
      </c>
      <c r="O47" s="85">
        <v>101508</v>
      </c>
    </row>
    <row r="48" spans="1:15" ht="19.5" thickBot="1">
      <c r="A48" s="1" t="s">
        <v>3</v>
      </c>
      <c r="B48" s="111" t="s">
        <v>110</v>
      </c>
      <c r="C48" s="75">
        <v>367236</v>
      </c>
      <c r="D48" s="52">
        <v>346634</v>
      </c>
      <c r="E48" s="52">
        <v>83720</v>
      </c>
      <c r="F48" s="52">
        <v>81880</v>
      </c>
      <c r="G48" s="52">
        <v>76020</v>
      </c>
      <c r="H48" s="52">
        <v>79380</v>
      </c>
      <c r="I48" s="52">
        <v>73710</v>
      </c>
      <c r="J48" s="52">
        <v>30030</v>
      </c>
      <c r="K48" s="53">
        <v>80640</v>
      </c>
      <c r="L48" s="86">
        <f t="shared" si="1"/>
        <v>1219250</v>
      </c>
      <c r="M48" s="97">
        <v>375000</v>
      </c>
      <c r="N48" s="86">
        <f t="shared" si="2"/>
        <v>375000</v>
      </c>
      <c r="O48" s="86">
        <v>6163976</v>
      </c>
    </row>
    <row r="49" spans="1:15" ht="19.5" thickBot="1">
      <c r="A49" s="1" t="s">
        <v>3</v>
      </c>
      <c r="B49" s="107" t="s">
        <v>111</v>
      </c>
      <c r="C49" s="72">
        <v>3758</v>
      </c>
      <c r="D49" s="38">
        <v>5871</v>
      </c>
      <c r="E49" s="38">
        <v>3132</v>
      </c>
      <c r="F49" s="38">
        <v>1957</v>
      </c>
      <c r="G49" s="38">
        <v>3132</v>
      </c>
      <c r="H49" s="38">
        <v>4306</v>
      </c>
      <c r="I49" s="38">
        <v>4175</v>
      </c>
      <c r="J49" s="38">
        <v>1018</v>
      </c>
      <c r="K49" s="39">
        <v>7672</v>
      </c>
      <c r="L49" s="83">
        <f t="shared" si="1"/>
        <v>35021</v>
      </c>
      <c r="M49" s="94">
        <v>8141</v>
      </c>
      <c r="N49" s="83">
        <f t="shared" si="2"/>
        <v>8141</v>
      </c>
      <c r="O49" s="83">
        <v>139478</v>
      </c>
    </row>
    <row r="50" spans="1:15" ht="19.5" thickBot="1">
      <c r="A50" s="1" t="s">
        <v>3</v>
      </c>
      <c r="B50" s="111" t="s">
        <v>113</v>
      </c>
      <c r="C50" s="75">
        <v>3758</v>
      </c>
      <c r="D50" s="52">
        <v>5871</v>
      </c>
      <c r="E50" s="52">
        <v>3132</v>
      </c>
      <c r="F50" s="52">
        <v>1957</v>
      </c>
      <c r="G50" s="52">
        <v>3132</v>
      </c>
      <c r="H50" s="52">
        <v>4306</v>
      </c>
      <c r="I50" s="52">
        <v>4175</v>
      </c>
      <c r="J50" s="52">
        <v>1018</v>
      </c>
      <c r="K50" s="53">
        <v>7672</v>
      </c>
      <c r="L50" s="86">
        <f t="shared" si="1"/>
        <v>35021</v>
      </c>
      <c r="M50" s="97">
        <v>8141</v>
      </c>
      <c r="N50" s="86">
        <f t="shared" si="2"/>
        <v>8141</v>
      </c>
      <c r="O50" s="86">
        <v>139478</v>
      </c>
    </row>
    <row r="51" spans="1:15" ht="19.5" thickBot="1">
      <c r="A51" s="1" t="s">
        <v>3</v>
      </c>
      <c r="B51" s="111" t="s">
        <v>114</v>
      </c>
      <c r="C51" s="75">
        <v>370994</v>
      </c>
      <c r="D51" s="52">
        <v>352505</v>
      </c>
      <c r="E51" s="52">
        <v>86852</v>
      </c>
      <c r="F51" s="52">
        <v>83837</v>
      </c>
      <c r="G51" s="52">
        <v>79152</v>
      </c>
      <c r="H51" s="52">
        <v>83686</v>
      </c>
      <c r="I51" s="52">
        <v>77885</v>
      </c>
      <c r="J51" s="52">
        <v>31048</v>
      </c>
      <c r="K51" s="53">
        <v>88312</v>
      </c>
      <c r="L51" s="86">
        <f t="shared" si="1"/>
        <v>1254271</v>
      </c>
      <c r="M51" s="97">
        <v>383141</v>
      </c>
      <c r="N51" s="86">
        <f t="shared" si="2"/>
        <v>383141</v>
      </c>
      <c r="O51" s="86">
        <v>6303454</v>
      </c>
    </row>
    <row r="52" spans="1:15">
      <c r="A52" s="1" t="s">
        <v>3</v>
      </c>
      <c r="B52" s="107" t="s">
        <v>115</v>
      </c>
      <c r="C52" s="72">
        <v>19380</v>
      </c>
      <c r="D52" s="38">
        <v>19380</v>
      </c>
      <c r="E52" s="38">
        <v>0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9">
        <v>0</v>
      </c>
      <c r="L52" s="83">
        <f t="shared" si="1"/>
        <v>38760</v>
      </c>
      <c r="M52" s="94">
        <v>19380</v>
      </c>
      <c r="N52" s="83">
        <f t="shared" si="2"/>
        <v>19380</v>
      </c>
      <c r="O52" s="83">
        <v>347820</v>
      </c>
    </row>
    <row r="53" spans="1:15">
      <c r="A53" s="1" t="s">
        <v>3</v>
      </c>
      <c r="B53" s="108" t="s">
        <v>116</v>
      </c>
      <c r="C53" s="73">
        <v>3420</v>
      </c>
      <c r="D53" s="22">
        <v>3420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3">
        <v>0</v>
      </c>
      <c r="L53" s="84">
        <f t="shared" si="1"/>
        <v>6840</v>
      </c>
      <c r="M53" s="95">
        <v>3420</v>
      </c>
      <c r="N53" s="84">
        <f t="shared" si="2"/>
        <v>3420</v>
      </c>
      <c r="O53" s="84">
        <v>56700</v>
      </c>
    </row>
    <row r="54" spans="1:15">
      <c r="A54" s="1" t="s">
        <v>3</v>
      </c>
      <c r="B54" s="108" t="s">
        <v>117</v>
      </c>
      <c r="C54" s="73">
        <v>34770</v>
      </c>
      <c r="D54" s="22">
        <v>34770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3">
        <v>0</v>
      </c>
      <c r="L54" s="84">
        <f t="shared" si="1"/>
        <v>69540</v>
      </c>
      <c r="M54" s="95">
        <v>34770</v>
      </c>
      <c r="N54" s="84">
        <f t="shared" si="2"/>
        <v>34770</v>
      </c>
      <c r="O54" s="84">
        <v>624030</v>
      </c>
    </row>
    <row r="55" spans="1:15" ht="19.5" thickBot="1">
      <c r="A55" s="1" t="s">
        <v>3</v>
      </c>
      <c r="B55" s="108" t="s">
        <v>118</v>
      </c>
      <c r="C55" s="73">
        <v>1113</v>
      </c>
      <c r="D55" s="22">
        <v>1058</v>
      </c>
      <c r="E55" s="22">
        <v>261</v>
      </c>
      <c r="F55" s="22">
        <v>252</v>
      </c>
      <c r="G55" s="22">
        <v>0</v>
      </c>
      <c r="H55" s="22">
        <v>0</v>
      </c>
      <c r="I55" s="22">
        <v>0</v>
      </c>
      <c r="J55" s="22">
        <v>0</v>
      </c>
      <c r="K55" s="23">
        <v>265</v>
      </c>
      <c r="L55" s="84">
        <f t="shared" si="1"/>
        <v>2949</v>
      </c>
      <c r="M55" s="95">
        <v>1149</v>
      </c>
      <c r="N55" s="84">
        <f t="shared" si="2"/>
        <v>1149</v>
      </c>
      <c r="O55" s="84">
        <v>18095</v>
      </c>
    </row>
    <row r="56" spans="1:15" ht="19.5" thickBot="1">
      <c r="A56" s="1" t="s">
        <v>3</v>
      </c>
      <c r="B56" s="111" t="s">
        <v>120</v>
      </c>
      <c r="C56" s="75">
        <v>58683</v>
      </c>
      <c r="D56" s="52">
        <v>58628</v>
      </c>
      <c r="E56" s="52">
        <v>261</v>
      </c>
      <c r="F56" s="52">
        <v>252</v>
      </c>
      <c r="G56" s="52">
        <v>0</v>
      </c>
      <c r="H56" s="52">
        <v>0</v>
      </c>
      <c r="I56" s="52">
        <v>0</v>
      </c>
      <c r="J56" s="52">
        <v>0</v>
      </c>
      <c r="K56" s="53">
        <v>265</v>
      </c>
      <c r="L56" s="86">
        <f t="shared" si="1"/>
        <v>118089</v>
      </c>
      <c r="M56" s="97">
        <v>58719</v>
      </c>
      <c r="N56" s="86">
        <f t="shared" si="2"/>
        <v>58719</v>
      </c>
      <c r="O56" s="86">
        <v>1046645</v>
      </c>
    </row>
    <row r="57" spans="1:15">
      <c r="A57" s="1" t="s">
        <v>3</v>
      </c>
      <c r="B57" s="107" t="s">
        <v>121</v>
      </c>
      <c r="C57" s="72">
        <v>9080</v>
      </c>
      <c r="D57" s="38">
        <v>6290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9">
        <v>0</v>
      </c>
      <c r="L57" s="83">
        <f t="shared" si="1"/>
        <v>15370</v>
      </c>
      <c r="M57" s="94">
        <v>9710</v>
      </c>
      <c r="N57" s="83">
        <f t="shared" si="2"/>
        <v>9710</v>
      </c>
      <c r="O57" s="83">
        <v>107160</v>
      </c>
    </row>
    <row r="58" spans="1:15">
      <c r="A58" s="1" t="s">
        <v>3</v>
      </c>
      <c r="B58" s="108" t="s">
        <v>122</v>
      </c>
      <c r="C58" s="73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3">
        <v>0</v>
      </c>
      <c r="L58" s="84">
        <f t="shared" si="1"/>
        <v>0</v>
      </c>
      <c r="M58" s="95">
        <v>0</v>
      </c>
      <c r="N58" s="84">
        <f t="shared" si="2"/>
        <v>0</v>
      </c>
      <c r="O58" s="84">
        <v>16900</v>
      </c>
    </row>
    <row r="59" spans="1:15">
      <c r="A59" s="1" t="s">
        <v>3</v>
      </c>
      <c r="B59" s="108" t="s">
        <v>123</v>
      </c>
      <c r="C59" s="73">
        <v>15200</v>
      </c>
      <c r="D59" s="22">
        <v>16300</v>
      </c>
      <c r="E59" s="22">
        <v>600</v>
      </c>
      <c r="F59" s="22">
        <v>500</v>
      </c>
      <c r="G59" s="22">
        <v>0</v>
      </c>
      <c r="H59" s="22">
        <v>0</v>
      </c>
      <c r="I59" s="22">
        <v>0</v>
      </c>
      <c r="J59" s="22">
        <v>0</v>
      </c>
      <c r="K59" s="23">
        <v>11600</v>
      </c>
      <c r="L59" s="84">
        <f t="shared" si="1"/>
        <v>44200</v>
      </c>
      <c r="M59" s="95">
        <v>17800</v>
      </c>
      <c r="N59" s="84">
        <f t="shared" si="2"/>
        <v>17800</v>
      </c>
      <c r="O59" s="84">
        <v>258100</v>
      </c>
    </row>
    <row r="60" spans="1:15" ht="19.5" thickBot="1">
      <c r="A60" s="1" t="s">
        <v>3</v>
      </c>
      <c r="B60" s="108" t="s">
        <v>124</v>
      </c>
      <c r="C60" s="73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3">
        <v>0</v>
      </c>
      <c r="L60" s="84">
        <f t="shared" si="1"/>
        <v>0</v>
      </c>
      <c r="M60" s="95">
        <v>0</v>
      </c>
      <c r="N60" s="84">
        <f t="shared" si="2"/>
        <v>0</v>
      </c>
      <c r="O60" s="84">
        <v>0</v>
      </c>
    </row>
    <row r="61" spans="1:15" ht="19.5" thickBot="1">
      <c r="A61" s="1" t="s">
        <v>3</v>
      </c>
      <c r="B61" s="111" t="s">
        <v>128</v>
      </c>
      <c r="C61" s="75">
        <v>82963</v>
      </c>
      <c r="D61" s="52">
        <v>81218</v>
      </c>
      <c r="E61" s="52">
        <v>861</v>
      </c>
      <c r="F61" s="52">
        <v>752</v>
      </c>
      <c r="G61" s="52">
        <v>0</v>
      </c>
      <c r="H61" s="52">
        <v>0</v>
      </c>
      <c r="I61" s="52">
        <v>0</v>
      </c>
      <c r="J61" s="52">
        <v>0</v>
      </c>
      <c r="K61" s="53">
        <v>11865</v>
      </c>
      <c r="L61" s="86">
        <f t="shared" si="1"/>
        <v>177659</v>
      </c>
      <c r="M61" s="97">
        <v>86229</v>
      </c>
      <c r="N61" s="86">
        <f t="shared" si="2"/>
        <v>86229</v>
      </c>
      <c r="O61" s="86">
        <v>1428805</v>
      </c>
    </row>
    <row r="62" spans="1:15" ht="19.5" thickBot="1">
      <c r="A62" s="1" t="s">
        <v>3</v>
      </c>
      <c r="B62" s="111" t="s">
        <v>129</v>
      </c>
      <c r="C62" s="75">
        <v>308553</v>
      </c>
      <c r="D62" s="52">
        <v>288006</v>
      </c>
      <c r="E62" s="52">
        <v>83459</v>
      </c>
      <c r="F62" s="52">
        <v>81628</v>
      </c>
      <c r="G62" s="52">
        <v>76020</v>
      </c>
      <c r="H62" s="52">
        <v>79380</v>
      </c>
      <c r="I62" s="52">
        <v>73710</v>
      </c>
      <c r="J62" s="52">
        <v>30030</v>
      </c>
      <c r="K62" s="53">
        <v>80375</v>
      </c>
      <c r="L62" s="86">
        <f t="shared" si="1"/>
        <v>1101161</v>
      </c>
      <c r="M62" s="97">
        <v>316281</v>
      </c>
      <c r="N62" s="86">
        <f t="shared" si="2"/>
        <v>316281</v>
      </c>
      <c r="O62" s="86">
        <v>5117331</v>
      </c>
    </row>
    <row r="63" spans="1:15" ht="19.5" thickBot="1">
      <c r="A63" s="1" t="s">
        <v>3</v>
      </c>
      <c r="B63" s="111" t="s">
        <v>130</v>
      </c>
      <c r="C63" s="75">
        <v>288031</v>
      </c>
      <c r="D63" s="52">
        <v>271287</v>
      </c>
      <c r="E63" s="52">
        <v>85991</v>
      </c>
      <c r="F63" s="52">
        <v>83085</v>
      </c>
      <c r="G63" s="52">
        <v>79152</v>
      </c>
      <c r="H63" s="52">
        <v>83686</v>
      </c>
      <c r="I63" s="52">
        <v>77885</v>
      </c>
      <c r="J63" s="52">
        <v>31048</v>
      </c>
      <c r="K63" s="53">
        <v>76447</v>
      </c>
      <c r="L63" s="86">
        <f t="shared" si="1"/>
        <v>1076612</v>
      </c>
      <c r="M63" s="97">
        <v>296912</v>
      </c>
      <c r="N63" s="86">
        <f t="shared" si="2"/>
        <v>296912</v>
      </c>
      <c r="O63" s="86">
        <v>4874649</v>
      </c>
    </row>
    <row r="64" spans="1:15">
      <c r="A64" s="1" t="s">
        <v>3</v>
      </c>
      <c r="B64" s="107" t="s">
        <v>131</v>
      </c>
      <c r="C64" s="72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9">
        <v>0</v>
      </c>
      <c r="L64" s="83">
        <f t="shared" si="1"/>
        <v>0</v>
      </c>
      <c r="M64" s="94">
        <v>0</v>
      </c>
      <c r="N64" s="83">
        <f t="shared" si="2"/>
        <v>0</v>
      </c>
      <c r="O64" s="83">
        <v>0</v>
      </c>
    </row>
    <row r="65" spans="1:15">
      <c r="A65" s="1" t="s">
        <v>3</v>
      </c>
      <c r="B65" s="108" t="s">
        <v>132</v>
      </c>
      <c r="C65" s="73">
        <v>288031</v>
      </c>
      <c r="D65" s="22">
        <v>271287</v>
      </c>
      <c r="E65" s="22">
        <v>85991</v>
      </c>
      <c r="F65" s="22">
        <v>83085</v>
      </c>
      <c r="G65" s="22">
        <v>79152</v>
      </c>
      <c r="H65" s="22">
        <v>83686</v>
      </c>
      <c r="I65" s="22">
        <v>77885</v>
      </c>
      <c r="J65" s="22">
        <v>31048</v>
      </c>
      <c r="K65" s="23">
        <v>76447</v>
      </c>
      <c r="L65" s="84">
        <f t="shared" si="1"/>
        <v>1076612</v>
      </c>
      <c r="M65" s="95">
        <v>296912</v>
      </c>
      <c r="N65" s="84">
        <f t="shared" si="2"/>
        <v>296912</v>
      </c>
      <c r="O65" s="84">
        <v>4874649</v>
      </c>
    </row>
    <row r="66" spans="1:15">
      <c r="A66" s="1" t="s">
        <v>3</v>
      </c>
      <c r="B66" s="108" t="s">
        <v>133</v>
      </c>
      <c r="C66" s="73">
        <v>0</v>
      </c>
      <c r="D66" s="22">
        <v>1</v>
      </c>
      <c r="E66" s="22">
        <v>0</v>
      </c>
      <c r="F66" s="22">
        <v>0</v>
      </c>
      <c r="G66" s="22">
        <v>1</v>
      </c>
      <c r="H66" s="22">
        <v>1</v>
      </c>
      <c r="I66" s="22">
        <v>1</v>
      </c>
      <c r="J66" s="22">
        <v>1</v>
      </c>
      <c r="K66" s="23">
        <v>1</v>
      </c>
      <c r="L66" s="84"/>
      <c r="M66" s="95">
        <v>0</v>
      </c>
      <c r="N66" s="84"/>
      <c r="O66" s="10"/>
    </row>
    <row r="67" spans="1:15" ht="19.5" thickBot="1">
      <c r="A67" s="1" t="s">
        <v>3</v>
      </c>
      <c r="B67" s="109" t="s">
        <v>134</v>
      </c>
      <c r="C67" s="76" t="s">
        <v>135</v>
      </c>
      <c r="D67" s="25" t="s">
        <v>135</v>
      </c>
      <c r="E67" s="25" t="s">
        <v>135</v>
      </c>
      <c r="F67" s="25" t="s">
        <v>135</v>
      </c>
      <c r="G67" s="25" t="s">
        <v>135</v>
      </c>
      <c r="H67" s="25" t="s">
        <v>135</v>
      </c>
      <c r="I67" s="25" t="s">
        <v>135</v>
      </c>
      <c r="J67" s="25" t="s">
        <v>135</v>
      </c>
      <c r="K67" s="26" t="s">
        <v>135</v>
      </c>
      <c r="L67" s="87"/>
      <c r="M67" s="98" t="s">
        <v>135</v>
      </c>
      <c r="N67" s="87"/>
      <c r="O67" s="11"/>
    </row>
  </sheetData>
  <phoneticPr fontId="3"/>
  <pageMargins left="0.31496062992125984" right="0.31496062992125984" top="0.15748031496062992" bottom="0.35433070866141736" header="0.11811023622047245" footer="0.11811023622047245"/>
  <pageSetup paperSize="9"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8C21-39A1-4A35-8280-ECEF7E30DF25}">
  <sheetPr>
    <pageSetUpPr fitToPage="1"/>
  </sheetPr>
  <dimension ref="A1:V67"/>
  <sheetViews>
    <sheetView showZeros="0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20" width="11.625" style="2" customWidth="1"/>
    <col min="21" max="245" width="9" style="2"/>
    <col min="246" max="246" width="2.375" style="2" customWidth="1"/>
    <col min="247" max="247" width="13.25" style="2" bestFit="1" customWidth="1"/>
    <col min="248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53" width="11.125" style="2" bestFit="1" customWidth="1"/>
    <col min="254" max="254" width="9" style="2"/>
    <col min="255" max="265" width="11.125" style="2" bestFit="1" customWidth="1"/>
    <col min="266" max="267" width="9" style="2"/>
    <col min="268" max="275" width="11.125" style="2" bestFit="1" customWidth="1"/>
    <col min="276" max="276" width="9.625" style="2" bestFit="1" customWidth="1"/>
    <col min="277" max="501" width="9" style="2"/>
    <col min="502" max="502" width="2.375" style="2" customWidth="1"/>
    <col min="503" max="503" width="13.25" style="2" bestFit="1" customWidth="1"/>
    <col min="504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09" width="11.125" style="2" bestFit="1" customWidth="1"/>
    <col min="510" max="510" width="9" style="2"/>
    <col min="511" max="521" width="11.125" style="2" bestFit="1" customWidth="1"/>
    <col min="522" max="523" width="9" style="2"/>
    <col min="524" max="531" width="11.125" style="2" bestFit="1" customWidth="1"/>
    <col min="532" max="532" width="9.625" style="2" bestFit="1" customWidth="1"/>
    <col min="533" max="757" width="9" style="2"/>
    <col min="758" max="758" width="2.375" style="2" customWidth="1"/>
    <col min="759" max="759" width="13.25" style="2" bestFit="1" customWidth="1"/>
    <col min="760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65" width="11.125" style="2" bestFit="1" customWidth="1"/>
    <col min="766" max="766" width="9" style="2"/>
    <col min="767" max="777" width="11.125" style="2" bestFit="1" customWidth="1"/>
    <col min="778" max="779" width="9" style="2"/>
    <col min="780" max="787" width="11.125" style="2" bestFit="1" customWidth="1"/>
    <col min="788" max="788" width="9.625" style="2" bestFit="1" customWidth="1"/>
    <col min="789" max="1013" width="9" style="2"/>
    <col min="1014" max="1014" width="2.375" style="2" customWidth="1"/>
    <col min="1015" max="1015" width="13.25" style="2" bestFit="1" customWidth="1"/>
    <col min="1016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21" width="11.125" style="2" bestFit="1" customWidth="1"/>
    <col min="1022" max="1022" width="9" style="2"/>
    <col min="1023" max="1033" width="11.125" style="2" bestFit="1" customWidth="1"/>
    <col min="1034" max="1035" width="9" style="2"/>
    <col min="1036" max="1043" width="11.125" style="2" bestFit="1" customWidth="1"/>
    <col min="1044" max="1044" width="9.625" style="2" bestFit="1" customWidth="1"/>
    <col min="1045" max="1269" width="9" style="2"/>
    <col min="1270" max="1270" width="2.375" style="2" customWidth="1"/>
    <col min="1271" max="1271" width="13.25" style="2" bestFit="1" customWidth="1"/>
    <col min="1272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77" width="11.125" style="2" bestFit="1" customWidth="1"/>
    <col min="1278" max="1278" width="9" style="2"/>
    <col min="1279" max="1289" width="11.125" style="2" bestFit="1" customWidth="1"/>
    <col min="1290" max="1291" width="9" style="2"/>
    <col min="1292" max="1299" width="11.125" style="2" bestFit="1" customWidth="1"/>
    <col min="1300" max="1300" width="9.625" style="2" bestFit="1" customWidth="1"/>
    <col min="1301" max="1525" width="9" style="2"/>
    <col min="1526" max="1526" width="2.375" style="2" customWidth="1"/>
    <col min="1527" max="1527" width="13.25" style="2" bestFit="1" customWidth="1"/>
    <col min="1528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33" width="11.125" style="2" bestFit="1" customWidth="1"/>
    <col min="1534" max="1534" width="9" style="2"/>
    <col min="1535" max="1545" width="11.125" style="2" bestFit="1" customWidth="1"/>
    <col min="1546" max="1547" width="9" style="2"/>
    <col min="1548" max="1555" width="11.125" style="2" bestFit="1" customWidth="1"/>
    <col min="1556" max="1556" width="9.625" style="2" bestFit="1" customWidth="1"/>
    <col min="1557" max="1781" width="9" style="2"/>
    <col min="1782" max="1782" width="2.375" style="2" customWidth="1"/>
    <col min="1783" max="1783" width="13.25" style="2" bestFit="1" customWidth="1"/>
    <col min="1784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89" width="11.125" style="2" bestFit="1" customWidth="1"/>
    <col min="1790" max="1790" width="9" style="2"/>
    <col min="1791" max="1801" width="11.125" style="2" bestFit="1" customWidth="1"/>
    <col min="1802" max="1803" width="9" style="2"/>
    <col min="1804" max="1811" width="11.125" style="2" bestFit="1" customWidth="1"/>
    <col min="1812" max="1812" width="9.625" style="2" bestFit="1" customWidth="1"/>
    <col min="1813" max="2037" width="9" style="2"/>
    <col min="2038" max="2038" width="2.375" style="2" customWidth="1"/>
    <col min="2039" max="2039" width="13.25" style="2" bestFit="1" customWidth="1"/>
    <col min="2040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45" width="11.125" style="2" bestFit="1" customWidth="1"/>
    <col min="2046" max="2046" width="9" style="2"/>
    <col min="2047" max="2057" width="11.125" style="2" bestFit="1" customWidth="1"/>
    <col min="2058" max="2059" width="9" style="2"/>
    <col min="2060" max="2067" width="11.125" style="2" bestFit="1" customWidth="1"/>
    <col min="2068" max="2068" width="9.625" style="2" bestFit="1" customWidth="1"/>
    <col min="2069" max="2293" width="9" style="2"/>
    <col min="2294" max="2294" width="2.375" style="2" customWidth="1"/>
    <col min="2295" max="2295" width="13.25" style="2" bestFit="1" customWidth="1"/>
    <col min="2296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01" width="11.125" style="2" bestFit="1" customWidth="1"/>
    <col min="2302" max="2302" width="9" style="2"/>
    <col min="2303" max="2313" width="11.125" style="2" bestFit="1" customWidth="1"/>
    <col min="2314" max="2315" width="9" style="2"/>
    <col min="2316" max="2323" width="11.125" style="2" bestFit="1" customWidth="1"/>
    <col min="2324" max="2324" width="9.625" style="2" bestFit="1" customWidth="1"/>
    <col min="2325" max="2549" width="9" style="2"/>
    <col min="2550" max="2550" width="2.375" style="2" customWidth="1"/>
    <col min="2551" max="2551" width="13.25" style="2" bestFit="1" customWidth="1"/>
    <col min="2552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57" width="11.125" style="2" bestFit="1" customWidth="1"/>
    <col min="2558" max="2558" width="9" style="2"/>
    <col min="2559" max="2569" width="11.125" style="2" bestFit="1" customWidth="1"/>
    <col min="2570" max="2571" width="9" style="2"/>
    <col min="2572" max="2579" width="11.125" style="2" bestFit="1" customWidth="1"/>
    <col min="2580" max="2580" width="9.625" style="2" bestFit="1" customWidth="1"/>
    <col min="2581" max="2805" width="9" style="2"/>
    <col min="2806" max="2806" width="2.375" style="2" customWidth="1"/>
    <col min="2807" max="2807" width="13.25" style="2" bestFit="1" customWidth="1"/>
    <col min="2808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13" width="11.125" style="2" bestFit="1" customWidth="1"/>
    <col min="2814" max="2814" width="9" style="2"/>
    <col min="2815" max="2825" width="11.125" style="2" bestFit="1" customWidth="1"/>
    <col min="2826" max="2827" width="9" style="2"/>
    <col min="2828" max="2835" width="11.125" style="2" bestFit="1" customWidth="1"/>
    <col min="2836" max="2836" width="9.625" style="2" bestFit="1" customWidth="1"/>
    <col min="2837" max="3061" width="9" style="2"/>
    <col min="3062" max="3062" width="2.375" style="2" customWidth="1"/>
    <col min="3063" max="3063" width="13.25" style="2" bestFit="1" customWidth="1"/>
    <col min="3064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69" width="11.125" style="2" bestFit="1" customWidth="1"/>
    <col min="3070" max="3070" width="9" style="2"/>
    <col min="3071" max="3081" width="11.125" style="2" bestFit="1" customWidth="1"/>
    <col min="3082" max="3083" width="9" style="2"/>
    <col min="3084" max="3091" width="11.125" style="2" bestFit="1" customWidth="1"/>
    <col min="3092" max="3092" width="9.625" style="2" bestFit="1" customWidth="1"/>
    <col min="3093" max="3317" width="9" style="2"/>
    <col min="3318" max="3318" width="2.375" style="2" customWidth="1"/>
    <col min="3319" max="3319" width="13.25" style="2" bestFit="1" customWidth="1"/>
    <col min="3320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25" width="11.125" style="2" bestFit="1" customWidth="1"/>
    <col min="3326" max="3326" width="9" style="2"/>
    <col min="3327" max="3337" width="11.125" style="2" bestFit="1" customWidth="1"/>
    <col min="3338" max="3339" width="9" style="2"/>
    <col min="3340" max="3347" width="11.125" style="2" bestFit="1" customWidth="1"/>
    <col min="3348" max="3348" width="9.625" style="2" bestFit="1" customWidth="1"/>
    <col min="3349" max="3573" width="9" style="2"/>
    <col min="3574" max="3574" width="2.375" style="2" customWidth="1"/>
    <col min="3575" max="3575" width="13.25" style="2" bestFit="1" customWidth="1"/>
    <col min="3576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81" width="11.125" style="2" bestFit="1" customWidth="1"/>
    <col min="3582" max="3582" width="9" style="2"/>
    <col min="3583" max="3593" width="11.125" style="2" bestFit="1" customWidth="1"/>
    <col min="3594" max="3595" width="9" style="2"/>
    <col min="3596" max="3603" width="11.125" style="2" bestFit="1" customWidth="1"/>
    <col min="3604" max="3604" width="9.625" style="2" bestFit="1" customWidth="1"/>
    <col min="3605" max="3829" width="9" style="2"/>
    <col min="3830" max="3830" width="2.375" style="2" customWidth="1"/>
    <col min="3831" max="3831" width="13.25" style="2" bestFit="1" customWidth="1"/>
    <col min="3832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37" width="11.125" style="2" bestFit="1" customWidth="1"/>
    <col min="3838" max="3838" width="9" style="2"/>
    <col min="3839" max="3849" width="11.125" style="2" bestFit="1" customWidth="1"/>
    <col min="3850" max="3851" width="9" style="2"/>
    <col min="3852" max="3859" width="11.125" style="2" bestFit="1" customWidth="1"/>
    <col min="3860" max="3860" width="9.625" style="2" bestFit="1" customWidth="1"/>
    <col min="3861" max="4085" width="9" style="2"/>
    <col min="4086" max="4086" width="2.375" style="2" customWidth="1"/>
    <col min="4087" max="4087" width="13.25" style="2" bestFit="1" customWidth="1"/>
    <col min="4088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093" width="11.125" style="2" bestFit="1" customWidth="1"/>
    <col min="4094" max="4094" width="9" style="2"/>
    <col min="4095" max="4105" width="11.125" style="2" bestFit="1" customWidth="1"/>
    <col min="4106" max="4107" width="9" style="2"/>
    <col min="4108" max="4115" width="11.125" style="2" bestFit="1" customWidth="1"/>
    <col min="4116" max="4116" width="9.625" style="2" bestFit="1" customWidth="1"/>
    <col min="4117" max="4341" width="9" style="2"/>
    <col min="4342" max="4342" width="2.375" style="2" customWidth="1"/>
    <col min="4343" max="4343" width="13.25" style="2" bestFit="1" customWidth="1"/>
    <col min="4344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49" width="11.125" style="2" bestFit="1" customWidth="1"/>
    <col min="4350" max="4350" width="9" style="2"/>
    <col min="4351" max="4361" width="11.125" style="2" bestFit="1" customWidth="1"/>
    <col min="4362" max="4363" width="9" style="2"/>
    <col min="4364" max="4371" width="11.125" style="2" bestFit="1" customWidth="1"/>
    <col min="4372" max="4372" width="9.625" style="2" bestFit="1" customWidth="1"/>
    <col min="4373" max="4597" width="9" style="2"/>
    <col min="4598" max="4598" width="2.375" style="2" customWidth="1"/>
    <col min="4599" max="4599" width="13.25" style="2" bestFit="1" customWidth="1"/>
    <col min="4600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05" width="11.125" style="2" bestFit="1" customWidth="1"/>
    <col min="4606" max="4606" width="9" style="2"/>
    <col min="4607" max="4617" width="11.125" style="2" bestFit="1" customWidth="1"/>
    <col min="4618" max="4619" width="9" style="2"/>
    <col min="4620" max="4627" width="11.125" style="2" bestFit="1" customWidth="1"/>
    <col min="4628" max="4628" width="9.625" style="2" bestFit="1" customWidth="1"/>
    <col min="4629" max="4853" width="9" style="2"/>
    <col min="4854" max="4854" width="2.375" style="2" customWidth="1"/>
    <col min="4855" max="4855" width="13.25" style="2" bestFit="1" customWidth="1"/>
    <col min="4856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61" width="11.125" style="2" bestFit="1" customWidth="1"/>
    <col min="4862" max="4862" width="9" style="2"/>
    <col min="4863" max="4873" width="11.125" style="2" bestFit="1" customWidth="1"/>
    <col min="4874" max="4875" width="9" style="2"/>
    <col min="4876" max="4883" width="11.125" style="2" bestFit="1" customWidth="1"/>
    <col min="4884" max="4884" width="9.625" style="2" bestFit="1" customWidth="1"/>
    <col min="4885" max="5109" width="9" style="2"/>
    <col min="5110" max="5110" width="2.375" style="2" customWidth="1"/>
    <col min="5111" max="5111" width="13.25" style="2" bestFit="1" customWidth="1"/>
    <col min="5112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17" width="11.125" style="2" bestFit="1" customWidth="1"/>
    <col min="5118" max="5118" width="9" style="2"/>
    <col min="5119" max="5129" width="11.125" style="2" bestFit="1" customWidth="1"/>
    <col min="5130" max="5131" width="9" style="2"/>
    <col min="5132" max="5139" width="11.125" style="2" bestFit="1" customWidth="1"/>
    <col min="5140" max="5140" width="9.625" style="2" bestFit="1" customWidth="1"/>
    <col min="5141" max="5365" width="9" style="2"/>
    <col min="5366" max="5366" width="2.375" style="2" customWidth="1"/>
    <col min="5367" max="5367" width="13.25" style="2" bestFit="1" customWidth="1"/>
    <col min="5368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73" width="11.125" style="2" bestFit="1" customWidth="1"/>
    <col min="5374" max="5374" width="9" style="2"/>
    <col min="5375" max="5385" width="11.125" style="2" bestFit="1" customWidth="1"/>
    <col min="5386" max="5387" width="9" style="2"/>
    <col min="5388" max="5395" width="11.125" style="2" bestFit="1" customWidth="1"/>
    <col min="5396" max="5396" width="9.625" style="2" bestFit="1" customWidth="1"/>
    <col min="5397" max="5621" width="9" style="2"/>
    <col min="5622" max="5622" width="2.375" style="2" customWidth="1"/>
    <col min="5623" max="5623" width="13.25" style="2" bestFit="1" customWidth="1"/>
    <col min="5624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29" width="11.125" style="2" bestFit="1" customWidth="1"/>
    <col min="5630" max="5630" width="9" style="2"/>
    <col min="5631" max="5641" width="11.125" style="2" bestFit="1" customWidth="1"/>
    <col min="5642" max="5643" width="9" style="2"/>
    <col min="5644" max="5651" width="11.125" style="2" bestFit="1" customWidth="1"/>
    <col min="5652" max="5652" width="9.625" style="2" bestFit="1" customWidth="1"/>
    <col min="5653" max="5877" width="9" style="2"/>
    <col min="5878" max="5878" width="2.375" style="2" customWidth="1"/>
    <col min="5879" max="5879" width="13.25" style="2" bestFit="1" customWidth="1"/>
    <col min="5880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85" width="11.125" style="2" bestFit="1" customWidth="1"/>
    <col min="5886" max="5886" width="9" style="2"/>
    <col min="5887" max="5897" width="11.125" style="2" bestFit="1" customWidth="1"/>
    <col min="5898" max="5899" width="9" style="2"/>
    <col min="5900" max="5907" width="11.125" style="2" bestFit="1" customWidth="1"/>
    <col min="5908" max="5908" width="9.625" style="2" bestFit="1" customWidth="1"/>
    <col min="5909" max="6133" width="9" style="2"/>
    <col min="6134" max="6134" width="2.375" style="2" customWidth="1"/>
    <col min="6135" max="6135" width="13.25" style="2" bestFit="1" customWidth="1"/>
    <col min="6136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41" width="11.125" style="2" bestFit="1" customWidth="1"/>
    <col min="6142" max="6142" width="9" style="2"/>
    <col min="6143" max="6153" width="11.125" style="2" bestFit="1" customWidth="1"/>
    <col min="6154" max="6155" width="9" style="2"/>
    <col min="6156" max="6163" width="11.125" style="2" bestFit="1" customWidth="1"/>
    <col min="6164" max="6164" width="9.625" style="2" bestFit="1" customWidth="1"/>
    <col min="6165" max="6389" width="9" style="2"/>
    <col min="6390" max="6390" width="2.375" style="2" customWidth="1"/>
    <col min="6391" max="6391" width="13.25" style="2" bestFit="1" customWidth="1"/>
    <col min="6392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397" width="11.125" style="2" bestFit="1" customWidth="1"/>
    <col min="6398" max="6398" width="9" style="2"/>
    <col min="6399" max="6409" width="11.125" style="2" bestFit="1" customWidth="1"/>
    <col min="6410" max="6411" width="9" style="2"/>
    <col min="6412" max="6419" width="11.125" style="2" bestFit="1" customWidth="1"/>
    <col min="6420" max="6420" width="9.625" style="2" bestFit="1" customWidth="1"/>
    <col min="6421" max="6645" width="9" style="2"/>
    <col min="6646" max="6646" width="2.375" style="2" customWidth="1"/>
    <col min="6647" max="6647" width="13.25" style="2" bestFit="1" customWidth="1"/>
    <col min="6648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53" width="11.125" style="2" bestFit="1" customWidth="1"/>
    <col min="6654" max="6654" width="9" style="2"/>
    <col min="6655" max="6665" width="11.125" style="2" bestFit="1" customWidth="1"/>
    <col min="6666" max="6667" width="9" style="2"/>
    <col min="6668" max="6675" width="11.125" style="2" bestFit="1" customWidth="1"/>
    <col min="6676" max="6676" width="9.625" style="2" bestFit="1" customWidth="1"/>
    <col min="6677" max="6901" width="9" style="2"/>
    <col min="6902" max="6902" width="2.375" style="2" customWidth="1"/>
    <col min="6903" max="6903" width="13.25" style="2" bestFit="1" customWidth="1"/>
    <col min="6904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09" width="11.125" style="2" bestFit="1" customWidth="1"/>
    <col min="6910" max="6910" width="9" style="2"/>
    <col min="6911" max="6921" width="11.125" style="2" bestFit="1" customWidth="1"/>
    <col min="6922" max="6923" width="9" style="2"/>
    <col min="6924" max="6931" width="11.125" style="2" bestFit="1" customWidth="1"/>
    <col min="6932" max="6932" width="9.625" style="2" bestFit="1" customWidth="1"/>
    <col min="6933" max="7157" width="9" style="2"/>
    <col min="7158" max="7158" width="2.375" style="2" customWidth="1"/>
    <col min="7159" max="7159" width="13.25" style="2" bestFit="1" customWidth="1"/>
    <col min="7160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65" width="11.125" style="2" bestFit="1" customWidth="1"/>
    <col min="7166" max="7166" width="9" style="2"/>
    <col min="7167" max="7177" width="11.125" style="2" bestFit="1" customWidth="1"/>
    <col min="7178" max="7179" width="9" style="2"/>
    <col min="7180" max="7187" width="11.125" style="2" bestFit="1" customWidth="1"/>
    <col min="7188" max="7188" width="9.625" style="2" bestFit="1" customWidth="1"/>
    <col min="7189" max="7413" width="9" style="2"/>
    <col min="7414" max="7414" width="2.375" style="2" customWidth="1"/>
    <col min="7415" max="7415" width="13.25" style="2" bestFit="1" customWidth="1"/>
    <col min="7416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21" width="11.125" style="2" bestFit="1" customWidth="1"/>
    <col min="7422" max="7422" width="9" style="2"/>
    <col min="7423" max="7433" width="11.125" style="2" bestFit="1" customWidth="1"/>
    <col min="7434" max="7435" width="9" style="2"/>
    <col min="7436" max="7443" width="11.125" style="2" bestFit="1" customWidth="1"/>
    <col min="7444" max="7444" width="9.625" style="2" bestFit="1" customWidth="1"/>
    <col min="7445" max="7669" width="9" style="2"/>
    <col min="7670" max="7670" width="2.375" style="2" customWidth="1"/>
    <col min="7671" max="7671" width="13.25" style="2" bestFit="1" customWidth="1"/>
    <col min="7672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77" width="11.125" style="2" bestFit="1" customWidth="1"/>
    <col min="7678" max="7678" width="9" style="2"/>
    <col min="7679" max="7689" width="11.125" style="2" bestFit="1" customWidth="1"/>
    <col min="7690" max="7691" width="9" style="2"/>
    <col min="7692" max="7699" width="11.125" style="2" bestFit="1" customWidth="1"/>
    <col min="7700" max="7700" width="9.625" style="2" bestFit="1" customWidth="1"/>
    <col min="7701" max="7925" width="9" style="2"/>
    <col min="7926" max="7926" width="2.375" style="2" customWidth="1"/>
    <col min="7927" max="7927" width="13.25" style="2" bestFit="1" customWidth="1"/>
    <col min="7928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33" width="11.125" style="2" bestFit="1" customWidth="1"/>
    <col min="7934" max="7934" width="9" style="2"/>
    <col min="7935" max="7945" width="11.125" style="2" bestFit="1" customWidth="1"/>
    <col min="7946" max="7947" width="9" style="2"/>
    <col min="7948" max="7955" width="11.125" style="2" bestFit="1" customWidth="1"/>
    <col min="7956" max="7956" width="9.625" style="2" bestFit="1" customWidth="1"/>
    <col min="7957" max="8181" width="9" style="2"/>
    <col min="8182" max="8182" width="2.375" style="2" customWidth="1"/>
    <col min="8183" max="8183" width="13.25" style="2" bestFit="1" customWidth="1"/>
    <col min="8184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89" width="11.125" style="2" bestFit="1" customWidth="1"/>
    <col min="8190" max="8190" width="9" style="2"/>
    <col min="8191" max="8201" width="11.125" style="2" bestFit="1" customWidth="1"/>
    <col min="8202" max="8203" width="9" style="2"/>
    <col min="8204" max="8211" width="11.125" style="2" bestFit="1" customWidth="1"/>
    <col min="8212" max="8212" width="9.625" style="2" bestFit="1" customWidth="1"/>
    <col min="8213" max="8437" width="9" style="2"/>
    <col min="8438" max="8438" width="2.375" style="2" customWidth="1"/>
    <col min="8439" max="8439" width="13.25" style="2" bestFit="1" customWidth="1"/>
    <col min="8440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45" width="11.125" style="2" bestFit="1" customWidth="1"/>
    <col min="8446" max="8446" width="9" style="2"/>
    <col min="8447" max="8457" width="11.125" style="2" bestFit="1" customWidth="1"/>
    <col min="8458" max="8459" width="9" style="2"/>
    <col min="8460" max="8467" width="11.125" style="2" bestFit="1" customWidth="1"/>
    <col min="8468" max="8468" width="9.625" style="2" bestFit="1" customWidth="1"/>
    <col min="8469" max="8693" width="9" style="2"/>
    <col min="8694" max="8694" width="2.375" style="2" customWidth="1"/>
    <col min="8695" max="8695" width="13.25" style="2" bestFit="1" customWidth="1"/>
    <col min="8696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01" width="11.125" style="2" bestFit="1" customWidth="1"/>
    <col min="8702" max="8702" width="9" style="2"/>
    <col min="8703" max="8713" width="11.125" style="2" bestFit="1" customWidth="1"/>
    <col min="8714" max="8715" width="9" style="2"/>
    <col min="8716" max="8723" width="11.125" style="2" bestFit="1" customWidth="1"/>
    <col min="8724" max="8724" width="9.625" style="2" bestFit="1" customWidth="1"/>
    <col min="8725" max="8949" width="9" style="2"/>
    <col min="8950" max="8950" width="2.375" style="2" customWidth="1"/>
    <col min="8951" max="8951" width="13.25" style="2" bestFit="1" customWidth="1"/>
    <col min="8952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57" width="11.125" style="2" bestFit="1" customWidth="1"/>
    <col min="8958" max="8958" width="9" style="2"/>
    <col min="8959" max="8969" width="11.125" style="2" bestFit="1" customWidth="1"/>
    <col min="8970" max="8971" width="9" style="2"/>
    <col min="8972" max="8979" width="11.125" style="2" bestFit="1" customWidth="1"/>
    <col min="8980" max="8980" width="9.625" style="2" bestFit="1" customWidth="1"/>
    <col min="8981" max="9205" width="9" style="2"/>
    <col min="9206" max="9206" width="2.375" style="2" customWidth="1"/>
    <col min="9207" max="9207" width="13.25" style="2" bestFit="1" customWidth="1"/>
    <col min="9208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13" width="11.125" style="2" bestFit="1" customWidth="1"/>
    <col min="9214" max="9214" width="9" style="2"/>
    <col min="9215" max="9225" width="11.125" style="2" bestFit="1" customWidth="1"/>
    <col min="9226" max="9227" width="9" style="2"/>
    <col min="9228" max="9235" width="11.125" style="2" bestFit="1" customWidth="1"/>
    <col min="9236" max="9236" width="9.625" style="2" bestFit="1" customWidth="1"/>
    <col min="9237" max="9461" width="9" style="2"/>
    <col min="9462" max="9462" width="2.375" style="2" customWidth="1"/>
    <col min="9463" max="9463" width="13.25" style="2" bestFit="1" customWidth="1"/>
    <col min="9464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69" width="11.125" style="2" bestFit="1" customWidth="1"/>
    <col min="9470" max="9470" width="9" style="2"/>
    <col min="9471" max="9481" width="11.125" style="2" bestFit="1" customWidth="1"/>
    <col min="9482" max="9483" width="9" style="2"/>
    <col min="9484" max="9491" width="11.125" style="2" bestFit="1" customWidth="1"/>
    <col min="9492" max="9492" width="9.625" style="2" bestFit="1" customWidth="1"/>
    <col min="9493" max="9717" width="9" style="2"/>
    <col min="9718" max="9718" width="2.375" style="2" customWidth="1"/>
    <col min="9719" max="9719" width="13.25" style="2" bestFit="1" customWidth="1"/>
    <col min="9720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25" width="11.125" style="2" bestFit="1" customWidth="1"/>
    <col min="9726" max="9726" width="9" style="2"/>
    <col min="9727" max="9737" width="11.125" style="2" bestFit="1" customWidth="1"/>
    <col min="9738" max="9739" width="9" style="2"/>
    <col min="9740" max="9747" width="11.125" style="2" bestFit="1" customWidth="1"/>
    <col min="9748" max="9748" width="9.625" style="2" bestFit="1" customWidth="1"/>
    <col min="9749" max="9973" width="9" style="2"/>
    <col min="9974" max="9974" width="2.375" style="2" customWidth="1"/>
    <col min="9975" max="9975" width="13.25" style="2" bestFit="1" customWidth="1"/>
    <col min="9976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81" width="11.125" style="2" bestFit="1" customWidth="1"/>
    <col min="9982" max="9982" width="9" style="2"/>
    <col min="9983" max="9993" width="11.125" style="2" bestFit="1" customWidth="1"/>
    <col min="9994" max="9995" width="9" style="2"/>
    <col min="9996" max="10003" width="11.125" style="2" bestFit="1" customWidth="1"/>
    <col min="10004" max="10004" width="9.625" style="2" bestFit="1" customWidth="1"/>
    <col min="10005" max="10229" width="9" style="2"/>
    <col min="10230" max="10230" width="2.375" style="2" customWidth="1"/>
    <col min="10231" max="10231" width="13.25" style="2" bestFit="1" customWidth="1"/>
    <col min="10232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37" width="11.125" style="2" bestFit="1" customWidth="1"/>
    <col min="10238" max="10238" width="9" style="2"/>
    <col min="10239" max="10249" width="11.125" style="2" bestFit="1" customWidth="1"/>
    <col min="10250" max="10251" width="9" style="2"/>
    <col min="10252" max="10259" width="11.125" style="2" bestFit="1" customWidth="1"/>
    <col min="10260" max="10260" width="9.625" style="2" bestFit="1" customWidth="1"/>
    <col min="10261" max="10485" width="9" style="2"/>
    <col min="10486" max="10486" width="2.375" style="2" customWidth="1"/>
    <col min="10487" max="10487" width="13.25" style="2" bestFit="1" customWidth="1"/>
    <col min="10488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493" width="11.125" style="2" bestFit="1" customWidth="1"/>
    <col min="10494" max="10494" width="9" style="2"/>
    <col min="10495" max="10505" width="11.125" style="2" bestFit="1" customWidth="1"/>
    <col min="10506" max="10507" width="9" style="2"/>
    <col min="10508" max="10515" width="11.125" style="2" bestFit="1" customWidth="1"/>
    <col min="10516" max="10516" width="9.625" style="2" bestFit="1" customWidth="1"/>
    <col min="10517" max="10741" width="9" style="2"/>
    <col min="10742" max="10742" width="2.375" style="2" customWidth="1"/>
    <col min="10743" max="10743" width="13.25" style="2" bestFit="1" customWidth="1"/>
    <col min="10744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49" width="11.125" style="2" bestFit="1" customWidth="1"/>
    <col min="10750" max="10750" width="9" style="2"/>
    <col min="10751" max="10761" width="11.125" style="2" bestFit="1" customWidth="1"/>
    <col min="10762" max="10763" width="9" style="2"/>
    <col min="10764" max="10771" width="11.125" style="2" bestFit="1" customWidth="1"/>
    <col min="10772" max="10772" width="9.625" style="2" bestFit="1" customWidth="1"/>
    <col min="10773" max="10997" width="9" style="2"/>
    <col min="10998" max="10998" width="2.375" style="2" customWidth="1"/>
    <col min="10999" max="10999" width="13.25" style="2" bestFit="1" customWidth="1"/>
    <col min="11000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05" width="11.125" style="2" bestFit="1" customWidth="1"/>
    <col min="11006" max="11006" width="9" style="2"/>
    <col min="11007" max="11017" width="11.125" style="2" bestFit="1" customWidth="1"/>
    <col min="11018" max="11019" width="9" style="2"/>
    <col min="11020" max="11027" width="11.125" style="2" bestFit="1" customWidth="1"/>
    <col min="11028" max="11028" width="9.625" style="2" bestFit="1" customWidth="1"/>
    <col min="11029" max="11253" width="9" style="2"/>
    <col min="11254" max="11254" width="2.375" style="2" customWidth="1"/>
    <col min="11255" max="11255" width="13.25" style="2" bestFit="1" customWidth="1"/>
    <col min="11256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61" width="11.125" style="2" bestFit="1" customWidth="1"/>
    <col min="11262" max="11262" width="9" style="2"/>
    <col min="11263" max="11273" width="11.125" style="2" bestFit="1" customWidth="1"/>
    <col min="11274" max="11275" width="9" style="2"/>
    <col min="11276" max="11283" width="11.125" style="2" bestFit="1" customWidth="1"/>
    <col min="11284" max="11284" width="9.625" style="2" bestFit="1" customWidth="1"/>
    <col min="11285" max="11509" width="9" style="2"/>
    <col min="11510" max="11510" width="2.375" style="2" customWidth="1"/>
    <col min="11511" max="11511" width="13.25" style="2" bestFit="1" customWidth="1"/>
    <col min="11512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17" width="11.125" style="2" bestFit="1" customWidth="1"/>
    <col min="11518" max="11518" width="9" style="2"/>
    <col min="11519" max="11529" width="11.125" style="2" bestFit="1" customWidth="1"/>
    <col min="11530" max="11531" width="9" style="2"/>
    <col min="11532" max="11539" width="11.125" style="2" bestFit="1" customWidth="1"/>
    <col min="11540" max="11540" width="9.625" style="2" bestFit="1" customWidth="1"/>
    <col min="11541" max="11765" width="9" style="2"/>
    <col min="11766" max="11766" width="2.375" style="2" customWidth="1"/>
    <col min="11767" max="11767" width="13.25" style="2" bestFit="1" customWidth="1"/>
    <col min="11768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73" width="11.125" style="2" bestFit="1" customWidth="1"/>
    <col min="11774" max="11774" width="9" style="2"/>
    <col min="11775" max="11785" width="11.125" style="2" bestFit="1" customWidth="1"/>
    <col min="11786" max="11787" width="9" style="2"/>
    <col min="11788" max="11795" width="11.125" style="2" bestFit="1" customWidth="1"/>
    <col min="11796" max="11796" width="9.625" style="2" bestFit="1" customWidth="1"/>
    <col min="11797" max="12021" width="9" style="2"/>
    <col min="12022" max="12022" width="2.375" style="2" customWidth="1"/>
    <col min="12023" max="12023" width="13.25" style="2" bestFit="1" customWidth="1"/>
    <col min="12024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29" width="11.125" style="2" bestFit="1" customWidth="1"/>
    <col min="12030" max="12030" width="9" style="2"/>
    <col min="12031" max="12041" width="11.125" style="2" bestFit="1" customWidth="1"/>
    <col min="12042" max="12043" width="9" style="2"/>
    <col min="12044" max="12051" width="11.125" style="2" bestFit="1" customWidth="1"/>
    <col min="12052" max="12052" width="9.625" style="2" bestFit="1" customWidth="1"/>
    <col min="12053" max="12277" width="9" style="2"/>
    <col min="12278" max="12278" width="2.375" style="2" customWidth="1"/>
    <col min="12279" max="12279" width="13.25" style="2" bestFit="1" customWidth="1"/>
    <col min="12280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85" width="11.125" style="2" bestFit="1" customWidth="1"/>
    <col min="12286" max="12286" width="9" style="2"/>
    <col min="12287" max="12297" width="11.125" style="2" bestFit="1" customWidth="1"/>
    <col min="12298" max="12299" width="9" style="2"/>
    <col min="12300" max="12307" width="11.125" style="2" bestFit="1" customWidth="1"/>
    <col min="12308" max="12308" width="9.625" style="2" bestFit="1" customWidth="1"/>
    <col min="12309" max="12533" width="9" style="2"/>
    <col min="12534" max="12534" width="2.375" style="2" customWidth="1"/>
    <col min="12535" max="12535" width="13.25" style="2" bestFit="1" customWidth="1"/>
    <col min="12536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41" width="11.125" style="2" bestFit="1" customWidth="1"/>
    <col min="12542" max="12542" width="9" style="2"/>
    <col min="12543" max="12553" width="11.125" style="2" bestFit="1" customWidth="1"/>
    <col min="12554" max="12555" width="9" style="2"/>
    <col min="12556" max="12563" width="11.125" style="2" bestFit="1" customWidth="1"/>
    <col min="12564" max="12564" width="9.625" style="2" bestFit="1" customWidth="1"/>
    <col min="12565" max="12789" width="9" style="2"/>
    <col min="12790" max="12790" width="2.375" style="2" customWidth="1"/>
    <col min="12791" max="12791" width="13.25" style="2" bestFit="1" customWidth="1"/>
    <col min="12792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797" width="11.125" style="2" bestFit="1" customWidth="1"/>
    <col min="12798" max="12798" width="9" style="2"/>
    <col min="12799" max="12809" width="11.125" style="2" bestFit="1" customWidth="1"/>
    <col min="12810" max="12811" width="9" style="2"/>
    <col min="12812" max="12819" width="11.125" style="2" bestFit="1" customWidth="1"/>
    <col min="12820" max="12820" width="9.625" style="2" bestFit="1" customWidth="1"/>
    <col min="12821" max="13045" width="9" style="2"/>
    <col min="13046" max="13046" width="2.375" style="2" customWidth="1"/>
    <col min="13047" max="13047" width="13.25" style="2" bestFit="1" customWidth="1"/>
    <col min="13048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53" width="11.125" style="2" bestFit="1" customWidth="1"/>
    <col min="13054" max="13054" width="9" style="2"/>
    <col min="13055" max="13065" width="11.125" style="2" bestFit="1" customWidth="1"/>
    <col min="13066" max="13067" width="9" style="2"/>
    <col min="13068" max="13075" width="11.125" style="2" bestFit="1" customWidth="1"/>
    <col min="13076" max="13076" width="9.625" style="2" bestFit="1" customWidth="1"/>
    <col min="13077" max="13301" width="9" style="2"/>
    <col min="13302" max="13302" width="2.375" style="2" customWidth="1"/>
    <col min="13303" max="13303" width="13.25" style="2" bestFit="1" customWidth="1"/>
    <col min="13304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09" width="11.125" style="2" bestFit="1" customWidth="1"/>
    <col min="13310" max="13310" width="9" style="2"/>
    <col min="13311" max="13321" width="11.125" style="2" bestFit="1" customWidth="1"/>
    <col min="13322" max="13323" width="9" style="2"/>
    <col min="13324" max="13331" width="11.125" style="2" bestFit="1" customWidth="1"/>
    <col min="13332" max="13332" width="9.625" style="2" bestFit="1" customWidth="1"/>
    <col min="13333" max="13557" width="9" style="2"/>
    <col min="13558" max="13558" width="2.375" style="2" customWidth="1"/>
    <col min="13559" max="13559" width="13.25" style="2" bestFit="1" customWidth="1"/>
    <col min="13560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65" width="11.125" style="2" bestFit="1" customWidth="1"/>
    <col min="13566" max="13566" width="9" style="2"/>
    <col min="13567" max="13577" width="11.125" style="2" bestFit="1" customWidth="1"/>
    <col min="13578" max="13579" width="9" style="2"/>
    <col min="13580" max="13587" width="11.125" style="2" bestFit="1" customWidth="1"/>
    <col min="13588" max="13588" width="9.625" style="2" bestFit="1" customWidth="1"/>
    <col min="13589" max="13813" width="9" style="2"/>
    <col min="13814" max="13814" width="2.375" style="2" customWidth="1"/>
    <col min="13815" max="13815" width="13.25" style="2" bestFit="1" customWidth="1"/>
    <col min="13816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21" width="11.125" style="2" bestFit="1" customWidth="1"/>
    <col min="13822" max="13822" width="9" style="2"/>
    <col min="13823" max="13833" width="11.125" style="2" bestFit="1" customWidth="1"/>
    <col min="13834" max="13835" width="9" style="2"/>
    <col min="13836" max="13843" width="11.125" style="2" bestFit="1" customWidth="1"/>
    <col min="13844" max="13844" width="9.625" style="2" bestFit="1" customWidth="1"/>
    <col min="13845" max="14069" width="9" style="2"/>
    <col min="14070" max="14070" width="2.375" style="2" customWidth="1"/>
    <col min="14071" max="14071" width="13.25" style="2" bestFit="1" customWidth="1"/>
    <col min="14072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77" width="11.125" style="2" bestFit="1" customWidth="1"/>
    <col min="14078" max="14078" width="9" style="2"/>
    <col min="14079" max="14089" width="11.125" style="2" bestFit="1" customWidth="1"/>
    <col min="14090" max="14091" width="9" style="2"/>
    <col min="14092" max="14099" width="11.125" style="2" bestFit="1" customWidth="1"/>
    <col min="14100" max="14100" width="9.625" style="2" bestFit="1" customWidth="1"/>
    <col min="14101" max="14325" width="9" style="2"/>
    <col min="14326" max="14326" width="2.375" style="2" customWidth="1"/>
    <col min="14327" max="14327" width="13.25" style="2" bestFit="1" customWidth="1"/>
    <col min="14328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33" width="11.125" style="2" bestFit="1" customWidth="1"/>
    <col min="14334" max="14334" width="9" style="2"/>
    <col min="14335" max="14345" width="11.125" style="2" bestFit="1" customWidth="1"/>
    <col min="14346" max="14347" width="9" style="2"/>
    <col min="14348" max="14355" width="11.125" style="2" bestFit="1" customWidth="1"/>
    <col min="14356" max="14356" width="9.625" style="2" bestFit="1" customWidth="1"/>
    <col min="14357" max="14581" width="9" style="2"/>
    <col min="14582" max="14582" width="2.375" style="2" customWidth="1"/>
    <col min="14583" max="14583" width="13.25" style="2" bestFit="1" customWidth="1"/>
    <col min="14584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89" width="11.125" style="2" bestFit="1" customWidth="1"/>
    <col min="14590" max="14590" width="9" style="2"/>
    <col min="14591" max="14601" width="11.125" style="2" bestFit="1" customWidth="1"/>
    <col min="14602" max="14603" width="9" style="2"/>
    <col min="14604" max="14611" width="11.125" style="2" bestFit="1" customWidth="1"/>
    <col min="14612" max="14612" width="9.625" style="2" bestFit="1" customWidth="1"/>
    <col min="14613" max="14837" width="9" style="2"/>
    <col min="14838" max="14838" width="2.375" style="2" customWidth="1"/>
    <col min="14839" max="14839" width="13.25" style="2" bestFit="1" customWidth="1"/>
    <col min="14840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45" width="11.125" style="2" bestFit="1" customWidth="1"/>
    <col min="14846" max="14846" width="9" style="2"/>
    <col min="14847" max="14857" width="11.125" style="2" bestFit="1" customWidth="1"/>
    <col min="14858" max="14859" width="9" style="2"/>
    <col min="14860" max="14867" width="11.125" style="2" bestFit="1" customWidth="1"/>
    <col min="14868" max="14868" width="9.625" style="2" bestFit="1" customWidth="1"/>
    <col min="14869" max="15093" width="9" style="2"/>
    <col min="15094" max="15094" width="2.375" style="2" customWidth="1"/>
    <col min="15095" max="15095" width="13.25" style="2" bestFit="1" customWidth="1"/>
    <col min="15096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01" width="11.125" style="2" bestFit="1" customWidth="1"/>
    <col min="15102" max="15102" width="9" style="2"/>
    <col min="15103" max="15113" width="11.125" style="2" bestFit="1" customWidth="1"/>
    <col min="15114" max="15115" width="9" style="2"/>
    <col min="15116" max="15123" width="11.125" style="2" bestFit="1" customWidth="1"/>
    <col min="15124" max="15124" width="9.625" style="2" bestFit="1" customWidth="1"/>
    <col min="15125" max="15349" width="9" style="2"/>
    <col min="15350" max="15350" width="2.375" style="2" customWidth="1"/>
    <col min="15351" max="15351" width="13.25" style="2" bestFit="1" customWidth="1"/>
    <col min="15352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57" width="11.125" style="2" bestFit="1" customWidth="1"/>
    <col min="15358" max="15358" width="9" style="2"/>
    <col min="15359" max="15369" width="11.125" style="2" bestFit="1" customWidth="1"/>
    <col min="15370" max="15371" width="9" style="2"/>
    <col min="15372" max="15379" width="11.125" style="2" bestFit="1" customWidth="1"/>
    <col min="15380" max="15380" width="9.625" style="2" bestFit="1" customWidth="1"/>
    <col min="15381" max="15605" width="9" style="2"/>
    <col min="15606" max="15606" width="2.375" style="2" customWidth="1"/>
    <col min="15607" max="15607" width="13.25" style="2" bestFit="1" customWidth="1"/>
    <col min="15608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13" width="11.125" style="2" bestFit="1" customWidth="1"/>
    <col min="15614" max="15614" width="9" style="2"/>
    <col min="15615" max="15625" width="11.125" style="2" bestFit="1" customWidth="1"/>
    <col min="15626" max="15627" width="9" style="2"/>
    <col min="15628" max="15635" width="11.125" style="2" bestFit="1" customWidth="1"/>
    <col min="15636" max="15636" width="9.625" style="2" bestFit="1" customWidth="1"/>
    <col min="15637" max="15861" width="9" style="2"/>
    <col min="15862" max="15862" width="2.375" style="2" customWidth="1"/>
    <col min="15863" max="15863" width="13.25" style="2" bestFit="1" customWidth="1"/>
    <col min="15864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69" width="11.125" style="2" bestFit="1" customWidth="1"/>
    <col min="15870" max="15870" width="9" style="2"/>
    <col min="15871" max="15881" width="11.125" style="2" bestFit="1" customWidth="1"/>
    <col min="15882" max="15883" width="9" style="2"/>
    <col min="15884" max="15891" width="11.125" style="2" bestFit="1" customWidth="1"/>
    <col min="15892" max="15892" width="9.625" style="2" bestFit="1" customWidth="1"/>
    <col min="15893" max="16117" width="9" style="2"/>
    <col min="16118" max="16118" width="2.375" style="2" customWidth="1"/>
    <col min="16119" max="16119" width="13.25" style="2" bestFit="1" customWidth="1"/>
    <col min="16120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25" width="11.125" style="2" bestFit="1" customWidth="1"/>
    <col min="16126" max="16126" width="9" style="2"/>
    <col min="16127" max="16137" width="11.125" style="2" bestFit="1" customWidth="1"/>
    <col min="16138" max="16139" width="9" style="2"/>
    <col min="16140" max="16147" width="11.125" style="2" bestFit="1" customWidth="1"/>
    <col min="16148" max="16148" width="9.625" style="2" bestFit="1" customWidth="1"/>
    <col min="16149" max="16384" width="9" style="2"/>
  </cols>
  <sheetData>
    <row r="1" spans="1:22">
      <c r="A1" s="1" t="s">
        <v>0</v>
      </c>
    </row>
    <row r="2" spans="1:22" ht="19.5" thickBot="1">
      <c r="A2" s="1" t="s">
        <v>136</v>
      </c>
    </row>
    <row r="3" spans="1:22">
      <c r="B3" s="4"/>
      <c r="C3" s="12" t="s">
        <v>4</v>
      </c>
      <c r="D3" s="13" t="s">
        <v>5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  <c r="K3" s="13" t="s">
        <v>14</v>
      </c>
      <c r="L3" s="13" t="s">
        <v>15</v>
      </c>
      <c r="M3" s="13" t="s">
        <v>16</v>
      </c>
      <c r="N3" s="13" t="s">
        <v>17</v>
      </c>
      <c r="O3" s="13" t="s">
        <v>18</v>
      </c>
      <c r="P3" s="13" t="s">
        <v>20</v>
      </c>
      <c r="Q3" s="13" t="s">
        <v>21</v>
      </c>
      <c r="R3" s="13" t="s">
        <v>22</v>
      </c>
      <c r="S3" s="55" t="s">
        <v>23</v>
      </c>
      <c r="T3" s="77" t="s">
        <v>137</v>
      </c>
    </row>
    <row r="4" spans="1:22" ht="19.5" thickBot="1">
      <c r="A4" s="103"/>
      <c r="B4" s="32" t="s">
        <v>31</v>
      </c>
      <c r="C4" s="33" t="s">
        <v>32</v>
      </c>
      <c r="D4" s="34" t="s">
        <v>33</v>
      </c>
      <c r="E4" s="34" t="s">
        <v>36</v>
      </c>
      <c r="F4" s="34" t="s">
        <v>37</v>
      </c>
      <c r="G4" s="34" t="s">
        <v>38</v>
      </c>
      <c r="H4" s="34" t="s">
        <v>39</v>
      </c>
      <c r="I4" s="34" t="s">
        <v>40</v>
      </c>
      <c r="J4" s="34" t="s">
        <v>41</v>
      </c>
      <c r="K4" s="34" t="s">
        <v>42</v>
      </c>
      <c r="L4" s="34" t="s">
        <v>43</v>
      </c>
      <c r="M4" s="34" t="s">
        <v>44</v>
      </c>
      <c r="N4" s="34" t="s">
        <v>45</v>
      </c>
      <c r="O4" s="34" t="s">
        <v>46</v>
      </c>
      <c r="P4" s="34" t="s">
        <v>48</v>
      </c>
      <c r="Q4" s="34" t="s">
        <v>49</v>
      </c>
      <c r="R4" s="34" t="s">
        <v>50</v>
      </c>
      <c r="S4" s="56" t="s">
        <v>51</v>
      </c>
      <c r="T4" s="78" t="s">
        <v>138</v>
      </c>
    </row>
    <row r="5" spans="1:22">
      <c r="A5" s="1" t="s">
        <v>3</v>
      </c>
      <c r="B5" s="27" t="s">
        <v>60</v>
      </c>
      <c r="C5" s="28">
        <v>19</v>
      </c>
      <c r="D5" s="29">
        <v>19</v>
      </c>
      <c r="E5" s="29">
        <v>18</v>
      </c>
      <c r="F5" s="29">
        <v>19</v>
      </c>
      <c r="G5" s="29">
        <v>21</v>
      </c>
      <c r="H5" s="29">
        <v>20</v>
      </c>
      <c r="I5" s="29">
        <v>19</v>
      </c>
      <c r="J5" s="29">
        <v>22</v>
      </c>
      <c r="K5" s="29">
        <v>21</v>
      </c>
      <c r="L5" s="29">
        <v>22</v>
      </c>
      <c r="M5" s="29">
        <v>24</v>
      </c>
      <c r="N5" s="29">
        <v>6</v>
      </c>
      <c r="O5" s="29">
        <v>23</v>
      </c>
      <c r="P5" s="29">
        <v>22</v>
      </c>
      <c r="Q5" s="29">
        <v>20</v>
      </c>
      <c r="R5" s="29">
        <v>18</v>
      </c>
      <c r="S5" s="57">
        <v>20</v>
      </c>
      <c r="T5" s="79">
        <f>SUM(C5:S5)</f>
        <v>333</v>
      </c>
      <c r="V5"/>
    </row>
    <row r="6" spans="1:22">
      <c r="A6" s="1" t="s">
        <v>3</v>
      </c>
      <c r="B6" s="6" t="s">
        <v>61</v>
      </c>
      <c r="C6" s="15">
        <v>2</v>
      </c>
      <c r="D6" s="16">
        <v>1</v>
      </c>
      <c r="E6" s="16">
        <v>2</v>
      </c>
      <c r="F6" s="16">
        <v>1</v>
      </c>
      <c r="G6" s="16">
        <v>2</v>
      </c>
      <c r="H6" s="16">
        <v>1</v>
      </c>
      <c r="I6" s="16">
        <v>2</v>
      </c>
      <c r="J6" s="16">
        <v>1</v>
      </c>
      <c r="K6" s="16">
        <v>3</v>
      </c>
      <c r="L6" s="16">
        <v>1</v>
      </c>
      <c r="M6" s="16">
        <v>1</v>
      </c>
      <c r="N6" s="16">
        <v>1</v>
      </c>
      <c r="O6" s="16">
        <v>2</v>
      </c>
      <c r="P6" s="16">
        <v>1</v>
      </c>
      <c r="Q6" s="16">
        <v>0</v>
      </c>
      <c r="R6" s="16">
        <v>1</v>
      </c>
      <c r="S6" s="58">
        <v>1</v>
      </c>
      <c r="T6" s="79">
        <f t="shared" ref="T6:T11" si="0">SUM(C6:S6)</f>
        <v>23</v>
      </c>
      <c r="V6"/>
    </row>
    <row r="7" spans="1:22">
      <c r="A7" s="1" t="s">
        <v>3</v>
      </c>
      <c r="B7" s="6" t="s">
        <v>62</v>
      </c>
      <c r="C7" s="15">
        <v>2</v>
      </c>
      <c r="D7" s="16">
        <v>1</v>
      </c>
      <c r="E7" s="16">
        <v>2</v>
      </c>
      <c r="F7" s="16">
        <v>2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2</v>
      </c>
      <c r="M7" s="16">
        <v>0</v>
      </c>
      <c r="N7" s="16">
        <v>0</v>
      </c>
      <c r="O7" s="16">
        <v>1</v>
      </c>
      <c r="P7" s="16">
        <v>0</v>
      </c>
      <c r="Q7" s="16">
        <v>0</v>
      </c>
      <c r="R7" s="16">
        <v>1</v>
      </c>
      <c r="S7" s="58">
        <v>1</v>
      </c>
      <c r="T7" s="79">
        <f t="shared" si="0"/>
        <v>17</v>
      </c>
      <c r="V7"/>
    </row>
    <row r="8" spans="1:22">
      <c r="A8" s="1" t="s">
        <v>3</v>
      </c>
      <c r="B8" s="6" t="s">
        <v>63</v>
      </c>
      <c r="C8" s="15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2</v>
      </c>
      <c r="S8" s="58">
        <v>2</v>
      </c>
      <c r="T8" s="79">
        <f t="shared" si="0"/>
        <v>4</v>
      </c>
      <c r="V8"/>
    </row>
    <row r="9" spans="1:22">
      <c r="A9" s="1" t="s">
        <v>3</v>
      </c>
      <c r="B9" s="6" t="s">
        <v>64</v>
      </c>
      <c r="C9" s="15">
        <v>5</v>
      </c>
      <c r="D9" s="16">
        <v>5</v>
      </c>
      <c r="E9" s="16">
        <v>4</v>
      </c>
      <c r="F9" s="16">
        <v>5</v>
      </c>
      <c r="G9" s="16">
        <v>3</v>
      </c>
      <c r="H9" s="16">
        <v>4</v>
      </c>
      <c r="I9" s="16">
        <v>5</v>
      </c>
      <c r="J9" s="16">
        <v>2</v>
      </c>
      <c r="K9" s="16">
        <v>3</v>
      </c>
      <c r="L9" s="16">
        <v>2</v>
      </c>
      <c r="M9" s="16">
        <v>0</v>
      </c>
      <c r="N9" s="16">
        <v>2</v>
      </c>
      <c r="O9" s="16">
        <v>1</v>
      </c>
      <c r="P9" s="16">
        <v>2</v>
      </c>
      <c r="Q9" s="16">
        <v>4</v>
      </c>
      <c r="R9" s="16">
        <v>4</v>
      </c>
      <c r="S9" s="58">
        <v>0</v>
      </c>
      <c r="T9" s="79">
        <f t="shared" si="0"/>
        <v>51</v>
      </c>
      <c r="V9"/>
    </row>
    <row r="10" spans="1:22">
      <c r="A10" s="1" t="s">
        <v>3</v>
      </c>
      <c r="B10" s="6" t="s">
        <v>65</v>
      </c>
      <c r="C10" s="15">
        <v>0</v>
      </c>
      <c r="D10" s="16">
        <v>0</v>
      </c>
      <c r="E10" s="16">
        <v>2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58">
        <v>0</v>
      </c>
      <c r="T10" s="79">
        <f t="shared" si="0"/>
        <v>2</v>
      </c>
      <c r="V10"/>
    </row>
    <row r="11" spans="1:22">
      <c r="A11" s="1" t="s">
        <v>3</v>
      </c>
      <c r="B11" s="6" t="s">
        <v>66</v>
      </c>
      <c r="C11" s="15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16</v>
      </c>
      <c r="O11" s="16">
        <v>0</v>
      </c>
      <c r="P11" s="16">
        <v>0</v>
      </c>
      <c r="Q11" s="16">
        <v>0</v>
      </c>
      <c r="R11" s="16">
        <v>0</v>
      </c>
      <c r="S11" s="58">
        <v>2</v>
      </c>
      <c r="T11" s="79">
        <f t="shared" si="0"/>
        <v>18</v>
      </c>
      <c r="V11"/>
    </row>
    <row r="12" spans="1:22">
      <c r="A12" s="1" t="s">
        <v>3</v>
      </c>
      <c r="B12" s="6" t="s">
        <v>67</v>
      </c>
      <c r="C12" s="15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58">
        <v>0</v>
      </c>
      <c r="T12" s="80"/>
      <c r="V12"/>
    </row>
    <row r="13" spans="1:22">
      <c r="A13" s="1" t="s">
        <v>3</v>
      </c>
      <c r="B13" s="6" t="s">
        <v>68</v>
      </c>
      <c r="C13" s="18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59">
        <v>0</v>
      </c>
      <c r="T13" s="81"/>
      <c r="V13"/>
    </row>
    <row r="14" spans="1:22">
      <c r="A14" s="1" t="s">
        <v>3</v>
      </c>
      <c r="B14" s="6" t="s">
        <v>69</v>
      </c>
      <c r="C14" s="18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59">
        <v>0</v>
      </c>
      <c r="T14" s="81"/>
      <c r="V14"/>
    </row>
    <row r="15" spans="1:22">
      <c r="A15" s="1" t="s">
        <v>3</v>
      </c>
      <c r="B15" s="6" t="s">
        <v>70</v>
      </c>
      <c r="C15" s="18">
        <v>1.2916666666666667</v>
      </c>
      <c r="D15" s="19">
        <v>0.58333333333333337</v>
      </c>
      <c r="E15" s="19">
        <v>0.20833333333333334</v>
      </c>
      <c r="F15" s="19">
        <v>2.625</v>
      </c>
      <c r="G15" s="19">
        <v>1.2083333333333333</v>
      </c>
      <c r="H15" s="19">
        <v>2.7916666666666665</v>
      </c>
      <c r="I15" s="19">
        <v>2.7083333333333335</v>
      </c>
      <c r="J15" s="19">
        <v>2.375</v>
      </c>
      <c r="K15" s="19">
        <v>2.5416666666666665</v>
      </c>
      <c r="L15" s="19">
        <v>2.9166666666666665</v>
      </c>
      <c r="M15" s="19">
        <v>2.1666666666666665</v>
      </c>
      <c r="N15" s="19">
        <v>0.54166666666666663</v>
      </c>
      <c r="O15" s="19">
        <v>2.125</v>
      </c>
      <c r="P15" s="19">
        <v>3.375</v>
      </c>
      <c r="Q15" s="19">
        <v>0.91666666666666663</v>
      </c>
      <c r="R15" s="19">
        <v>0.91666666666666663</v>
      </c>
      <c r="S15" s="59">
        <v>1.6666666666666665</v>
      </c>
      <c r="T15" s="81">
        <f>SUM(C15:S15)</f>
        <v>30.958333333333343</v>
      </c>
      <c r="V15"/>
    </row>
    <row r="16" spans="1:22">
      <c r="A16" s="1" t="s">
        <v>3</v>
      </c>
      <c r="B16" s="6" t="s">
        <v>71</v>
      </c>
      <c r="C16" s="18">
        <v>0.58333333333333337</v>
      </c>
      <c r="D16" s="19">
        <v>0.29166666666666669</v>
      </c>
      <c r="E16" s="19">
        <v>0.625</v>
      </c>
      <c r="F16" s="19">
        <v>0.33333333333333331</v>
      </c>
      <c r="G16" s="19">
        <v>0.70833333333333337</v>
      </c>
      <c r="H16" s="19">
        <v>0.33333333333333331</v>
      </c>
      <c r="I16" s="19">
        <v>0.91666666666666663</v>
      </c>
      <c r="J16" s="19">
        <v>0.375</v>
      </c>
      <c r="K16" s="19">
        <v>1.2083333333333333</v>
      </c>
      <c r="L16" s="19">
        <v>0.58333333333333337</v>
      </c>
      <c r="M16" s="19">
        <v>0.375</v>
      </c>
      <c r="N16" s="19">
        <v>0.58333333333333337</v>
      </c>
      <c r="O16" s="19">
        <v>0.5</v>
      </c>
      <c r="P16" s="19">
        <v>0.20833333333333334</v>
      </c>
      <c r="Q16" s="19">
        <v>0</v>
      </c>
      <c r="R16" s="19">
        <v>0</v>
      </c>
      <c r="S16" s="59">
        <v>0</v>
      </c>
      <c r="T16" s="81">
        <f t="shared" ref="T16:T22" si="1">SUM(C16:S16)</f>
        <v>7.6249999999999982</v>
      </c>
      <c r="V16"/>
    </row>
    <row r="17" spans="1:22">
      <c r="A17" s="1" t="s">
        <v>3</v>
      </c>
      <c r="B17" s="6" t="s">
        <v>72</v>
      </c>
      <c r="C17" s="18">
        <v>0.58333333333333337</v>
      </c>
      <c r="D17" s="19">
        <v>0.33333333333333331</v>
      </c>
      <c r="E17" s="19">
        <v>0.54166666666666663</v>
      </c>
      <c r="F17" s="19">
        <v>0.66666666666666663</v>
      </c>
      <c r="G17" s="19">
        <v>0.29166666666666669</v>
      </c>
      <c r="H17" s="19">
        <v>0.41666666666666669</v>
      </c>
      <c r="I17" s="19">
        <v>0.16666666666666666</v>
      </c>
      <c r="J17" s="19">
        <v>0.375</v>
      </c>
      <c r="K17" s="19">
        <v>0.25</v>
      </c>
      <c r="L17" s="19">
        <v>0.75</v>
      </c>
      <c r="M17" s="19">
        <v>0</v>
      </c>
      <c r="N17" s="19">
        <v>0</v>
      </c>
      <c r="O17" s="19">
        <v>0.33333333333333331</v>
      </c>
      <c r="P17" s="19">
        <v>0</v>
      </c>
      <c r="Q17" s="19">
        <v>0</v>
      </c>
      <c r="R17" s="19">
        <v>0</v>
      </c>
      <c r="S17" s="59">
        <v>0</v>
      </c>
      <c r="T17" s="81">
        <f t="shared" si="1"/>
        <v>4.708333333333333</v>
      </c>
      <c r="V17"/>
    </row>
    <row r="18" spans="1:22">
      <c r="A18" s="1" t="s">
        <v>3</v>
      </c>
      <c r="B18" s="6" t="s">
        <v>73</v>
      </c>
      <c r="C18" s="18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0.41666666666666669</v>
      </c>
      <c r="S18" s="59">
        <v>0.375</v>
      </c>
      <c r="T18" s="81">
        <f t="shared" si="1"/>
        <v>0.79166666666666674</v>
      </c>
      <c r="V18"/>
    </row>
    <row r="19" spans="1:22">
      <c r="A19" s="1" t="s">
        <v>3</v>
      </c>
      <c r="B19" s="6" t="s">
        <v>74</v>
      </c>
      <c r="C19" s="18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0.33333333333333331</v>
      </c>
      <c r="S19" s="59">
        <v>0.375</v>
      </c>
      <c r="T19" s="81">
        <f t="shared" si="1"/>
        <v>0.70833333333333326</v>
      </c>
      <c r="V19"/>
    </row>
    <row r="20" spans="1:22">
      <c r="A20" s="1" t="s">
        <v>3</v>
      </c>
      <c r="B20" s="6" t="s">
        <v>75</v>
      </c>
      <c r="C20" s="18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59">
        <v>0</v>
      </c>
      <c r="T20" s="81">
        <f t="shared" si="1"/>
        <v>0</v>
      </c>
      <c r="V20"/>
    </row>
    <row r="21" spans="1:22">
      <c r="A21" s="1" t="s">
        <v>3</v>
      </c>
      <c r="B21" s="6" t="s">
        <v>77</v>
      </c>
      <c r="C21" s="18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59">
        <v>0</v>
      </c>
      <c r="T21" s="81">
        <f t="shared" si="1"/>
        <v>0</v>
      </c>
      <c r="V21"/>
    </row>
    <row r="22" spans="1:22">
      <c r="A22" s="1" t="s">
        <v>3</v>
      </c>
      <c r="B22" s="6" t="s">
        <v>80</v>
      </c>
      <c r="C22" s="18">
        <v>0.33333333333333331</v>
      </c>
      <c r="D22" s="19">
        <v>0</v>
      </c>
      <c r="E22" s="19">
        <v>0</v>
      </c>
      <c r="F22" s="19">
        <v>0.875</v>
      </c>
      <c r="G22" s="19">
        <v>0.25</v>
      </c>
      <c r="H22" s="19">
        <v>1.0416666666666667</v>
      </c>
      <c r="I22" s="19">
        <v>0.375</v>
      </c>
      <c r="J22" s="19">
        <v>0.25</v>
      </c>
      <c r="K22" s="19">
        <v>0.16666666666666666</v>
      </c>
      <c r="L22" s="19">
        <v>0.875</v>
      </c>
      <c r="M22" s="19">
        <v>0.625</v>
      </c>
      <c r="N22" s="19">
        <v>0.66666666666666663</v>
      </c>
      <c r="O22" s="19">
        <v>0.45833333333333331</v>
      </c>
      <c r="P22" s="19">
        <v>1.2916666666666667</v>
      </c>
      <c r="Q22" s="19">
        <v>0.75</v>
      </c>
      <c r="R22" s="19">
        <v>0.79166666666666663</v>
      </c>
      <c r="S22" s="59">
        <v>0.20833333333333334</v>
      </c>
      <c r="T22" s="81">
        <f t="shared" si="1"/>
        <v>8.9583333333333339</v>
      </c>
      <c r="V22"/>
    </row>
    <row r="23" spans="1:22" ht="19.5" thickBot="1">
      <c r="A23" s="1" t="s">
        <v>3</v>
      </c>
      <c r="B23" s="7" t="s">
        <v>81</v>
      </c>
      <c r="C23" s="41">
        <v>16</v>
      </c>
      <c r="D23" s="42">
        <v>30</v>
      </c>
      <c r="E23" s="42">
        <v>31</v>
      </c>
      <c r="F23" s="42">
        <v>33</v>
      </c>
      <c r="G23" s="42">
        <v>28</v>
      </c>
      <c r="H23" s="42">
        <v>32</v>
      </c>
      <c r="I23" s="42">
        <v>32</v>
      </c>
      <c r="J23" s="42">
        <v>19</v>
      </c>
      <c r="K23" s="42">
        <v>28</v>
      </c>
      <c r="L23" s="42">
        <v>35</v>
      </c>
      <c r="M23" s="42">
        <v>0</v>
      </c>
      <c r="N23" s="42">
        <v>13</v>
      </c>
      <c r="O23" s="42">
        <v>27</v>
      </c>
      <c r="P23" s="42">
        <v>17</v>
      </c>
      <c r="Q23" s="42">
        <v>13</v>
      </c>
      <c r="R23" s="42">
        <v>3</v>
      </c>
      <c r="S23" s="60">
        <v>0</v>
      </c>
      <c r="T23" s="82">
        <f>SUM(C23:S23)</f>
        <v>357</v>
      </c>
      <c r="V23"/>
    </row>
    <row r="24" spans="1:22">
      <c r="A24" s="1" t="s">
        <v>3</v>
      </c>
      <c r="B24" s="27" t="s">
        <v>82</v>
      </c>
      <c r="C24" s="37">
        <v>177000</v>
      </c>
      <c r="D24" s="38">
        <v>187000</v>
      </c>
      <c r="E24" s="38">
        <v>187000</v>
      </c>
      <c r="F24" s="38">
        <v>192000</v>
      </c>
      <c r="G24" s="38">
        <v>182000</v>
      </c>
      <c r="H24" s="38">
        <v>187000</v>
      </c>
      <c r="I24" s="38">
        <v>177000</v>
      </c>
      <c r="J24" s="38">
        <v>177000</v>
      </c>
      <c r="K24" s="38">
        <v>172000</v>
      </c>
      <c r="L24" s="38">
        <v>187000</v>
      </c>
      <c r="M24" s="38">
        <v>177000</v>
      </c>
      <c r="N24" s="38">
        <v>177000</v>
      </c>
      <c r="O24" s="38">
        <v>170000</v>
      </c>
      <c r="P24" s="38">
        <v>175000</v>
      </c>
      <c r="Q24" s="38">
        <v>175000</v>
      </c>
      <c r="R24" s="38">
        <v>170000</v>
      </c>
      <c r="S24" s="61">
        <v>170000</v>
      </c>
      <c r="T24" s="83">
        <f>SUM(C24:S24)</f>
        <v>3039000</v>
      </c>
      <c r="V24"/>
    </row>
    <row r="25" spans="1:22">
      <c r="A25" s="1" t="s">
        <v>3</v>
      </c>
      <c r="B25" s="6" t="s">
        <v>83</v>
      </c>
      <c r="C25" s="21">
        <v>0</v>
      </c>
      <c r="D25" s="22">
        <v>0</v>
      </c>
      <c r="E25" s="22">
        <v>20000</v>
      </c>
      <c r="F25" s="22">
        <v>5000</v>
      </c>
      <c r="G25" s="22">
        <v>5000</v>
      </c>
      <c r="H25" s="22">
        <v>5000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62">
        <v>0</v>
      </c>
      <c r="T25" s="84">
        <f t="shared" ref="T25:T65" si="2">SUM(C25:S25)</f>
        <v>35000</v>
      </c>
      <c r="V25"/>
    </row>
    <row r="26" spans="1:22">
      <c r="A26" s="1" t="s">
        <v>3</v>
      </c>
      <c r="B26" s="6" t="s">
        <v>84</v>
      </c>
      <c r="C26" s="21">
        <v>0</v>
      </c>
      <c r="D26" s="22">
        <v>0</v>
      </c>
      <c r="E26" s="22">
        <v>3000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62">
        <v>0</v>
      </c>
      <c r="T26" s="84">
        <f t="shared" si="2"/>
        <v>3000</v>
      </c>
      <c r="V26"/>
    </row>
    <row r="27" spans="1:22">
      <c r="A27" s="1" t="s">
        <v>3</v>
      </c>
      <c r="B27" s="6" t="s">
        <v>85</v>
      </c>
      <c r="C27" s="21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62">
        <v>0</v>
      </c>
      <c r="T27" s="84">
        <f t="shared" si="2"/>
        <v>0</v>
      </c>
      <c r="V27"/>
    </row>
    <row r="28" spans="1:22">
      <c r="A28" s="1" t="s">
        <v>3</v>
      </c>
      <c r="B28" s="6" t="s">
        <v>86</v>
      </c>
      <c r="C28" s="21">
        <v>0</v>
      </c>
      <c r="D28" s="22">
        <v>0</v>
      </c>
      <c r="E28" s="22">
        <v>89871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19760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62">
        <v>0</v>
      </c>
      <c r="T28" s="84">
        <f t="shared" si="2"/>
        <v>109631</v>
      </c>
      <c r="V28"/>
    </row>
    <row r="29" spans="1:22">
      <c r="A29" s="1" t="s">
        <v>3</v>
      </c>
      <c r="B29" s="6" t="s">
        <v>88</v>
      </c>
      <c r="C29" s="21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62">
        <v>0</v>
      </c>
      <c r="T29" s="84">
        <f t="shared" si="2"/>
        <v>0</v>
      </c>
      <c r="V29"/>
    </row>
    <row r="30" spans="1:22">
      <c r="A30" s="1" t="s">
        <v>3</v>
      </c>
      <c r="B30" s="6" t="s">
        <v>89</v>
      </c>
      <c r="C30" s="21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62">
        <v>0</v>
      </c>
      <c r="T30" s="84">
        <f t="shared" si="2"/>
        <v>0</v>
      </c>
      <c r="V30"/>
    </row>
    <row r="31" spans="1:22">
      <c r="A31" s="1" t="s">
        <v>3</v>
      </c>
      <c r="B31" s="6" t="s">
        <v>90</v>
      </c>
      <c r="C31" s="21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62">
        <v>0</v>
      </c>
      <c r="T31" s="84">
        <f t="shared" si="2"/>
        <v>0</v>
      </c>
      <c r="V31"/>
    </row>
    <row r="32" spans="1:22">
      <c r="A32" s="1" t="s">
        <v>3</v>
      </c>
      <c r="B32" s="6" t="s">
        <v>92</v>
      </c>
      <c r="C32" s="21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62">
        <v>0</v>
      </c>
      <c r="T32" s="84">
        <f t="shared" si="2"/>
        <v>0</v>
      </c>
      <c r="V32"/>
    </row>
    <row r="33" spans="1:22">
      <c r="A33" s="1" t="s">
        <v>3</v>
      </c>
      <c r="B33" s="6" t="s">
        <v>93</v>
      </c>
      <c r="C33" s="21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62">
        <v>0</v>
      </c>
      <c r="T33" s="84">
        <f t="shared" si="2"/>
        <v>0</v>
      </c>
      <c r="V33"/>
    </row>
    <row r="34" spans="1:22">
      <c r="A34" s="1" t="s">
        <v>3</v>
      </c>
      <c r="B34" s="6" t="s">
        <v>94</v>
      </c>
      <c r="C34" s="21">
        <v>1000</v>
      </c>
      <c r="D34" s="22">
        <v>1000</v>
      </c>
      <c r="E34" s="22">
        <v>1000</v>
      </c>
      <c r="F34" s="22">
        <v>1000</v>
      </c>
      <c r="G34" s="22">
        <v>1000</v>
      </c>
      <c r="H34" s="22">
        <v>1000</v>
      </c>
      <c r="I34" s="22">
        <v>1000</v>
      </c>
      <c r="J34" s="22">
        <v>1000</v>
      </c>
      <c r="K34" s="22">
        <v>1000</v>
      </c>
      <c r="L34" s="22">
        <v>1000</v>
      </c>
      <c r="M34" s="22">
        <v>1000</v>
      </c>
      <c r="N34" s="22">
        <v>1000</v>
      </c>
      <c r="O34" s="22">
        <v>1000</v>
      </c>
      <c r="P34" s="22">
        <v>1000</v>
      </c>
      <c r="Q34" s="22">
        <v>1000</v>
      </c>
      <c r="R34" s="22">
        <v>0</v>
      </c>
      <c r="S34" s="62">
        <v>0</v>
      </c>
      <c r="T34" s="84">
        <f t="shared" si="2"/>
        <v>15000</v>
      </c>
      <c r="V34"/>
    </row>
    <row r="35" spans="1:22">
      <c r="A35" s="1" t="s">
        <v>3</v>
      </c>
      <c r="B35" s="6" t="s">
        <v>95</v>
      </c>
      <c r="C35" s="21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62">
        <v>0</v>
      </c>
      <c r="T35" s="84">
        <f t="shared" si="2"/>
        <v>0</v>
      </c>
      <c r="V35"/>
    </row>
    <row r="36" spans="1:22">
      <c r="A36" s="1" t="s">
        <v>3</v>
      </c>
      <c r="B36" s="6" t="s">
        <v>97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62">
        <v>0</v>
      </c>
      <c r="T36" s="84">
        <f t="shared" si="2"/>
        <v>0</v>
      </c>
      <c r="V36"/>
    </row>
    <row r="37" spans="1:22">
      <c r="A37" s="1" t="s">
        <v>3</v>
      </c>
      <c r="B37" s="6" t="s">
        <v>99</v>
      </c>
      <c r="C37" s="21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62">
        <v>0</v>
      </c>
      <c r="T37" s="84">
        <f t="shared" si="2"/>
        <v>0</v>
      </c>
      <c r="V37"/>
    </row>
    <row r="38" spans="1:22">
      <c r="A38" s="1" t="s">
        <v>3</v>
      </c>
      <c r="B38" s="6" t="s">
        <v>102</v>
      </c>
      <c r="C38" s="21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62">
        <v>0</v>
      </c>
      <c r="T38" s="84">
        <f t="shared" si="2"/>
        <v>0</v>
      </c>
      <c r="V38"/>
    </row>
    <row r="39" spans="1:22">
      <c r="A39" s="1" t="s">
        <v>3</v>
      </c>
      <c r="B39" s="6" t="s">
        <v>103</v>
      </c>
      <c r="C39" s="21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100">
        <v>-136256</v>
      </c>
      <c r="O39" s="22">
        <v>0</v>
      </c>
      <c r="P39" s="22">
        <v>0</v>
      </c>
      <c r="Q39" s="22">
        <v>0</v>
      </c>
      <c r="R39" s="22">
        <v>0</v>
      </c>
      <c r="S39" s="101">
        <v>-16266</v>
      </c>
      <c r="T39" s="102">
        <f t="shared" si="2"/>
        <v>-152522</v>
      </c>
      <c r="V39"/>
    </row>
    <row r="40" spans="1:22">
      <c r="A40" s="1" t="s">
        <v>3</v>
      </c>
      <c r="B40" s="6" t="s">
        <v>70</v>
      </c>
      <c r="C40" s="21">
        <v>41323</v>
      </c>
      <c r="D40" s="22">
        <v>19712</v>
      </c>
      <c r="E40" s="22">
        <v>7895</v>
      </c>
      <c r="F40" s="22">
        <v>93429</v>
      </c>
      <c r="G40" s="22">
        <v>40832</v>
      </c>
      <c r="H40" s="22">
        <v>96815</v>
      </c>
      <c r="I40" s="22">
        <v>86645</v>
      </c>
      <c r="J40" s="22">
        <v>75981</v>
      </c>
      <c r="K40" s="22">
        <v>78995</v>
      </c>
      <c r="L40" s="22">
        <v>98560</v>
      </c>
      <c r="M40" s="22">
        <v>69316</v>
      </c>
      <c r="N40" s="22">
        <v>17329</v>
      </c>
      <c r="O40" s="22">
        <v>65280</v>
      </c>
      <c r="P40" s="22">
        <v>106758</v>
      </c>
      <c r="Q40" s="22">
        <v>28996</v>
      </c>
      <c r="R40" s="22">
        <v>28006</v>
      </c>
      <c r="S40" s="62">
        <v>50920</v>
      </c>
      <c r="T40" s="84">
        <f t="shared" si="2"/>
        <v>1006792</v>
      </c>
      <c r="V40"/>
    </row>
    <row r="41" spans="1:22">
      <c r="A41" s="1" t="s">
        <v>3</v>
      </c>
      <c r="B41" s="6" t="s">
        <v>105</v>
      </c>
      <c r="C41" s="21">
        <v>20146</v>
      </c>
      <c r="D41" s="22">
        <v>10640</v>
      </c>
      <c r="E41" s="22">
        <v>25575</v>
      </c>
      <c r="F41" s="22">
        <v>12808</v>
      </c>
      <c r="G41" s="22">
        <v>25840</v>
      </c>
      <c r="H41" s="22">
        <v>12488</v>
      </c>
      <c r="I41" s="22">
        <v>31658</v>
      </c>
      <c r="J41" s="22">
        <v>12951</v>
      </c>
      <c r="K41" s="22">
        <v>40571</v>
      </c>
      <c r="L41" s="22">
        <v>21280</v>
      </c>
      <c r="M41" s="22">
        <v>12951</v>
      </c>
      <c r="N41" s="22">
        <v>20146</v>
      </c>
      <c r="O41" s="22">
        <v>16584</v>
      </c>
      <c r="P41" s="22">
        <v>7115</v>
      </c>
      <c r="Q41" s="22">
        <v>0</v>
      </c>
      <c r="R41" s="22">
        <v>0</v>
      </c>
      <c r="S41" s="62">
        <v>0</v>
      </c>
      <c r="T41" s="84">
        <f t="shared" si="2"/>
        <v>270753</v>
      </c>
      <c r="V41"/>
    </row>
    <row r="42" spans="1:22">
      <c r="A42" s="1" t="s">
        <v>3</v>
      </c>
      <c r="B42" s="6" t="s">
        <v>106</v>
      </c>
      <c r="C42" s="21">
        <v>20146</v>
      </c>
      <c r="D42" s="22">
        <v>12160</v>
      </c>
      <c r="E42" s="22">
        <v>22165</v>
      </c>
      <c r="F42" s="22">
        <v>25616</v>
      </c>
      <c r="G42" s="22">
        <v>10640</v>
      </c>
      <c r="H42" s="22">
        <v>15610</v>
      </c>
      <c r="I42" s="22">
        <v>5756</v>
      </c>
      <c r="J42" s="22">
        <v>12951</v>
      </c>
      <c r="K42" s="22">
        <v>8394</v>
      </c>
      <c r="L42" s="22">
        <v>27360</v>
      </c>
      <c r="M42" s="22">
        <v>0</v>
      </c>
      <c r="N42" s="22">
        <v>0</v>
      </c>
      <c r="O42" s="22">
        <v>11056</v>
      </c>
      <c r="P42" s="22">
        <v>0</v>
      </c>
      <c r="Q42" s="22">
        <v>0</v>
      </c>
      <c r="R42" s="22">
        <v>0</v>
      </c>
      <c r="S42" s="62">
        <v>0</v>
      </c>
      <c r="T42" s="84">
        <f t="shared" si="2"/>
        <v>171854</v>
      </c>
      <c r="V42"/>
    </row>
    <row r="43" spans="1:22">
      <c r="A43" s="1" t="s">
        <v>3</v>
      </c>
      <c r="B43" s="6" t="s">
        <v>107</v>
      </c>
      <c r="C43" s="21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3560</v>
      </c>
      <c r="S43" s="62">
        <v>3204</v>
      </c>
      <c r="T43" s="84">
        <f t="shared" si="2"/>
        <v>6764</v>
      </c>
      <c r="V43"/>
    </row>
    <row r="44" spans="1:22">
      <c r="A44" s="1" t="s">
        <v>3</v>
      </c>
      <c r="B44" s="6" t="s">
        <v>108</v>
      </c>
      <c r="C44" s="21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2848</v>
      </c>
      <c r="S44" s="62">
        <v>3204</v>
      </c>
      <c r="T44" s="84">
        <f t="shared" si="2"/>
        <v>6052</v>
      </c>
      <c r="V44"/>
    </row>
    <row r="45" spans="1:22">
      <c r="A45" s="1" t="s">
        <v>3</v>
      </c>
      <c r="B45" s="6" t="s">
        <v>109</v>
      </c>
      <c r="C45" s="21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62">
        <v>0</v>
      </c>
      <c r="T45" s="84">
        <f t="shared" si="2"/>
        <v>0</v>
      </c>
      <c r="V45"/>
    </row>
    <row r="46" spans="1:22">
      <c r="A46" s="1" t="s">
        <v>3</v>
      </c>
      <c r="B46" s="6" t="s">
        <v>75</v>
      </c>
      <c r="C46" s="21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62">
        <v>0</v>
      </c>
      <c r="T46" s="84">
        <f t="shared" si="2"/>
        <v>0</v>
      </c>
      <c r="V46"/>
    </row>
    <row r="47" spans="1:22" ht="19.5" thickBot="1">
      <c r="A47" s="1" t="s">
        <v>3</v>
      </c>
      <c r="B47" s="45" t="s">
        <v>80</v>
      </c>
      <c r="C47" s="46">
        <v>2136</v>
      </c>
      <c r="D47" s="47">
        <v>0</v>
      </c>
      <c r="E47" s="47">
        <v>0</v>
      </c>
      <c r="F47" s="47">
        <v>6237</v>
      </c>
      <c r="G47" s="47">
        <v>1692</v>
      </c>
      <c r="H47" s="47">
        <v>7225</v>
      </c>
      <c r="I47" s="47">
        <v>2403</v>
      </c>
      <c r="J47" s="47">
        <v>1602</v>
      </c>
      <c r="K47" s="47">
        <v>1036</v>
      </c>
      <c r="L47" s="47">
        <v>5922</v>
      </c>
      <c r="M47" s="47">
        <v>4005</v>
      </c>
      <c r="N47" s="47">
        <v>4272</v>
      </c>
      <c r="O47" s="47">
        <v>2816</v>
      </c>
      <c r="P47" s="47">
        <v>8184</v>
      </c>
      <c r="Q47" s="47">
        <v>4752</v>
      </c>
      <c r="R47" s="47">
        <v>4845</v>
      </c>
      <c r="S47" s="63">
        <v>1275</v>
      </c>
      <c r="T47" s="85">
        <f t="shared" si="2"/>
        <v>58402</v>
      </c>
      <c r="V47"/>
    </row>
    <row r="48" spans="1:22" ht="19.5" thickBot="1">
      <c r="A48" s="1" t="s">
        <v>3</v>
      </c>
      <c r="B48" s="50" t="s">
        <v>110</v>
      </c>
      <c r="C48" s="51">
        <v>261751</v>
      </c>
      <c r="D48" s="52">
        <v>230512</v>
      </c>
      <c r="E48" s="52">
        <v>356506</v>
      </c>
      <c r="F48" s="52">
        <v>336090</v>
      </c>
      <c r="G48" s="52">
        <v>267004</v>
      </c>
      <c r="H48" s="52">
        <v>325138</v>
      </c>
      <c r="I48" s="52">
        <v>304462</v>
      </c>
      <c r="J48" s="52">
        <v>281485</v>
      </c>
      <c r="K48" s="52">
        <v>301996</v>
      </c>
      <c r="L48" s="52">
        <v>360882</v>
      </c>
      <c r="M48" s="52">
        <v>264272</v>
      </c>
      <c r="N48" s="52">
        <v>83491</v>
      </c>
      <c r="O48" s="52">
        <v>266736</v>
      </c>
      <c r="P48" s="52">
        <v>298057</v>
      </c>
      <c r="Q48" s="52">
        <v>209748</v>
      </c>
      <c r="R48" s="52">
        <v>209259</v>
      </c>
      <c r="S48" s="64">
        <v>212337</v>
      </c>
      <c r="T48" s="86">
        <f t="shared" si="2"/>
        <v>4569726</v>
      </c>
      <c r="V48"/>
    </row>
    <row r="49" spans="1:22" ht="19.5" thickBot="1">
      <c r="A49" s="1" t="s">
        <v>3</v>
      </c>
      <c r="B49" s="27" t="s">
        <v>111</v>
      </c>
      <c r="C49" s="37">
        <v>12003</v>
      </c>
      <c r="D49" s="38">
        <v>2740</v>
      </c>
      <c r="E49" s="38">
        <v>5167</v>
      </c>
      <c r="F49" s="38">
        <v>2871</v>
      </c>
      <c r="G49" s="38">
        <v>14403</v>
      </c>
      <c r="H49" s="38">
        <v>2297</v>
      </c>
      <c r="I49" s="38">
        <v>2297</v>
      </c>
      <c r="J49" s="38">
        <v>1253</v>
      </c>
      <c r="K49" s="38">
        <v>3262</v>
      </c>
      <c r="L49" s="38">
        <v>5219</v>
      </c>
      <c r="M49" s="38">
        <v>6524</v>
      </c>
      <c r="N49" s="38">
        <v>1279</v>
      </c>
      <c r="O49" s="38">
        <v>8141</v>
      </c>
      <c r="P49" s="38">
        <v>6002</v>
      </c>
      <c r="Q49" s="38">
        <v>8872</v>
      </c>
      <c r="R49" s="38">
        <v>3653</v>
      </c>
      <c r="S49" s="61">
        <v>10333</v>
      </c>
      <c r="T49" s="83">
        <f t="shared" si="2"/>
        <v>96316</v>
      </c>
      <c r="V49"/>
    </row>
    <row r="50" spans="1:22" ht="19.5" thickBot="1">
      <c r="A50" s="1" t="s">
        <v>3</v>
      </c>
      <c r="B50" s="50" t="s">
        <v>113</v>
      </c>
      <c r="C50" s="51">
        <v>12003</v>
      </c>
      <c r="D50" s="52">
        <v>2740</v>
      </c>
      <c r="E50" s="52">
        <v>5167</v>
      </c>
      <c r="F50" s="52">
        <v>2871</v>
      </c>
      <c r="G50" s="52">
        <v>14403</v>
      </c>
      <c r="H50" s="52">
        <v>2297</v>
      </c>
      <c r="I50" s="52">
        <v>2297</v>
      </c>
      <c r="J50" s="52">
        <v>1253</v>
      </c>
      <c r="K50" s="52">
        <v>3262</v>
      </c>
      <c r="L50" s="52">
        <v>5219</v>
      </c>
      <c r="M50" s="52">
        <v>6524</v>
      </c>
      <c r="N50" s="52">
        <v>1279</v>
      </c>
      <c r="O50" s="52">
        <v>8141</v>
      </c>
      <c r="P50" s="52">
        <v>6002</v>
      </c>
      <c r="Q50" s="52">
        <v>8872</v>
      </c>
      <c r="R50" s="52">
        <v>3653</v>
      </c>
      <c r="S50" s="64">
        <v>10333</v>
      </c>
      <c r="T50" s="86">
        <f t="shared" si="2"/>
        <v>96316</v>
      </c>
      <c r="V50"/>
    </row>
    <row r="51" spans="1:22" ht="19.5" thickBot="1">
      <c r="A51" s="1" t="s">
        <v>3</v>
      </c>
      <c r="B51" s="50" t="s">
        <v>114</v>
      </c>
      <c r="C51" s="51">
        <v>273754</v>
      </c>
      <c r="D51" s="52">
        <v>233252</v>
      </c>
      <c r="E51" s="52">
        <v>361673</v>
      </c>
      <c r="F51" s="52">
        <v>338961</v>
      </c>
      <c r="G51" s="52">
        <v>281407</v>
      </c>
      <c r="H51" s="52">
        <v>327435</v>
      </c>
      <c r="I51" s="52">
        <v>306759</v>
      </c>
      <c r="J51" s="52">
        <v>282738</v>
      </c>
      <c r="K51" s="52">
        <v>305258</v>
      </c>
      <c r="L51" s="52">
        <v>366101</v>
      </c>
      <c r="M51" s="52">
        <v>270796</v>
      </c>
      <c r="N51" s="52">
        <v>84770</v>
      </c>
      <c r="O51" s="52">
        <v>274877</v>
      </c>
      <c r="P51" s="52">
        <v>304059</v>
      </c>
      <c r="Q51" s="52">
        <v>218620</v>
      </c>
      <c r="R51" s="52">
        <v>212912</v>
      </c>
      <c r="S51" s="64">
        <v>222670</v>
      </c>
      <c r="T51" s="86">
        <f t="shared" si="2"/>
        <v>4666042</v>
      </c>
      <c r="V51"/>
    </row>
    <row r="52" spans="1:22">
      <c r="A52" s="1" t="s">
        <v>3</v>
      </c>
      <c r="B52" s="27" t="s">
        <v>115</v>
      </c>
      <c r="C52" s="37">
        <v>16320</v>
      </c>
      <c r="D52" s="38">
        <v>19380</v>
      </c>
      <c r="E52" s="38">
        <v>19380</v>
      </c>
      <c r="F52" s="38">
        <v>20910</v>
      </c>
      <c r="G52" s="38">
        <v>19380</v>
      </c>
      <c r="H52" s="38">
        <v>20910</v>
      </c>
      <c r="I52" s="38">
        <v>16320</v>
      </c>
      <c r="J52" s="38">
        <v>15300</v>
      </c>
      <c r="K52" s="38">
        <v>16320</v>
      </c>
      <c r="L52" s="38">
        <v>17340</v>
      </c>
      <c r="M52" s="38">
        <v>16320</v>
      </c>
      <c r="N52" s="38">
        <v>17340</v>
      </c>
      <c r="O52" s="38">
        <v>15300</v>
      </c>
      <c r="P52" s="38">
        <v>17340</v>
      </c>
      <c r="Q52" s="38">
        <v>15300</v>
      </c>
      <c r="R52" s="38">
        <v>13260</v>
      </c>
      <c r="S52" s="61">
        <v>13260</v>
      </c>
      <c r="T52" s="83">
        <f t="shared" si="2"/>
        <v>289680</v>
      </c>
      <c r="V52"/>
    </row>
    <row r="53" spans="1:22">
      <c r="A53" s="1" t="s">
        <v>3</v>
      </c>
      <c r="B53" s="6" t="s">
        <v>116</v>
      </c>
      <c r="C53" s="21">
        <v>2880</v>
      </c>
      <c r="D53" s="22">
        <v>3420</v>
      </c>
      <c r="E53" s="22">
        <v>3420</v>
      </c>
      <c r="F53" s="22">
        <v>3690</v>
      </c>
      <c r="G53" s="22">
        <v>3420</v>
      </c>
      <c r="H53" s="22">
        <v>3690</v>
      </c>
      <c r="I53" s="22">
        <v>2880</v>
      </c>
      <c r="J53" s="22">
        <v>2700</v>
      </c>
      <c r="K53" s="22">
        <v>2880</v>
      </c>
      <c r="L53" s="22">
        <v>3060</v>
      </c>
      <c r="M53" s="22">
        <v>2880</v>
      </c>
      <c r="N53" s="22">
        <v>3060</v>
      </c>
      <c r="O53" s="22">
        <v>2700</v>
      </c>
      <c r="P53" s="22">
        <v>3060</v>
      </c>
      <c r="Q53" s="22">
        <v>2700</v>
      </c>
      <c r="R53" s="22">
        <v>0</v>
      </c>
      <c r="S53" s="62">
        <v>0</v>
      </c>
      <c r="T53" s="84">
        <f t="shared" si="2"/>
        <v>46440</v>
      </c>
      <c r="V53"/>
    </row>
    <row r="54" spans="1:22">
      <c r="A54" s="1" t="s">
        <v>3</v>
      </c>
      <c r="B54" s="6" t="s">
        <v>117</v>
      </c>
      <c r="C54" s="21">
        <v>29280</v>
      </c>
      <c r="D54" s="22">
        <v>34770</v>
      </c>
      <c r="E54" s="22">
        <v>34770</v>
      </c>
      <c r="F54" s="22">
        <v>37515</v>
      </c>
      <c r="G54" s="22">
        <v>34770</v>
      </c>
      <c r="H54" s="22">
        <v>37515</v>
      </c>
      <c r="I54" s="22">
        <v>29280</v>
      </c>
      <c r="J54" s="22">
        <v>27450</v>
      </c>
      <c r="K54" s="22">
        <v>29280</v>
      </c>
      <c r="L54" s="22">
        <v>31110</v>
      </c>
      <c r="M54" s="22">
        <v>29280</v>
      </c>
      <c r="N54" s="22">
        <v>31110</v>
      </c>
      <c r="O54" s="22">
        <v>27450</v>
      </c>
      <c r="P54" s="22">
        <v>31110</v>
      </c>
      <c r="Q54" s="22">
        <v>27450</v>
      </c>
      <c r="R54" s="22">
        <v>23790</v>
      </c>
      <c r="S54" s="62">
        <v>23790</v>
      </c>
      <c r="T54" s="84">
        <f t="shared" si="2"/>
        <v>519720</v>
      </c>
      <c r="V54"/>
    </row>
    <row r="55" spans="1:22" ht="19.5" thickBot="1">
      <c r="A55" s="1" t="s">
        <v>3</v>
      </c>
      <c r="B55" s="6" t="s">
        <v>118</v>
      </c>
      <c r="C55" s="21">
        <v>821</v>
      </c>
      <c r="D55" s="22">
        <v>700</v>
      </c>
      <c r="E55" s="22">
        <v>1085</v>
      </c>
      <c r="F55" s="22">
        <v>1017</v>
      </c>
      <c r="G55" s="22">
        <v>844</v>
      </c>
      <c r="H55" s="22">
        <v>982</v>
      </c>
      <c r="I55" s="22">
        <v>920</v>
      </c>
      <c r="J55" s="22">
        <v>848</v>
      </c>
      <c r="K55" s="22">
        <v>916</v>
      </c>
      <c r="L55" s="22">
        <v>1098</v>
      </c>
      <c r="M55" s="22">
        <v>812</v>
      </c>
      <c r="N55" s="22">
        <v>254</v>
      </c>
      <c r="O55" s="22">
        <v>825</v>
      </c>
      <c r="P55" s="22">
        <v>912</v>
      </c>
      <c r="Q55" s="22">
        <v>656</v>
      </c>
      <c r="R55" s="22">
        <v>639</v>
      </c>
      <c r="S55" s="62">
        <v>668</v>
      </c>
      <c r="T55" s="84">
        <f t="shared" si="2"/>
        <v>13997</v>
      </c>
      <c r="V55"/>
    </row>
    <row r="56" spans="1:22" ht="19.5" thickBot="1">
      <c r="A56" s="1" t="s">
        <v>3</v>
      </c>
      <c r="B56" s="50" t="s">
        <v>120</v>
      </c>
      <c r="C56" s="51">
        <v>49301</v>
      </c>
      <c r="D56" s="52">
        <v>58270</v>
      </c>
      <c r="E56" s="52">
        <v>58655</v>
      </c>
      <c r="F56" s="52">
        <v>63132</v>
      </c>
      <c r="G56" s="52">
        <v>58414</v>
      </c>
      <c r="H56" s="52">
        <v>63097</v>
      </c>
      <c r="I56" s="52">
        <v>49400</v>
      </c>
      <c r="J56" s="52">
        <v>46298</v>
      </c>
      <c r="K56" s="52">
        <v>49396</v>
      </c>
      <c r="L56" s="52">
        <v>52608</v>
      </c>
      <c r="M56" s="52">
        <v>49292</v>
      </c>
      <c r="N56" s="52">
        <v>51764</v>
      </c>
      <c r="O56" s="52">
        <v>46275</v>
      </c>
      <c r="P56" s="52">
        <v>52422</v>
      </c>
      <c r="Q56" s="52">
        <v>46106</v>
      </c>
      <c r="R56" s="52">
        <v>37689</v>
      </c>
      <c r="S56" s="64">
        <v>37718</v>
      </c>
      <c r="T56" s="86">
        <f t="shared" si="2"/>
        <v>869837</v>
      </c>
      <c r="V56"/>
    </row>
    <row r="57" spans="1:22">
      <c r="A57" s="1" t="s">
        <v>3</v>
      </c>
      <c r="B57" s="27" t="s">
        <v>121</v>
      </c>
      <c r="C57" s="37">
        <v>3590</v>
      </c>
      <c r="D57" s="38">
        <v>3770</v>
      </c>
      <c r="E57" s="38">
        <v>6640</v>
      </c>
      <c r="F57" s="38">
        <v>7370</v>
      </c>
      <c r="G57" s="38">
        <v>3460</v>
      </c>
      <c r="H57" s="38">
        <v>6980</v>
      </c>
      <c r="I57" s="38">
        <v>6730</v>
      </c>
      <c r="J57" s="38">
        <v>4410</v>
      </c>
      <c r="K57" s="38">
        <v>6640</v>
      </c>
      <c r="L57" s="38">
        <v>9060</v>
      </c>
      <c r="M57" s="38">
        <v>5300</v>
      </c>
      <c r="N57" s="38">
        <v>0</v>
      </c>
      <c r="O57" s="38">
        <v>5500</v>
      </c>
      <c r="P57" s="38">
        <v>1550</v>
      </c>
      <c r="Q57" s="38">
        <v>3470</v>
      </c>
      <c r="R57" s="38">
        <v>3750</v>
      </c>
      <c r="S57" s="61">
        <v>3860</v>
      </c>
      <c r="T57" s="83">
        <f t="shared" si="2"/>
        <v>82080</v>
      </c>
      <c r="V57"/>
    </row>
    <row r="58" spans="1:22">
      <c r="A58" s="1" t="s">
        <v>3</v>
      </c>
      <c r="B58" s="6" t="s">
        <v>122</v>
      </c>
      <c r="C58" s="21">
        <v>1300</v>
      </c>
      <c r="D58" s="22">
        <v>1300</v>
      </c>
      <c r="E58" s="22">
        <v>1300</v>
      </c>
      <c r="F58" s="22">
        <v>0</v>
      </c>
      <c r="G58" s="22">
        <v>1300</v>
      </c>
      <c r="H58" s="22">
        <v>1300</v>
      </c>
      <c r="I58" s="22">
        <v>1300</v>
      </c>
      <c r="J58" s="22">
        <v>1300</v>
      </c>
      <c r="K58" s="22">
        <v>1300</v>
      </c>
      <c r="L58" s="22">
        <v>1300</v>
      </c>
      <c r="M58" s="22">
        <v>0</v>
      </c>
      <c r="N58" s="22">
        <v>0</v>
      </c>
      <c r="O58" s="22">
        <v>1300</v>
      </c>
      <c r="P58" s="22">
        <v>1300</v>
      </c>
      <c r="Q58" s="22">
        <v>1300</v>
      </c>
      <c r="R58" s="22">
        <v>1300</v>
      </c>
      <c r="S58" s="62">
        <v>0</v>
      </c>
      <c r="T58" s="84">
        <f t="shared" si="2"/>
        <v>16900</v>
      </c>
      <c r="V58"/>
    </row>
    <row r="59" spans="1:22">
      <c r="A59" s="1" t="s">
        <v>3</v>
      </c>
      <c r="B59" s="6" t="s">
        <v>123</v>
      </c>
      <c r="C59" s="21">
        <v>9900</v>
      </c>
      <c r="D59" s="22">
        <v>16100</v>
      </c>
      <c r="E59" s="22">
        <v>15700</v>
      </c>
      <c r="F59" s="22">
        <v>18800</v>
      </c>
      <c r="G59" s="22">
        <v>12100</v>
      </c>
      <c r="H59" s="22">
        <v>18500</v>
      </c>
      <c r="I59" s="22">
        <v>14500</v>
      </c>
      <c r="J59" s="22">
        <v>9300</v>
      </c>
      <c r="K59" s="22">
        <v>13400</v>
      </c>
      <c r="L59" s="22">
        <v>13900</v>
      </c>
      <c r="M59" s="22">
        <v>10400</v>
      </c>
      <c r="N59" s="22">
        <v>24600</v>
      </c>
      <c r="O59" s="22">
        <v>12200</v>
      </c>
      <c r="P59" s="22">
        <v>6700</v>
      </c>
      <c r="Q59" s="22">
        <v>0</v>
      </c>
      <c r="R59" s="22">
        <v>0</v>
      </c>
      <c r="S59" s="62">
        <v>0</v>
      </c>
      <c r="T59" s="84">
        <f t="shared" si="2"/>
        <v>196100</v>
      </c>
      <c r="V59"/>
    </row>
    <row r="60" spans="1:22" ht="19.5" thickBot="1">
      <c r="A60" s="1" t="s">
        <v>3</v>
      </c>
      <c r="B60" s="6" t="s">
        <v>124</v>
      </c>
      <c r="C60" s="21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62">
        <v>0</v>
      </c>
      <c r="T60" s="84">
        <f t="shared" si="2"/>
        <v>0</v>
      </c>
      <c r="V60"/>
    </row>
    <row r="61" spans="1:22" ht="19.5" thickBot="1">
      <c r="A61" s="1" t="s">
        <v>3</v>
      </c>
      <c r="B61" s="50" t="s">
        <v>128</v>
      </c>
      <c r="C61" s="51">
        <v>64091</v>
      </c>
      <c r="D61" s="52">
        <v>79440</v>
      </c>
      <c r="E61" s="52">
        <v>82295</v>
      </c>
      <c r="F61" s="52">
        <v>89302</v>
      </c>
      <c r="G61" s="52">
        <v>75274</v>
      </c>
      <c r="H61" s="52">
        <v>89877</v>
      </c>
      <c r="I61" s="52">
        <v>71930</v>
      </c>
      <c r="J61" s="52">
        <v>61308</v>
      </c>
      <c r="K61" s="52">
        <v>70736</v>
      </c>
      <c r="L61" s="52">
        <v>76868</v>
      </c>
      <c r="M61" s="52">
        <v>64992</v>
      </c>
      <c r="N61" s="52">
        <v>76364</v>
      </c>
      <c r="O61" s="52">
        <v>65275</v>
      </c>
      <c r="P61" s="52">
        <v>61972</v>
      </c>
      <c r="Q61" s="52">
        <v>50876</v>
      </c>
      <c r="R61" s="52">
        <v>42739</v>
      </c>
      <c r="S61" s="64">
        <v>41578</v>
      </c>
      <c r="T61" s="86">
        <f t="shared" si="2"/>
        <v>1164917</v>
      </c>
      <c r="V61"/>
    </row>
    <row r="62" spans="1:22" ht="19.5" thickBot="1">
      <c r="A62" s="1" t="s">
        <v>3</v>
      </c>
      <c r="B62" s="50" t="s">
        <v>129</v>
      </c>
      <c r="C62" s="51">
        <v>212450</v>
      </c>
      <c r="D62" s="52">
        <v>172242</v>
      </c>
      <c r="E62" s="52">
        <v>297851</v>
      </c>
      <c r="F62" s="52">
        <v>272958</v>
      </c>
      <c r="G62" s="52">
        <v>208590</v>
      </c>
      <c r="H62" s="52">
        <v>262041</v>
      </c>
      <c r="I62" s="52">
        <v>255062</v>
      </c>
      <c r="J62" s="52">
        <v>235187</v>
      </c>
      <c r="K62" s="52">
        <v>252600</v>
      </c>
      <c r="L62" s="52">
        <v>308274</v>
      </c>
      <c r="M62" s="52">
        <v>214980</v>
      </c>
      <c r="N62" s="52">
        <v>31727</v>
      </c>
      <c r="O62" s="52">
        <v>220461</v>
      </c>
      <c r="P62" s="52">
        <v>245635</v>
      </c>
      <c r="Q62" s="52">
        <v>163642</v>
      </c>
      <c r="R62" s="52">
        <v>171570</v>
      </c>
      <c r="S62" s="64">
        <v>174619</v>
      </c>
      <c r="T62" s="86">
        <f t="shared" si="2"/>
        <v>3699889</v>
      </c>
      <c r="V62"/>
    </row>
    <row r="63" spans="1:22" ht="19.5" thickBot="1">
      <c r="A63" s="1" t="s">
        <v>3</v>
      </c>
      <c r="B63" s="50" t="s">
        <v>130</v>
      </c>
      <c r="C63" s="51">
        <v>209663</v>
      </c>
      <c r="D63" s="52">
        <v>153812</v>
      </c>
      <c r="E63" s="52">
        <v>279378</v>
      </c>
      <c r="F63" s="52">
        <v>249659</v>
      </c>
      <c r="G63" s="52">
        <v>206133</v>
      </c>
      <c r="H63" s="52">
        <v>237558</v>
      </c>
      <c r="I63" s="52">
        <v>234829</v>
      </c>
      <c r="J63" s="52">
        <v>221430</v>
      </c>
      <c r="K63" s="52">
        <v>234522</v>
      </c>
      <c r="L63" s="52">
        <v>289233</v>
      </c>
      <c r="M63" s="52">
        <v>205804</v>
      </c>
      <c r="N63" s="52">
        <v>8406</v>
      </c>
      <c r="O63" s="52">
        <v>209602</v>
      </c>
      <c r="P63" s="52">
        <v>242087</v>
      </c>
      <c r="Q63" s="52">
        <v>167744</v>
      </c>
      <c r="R63" s="52">
        <v>170173</v>
      </c>
      <c r="S63" s="64">
        <v>181092</v>
      </c>
      <c r="T63" s="86">
        <f t="shared" si="2"/>
        <v>3501125</v>
      </c>
      <c r="V63"/>
    </row>
    <row r="64" spans="1:22">
      <c r="A64" s="1" t="s">
        <v>3</v>
      </c>
      <c r="B64" s="27" t="s">
        <v>131</v>
      </c>
      <c r="C64" s="37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  <c r="Q64" s="38">
        <v>0</v>
      </c>
      <c r="R64" s="38">
        <v>0</v>
      </c>
      <c r="S64" s="61">
        <v>0</v>
      </c>
      <c r="T64" s="83">
        <f t="shared" si="2"/>
        <v>0</v>
      </c>
      <c r="V64"/>
    </row>
    <row r="65" spans="1:22">
      <c r="A65" s="1" t="s">
        <v>3</v>
      </c>
      <c r="B65" s="6" t="s">
        <v>132</v>
      </c>
      <c r="C65" s="21">
        <v>209663</v>
      </c>
      <c r="D65" s="22">
        <v>153812</v>
      </c>
      <c r="E65" s="22">
        <v>279378</v>
      </c>
      <c r="F65" s="22">
        <v>249659</v>
      </c>
      <c r="G65" s="22">
        <v>206133</v>
      </c>
      <c r="H65" s="22">
        <v>237558</v>
      </c>
      <c r="I65" s="22">
        <v>234829</v>
      </c>
      <c r="J65" s="22">
        <v>221430</v>
      </c>
      <c r="K65" s="22">
        <v>234522</v>
      </c>
      <c r="L65" s="22">
        <v>289233</v>
      </c>
      <c r="M65" s="22">
        <v>205804</v>
      </c>
      <c r="N65" s="22">
        <v>8406</v>
      </c>
      <c r="O65" s="22">
        <v>209602</v>
      </c>
      <c r="P65" s="22">
        <v>242087</v>
      </c>
      <c r="Q65" s="22">
        <v>167744</v>
      </c>
      <c r="R65" s="22">
        <v>170173</v>
      </c>
      <c r="S65" s="62">
        <v>181092</v>
      </c>
      <c r="T65" s="84">
        <f t="shared" si="2"/>
        <v>3501125</v>
      </c>
      <c r="V65"/>
    </row>
    <row r="66" spans="1:22">
      <c r="A66" s="1" t="s">
        <v>3</v>
      </c>
      <c r="B66" s="6" t="s">
        <v>133</v>
      </c>
      <c r="C66" s="21">
        <v>1</v>
      </c>
      <c r="D66" s="22">
        <v>0</v>
      </c>
      <c r="E66" s="22">
        <v>1</v>
      </c>
      <c r="F66" s="22">
        <v>0</v>
      </c>
      <c r="G66" s="22">
        <v>1</v>
      </c>
      <c r="H66" s="22">
        <v>0</v>
      </c>
      <c r="I66" s="22">
        <v>0</v>
      </c>
      <c r="J66" s="22">
        <v>1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3</v>
      </c>
      <c r="Q66" s="22">
        <v>0</v>
      </c>
      <c r="R66" s="22">
        <v>0</v>
      </c>
      <c r="S66" s="62">
        <v>0</v>
      </c>
      <c r="T66" s="84"/>
    </row>
    <row r="67" spans="1:22" ht="19.5" thickBot="1">
      <c r="A67" s="1" t="s">
        <v>3</v>
      </c>
      <c r="B67" s="7" t="s">
        <v>134</v>
      </c>
      <c r="C67" s="24" t="s">
        <v>135</v>
      </c>
      <c r="D67" s="25" t="s">
        <v>135</v>
      </c>
      <c r="E67" s="25" t="s">
        <v>135</v>
      </c>
      <c r="F67" s="25" t="s">
        <v>135</v>
      </c>
      <c r="G67" s="25" t="s">
        <v>135</v>
      </c>
      <c r="H67" s="25" t="s">
        <v>135</v>
      </c>
      <c r="I67" s="25" t="s">
        <v>135</v>
      </c>
      <c r="J67" s="25" t="s">
        <v>135</v>
      </c>
      <c r="K67" s="25" t="s">
        <v>135</v>
      </c>
      <c r="L67" s="25" t="s">
        <v>135</v>
      </c>
      <c r="M67" s="25" t="s">
        <v>135</v>
      </c>
      <c r="N67" s="25" t="s">
        <v>135</v>
      </c>
      <c r="O67" s="25" t="s">
        <v>135</v>
      </c>
      <c r="P67" s="25" t="s">
        <v>135</v>
      </c>
      <c r="Q67" s="25" t="s">
        <v>135</v>
      </c>
      <c r="R67" s="25" t="s">
        <v>135</v>
      </c>
      <c r="S67" s="65" t="s">
        <v>135</v>
      </c>
      <c r="T67" s="87"/>
    </row>
  </sheetData>
  <phoneticPr fontId="3"/>
  <pageMargins left="0.31496062992125984" right="0.70866141732283472" top="0.35433070866141736" bottom="0.35433070866141736" header="0.51181102362204722" footer="0.11811023622047245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2022年 8月度給与</vt:lpstr>
      <vt:lpstr>2022年 8月度給与 (2)</vt:lpstr>
      <vt:lpstr>2022年 8月度給与 (3)</vt:lpstr>
      <vt:lpstr>2022年 8月度給与 (4)</vt:lpstr>
      <vt:lpstr>'2022年 8月度給与 (3)'!Print_Area</vt:lpstr>
      <vt:lpstr>'2022年 8月度給与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2022-09-12T07:23:58Z</cp:lastPrinted>
  <dcterms:created xsi:type="dcterms:W3CDTF">2022-09-07T05:44:45Z</dcterms:created>
  <dcterms:modified xsi:type="dcterms:W3CDTF">2022-09-13T01:23:59Z</dcterms:modified>
</cp:coreProperties>
</file>