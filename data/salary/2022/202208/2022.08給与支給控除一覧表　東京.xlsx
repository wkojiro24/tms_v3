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若林運送　東京営業所\2022年8月\"/>
    </mc:Choice>
  </mc:AlternateContent>
  <xr:revisionPtr revIDLastSave="0" documentId="13_ncr:1_{6BD6B4A0-401E-4CBC-8E52-3DEE2CA4F9A3}" xr6:coauthVersionLast="47" xr6:coauthVersionMax="47" xr10:uidLastSave="{00000000-0000-0000-0000-000000000000}"/>
  <bookViews>
    <workbookView xWindow="-120" yWindow="-120" windowWidth="20730" windowHeight="11160" xr2:uid="{C1B20952-4249-44E0-BC90-77E4393629EF}"/>
  </bookViews>
  <sheets>
    <sheet name="2022年 8月度給与" sheetId="2" r:id="rId1"/>
    <sheet name="2022年 8月度給与 (2)" sheetId="3" r:id="rId2"/>
  </sheets>
  <definedNames>
    <definedName name="_xlnm.Print_Area" localSheetId="1">'2022年 8月度給与 (2)'!$A$1:$M$67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7" i="3" l="1"/>
  <c r="M8" i="3"/>
  <c r="M10" i="3"/>
  <c r="M11" i="3"/>
  <c r="M12" i="3"/>
  <c r="M17" i="3"/>
  <c r="M18" i="3"/>
  <c r="M19" i="3"/>
  <c r="M21" i="3"/>
  <c r="L25" i="3"/>
  <c r="M25" i="3" s="1"/>
  <c r="L26" i="3"/>
  <c r="M26" i="3" s="1"/>
  <c r="L27" i="3"/>
  <c r="L28" i="3"/>
  <c r="M28" i="3" s="1"/>
  <c r="L29" i="3"/>
  <c r="L30" i="3"/>
  <c r="M30" i="3" s="1"/>
  <c r="L31" i="3"/>
  <c r="M31" i="3" s="1"/>
  <c r="L32" i="3"/>
  <c r="M32" i="3" s="1"/>
  <c r="L33" i="3"/>
  <c r="L34" i="3"/>
  <c r="M34" i="3" s="1"/>
  <c r="L35" i="3"/>
  <c r="M35" i="3" s="1"/>
  <c r="L36" i="3"/>
  <c r="M36" i="3" s="1"/>
  <c r="L37" i="3"/>
  <c r="M37" i="3" s="1"/>
  <c r="L38" i="3"/>
  <c r="M38" i="3" s="1"/>
  <c r="L39" i="3"/>
  <c r="M39" i="3" s="1"/>
  <c r="L40" i="3"/>
  <c r="M40" i="3" s="1"/>
  <c r="L41" i="3"/>
  <c r="M41" i="3" s="1"/>
  <c r="L42" i="3"/>
  <c r="M42" i="3" s="1"/>
  <c r="L43" i="3"/>
  <c r="M43" i="3" s="1"/>
  <c r="L44" i="3"/>
  <c r="M44" i="3" s="1"/>
  <c r="L45" i="3"/>
  <c r="M45" i="3" s="1"/>
  <c r="L46" i="3"/>
  <c r="M46" i="3" s="1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24" i="3"/>
  <c r="L23" i="3"/>
  <c r="L22" i="3"/>
  <c r="M22" i="3" s="1"/>
  <c r="L15" i="3"/>
  <c r="M15" i="3" s="1"/>
  <c r="L16" i="3"/>
  <c r="M16" i="3" s="1"/>
  <c r="L14" i="3"/>
  <c r="M14" i="3" s="1"/>
  <c r="L9" i="3"/>
  <c r="L6" i="3"/>
  <c r="M6" i="3" s="1"/>
  <c r="L5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47" i="3"/>
  <c r="E33" i="3"/>
  <c r="M33" i="3" s="1"/>
  <c r="E29" i="3"/>
  <c r="E27" i="3"/>
  <c r="E24" i="3"/>
  <c r="E23" i="3"/>
  <c r="E20" i="3"/>
  <c r="M20" i="3" s="1"/>
  <c r="E13" i="3"/>
  <c r="M13" i="3" s="1"/>
  <c r="E9" i="3"/>
  <c r="E5" i="3"/>
  <c r="M5" i="3" s="1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M58" i="3" l="1"/>
  <c r="M63" i="3"/>
  <c r="M54" i="3"/>
  <c r="M47" i="3"/>
  <c r="M23" i="3"/>
  <c r="M50" i="3"/>
  <c r="M27" i="3"/>
  <c r="M65" i="3"/>
  <c r="M61" i="3"/>
  <c r="M60" i="3"/>
  <c r="M56" i="3"/>
  <c r="M52" i="3"/>
  <c r="M24" i="3"/>
  <c r="M62" i="3"/>
  <c r="M57" i="3"/>
  <c r="M53" i="3"/>
  <c r="M49" i="3"/>
  <c r="M64" i="3"/>
  <c r="M59" i="3"/>
  <c r="M55" i="3"/>
  <c r="M51" i="3"/>
  <c r="M48" i="3"/>
  <c r="M29" i="3"/>
  <c r="M9" i="3"/>
</calcChain>
</file>

<file path=xl/sharedStrings.xml><?xml version="1.0" encoding="utf-8"?>
<sst xmlns="http://schemas.openxmlformats.org/spreadsheetml/2006/main" count="346" uniqueCount="103">
  <si>
    <t>支給控除一覧表</t>
    <phoneticPr fontId="4"/>
  </si>
  <si>
    <t>若林運送株式会社</t>
    <phoneticPr fontId="4"/>
  </si>
  <si>
    <t>2022年 9月 6日 作成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</si>
  <si>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</si>
  <si>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</si>
  <si>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</si>
  <si>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</si>
  <si>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</si>
  <si>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</si>
  <si>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</si>
  <si>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</si>
  <si>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</si>
  <si>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</si>
  <si>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</si>
  <si>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</si>
  <si>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</si>
  <si>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</si>
  <si>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</si>
  <si>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</si>
  <si>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</si>
  <si>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</si>
  <si>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</si>
  <si>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</si>
  <si>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</si>
  <si>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</si>
  <si>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</si>
  <si>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</si>
  <si>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</si>
  <si>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</si>
  <si>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</si>
  <si>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</si>
  <si>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就労時間2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</si>
  <si>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</si>
  <si>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</si>
  <si>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</si>
  <si>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</si>
  <si>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</si>
  <si>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</si>
  <si>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遅刻早退時間</t>
    <phoneticPr fontId="4"/>
  </si>
  <si>
    <t>有給休暇時間</t>
    <phoneticPr fontId="4"/>
  </si>
  <si>
    <t>有休時間2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</si>
  <si>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</si>
  <si>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</si>
  <si>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</si>
  <si>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</si>
  <si>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</si>
  <si>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</si>
  <si>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</si>
  <si>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</si>
  <si>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別居手当</t>
    <phoneticPr fontId="4"/>
  </si>
  <si>
    <t>呼出手当</t>
    <phoneticPr fontId="4"/>
  </si>
  <si>
    <t>宿泊手当</t>
    <phoneticPr fontId="4"/>
  </si>
  <si>
    <t>基本給2</t>
    <phoneticPr fontId="4"/>
  </si>
  <si>
    <t>基本給3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</si>
  <si>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</si>
  <si>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</si>
  <si>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</si>
  <si>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</si>
  <si>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有給休暇2</t>
    <phoneticPr fontId="4"/>
  </si>
  <si>
    <t>特別休暇</t>
    <phoneticPr fontId="4"/>
  </si>
  <si>
    <t>基本給加算</t>
    <phoneticPr fontId="4"/>
  </si>
  <si>
    <t>過不足調整</t>
    <phoneticPr fontId="4"/>
  </si>
  <si>
    <t>調整加算</t>
    <phoneticPr fontId="4"/>
  </si>
  <si>
    <t>正月出勤手当</t>
    <phoneticPr fontId="4"/>
  </si>
  <si>
    <t>課税通勤手当</t>
    <phoneticPr fontId="4"/>
  </si>
  <si>
    <t>欠勤控除</t>
    <phoneticPr fontId="4"/>
  </si>
  <si>
    <t>遅早控除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</si>
  <si>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</si>
  <si>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</si>
  <si>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</si>
  <si>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</si>
  <si>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</si>
  <si>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</si>
  <si>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</si>
  <si>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休業見舞金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</si>
  <si>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</si>
  <si>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</si>
  <si>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</si>
  <si>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</si>
  <si>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</si>
  <si>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</si>
  <si>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</si>
  <si>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</si>
  <si>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</si>
  <si>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</si>
  <si>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</si>
  <si>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</si>
  <si>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社宅費</t>
    <phoneticPr fontId="4"/>
  </si>
  <si>
    <t>税調整</t>
    <phoneticPr fontId="4"/>
  </si>
  <si>
    <t>減額金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</si>
  <si>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</si>
  <si>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</si>
  <si>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</si>
  <si>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</si>
  <si>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</si>
  <si>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</si>
  <si>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</si>
  <si>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</si>
  <si>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8月度給与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</si>
  <si>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</si>
  <si>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</si>
  <si>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６名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</si>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</sst>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0" fontId="2" fillId="0" borderId="2" xfId="1" applyFont="1" applyBorder="1" applyAlignment="1">
      <alignment horizontal="center"/>
    </xf>
    <xf numFmtId="0" fontId="2" fillId="0" borderId="3" xfId="1" applyFont="1" applyBorder="1"/>
    <xf numFmtId="49" fontId="2" fillId="0" borderId="4" xfId="1" applyNumberFormat="1" applyFont="1" applyBorder="1" applyAlignment="1">
      <alignment horizontal="left"/>
    </xf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176" fontId="2" fillId="0" borderId="6" xfId="1" applyNumberFormat="1" applyFont="1" applyBorder="1"/>
    <xf numFmtId="3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2" fontId="2" fillId="0" borderId="11" xfId="1" applyNumberFormat="1" applyFont="1" applyBorder="1"/>
    <xf numFmtId="2" fontId="2" fillId="0" borderId="12" xfId="1" applyNumberFormat="1" applyFont="1" applyBorder="1"/>
    <xf numFmtId="2" fontId="2" fillId="0" borderId="13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176" fontId="2" fillId="0" borderId="13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 applyAlignment="1">
      <alignment horizontal="left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0" fontId="2" fillId="0" borderId="7" xfId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2" fontId="2" fillId="0" borderId="7" xfId="1" applyNumberFormat="1" applyFont="1" applyBorder="1"/>
    <xf numFmtId="49" fontId="2" fillId="0" borderId="22" xfId="1" applyNumberFormat="1" applyFont="1" applyBorder="1" applyAlignment="1">
      <alignment horizontal="left"/>
    </xf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49" fontId="2" fillId="0" borderId="27" xfId="1" applyNumberFormat="1" applyFont="1" applyBorder="1" applyAlignment="1">
      <alignment horizontal="lef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49" fontId="2" fillId="0" borderId="32" xfId="1" applyNumberFormat="1" applyFont="1" applyBorder="1" applyAlignment="1">
      <alignment horizontal="left"/>
    </xf>
    <xf numFmtId="49" fontId="2" fillId="0" borderId="33" xfId="1" applyNumberFormat="1" applyFont="1" applyBorder="1" applyAlignment="1">
      <alignment horizontal="right"/>
    </xf>
    <xf numFmtId="49" fontId="2" fillId="0" borderId="39" xfId="1" applyNumberFormat="1" applyFont="1" applyBorder="1" applyAlignment="1">
      <alignment horizontal="center"/>
    </xf>
    <xf numFmtId="49" fontId="2" fillId="0" borderId="40" xfId="1" applyNumberFormat="1" applyFont="1" applyBorder="1" applyAlignment="1">
      <alignment horizontal="center"/>
    </xf>
    <xf numFmtId="2" fontId="2" fillId="0" borderId="41" xfId="1" applyNumberFormat="1" applyFont="1" applyBorder="1"/>
    <xf numFmtId="2" fontId="2" fillId="0" borderId="42" xfId="1" applyNumberFormat="1" applyFont="1" applyBorder="1"/>
    <xf numFmtId="176" fontId="2" fillId="0" borderId="42" xfId="1" applyNumberFormat="1" applyFont="1" applyBorder="1"/>
    <xf numFmtId="2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44" xfId="1" applyNumberFormat="1" applyFont="1" applyBorder="1"/>
    <xf numFmtId="49" fontId="2" fillId="0" borderId="40" xfId="1" applyNumberFormat="1" applyFont="1" applyBorder="1"/>
    <xf numFmtId="49" fontId="2" fillId="0" borderId="45" xfId="1" applyNumberFormat="1" applyFont="1" applyBorder="1" applyAlignment="1">
      <alignment horizontal="left"/>
    </xf>
    <xf numFmtId="0" fontId="2" fillId="0" borderId="45" xfId="1" applyFont="1" applyBorder="1"/>
    <xf numFmtId="49" fontId="2" fillId="0" borderId="46" xfId="1" applyNumberFormat="1" applyFont="1" applyBorder="1" applyAlignment="1">
      <alignment horizontal="right"/>
    </xf>
    <xf numFmtId="0" fontId="2" fillId="0" borderId="46" xfId="1" applyFont="1" applyBorder="1" applyAlignment="1">
      <alignment horizontal="right"/>
    </xf>
    <xf numFmtId="2" fontId="2" fillId="0" borderId="47" xfId="1" applyNumberFormat="1" applyFont="1" applyBorder="1"/>
    <xf numFmtId="2" fontId="2" fillId="0" borderId="48" xfId="1" applyNumberFormat="1" applyFont="1" applyBorder="1"/>
    <xf numFmtId="176" fontId="2" fillId="0" borderId="48" xfId="1" applyNumberFormat="1" applyFont="1" applyBorder="1"/>
    <xf numFmtId="2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3" fontId="2" fillId="0" borderId="49" xfId="1" applyNumberFormat="1" applyFont="1" applyBorder="1"/>
    <xf numFmtId="3" fontId="2" fillId="0" borderId="38" xfId="1" applyNumberFormat="1" applyFont="1" applyBorder="1"/>
    <xf numFmtId="49" fontId="2" fillId="0" borderId="46" xfId="1" applyNumberFormat="1" applyFont="1" applyBorder="1"/>
    <xf numFmtId="0" fontId="2" fillId="0" borderId="50" xfId="1" applyFont="1" applyBorder="1"/>
  </cellXfs>
  <cellStyles count="2">
    <cellStyle name="標準" xfId="0" builtinId="0"/>
    <cellStyle name="標準 2" xfId="1" xr:uid="{85955441-640B-478D-8148-87C7674008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603A1-34E7-4BDF-A01F-43E9EA556CBA}">
  <dimension ref="A1:K86"/>
  <sheetViews>
    <sheetView showZeros="0" tabSelected="1" workbookViewId="0">
      <selection activeCell="A6" sqref="A6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6" width="9" style="2" bestFit="1" customWidth="1"/>
    <col min="7" max="10" width="11.125" style="2" bestFit="1" customWidth="1"/>
    <col min="11" max="11" width="9.625" style="2" bestFit="1" customWidth="1"/>
    <col min="12" max="256" width="9" style="2"/>
    <col min="257" max="257" width="2.375" style="2" customWidth="1"/>
    <col min="258" max="258" width="13.25" style="2" bestFit="1" customWidth="1"/>
    <col min="259" max="260" width="11.125" style="2" bestFit="1" customWidth="1"/>
    <col min="261" max="262" width="9" style="2" bestFit="1"/>
    <col min="263" max="266" width="11.125" style="2" bestFit="1" customWidth="1"/>
    <col min="267" max="267" width="9.625" style="2" bestFit="1" customWidth="1"/>
    <col min="268" max="512" width="9" style="2"/>
    <col min="513" max="513" width="2.375" style="2" customWidth="1"/>
    <col min="514" max="514" width="13.25" style="2" bestFit="1" customWidth="1"/>
    <col min="515" max="516" width="11.125" style="2" bestFit="1" customWidth="1"/>
    <col min="517" max="518" width="9" style="2" bestFit="1"/>
    <col min="519" max="522" width="11.125" style="2" bestFit="1" customWidth="1"/>
    <col min="523" max="523" width="9.625" style="2" bestFit="1" customWidth="1"/>
    <col min="524" max="768" width="9" style="2"/>
    <col min="769" max="769" width="2.375" style="2" customWidth="1"/>
    <col min="770" max="770" width="13.25" style="2" bestFit="1" customWidth="1"/>
    <col min="771" max="772" width="11.125" style="2" bestFit="1" customWidth="1"/>
    <col min="773" max="774" width="9" style="2" bestFit="1"/>
    <col min="775" max="778" width="11.125" style="2" bestFit="1" customWidth="1"/>
    <col min="779" max="779" width="9.625" style="2" bestFit="1" customWidth="1"/>
    <col min="780" max="1024" width="9" style="2"/>
    <col min="1025" max="1025" width="2.375" style="2" customWidth="1"/>
    <col min="1026" max="1026" width="13.25" style="2" bestFit="1" customWidth="1"/>
    <col min="1027" max="1028" width="11.125" style="2" bestFit="1" customWidth="1"/>
    <col min="1029" max="1030" width="9" style="2" bestFit="1"/>
    <col min="1031" max="1034" width="11.125" style="2" bestFit="1" customWidth="1"/>
    <col min="1035" max="1035" width="9.625" style="2" bestFit="1" customWidth="1"/>
    <col min="1036" max="1280" width="9" style="2"/>
    <col min="1281" max="1281" width="2.375" style="2" customWidth="1"/>
    <col min="1282" max="1282" width="13.25" style="2" bestFit="1" customWidth="1"/>
    <col min="1283" max="1284" width="11.125" style="2" bestFit="1" customWidth="1"/>
    <col min="1285" max="1286" width="9" style="2" bestFit="1"/>
    <col min="1287" max="1290" width="11.125" style="2" bestFit="1" customWidth="1"/>
    <col min="1291" max="1291" width="9.625" style="2" bestFit="1" customWidth="1"/>
    <col min="1292" max="1536" width="9" style="2"/>
    <col min="1537" max="1537" width="2.375" style="2" customWidth="1"/>
    <col min="1538" max="1538" width="13.25" style="2" bestFit="1" customWidth="1"/>
    <col min="1539" max="1540" width="11.125" style="2" bestFit="1" customWidth="1"/>
    <col min="1541" max="1542" width="9" style="2" bestFit="1"/>
    <col min="1543" max="1546" width="11.125" style="2" bestFit="1" customWidth="1"/>
    <col min="1547" max="1547" width="9.625" style="2" bestFit="1" customWidth="1"/>
    <col min="1548" max="1792" width="9" style="2"/>
    <col min="1793" max="1793" width="2.375" style="2" customWidth="1"/>
    <col min="1794" max="1794" width="13.25" style="2" bestFit="1" customWidth="1"/>
    <col min="1795" max="1796" width="11.125" style="2" bestFit="1" customWidth="1"/>
    <col min="1797" max="1798" width="9" style="2" bestFit="1"/>
    <col min="1799" max="1802" width="11.125" style="2" bestFit="1" customWidth="1"/>
    <col min="1803" max="1803" width="9.625" style="2" bestFit="1" customWidth="1"/>
    <col min="1804" max="2048" width="9" style="2"/>
    <col min="2049" max="2049" width="2.375" style="2" customWidth="1"/>
    <col min="2050" max="2050" width="13.25" style="2" bestFit="1" customWidth="1"/>
    <col min="2051" max="2052" width="11.125" style="2" bestFit="1" customWidth="1"/>
    <col min="2053" max="2054" width="9" style="2" bestFit="1"/>
    <col min="2055" max="2058" width="11.125" style="2" bestFit="1" customWidth="1"/>
    <col min="2059" max="2059" width="9.625" style="2" bestFit="1" customWidth="1"/>
    <col min="2060" max="2304" width="9" style="2"/>
    <col min="2305" max="2305" width="2.375" style="2" customWidth="1"/>
    <col min="2306" max="2306" width="13.25" style="2" bestFit="1" customWidth="1"/>
    <col min="2307" max="2308" width="11.125" style="2" bestFit="1" customWidth="1"/>
    <col min="2309" max="2310" width="9" style="2" bestFit="1"/>
    <col min="2311" max="2314" width="11.125" style="2" bestFit="1" customWidth="1"/>
    <col min="2315" max="2315" width="9.625" style="2" bestFit="1" customWidth="1"/>
    <col min="2316" max="2560" width="9" style="2"/>
    <col min="2561" max="2561" width="2.375" style="2" customWidth="1"/>
    <col min="2562" max="2562" width="13.25" style="2" bestFit="1" customWidth="1"/>
    <col min="2563" max="2564" width="11.125" style="2" bestFit="1" customWidth="1"/>
    <col min="2565" max="2566" width="9" style="2" bestFit="1"/>
    <col min="2567" max="2570" width="11.125" style="2" bestFit="1" customWidth="1"/>
    <col min="2571" max="2571" width="9.625" style="2" bestFit="1" customWidth="1"/>
    <col min="2572" max="2816" width="9" style="2"/>
    <col min="2817" max="2817" width="2.375" style="2" customWidth="1"/>
    <col min="2818" max="2818" width="13.25" style="2" bestFit="1" customWidth="1"/>
    <col min="2819" max="2820" width="11.125" style="2" bestFit="1" customWidth="1"/>
    <col min="2821" max="2822" width="9" style="2" bestFit="1"/>
    <col min="2823" max="2826" width="11.125" style="2" bestFit="1" customWidth="1"/>
    <col min="2827" max="2827" width="9.625" style="2" bestFit="1" customWidth="1"/>
    <col min="2828" max="3072" width="9" style="2"/>
    <col min="3073" max="3073" width="2.375" style="2" customWidth="1"/>
    <col min="3074" max="3074" width="13.25" style="2" bestFit="1" customWidth="1"/>
    <col min="3075" max="3076" width="11.125" style="2" bestFit="1" customWidth="1"/>
    <col min="3077" max="3078" width="9" style="2" bestFit="1"/>
    <col min="3079" max="3082" width="11.125" style="2" bestFit="1" customWidth="1"/>
    <col min="3083" max="3083" width="9.625" style="2" bestFit="1" customWidth="1"/>
    <col min="3084" max="3328" width="9" style="2"/>
    <col min="3329" max="3329" width="2.375" style="2" customWidth="1"/>
    <col min="3330" max="3330" width="13.25" style="2" bestFit="1" customWidth="1"/>
    <col min="3331" max="3332" width="11.125" style="2" bestFit="1" customWidth="1"/>
    <col min="3333" max="3334" width="9" style="2" bestFit="1"/>
    <col min="3335" max="3338" width="11.125" style="2" bestFit="1" customWidth="1"/>
    <col min="3339" max="3339" width="9.625" style="2" bestFit="1" customWidth="1"/>
    <col min="3340" max="3584" width="9" style="2"/>
    <col min="3585" max="3585" width="2.375" style="2" customWidth="1"/>
    <col min="3586" max="3586" width="13.25" style="2" bestFit="1" customWidth="1"/>
    <col min="3587" max="3588" width="11.125" style="2" bestFit="1" customWidth="1"/>
    <col min="3589" max="3590" width="9" style="2" bestFit="1"/>
    <col min="3591" max="3594" width="11.125" style="2" bestFit="1" customWidth="1"/>
    <col min="3595" max="3595" width="9.625" style="2" bestFit="1" customWidth="1"/>
    <col min="3596" max="3840" width="9" style="2"/>
    <col min="3841" max="3841" width="2.375" style="2" customWidth="1"/>
    <col min="3842" max="3842" width="13.25" style="2" bestFit="1" customWidth="1"/>
    <col min="3843" max="3844" width="11.125" style="2" bestFit="1" customWidth="1"/>
    <col min="3845" max="3846" width="9" style="2" bestFit="1"/>
    <col min="3847" max="3850" width="11.125" style="2" bestFit="1" customWidth="1"/>
    <col min="3851" max="3851" width="9.625" style="2" bestFit="1" customWidth="1"/>
    <col min="3852" max="4096" width="9" style="2"/>
    <col min="4097" max="4097" width="2.375" style="2" customWidth="1"/>
    <col min="4098" max="4098" width="13.25" style="2" bestFit="1" customWidth="1"/>
    <col min="4099" max="4100" width="11.125" style="2" bestFit="1" customWidth="1"/>
    <col min="4101" max="4102" width="9" style="2" bestFit="1"/>
    <col min="4103" max="4106" width="11.125" style="2" bestFit="1" customWidth="1"/>
    <col min="4107" max="4107" width="9.625" style="2" bestFit="1" customWidth="1"/>
    <col min="4108" max="4352" width="9" style="2"/>
    <col min="4353" max="4353" width="2.375" style="2" customWidth="1"/>
    <col min="4354" max="4354" width="13.25" style="2" bestFit="1" customWidth="1"/>
    <col min="4355" max="4356" width="11.125" style="2" bestFit="1" customWidth="1"/>
    <col min="4357" max="4358" width="9" style="2" bestFit="1"/>
    <col min="4359" max="4362" width="11.125" style="2" bestFit="1" customWidth="1"/>
    <col min="4363" max="4363" width="9.625" style="2" bestFit="1" customWidth="1"/>
    <col min="4364" max="4608" width="9" style="2"/>
    <col min="4609" max="4609" width="2.375" style="2" customWidth="1"/>
    <col min="4610" max="4610" width="13.25" style="2" bestFit="1" customWidth="1"/>
    <col min="4611" max="4612" width="11.125" style="2" bestFit="1" customWidth="1"/>
    <col min="4613" max="4614" width="9" style="2" bestFit="1"/>
    <col min="4615" max="4618" width="11.125" style="2" bestFit="1" customWidth="1"/>
    <col min="4619" max="4619" width="9.625" style="2" bestFit="1" customWidth="1"/>
    <col min="4620" max="4864" width="9" style="2"/>
    <col min="4865" max="4865" width="2.375" style="2" customWidth="1"/>
    <col min="4866" max="4866" width="13.25" style="2" bestFit="1" customWidth="1"/>
    <col min="4867" max="4868" width="11.125" style="2" bestFit="1" customWidth="1"/>
    <col min="4869" max="4870" width="9" style="2" bestFit="1"/>
    <col min="4871" max="4874" width="11.125" style="2" bestFit="1" customWidth="1"/>
    <col min="4875" max="4875" width="9.625" style="2" bestFit="1" customWidth="1"/>
    <col min="4876" max="5120" width="9" style="2"/>
    <col min="5121" max="5121" width="2.375" style="2" customWidth="1"/>
    <col min="5122" max="5122" width="13.25" style="2" bestFit="1" customWidth="1"/>
    <col min="5123" max="5124" width="11.125" style="2" bestFit="1" customWidth="1"/>
    <col min="5125" max="5126" width="9" style="2" bestFit="1"/>
    <col min="5127" max="5130" width="11.125" style="2" bestFit="1" customWidth="1"/>
    <col min="5131" max="5131" width="9.625" style="2" bestFit="1" customWidth="1"/>
    <col min="5132" max="5376" width="9" style="2"/>
    <col min="5377" max="5377" width="2.375" style="2" customWidth="1"/>
    <col min="5378" max="5378" width="13.25" style="2" bestFit="1" customWidth="1"/>
    <col min="5379" max="5380" width="11.125" style="2" bestFit="1" customWidth="1"/>
    <col min="5381" max="5382" width="9" style="2" bestFit="1"/>
    <col min="5383" max="5386" width="11.125" style="2" bestFit="1" customWidth="1"/>
    <col min="5387" max="5387" width="9.625" style="2" bestFit="1" customWidth="1"/>
    <col min="5388" max="5632" width="9" style="2"/>
    <col min="5633" max="5633" width="2.375" style="2" customWidth="1"/>
    <col min="5634" max="5634" width="13.25" style="2" bestFit="1" customWidth="1"/>
    <col min="5635" max="5636" width="11.125" style="2" bestFit="1" customWidth="1"/>
    <col min="5637" max="5638" width="9" style="2" bestFit="1"/>
    <col min="5639" max="5642" width="11.125" style="2" bestFit="1" customWidth="1"/>
    <col min="5643" max="5643" width="9.625" style="2" bestFit="1" customWidth="1"/>
    <col min="5644" max="5888" width="9" style="2"/>
    <col min="5889" max="5889" width="2.375" style="2" customWidth="1"/>
    <col min="5890" max="5890" width="13.25" style="2" bestFit="1" customWidth="1"/>
    <col min="5891" max="5892" width="11.125" style="2" bestFit="1" customWidth="1"/>
    <col min="5893" max="5894" width="9" style="2" bestFit="1"/>
    <col min="5895" max="5898" width="11.125" style="2" bestFit="1" customWidth="1"/>
    <col min="5899" max="5899" width="9.625" style="2" bestFit="1" customWidth="1"/>
    <col min="5900" max="6144" width="9" style="2"/>
    <col min="6145" max="6145" width="2.375" style="2" customWidth="1"/>
    <col min="6146" max="6146" width="13.25" style="2" bestFit="1" customWidth="1"/>
    <col min="6147" max="6148" width="11.125" style="2" bestFit="1" customWidth="1"/>
    <col min="6149" max="6150" width="9" style="2" bestFit="1"/>
    <col min="6151" max="6154" width="11.125" style="2" bestFit="1" customWidth="1"/>
    <col min="6155" max="6155" width="9.625" style="2" bestFit="1" customWidth="1"/>
    <col min="6156" max="6400" width="9" style="2"/>
    <col min="6401" max="6401" width="2.375" style="2" customWidth="1"/>
    <col min="6402" max="6402" width="13.25" style="2" bestFit="1" customWidth="1"/>
    <col min="6403" max="6404" width="11.125" style="2" bestFit="1" customWidth="1"/>
    <col min="6405" max="6406" width="9" style="2" bestFit="1"/>
    <col min="6407" max="6410" width="11.125" style="2" bestFit="1" customWidth="1"/>
    <col min="6411" max="6411" width="9.625" style="2" bestFit="1" customWidth="1"/>
    <col min="6412" max="6656" width="9" style="2"/>
    <col min="6657" max="6657" width="2.375" style="2" customWidth="1"/>
    <col min="6658" max="6658" width="13.25" style="2" bestFit="1" customWidth="1"/>
    <col min="6659" max="6660" width="11.125" style="2" bestFit="1" customWidth="1"/>
    <col min="6661" max="6662" width="9" style="2" bestFit="1"/>
    <col min="6663" max="6666" width="11.125" style="2" bestFit="1" customWidth="1"/>
    <col min="6667" max="6667" width="9.625" style="2" bestFit="1" customWidth="1"/>
    <col min="6668" max="6912" width="9" style="2"/>
    <col min="6913" max="6913" width="2.375" style="2" customWidth="1"/>
    <col min="6914" max="6914" width="13.25" style="2" bestFit="1" customWidth="1"/>
    <col min="6915" max="6916" width="11.125" style="2" bestFit="1" customWidth="1"/>
    <col min="6917" max="6918" width="9" style="2" bestFit="1"/>
    <col min="6919" max="6922" width="11.125" style="2" bestFit="1" customWidth="1"/>
    <col min="6923" max="6923" width="9.625" style="2" bestFit="1" customWidth="1"/>
    <col min="6924" max="7168" width="9" style="2"/>
    <col min="7169" max="7169" width="2.375" style="2" customWidth="1"/>
    <col min="7170" max="7170" width="13.25" style="2" bestFit="1" customWidth="1"/>
    <col min="7171" max="7172" width="11.125" style="2" bestFit="1" customWidth="1"/>
    <col min="7173" max="7174" width="9" style="2" bestFit="1"/>
    <col min="7175" max="7178" width="11.125" style="2" bestFit="1" customWidth="1"/>
    <col min="7179" max="7179" width="9.625" style="2" bestFit="1" customWidth="1"/>
    <col min="7180" max="7424" width="9" style="2"/>
    <col min="7425" max="7425" width="2.375" style="2" customWidth="1"/>
    <col min="7426" max="7426" width="13.25" style="2" bestFit="1" customWidth="1"/>
    <col min="7427" max="7428" width="11.125" style="2" bestFit="1" customWidth="1"/>
    <col min="7429" max="7430" width="9" style="2" bestFit="1"/>
    <col min="7431" max="7434" width="11.125" style="2" bestFit="1" customWidth="1"/>
    <col min="7435" max="7435" width="9.625" style="2" bestFit="1" customWidth="1"/>
    <col min="7436" max="7680" width="9" style="2"/>
    <col min="7681" max="7681" width="2.375" style="2" customWidth="1"/>
    <col min="7682" max="7682" width="13.25" style="2" bestFit="1" customWidth="1"/>
    <col min="7683" max="7684" width="11.125" style="2" bestFit="1" customWidth="1"/>
    <col min="7685" max="7686" width="9" style="2" bestFit="1"/>
    <col min="7687" max="7690" width="11.125" style="2" bestFit="1" customWidth="1"/>
    <col min="7691" max="7691" width="9.625" style="2" bestFit="1" customWidth="1"/>
    <col min="7692" max="7936" width="9" style="2"/>
    <col min="7937" max="7937" width="2.375" style="2" customWidth="1"/>
    <col min="7938" max="7938" width="13.25" style="2" bestFit="1" customWidth="1"/>
    <col min="7939" max="7940" width="11.125" style="2" bestFit="1" customWidth="1"/>
    <col min="7941" max="7942" width="9" style="2" bestFit="1"/>
    <col min="7943" max="7946" width="11.125" style="2" bestFit="1" customWidth="1"/>
    <col min="7947" max="7947" width="9.625" style="2" bestFit="1" customWidth="1"/>
    <col min="7948" max="8192" width="9" style="2"/>
    <col min="8193" max="8193" width="2.375" style="2" customWidth="1"/>
    <col min="8194" max="8194" width="13.25" style="2" bestFit="1" customWidth="1"/>
    <col min="8195" max="8196" width="11.125" style="2" bestFit="1" customWidth="1"/>
    <col min="8197" max="8198" width="9" style="2" bestFit="1"/>
    <col min="8199" max="8202" width="11.125" style="2" bestFit="1" customWidth="1"/>
    <col min="8203" max="8203" width="9.625" style="2" bestFit="1" customWidth="1"/>
    <col min="8204" max="8448" width="9" style="2"/>
    <col min="8449" max="8449" width="2.375" style="2" customWidth="1"/>
    <col min="8450" max="8450" width="13.25" style="2" bestFit="1" customWidth="1"/>
    <col min="8451" max="8452" width="11.125" style="2" bestFit="1" customWidth="1"/>
    <col min="8453" max="8454" width="9" style="2" bestFit="1"/>
    <col min="8455" max="8458" width="11.125" style="2" bestFit="1" customWidth="1"/>
    <col min="8459" max="8459" width="9.625" style="2" bestFit="1" customWidth="1"/>
    <col min="8460" max="8704" width="9" style="2"/>
    <col min="8705" max="8705" width="2.375" style="2" customWidth="1"/>
    <col min="8706" max="8706" width="13.25" style="2" bestFit="1" customWidth="1"/>
    <col min="8707" max="8708" width="11.125" style="2" bestFit="1" customWidth="1"/>
    <col min="8709" max="8710" width="9" style="2" bestFit="1"/>
    <col min="8711" max="8714" width="11.125" style="2" bestFit="1" customWidth="1"/>
    <col min="8715" max="8715" width="9.625" style="2" bestFit="1" customWidth="1"/>
    <col min="8716" max="8960" width="9" style="2"/>
    <col min="8961" max="8961" width="2.375" style="2" customWidth="1"/>
    <col min="8962" max="8962" width="13.25" style="2" bestFit="1" customWidth="1"/>
    <col min="8963" max="8964" width="11.125" style="2" bestFit="1" customWidth="1"/>
    <col min="8965" max="8966" width="9" style="2" bestFit="1"/>
    <col min="8967" max="8970" width="11.125" style="2" bestFit="1" customWidth="1"/>
    <col min="8971" max="8971" width="9.625" style="2" bestFit="1" customWidth="1"/>
    <col min="8972" max="9216" width="9" style="2"/>
    <col min="9217" max="9217" width="2.375" style="2" customWidth="1"/>
    <col min="9218" max="9218" width="13.25" style="2" bestFit="1" customWidth="1"/>
    <col min="9219" max="9220" width="11.125" style="2" bestFit="1" customWidth="1"/>
    <col min="9221" max="9222" width="9" style="2" bestFit="1"/>
    <col min="9223" max="9226" width="11.125" style="2" bestFit="1" customWidth="1"/>
    <col min="9227" max="9227" width="9.625" style="2" bestFit="1" customWidth="1"/>
    <col min="9228" max="9472" width="9" style="2"/>
    <col min="9473" max="9473" width="2.375" style="2" customWidth="1"/>
    <col min="9474" max="9474" width="13.25" style="2" bestFit="1" customWidth="1"/>
    <col min="9475" max="9476" width="11.125" style="2" bestFit="1" customWidth="1"/>
    <col min="9477" max="9478" width="9" style="2" bestFit="1"/>
    <col min="9479" max="9482" width="11.125" style="2" bestFit="1" customWidth="1"/>
    <col min="9483" max="9483" width="9.625" style="2" bestFit="1" customWidth="1"/>
    <col min="9484" max="9728" width="9" style="2"/>
    <col min="9729" max="9729" width="2.375" style="2" customWidth="1"/>
    <col min="9730" max="9730" width="13.25" style="2" bestFit="1" customWidth="1"/>
    <col min="9731" max="9732" width="11.125" style="2" bestFit="1" customWidth="1"/>
    <col min="9733" max="9734" width="9" style="2" bestFit="1"/>
    <col min="9735" max="9738" width="11.125" style="2" bestFit="1" customWidth="1"/>
    <col min="9739" max="9739" width="9.625" style="2" bestFit="1" customWidth="1"/>
    <col min="9740" max="9984" width="9" style="2"/>
    <col min="9985" max="9985" width="2.375" style="2" customWidth="1"/>
    <col min="9986" max="9986" width="13.25" style="2" bestFit="1" customWidth="1"/>
    <col min="9987" max="9988" width="11.125" style="2" bestFit="1" customWidth="1"/>
    <col min="9989" max="9990" width="9" style="2" bestFit="1"/>
    <col min="9991" max="9994" width="11.125" style="2" bestFit="1" customWidth="1"/>
    <col min="9995" max="9995" width="9.625" style="2" bestFit="1" customWidth="1"/>
    <col min="9996" max="10240" width="9" style="2"/>
    <col min="10241" max="10241" width="2.375" style="2" customWidth="1"/>
    <col min="10242" max="10242" width="13.25" style="2" bestFit="1" customWidth="1"/>
    <col min="10243" max="10244" width="11.125" style="2" bestFit="1" customWidth="1"/>
    <col min="10245" max="10246" width="9" style="2" bestFit="1"/>
    <col min="10247" max="10250" width="11.125" style="2" bestFit="1" customWidth="1"/>
    <col min="10251" max="10251" width="9.625" style="2" bestFit="1" customWidth="1"/>
    <col min="10252" max="10496" width="9" style="2"/>
    <col min="10497" max="10497" width="2.375" style="2" customWidth="1"/>
    <col min="10498" max="10498" width="13.25" style="2" bestFit="1" customWidth="1"/>
    <col min="10499" max="10500" width="11.125" style="2" bestFit="1" customWidth="1"/>
    <col min="10501" max="10502" width="9" style="2" bestFit="1"/>
    <col min="10503" max="10506" width="11.125" style="2" bestFit="1" customWidth="1"/>
    <col min="10507" max="10507" width="9.625" style="2" bestFit="1" customWidth="1"/>
    <col min="10508" max="10752" width="9" style="2"/>
    <col min="10753" max="10753" width="2.375" style="2" customWidth="1"/>
    <col min="10754" max="10754" width="13.25" style="2" bestFit="1" customWidth="1"/>
    <col min="10755" max="10756" width="11.125" style="2" bestFit="1" customWidth="1"/>
    <col min="10757" max="10758" width="9" style="2" bestFit="1"/>
    <col min="10759" max="10762" width="11.125" style="2" bestFit="1" customWidth="1"/>
    <col min="10763" max="10763" width="9.625" style="2" bestFit="1" customWidth="1"/>
    <col min="10764" max="11008" width="9" style="2"/>
    <col min="11009" max="11009" width="2.375" style="2" customWidth="1"/>
    <col min="11010" max="11010" width="13.25" style="2" bestFit="1" customWidth="1"/>
    <col min="11011" max="11012" width="11.125" style="2" bestFit="1" customWidth="1"/>
    <col min="11013" max="11014" width="9" style="2" bestFit="1"/>
    <col min="11015" max="11018" width="11.125" style="2" bestFit="1" customWidth="1"/>
    <col min="11019" max="11019" width="9.625" style="2" bestFit="1" customWidth="1"/>
    <col min="11020" max="11264" width="9" style="2"/>
    <col min="11265" max="11265" width="2.375" style="2" customWidth="1"/>
    <col min="11266" max="11266" width="13.25" style="2" bestFit="1" customWidth="1"/>
    <col min="11267" max="11268" width="11.125" style="2" bestFit="1" customWidth="1"/>
    <col min="11269" max="11270" width="9" style="2" bestFit="1"/>
    <col min="11271" max="11274" width="11.125" style="2" bestFit="1" customWidth="1"/>
    <col min="11275" max="11275" width="9.625" style="2" bestFit="1" customWidth="1"/>
    <col min="11276" max="11520" width="9" style="2"/>
    <col min="11521" max="11521" width="2.375" style="2" customWidth="1"/>
    <col min="11522" max="11522" width="13.25" style="2" bestFit="1" customWidth="1"/>
    <col min="11523" max="11524" width="11.125" style="2" bestFit="1" customWidth="1"/>
    <col min="11525" max="11526" width="9" style="2" bestFit="1"/>
    <col min="11527" max="11530" width="11.125" style="2" bestFit="1" customWidth="1"/>
    <col min="11531" max="11531" width="9.625" style="2" bestFit="1" customWidth="1"/>
    <col min="11532" max="11776" width="9" style="2"/>
    <col min="11777" max="11777" width="2.375" style="2" customWidth="1"/>
    <col min="11778" max="11778" width="13.25" style="2" bestFit="1" customWidth="1"/>
    <col min="11779" max="11780" width="11.125" style="2" bestFit="1" customWidth="1"/>
    <col min="11781" max="11782" width="9" style="2" bestFit="1"/>
    <col min="11783" max="11786" width="11.125" style="2" bestFit="1" customWidth="1"/>
    <col min="11787" max="11787" width="9.625" style="2" bestFit="1" customWidth="1"/>
    <col min="11788" max="12032" width="9" style="2"/>
    <col min="12033" max="12033" width="2.375" style="2" customWidth="1"/>
    <col min="12034" max="12034" width="13.25" style="2" bestFit="1" customWidth="1"/>
    <col min="12035" max="12036" width="11.125" style="2" bestFit="1" customWidth="1"/>
    <col min="12037" max="12038" width="9" style="2" bestFit="1"/>
    <col min="12039" max="12042" width="11.125" style="2" bestFit="1" customWidth="1"/>
    <col min="12043" max="12043" width="9.625" style="2" bestFit="1" customWidth="1"/>
    <col min="12044" max="12288" width="9" style="2"/>
    <col min="12289" max="12289" width="2.375" style="2" customWidth="1"/>
    <col min="12290" max="12290" width="13.25" style="2" bestFit="1" customWidth="1"/>
    <col min="12291" max="12292" width="11.125" style="2" bestFit="1" customWidth="1"/>
    <col min="12293" max="12294" width="9" style="2" bestFit="1"/>
    <col min="12295" max="12298" width="11.125" style="2" bestFit="1" customWidth="1"/>
    <col min="12299" max="12299" width="9.625" style="2" bestFit="1" customWidth="1"/>
    <col min="12300" max="12544" width="9" style="2"/>
    <col min="12545" max="12545" width="2.375" style="2" customWidth="1"/>
    <col min="12546" max="12546" width="13.25" style="2" bestFit="1" customWidth="1"/>
    <col min="12547" max="12548" width="11.125" style="2" bestFit="1" customWidth="1"/>
    <col min="12549" max="12550" width="9" style="2" bestFit="1"/>
    <col min="12551" max="12554" width="11.125" style="2" bestFit="1" customWidth="1"/>
    <col min="12555" max="12555" width="9.625" style="2" bestFit="1" customWidth="1"/>
    <col min="12556" max="12800" width="9" style="2"/>
    <col min="12801" max="12801" width="2.375" style="2" customWidth="1"/>
    <col min="12802" max="12802" width="13.25" style="2" bestFit="1" customWidth="1"/>
    <col min="12803" max="12804" width="11.125" style="2" bestFit="1" customWidth="1"/>
    <col min="12805" max="12806" width="9" style="2" bestFit="1"/>
    <col min="12807" max="12810" width="11.125" style="2" bestFit="1" customWidth="1"/>
    <col min="12811" max="12811" width="9.625" style="2" bestFit="1" customWidth="1"/>
    <col min="12812" max="13056" width="9" style="2"/>
    <col min="13057" max="13057" width="2.375" style="2" customWidth="1"/>
    <col min="13058" max="13058" width="13.25" style="2" bestFit="1" customWidth="1"/>
    <col min="13059" max="13060" width="11.125" style="2" bestFit="1" customWidth="1"/>
    <col min="13061" max="13062" width="9" style="2" bestFit="1"/>
    <col min="13063" max="13066" width="11.125" style="2" bestFit="1" customWidth="1"/>
    <col min="13067" max="13067" width="9.625" style="2" bestFit="1" customWidth="1"/>
    <col min="13068" max="13312" width="9" style="2"/>
    <col min="13313" max="13313" width="2.375" style="2" customWidth="1"/>
    <col min="13314" max="13314" width="13.25" style="2" bestFit="1" customWidth="1"/>
    <col min="13315" max="13316" width="11.125" style="2" bestFit="1" customWidth="1"/>
    <col min="13317" max="13318" width="9" style="2" bestFit="1"/>
    <col min="13319" max="13322" width="11.125" style="2" bestFit="1" customWidth="1"/>
    <col min="13323" max="13323" width="9.625" style="2" bestFit="1" customWidth="1"/>
    <col min="13324" max="13568" width="9" style="2"/>
    <col min="13569" max="13569" width="2.375" style="2" customWidth="1"/>
    <col min="13570" max="13570" width="13.25" style="2" bestFit="1" customWidth="1"/>
    <col min="13571" max="13572" width="11.125" style="2" bestFit="1" customWidth="1"/>
    <col min="13573" max="13574" width="9" style="2" bestFit="1"/>
    <col min="13575" max="13578" width="11.125" style="2" bestFit="1" customWidth="1"/>
    <col min="13579" max="13579" width="9.625" style="2" bestFit="1" customWidth="1"/>
    <col min="13580" max="13824" width="9" style="2"/>
    <col min="13825" max="13825" width="2.375" style="2" customWidth="1"/>
    <col min="13826" max="13826" width="13.25" style="2" bestFit="1" customWidth="1"/>
    <col min="13827" max="13828" width="11.125" style="2" bestFit="1" customWidth="1"/>
    <col min="13829" max="13830" width="9" style="2" bestFit="1"/>
    <col min="13831" max="13834" width="11.125" style="2" bestFit="1" customWidth="1"/>
    <col min="13835" max="13835" width="9.625" style="2" bestFit="1" customWidth="1"/>
    <col min="13836" max="14080" width="9" style="2"/>
    <col min="14081" max="14081" width="2.375" style="2" customWidth="1"/>
    <col min="14082" max="14082" width="13.25" style="2" bestFit="1" customWidth="1"/>
    <col min="14083" max="14084" width="11.125" style="2" bestFit="1" customWidth="1"/>
    <col min="14085" max="14086" width="9" style="2" bestFit="1"/>
    <col min="14087" max="14090" width="11.125" style="2" bestFit="1" customWidth="1"/>
    <col min="14091" max="14091" width="9.625" style="2" bestFit="1" customWidth="1"/>
    <col min="14092" max="14336" width="9" style="2"/>
    <col min="14337" max="14337" width="2.375" style="2" customWidth="1"/>
    <col min="14338" max="14338" width="13.25" style="2" bestFit="1" customWidth="1"/>
    <col min="14339" max="14340" width="11.125" style="2" bestFit="1" customWidth="1"/>
    <col min="14341" max="14342" width="9" style="2" bestFit="1"/>
    <col min="14343" max="14346" width="11.125" style="2" bestFit="1" customWidth="1"/>
    <col min="14347" max="14347" width="9.625" style="2" bestFit="1" customWidth="1"/>
    <col min="14348" max="14592" width="9" style="2"/>
    <col min="14593" max="14593" width="2.375" style="2" customWidth="1"/>
    <col min="14594" max="14594" width="13.25" style="2" bestFit="1" customWidth="1"/>
    <col min="14595" max="14596" width="11.125" style="2" bestFit="1" customWidth="1"/>
    <col min="14597" max="14598" width="9" style="2" bestFit="1"/>
    <col min="14599" max="14602" width="11.125" style="2" bestFit="1" customWidth="1"/>
    <col min="14603" max="14603" width="9.625" style="2" bestFit="1" customWidth="1"/>
    <col min="14604" max="14848" width="9" style="2"/>
    <col min="14849" max="14849" width="2.375" style="2" customWidth="1"/>
    <col min="14850" max="14850" width="13.25" style="2" bestFit="1" customWidth="1"/>
    <col min="14851" max="14852" width="11.125" style="2" bestFit="1" customWidth="1"/>
    <col min="14853" max="14854" width="9" style="2" bestFit="1"/>
    <col min="14855" max="14858" width="11.125" style="2" bestFit="1" customWidth="1"/>
    <col min="14859" max="14859" width="9.625" style="2" bestFit="1" customWidth="1"/>
    <col min="14860" max="15104" width="9" style="2"/>
    <col min="15105" max="15105" width="2.375" style="2" customWidth="1"/>
    <col min="15106" max="15106" width="13.25" style="2" bestFit="1" customWidth="1"/>
    <col min="15107" max="15108" width="11.125" style="2" bestFit="1" customWidth="1"/>
    <col min="15109" max="15110" width="9" style="2" bestFit="1"/>
    <col min="15111" max="15114" width="11.125" style="2" bestFit="1" customWidth="1"/>
    <col min="15115" max="15115" width="9.625" style="2" bestFit="1" customWidth="1"/>
    <col min="15116" max="15360" width="9" style="2"/>
    <col min="15361" max="15361" width="2.375" style="2" customWidth="1"/>
    <col min="15362" max="15362" width="13.25" style="2" bestFit="1" customWidth="1"/>
    <col min="15363" max="15364" width="11.125" style="2" bestFit="1" customWidth="1"/>
    <col min="15365" max="15366" width="9" style="2" bestFit="1"/>
    <col min="15367" max="15370" width="11.125" style="2" bestFit="1" customWidth="1"/>
    <col min="15371" max="15371" width="9.625" style="2" bestFit="1" customWidth="1"/>
    <col min="15372" max="15616" width="9" style="2"/>
    <col min="15617" max="15617" width="2.375" style="2" customWidth="1"/>
    <col min="15618" max="15618" width="13.25" style="2" bestFit="1" customWidth="1"/>
    <col min="15619" max="15620" width="11.125" style="2" bestFit="1" customWidth="1"/>
    <col min="15621" max="15622" width="9" style="2" bestFit="1"/>
    <col min="15623" max="15626" width="11.125" style="2" bestFit="1" customWidth="1"/>
    <col min="15627" max="15627" width="9.625" style="2" bestFit="1" customWidth="1"/>
    <col min="15628" max="15872" width="9" style="2"/>
    <col min="15873" max="15873" width="2.375" style="2" customWidth="1"/>
    <col min="15874" max="15874" width="13.25" style="2" bestFit="1" customWidth="1"/>
    <col min="15875" max="15876" width="11.125" style="2" bestFit="1" customWidth="1"/>
    <col min="15877" max="15878" width="9" style="2" bestFit="1"/>
    <col min="15879" max="15882" width="11.125" style="2" bestFit="1" customWidth="1"/>
    <col min="15883" max="15883" width="9.625" style="2" bestFit="1" customWidth="1"/>
    <col min="15884" max="16128" width="9" style="2"/>
    <col min="16129" max="16129" width="2.375" style="2" customWidth="1"/>
    <col min="16130" max="16130" width="13.25" style="2" bestFit="1" customWidth="1"/>
    <col min="16131" max="16132" width="11.125" style="2" bestFit="1" customWidth="1"/>
    <col min="16133" max="16134" width="9" style="2" bestFit="1"/>
    <col min="16135" max="16138" width="11.125" style="2" bestFit="1" customWidth="1"/>
    <col min="16139" max="16139" width="9.625" style="2" bestFit="1" customWidth="1"/>
    <col min="16140" max="16384" width="9" style="2"/>
  </cols>
  <sheetData>
    <row r="1" spans="1:11">
      <c r="A1" s="1" t="s">
        <v>0</v>
      </c>
    </row>
    <row r="2" spans="1:11">
      <c r="A2" s="1"/>
    </row>
    <row r="3" spans="1:11">
      <c r="A3" s="1" t="s">
        <v>1</v>
      </c>
    </row>
    <row r="4" spans="1:11">
      <c r="A4" s="1" t="s">
        <v>2</v>
      </c>
    </row>
    <row r="5" spans="1:11">
      <c r="A5" s="1" t="s">
        <v>3</v>
      </c>
    </row>
    <row r="6" spans="1:11" ht="19.5" thickBot="1">
      <c r="A6" s="1" t="s">
        <v>98</v>
      </c>
    </row>
    <row r="7" spans="1:11">
      <c r="B7" s="4"/>
      <c r="C7" s="12" t="s">
        <v>4</v>
      </c>
      <c r="D7" s="13" t="s">
        <v>5</v>
      </c>
      <c r="E7" s="13" t="s">
        <v>6</v>
      </c>
      <c r="F7" s="13" t="s">
        <v>7</v>
      </c>
      <c r="G7" s="13" t="s">
        <v>8</v>
      </c>
      <c r="H7" s="13" t="s">
        <v>9</v>
      </c>
      <c r="I7" s="13" t="s">
        <v>10</v>
      </c>
      <c r="J7" s="14" t="s">
        <v>11</v>
      </c>
      <c r="K7" s="5"/>
    </row>
    <row r="8" spans="1:11" ht="19.5" thickBot="1">
      <c r="A8" s="3"/>
      <c r="B8" s="32" t="s">
        <v>12</v>
      </c>
      <c r="C8" s="33" t="s">
        <v>13</v>
      </c>
      <c r="D8" s="34" t="s">
        <v>14</v>
      </c>
      <c r="E8" s="34" t="s">
        <v>15</v>
      </c>
      <c r="F8" s="34" t="s">
        <v>16</v>
      </c>
      <c r="G8" s="34" t="s">
        <v>17</v>
      </c>
      <c r="H8" s="34" t="s">
        <v>18</v>
      </c>
      <c r="I8" s="34" t="s">
        <v>19</v>
      </c>
      <c r="J8" s="35" t="s">
        <v>20</v>
      </c>
      <c r="K8" s="36" t="s">
        <v>21</v>
      </c>
    </row>
    <row r="9" spans="1:11">
      <c r="A9" s="1" t="s">
        <v>3</v>
      </c>
      <c r="B9" s="27" t="s">
        <v>22</v>
      </c>
      <c r="C9" s="28">
        <v>18</v>
      </c>
      <c r="D9" s="29">
        <v>19</v>
      </c>
      <c r="E9" s="29">
        <v>22</v>
      </c>
      <c r="F9" s="29">
        <v>22</v>
      </c>
      <c r="G9" s="29">
        <v>18</v>
      </c>
      <c r="H9" s="29">
        <v>22</v>
      </c>
      <c r="I9" s="29">
        <v>23</v>
      </c>
      <c r="J9" s="30">
        <v>10</v>
      </c>
      <c r="K9" s="31">
        <f>SUM(C9:J9)</f>
        <v>154</v>
      </c>
    </row>
    <row r="10" spans="1:11">
      <c r="A10" s="1" t="s">
        <v>3</v>
      </c>
      <c r="B10" s="6" t="s">
        <v>23</v>
      </c>
      <c r="C10" s="15">
        <v>1</v>
      </c>
      <c r="D10" s="16">
        <v>0</v>
      </c>
      <c r="E10" s="16">
        <v>0</v>
      </c>
      <c r="F10" s="16">
        <v>1</v>
      </c>
      <c r="G10" s="16">
        <v>0</v>
      </c>
      <c r="H10" s="16">
        <v>2</v>
      </c>
      <c r="I10" s="16">
        <v>0</v>
      </c>
      <c r="J10" s="17">
        <v>0</v>
      </c>
      <c r="K10" s="8">
        <f t="shared" ref="K10:K29" si="0">SUM(C10:J10)</f>
        <v>4</v>
      </c>
    </row>
    <row r="11" spans="1:11">
      <c r="A11" s="1" t="s">
        <v>3</v>
      </c>
      <c r="B11" s="6" t="s">
        <v>24</v>
      </c>
      <c r="C11" s="15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1</v>
      </c>
      <c r="J11" s="17">
        <v>0</v>
      </c>
      <c r="K11" s="8">
        <f t="shared" si="0"/>
        <v>1</v>
      </c>
    </row>
    <row r="12" spans="1:11">
      <c r="A12" s="1" t="s">
        <v>3</v>
      </c>
      <c r="B12" s="6" t="s">
        <v>25</v>
      </c>
      <c r="C12" s="15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7">
        <v>0</v>
      </c>
      <c r="K12" s="8">
        <f t="shared" si="0"/>
        <v>0</v>
      </c>
    </row>
    <row r="13" spans="1:11">
      <c r="A13" s="1" t="s">
        <v>3</v>
      </c>
      <c r="B13" s="6" t="s">
        <v>26</v>
      </c>
      <c r="C13" s="15">
        <v>6</v>
      </c>
      <c r="D13" s="16">
        <v>5</v>
      </c>
      <c r="E13" s="16">
        <v>2</v>
      </c>
      <c r="F13" s="16">
        <v>2</v>
      </c>
      <c r="G13" s="16">
        <v>6</v>
      </c>
      <c r="H13" s="16">
        <v>2</v>
      </c>
      <c r="I13" s="16">
        <v>1</v>
      </c>
      <c r="J13" s="17">
        <v>3</v>
      </c>
      <c r="K13" s="8">
        <f t="shared" si="0"/>
        <v>27</v>
      </c>
    </row>
    <row r="14" spans="1:11">
      <c r="A14" s="1" t="s">
        <v>3</v>
      </c>
      <c r="B14" s="6" t="s">
        <v>27</v>
      </c>
      <c r="C14" s="15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7">
        <v>0</v>
      </c>
      <c r="K14" s="8">
        <f t="shared" si="0"/>
        <v>0</v>
      </c>
    </row>
    <row r="15" spans="1:11">
      <c r="A15" s="1" t="s">
        <v>3</v>
      </c>
      <c r="B15" s="6" t="s">
        <v>28</v>
      </c>
      <c r="C15" s="15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7">
        <v>0</v>
      </c>
      <c r="K15" s="8">
        <f t="shared" si="0"/>
        <v>0</v>
      </c>
    </row>
    <row r="16" spans="1:11">
      <c r="A16" s="1" t="s">
        <v>3</v>
      </c>
      <c r="B16" s="6" t="s">
        <v>29</v>
      </c>
      <c r="C16" s="15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7">
        <v>0</v>
      </c>
      <c r="K16" s="8">
        <f t="shared" si="0"/>
        <v>0</v>
      </c>
    </row>
    <row r="17" spans="1:11">
      <c r="A17" s="1" t="s">
        <v>3</v>
      </c>
      <c r="B17" s="6" t="s">
        <v>30</v>
      </c>
      <c r="C17" s="18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20">
        <v>2.9166666666666665</v>
      </c>
      <c r="K17" s="9">
        <f t="shared" si="0"/>
        <v>2.9166666666666665</v>
      </c>
    </row>
    <row r="18" spans="1:11">
      <c r="A18" s="1" t="s">
        <v>3</v>
      </c>
      <c r="B18" s="6" t="s">
        <v>31</v>
      </c>
      <c r="C18" s="18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20">
        <v>0</v>
      </c>
      <c r="K18" s="9">
        <f t="shared" si="0"/>
        <v>0</v>
      </c>
    </row>
    <row r="19" spans="1:11">
      <c r="A19" s="1" t="s">
        <v>3</v>
      </c>
      <c r="B19" s="6" t="s">
        <v>32</v>
      </c>
      <c r="C19" s="18">
        <v>1.25</v>
      </c>
      <c r="D19" s="19">
        <v>1.1666666666666667</v>
      </c>
      <c r="E19" s="19">
        <v>0</v>
      </c>
      <c r="F19" s="19">
        <v>1.0416666666666667</v>
      </c>
      <c r="G19" s="19">
        <v>1.4166666666666667</v>
      </c>
      <c r="H19" s="19">
        <v>1.0416666666666667</v>
      </c>
      <c r="I19" s="19">
        <v>0.95833333333333337</v>
      </c>
      <c r="J19" s="20">
        <v>0</v>
      </c>
      <c r="K19" s="9">
        <f t="shared" si="0"/>
        <v>6.8750000000000009</v>
      </c>
    </row>
    <row r="20" spans="1:11">
      <c r="A20" s="1" t="s">
        <v>3</v>
      </c>
      <c r="B20" s="6" t="s">
        <v>33</v>
      </c>
      <c r="C20" s="18">
        <v>0.375</v>
      </c>
      <c r="D20" s="19">
        <v>0</v>
      </c>
      <c r="E20" s="19">
        <v>0</v>
      </c>
      <c r="F20" s="19">
        <v>0.25</v>
      </c>
      <c r="G20" s="19">
        <v>0</v>
      </c>
      <c r="H20" s="19">
        <v>0.58333333333333337</v>
      </c>
      <c r="I20" s="19">
        <v>0</v>
      </c>
      <c r="J20" s="20">
        <v>0</v>
      </c>
      <c r="K20" s="9">
        <f t="shared" si="0"/>
        <v>1.2083333333333335</v>
      </c>
    </row>
    <row r="21" spans="1:11">
      <c r="A21" s="1" t="s">
        <v>3</v>
      </c>
      <c r="B21" s="6" t="s">
        <v>34</v>
      </c>
      <c r="C21" s="18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0.20833333333333334</v>
      </c>
      <c r="J21" s="20">
        <v>0</v>
      </c>
      <c r="K21" s="9">
        <f t="shared" si="0"/>
        <v>0.20833333333333334</v>
      </c>
    </row>
    <row r="22" spans="1:11">
      <c r="A22" s="1" t="s">
        <v>3</v>
      </c>
      <c r="B22" s="6" t="s">
        <v>35</v>
      </c>
      <c r="C22" s="18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20">
        <v>0</v>
      </c>
      <c r="K22" s="9">
        <f t="shared" si="0"/>
        <v>0</v>
      </c>
    </row>
    <row r="23" spans="1:11">
      <c r="A23" s="1" t="s">
        <v>3</v>
      </c>
      <c r="B23" s="6" t="s">
        <v>36</v>
      </c>
      <c r="C23" s="18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20">
        <v>0</v>
      </c>
      <c r="K23" s="9">
        <f t="shared" si="0"/>
        <v>0</v>
      </c>
    </row>
    <row r="24" spans="1:11">
      <c r="A24" s="1" t="s">
        <v>3</v>
      </c>
      <c r="B24" s="6" t="s">
        <v>37</v>
      </c>
      <c r="C24" s="18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20">
        <v>0</v>
      </c>
      <c r="K24" s="9">
        <f t="shared" si="0"/>
        <v>0</v>
      </c>
    </row>
    <row r="25" spans="1:11">
      <c r="A25" s="1" t="s">
        <v>3</v>
      </c>
      <c r="B25" s="6" t="s">
        <v>38</v>
      </c>
      <c r="C25" s="18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20">
        <v>0</v>
      </c>
      <c r="K25" s="9">
        <f t="shared" si="0"/>
        <v>0</v>
      </c>
    </row>
    <row r="26" spans="1:11">
      <c r="A26" s="1" t="s">
        <v>3</v>
      </c>
      <c r="B26" s="6" t="s">
        <v>39</v>
      </c>
      <c r="C26" s="18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20">
        <v>0.875</v>
      </c>
      <c r="K26" s="9">
        <f t="shared" si="0"/>
        <v>0.875</v>
      </c>
    </row>
    <row r="27" spans="1:11">
      <c r="A27" s="1" t="s">
        <v>3</v>
      </c>
      <c r="B27" s="6" t="s">
        <v>40</v>
      </c>
      <c r="C27" s="18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20">
        <v>0</v>
      </c>
      <c r="K27" s="9">
        <f t="shared" si="0"/>
        <v>0</v>
      </c>
    </row>
    <row r="28" spans="1:11">
      <c r="A28" s="1" t="s">
        <v>3</v>
      </c>
      <c r="B28" s="6" t="s">
        <v>41</v>
      </c>
      <c r="C28" s="18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20">
        <v>0</v>
      </c>
      <c r="K28" s="9">
        <f t="shared" si="0"/>
        <v>0</v>
      </c>
    </row>
    <row r="29" spans="1:11">
      <c r="A29" s="1" t="s">
        <v>3</v>
      </c>
      <c r="B29" s="6" t="s">
        <v>42</v>
      </c>
      <c r="C29" s="18">
        <v>0.54166666666666663</v>
      </c>
      <c r="D29" s="19">
        <v>0.625</v>
      </c>
      <c r="E29" s="19">
        <v>0</v>
      </c>
      <c r="F29" s="19">
        <v>0.20833333333333334</v>
      </c>
      <c r="G29" s="19">
        <v>0.58333333333333337</v>
      </c>
      <c r="H29" s="19">
        <v>8.3333333333333329E-2</v>
      </c>
      <c r="I29" s="19">
        <v>0.125</v>
      </c>
      <c r="J29" s="20">
        <v>0</v>
      </c>
      <c r="K29" s="9">
        <f t="shared" si="0"/>
        <v>2.1666666666666665</v>
      </c>
    </row>
    <row r="30" spans="1:11" ht="19.5" thickBot="1">
      <c r="A30" s="1" t="s">
        <v>3</v>
      </c>
      <c r="B30" s="7" t="s">
        <v>43</v>
      </c>
      <c r="C30" s="41">
        <v>29</v>
      </c>
      <c r="D30" s="42">
        <v>32</v>
      </c>
      <c r="E30" s="42">
        <v>37</v>
      </c>
      <c r="F30" s="42">
        <v>35</v>
      </c>
      <c r="G30" s="42">
        <v>24</v>
      </c>
      <c r="H30" s="42">
        <v>27</v>
      </c>
      <c r="I30" s="42">
        <v>25</v>
      </c>
      <c r="J30" s="43">
        <v>13</v>
      </c>
      <c r="K30" s="44"/>
    </row>
    <row r="31" spans="1:11">
      <c r="A31" s="1" t="s">
        <v>3</v>
      </c>
      <c r="B31" s="27" t="s">
        <v>44</v>
      </c>
      <c r="C31" s="37">
        <v>177000</v>
      </c>
      <c r="D31" s="38">
        <v>192000</v>
      </c>
      <c r="E31" s="38">
        <v>355000</v>
      </c>
      <c r="F31" s="38">
        <v>177000</v>
      </c>
      <c r="G31" s="38">
        <v>177000</v>
      </c>
      <c r="H31" s="38">
        <v>177000</v>
      </c>
      <c r="I31" s="38">
        <v>170000</v>
      </c>
      <c r="J31" s="39">
        <v>0</v>
      </c>
      <c r="K31" s="40">
        <f t="shared" ref="K31:K84" si="1">SUM(C31:J31)</f>
        <v>1425000</v>
      </c>
    </row>
    <row r="32" spans="1:11">
      <c r="A32" s="1" t="s">
        <v>3</v>
      </c>
      <c r="B32" s="6" t="s">
        <v>45</v>
      </c>
      <c r="C32" s="21">
        <v>0</v>
      </c>
      <c r="D32" s="22">
        <v>5000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3">
        <v>0</v>
      </c>
      <c r="K32" s="10">
        <f t="shared" si="1"/>
        <v>5000</v>
      </c>
    </row>
    <row r="33" spans="1:11">
      <c r="A33" s="1" t="s">
        <v>3</v>
      </c>
      <c r="B33" s="6" t="s">
        <v>46</v>
      </c>
      <c r="C33" s="21">
        <v>6000</v>
      </c>
      <c r="D33" s="22">
        <v>0</v>
      </c>
      <c r="E33" s="22">
        <v>0</v>
      </c>
      <c r="F33" s="22">
        <v>3000</v>
      </c>
      <c r="G33" s="22">
        <v>0</v>
      </c>
      <c r="H33" s="22">
        <v>0</v>
      </c>
      <c r="I33" s="22">
        <v>0</v>
      </c>
      <c r="J33" s="23">
        <v>0</v>
      </c>
      <c r="K33" s="10">
        <f t="shared" si="1"/>
        <v>9000</v>
      </c>
    </row>
    <row r="34" spans="1:11">
      <c r="A34" s="1" t="s">
        <v>3</v>
      </c>
      <c r="B34" s="6" t="s">
        <v>47</v>
      </c>
      <c r="C34" s="21">
        <v>50000</v>
      </c>
      <c r="D34" s="22">
        <v>50000</v>
      </c>
      <c r="E34" s="22">
        <v>50000</v>
      </c>
      <c r="F34" s="22">
        <v>50000</v>
      </c>
      <c r="G34" s="22">
        <v>50000</v>
      </c>
      <c r="H34" s="22">
        <v>50000</v>
      </c>
      <c r="I34" s="22">
        <v>50000</v>
      </c>
      <c r="J34" s="23">
        <v>0</v>
      </c>
      <c r="K34" s="10">
        <f t="shared" si="1"/>
        <v>350000</v>
      </c>
    </row>
    <row r="35" spans="1:11">
      <c r="A35" s="1" t="s">
        <v>3</v>
      </c>
      <c r="B35" s="6" t="s">
        <v>48</v>
      </c>
      <c r="C35" s="21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3">
        <v>0</v>
      </c>
      <c r="K35" s="10">
        <f t="shared" si="1"/>
        <v>0</v>
      </c>
    </row>
    <row r="36" spans="1:11">
      <c r="A36" s="1" t="s">
        <v>3</v>
      </c>
      <c r="B36" s="6" t="s">
        <v>49</v>
      </c>
      <c r="C36" s="21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3">
        <v>0</v>
      </c>
      <c r="K36" s="10">
        <f t="shared" si="1"/>
        <v>0</v>
      </c>
    </row>
    <row r="37" spans="1:11">
      <c r="A37" s="1" t="s">
        <v>3</v>
      </c>
      <c r="B37" s="6" t="s">
        <v>50</v>
      </c>
      <c r="C37" s="21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3">
        <v>0</v>
      </c>
      <c r="K37" s="10">
        <f t="shared" si="1"/>
        <v>0</v>
      </c>
    </row>
    <row r="38" spans="1:11">
      <c r="A38" s="1" t="s">
        <v>3</v>
      </c>
      <c r="B38" s="6" t="s">
        <v>51</v>
      </c>
      <c r="C38" s="21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3">
        <v>0</v>
      </c>
      <c r="K38" s="10">
        <f t="shared" si="1"/>
        <v>0</v>
      </c>
    </row>
    <row r="39" spans="1:11">
      <c r="A39" s="1" t="s">
        <v>3</v>
      </c>
      <c r="B39" s="6" t="s">
        <v>52</v>
      </c>
      <c r="C39" s="21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3">
        <v>79800</v>
      </c>
      <c r="K39" s="10">
        <f t="shared" si="1"/>
        <v>79800</v>
      </c>
    </row>
    <row r="40" spans="1:11">
      <c r="A40" s="1" t="s">
        <v>3</v>
      </c>
      <c r="B40" s="6" t="s">
        <v>53</v>
      </c>
      <c r="C40" s="21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3">
        <v>0</v>
      </c>
      <c r="K40" s="10">
        <f t="shared" si="1"/>
        <v>0</v>
      </c>
    </row>
    <row r="41" spans="1:11">
      <c r="A41" s="1" t="s">
        <v>3</v>
      </c>
      <c r="B41" s="6" t="s">
        <v>54</v>
      </c>
      <c r="C41" s="21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3">
        <v>0</v>
      </c>
      <c r="K41" s="10">
        <f t="shared" si="1"/>
        <v>0</v>
      </c>
    </row>
    <row r="42" spans="1:11">
      <c r="A42" s="1" t="s">
        <v>3</v>
      </c>
      <c r="B42" s="6" t="s">
        <v>55</v>
      </c>
      <c r="C42" s="21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3">
        <v>0</v>
      </c>
      <c r="K42" s="10">
        <f t="shared" si="1"/>
        <v>0</v>
      </c>
    </row>
    <row r="43" spans="1:11">
      <c r="A43" s="1" t="s">
        <v>3</v>
      </c>
      <c r="B43" s="6" t="s">
        <v>56</v>
      </c>
      <c r="C43" s="21">
        <v>1000</v>
      </c>
      <c r="D43" s="22">
        <v>1000</v>
      </c>
      <c r="E43" s="22">
        <v>0</v>
      </c>
      <c r="F43" s="22">
        <v>0</v>
      </c>
      <c r="G43" s="22">
        <v>1000</v>
      </c>
      <c r="H43" s="22">
        <v>1000</v>
      </c>
      <c r="I43" s="22">
        <v>1000</v>
      </c>
      <c r="J43" s="23">
        <v>0</v>
      </c>
      <c r="K43" s="10">
        <f t="shared" si="1"/>
        <v>5000</v>
      </c>
    </row>
    <row r="44" spans="1:11">
      <c r="A44" s="1" t="s">
        <v>3</v>
      </c>
      <c r="B44" s="6" t="s">
        <v>57</v>
      </c>
      <c r="C44" s="21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3">
        <v>23940</v>
      </c>
      <c r="K44" s="10">
        <f t="shared" si="1"/>
        <v>23940</v>
      </c>
    </row>
    <row r="45" spans="1:11">
      <c r="A45" s="1" t="s">
        <v>3</v>
      </c>
      <c r="B45" s="6" t="s">
        <v>58</v>
      </c>
      <c r="C45" s="21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3">
        <v>0</v>
      </c>
      <c r="K45" s="10">
        <f t="shared" si="1"/>
        <v>0</v>
      </c>
    </row>
    <row r="46" spans="1:11">
      <c r="A46" s="1" t="s">
        <v>3</v>
      </c>
      <c r="B46" s="6" t="s">
        <v>59</v>
      </c>
      <c r="C46" s="21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3">
        <v>0</v>
      </c>
      <c r="K46" s="10">
        <f t="shared" si="1"/>
        <v>0</v>
      </c>
    </row>
    <row r="47" spans="1:11">
      <c r="A47" s="1" t="s">
        <v>3</v>
      </c>
      <c r="B47" s="6" t="s">
        <v>60</v>
      </c>
      <c r="C47" s="21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3">
        <v>0</v>
      </c>
      <c r="K47" s="10">
        <f t="shared" si="1"/>
        <v>0</v>
      </c>
    </row>
    <row r="48" spans="1:11">
      <c r="A48" s="1" t="s">
        <v>3</v>
      </c>
      <c r="B48" s="6" t="s">
        <v>61</v>
      </c>
      <c r="C48" s="21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3">
        <v>0</v>
      </c>
      <c r="K48" s="10">
        <f t="shared" si="1"/>
        <v>0</v>
      </c>
    </row>
    <row r="49" spans="1:11">
      <c r="A49" s="1" t="s">
        <v>3</v>
      </c>
      <c r="B49" s="6" t="s">
        <v>62</v>
      </c>
      <c r="C49" s="21">
        <v>23700</v>
      </c>
      <c r="D49" s="22">
        <v>10500</v>
      </c>
      <c r="E49" s="22">
        <v>0</v>
      </c>
      <c r="F49" s="22">
        <v>13500</v>
      </c>
      <c r="G49" s="22">
        <v>13000</v>
      </c>
      <c r="H49" s="22">
        <v>13000</v>
      </c>
      <c r="I49" s="22">
        <v>15000</v>
      </c>
      <c r="J49" s="23">
        <v>0</v>
      </c>
      <c r="K49" s="10">
        <f t="shared" si="1"/>
        <v>88700</v>
      </c>
    </row>
    <row r="50" spans="1:11">
      <c r="A50" s="1" t="s">
        <v>3</v>
      </c>
      <c r="B50" s="6" t="s">
        <v>63</v>
      </c>
      <c r="C50" s="21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3">
        <v>0</v>
      </c>
      <c r="K50" s="10">
        <f t="shared" si="1"/>
        <v>0</v>
      </c>
    </row>
    <row r="51" spans="1:11">
      <c r="A51" s="1" t="s">
        <v>3</v>
      </c>
      <c r="B51" s="6" t="s">
        <v>64</v>
      </c>
      <c r="C51" s="21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3">
        <v>0</v>
      </c>
      <c r="K51" s="10">
        <f t="shared" si="1"/>
        <v>0</v>
      </c>
    </row>
    <row r="52" spans="1:11">
      <c r="A52" s="1" t="s">
        <v>3</v>
      </c>
      <c r="B52" s="6" t="s">
        <v>65</v>
      </c>
      <c r="C52" s="21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3">
        <v>0</v>
      </c>
      <c r="K52" s="10">
        <f t="shared" si="1"/>
        <v>0</v>
      </c>
    </row>
    <row r="53" spans="1:11">
      <c r="A53" s="1" t="s">
        <v>3</v>
      </c>
      <c r="B53" s="6" t="s">
        <v>66</v>
      </c>
      <c r="C53" s="21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3">
        <v>0</v>
      </c>
      <c r="K53" s="10">
        <f t="shared" si="1"/>
        <v>0</v>
      </c>
    </row>
    <row r="54" spans="1:11">
      <c r="A54" s="1" t="s">
        <v>3</v>
      </c>
      <c r="B54" s="6" t="s">
        <v>32</v>
      </c>
      <c r="C54" s="21">
        <v>57870</v>
      </c>
      <c r="D54" s="22">
        <v>54180</v>
      </c>
      <c r="E54" s="22">
        <v>0</v>
      </c>
      <c r="F54" s="22">
        <v>45575</v>
      </c>
      <c r="G54" s="22">
        <v>61336</v>
      </c>
      <c r="H54" s="22">
        <v>45100</v>
      </c>
      <c r="I54" s="22">
        <v>40618</v>
      </c>
      <c r="J54" s="23">
        <v>0</v>
      </c>
      <c r="K54" s="10">
        <f t="shared" si="1"/>
        <v>304679</v>
      </c>
    </row>
    <row r="55" spans="1:11">
      <c r="A55" s="1" t="s">
        <v>3</v>
      </c>
      <c r="B55" s="6" t="s">
        <v>67</v>
      </c>
      <c r="C55" s="21">
        <v>18747</v>
      </c>
      <c r="D55" s="22">
        <v>0</v>
      </c>
      <c r="E55" s="22">
        <v>0</v>
      </c>
      <c r="F55" s="22">
        <v>11808</v>
      </c>
      <c r="G55" s="22">
        <v>0</v>
      </c>
      <c r="H55" s="22">
        <v>27272</v>
      </c>
      <c r="I55" s="22">
        <v>0</v>
      </c>
      <c r="J55" s="23">
        <v>0</v>
      </c>
      <c r="K55" s="10">
        <f t="shared" si="1"/>
        <v>57827</v>
      </c>
    </row>
    <row r="56" spans="1:11">
      <c r="A56" s="1" t="s">
        <v>3</v>
      </c>
      <c r="B56" s="6" t="s">
        <v>68</v>
      </c>
      <c r="C56" s="21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9540</v>
      </c>
      <c r="J56" s="23">
        <v>0</v>
      </c>
      <c r="K56" s="10">
        <f t="shared" si="1"/>
        <v>9540</v>
      </c>
    </row>
    <row r="57" spans="1:11">
      <c r="A57" s="1" t="s">
        <v>3</v>
      </c>
      <c r="B57" s="6" t="s">
        <v>69</v>
      </c>
      <c r="C57" s="21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3">
        <v>0</v>
      </c>
      <c r="K57" s="10">
        <f t="shared" si="1"/>
        <v>0</v>
      </c>
    </row>
    <row r="58" spans="1:11">
      <c r="A58" s="1" t="s">
        <v>3</v>
      </c>
      <c r="B58" s="6" t="s">
        <v>70</v>
      </c>
      <c r="C58" s="21">
        <v>0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3">
        <v>0</v>
      </c>
      <c r="K58" s="10">
        <f t="shared" si="1"/>
        <v>0</v>
      </c>
    </row>
    <row r="59" spans="1:11">
      <c r="A59" s="1" t="s">
        <v>3</v>
      </c>
      <c r="B59" s="6" t="s">
        <v>71</v>
      </c>
      <c r="C59" s="21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3">
        <v>0</v>
      </c>
      <c r="K59" s="10">
        <f t="shared" si="1"/>
        <v>0</v>
      </c>
    </row>
    <row r="60" spans="1:11">
      <c r="A60" s="1" t="s">
        <v>3</v>
      </c>
      <c r="B60" s="6" t="s">
        <v>37</v>
      </c>
      <c r="C60" s="21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3">
        <v>0</v>
      </c>
      <c r="K60" s="10">
        <f t="shared" si="1"/>
        <v>0</v>
      </c>
    </row>
    <row r="61" spans="1:11" ht="19.5" thickBot="1">
      <c r="A61" s="1" t="s">
        <v>3</v>
      </c>
      <c r="B61" s="45" t="s">
        <v>42</v>
      </c>
      <c r="C61" s="46">
        <v>5018</v>
      </c>
      <c r="D61" s="47">
        <v>5805</v>
      </c>
      <c r="E61" s="47">
        <v>0</v>
      </c>
      <c r="F61" s="47">
        <v>1825</v>
      </c>
      <c r="G61" s="47">
        <v>5054</v>
      </c>
      <c r="H61" s="47">
        <v>722</v>
      </c>
      <c r="I61" s="47">
        <v>1059</v>
      </c>
      <c r="J61" s="48">
        <v>0</v>
      </c>
      <c r="K61" s="49">
        <f t="shared" si="1"/>
        <v>19483</v>
      </c>
    </row>
    <row r="62" spans="1:11" ht="19.5" thickBot="1">
      <c r="A62" s="1" t="s">
        <v>3</v>
      </c>
      <c r="B62" s="50" t="s">
        <v>72</v>
      </c>
      <c r="C62" s="51">
        <v>339335</v>
      </c>
      <c r="D62" s="52">
        <v>318485</v>
      </c>
      <c r="E62" s="52">
        <v>405000</v>
      </c>
      <c r="F62" s="52">
        <v>302708</v>
      </c>
      <c r="G62" s="52">
        <v>307390</v>
      </c>
      <c r="H62" s="52">
        <v>314094</v>
      </c>
      <c r="I62" s="52">
        <v>287217</v>
      </c>
      <c r="J62" s="53">
        <v>103740</v>
      </c>
      <c r="K62" s="54">
        <f t="shared" si="1"/>
        <v>2377969</v>
      </c>
    </row>
    <row r="63" spans="1:11">
      <c r="A63" s="1" t="s">
        <v>3</v>
      </c>
      <c r="B63" s="27" t="s">
        <v>73</v>
      </c>
      <c r="C63" s="37">
        <v>5409</v>
      </c>
      <c r="D63" s="38">
        <v>4917</v>
      </c>
      <c r="E63" s="38">
        <v>13664</v>
      </c>
      <c r="F63" s="38">
        <v>9499</v>
      </c>
      <c r="G63" s="38">
        <v>4178</v>
      </c>
      <c r="H63" s="38">
        <v>4348</v>
      </c>
      <c r="I63" s="38">
        <v>6211</v>
      </c>
      <c r="J63" s="39">
        <v>3600</v>
      </c>
      <c r="K63" s="40">
        <f t="shared" si="1"/>
        <v>51826</v>
      </c>
    </row>
    <row r="64" spans="1:11" ht="19.5" thickBot="1">
      <c r="A64" s="1" t="s">
        <v>3</v>
      </c>
      <c r="B64" s="45" t="s">
        <v>74</v>
      </c>
      <c r="C64" s="46">
        <v>0</v>
      </c>
      <c r="D64" s="47">
        <v>0</v>
      </c>
      <c r="E64" s="47">
        <v>0</v>
      </c>
      <c r="F64" s="47">
        <v>0</v>
      </c>
      <c r="G64" s="47">
        <v>0</v>
      </c>
      <c r="H64" s="47">
        <v>0</v>
      </c>
      <c r="I64" s="47">
        <v>0</v>
      </c>
      <c r="J64" s="48">
        <v>0</v>
      </c>
      <c r="K64" s="49">
        <f t="shared" si="1"/>
        <v>0</v>
      </c>
    </row>
    <row r="65" spans="1:11" ht="19.5" thickBot="1">
      <c r="A65" s="1" t="s">
        <v>3</v>
      </c>
      <c r="B65" s="50" t="s">
        <v>75</v>
      </c>
      <c r="C65" s="51">
        <v>5409</v>
      </c>
      <c r="D65" s="52">
        <v>4917</v>
      </c>
      <c r="E65" s="52">
        <v>13664</v>
      </c>
      <c r="F65" s="52">
        <v>9499</v>
      </c>
      <c r="G65" s="52">
        <v>4178</v>
      </c>
      <c r="H65" s="52">
        <v>4348</v>
      </c>
      <c r="I65" s="52">
        <v>6211</v>
      </c>
      <c r="J65" s="53">
        <v>3600</v>
      </c>
      <c r="K65" s="54">
        <f t="shared" si="1"/>
        <v>51826</v>
      </c>
    </row>
    <row r="66" spans="1:11" ht="19.5" thickBot="1">
      <c r="A66" s="1" t="s">
        <v>3</v>
      </c>
      <c r="B66" s="50" t="s">
        <v>76</v>
      </c>
      <c r="C66" s="51">
        <v>344744</v>
      </c>
      <c r="D66" s="52">
        <v>323402</v>
      </c>
      <c r="E66" s="52">
        <v>418664</v>
      </c>
      <c r="F66" s="52">
        <v>312207</v>
      </c>
      <c r="G66" s="52">
        <v>311568</v>
      </c>
      <c r="H66" s="52">
        <v>318442</v>
      </c>
      <c r="I66" s="52">
        <v>293428</v>
      </c>
      <c r="J66" s="53">
        <v>107340</v>
      </c>
      <c r="K66" s="54">
        <f t="shared" si="1"/>
        <v>2429795</v>
      </c>
    </row>
    <row r="67" spans="1:11">
      <c r="A67" s="1" t="s">
        <v>3</v>
      </c>
      <c r="B67" s="27" t="s">
        <v>77</v>
      </c>
      <c r="C67" s="37">
        <v>20910</v>
      </c>
      <c r="D67" s="38">
        <v>19380</v>
      </c>
      <c r="E67" s="38">
        <v>20910</v>
      </c>
      <c r="F67" s="38">
        <v>16320</v>
      </c>
      <c r="G67" s="38">
        <v>18360</v>
      </c>
      <c r="H67" s="38">
        <v>19380</v>
      </c>
      <c r="I67" s="38">
        <v>18360</v>
      </c>
      <c r="J67" s="39">
        <v>0</v>
      </c>
      <c r="K67" s="40">
        <f t="shared" si="1"/>
        <v>133620</v>
      </c>
    </row>
    <row r="68" spans="1:11">
      <c r="A68" s="1" t="s">
        <v>3</v>
      </c>
      <c r="B68" s="6" t="s">
        <v>78</v>
      </c>
      <c r="C68" s="21">
        <v>3690</v>
      </c>
      <c r="D68" s="22">
        <v>3420</v>
      </c>
      <c r="E68" s="22">
        <v>3690</v>
      </c>
      <c r="F68" s="22">
        <v>2880</v>
      </c>
      <c r="G68" s="22">
        <v>3240</v>
      </c>
      <c r="H68" s="22">
        <v>3420</v>
      </c>
      <c r="I68" s="22">
        <v>3240</v>
      </c>
      <c r="J68" s="23">
        <v>0</v>
      </c>
      <c r="K68" s="10">
        <f t="shared" si="1"/>
        <v>23580</v>
      </c>
    </row>
    <row r="69" spans="1:11">
      <c r="A69" s="1" t="s">
        <v>3</v>
      </c>
      <c r="B69" s="6" t="s">
        <v>79</v>
      </c>
      <c r="C69" s="21">
        <v>37515</v>
      </c>
      <c r="D69" s="22">
        <v>34770</v>
      </c>
      <c r="E69" s="22">
        <v>37515</v>
      </c>
      <c r="F69" s="22">
        <v>29280</v>
      </c>
      <c r="G69" s="22">
        <v>32940</v>
      </c>
      <c r="H69" s="22">
        <v>34770</v>
      </c>
      <c r="I69" s="22">
        <v>32940</v>
      </c>
      <c r="J69" s="23">
        <v>0</v>
      </c>
      <c r="K69" s="10">
        <f t="shared" si="1"/>
        <v>239730</v>
      </c>
    </row>
    <row r="70" spans="1:11">
      <c r="A70" s="1" t="s">
        <v>3</v>
      </c>
      <c r="B70" s="6" t="s">
        <v>80</v>
      </c>
      <c r="C70" s="21">
        <v>1034</v>
      </c>
      <c r="D70" s="22">
        <v>970</v>
      </c>
      <c r="E70" s="22">
        <v>1256</v>
      </c>
      <c r="F70" s="22">
        <v>937</v>
      </c>
      <c r="G70" s="22">
        <v>935</v>
      </c>
      <c r="H70" s="22">
        <v>955</v>
      </c>
      <c r="I70" s="22">
        <v>880</v>
      </c>
      <c r="J70" s="23">
        <v>322</v>
      </c>
      <c r="K70" s="10">
        <f t="shared" si="1"/>
        <v>7289</v>
      </c>
    </row>
    <row r="71" spans="1:11" ht="19.5" thickBot="1">
      <c r="A71" s="1" t="s">
        <v>3</v>
      </c>
      <c r="B71" s="45" t="s">
        <v>81</v>
      </c>
      <c r="C71" s="46">
        <v>0</v>
      </c>
      <c r="D71" s="47">
        <v>0</v>
      </c>
      <c r="E71" s="47">
        <v>0</v>
      </c>
      <c r="F71" s="47">
        <v>0</v>
      </c>
      <c r="G71" s="47">
        <v>0</v>
      </c>
      <c r="H71" s="47">
        <v>0</v>
      </c>
      <c r="I71" s="47">
        <v>0</v>
      </c>
      <c r="J71" s="48">
        <v>0</v>
      </c>
      <c r="K71" s="49">
        <f t="shared" si="1"/>
        <v>0</v>
      </c>
    </row>
    <row r="72" spans="1:11" ht="19.5" thickBot="1">
      <c r="A72" s="1" t="s">
        <v>3</v>
      </c>
      <c r="B72" s="50" t="s">
        <v>82</v>
      </c>
      <c r="C72" s="51">
        <v>63149</v>
      </c>
      <c r="D72" s="52">
        <v>58540</v>
      </c>
      <c r="E72" s="52">
        <v>63371</v>
      </c>
      <c r="F72" s="52">
        <v>49417</v>
      </c>
      <c r="G72" s="52">
        <v>55475</v>
      </c>
      <c r="H72" s="52">
        <v>58525</v>
      </c>
      <c r="I72" s="52">
        <v>55420</v>
      </c>
      <c r="J72" s="53">
        <v>322</v>
      </c>
      <c r="K72" s="54">
        <f t="shared" si="1"/>
        <v>404219</v>
      </c>
    </row>
    <row r="73" spans="1:11">
      <c r="A73" s="1" t="s">
        <v>3</v>
      </c>
      <c r="B73" s="27" t="s">
        <v>83</v>
      </c>
      <c r="C73" s="37">
        <v>5870</v>
      </c>
      <c r="D73" s="38">
        <v>6910</v>
      </c>
      <c r="E73" s="38">
        <v>6810</v>
      </c>
      <c r="F73" s="38">
        <v>5050</v>
      </c>
      <c r="G73" s="38">
        <v>3390</v>
      </c>
      <c r="H73" s="38">
        <v>6750</v>
      </c>
      <c r="I73" s="38">
        <v>5900</v>
      </c>
      <c r="J73" s="39">
        <v>900</v>
      </c>
      <c r="K73" s="40">
        <f t="shared" si="1"/>
        <v>41580</v>
      </c>
    </row>
    <row r="74" spans="1:11">
      <c r="A74" s="1" t="s">
        <v>3</v>
      </c>
      <c r="B74" s="6" t="s">
        <v>84</v>
      </c>
      <c r="C74" s="21">
        <v>0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3">
        <v>0</v>
      </c>
      <c r="K74" s="10">
        <f t="shared" si="1"/>
        <v>0</v>
      </c>
    </row>
    <row r="75" spans="1:11">
      <c r="A75" s="1" t="s">
        <v>3</v>
      </c>
      <c r="B75" s="6" t="s">
        <v>85</v>
      </c>
      <c r="C75" s="21">
        <v>14200</v>
      </c>
      <c r="D75" s="22">
        <v>17200</v>
      </c>
      <c r="E75" s="22">
        <v>26400</v>
      </c>
      <c r="F75" s="22">
        <v>5300</v>
      </c>
      <c r="G75" s="22">
        <v>7600</v>
      </c>
      <c r="H75" s="22">
        <v>16700</v>
      </c>
      <c r="I75" s="22">
        <v>5300</v>
      </c>
      <c r="J75" s="23">
        <v>600</v>
      </c>
      <c r="K75" s="10">
        <f t="shared" si="1"/>
        <v>93300</v>
      </c>
    </row>
    <row r="76" spans="1:11">
      <c r="A76" s="1" t="s">
        <v>3</v>
      </c>
      <c r="B76" s="6" t="s">
        <v>86</v>
      </c>
      <c r="C76" s="21">
        <v>0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3">
        <v>0</v>
      </c>
      <c r="K76" s="10">
        <f t="shared" si="1"/>
        <v>0</v>
      </c>
    </row>
    <row r="77" spans="1:11">
      <c r="A77" s="1" t="s">
        <v>3</v>
      </c>
      <c r="B77" s="6" t="s">
        <v>87</v>
      </c>
      <c r="C77" s="21">
        <v>0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3">
        <v>0</v>
      </c>
      <c r="K77" s="10">
        <f t="shared" si="1"/>
        <v>0</v>
      </c>
    </row>
    <row r="78" spans="1:11">
      <c r="A78" s="1" t="s">
        <v>3</v>
      </c>
      <c r="B78" s="6" t="s">
        <v>88</v>
      </c>
      <c r="C78" s="21">
        <v>0</v>
      </c>
      <c r="D78" s="22">
        <v>0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3">
        <v>0</v>
      </c>
      <c r="K78" s="10">
        <f t="shared" si="1"/>
        <v>0</v>
      </c>
    </row>
    <row r="79" spans="1:11" ht="19.5" thickBot="1">
      <c r="A79" s="1" t="s">
        <v>3</v>
      </c>
      <c r="B79" s="45" t="s">
        <v>89</v>
      </c>
      <c r="C79" s="46">
        <v>0</v>
      </c>
      <c r="D79" s="47">
        <v>0</v>
      </c>
      <c r="E79" s="47">
        <v>0</v>
      </c>
      <c r="F79" s="47">
        <v>0</v>
      </c>
      <c r="G79" s="47">
        <v>0</v>
      </c>
      <c r="H79" s="47">
        <v>0</v>
      </c>
      <c r="I79" s="47">
        <v>0</v>
      </c>
      <c r="J79" s="48">
        <v>0</v>
      </c>
      <c r="K79" s="49">
        <f t="shared" si="1"/>
        <v>0</v>
      </c>
    </row>
    <row r="80" spans="1:11" ht="19.5" thickBot="1">
      <c r="A80" s="1" t="s">
        <v>3</v>
      </c>
      <c r="B80" s="50" t="s">
        <v>90</v>
      </c>
      <c r="C80" s="51">
        <v>83219</v>
      </c>
      <c r="D80" s="52">
        <v>82650</v>
      </c>
      <c r="E80" s="52">
        <v>96581</v>
      </c>
      <c r="F80" s="52">
        <v>59767</v>
      </c>
      <c r="G80" s="52">
        <v>66465</v>
      </c>
      <c r="H80" s="52">
        <v>81975</v>
      </c>
      <c r="I80" s="52">
        <v>66620</v>
      </c>
      <c r="J80" s="53">
        <v>1822</v>
      </c>
      <c r="K80" s="54">
        <f t="shared" si="1"/>
        <v>539099</v>
      </c>
    </row>
    <row r="81" spans="1:11" ht="19.5" thickBot="1">
      <c r="A81" s="1" t="s">
        <v>3</v>
      </c>
      <c r="B81" s="50" t="s">
        <v>91</v>
      </c>
      <c r="C81" s="51">
        <v>276186</v>
      </c>
      <c r="D81" s="52">
        <v>259945</v>
      </c>
      <c r="E81" s="52">
        <v>341629</v>
      </c>
      <c r="F81" s="52">
        <v>253291</v>
      </c>
      <c r="G81" s="52">
        <v>251915</v>
      </c>
      <c r="H81" s="52">
        <v>255569</v>
      </c>
      <c r="I81" s="52">
        <v>231797</v>
      </c>
      <c r="J81" s="53">
        <v>103418</v>
      </c>
      <c r="K81" s="54">
        <f t="shared" si="1"/>
        <v>1973750</v>
      </c>
    </row>
    <row r="82" spans="1:11" ht="19.5" thickBot="1">
      <c r="A82" s="1" t="s">
        <v>3</v>
      </c>
      <c r="B82" s="50" t="s">
        <v>92</v>
      </c>
      <c r="C82" s="51">
        <v>261525</v>
      </c>
      <c r="D82" s="52">
        <v>240752</v>
      </c>
      <c r="E82" s="52">
        <v>322083</v>
      </c>
      <c r="F82" s="52">
        <v>252440</v>
      </c>
      <c r="G82" s="52">
        <v>245103</v>
      </c>
      <c r="H82" s="52">
        <v>236467</v>
      </c>
      <c r="I82" s="52">
        <v>226808</v>
      </c>
      <c r="J82" s="53">
        <v>105518</v>
      </c>
      <c r="K82" s="54">
        <f t="shared" si="1"/>
        <v>1890696</v>
      </c>
    </row>
    <row r="83" spans="1:11">
      <c r="A83" s="1" t="s">
        <v>3</v>
      </c>
      <c r="B83" s="27" t="s">
        <v>93</v>
      </c>
      <c r="C83" s="37">
        <v>0</v>
      </c>
      <c r="D83" s="38">
        <v>0</v>
      </c>
      <c r="E83" s="38">
        <v>0</v>
      </c>
      <c r="F83" s="38">
        <v>0</v>
      </c>
      <c r="G83" s="38">
        <v>0</v>
      </c>
      <c r="H83" s="38">
        <v>0</v>
      </c>
      <c r="I83" s="38">
        <v>0</v>
      </c>
      <c r="J83" s="39">
        <v>0</v>
      </c>
      <c r="K83" s="40">
        <f t="shared" si="1"/>
        <v>0</v>
      </c>
    </row>
    <row r="84" spans="1:11">
      <c r="A84" s="1" t="s">
        <v>3</v>
      </c>
      <c r="B84" s="6" t="s">
        <v>94</v>
      </c>
      <c r="C84" s="21">
        <v>261525</v>
      </c>
      <c r="D84" s="22">
        <v>240752</v>
      </c>
      <c r="E84" s="22">
        <v>322083</v>
      </c>
      <c r="F84" s="22">
        <v>252440</v>
      </c>
      <c r="G84" s="22">
        <v>245103</v>
      </c>
      <c r="H84" s="22">
        <v>236467</v>
      </c>
      <c r="I84" s="22">
        <v>226808</v>
      </c>
      <c r="J84" s="23">
        <v>105518</v>
      </c>
      <c r="K84" s="10">
        <f t="shared" si="1"/>
        <v>1890696</v>
      </c>
    </row>
    <row r="85" spans="1:11">
      <c r="A85" s="1" t="s">
        <v>3</v>
      </c>
      <c r="B85" s="6" t="s">
        <v>95</v>
      </c>
      <c r="C85" s="21">
        <v>1</v>
      </c>
      <c r="D85" s="22">
        <v>0</v>
      </c>
      <c r="E85" s="22">
        <v>2</v>
      </c>
      <c r="F85" s="22">
        <v>1</v>
      </c>
      <c r="G85" s="22">
        <v>2</v>
      </c>
      <c r="H85" s="22">
        <v>0</v>
      </c>
      <c r="I85" s="22">
        <v>0</v>
      </c>
      <c r="J85" s="23">
        <v>0</v>
      </c>
      <c r="K85" s="10"/>
    </row>
    <row r="86" spans="1:11" ht="19.5" thickBot="1">
      <c r="A86" s="1" t="s">
        <v>3</v>
      </c>
      <c r="B86" s="7" t="s">
        <v>96</v>
      </c>
      <c r="C86" s="24" t="s">
        <v>97</v>
      </c>
      <c r="D86" s="25" t="s">
        <v>97</v>
      </c>
      <c r="E86" s="25" t="s">
        <v>97</v>
      </c>
      <c r="F86" s="25" t="s">
        <v>97</v>
      </c>
      <c r="G86" s="25" t="s">
        <v>97</v>
      </c>
      <c r="H86" s="25" t="s">
        <v>97</v>
      </c>
      <c r="I86" s="25" t="s">
        <v>97</v>
      </c>
      <c r="J86" s="26" t="s">
        <v>97</v>
      </c>
      <c r="K86" s="11"/>
    </row>
  </sheetData>
  <phoneticPr fontId="3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5CB9D-FB37-4A61-82E5-BDF0C2B86FE0}">
  <sheetPr>
    <pageSetUpPr fitToPage="1"/>
  </sheetPr>
  <dimension ref="A1:M67"/>
  <sheetViews>
    <sheetView showZeros="0" workbookViewId="0">
      <selection activeCell="B1" sqref="B1"/>
    </sheetView>
  </sheetViews>
  <sheetFormatPr defaultRowHeight="18.75"/>
  <cols>
    <col min="1" max="1" width="2.375" style="2" customWidth="1"/>
    <col min="2" max="2" width="13.25" style="2" bestFit="1" customWidth="1"/>
    <col min="3" max="13" width="11.5" style="2" customWidth="1"/>
    <col min="14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/>
    <col min="264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/>
    <col min="520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/>
    <col min="776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/>
    <col min="1032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/>
    <col min="1288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/>
    <col min="1544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/>
    <col min="1800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/>
    <col min="2056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/>
    <col min="2312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/>
    <col min="2568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/>
    <col min="2824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/>
    <col min="3080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/>
    <col min="3336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/>
    <col min="3592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/>
    <col min="3848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/>
    <col min="4104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/>
    <col min="4360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/>
    <col min="4616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/>
    <col min="4872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/>
    <col min="5128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/>
    <col min="5384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/>
    <col min="5640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/>
    <col min="5896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/>
    <col min="6152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/>
    <col min="6408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/>
    <col min="6664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/>
    <col min="6920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/>
    <col min="7176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/>
    <col min="7432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/>
    <col min="7688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/>
    <col min="7944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/>
    <col min="8200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/>
    <col min="8456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/>
    <col min="8712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/>
    <col min="8968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/>
    <col min="9224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/>
    <col min="9480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/>
    <col min="9736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/>
    <col min="9992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/>
    <col min="10248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/>
    <col min="10504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/>
    <col min="10760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/>
    <col min="11016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/>
    <col min="11272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/>
    <col min="11528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/>
    <col min="11784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/>
    <col min="12040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/>
    <col min="12296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/>
    <col min="12552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/>
    <col min="12808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/>
    <col min="13064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/>
    <col min="13320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/>
    <col min="13576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/>
    <col min="13832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/>
    <col min="14088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/>
    <col min="14344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/>
    <col min="14600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/>
    <col min="14856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/>
    <col min="15112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/>
    <col min="15368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/>
    <col min="15624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/>
    <col min="15880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/>
    <col min="16136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 ht="19.5" thickBot="1">
      <c r="A2" s="1" t="s">
        <v>98</v>
      </c>
    </row>
    <row r="3" spans="1:13">
      <c r="B3" s="4"/>
      <c r="C3" s="13" t="s">
        <v>6</v>
      </c>
      <c r="D3" s="14" t="s">
        <v>11</v>
      </c>
      <c r="E3" s="63" t="s">
        <v>99</v>
      </c>
      <c r="F3" s="12" t="s">
        <v>4</v>
      </c>
      <c r="G3" s="13" t="s">
        <v>5</v>
      </c>
      <c r="H3" s="13" t="s">
        <v>7</v>
      </c>
      <c r="I3" s="13" t="s">
        <v>8</v>
      </c>
      <c r="J3" s="13" t="s">
        <v>9</v>
      </c>
      <c r="K3" s="65" t="s">
        <v>10</v>
      </c>
      <c r="L3" s="76" t="s">
        <v>99</v>
      </c>
      <c r="M3" s="77" t="s">
        <v>21</v>
      </c>
    </row>
    <row r="4" spans="1:13" ht="19.5" thickBot="1">
      <c r="A4" s="89"/>
      <c r="B4" s="32" t="s">
        <v>12</v>
      </c>
      <c r="C4" s="34" t="s">
        <v>15</v>
      </c>
      <c r="D4" s="35" t="s">
        <v>20</v>
      </c>
      <c r="E4" s="64" t="s">
        <v>100</v>
      </c>
      <c r="F4" s="33" t="s">
        <v>13</v>
      </c>
      <c r="G4" s="34" t="s">
        <v>14</v>
      </c>
      <c r="H4" s="34" t="s">
        <v>16</v>
      </c>
      <c r="I4" s="34" t="s">
        <v>17</v>
      </c>
      <c r="J4" s="34" t="s">
        <v>18</v>
      </c>
      <c r="K4" s="66" t="s">
        <v>19</v>
      </c>
      <c r="L4" s="78" t="s">
        <v>101</v>
      </c>
      <c r="M4" s="79" t="s">
        <v>102</v>
      </c>
    </row>
    <row r="5" spans="1:13">
      <c r="A5" s="1" t="s">
        <v>3</v>
      </c>
      <c r="B5" s="27" t="s">
        <v>22</v>
      </c>
      <c r="C5" s="29">
        <v>22</v>
      </c>
      <c r="D5" s="30">
        <v>10</v>
      </c>
      <c r="E5" s="55">
        <f>SUM(C5:D5)</f>
        <v>32</v>
      </c>
      <c r="F5" s="28">
        <v>18</v>
      </c>
      <c r="G5" s="29">
        <v>19</v>
      </c>
      <c r="H5" s="29">
        <v>22</v>
      </c>
      <c r="I5" s="29">
        <v>18</v>
      </c>
      <c r="J5" s="29">
        <v>22</v>
      </c>
      <c r="K5" s="67">
        <v>23</v>
      </c>
      <c r="L5" s="80">
        <f>SUM(F5:K5)</f>
        <v>122</v>
      </c>
      <c r="M5" s="80">
        <f>E5+L5</f>
        <v>154</v>
      </c>
    </row>
    <row r="6" spans="1:13">
      <c r="A6" s="1" t="s">
        <v>3</v>
      </c>
      <c r="B6" s="6" t="s">
        <v>23</v>
      </c>
      <c r="C6" s="16">
        <v>0</v>
      </c>
      <c r="D6" s="17">
        <v>0</v>
      </c>
      <c r="E6" s="56"/>
      <c r="F6" s="15">
        <v>1</v>
      </c>
      <c r="G6" s="16">
        <v>0</v>
      </c>
      <c r="H6" s="16">
        <v>1</v>
      </c>
      <c r="I6" s="16">
        <v>0</v>
      </c>
      <c r="J6" s="16">
        <v>2</v>
      </c>
      <c r="K6" s="68">
        <v>0</v>
      </c>
      <c r="L6" s="81">
        <f>SUM(F6:K6)</f>
        <v>4</v>
      </c>
      <c r="M6" s="81">
        <f t="shared" ref="M6:M57" si="0">E6+L6</f>
        <v>4</v>
      </c>
    </row>
    <row r="7" spans="1:13">
      <c r="A7" s="1" t="s">
        <v>3</v>
      </c>
      <c r="B7" s="6" t="s">
        <v>24</v>
      </c>
      <c r="C7" s="16">
        <v>0</v>
      </c>
      <c r="D7" s="17">
        <v>0</v>
      </c>
      <c r="E7" s="56"/>
      <c r="F7" s="15">
        <v>0</v>
      </c>
      <c r="G7" s="16">
        <v>0</v>
      </c>
      <c r="H7" s="16">
        <v>0</v>
      </c>
      <c r="I7" s="16">
        <v>0</v>
      </c>
      <c r="J7" s="16">
        <v>0</v>
      </c>
      <c r="K7" s="68">
        <v>1</v>
      </c>
      <c r="L7" s="81"/>
      <c r="M7" s="81">
        <f t="shared" si="0"/>
        <v>0</v>
      </c>
    </row>
    <row r="8" spans="1:13">
      <c r="A8" s="1" t="s">
        <v>3</v>
      </c>
      <c r="B8" s="6" t="s">
        <v>25</v>
      </c>
      <c r="C8" s="16">
        <v>0</v>
      </c>
      <c r="D8" s="17">
        <v>0</v>
      </c>
      <c r="E8" s="56"/>
      <c r="F8" s="15">
        <v>0</v>
      </c>
      <c r="G8" s="16">
        <v>0</v>
      </c>
      <c r="H8" s="16">
        <v>0</v>
      </c>
      <c r="I8" s="16">
        <v>0</v>
      </c>
      <c r="J8" s="16">
        <v>0</v>
      </c>
      <c r="K8" s="68">
        <v>0</v>
      </c>
      <c r="L8" s="81"/>
      <c r="M8" s="81">
        <f t="shared" si="0"/>
        <v>0</v>
      </c>
    </row>
    <row r="9" spans="1:13">
      <c r="A9" s="1" t="s">
        <v>3</v>
      </c>
      <c r="B9" s="6" t="s">
        <v>26</v>
      </c>
      <c r="C9" s="16">
        <v>2</v>
      </c>
      <c r="D9" s="17">
        <v>3</v>
      </c>
      <c r="E9" s="56">
        <f>SUM(C9:D9)</f>
        <v>5</v>
      </c>
      <c r="F9" s="15">
        <v>6</v>
      </c>
      <c r="G9" s="16">
        <v>5</v>
      </c>
      <c r="H9" s="16">
        <v>2</v>
      </c>
      <c r="I9" s="16">
        <v>6</v>
      </c>
      <c r="J9" s="16">
        <v>2</v>
      </c>
      <c r="K9" s="68">
        <v>1</v>
      </c>
      <c r="L9" s="81">
        <f>SUM(F9:K9)</f>
        <v>22</v>
      </c>
      <c r="M9" s="81">
        <f t="shared" si="0"/>
        <v>27</v>
      </c>
    </row>
    <row r="10" spans="1:13">
      <c r="A10" s="1" t="s">
        <v>3</v>
      </c>
      <c r="B10" s="6" t="s">
        <v>27</v>
      </c>
      <c r="C10" s="16">
        <v>0</v>
      </c>
      <c r="D10" s="17">
        <v>0</v>
      </c>
      <c r="E10" s="56"/>
      <c r="F10" s="15">
        <v>0</v>
      </c>
      <c r="G10" s="16">
        <v>0</v>
      </c>
      <c r="H10" s="16">
        <v>0</v>
      </c>
      <c r="I10" s="16">
        <v>0</v>
      </c>
      <c r="J10" s="16">
        <v>0</v>
      </c>
      <c r="K10" s="68">
        <v>0</v>
      </c>
      <c r="L10" s="81"/>
      <c r="M10" s="81">
        <f t="shared" si="0"/>
        <v>0</v>
      </c>
    </row>
    <row r="11" spans="1:13">
      <c r="A11" s="1" t="s">
        <v>3</v>
      </c>
      <c r="B11" s="6" t="s">
        <v>28</v>
      </c>
      <c r="C11" s="16">
        <v>0</v>
      </c>
      <c r="D11" s="17">
        <v>0</v>
      </c>
      <c r="E11" s="56"/>
      <c r="F11" s="15">
        <v>0</v>
      </c>
      <c r="G11" s="16">
        <v>0</v>
      </c>
      <c r="H11" s="16">
        <v>0</v>
      </c>
      <c r="I11" s="16">
        <v>0</v>
      </c>
      <c r="J11" s="16">
        <v>0</v>
      </c>
      <c r="K11" s="68">
        <v>0</v>
      </c>
      <c r="L11" s="81"/>
      <c r="M11" s="81">
        <f t="shared" si="0"/>
        <v>0</v>
      </c>
    </row>
    <row r="12" spans="1:13">
      <c r="A12" s="1" t="s">
        <v>3</v>
      </c>
      <c r="B12" s="6" t="s">
        <v>29</v>
      </c>
      <c r="C12" s="16">
        <v>0</v>
      </c>
      <c r="D12" s="17">
        <v>0</v>
      </c>
      <c r="E12" s="56"/>
      <c r="F12" s="15">
        <v>0</v>
      </c>
      <c r="G12" s="16">
        <v>0</v>
      </c>
      <c r="H12" s="16">
        <v>0</v>
      </c>
      <c r="I12" s="16">
        <v>0</v>
      </c>
      <c r="J12" s="16">
        <v>0</v>
      </c>
      <c r="K12" s="68">
        <v>0</v>
      </c>
      <c r="L12" s="81"/>
      <c r="M12" s="81">
        <f t="shared" si="0"/>
        <v>0</v>
      </c>
    </row>
    <row r="13" spans="1:13">
      <c r="A13" s="1" t="s">
        <v>3</v>
      </c>
      <c r="B13" s="6" t="s">
        <v>30</v>
      </c>
      <c r="C13" s="19">
        <v>0</v>
      </c>
      <c r="D13" s="20">
        <v>2.9166666666666665</v>
      </c>
      <c r="E13" s="57">
        <f>SUM(C13:D13)</f>
        <v>2.9166666666666665</v>
      </c>
      <c r="F13" s="18">
        <v>0</v>
      </c>
      <c r="G13" s="19">
        <v>0</v>
      </c>
      <c r="H13" s="19">
        <v>0</v>
      </c>
      <c r="I13" s="19">
        <v>0</v>
      </c>
      <c r="J13" s="19">
        <v>0</v>
      </c>
      <c r="K13" s="69">
        <v>0</v>
      </c>
      <c r="L13" s="82"/>
      <c r="M13" s="82">
        <f t="shared" si="0"/>
        <v>2.9166666666666665</v>
      </c>
    </row>
    <row r="14" spans="1:13">
      <c r="A14" s="1" t="s">
        <v>3</v>
      </c>
      <c r="B14" s="6" t="s">
        <v>32</v>
      </c>
      <c r="C14" s="19">
        <v>0</v>
      </c>
      <c r="D14" s="20">
        <v>0</v>
      </c>
      <c r="E14" s="57"/>
      <c r="F14" s="18">
        <v>1.25</v>
      </c>
      <c r="G14" s="19">
        <v>1.1666666666666667</v>
      </c>
      <c r="H14" s="19">
        <v>1.0416666666666667</v>
      </c>
      <c r="I14" s="19">
        <v>1.4166666666666667</v>
      </c>
      <c r="J14" s="19">
        <v>1.0416666666666667</v>
      </c>
      <c r="K14" s="69">
        <v>0.95833333333333337</v>
      </c>
      <c r="L14" s="82">
        <f>SUM(F14:K14)</f>
        <v>6.8750000000000009</v>
      </c>
      <c r="M14" s="82">
        <f t="shared" si="0"/>
        <v>6.8750000000000009</v>
      </c>
    </row>
    <row r="15" spans="1:13">
      <c r="A15" s="1" t="s">
        <v>3</v>
      </c>
      <c r="B15" s="6" t="s">
        <v>33</v>
      </c>
      <c r="C15" s="19">
        <v>0</v>
      </c>
      <c r="D15" s="20">
        <v>0</v>
      </c>
      <c r="E15" s="57"/>
      <c r="F15" s="18">
        <v>0.375</v>
      </c>
      <c r="G15" s="19">
        <v>0</v>
      </c>
      <c r="H15" s="19">
        <v>0.25</v>
      </c>
      <c r="I15" s="19">
        <v>0</v>
      </c>
      <c r="J15" s="19">
        <v>0.58333333333333337</v>
      </c>
      <c r="K15" s="69">
        <v>0</v>
      </c>
      <c r="L15" s="82">
        <f t="shared" ref="L15:L16" si="1">SUM(F15:K15)</f>
        <v>1.2083333333333335</v>
      </c>
      <c r="M15" s="82">
        <f t="shared" si="0"/>
        <v>1.2083333333333335</v>
      </c>
    </row>
    <row r="16" spans="1:13">
      <c r="A16" s="1" t="s">
        <v>3</v>
      </c>
      <c r="B16" s="6" t="s">
        <v>34</v>
      </c>
      <c r="C16" s="19">
        <v>0</v>
      </c>
      <c r="D16" s="20">
        <v>0</v>
      </c>
      <c r="E16" s="57"/>
      <c r="F16" s="18">
        <v>0</v>
      </c>
      <c r="G16" s="19">
        <v>0</v>
      </c>
      <c r="H16" s="19">
        <v>0</v>
      </c>
      <c r="I16" s="19">
        <v>0</v>
      </c>
      <c r="J16" s="19">
        <v>0</v>
      </c>
      <c r="K16" s="69">
        <v>0.20833333333333334</v>
      </c>
      <c r="L16" s="82">
        <f t="shared" si="1"/>
        <v>0.20833333333333334</v>
      </c>
      <c r="M16" s="82">
        <f t="shared" si="0"/>
        <v>0.20833333333333334</v>
      </c>
    </row>
    <row r="17" spans="1:13">
      <c r="A17" s="1" t="s">
        <v>3</v>
      </c>
      <c r="B17" s="6" t="s">
        <v>35</v>
      </c>
      <c r="C17" s="19">
        <v>0</v>
      </c>
      <c r="D17" s="20">
        <v>0</v>
      </c>
      <c r="E17" s="57"/>
      <c r="F17" s="18">
        <v>0</v>
      </c>
      <c r="G17" s="19">
        <v>0</v>
      </c>
      <c r="H17" s="19">
        <v>0</v>
      </c>
      <c r="I17" s="19">
        <v>0</v>
      </c>
      <c r="J17" s="19">
        <v>0</v>
      </c>
      <c r="K17" s="69">
        <v>0</v>
      </c>
      <c r="L17" s="82"/>
      <c r="M17" s="82">
        <f t="shared" si="0"/>
        <v>0</v>
      </c>
    </row>
    <row r="18" spans="1:13">
      <c r="A18" s="1" t="s">
        <v>3</v>
      </c>
      <c r="B18" s="6" t="s">
        <v>36</v>
      </c>
      <c r="C18" s="19">
        <v>0</v>
      </c>
      <c r="D18" s="20">
        <v>0</v>
      </c>
      <c r="E18" s="57"/>
      <c r="F18" s="18">
        <v>0</v>
      </c>
      <c r="G18" s="19">
        <v>0</v>
      </c>
      <c r="H18" s="19">
        <v>0</v>
      </c>
      <c r="I18" s="19">
        <v>0</v>
      </c>
      <c r="J18" s="19">
        <v>0</v>
      </c>
      <c r="K18" s="69">
        <v>0</v>
      </c>
      <c r="L18" s="82"/>
      <c r="M18" s="82">
        <f t="shared" si="0"/>
        <v>0</v>
      </c>
    </row>
    <row r="19" spans="1:13">
      <c r="A19" s="1" t="s">
        <v>3</v>
      </c>
      <c r="B19" s="6" t="s">
        <v>37</v>
      </c>
      <c r="C19" s="19">
        <v>0</v>
      </c>
      <c r="D19" s="20">
        <v>0</v>
      </c>
      <c r="E19" s="57"/>
      <c r="F19" s="18">
        <v>0</v>
      </c>
      <c r="G19" s="19">
        <v>0</v>
      </c>
      <c r="H19" s="19">
        <v>0</v>
      </c>
      <c r="I19" s="19">
        <v>0</v>
      </c>
      <c r="J19" s="19">
        <v>0</v>
      </c>
      <c r="K19" s="69">
        <v>0</v>
      </c>
      <c r="L19" s="82"/>
      <c r="M19" s="82">
        <f t="shared" si="0"/>
        <v>0</v>
      </c>
    </row>
    <row r="20" spans="1:13">
      <c r="A20" s="1" t="s">
        <v>3</v>
      </c>
      <c r="B20" s="6" t="s">
        <v>39</v>
      </c>
      <c r="C20" s="19">
        <v>0</v>
      </c>
      <c r="D20" s="20">
        <v>0.875</v>
      </c>
      <c r="E20" s="57">
        <f>SUM(C20:D20)</f>
        <v>0.875</v>
      </c>
      <c r="F20" s="18">
        <v>0</v>
      </c>
      <c r="G20" s="19">
        <v>0</v>
      </c>
      <c r="H20" s="19">
        <v>0</v>
      </c>
      <c r="I20" s="19">
        <v>0</v>
      </c>
      <c r="J20" s="19">
        <v>0</v>
      </c>
      <c r="K20" s="69">
        <v>0</v>
      </c>
      <c r="L20" s="82"/>
      <c r="M20" s="82">
        <f t="shared" si="0"/>
        <v>0.875</v>
      </c>
    </row>
    <row r="21" spans="1:13">
      <c r="A21" s="1" t="s">
        <v>3</v>
      </c>
      <c r="B21" s="6" t="s">
        <v>41</v>
      </c>
      <c r="C21" s="19">
        <v>0</v>
      </c>
      <c r="D21" s="20">
        <v>0</v>
      </c>
      <c r="E21" s="57"/>
      <c r="F21" s="18">
        <v>0</v>
      </c>
      <c r="G21" s="19">
        <v>0</v>
      </c>
      <c r="H21" s="19">
        <v>0</v>
      </c>
      <c r="I21" s="19">
        <v>0</v>
      </c>
      <c r="J21" s="19">
        <v>0</v>
      </c>
      <c r="K21" s="69">
        <v>0</v>
      </c>
      <c r="L21" s="82"/>
      <c r="M21" s="82">
        <f t="shared" si="0"/>
        <v>0</v>
      </c>
    </row>
    <row r="22" spans="1:13">
      <c r="A22" s="1" t="s">
        <v>3</v>
      </c>
      <c r="B22" s="6" t="s">
        <v>42</v>
      </c>
      <c r="C22" s="19">
        <v>0</v>
      </c>
      <c r="D22" s="20">
        <v>0</v>
      </c>
      <c r="E22" s="57"/>
      <c r="F22" s="18">
        <v>0.54166666666666663</v>
      </c>
      <c r="G22" s="19">
        <v>0.625</v>
      </c>
      <c r="H22" s="19">
        <v>0.20833333333333334</v>
      </c>
      <c r="I22" s="19">
        <v>0.58333333333333337</v>
      </c>
      <c r="J22" s="19">
        <v>8.3333333333333329E-2</v>
      </c>
      <c r="K22" s="69">
        <v>0.125</v>
      </c>
      <c r="L22" s="82">
        <f>SUM(F22:K22)</f>
        <v>2.1666666666666665</v>
      </c>
      <c r="M22" s="82">
        <f t="shared" si="0"/>
        <v>2.1666666666666665</v>
      </c>
    </row>
    <row r="23" spans="1:13" ht="19.5" thickBot="1">
      <c r="A23" s="1" t="s">
        <v>3</v>
      </c>
      <c r="B23" s="7" t="s">
        <v>43</v>
      </c>
      <c r="C23" s="42">
        <v>37</v>
      </c>
      <c r="D23" s="43">
        <v>13</v>
      </c>
      <c r="E23" s="58">
        <f>SUM(C23:D23)</f>
        <v>50</v>
      </c>
      <c r="F23" s="41">
        <v>29</v>
      </c>
      <c r="G23" s="42">
        <v>32</v>
      </c>
      <c r="H23" s="42">
        <v>35</v>
      </c>
      <c r="I23" s="42">
        <v>24</v>
      </c>
      <c r="J23" s="42">
        <v>27</v>
      </c>
      <c r="K23" s="70">
        <v>25</v>
      </c>
      <c r="L23" s="83">
        <f>SUM(F23:K23)</f>
        <v>172</v>
      </c>
      <c r="M23" s="83">
        <f t="shared" si="0"/>
        <v>222</v>
      </c>
    </row>
    <row r="24" spans="1:13">
      <c r="A24" s="1" t="s">
        <v>3</v>
      </c>
      <c r="B24" s="27" t="s">
        <v>44</v>
      </c>
      <c r="C24" s="38">
        <v>355000</v>
      </c>
      <c r="D24" s="39">
        <v>0</v>
      </c>
      <c r="E24" s="59">
        <f>SUM(C24:D24)</f>
        <v>355000</v>
      </c>
      <c r="F24" s="37">
        <v>177000</v>
      </c>
      <c r="G24" s="38">
        <v>192000</v>
      </c>
      <c r="H24" s="38">
        <v>177000</v>
      </c>
      <c r="I24" s="38">
        <v>177000</v>
      </c>
      <c r="J24" s="38">
        <v>177000</v>
      </c>
      <c r="K24" s="71">
        <v>170000</v>
      </c>
      <c r="L24" s="84">
        <f>SUM(F24:K24)</f>
        <v>1070000</v>
      </c>
      <c r="M24" s="84">
        <f t="shared" si="0"/>
        <v>1425000</v>
      </c>
    </row>
    <row r="25" spans="1:13">
      <c r="A25" s="1" t="s">
        <v>3</v>
      </c>
      <c r="B25" s="6" t="s">
        <v>45</v>
      </c>
      <c r="C25" s="22">
        <v>0</v>
      </c>
      <c r="D25" s="23">
        <v>0</v>
      </c>
      <c r="E25" s="60"/>
      <c r="F25" s="21">
        <v>0</v>
      </c>
      <c r="G25" s="22">
        <v>5000</v>
      </c>
      <c r="H25" s="22">
        <v>0</v>
      </c>
      <c r="I25" s="22">
        <v>0</v>
      </c>
      <c r="J25" s="22">
        <v>0</v>
      </c>
      <c r="K25" s="72">
        <v>0</v>
      </c>
      <c r="L25" s="85">
        <f t="shared" ref="L25:L65" si="2">SUM(F25:K25)</f>
        <v>5000</v>
      </c>
      <c r="M25" s="85">
        <f t="shared" si="0"/>
        <v>5000</v>
      </c>
    </row>
    <row r="26" spans="1:13">
      <c r="A26" s="1" t="s">
        <v>3</v>
      </c>
      <c r="B26" s="6" t="s">
        <v>46</v>
      </c>
      <c r="C26" s="22">
        <v>0</v>
      </c>
      <c r="D26" s="23">
        <v>0</v>
      </c>
      <c r="E26" s="60"/>
      <c r="F26" s="21">
        <v>6000</v>
      </c>
      <c r="G26" s="22">
        <v>0</v>
      </c>
      <c r="H26" s="22">
        <v>3000</v>
      </c>
      <c r="I26" s="22">
        <v>0</v>
      </c>
      <c r="J26" s="22">
        <v>0</v>
      </c>
      <c r="K26" s="72">
        <v>0</v>
      </c>
      <c r="L26" s="85">
        <f t="shared" si="2"/>
        <v>9000</v>
      </c>
      <c r="M26" s="85">
        <f t="shared" si="0"/>
        <v>9000</v>
      </c>
    </row>
    <row r="27" spans="1:13">
      <c r="A27" s="1" t="s">
        <v>3</v>
      </c>
      <c r="B27" s="6" t="s">
        <v>47</v>
      </c>
      <c r="C27" s="22">
        <v>50000</v>
      </c>
      <c r="D27" s="23">
        <v>0</v>
      </c>
      <c r="E27" s="60">
        <f>SUM(C27:D27)</f>
        <v>50000</v>
      </c>
      <c r="F27" s="21">
        <v>50000</v>
      </c>
      <c r="G27" s="22">
        <v>50000</v>
      </c>
      <c r="H27" s="22">
        <v>50000</v>
      </c>
      <c r="I27" s="22">
        <v>50000</v>
      </c>
      <c r="J27" s="22">
        <v>50000</v>
      </c>
      <c r="K27" s="72">
        <v>50000</v>
      </c>
      <c r="L27" s="85">
        <f t="shared" si="2"/>
        <v>300000</v>
      </c>
      <c r="M27" s="85">
        <f t="shared" si="0"/>
        <v>350000</v>
      </c>
    </row>
    <row r="28" spans="1:13">
      <c r="A28" s="1" t="s">
        <v>3</v>
      </c>
      <c r="B28" s="6" t="s">
        <v>48</v>
      </c>
      <c r="C28" s="22">
        <v>0</v>
      </c>
      <c r="D28" s="23">
        <v>0</v>
      </c>
      <c r="E28" s="60"/>
      <c r="F28" s="21">
        <v>0</v>
      </c>
      <c r="G28" s="22">
        <v>0</v>
      </c>
      <c r="H28" s="22">
        <v>0</v>
      </c>
      <c r="I28" s="22">
        <v>0</v>
      </c>
      <c r="J28" s="22">
        <v>0</v>
      </c>
      <c r="K28" s="72">
        <v>0</v>
      </c>
      <c r="L28" s="85">
        <f t="shared" si="2"/>
        <v>0</v>
      </c>
      <c r="M28" s="85">
        <f t="shared" si="0"/>
        <v>0</v>
      </c>
    </row>
    <row r="29" spans="1:13">
      <c r="A29" s="1" t="s">
        <v>3</v>
      </c>
      <c r="B29" s="6" t="s">
        <v>52</v>
      </c>
      <c r="C29" s="22">
        <v>0</v>
      </c>
      <c r="D29" s="23">
        <v>79800</v>
      </c>
      <c r="E29" s="60">
        <f>SUM(C29:D29)</f>
        <v>79800</v>
      </c>
      <c r="F29" s="21">
        <v>0</v>
      </c>
      <c r="G29" s="22">
        <v>0</v>
      </c>
      <c r="H29" s="22">
        <v>0</v>
      </c>
      <c r="I29" s="22">
        <v>0</v>
      </c>
      <c r="J29" s="22">
        <v>0</v>
      </c>
      <c r="K29" s="72">
        <v>0</v>
      </c>
      <c r="L29" s="85">
        <f t="shared" si="2"/>
        <v>0</v>
      </c>
      <c r="M29" s="85">
        <f t="shared" si="0"/>
        <v>79800</v>
      </c>
    </row>
    <row r="30" spans="1:13">
      <c r="A30" s="1" t="s">
        <v>3</v>
      </c>
      <c r="B30" s="6" t="s">
        <v>54</v>
      </c>
      <c r="C30" s="22">
        <v>0</v>
      </c>
      <c r="D30" s="23">
        <v>0</v>
      </c>
      <c r="E30" s="60"/>
      <c r="F30" s="21">
        <v>0</v>
      </c>
      <c r="G30" s="22">
        <v>0</v>
      </c>
      <c r="H30" s="22">
        <v>0</v>
      </c>
      <c r="I30" s="22">
        <v>0</v>
      </c>
      <c r="J30" s="22">
        <v>0</v>
      </c>
      <c r="K30" s="72">
        <v>0</v>
      </c>
      <c r="L30" s="85">
        <f t="shared" si="2"/>
        <v>0</v>
      </c>
      <c r="M30" s="85">
        <f t="shared" si="0"/>
        <v>0</v>
      </c>
    </row>
    <row r="31" spans="1:13">
      <c r="A31" s="1" t="s">
        <v>3</v>
      </c>
      <c r="B31" s="6" t="s">
        <v>55</v>
      </c>
      <c r="C31" s="22">
        <v>0</v>
      </c>
      <c r="D31" s="23">
        <v>0</v>
      </c>
      <c r="E31" s="60"/>
      <c r="F31" s="21">
        <v>0</v>
      </c>
      <c r="G31" s="22">
        <v>0</v>
      </c>
      <c r="H31" s="22">
        <v>0</v>
      </c>
      <c r="I31" s="22">
        <v>0</v>
      </c>
      <c r="J31" s="22">
        <v>0</v>
      </c>
      <c r="K31" s="72">
        <v>0</v>
      </c>
      <c r="L31" s="85">
        <f t="shared" si="2"/>
        <v>0</v>
      </c>
      <c r="M31" s="85">
        <f t="shared" si="0"/>
        <v>0</v>
      </c>
    </row>
    <row r="32" spans="1:13">
      <c r="A32" s="1" t="s">
        <v>3</v>
      </c>
      <c r="B32" s="6" t="s">
        <v>56</v>
      </c>
      <c r="C32" s="22">
        <v>0</v>
      </c>
      <c r="D32" s="23">
        <v>0</v>
      </c>
      <c r="E32" s="60"/>
      <c r="F32" s="21">
        <v>1000</v>
      </c>
      <c r="G32" s="22">
        <v>1000</v>
      </c>
      <c r="H32" s="22">
        <v>0</v>
      </c>
      <c r="I32" s="22">
        <v>1000</v>
      </c>
      <c r="J32" s="22">
        <v>1000</v>
      </c>
      <c r="K32" s="72">
        <v>1000</v>
      </c>
      <c r="L32" s="85">
        <f t="shared" si="2"/>
        <v>5000</v>
      </c>
      <c r="M32" s="85">
        <f t="shared" si="0"/>
        <v>5000</v>
      </c>
    </row>
    <row r="33" spans="1:13">
      <c r="A33" s="1" t="s">
        <v>3</v>
      </c>
      <c r="B33" s="6" t="s">
        <v>57</v>
      </c>
      <c r="C33" s="22">
        <v>0</v>
      </c>
      <c r="D33" s="23">
        <v>23940</v>
      </c>
      <c r="E33" s="60">
        <f>SUM(C33:D33)</f>
        <v>23940</v>
      </c>
      <c r="F33" s="21">
        <v>0</v>
      </c>
      <c r="G33" s="22">
        <v>0</v>
      </c>
      <c r="H33" s="22">
        <v>0</v>
      </c>
      <c r="I33" s="22">
        <v>0</v>
      </c>
      <c r="J33" s="22">
        <v>0</v>
      </c>
      <c r="K33" s="72">
        <v>0</v>
      </c>
      <c r="L33" s="85">
        <f t="shared" si="2"/>
        <v>0</v>
      </c>
      <c r="M33" s="85">
        <f t="shared" si="0"/>
        <v>23940</v>
      </c>
    </row>
    <row r="34" spans="1:13">
      <c r="A34" s="1" t="s">
        <v>3</v>
      </c>
      <c r="B34" s="6" t="s">
        <v>59</v>
      </c>
      <c r="C34" s="22">
        <v>0</v>
      </c>
      <c r="D34" s="23">
        <v>0</v>
      </c>
      <c r="E34" s="60"/>
      <c r="F34" s="21">
        <v>0</v>
      </c>
      <c r="G34" s="22">
        <v>0</v>
      </c>
      <c r="H34" s="22">
        <v>0</v>
      </c>
      <c r="I34" s="22">
        <v>0</v>
      </c>
      <c r="J34" s="22">
        <v>0</v>
      </c>
      <c r="K34" s="72">
        <v>0</v>
      </c>
      <c r="L34" s="85">
        <f t="shared" si="2"/>
        <v>0</v>
      </c>
      <c r="M34" s="85">
        <f t="shared" si="0"/>
        <v>0</v>
      </c>
    </row>
    <row r="35" spans="1:13">
      <c r="A35" s="1" t="s">
        <v>3</v>
      </c>
      <c r="B35" s="6" t="s">
        <v>61</v>
      </c>
      <c r="C35" s="22">
        <v>0</v>
      </c>
      <c r="D35" s="23">
        <v>0</v>
      </c>
      <c r="E35" s="60"/>
      <c r="F35" s="21">
        <v>0</v>
      </c>
      <c r="G35" s="22">
        <v>0</v>
      </c>
      <c r="H35" s="22">
        <v>0</v>
      </c>
      <c r="I35" s="22">
        <v>0</v>
      </c>
      <c r="J35" s="22">
        <v>0</v>
      </c>
      <c r="K35" s="72">
        <v>0</v>
      </c>
      <c r="L35" s="85">
        <f t="shared" si="2"/>
        <v>0</v>
      </c>
      <c r="M35" s="85">
        <f t="shared" si="0"/>
        <v>0</v>
      </c>
    </row>
    <row r="36" spans="1:13">
      <c r="A36" s="1" t="s">
        <v>3</v>
      </c>
      <c r="B36" s="6" t="s">
        <v>62</v>
      </c>
      <c r="C36" s="22">
        <v>0</v>
      </c>
      <c r="D36" s="23">
        <v>0</v>
      </c>
      <c r="E36" s="60"/>
      <c r="F36" s="21">
        <v>23700</v>
      </c>
      <c r="G36" s="22">
        <v>10500</v>
      </c>
      <c r="H36" s="22">
        <v>13500</v>
      </c>
      <c r="I36" s="22">
        <v>13000</v>
      </c>
      <c r="J36" s="22">
        <v>13000</v>
      </c>
      <c r="K36" s="72">
        <v>15000</v>
      </c>
      <c r="L36" s="85">
        <f t="shared" si="2"/>
        <v>88700</v>
      </c>
      <c r="M36" s="85">
        <f t="shared" si="0"/>
        <v>88700</v>
      </c>
    </row>
    <row r="37" spans="1:13">
      <c r="A37" s="1" t="s">
        <v>3</v>
      </c>
      <c r="B37" s="6" t="s">
        <v>64</v>
      </c>
      <c r="C37" s="22">
        <v>0</v>
      </c>
      <c r="D37" s="23">
        <v>0</v>
      </c>
      <c r="E37" s="60"/>
      <c r="F37" s="21">
        <v>0</v>
      </c>
      <c r="G37" s="22">
        <v>0</v>
      </c>
      <c r="H37" s="22">
        <v>0</v>
      </c>
      <c r="I37" s="22">
        <v>0</v>
      </c>
      <c r="J37" s="22">
        <v>0</v>
      </c>
      <c r="K37" s="72">
        <v>0</v>
      </c>
      <c r="L37" s="85">
        <f t="shared" si="2"/>
        <v>0</v>
      </c>
      <c r="M37" s="85">
        <f t="shared" si="0"/>
        <v>0</v>
      </c>
    </row>
    <row r="38" spans="1:13">
      <c r="A38" s="1" t="s">
        <v>3</v>
      </c>
      <c r="B38" s="6" t="s">
        <v>65</v>
      </c>
      <c r="C38" s="22">
        <v>0</v>
      </c>
      <c r="D38" s="23">
        <v>0</v>
      </c>
      <c r="E38" s="60"/>
      <c r="F38" s="21">
        <v>0</v>
      </c>
      <c r="G38" s="22">
        <v>0</v>
      </c>
      <c r="H38" s="22">
        <v>0</v>
      </c>
      <c r="I38" s="22">
        <v>0</v>
      </c>
      <c r="J38" s="22">
        <v>0</v>
      </c>
      <c r="K38" s="72">
        <v>0</v>
      </c>
      <c r="L38" s="85">
        <f t="shared" si="2"/>
        <v>0</v>
      </c>
      <c r="M38" s="85">
        <f t="shared" si="0"/>
        <v>0</v>
      </c>
    </row>
    <row r="39" spans="1:13">
      <c r="A39" s="1" t="s">
        <v>3</v>
      </c>
      <c r="B39" s="6" t="s">
        <v>32</v>
      </c>
      <c r="C39" s="22">
        <v>0</v>
      </c>
      <c r="D39" s="23">
        <v>0</v>
      </c>
      <c r="E39" s="60"/>
      <c r="F39" s="21">
        <v>57870</v>
      </c>
      <c r="G39" s="22">
        <v>54180</v>
      </c>
      <c r="H39" s="22">
        <v>45575</v>
      </c>
      <c r="I39" s="22">
        <v>61336</v>
      </c>
      <c r="J39" s="22">
        <v>45100</v>
      </c>
      <c r="K39" s="72">
        <v>40618</v>
      </c>
      <c r="L39" s="85">
        <f t="shared" si="2"/>
        <v>304679</v>
      </c>
      <c r="M39" s="85">
        <f t="shared" si="0"/>
        <v>304679</v>
      </c>
    </row>
    <row r="40" spans="1:13">
      <c r="A40" s="1" t="s">
        <v>3</v>
      </c>
      <c r="B40" s="6" t="s">
        <v>67</v>
      </c>
      <c r="C40" s="22">
        <v>0</v>
      </c>
      <c r="D40" s="23">
        <v>0</v>
      </c>
      <c r="E40" s="60"/>
      <c r="F40" s="21">
        <v>18747</v>
      </c>
      <c r="G40" s="22">
        <v>0</v>
      </c>
      <c r="H40" s="22">
        <v>11808</v>
      </c>
      <c r="I40" s="22">
        <v>0</v>
      </c>
      <c r="J40" s="22">
        <v>27272</v>
      </c>
      <c r="K40" s="72">
        <v>0</v>
      </c>
      <c r="L40" s="85">
        <f t="shared" si="2"/>
        <v>57827</v>
      </c>
      <c r="M40" s="85">
        <f t="shared" si="0"/>
        <v>57827</v>
      </c>
    </row>
    <row r="41" spans="1:13">
      <c r="A41" s="1" t="s">
        <v>3</v>
      </c>
      <c r="B41" s="6" t="s">
        <v>68</v>
      </c>
      <c r="C41" s="22">
        <v>0</v>
      </c>
      <c r="D41" s="23">
        <v>0</v>
      </c>
      <c r="E41" s="60"/>
      <c r="F41" s="21">
        <v>0</v>
      </c>
      <c r="G41" s="22">
        <v>0</v>
      </c>
      <c r="H41" s="22">
        <v>0</v>
      </c>
      <c r="I41" s="22">
        <v>0</v>
      </c>
      <c r="J41" s="22">
        <v>0</v>
      </c>
      <c r="K41" s="72">
        <v>9540</v>
      </c>
      <c r="L41" s="85">
        <f t="shared" si="2"/>
        <v>9540</v>
      </c>
      <c r="M41" s="85">
        <f t="shared" si="0"/>
        <v>9540</v>
      </c>
    </row>
    <row r="42" spans="1:13">
      <c r="A42" s="1" t="s">
        <v>3</v>
      </c>
      <c r="B42" s="6" t="s">
        <v>69</v>
      </c>
      <c r="C42" s="22">
        <v>0</v>
      </c>
      <c r="D42" s="23">
        <v>0</v>
      </c>
      <c r="E42" s="60"/>
      <c r="F42" s="21">
        <v>0</v>
      </c>
      <c r="G42" s="22">
        <v>0</v>
      </c>
      <c r="H42" s="22">
        <v>0</v>
      </c>
      <c r="I42" s="22">
        <v>0</v>
      </c>
      <c r="J42" s="22">
        <v>0</v>
      </c>
      <c r="K42" s="72">
        <v>0</v>
      </c>
      <c r="L42" s="85">
        <f t="shared" si="2"/>
        <v>0</v>
      </c>
      <c r="M42" s="85">
        <f t="shared" si="0"/>
        <v>0</v>
      </c>
    </row>
    <row r="43" spans="1:13">
      <c r="A43" s="1" t="s">
        <v>3</v>
      </c>
      <c r="B43" s="6" t="s">
        <v>70</v>
      </c>
      <c r="C43" s="22">
        <v>0</v>
      </c>
      <c r="D43" s="23">
        <v>0</v>
      </c>
      <c r="E43" s="60"/>
      <c r="F43" s="21">
        <v>0</v>
      </c>
      <c r="G43" s="22">
        <v>0</v>
      </c>
      <c r="H43" s="22">
        <v>0</v>
      </c>
      <c r="I43" s="22">
        <v>0</v>
      </c>
      <c r="J43" s="22">
        <v>0</v>
      </c>
      <c r="K43" s="72">
        <v>0</v>
      </c>
      <c r="L43" s="85">
        <f t="shared" si="2"/>
        <v>0</v>
      </c>
      <c r="M43" s="85">
        <f t="shared" si="0"/>
        <v>0</v>
      </c>
    </row>
    <row r="44" spans="1:13">
      <c r="A44" s="1" t="s">
        <v>3</v>
      </c>
      <c r="B44" s="6" t="s">
        <v>71</v>
      </c>
      <c r="C44" s="22">
        <v>0</v>
      </c>
      <c r="D44" s="23">
        <v>0</v>
      </c>
      <c r="E44" s="60"/>
      <c r="F44" s="21">
        <v>0</v>
      </c>
      <c r="G44" s="22">
        <v>0</v>
      </c>
      <c r="H44" s="22">
        <v>0</v>
      </c>
      <c r="I44" s="22">
        <v>0</v>
      </c>
      <c r="J44" s="22">
        <v>0</v>
      </c>
      <c r="K44" s="72">
        <v>0</v>
      </c>
      <c r="L44" s="85">
        <f t="shared" si="2"/>
        <v>0</v>
      </c>
      <c r="M44" s="85">
        <f t="shared" si="0"/>
        <v>0</v>
      </c>
    </row>
    <row r="45" spans="1:13">
      <c r="A45" s="1" t="s">
        <v>3</v>
      </c>
      <c r="B45" s="6" t="s">
        <v>37</v>
      </c>
      <c r="C45" s="22">
        <v>0</v>
      </c>
      <c r="D45" s="23">
        <v>0</v>
      </c>
      <c r="E45" s="60"/>
      <c r="F45" s="21">
        <v>0</v>
      </c>
      <c r="G45" s="22">
        <v>0</v>
      </c>
      <c r="H45" s="22">
        <v>0</v>
      </c>
      <c r="I45" s="22">
        <v>0</v>
      </c>
      <c r="J45" s="22">
        <v>0</v>
      </c>
      <c r="K45" s="72">
        <v>0</v>
      </c>
      <c r="L45" s="85">
        <f t="shared" si="2"/>
        <v>0</v>
      </c>
      <c r="M45" s="85">
        <f t="shared" si="0"/>
        <v>0</v>
      </c>
    </row>
    <row r="46" spans="1:13" ht="19.5" thickBot="1">
      <c r="A46" s="1" t="s">
        <v>3</v>
      </c>
      <c r="B46" s="45" t="s">
        <v>42</v>
      </c>
      <c r="C46" s="47">
        <v>0</v>
      </c>
      <c r="D46" s="48">
        <v>0</v>
      </c>
      <c r="E46" s="61"/>
      <c r="F46" s="46">
        <v>5018</v>
      </c>
      <c r="G46" s="47">
        <v>5805</v>
      </c>
      <c r="H46" s="47">
        <v>1825</v>
      </c>
      <c r="I46" s="47">
        <v>5054</v>
      </c>
      <c r="J46" s="47">
        <v>722</v>
      </c>
      <c r="K46" s="73">
        <v>1059</v>
      </c>
      <c r="L46" s="86">
        <f t="shared" si="2"/>
        <v>19483</v>
      </c>
      <c r="M46" s="86">
        <f t="shared" si="0"/>
        <v>19483</v>
      </c>
    </row>
    <row r="47" spans="1:13" ht="19.5" thickBot="1">
      <c r="A47" s="1" t="s">
        <v>3</v>
      </c>
      <c r="B47" s="50" t="s">
        <v>72</v>
      </c>
      <c r="C47" s="52">
        <v>405000</v>
      </c>
      <c r="D47" s="53">
        <v>103740</v>
      </c>
      <c r="E47" s="62">
        <f>SUM(C47:D47)</f>
        <v>508740</v>
      </c>
      <c r="F47" s="51">
        <v>339335</v>
      </c>
      <c r="G47" s="52">
        <v>318485</v>
      </c>
      <c r="H47" s="52">
        <v>302708</v>
      </c>
      <c r="I47" s="52">
        <v>307390</v>
      </c>
      <c r="J47" s="52">
        <v>314094</v>
      </c>
      <c r="K47" s="74">
        <v>287217</v>
      </c>
      <c r="L47" s="87">
        <f t="shared" si="2"/>
        <v>1869229</v>
      </c>
      <c r="M47" s="87">
        <f t="shared" si="0"/>
        <v>2377969</v>
      </c>
    </row>
    <row r="48" spans="1:13" ht="19.5" thickBot="1">
      <c r="A48" s="1" t="s">
        <v>3</v>
      </c>
      <c r="B48" s="27" t="s">
        <v>73</v>
      </c>
      <c r="C48" s="38">
        <v>13664</v>
      </c>
      <c r="D48" s="39">
        <v>3600</v>
      </c>
      <c r="E48" s="39">
        <f t="shared" ref="E48:E65" si="3">SUM(C48:D48)</f>
        <v>17264</v>
      </c>
      <c r="F48" s="37">
        <v>5409</v>
      </c>
      <c r="G48" s="38">
        <v>4917</v>
      </c>
      <c r="H48" s="38">
        <v>9499</v>
      </c>
      <c r="I48" s="38">
        <v>4178</v>
      </c>
      <c r="J48" s="38">
        <v>4348</v>
      </c>
      <c r="K48" s="71">
        <v>6211</v>
      </c>
      <c r="L48" s="84">
        <f t="shared" si="2"/>
        <v>34562</v>
      </c>
      <c r="M48" s="84">
        <f t="shared" si="0"/>
        <v>51826</v>
      </c>
    </row>
    <row r="49" spans="1:13" ht="19.5" thickBot="1">
      <c r="A49" s="1" t="s">
        <v>3</v>
      </c>
      <c r="B49" s="50" t="s">
        <v>75</v>
      </c>
      <c r="C49" s="52">
        <v>13664</v>
      </c>
      <c r="D49" s="53">
        <v>3600</v>
      </c>
      <c r="E49" s="53">
        <f t="shared" si="3"/>
        <v>17264</v>
      </c>
      <c r="F49" s="51">
        <v>5409</v>
      </c>
      <c r="G49" s="52">
        <v>4917</v>
      </c>
      <c r="H49" s="52">
        <v>9499</v>
      </c>
      <c r="I49" s="52">
        <v>4178</v>
      </c>
      <c r="J49" s="52">
        <v>4348</v>
      </c>
      <c r="K49" s="74">
        <v>6211</v>
      </c>
      <c r="L49" s="87">
        <f t="shared" si="2"/>
        <v>34562</v>
      </c>
      <c r="M49" s="87">
        <f t="shared" si="0"/>
        <v>51826</v>
      </c>
    </row>
    <row r="50" spans="1:13" ht="19.5" thickBot="1">
      <c r="A50" s="1" t="s">
        <v>3</v>
      </c>
      <c r="B50" s="50" t="s">
        <v>76</v>
      </c>
      <c r="C50" s="52">
        <v>418664</v>
      </c>
      <c r="D50" s="53">
        <v>107340</v>
      </c>
      <c r="E50" s="53">
        <f t="shared" si="3"/>
        <v>526004</v>
      </c>
      <c r="F50" s="51">
        <v>344744</v>
      </c>
      <c r="G50" s="52">
        <v>323402</v>
      </c>
      <c r="H50" s="52">
        <v>312207</v>
      </c>
      <c r="I50" s="52">
        <v>311568</v>
      </c>
      <c r="J50" s="52">
        <v>318442</v>
      </c>
      <c r="K50" s="74">
        <v>293428</v>
      </c>
      <c r="L50" s="87">
        <f t="shared" si="2"/>
        <v>1903791</v>
      </c>
      <c r="M50" s="87">
        <f t="shared" si="0"/>
        <v>2429795</v>
      </c>
    </row>
    <row r="51" spans="1:13">
      <c r="A51" s="1" t="s">
        <v>3</v>
      </c>
      <c r="B51" s="27" t="s">
        <v>77</v>
      </c>
      <c r="C51" s="38">
        <v>20910</v>
      </c>
      <c r="D51" s="39">
        <v>0</v>
      </c>
      <c r="E51" s="39">
        <f t="shared" si="3"/>
        <v>20910</v>
      </c>
      <c r="F51" s="37">
        <v>20910</v>
      </c>
      <c r="G51" s="38">
        <v>19380</v>
      </c>
      <c r="H51" s="38">
        <v>16320</v>
      </c>
      <c r="I51" s="38">
        <v>18360</v>
      </c>
      <c r="J51" s="38">
        <v>19380</v>
      </c>
      <c r="K51" s="71">
        <v>18360</v>
      </c>
      <c r="L51" s="84">
        <f t="shared" si="2"/>
        <v>112710</v>
      </c>
      <c r="M51" s="84">
        <f t="shared" si="0"/>
        <v>133620</v>
      </c>
    </row>
    <row r="52" spans="1:13">
      <c r="A52" s="1" t="s">
        <v>3</v>
      </c>
      <c r="B52" s="6" t="s">
        <v>78</v>
      </c>
      <c r="C52" s="22">
        <v>3690</v>
      </c>
      <c r="D52" s="23">
        <v>0</v>
      </c>
      <c r="E52" s="23">
        <f t="shared" si="3"/>
        <v>3690</v>
      </c>
      <c r="F52" s="21">
        <v>3690</v>
      </c>
      <c r="G52" s="22">
        <v>3420</v>
      </c>
      <c r="H52" s="22">
        <v>2880</v>
      </c>
      <c r="I52" s="22">
        <v>3240</v>
      </c>
      <c r="J52" s="22">
        <v>3420</v>
      </c>
      <c r="K52" s="72">
        <v>3240</v>
      </c>
      <c r="L52" s="85">
        <f t="shared" si="2"/>
        <v>19890</v>
      </c>
      <c r="M52" s="85">
        <f t="shared" si="0"/>
        <v>23580</v>
      </c>
    </row>
    <row r="53" spans="1:13">
      <c r="A53" s="1" t="s">
        <v>3</v>
      </c>
      <c r="B53" s="6" t="s">
        <v>79</v>
      </c>
      <c r="C53" s="22">
        <v>37515</v>
      </c>
      <c r="D53" s="23">
        <v>0</v>
      </c>
      <c r="E53" s="23">
        <f t="shared" si="3"/>
        <v>37515</v>
      </c>
      <c r="F53" s="21">
        <v>37515</v>
      </c>
      <c r="G53" s="22">
        <v>34770</v>
      </c>
      <c r="H53" s="22">
        <v>29280</v>
      </c>
      <c r="I53" s="22">
        <v>32940</v>
      </c>
      <c r="J53" s="22">
        <v>34770</v>
      </c>
      <c r="K53" s="72">
        <v>32940</v>
      </c>
      <c r="L53" s="85">
        <f t="shared" si="2"/>
        <v>202215</v>
      </c>
      <c r="M53" s="85">
        <f t="shared" si="0"/>
        <v>239730</v>
      </c>
    </row>
    <row r="54" spans="1:13">
      <c r="A54" s="1" t="s">
        <v>3</v>
      </c>
      <c r="B54" s="6" t="s">
        <v>80</v>
      </c>
      <c r="C54" s="22">
        <v>1256</v>
      </c>
      <c r="D54" s="23">
        <v>322</v>
      </c>
      <c r="E54" s="23">
        <f t="shared" si="3"/>
        <v>1578</v>
      </c>
      <c r="F54" s="21">
        <v>1034</v>
      </c>
      <c r="G54" s="22">
        <v>970</v>
      </c>
      <c r="H54" s="22">
        <v>937</v>
      </c>
      <c r="I54" s="22">
        <v>935</v>
      </c>
      <c r="J54" s="22">
        <v>955</v>
      </c>
      <c r="K54" s="72">
        <v>880</v>
      </c>
      <c r="L54" s="85">
        <f t="shared" si="2"/>
        <v>5711</v>
      </c>
      <c r="M54" s="85">
        <f t="shared" si="0"/>
        <v>7289</v>
      </c>
    </row>
    <row r="55" spans="1:13" ht="19.5" thickBot="1">
      <c r="A55" s="1" t="s">
        <v>3</v>
      </c>
      <c r="B55" s="45" t="s">
        <v>81</v>
      </c>
      <c r="C55" s="47">
        <v>0</v>
      </c>
      <c r="D55" s="48">
        <v>0</v>
      </c>
      <c r="E55" s="48">
        <f t="shared" si="3"/>
        <v>0</v>
      </c>
      <c r="F55" s="46">
        <v>0</v>
      </c>
      <c r="G55" s="47">
        <v>0</v>
      </c>
      <c r="H55" s="47">
        <v>0</v>
      </c>
      <c r="I55" s="47">
        <v>0</v>
      </c>
      <c r="J55" s="47">
        <v>0</v>
      </c>
      <c r="K55" s="73">
        <v>0</v>
      </c>
      <c r="L55" s="86">
        <f t="shared" si="2"/>
        <v>0</v>
      </c>
      <c r="M55" s="86">
        <f t="shared" si="0"/>
        <v>0</v>
      </c>
    </row>
    <row r="56" spans="1:13" ht="19.5" thickBot="1">
      <c r="A56" s="1" t="s">
        <v>3</v>
      </c>
      <c r="B56" s="50" t="s">
        <v>82</v>
      </c>
      <c r="C56" s="52">
        <v>63371</v>
      </c>
      <c r="D56" s="53">
        <v>322</v>
      </c>
      <c r="E56" s="53">
        <f t="shared" si="3"/>
        <v>63693</v>
      </c>
      <c r="F56" s="51">
        <v>63149</v>
      </c>
      <c r="G56" s="52">
        <v>58540</v>
      </c>
      <c r="H56" s="52">
        <v>49417</v>
      </c>
      <c r="I56" s="52">
        <v>55475</v>
      </c>
      <c r="J56" s="52">
        <v>58525</v>
      </c>
      <c r="K56" s="74">
        <v>55420</v>
      </c>
      <c r="L56" s="87">
        <f t="shared" si="2"/>
        <v>340526</v>
      </c>
      <c r="M56" s="87">
        <f t="shared" si="0"/>
        <v>404219</v>
      </c>
    </row>
    <row r="57" spans="1:13">
      <c r="A57" s="1" t="s">
        <v>3</v>
      </c>
      <c r="B57" s="27" t="s">
        <v>83</v>
      </c>
      <c r="C57" s="38">
        <v>6810</v>
      </c>
      <c r="D57" s="39">
        <v>900</v>
      </c>
      <c r="E57" s="39">
        <f t="shared" si="3"/>
        <v>7710</v>
      </c>
      <c r="F57" s="37">
        <v>5870</v>
      </c>
      <c r="G57" s="38">
        <v>6910</v>
      </c>
      <c r="H57" s="38">
        <v>5050</v>
      </c>
      <c r="I57" s="38">
        <v>3390</v>
      </c>
      <c r="J57" s="38">
        <v>6750</v>
      </c>
      <c r="K57" s="71">
        <v>5900</v>
      </c>
      <c r="L57" s="84">
        <f t="shared" si="2"/>
        <v>33870</v>
      </c>
      <c r="M57" s="84">
        <f t="shared" si="0"/>
        <v>41580</v>
      </c>
    </row>
    <row r="58" spans="1:13">
      <c r="A58" s="1" t="s">
        <v>3</v>
      </c>
      <c r="B58" s="6" t="s">
        <v>84</v>
      </c>
      <c r="C58" s="22">
        <v>0</v>
      </c>
      <c r="D58" s="23">
        <v>0</v>
      </c>
      <c r="E58" s="23">
        <f t="shared" si="3"/>
        <v>0</v>
      </c>
      <c r="F58" s="21">
        <v>0</v>
      </c>
      <c r="G58" s="22">
        <v>0</v>
      </c>
      <c r="H58" s="22">
        <v>0</v>
      </c>
      <c r="I58" s="22">
        <v>0</v>
      </c>
      <c r="J58" s="22">
        <v>0</v>
      </c>
      <c r="K58" s="72">
        <v>0</v>
      </c>
      <c r="L58" s="85">
        <f t="shared" si="2"/>
        <v>0</v>
      </c>
      <c r="M58" s="85">
        <f t="shared" ref="M58:M65" si="4">E58+L58</f>
        <v>0</v>
      </c>
    </row>
    <row r="59" spans="1:13">
      <c r="A59" s="1" t="s">
        <v>3</v>
      </c>
      <c r="B59" s="6" t="s">
        <v>85</v>
      </c>
      <c r="C59" s="22">
        <v>26400</v>
      </c>
      <c r="D59" s="23">
        <v>600</v>
      </c>
      <c r="E59" s="23">
        <f t="shared" si="3"/>
        <v>27000</v>
      </c>
      <c r="F59" s="21">
        <v>14200</v>
      </c>
      <c r="G59" s="22">
        <v>17200</v>
      </c>
      <c r="H59" s="22">
        <v>5300</v>
      </c>
      <c r="I59" s="22">
        <v>7600</v>
      </c>
      <c r="J59" s="22">
        <v>16700</v>
      </c>
      <c r="K59" s="72">
        <v>5300</v>
      </c>
      <c r="L59" s="85">
        <f t="shared" si="2"/>
        <v>66300</v>
      </c>
      <c r="M59" s="85">
        <f t="shared" si="4"/>
        <v>93300</v>
      </c>
    </row>
    <row r="60" spans="1:13" ht="19.5" thickBot="1">
      <c r="A60" s="1" t="s">
        <v>3</v>
      </c>
      <c r="B60" s="6" t="s">
        <v>86</v>
      </c>
      <c r="C60" s="22">
        <v>0</v>
      </c>
      <c r="D60" s="23">
        <v>0</v>
      </c>
      <c r="E60" s="23">
        <f t="shared" si="3"/>
        <v>0</v>
      </c>
      <c r="F60" s="21">
        <v>0</v>
      </c>
      <c r="G60" s="22">
        <v>0</v>
      </c>
      <c r="H60" s="22">
        <v>0</v>
      </c>
      <c r="I60" s="22">
        <v>0</v>
      </c>
      <c r="J60" s="22">
        <v>0</v>
      </c>
      <c r="K60" s="72">
        <v>0</v>
      </c>
      <c r="L60" s="85">
        <f t="shared" si="2"/>
        <v>0</v>
      </c>
      <c r="M60" s="85">
        <f t="shared" si="4"/>
        <v>0</v>
      </c>
    </row>
    <row r="61" spans="1:13" ht="19.5" thickBot="1">
      <c r="A61" s="1" t="s">
        <v>3</v>
      </c>
      <c r="B61" s="50" t="s">
        <v>90</v>
      </c>
      <c r="C61" s="52">
        <v>96581</v>
      </c>
      <c r="D61" s="53">
        <v>1822</v>
      </c>
      <c r="E61" s="53">
        <f t="shared" si="3"/>
        <v>98403</v>
      </c>
      <c r="F61" s="51">
        <v>83219</v>
      </c>
      <c r="G61" s="52">
        <v>82650</v>
      </c>
      <c r="H61" s="52">
        <v>59767</v>
      </c>
      <c r="I61" s="52">
        <v>66465</v>
      </c>
      <c r="J61" s="52">
        <v>81975</v>
      </c>
      <c r="K61" s="74">
        <v>66620</v>
      </c>
      <c r="L61" s="87">
        <f t="shared" si="2"/>
        <v>440696</v>
      </c>
      <c r="M61" s="87">
        <f t="shared" si="4"/>
        <v>539099</v>
      </c>
    </row>
    <row r="62" spans="1:13" ht="19.5" thickBot="1">
      <c r="A62" s="1" t="s">
        <v>3</v>
      </c>
      <c r="B62" s="50" t="s">
        <v>91</v>
      </c>
      <c r="C62" s="52">
        <v>341629</v>
      </c>
      <c r="D62" s="53">
        <v>103418</v>
      </c>
      <c r="E62" s="53">
        <f t="shared" si="3"/>
        <v>445047</v>
      </c>
      <c r="F62" s="51">
        <v>276186</v>
      </c>
      <c r="G62" s="52">
        <v>259945</v>
      </c>
      <c r="H62" s="52">
        <v>253291</v>
      </c>
      <c r="I62" s="52">
        <v>251915</v>
      </c>
      <c r="J62" s="52">
        <v>255569</v>
      </c>
      <c r="K62" s="74">
        <v>231797</v>
      </c>
      <c r="L62" s="87">
        <f t="shared" si="2"/>
        <v>1528703</v>
      </c>
      <c r="M62" s="87">
        <f t="shared" si="4"/>
        <v>1973750</v>
      </c>
    </row>
    <row r="63" spans="1:13" ht="19.5" thickBot="1">
      <c r="A63" s="1" t="s">
        <v>3</v>
      </c>
      <c r="B63" s="50" t="s">
        <v>92</v>
      </c>
      <c r="C63" s="52">
        <v>322083</v>
      </c>
      <c r="D63" s="53">
        <v>105518</v>
      </c>
      <c r="E63" s="53">
        <f t="shared" si="3"/>
        <v>427601</v>
      </c>
      <c r="F63" s="51">
        <v>261525</v>
      </c>
      <c r="G63" s="52">
        <v>240752</v>
      </c>
      <c r="H63" s="52">
        <v>252440</v>
      </c>
      <c r="I63" s="52">
        <v>245103</v>
      </c>
      <c r="J63" s="52">
        <v>236467</v>
      </c>
      <c r="K63" s="74">
        <v>226808</v>
      </c>
      <c r="L63" s="87">
        <f t="shared" si="2"/>
        <v>1463095</v>
      </c>
      <c r="M63" s="87">
        <f t="shared" si="4"/>
        <v>1890696</v>
      </c>
    </row>
    <row r="64" spans="1:13">
      <c r="A64" s="1" t="s">
        <v>3</v>
      </c>
      <c r="B64" s="27" t="s">
        <v>93</v>
      </c>
      <c r="C64" s="38">
        <v>0</v>
      </c>
      <c r="D64" s="39">
        <v>0</v>
      </c>
      <c r="E64" s="39">
        <f t="shared" si="3"/>
        <v>0</v>
      </c>
      <c r="F64" s="37">
        <v>0</v>
      </c>
      <c r="G64" s="38">
        <v>0</v>
      </c>
      <c r="H64" s="38">
        <v>0</v>
      </c>
      <c r="I64" s="38">
        <v>0</v>
      </c>
      <c r="J64" s="38">
        <v>0</v>
      </c>
      <c r="K64" s="71">
        <v>0</v>
      </c>
      <c r="L64" s="84">
        <f t="shared" si="2"/>
        <v>0</v>
      </c>
      <c r="M64" s="84">
        <f t="shared" si="4"/>
        <v>0</v>
      </c>
    </row>
    <row r="65" spans="1:13">
      <c r="A65" s="1" t="s">
        <v>3</v>
      </c>
      <c r="B65" s="6" t="s">
        <v>94</v>
      </c>
      <c r="C65" s="22">
        <v>322083</v>
      </c>
      <c r="D65" s="23">
        <v>105518</v>
      </c>
      <c r="E65" s="23">
        <f t="shared" si="3"/>
        <v>427601</v>
      </c>
      <c r="F65" s="21">
        <v>261525</v>
      </c>
      <c r="G65" s="22">
        <v>240752</v>
      </c>
      <c r="H65" s="22">
        <v>252440</v>
      </c>
      <c r="I65" s="22">
        <v>245103</v>
      </c>
      <c r="J65" s="22">
        <v>236467</v>
      </c>
      <c r="K65" s="72">
        <v>226808</v>
      </c>
      <c r="L65" s="85">
        <f t="shared" si="2"/>
        <v>1463095</v>
      </c>
      <c r="M65" s="85">
        <f t="shared" si="4"/>
        <v>1890696</v>
      </c>
    </row>
    <row r="66" spans="1:13">
      <c r="A66" s="1" t="s">
        <v>3</v>
      </c>
      <c r="B66" s="6" t="s">
        <v>95</v>
      </c>
      <c r="C66" s="22">
        <v>2</v>
      </c>
      <c r="D66" s="23">
        <v>0</v>
      </c>
      <c r="E66" s="23"/>
      <c r="F66" s="21">
        <v>1</v>
      </c>
      <c r="G66" s="22">
        <v>0</v>
      </c>
      <c r="H66" s="22">
        <v>1</v>
      </c>
      <c r="I66" s="22">
        <v>2</v>
      </c>
      <c r="J66" s="22">
        <v>0</v>
      </c>
      <c r="K66" s="72">
        <v>0</v>
      </c>
      <c r="L66" s="85"/>
      <c r="M66" s="85"/>
    </row>
    <row r="67" spans="1:13" ht="19.5" thickBot="1">
      <c r="A67" s="1" t="s">
        <v>3</v>
      </c>
      <c r="B67" s="7" t="s">
        <v>96</v>
      </c>
      <c r="C67" s="25" t="s">
        <v>97</v>
      </c>
      <c r="D67" s="26" t="s">
        <v>97</v>
      </c>
      <c r="E67" s="26"/>
      <c r="F67" s="24" t="s">
        <v>97</v>
      </c>
      <c r="G67" s="25" t="s">
        <v>97</v>
      </c>
      <c r="H67" s="25" t="s">
        <v>97</v>
      </c>
      <c r="I67" s="25" t="s">
        <v>97</v>
      </c>
      <c r="J67" s="25" t="s">
        <v>97</v>
      </c>
      <c r="K67" s="75" t="s">
        <v>97</v>
      </c>
      <c r="L67" s="88"/>
      <c r="M67" s="88"/>
    </row>
  </sheetData>
  <phoneticPr fontId="4"/>
  <pageMargins left="0.31496062992125984" right="0.31496062992125984" top="0.15748031496062992" bottom="0.15748031496062992" header="0.11811023622047245" footer="0.11811023622047245"/>
  <pageSetup paperSize="9" scale="4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2022年 8月度給与</vt:lpstr>
      <vt:lpstr>2022年 8月度給与 (2)</vt:lpstr>
      <vt:lpstr>'2022年 8月度給与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2022-09-13T00:45:02Z</cp:lastPrinted>
  <dcterms:created xsi:type="dcterms:W3CDTF">2022-09-06T07:41:36Z</dcterms:created>
  <dcterms:modified xsi:type="dcterms:W3CDTF">2022-09-13T00:45:12Z</dcterms:modified>
</cp:coreProperties>
</file>