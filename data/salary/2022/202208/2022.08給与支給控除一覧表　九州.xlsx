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若林運送　九州営業所\⑤2022年度分\⑨2022年    8月分\"/>
    </mc:Choice>
  </mc:AlternateContent>
  <xr:revisionPtr revIDLastSave="0" documentId="13_ncr:1_{42489924-3D58-47F8-A7F3-383A11BE3C4A}" xr6:coauthVersionLast="47" xr6:coauthVersionMax="47" xr10:uidLastSave="{00000000-0000-0000-0000-000000000000}"/>
  <bookViews>
    <workbookView xWindow="-120" yWindow="-120" windowWidth="20730" windowHeight="11160" xr2:uid="{87D63AA6-7866-4913-BE1E-F852509BAE4F}"/>
  </bookViews>
  <sheets>
    <sheet name="2022年 8月度給与" sheetId="2" r:id="rId1"/>
    <sheet name="2022年 8月度給与 (2)" sheetId="3" r:id="rId2"/>
  </sheets>
  <definedNames>
    <definedName name="_xlnm.Print_Area" localSheetId="1">'2022年 8月度給与 (2)'!$A$1:$L$66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0" i="3" l="1"/>
  <c r="L11" i="3"/>
  <c r="L12" i="3"/>
  <c r="K25" i="3"/>
  <c r="L25" i="3" s="1"/>
  <c r="K26" i="3"/>
  <c r="L26" i="3" s="1"/>
  <c r="K27" i="3"/>
  <c r="L27" i="3" s="1"/>
  <c r="K28" i="3"/>
  <c r="L28" i="3" s="1"/>
  <c r="K29" i="3"/>
  <c r="K30" i="3"/>
  <c r="L30" i="3" s="1"/>
  <c r="K31" i="3"/>
  <c r="L31" i="3" s="1"/>
  <c r="K32" i="3"/>
  <c r="L32" i="3" s="1"/>
  <c r="K33" i="3"/>
  <c r="K34" i="3"/>
  <c r="L34" i="3" s="1"/>
  <c r="K35" i="3"/>
  <c r="L35" i="3" s="1"/>
  <c r="K36" i="3"/>
  <c r="L36" i="3" s="1"/>
  <c r="K37" i="3"/>
  <c r="L37" i="3" s="1"/>
  <c r="K38" i="3"/>
  <c r="L38" i="3" s="1"/>
  <c r="K39" i="3"/>
  <c r="L39" i="3" s="1"/>
  <c r="K40" i="3"/>
  <c r="L40" i="3" s="1"/>
  <c r="K41" i="3"/>
  <c r="L41" i="3" s="1"/>
  <c r="K42" i="3"/>
  <c r="L42" i="3" s="1"/>
  <c r="K43" i="3"/>
  <c r="L43" i="3" s="1"/>
  <c r="K44" i="3"/>
  <c r="L44" i="3" s="1"/>
  <c r="K45" i="3"/>
  <c r="L45" i="3" s="1"/>
  <c r="K46" i="3"/>
  <c r="L46" i="3" s="1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24" i="3"/>
  <c r="K23" i="3"/>
  <c r="K15" i="3"/>
  <c r="L15" i="3" s="1"/>
  <c r="K16" i="3"/>
  <c r="L16" i="3" s="1"/>
  <c r="K17" i="3"/>
  <c r="L17" i="3" s="1"/>
  <c r="K18" i="3"/>
  <c r="L18" i="3" s="1"/>
  <c r="K19" i="3"/>
  <c r="L19" i="3" s="1"/>
  <c r="K20" i="3"/>
  <c r="K21" i="3"/>
  <c r="L21" i="3" s="1"/>
  <c r="K22" i="3"/>
  <c r="L22" i="3" s="1"/>
  <c r="K14" i="3"/>
  <c r="L14" i="3" s="1"/>
  <c r="K7" i="3"/>
  <c r="L7" i="3" s="1"/>
  <c r="K8" i="3"/>
  <c r="L8" i="3" s="1"/>
  <c r="K9" i="3"/>
  <c r="K6" i="3"/>
  <c r="L6" i="3" s="1"/>
  <c r="K5" i="3"/>
  <c r="E48" i="3"/>
  <c r="E49" i="3"/>
  <c r="L49" i="3" s="1"/>
  <c r="E50" i="3"/>
  <c r="E51" i="3"/>
  <c r="E52" i="3"/>
  <c r="E53" i="3"/>
  <c r="L53" i="3" s="1"/>
  <c r="E54" i="3"/>
  <c r="E55" i="3"/>
  <c r="E56" i="3"/>
  <c r="L56" i="3" s="1"/>
  <c r="E57" i="3"/>
  <c r="E58" i="3"/>
  <c r="E59" i="3"/>
  <c r="E60" i="3"/>
  <c r="E61" i="3"/>
  <c r="E62" i="3"/>
  <c r="E63" i="3"/>
  <c r="E64" i="3"/>
  <c r="E47" i="3"/>
  <c r="E33" i="3"/>
  <c r="E29" i="3"/>
  <c r="E24" i="3"/>
  <c r="E23" i="3"/>
  <c r="E20" i="3"/>
  <c r="L20" i="3" s="1"/>
  <c r="E13" i="3"/>
  <c r="L13" i="3" s="1"/>
  <c r="E9" i="3"/>
  <c r="E5" i="3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L9" i="3" l="1"/>
  <c r="L57" i="3"/>
  <c r="L54" i="3"/>
  <c r="L50" i="3"/>
  <c r="L62" i="3"/>
  <c r="L61" i="3"/>
  <c r="L24" i="3"/>
  <c r="L64" i="3"/>
  <c r="L60" i="3"/>
  <c r="L59" i="3"/>
  <c r="L55" i="3"/>
  <c r="L52" i="3"/>
  <c r="L29" i="3"/>
  <c r="L63" i="3"/>
  <c r="L58" i="3"/>
  <c r="L51" i="3"/>
  <c r="L48" i="3"/>
  <c r="L33" i="3"/>
  <c r="L5" i="3"/>
  <c r="L23" i="3"/>
  <c r="L47" i="3"/>
</calcChain>
</file>

<file path=xl/sharedStrings.xml><?xml version="1.0" encoding="utf-8"?>
<sst xmlns="http://schemas.openxmlformats.org/spreadsheetml/2006/main" count="338" uniqueCount="101">
  <si>
    <t>支給控除一覧表</t>
    <phoneticPr fontId="4"/>
  </si>
  <si>
    <t>若林運送株式会社</t>
    <phoneticPr fontId="4"/>
  </si>
  <si>
    <t>2022年 9月 6日 作成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</si>
  <si>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</si>
  <si>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</si>
  <si>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</si>
  <si>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</si>
  <si>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</si>
  <si>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</si>
  <si>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</si>
  <si>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</si>
  <si>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</si>
  <si>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</si>
  <si>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</si>
  <si>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</si>
  <si>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</si>
  <si>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</si>
  <si>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</si>
  <si>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</si>
  <si>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</si>
  <si>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</si>
  <si>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</si>
  <si>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</si>
  <si>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</si>
  <si>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</si>
  <si>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</si>
  <si>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</si>
  <si>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</si>
  <si>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</si>
  <si>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</si>
  <si>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</si>
  <si>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</si>
  <si>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</si>
  <si>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</si>
  <si>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</si>
  <si>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</si>
  <si>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</si>
  <si>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</si>
  <si>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有休時間2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</si>
  <si>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</si>
  <si>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</si>
  <si>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</si>
  <si>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</si>
  <si>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</si>
  <si>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</si>
  <si>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</si>
  <si>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</si>
  <si>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別居手当</t>
    <phoneticPr fontId="4"/>
  </si>
  <si>
    <t>呼出手当</t>
    <phoneticPr fontId="4"/>
  </si>
  <si>
    <t>宿泊手当</t>
    <phoneticPr fontId="4"/>
  </si>
  <si>
    <t>基本給2</t>
    <phoneticPr fontId="4"/>
  </si>
  <si>
    <t>基本給3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</si>
  <si>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</si>
  <si>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</si>
  <si>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</si>
  <si>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</si>
  <si>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有給休暇2</t>
    <phoneticPr fontId="4"/>
  </si>
  <si>
    <t>特別休暇</t>
    <phoneticPr fontId="4"/>
  </si>
  <si>
    <t>基本給加算</t>
    <phoneticPr fontId="4"/>
  </si>
  <si>
    <t>過不足調整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</si>
  <si>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</si>
  <si>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</si>
  <si>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</si>
  <si>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</si>
  <si>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</si>
  <si>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</si>
  <si>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</si>
  <si>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</si>
  <si>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</si>
  <si>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</si>
  <si>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</si>
  <si>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</si>
  <si>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</si>
  <si>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</si>
  <si>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</si>
  <si>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</si>
  <si>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</si>
  <si>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</si>
  <si>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</si>
  <si>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</si>
  <si>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</si>
  <si>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</si>
  <si>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</si>
  <si>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</si>
  <si>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</si>
  <si>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社宅費</t>
    <phoneticPr fontId="4"/>
  </si>
  <si>
    <t>税調整</t>
    <phoneticPr fontId="4"/>
  </si>
  <si>
    <t>減額金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</si>
  <si>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</si>
  <si>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</si>
  <si>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</si>
  <si>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</si>
  <si>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</si>
  <si>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</si>
  <si>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</si>
  <si>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</si>
  <si>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8月度給与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</si>
  <si>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</si>
  <si>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</si>
  <si>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5名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</si>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</sst>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0" fontId="2" fillId="0" borderId="2" xfId="1" applyFont="1" applyBorder="1" applyAlignment="1">
      <alignment horizontal="center"/>
    </xf>
    <xf numFmtId="0" fontId="2" fillId="0" borderId="3" xfId="1" applyFont="1" applyBorder="1"/>
    <xf numFmtId="49" fontId="2" fillId="0" borderId="4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176" fontId="2" fillId="0" borderId="6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176" fontId="2" fillId="0" borderId="13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7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49" fontId="2" fillId="0" borderId="33" xfId="1" applyNumberFormat="1" applyFont="1" applyBorder="1" applyAlignment="1">
      <alignment horizontal="right"/>
    </xf>
    <xf numFmtId="49" fontId="2" fillId="0" borderId="32" xfId="1" applyNumberFormat="1" applyFont="1" applyBorder="1" applyAlignment="1">
      <alignment horizontal="left" vertical="top"/>
    </xf>
    <xf numFmtId="0" fontId="2" fillId="0" borderId="38" xfId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49" fontId="2" fillId="0" borderId="40" xfId="1" applyNumberFormat="1" applyFont="1" applyBorder="1" applyAlignment="1">
      <alignment horizontal="left" vertical="top"/>
    </xf>
    <xf numFmtId="0" fontId="2" fillId="0" borderId="40" xfId="1" applyFont="1" applyBorder="1"/>
    <xf numFmtId="49" fontId="2" fillId="0" borderId="41" xfId="1" applyNumberFormat="1" applyFont="1" applyBorder="1" applyAlignment="1">
      <alignment horizontal="right"/>
    </xf>
    <xf numFmtId="0" fontId="2" fillId="0" borderId="41" xfId="1" applyFont="1" applyBorder="1" applyAlignment="1">
      <alignment horizontal="right"/>
    </xf>
    <xf numFmtId="2" fontId="2" fillId="0" borderId="42" xfId="1" applyNumberFormat="1" applyFont="1" applyBorder="1"/>
    <xf numFmtId="2" fontId="2" fillId="0" borderId="43" xfId="1" applyNumberFormat="1" applyFont="1" applyBorder="1"/>
    <xf numFmtId="176" fontId="2" fillId="0" borderId="43" xfId="1" applyNumberFormat="1" applyFont="1" applyBorder="1"/>
    <xf numFmtId="2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3" fontId="2" fillId="0" borderId="39" xfId="1" applyNumberFormat="1" applyFont="1" applyBorder="1"/>
    <xf numFmtId="49" fontId="2" fillId="0" borderId="41" xfId="1" applyNumberFormat="1" applyFont="1" applyBorder="1"/>
  </cellXfs>
  <cellStyles count="2">
    <cellStyle name="標準" xfId="0" builtinId="0"/>
    <cellStyle name="標準 2" xfId="1" xr:uid="{F2D7A758-0B34-46F4-9C5D-43E430D09C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490D-FF1B-487D-8A63-6DAFD22B099A}">
  <dimension ref="A1:J86"/>
  <sheetViews>
    <sheetView showZeros="0" tabSelected="1" workbookViewId="0">
      <selection activeCell="B5" sqref="B5"/>
    </sheetView>
  </sheetViews>
  <sheetFormatPr defaultRowHeight="18.75"/>
  <cols>
    <col min="1" max="1" width="2.375" style="2" customWidth="1"/>
    <col min="2" max="2" width="13.25" style="2" bestFit="1" customWidth="1"/>
    <col min="3" max="5" width="11.125" style="2" bestFit="1" customWidth="1"/>
    <col min="6" max="6" width="9" style="2" bestFit="1" customWidth="1"/>
    <col min="7" max="9" width="11.125" style="2" bestFit="1" customWidth="1"/>
    <col min="10" max="10" width="9.625" style="2" bestFit="1" customWidth="1"/>
    <col min="11" max="256" width="9" style="2"/>
    <col min="257" max="257" width="2.375" style="2" customWidth="1"/>
    <col min="258" max="258" width="13.25" style="2" bestFit="1" customWidth="1"/>
    <col min="259" max="261" width="11.125" style="2" bestFit="1" customWidth="1"/>
    <col min="262" max="262" width="9" style="2" bestFit="1"/>
    <col min="263" max="265" width="11.125" style="2" bestFit="1" customWidth="1"/>
    <col min="266" max="266" width="9.625" style="2" bestFit="1" customWidth="1"/>
    <col min="267" max="512" width="9" style="2"/>
    <col min="513" max="513" width="2.375" style="2" customWidth="1"/>
    <col min="514" max="514" width="13.25" style="2" bestFit="1" customWidth="1"/>
    <col min="515" max="517" width="11.125" style="2" bestFit="1" customWidth="1"/>
    <col min="518" max="518" width="9" style="2" bestFit="1"/>
    <col min="519" max="521" width="11.125" style="2" bestFit="1" customWidth="1"/>
    <col min="522" max="522" width="9.625" style="2" bestFit="1" customWidth="1"/>
    <col min="523" max="768" width="9" style="2"/>
    <col min="769" max="769" width="2.375" style="2" customWidth="1"/>
    <col min="770" max="770" width="13.25" style="2" bestFit="1" customWidth="1"/>
    <col min="771" max="773" width="11.125" style="2" bestFit="1" customWidth="1"/>
    <col min="774" max="774" width="9" style="2" bestFit="1"/>
    <col min="775" max="777" width="11.125" style="2" bestFit="1" customWidth="1"/>
    <col min="778" max="778" width="9.625" style="2" bestFit="1" customWidth="1"/>
    <col min="779" max="1024" width="9" style="2"/>
    <col min="1025" max="1025" width="2.375" style="2" customWidth="1"/>
    <col min="1026" max="1026" width="13.25" style="2" bestFit="1" customWidth="1"/>
    <col min="1027" max="1029" width="11.125" style="2" bestFit="1" customWidth="1"/>
    <col min="1030" max="1030" width="9" style="2" bestFit="1"/>
    <col min="1031" max="1033" width="11.125" style="2" bestFit="1" customWidth="1"/>
    <col min="1034" max="1034" width="9.625" style="2" bestFit="1" customWidth="1"/>
    <col min="1035" max="1280" width="9" style="2"/>
    <col min="1281" max="1281" width="2.375" style="2" customWidth="1"/>
    <col min="1282" max="1282" width="13.25" style="2" bestFit="1" customWidth="1"/>
    <col min="1283" max="1285" width="11.125" style="2" bestFit="1" customWidth="1"/>
    <col min="1286" max="1286" width="9" style="2" bestFit="1"/>
    <col min="1287" max="1289" width="11.125" style="2" bestFit="1" customWidth="1"/>
    <col min="1290" max="1290" width="9.625" style="2" bestFit="1" customWidth="1"/>
    <col min="1291" max="1536" width="9" style="2"/>
    <col min="1537" max="1537" width="2.375" style="2" customWidth="1"/>
    <col min="1538" max="1538" width="13.25" style="2" bestFit="1" customWidth="1"/>
    <col min="1539" max="1541" width="11.125" style="2" bestFit="1" customWidth="1"/>
    <col min="1542" max="1542" width="9" style="2" bestFit="1"/>
    <col min="1543" max="1545" width="11.125" style="2" bestFit="1" customWidth="1"/>
    <col min="1546" max="1546" width="9.625" style="2" bestFit="1" customWidth="1"/>
    <col min="1547" max="1792" width="9" style="2"/>
    <col min="1793" max="1793" width="2.375" style="2" customWidth="1"/>
    <col min="1794" max="1794" width="13.25" style="2" bestFit="1" customWidth="1"/>
    <col min="1795" max="1797" width="11.125" style="2" bestFit="1" customWidth="1"/>
    <col min="1798" max="1798" width="9" style="2" bestFit="1"/>
    <col min="1799" max="1801" width="11.125" style="2" bestFit="1" customWidth="1"/>
    <col min="1802" max="1802" width="9.625" style="2" bestFit="1" customWidth="1"/>
    <col min="1803" max="2048" width="9" style="2"/>
    <col min="2049" max="2049" width="2.375" style="2" customWidth="1"/>
    <col min="2050" max="2050" width="13.25" style="2" bestFit="1" customWidth="1"/>
    <col min="2051" max="2053" width="11.125" style="2" bestFit="1" customWidth="1"/>
    <col min="2054" max="2054" width="9" style="2" bestFit="1"/>
    <col min="2055" max="2057" width="11.125" style="2" bestFit="1" customWidth="1"/>
    <col min="2058" max="2058" width="9.625" style="2" bestFit="1" customWidth="1"/>
    <col min="2059" max="2304" width="9" style="2"/>
    <col min="2305" max="2305" width="2.375" style="2" customWidth="1"/>
    <col min="2306" max="2306" width="13.25" style="2" bestFit="1" customWidth="1"/>
    <col min="2307" max="2309" width="11.125" style="2" bestFit="1" customWidth="1"/>
    <col min="2310" max="2310" width="9" style="2" bestFit="1"/>
    <col min="2311" max="2313" width="11.125" style="2" bestFit="1" customWidth="1"/>
    <col min="2314" max="2314" width="9.625" style="2" bestFit="1" customWidth="1"/>
    <col min="2315" max="2560" width="9" style="2"/>
    <col min="2561" max="2561" width="2.375" style="2" customWidth="1"/>
    <col min="2562" max="2562" width="13.25" style="2" bestFit="1" customWidth="1"/>
    <col min="2563" max="2565" width="11.125" style="2" bestFit="1" customWidth="1"/>
    <col min="2566" max="2566" width="9" style="2" bestFit="1"/>
    <col min="2567" max="2569" width="11.125" style="2" bestFit="1" customWidth="1"/>
    <col min="2570" max="2570" width="9.625" style="2" bestFit="1" customWidth="1"/>
    <col min="2571" max="2816" width="9" style="2"/>
    <col min="2817" max="2817" width="2.375" style="2" customWidth="1"/>
    <col min="2818" max="2818" width="13.25" style="2" bestFit="1" customWidth="1"/>
    <col min="2819" max="2821" width="11.125" style="2" bestFit="1" customWidth="1"/>
    <col min="2822" max="2822" width="9" style="2" bestFit="1"/>
    <col min="2823" max="2825" width="11.125" style="2" bestFit="1" customWidth="1"/>
    <col min="2826" max="2826" width="9.625" style="2" bestFit="1" customWidth="1"/>
    <col min="2827" max="3072" width="9" style="2"/>
    <col min="3073" max="3073" width="2.375" style="2" customWidth="1"/>
    <col min="3074" max="3074" width="13.25" style="2" bestFit="1" customWidth="1"/>
    <col min="3075" max="3077" width="11.125" style="2" bestFit="1" customWidth="1"/>
    <col min="3078" max="3078" width="9" style="2" bestFit="1"/>
    <col min="3079" max="3081" width="11.125" style="2" bestFit="1" customWidth="1"/>
    <col min="3082" max="3082" width="9.625" style="2" bestFit="1" customWidth="1"/>
    <col min="3083" max="3328" width="9" style="2"/>
    <col min="3329" max="3329" width="2.375" style="2" customWidth="1"/>
    <col min="3330" max="3330" width="13.25" style="2" bestFit="1" customWidth="1"/>
    <col min="3331" max="3333" width="11.125" style="2" bestFit="1" customWidth="1"/>
    <col min="3334" max="3334" width="9" style="2" bestFit="1"/>
    <col min="3335" max="3337" width="11.125" style="2" bestFit="1" customWidth="1"/>
    <col min="3338" max="3338" width="9.625" style="2" bestFit="1" customWidth="1"/>
    <col min="3339" max="3584" width="9" style="2"/>
    <col min="3585" max="3585" width="2.375" style="2" customWidth="1"/>
    <col min="3586" max="3586" width="13.25" style="2" bestFit="1" customWidth="1"/>
    <col min="3587" max="3589" width="11.125" style="2" bestFit="1" customWidth="1"/>
    <col min="3590" max="3590" width="9" style="2" bestFit="1"/>
    <col min="3591" max="3593" width="11.125" style="2" bestFit="1" customWidth="1"/>
    <col min="3594" max="3594" width="9.625" style="2" bestFit="1" customWidth="1"/>
    <col min="3595" max="3840" width="9" style="2"/>
    <col min="3841" max="3841" width="2.375" style="2" customWidth="1"/>
    <col min="3842" max="3842" width="13.25" style="2" bestFit="1" customWidth="1"/>
    <col min="3843" max="3845" width="11.125" style="2" bestFit="1" customWidth="1"/>
    <col min="3846" max="3846" width="9" style="2" bestFit="1"/>
    <col min="3847" max="3849" width="11.125" style="2" bestFit="1" customWidth="1"/>
    <col min="3850" max="3850" width="9.625" style="2" bestFit="1" customWidth="1"/>
    <col min="3851" max="4096" width="9" style="2"/>
    <col min="4097" max="4097" width="2.375" style="2" customWidth="1"/>
    <col min="4098" max="4098" width="13.25" style="2" bestFit="1" customWidth="1"/>
    <col min="4099" max="4101" width="11.125" style="2" bestFit="1" customWidth="1"/>
    <col min="4102" max="4102" width="9" style="2" bestFit="1"/>
    <col min="4103" max="4105" width="11.125" style="2" bestFit="1" customWidth="1"/>
    <col min="4106" max="4106" width="9.625" style="2" bestFit="1" customWidth="1"/>
    <col min="4107" max="4352" width="9" style="2"/>
    <col min="4353" max="4353" width="2.375" style="2" customWidth="1"/>
    <col min="4354" max="4354" width="13.25" style="2" bestFit="1" customWidth="1"/>
    <col min="4355" max="4357" width="11.125" style="2" bestFit="1" customWidth="1"/>
    <col min="4358" max="4358" width="9" style="2" bestFit="1"/>
    <col min="4359" max="4361" width="11.125" style="2" bestFit="1" customWidth="1"/>
    <col min="4362" max="4362" width="9.625" style="2" bestFit="1" customWidth="1"/>
    <col min="4363" max="4608" width="9" style="2"/>
    <col min="4609" max="4609" width="2.375" style="2" customWidth="1"/>
    <col min="4610" max="4610" width="13.25" style="2" bestFit="1" customWidth="1"/>
    <col min="4611" max="4613" width="11.125" style="2" bestFit="1" customWidth="1"/>
    <col min="4614" max="4614" width="9" style="2" bestFit="1"/>
    <col min="4615" max="4617" width="11.125" style="2" bestFit="1" customWidth="1"/>
    <col min="4618" max="4618" width="9.625" style="2" bestFit="1" customWidth="1"/>
    <col min="4619" max="4864" width="9" style="2"/>
    <col min="4865" max="4865" width="2.375" style="2" customWidth="1"/>
    <col min="4866" max="4866" width="13.25" style="2" bestFit="1" customWidth="1"/>
    <col min="4867" max="4869" width="11.125" style="2" bestFit="1" customWidth="1"/>
    <col min="4870" max="4870" width="9" style="2" bestFit="1"/>
    <col min="4871" max="4873" width="11.125" style="2" bestFit="1" customWidth="1"/>
    <col min="4874" max="4874" width="9.625" style="2" bestFit="1" customWidth="1"/>
    <col min="4875" max="5120" width="9" style="2"/>
    <col min="5121" max="5121" width="2.375" style="2" customWidth="1"/>
    <col min="5122" max="5122" width="13.25" style="2" bestFit="1" customWidth="1"/>
    <col min="5123" max="5125" width="11.125" style="2" bestFit="1" customWidth="1"/>
    <col min="5126" max="5126" width="9" style="2" bestFit="1"/>
    <col min="5127" max="5129" width="11.125" style="2" bestFit="1" customWidth="1"/>
    <col min="5130" max="5130" width="9.625" style="2" bestFit="1" customWidth="1"/>
    <col min="5131" max="5376" width="9" style="2"/>
    <col min="5377" max="5377" width="2.375" style="2" customWidth="1"/>
    <col min="5378" max="5378" width="13.25" style="2" bestFit="1" customWidth="1"/>
    <col min="5379" max="5381" width="11.125" style="2" bestFit="1" customWidth="1"/>
    <col min="5382" max="5382" width="9" style="2" bestFit="1"/>
    <col min="5383" max="5385" width="11.125" style="2" bestFit="1" customWidth="1"/>
    <col min="5386" max="5386" width="9.625" style="2" bestFit="1" customWidth="1"/>
    <col min="5387" max="5632" width="9" style="2"/>
    <col min="5633" max="5633" width="2.375" style="2" customWidth="1"/>
    <col min="5634" max="5634" width="13.25" style="2" bestFit="1" customWidth="1"/>
    <col min="5635" max="5637" width="11.125" style="2" bestFit="1" customWidth="1"/>
    <col min="5638" max="5638" width="9" style="2" bestFit="1"/>
    <col min="5639" max="5641" width="11.125" style="2" bestFit="1" customWidth="1"/>
    <col min="5642" max="5642" width="9.625" style="2" bestFit="1" customWidth="1"/>
    <col min="5643" max="5888" width="9" style="2"/>
    <col min="5889" max="5889" width="2.375" style="2" customWidth="1"/>
    <col min="5890" max="5890" width="13.25" style="2" bestFit="1" customWidth="1"/>
    <col min="5891" max="5893" width="11.125" style="2" bestFit="1" customWidth="1"/>
    <col min="5894" max="5894" width="9" style="2" bestFit="1"/>
    <col min="5895" max="5897" width="11.125" style="2" bestFit="1" customWidth="1"/>
    <col min="5898" max="5898" width="9.625" style="2" bestFit="1" customWidth="1"/>
    <col min="5899" max="6144" width="9" style="2"/>
    <col min="6145" max="6145" width="2.375" style="2" customWidth="1"/>
    <col min="6146" max="6146" width="13.25" style="2" bestFit="1" customWidth="1"/>
    <col min="6147" max="6149" width="11.125" style="2" bestFit="1" customWidth="1"/>
    <col min="6150" max="6150" width="9" style="2" bestFit="1"/>
    <col min="6151" max="6153" width="11.125" style="2" bestFit="1" customWidth="1"/>
    <col min="6154" max="6154" width="9.625" style="2" bestFit="1" customWidth="1"/>
    <col min="6155" max="6400" width="9" style="2"/>
    <col min="6401" max="6401" width="2.375" style="2" customWidth="1"/>
    <col min="6402" max="6402" width="13.25" style="2" bestFit="1" customWidth="1"/>
    <col min="6403" max="6405" width="11.125" style="2" bestFit="1" customWidth="1"/>
    <col min="6406" max="6406" width="9" style="2" bestFit="1"/>
    <col min="6407" max="6409" width="11.125" style="2" bestFit="1" customWidth="1"/>
    <col min="6410" max="6410" width="9.625" style="2" bestFit="1" customWidth="1"/>
    <col min="6411" max="6656" width="9" style="2"/>
    <col min="6657" max="6657" width="2.375" style="2" customWidth="1"/>
    <col min="6658" max="6658" width="13.25" style="2" bestFit="1" customWidth="1"/>
    <col min="6659" max="6661" width="11.125" style="2" bestFit="1" customWidth="1"/>
    <col min="6662" max="6662" width="9" style="2" bestFit="1"/>
    <col min="6663" max="6665" width="11.125" style="2" bestFit="1" customWidth="1"/>
    <col min="6666" max="6666" width="9.625" style="2" bestFit="1" customWidth="1"/>
    <col min="6667" max="6912" width="9" style="2"/>
    <col min="6913" max="6913" width="2.375" style="2" customWidth="1"/>
    <col min="6914" max="6914" width="13.25" style="2" bestFit="1" customWidth="1"/>
    <col min="6915" max="6917" width="11.125" style="2" bestFit="1" customWidth="1"/>
    <col min="6918" max="6918" width="9" style="2" bestFit="1"/>
    <col min="6919" max="6921" width="11.125" style="2" bestFit="1" customWidth="1"/>
    <col min="6922" max="6922" width="9.625" style="2" bestFit="1" customWidth="1"/>
    <col min="6923" max="7168" width="9" style="2"/>
    <col min="7169" max="7169" width="2.375" style="2" customWidth="1"/>
    <col min="7170" max="7170" width="13.25" style="2" bestFit="1" customWidth="1"/>
    <col min="7171" max="7173" width="11.125" style="2" bestFit="1" customWidth="1"/>
    <col min="7174" max="7174" width="9" style="2" bestFit="1"/>
    <col min="7175" max="7177" width="11.125" style="2" bestFit="1" customWidth="1"/>
    <col min="7178" max="7178" width="9.625" style="2" bestFit="1" customWidth="1"/>
    <col min="7179" max="7424" width="9" style="2"/>
    <col min="7425" max="7425" width="2.375" style="2" customWidth="1"/>
    <col min="7426" max="7426" width="13.25" style="2" bestFit="1" customWidth="1"/>
    <col min="7427" max="7429" width="11.125" style="2" bestFit="1" customWidth="1"/>
    <col min="7430" max="7430" width="9" style="2" bestFit="1"/>
    <col min="7431" max="7433" width="11.125" style="2" bestFit="1" customWidth="1"/>
    <col min="7434" max="7434" width="9.625" style="2" bestFit="1" customWidth="1"/>
    <col min="7435" max="7680" width="9" style="2"/>
    <col min="7681" max="7681" width="2.375" style="2" customWidth="1"/>
    <col min="7682" max="7682" width="13.25" style="2" bestFit="1" customWidth="1"/>
    <col min="7683" max="7685" width="11.125" style="2" bestFit="1" customWidth="1"/>
    <col min="7686" max="7686" width="9" style="2" bestFit="1"/>
    <col min="7687" max="7689" width="11.125" style="2" bestFit="1" customWidth="1"/>
    <col min="7690" max="7690" width="9.625" style="2" bestFit="1" customWidth="1"/>
    <col min="7691" max="7936" width="9" style="2"/>
    <col min="7937" max="7937" width="2.375" style="2" customWidth="1"/>
    <col min="7938" max="7938" width="13.25" style="2" bestFit="1" customWidth="1"/>
    <col min="7939" max="7941" width="11.125" style="2" bestFit="1" customWidth="1"/>
    <col min="7942" max="7942" width="9" style="2" bestFit="1"/>
    <col min="7943" max="7945" width="11.125" style="2" bestFit="1" customWidth="1"/>
    <col min="7946" max="7946" width="9.625" style="2" bestFit="1" customWidth="1"/>
    <col min="7947" max="8192" width="9" style="2"/>
    <col min="8193" max="8193" width="2.375" style="2" customWidth="1"/>
    <col min="8194" max="8194" width="13.25" style="2" bestFit="1" customWidth="1"/>
    <col min="8195" max="8197" width="11.125" style="2" bestFit="1" customWidth="1"/>
    <col min="8198" max="8198" width="9" style="2" bestFit="1"/>
    <col min="8199" max="8201" width="11.125" style="2" bestFit="1" customWidth="1"/>
    <col min="8202" max="8202" width="9.625" style="2" bestFit="1" customWidth="1"/>
    <col min="8203" max="8448" width="9" style="2"/>
    <col min="8449" max="8449" width="2.375" style="2" customWidth="1"/>
    <col min="8450" max="8450" width="13.25" style="2" bestFit="1" customWidth="1"/>
    <col min="8451" max="8453" width="11.125" style="2" bestFit="1" customWidth="1"/>
    <col min="8454" max="8454" width="9" style="2" bestFit="1"/>
    <col min="8455" max="8457" width="11.125" style="2" bestFit="1" customWidth="1"/>
    <col min="8458" max="8458" width="9.625" style="2" bestFit="1" customWidth="1"/>
    <col min="8459" max="8704" width="9" style="2"/>
    <col min="8705" max="8705" width="2.375" style="2" customWidth="1"/>
    <col min="8706" max="8706" width="13.25" style="2" bestFit="1" customWidth="1"/>
    <col min="8707" max="8709" width="11.125" style="2" bestFit="1" customWidth="1"/>
    <col min="8710" max="8710" width="9" style="2" bestFit="1"/>
    <col min="8711" max="8713" width="11.125" style="2" bestFit="1" customWidth="1"/>
    <col min="8714" max="8714" width="9.625" style="2" bestFit="1" customWidth="1"/>
    <col min="8715" max="8960" width="9" style="2"/>
    <col min="8961" max="8961" width="2.375" style="2" customWidth="1"/>
    <col min="8962" max="8962" width="13.25" style="2" bestFit="1" customWidth="1"/>
    <col min="8963" max="8965" width="11.125" style="2" bestFit="1" customWidth="1"/>
    <col min="8966" max="8966" width="9" style="2" bestFit="1"/>
    <col min="8967" max="8969" width="11.125" style="2" bestFit="1" customWidth="1"/>
    <col min="8970" max="8970" width="9.625" style="2" bestFit="1" customWidth="1"/>
    <col min="8971" max="9216" width="9" style="2"/>
    <col min="9217" max="9217" width="2.375" style="2" customWidth="1"/>
    <col min="9218" max="9218" width="13.25" style="2" bestFit="1" customWidth="1"/>
    <col min="9219" max="9221" width="11.125" style="2" bestFit="1" customWidth="1"/>
    <col min="9222" max="9222" width="9" style="2" bestFit="1"/>
    <col min="9223" max="9225" width="11.125" style="2" bestFit="1" customWidth="1"/>
    <col min="9226" max="9226" width="9.625" style="2" bestFit="1" customWidth="1"/>
    <col min="9227" max="9472" width="9" style="2"/>
    <col min="9473" max="9473" width="2.375" style="2" customWidth="1"/>
    <col min="9474" max="9474" width="13.25" style="2" bestFit="1" customWidth="1"/>
    <col min="9475" max="9477" width="11.125" style="2" bestFit="1" customWidth="1"/>
    <col min="9478" max="9478" width="9" style="2" bestFit="1"/>
    <col min="9479" max="9481" width="11.125" style="2" bestFit="1" customWidth="1"/>
    <col min="9482" max="9482" width="9.625" style="2" bestFit="1" customWidth="1"/>
    <col min="9483" max="9728" width="9" style="2"/>
    <col min="9729" max="9729" width="2.375" style="2" customWidth="1"/>
    <col min="9730" max="9730" width="13.25" style="2" bestFit="1" customWidth="1"/>
    <col min="9731" max="9733" width="11.125" style="2" bestFit="1" customWidth="1"/>
    <col min="9734" max="9734" width="9" style="2" bestFit="1"/>
    <col min="9735" max="9737" width="11.125" style="2" bestFit="1" customWidth="1"/>
    <col min="9738" max="9738" width="9.625" style="2" bestFit="1" customWidth="1"/>
    <col min="9739" max="9984" width="9" style="2"/>
    <col min="9985" max="9985" width="2.375" style="2" customWidth="1"/>
    <col min="9986" max="9986" width="13.25" style="2" bestFit="1" customWidth="1"/>
    <col min="9987" max="9989" width="11.125" style="2" bestFit="1" customWidth="1"/>
    <col min="9990" max="9990" width="9" style="2" bestFit="1"/>
    <col min="9991" max="9993" width="11.125" style="2" bestFit="1" customWidth="1"/>
    <col min="9994" max="9994" width="9.625" style="2" bestFit="1" customWidth="1"/>
    <col min="9995" max="10240" width="9" style="2"/>
    <col min="10241" max="10241" width="2.375" style="2" customWidth="1"/>
    <col min="10242" max="10242" width="13.25" style="2" bestFit="1" customWidth="1"/>
    <col min="10243" max="10245" width="11.125" style="2" bestFit="1" customWidth="1"/>
    <col min="10246" max="10246" width="9" style="2" bestFit="1"/>
    <col min="10247" max="10249" width="11.125" style="2" bestFit="1" customWidth="1"/>
    <col min="10250" max="10250" width="9.625" style="2" bestFit="1" customWidth="1"/>
    <col min="10251" max="10496" width="9" style="2"/>
    <col min="10497" max="10497" width="2.375" style="2" customWidth="1"/>
    <col min="10498" max="10498" width="13.25" style="2" bestFit="1" customWidth="1"/>
    <col min="10499" max="10501" width="11.125" style="2" bestFit="1" customWidth="1"/>
    <col min="10502" max="10502" width="9" style="2" bestFit="1"/>
    <col min="10503" max="10505" width="11.125" style="2" bestFit="1" customWidth="1"/>
    <col min="10506" max="10506" width="9.625" style="2" bestFit="1" customWidth="1"/>
    <col min="10507" max="10752" width="9" style="2"/>
    <col min="10753" max="10753" width="2.375" style="2" customWidth="1"/>
    <col min="10754" max="10754" width="13.25" style="2" bestFit="1" customWidth="1"/>
    <col min="10755" max="10757" width="11.125" style="2" bestFit="1" customWidth="1"/>
    <col min="10758" max="10758" width="9" style="2" bestFit="1"/>
    <col min="10759" max="10761" width="11.125" style="2" bestFit="1" customWidth="1"/>
    <col min="10762" max="10762" width="9.625" style="2" bestFit="1" customWidth="1"/>
    <col min="10763" max="11008" width="9" style="2"/>
    <col min="11009" max="11009" width="2.375" style="2" customWidth="1"/>
    <col min="11010" max="11010" width="13.25" style="2" bestFit="1" customWidth="1"/>
    <col min="11011" max="11013" width="11.125" style="2" bestFit="1" customWidth="1"/>
    <col min="11014" max="11014" width="9" style="2" bestFit="1"/>
    <col min="11015" max="11017" width="11.125" style="2" bestFit="1" customWidth="1"/>
    <col min="11018" max="11018" width="9.625" style="2" bestFit="1" customWidth="1"/>
    <col min="11019" max="11264" width="9" style="2"/>
    <col min="11265" max="11265" width="2.375" style="2" customWidth="1"/>
    <col min="11266" max="11266" width="13.25" style="2" bestFit="1" customWidth="1"/>
    <col min="11267" max="11269" width="11.125" style="2" bestFit="1" customWidth="1"/>
    <col min="11270" max="11270" width="9" style="2" bestFit="1"/>
    <col min="11271" max="11273" width="11.125" style="2" bestFit="1" customWidth="1"/>
    <col min="11274" max="11274" width="9.625" style="2" bestFit="1" customWidth="1"/>
    <col min="11275" max="11520" width="9" style="2"/>
    <col min="11521" max="11521" width="2.375" style="2" customWidth="1"/>
    <col min="11522" max="11522" width="13.25" style="2" bestFit="1" customWidth="1"/>
    <col min="11523" max="11525" width="11.125" style="2" bestFit="1" customWidth="1"/>
    <col min="11526" max="11526" width="9" style="2" bestFit="1"/>
    <col min="11527" max="11529" width="11.125" style="2" bestFit="1" customWidth="1"/>
    <col min="11530" max="11530" width="9.625" style="2" bestFit="1" customWidth="1"/>
    <col min="11531" max="11776" width="9" style="2"/>
    <col min="11777" max="11777" width="2.375" style="2" customWidth="1"/>
    <col min="11778" max="11778" width="13.25" style="2" bestFit="1" customWidth="1"/>
    <col min="11779" max="11781" width="11.125" style="2" bestFit="1" customWidth="1"/>
    <col min="11782" max="11782" width="9" style="2" bestFit="1"/>
    <col min="11783" max="11785" width="11.125" style="2" bestFit="1" customWidth="1"/>
    <col min="11786" max="11786" width="9.625" style="2" bestFit="1" customWidth="1"/>
    <col min="11787" max="12032" width="9" style="2"/>
    <col min="12033" max="12033" width="2.375" style="2" customWidth="1"/>
    <col min="12034" max="12034" width="13.25" style="2" bestFit="1" customWidth="1"/>
    <col min="12035" max="12037" width="11.125" style="2" bestFit="1" customWidth="1"/>
    <col min="12038" max="12038" width="9" style="2" bestFit="1"/>
    <col min="12039" max="12041" width="11.125" style="2" bestFit="1" customWidth="1"/>
    <col min="12042" max="12042" width="9.625" style="2" bestFit="1" customWidth="1"/>
    <col min="12043" max="12288" width="9" style="2"/>
    <col min="12289" max="12289" width="2.375" style="2" customWidth="1"/>
    <col min="12290" max="12290" width="13.25" style="2" bestFit="1" customWidth="1"/>
    <col min="12291" max="12293" width="11.125" style="2" bestFit="1" customWidth="1"/>
    <col min="12294" max="12294" width="9" style="2" bestFit="1"/>
    <col min="12295" max="12297" width="11.125" style="2" bestFit="1" customWidth="1"/>
    <col min="12298" max="12298" width="9.625" style="2" bestFit="1" customWidth="1"/>
    <col min="12299" max="12544" width="9" style="2"/>
    <col min="12545" max="12545" width="2.375" style="2" customWidth="1"/>
    <col min="12546" max="12546" width="13.25" style="2" bestFit="1" customWidth="1"/>
    <col min="12547" max="12549" width="11.125" style="2" bestFit="1" customWidth="1"/>
    <col min="12550" max="12550" width="9" style="2" bestFit="1"/>
    <col min="12551" max="12553" width="11.125" style="2" bestFit="1" customWidth="1"/>
    <col min="12554" max="12554" width="9.625" style="2" bestFit="1" customWidth="1"/>
    <col min="12555" max="12800" width="9" style="2"/>
    <col min="12801" max="12801" width="2.375" style="2" customWidth="1"/>
    <col min="12802" max="12802" width="13.25" style="2" bestFit="1" customWidth="1"/>
    <col min="12803" max="12805" width="11.125" style="2" bestFit="1" customWidth="1"/>
    <col min="12806" max="12806" width="9" style="2" bestFit="1"/>
    <col min="12807" max="12809" width="11.125" style="2" bestFit="1" customWidth="1"/>
    <col min="12810" max="12810" width="9.625" style="2" bestFit="1" customWidth="1"/>
    <col min="12811" max="13056" width="9" style="2"/>
    <col min="13057" max="13057" width="2.375" style="2" customWidth="1"/>
    <col min="13058" max="13058" width="13.25" style="2" bestFit="1" customWidth="1"/>
    <col min="13059" max="13061" width="11.125" style="2" bestFit="1" customWidth="1"/>
    <col min="13062" max="13062" width="9" style="2" bestFit="1"/>
    <col min="13063" max="13065" width="11.125" style="2" bestFit="1" customWidth="1"/>
    <col min="13066" max="13066" width="9.625" style="2" bestFit="1" customWidth="1"/>
    <col min="13067" max="13312" width="9" style="2"/>
    <col min="13313" max="13313" width="2.375" style="2" customWidth="1"/>
    <col min="13314" max="13314" width="13.25" style="2" bestFit="1" customWidth="1"/>
    <col min="13315" max="13317" width="11.125" style="2" bestFit="1" customWidth="1"/>
    <col min="13318" max="13318" width="9" style="2" bestFit="1"/>
    <col min="13319" max="13321" width="11.125" style="2" bestFit="1" customWidth="1"/>
    <col min="13322" max="13322" width="9.625" style="2" bestFit="1" customWidth="1"/>
    <col min="13323" max="13568" width="9" style="2"/>
    <col min="13569" max="13569" width="2.375" style="2" customWidth="1"/>
    <col min="13570" max="13570" width="13.25" style="2" bestFit="1" customWidth="1"/>
    <col min="13571" max="13573" width="11.125" style="2" bestFit="1" customWidth="1"/>
    <col min="13574" max="13574" width="9" style="2" bestFit="1"/>
    <col min="13575" max="13577" width="11.125" style="2" bestFit="1" customWidth="1"/>
    <col min="13578" max="13578" width="9.625" style="2" bestFit="1" customWidth="1"/>
    <col min="13579" max="13824" width="9" style="2"/>
    <col min="13825" max="13825" width="2.375" style="2" customWidth="1"/>
    <col min="13826" max="13826" width="13.25" style="2" bestFit="1" customWidth="1"/>
    <col min="13827" max="13829" width="11.125" style="2" bestFit="1" customWidth="1"/>
    <col min="13830" max="13830" width="9" style="2" bestFit="1"/>
    <col min="13831" max="13833" width="11.125" style="2" bestFit="1" customWidth="1"/>
    <col min="13834" max="13834" width="9.625" style="2" bestFit="1" customWidth="1"/>
    <col min="13835" max="14080" width="9" style="2"/>
    <col min="14081" max="14081" width="2.375" style="2" customWidth="1"/>
    <col min="14082" max="14082" width="13.25" style="2" bestFit="1" customWidth="1"/>
    <col min="14083" max="14085" width="11.125" style="2" bestFit="1" customWidth="1"/>
    <col min="14086" max="14086" width="9" style="2" bestFit="1"/>
    <col min="14087" max="14089" width="11.125" style="2" bestFit="1" customWidth="1"/>
    <col min="14090" max="14090" width="9.625" style="2" bestFit="1" customWidth="1"/>
    <col min="14091" max="14336" width="9" style="2"/>
    <col min="14337" max="14337" width="2.375" style="2" customWidth="1"/>
    <col min="14338" max="14338" width="13.25" style="2" bestFit="1" customWidth="1"/>
    <col min="14339" max="14341" width="11.125" style="2" bestFit="1" customWidth="1"/>
    <col min="14342" max="14342" width="9" style="2" bestFit="1"/>
    <col min="14343" max="14345" width="11.125" style="2" bestFit="1" customWidth="1"/>
    <col min="14346" max="14346" width="9.625" style="2" bestFit="1" customWidth="1"/>
    <col min="14347" max="14592" width="9" style="2"/>
    <col min="14593" max="14593" width="2.375" style="2" customWidth="1"/>
    <col min="14594" max="14594" width="13.25" style="2" bestFit="1" customWidth="1"/>
    <col min="14595" max="14597" width="11.125" style="2" bestFit="1" customWidth="1"/>
    <col min="14598" max="14598" width="9" style="2" bestFit="1"/>
    <col min="14599" max="14601" width="11.125" style="2" bestFit="1" customWidth="1"/>
    <col min="14602" max="14602" width="9.625" style="2" bestFit="1" customWidth="1"/>
    <col min="14603" max="14848" width="9" style="2"/>
    <col min="14849" max="14849" width="2.375" style="2" customWidth="1"/>
    <col min="14850" max="14850" width="13.25" style="2" bestFit="1" customWidth="1"/>
    <col min="14851" max="14853" width="11.125" style="2" bestFit="1" customWidth="1"/>
    <col min="14854" max="14854" width="9" style="2" bestFit="1"/>
    <col min="14855" max="14857" width="11.125" style="2" bestFit="1" customWidth="1"/>
    <col min="14858" max="14858" width="9.625" style="2" bestFit="1" customWidth="1"/>
    <col min="14859" max="15104" width="9" style="2"/>
    <col min="15105" max="15105" width="2.375" style="2" customWidth="1"/>
    <col min="15106" max="15106" width="13.25" style="2" bestFit="1" customWidth="1"/>
    <col min="15107" max="15109" width="11.125" style="2" bestFit="1" customWidth="1"/>
    <col min="15110" max="15110" width="9" style="2" bestFit="1"/>
    <col min="15111" max="15113" width="11.125" style="2" bestFit="1" customWidth="1"/>
    <col min="15114" max="15114" width="9.625" style="2" bestFit="1" customWidth="1"/>
    <col min="15115" max="15360" width="9" style="2"/>
    <col min="15361" max="15361" width="2.375" style="2" customWidth="1"/>
    <col min="15362" max="15362" width="13.25" style="2" bestFit="1" customWidth="1"/>
    <col min="15363" max="15365" width="11.125" style="2" bestFit="1" customWidth="1"/>
    <col min="15366" max="15366" width="9" style="2" bestFit="1"/>
    <col min="15367" max="15369" width="11.125" style="2" bestFit="1" customWidth="1"/>
    <col min="15370" max="15370" width="9.625" style="2" bestFit="1" customWidth="1"/>
    <col min="15371" max="15616" width="9" style="2"/>
    <col min="15617" max="15617" width="2.375" style="2" customWidth="1"/>
    <col min="15618" max="15618" width="13.25" style="2" bestFit="1" customWidth="1"/>
    <col min="15619" max="15621" width="11.125" style="2" bestFit="1" customWidth="1"/>
    <col min="15622" max="15622" width="9" style="2" bestFit="1"/>
    <col min="15623" max="15625" width="11.125" style="2" bestFit="1" customWidth="1"/>
    <col min="15626" max="15626" width="9.625" style="2" bestFit="1" customWidth="1"/>
    <col min="15627" max="15872" width="9" style="2"/>
    <col min="15873" max="15873" width="2.375" style="2" customWidth="1"/>
    <col min="15874" max="15874" width="13.25" style="2" bestFit="1" customWidth="1"/>
    <col min="15875" max="15877" width="11.125" style="2" bestFit="1" customWidth="1"/>
    <col min="15878" max="15878" width="9" style="2" bestFit="1"/>
    <col min="15879" max="15881" width="11.125" style="2" bestFit="1" customWidth="1"/>
    <col min="15882" max="15882" width="9.625" style="2" bestFit="1" customWidth="1"/>
    <col min="15883" max="16128" width="9" style="2"/>
    <col min="16129" max="16129" width="2.375" style="2" customWidth="1"/>
    <col min="16130" max="16130" width="13.25" style="2" bestFit="1" customWidth="1"/>
    <col min="16131" max="16133" width="11.125" style="2" bestFit="1" customWidth="1"/>
    <col min="16134" max="16134" width="9" style="2" bestFit="1"/>
    <col min="16135" max="16137" width="11.125" style="2" bestFit="1" customWidth="1"/>
    <col min="16138" max="16138" width="9.625" style="2" bestFit="1" customWidth="1"/>
    <col min="16139" max="16384" width="9" style="2"/>
  </cols>
  <sheetData>
    <row r="1" spans="1:10">
      <c r="A1" s="1" t="s">
        <v>0</v>
      </c>
    </row>
    <row r="2" spans="1:10">
      <c r="A2" s="1"/>
    </row>
    <row r="3" spans="1:10">
      <c r="A3" s="1" t="s">
        <v>1</v>
      </c>
    </row>
    <row r="4" spans="1:10">
      <c r="A4" s="1" t="s">
        <v>2</v>
      </c>
    </row>
    <row r="5" spans="1:10">
      <c r="A5" s="1" t="s">
        <v>3</v>
      </c>
    </row>
    <row r="6" spans="1:10" ht="19.5" thickBot="1">
      <c r="A6" s="1" t="s">
        <v>96</v>
      </c>
    </row>
    <row r="7" spans="1:10">
      <c r="B7" s="4"/>
      <c r="C7" s="12" t="s">
        <v>4</v>
      </c>
      <c r="D7" s="13" t="s">
        <v>5</v>
      </c>
      <c r="E7" s="13" t="s">
        <v>6</v>
      </c>
      <c r="F7" s="13" t="s">
        <v>7</v>
      </c>
      <c r="G7" s="13" t="s">
        <v>8</v>
      </c>
      <c r="H7" s="13" t="s">
        <v>9</v>
      </c>
      <c r="I7" s="14" t="s">
        <v>10</v>
      </c>
      <c r="J7" s="5"/>
    </row>
    <row r="8" spans="1:10" ht="19.5" thickBot="1">
      <c r="A8" s="3"/>
      <c r="B8" s="32" t="s">
        <v>11</v>
      </c>
      <c r="C8" s="33" t="s">
        <v>12</v>
      </c>
      <c r="D8" s="34" t="s">
        <v>13</v>
      </c>
      <c r="E8" s="34" t="s">
        <v>14</v>
      </c>
      <c r="F8" s="34" t="s">
        <v>15</v>
      </c>
      <c r="G8" s="34" t="s">
        <v>16</v>
      </c>
      <c r="H8" s="34" t="s">
        <v>17</v>
      </c>
      <c r="I8" s="35" t="s">
        <v>18</v>
      </c>
      <c r="J8" s="36" t="s">
        <v>19</v>
      </c>
    </row>
    <row r="9" spans="1:10">
      <c r="A9" s="1" t="s">
        <v>3</v>
      </c>
      <c r="B9" s="27" t="s">
        <v>20</v>
      </c>
      <c r="C9" s="28">
        <v>22</v>
      </c>
      <c r="D9" s="29">
        <v>24</v>
      </c>
      <c r="E9" s="29">
        <v>22</v>
      </c>
      <c r="F9" s="29">
        <v>22</v>
      </c>
      <c r="G9" s="29">
        <v>21</v>
      </c>
      <c r="H9" s="29">
        <v>20</v>
      </c>
      <c r="I9" s="30">
        <v>18</v>
      </c>
      <c r="J9" s="31">
        <f>SUM(C9:I9)</f>
        <v>149</v>
      </c>
    </row>
    <row r="10" spans="1:10">
      <c r="A10" s="1" t="s">
        <v>3</v>
      </c>
      <c r="B10" s="6" t="s">
        <v>21</v>
      </c>
      <c r="C10" s="15">
        <v>1</v>
      </c>
      <c r="D10" s="16">
        <v>0</v>
      </c>
      <c r="E10" s="16">
        <v>1</v>
      </c>
      <c r="F10" s="16">
        <v>2</v>
      </c>
      <c r="G10" s="16">
        <v>1</v>
      </c>
      <c r="H10" s="16">
        <v>2</v>
      </c>
      <c r="I10" s="17">
        <v>0</v>
      </c>
      <c r="J10" s="8">
        <f t="shared" ref="J10:J29" si="0">SUM(C10:I10)</f>
        <v>7</v>
      </c>
    </row>
    <row r="11" spans="1:10">
      <c r="A11" s="1" t="s">
        <v>3</v>
      </c>
      <c r="B11" s="6" t="s">
        <v>22</v>
      </c>
      <c r="C11" s="15">
        <v>0</v>
      </c>
      <c r="D11" s="16">
        <v>0</v>
      </c>
      <c r="E11" s="16">
        <v>1</v>
      </c>
      <c r="F11" s="16">
        <v>0</v>
      </c>
      <c r="G11" s="16">
        <v>0</v>
      </c>
      <c r="H11" s="16">
        <v>1</v>
      </c>
      <c r="I11" s="17">
        <v>0</v>
      </c>
      <c r="J11" s="8">
        <f t="shared" si="0"/>
        <v>2</v>
      </c>
    </row>
    <row r="12" spans="1:10">
      <c r="A12" s="1" t="s">
        <v>3</v>
      </c>
      <c r="B12" s="6" t="s">
        <v>23</v>
      </c>
      <c r="C12" s="15">
        <v>0</v>
      </c>
      <c r="D12" s="16">
        <v>0</v>
      </c>
      <c r="E12" s="16">
        <v>0</v>
      </c>
      <c r="F12" s="16">
        <v>0</v>
      </c>
      <c r="G12" s="16">
        <v>0</v>
      </c>
      <c r="H12" s="16">
        <v>1</v>
      </c>
      <c r="I12" s="17">
        <v>0</v>
      </c>
      <c r="J12" s="8">
        <f t="shared" si="0"/>
        <v>1</v>
      </c>
    </row>
    <row r="13" spans="1:10">
      <c r="A13" s="1" t="s">
        <v>3</v>
      </c>
      <c r="B13" s="6" t="s">
        <v>24</v>
      </c>
      <c r="C13" s="15">
        <v>2</v>
      </c>
      <c r="D13" s="16">
        <v>0</v>
      </c>
      <c r="E13" s="16">
        <v>2</v>
      </c>
      <c r="F13" s="16">
        <v>2</v>
      </c>
      <c r="G13" s="16">
        <v>3</v>
      </c>
      <c r="H13" s="16">
        <v>3</v>
      </c>
      <c r="I13" s="17">
        <v>1</v>
      </c>
      <c r="J13" s="8">
        <f t="shared" si="0"/>
        <v>13</v>
      </c>
    </row>
    <row r="14" spans="1:10">
      <c r="A14" s="1" t="s">
        <v>3</v>
      </c>
      <c r="B14" s="6" t="s">
        <v>25</v>
      </c>
      <c r="C14" s="15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7">
        <v>0</v>
      </c>
      <c r="J14" s="8">
        <f t="shared" si="0"/>
        <v>0</v>
      </c>
    </row>
    <row r="15" spans="1:10">
      <c r="A15" s="1" t="s">
        <v>3</v>
      </c>
      <c r="B15" s="6" t="s">
        <v>26</v>
      </c>
      <c r="C15" s="15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7">
        <v>0</v>
      </c>
      <c r="J15" s="8">
        <f t="shared" si="0"/>
        <v>0</v>
      </c>
    </row>
    <row r="16" spans="1:10">
      <c r="A16" s="1" t="s">
        <v>3</v>
      </c>
      <c r="B16" s="6" t="s">
        <v>27</v>
      </c>
      <c r="C16" s="15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7">
        <v>0</v>
      </c>
      <c r="J16" s="8">
        <f t="shared" si="0"/>
        <v>0</v>
      </c>
    </row>
    <row r="17" spans="1:10">
      <c r="A17" s="1" t="s">
        <v>3</v>
      </c>
      <c r="B17" s="6" t="s">
        <v>28</v>
      </c>
      <c r="C17" s="18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20">
        <v>3.6666666666666665</v>
      </c>
      <c r="J17" s="9">
        <f t="shared" si="0"/>
        <v>3.6666666666666665</v>
      </c>
    </row>
    <row r="18" spans="1:10">
      <c r="A18" s="1" t="s">
        <v>3</v>
      </c>
      <c r="B18" s="6" t="s">
        <v>29</v>
      </c>
      <c r="C18" s="18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20">
        <v>0</v>
      </c>
      <c r="J18" s="9">
        <f t="shared" si="0"/>
        <v>0</v>
      </c>
    </row>
    <row r="19" spans="1:10">
      <c r="A19" s="1" t="s">
        <v>3</v>
      </c>
      <c r="B19" s="6" t="s">
        <v>30</v>
      </c>
      <c r="C19" s="18">
        <v>0.79166666666666663</v>
      </c>
      <c r="D19" s="19">
        <v>0</v>
      </c>
      <c r="E19" s="19">
        <v>1.125</v>
      </c>
      <c r="F19" s="19">
        <v>1.7083333333333335</v>
      </c>
      <c r="G19" s="19">
        <v>1.3333333333333333</v>
      </c>
      <c r="H19" s="19">
        <v>1.0833333333333333</v>
      </c>
      <c r="I19" s="20">
        <v>0</v>
      </c>
      <c r="J19" s="9">
        <f t="shared" si="0"/>
        <v>6.0416666666666661</v>
      </c>
    </row>
    <row r="20" spans="1:10">
      <c r="A20" s="1" t="s">
        <v>3</v>
      </c>
      <c r="B20" s="6" t="s">
        <v>31</v>
      </c>
      <c r="C20" s="18">
        <v>0.33333333333333331</v>
      </c>
      <c r="D20" s="19">
        <v>0</v>
      </c>
      <c r="E20" s="19">
        <v>0.41666666666666669</v>
      </c>
      <c r="F20" s="19">
        <v>0.66666666666666663</v>
      </c>
      <c r="G20" s="19">
        <v>0.45833333333333331</v>
      </c>
      <c r="H20" s="19">
        <v>0.875</v>
      </c>
      <c r="I20" s="20">
        <v>0</v>
      </c>
      <c r="J20" s="9">
        <f t="shared" si="0"/>
        <v>2.75</v>
      </c>
    </row>
    <row r="21" spans="1:10">
      <c r="A21" s="1" t="s">
        <v>3</v>
      </c>
      <c r="B21" s="6" t="s">
        <v>32</v>
      </c>
      <c r="C21" s="18">
        <v>0</v>
      </c>
      <c r="D21" s="19">
        <v>0</v>
      </c>
      <c r="E21" s="19">
        <v>0.20833333333333334</v>
      </c>
      <c r="F21" s="19">
        <v>0</v>
      </c>
      <c r="G21" s="19">
        <v>0</v>
      </c>
      <c r="H21" s="19">
        <v>0</v>
      </c>
      <c r="I21" s="20">
        <v>0</v>
      </c>
      <c r="J21" s="9">
        <f t="shared" si="0"/>
        <v>0.20833333333333334</v>
      </c>
    </row>
    <row r="22" spans="1:10">
      <c r="A22" s="1" t="s">
        <v>3</v>
      </c>
      <c r="B22" s="6" t="s">
        <v>33</v>
      </c>
      <c r="C22" s="18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20">
        <v>0</v>
      </c>
      <c r="J22" s="9">
        <f t="shared" si="0"/>
        <v>0</v>
      </c>
    </row>
    <row r="23" spans="1:10">
      <c r="A23" s="1" t="s">
        <v>3</v>
      </c>
      <c r="B23" s="6" t="s">
        <v>34</v>
      </c>
      <c r="C23" s="18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0.33333333333333331</v>
      </c>
      <c r="I23" s="20">
        <v>0</v>
      </c>
      <c r="J23" s="9">
        <f t="shared" si="0"/>
        <v>0.33333333333333331</v>
      </c>
    </row>
    <row r="24" spans="1:10">
      <c r="A24" s="1" t="s">
        <v>3</v>
      </c>
      <c r="B24" s="6" t="s">
        <v>35</v>
      </c>
      <c r="C24" s="18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20">
        <v>0</v>
      </c>
      <c r="J24" s="9">
        <f t="shared" si="0"/>
        <v>0</v>
      </c>
    </row>
    <row r="25" spans="1:10">
      <c r="A25" s="1" t="s">
        <v>3</v>
      </c>
      <c r="B25" s="6" t="s">
        <v>36</v>
      </c>
      <c r="C25" s="18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20">
        <v>0</v>
      </c>
      <c r="J25" s="9">
        <f t="shared" si="0"/>
        <v>0</v>
      </c>
    </row>
    <row r="26" spans="1:10">
      <c r="A26" s="1" t="s">
        <v>3</v>
      </c>
      <c r="B26" s="6" t="s">
        <v>37</v>
      </c>
      <c r="C26" s="18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20">
        <v>0.20833333333333334</v>
      </c>
      <c r="J26" s="9">
        <f t="shared" si="0"/>
        <v>0.20833333333333334</v>
      </c>
    </row>
    <row r="27" spans="1:10">
      <c r="A27" s="1" t="s">
        <v>3</v>
      </c>
      <c r="B27" s="6" t="s">
        <v>38</v>
      </c>
      <c r="C27" s="18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20">
        <v>0</v>
      </c>
      <c r="J27" s="9">
        <f t="shared" si="0"/>
        <v>0</v>
      </c>
    </row>
    <row r="28" spans="1:10">
      <c r="A28" s="1" t="s">
        <v>3</v>
      </c>
      <c r="B28" s="6" t="s">
        <v>39</v>
      </c>
      <c r="C28" s="18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20">
        <v>0</v>
      </c>
      <c r="J28" s="9">
        <f t="shared" si="0"/>
        <v>0</v>
      </c>
    </row>
    <row r="29" spans="1:10">
      <c r="A29" s="1" t="s">
        <v>3</v>
      </c>
      <c r="B29" s="6" t="s">
        <v>40</v>
      </c>
      <c r="C29" s="18">
        <v>0.125</v>
      </c>
      <c r="D29" s="19">
        <v>0</v>
      </c>
      <c r="E29" s="19">
        <v>0.20833333333333334</v>
      </c>
      <c r="F29" s="19">
        <v>0.125</v>
      </c>
      <c r="G29" s="19">
        <v>8.3333333333333329E-2</v>
      </c>
      <c r="H29" s="19">
        <v>0</v>
      </c>
      <c r="I29" s="20">
        <v>0</v>
      </c>
      <c r="J29" s="9">
        <f t="shared" si="0"/>
        <v>0.54166666666666674</v>
      </c>
    </row>
    <row r="30" spans="1:10" ht="19.5" thickBot="1">
      <c r="A30" s="1" t="s">
        <v>3</v>
      </c>
      <c r="B30" s="7" t="s">
        <v>41</v>
      </c>
      <c r="C30" s="41">
        <v>11</v>
      </c>
      <c r="D30" s="42">
        <v>31</v>
      </c>
      <c r="E30" s="42">
        <v>19</v>
      </c>
      <c r="F30" s="42">
        <v>22</v>
      </c>
      <c r="G30" s="42">
        <v>20</v>
      </c>
      <c r="H30" s="42">
        <v>13</v>
      </c>
      <c r="I30" s="43">
        <v>26</v>
      </c>
      <c r="J30" s="44"/>
    </row>
    <row r="31" spans="1:10">
      <c r="A31" s="1" t="s">
        <v>3</v>
      </c>
      <c r="B31" s="27" t="s">
        <v>42</v>
      </c>
      <c r="C31" s="37">
        <v>187000</v>
      </c>
      <c r="D31" s="38">
        <v>365000</v>
      </c>
      <c r="E31" s="38">
        <v>187000</v>
      </c>
      <c r="F31" s="38">
        <v>182000</v>
      </c>
      <c r="G31" s="38">
        <v>187000</v>
      </c>
      <c r="H31" s="38">
        <v>170000</v>
      </c>
      <c r="I31" s="39">
        <v>0</v>
      </c>
      <c r="J31" s="40">
        <f t="shared" ref="J31:J84" si="1">SUM(C31:I31)</f>
        <v>1278000</v>
      </c>
    </row>
    <row r="32" spans="1:10">
      <c r="A32" s="1" t="s">
        <v>3</v>
      </c>
      <c r="B32" s="6" t="s">
        <v>43</v>
      </c>
      <c r="C32" s="21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3">
        <v>0</v>
      </c>
      <c r="J32" s="10">
        <f t="shared" si="1"/>
        <v>0</v>
      </c>
    </row>
    <row r="33" spans="1:10">
      <c r="A33" s="1" t="s">
        <v>3</v>
      </c>
      <c r="B33" s="6" t="s">
        <v>44</v>
      </c>
      <c r="C33" s="21">
        <v>6000</v>
      </c>
      <c r="D33" s="22">
        <v>0</v>
      </c>
      <c r="E33" s="22">
        <v>0</v>
      </c>
      <c r="F33" s="22">
        <v>6000</v>
      </c>
      <c r="G33" s="22">
        <v>0</v>
      </c>
      <c r="H33" s="22">
        <v>0</v>
      </c>
      <c r="I33" s="23">
        <v>0</v>
      </c>
      <c r="J33" s="10">
        <f t="shared" si="1"/>
        <v>12000</v>
      </c>
    </row>
    <row r="34" spans="1:10">
      <c r="A34" s="1" t="s">
        <v>3</v>
      </c>
      <c r="B34" s="6" t="s">
        <v>45</v>
      </c>
      <c r="C34" s="21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3">
        <v>0</v>
      </c>
      <c r="J34" s="10">
        <f t="shared" si="1"/>
        <v>0</v>
      </c>
    </row>
    <row r="35" spans="1:10">
      <c r="A35" s="1" t="s">
        <v>3</v>
      </c>
      <c r="B35" s="6" t="s">
        <v>46</v>
      </c>
      <c r="C35" s="21">
        <v>72650</v>
      </c>
      <c r="D35" s="22">
        <v>0</v>
      </c>
      <c r="E35" s="22">
        <v>59136</v>
      </c>
      <c r="F35" s="22">
        <v>42450</v>
      </c>
      <c r="G35" s="22">
        <v>52096</v>
      </c>
      <c r="H35" s="22">
        <v>43520</v>
      </c>
      <c r="I35" s="23">
        <v>0</v>
      </c>
      <c r="J35" s="10">
        <f t="shared" si="1"/>
        <v>269852</v>
      </c>
    </row>
    <row r="36" spans="1:10">
      <c r="A36" s="1" t="s">
        <v>3</v>
      </c>
      <c r="B36" s="6" t="s">
        <v>47</v>
      </c>
      <c r="C36" s="21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3">
        <v>0</v>
      </c>
      <c r="J36" s="10">
        <f t="shared" si="1"/>
        <v>0</v>
      </c>
    </row>
    <row r="37" spans="1:10">
      <c r="A37" s="1" t="s">
        <v>3</v>
      </c>
      <c r="B37" s="6" t="s">
        <v>48</v>
      </c>
      <c r="C37" s="21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3">
        <v>0</v>
      </c>
      <c r="J37" s="10">
        <f t="shared" si="1"/>
        <v>0</v>
      </c>
    </row>
    <row r="38" spans="1:10">
      <c r="A38" s="1" t="s">
        <v>3</v>
      </c>
      <c r="B38" s="6" t="s">
        <v>49</v>
      </c>
      <c r="C38" s="21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3">
        <v>0</v>
      </c>
      <c r="J38" s="10">
        <f t="shared" si="1"/>
        <v>0</v>
      </c>
    </row>
    <row r="39" spans="1:10">
      <c r="A39" s="1" t="s">
        <v>3</v>
      </c>
      <c r="B39" s="6" t="s">
        <v>50</v>
      </c>
      <c r="C39" s="21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3">
        <v>84480</v>
      </c>
      <c r="J39" s="10">
        <f t="shared" si="1"/>
        <v>84480</v>
      </c>
    </row>
    <row r="40" spans="1:10">
      <c r="A40" s="1" t="s">
        <v>3</v>
      </c>
      <c r="B40" s="6" t="s">
        <v>51</v>
      </c>
      <c r="C40" s="21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3">
        <v>0</v>
      </c>
      <c r="J40" s="10">
        <f t="shared" si="1"/>
        <v>0</v>
      </c>
    </row>
    <row r="41" spans="1:10">
      <c r="A41" s="1" t="s">
        <v>3</v>
      </c>
      <c r="B41" s="6" t="s">
        <v>52</v>
      </c>
      <c r="C41" s="21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3">
        <v>0</v>
      </c>
      <c r="J41" s="10">
        <f t="shared" si="1"/>
        <v>0</v>
      </c>
    </row>
    <row r="42" spans="1:10">
      <c r="A42" s="1" t="s">
        <v>3</v>
      </c>
      <c r="B42" s="6" t="s">
        <v>53</v>
      </c>
      <c r="C42" s="21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3">
        <v>0</v>
      </c>
      <c r="J42" s="10">
        <f t="shared" si="1"/>
        <v>0</v>
      </c>
    </row>
    <row r="43" spans="1:10">
      <c r="A43" s="1" t="s">
        <v>3</v>
      </c>
      <c r="B43" s="6" t="s">
        <v>54</v>
      </c>
      <c r="C43" s="21">
        <v>1000</v>
      </c>
      <c r="D43" s="22">
        <v>0</v>
      </c>
      <c r="E43" s="22">
        <v>1000</v>
      </c>
      <c r="F43" s="22">
        <v>1000</v>
      </c>
      <c r="G43" s="22">
        <v>1000</v>
      </c>
      <c r="H43" s="22">
        <v>1000</v>
      </c>
      <c r="I43" s="23">
        <v>0</v>
      </c>
      <c r="J43" s="10">
        <f t="shared" si="1"/>
        <v>5000</v>
      </c>
    </row>
    <row r="44" spans="1:10">
      <c r="A44" s="1" t="s">
        <v>3</v>
      </c>
      <c r="B44" s="6" t="s">
        <v>55</v>
      </c>
      <c r="C44" s="21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3">
        <v>4800</v>
      </c>
      <c r="J44" s="10">
        <f t="shared" si="1"/>
        <v>4800</v>
      </c>
    </row>
    <row r="45" spans="1:10">
      <c r="A45" s="1" t="s">
        <v>3</v>
      </c>
      <c r="B45" s="6" t="s">
        <v>56</v>
      </c>
      <c r="C45" s="21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3">
        <v>0</v>
      </c>
      <c r="J45" s="10">
        <f t="shared" si="1"/>
        <v>0</v>
      </c>
    </row>
    <row r="46" spans="1:10">
      <c r="A46" s="1" t="s">
        <v>3</v>
      </c>
      <c r="B46" s="6" t="s">
        <v>57</v>
      </c>
      <c r="C46" s="21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3">
        <v>0</v>
      </c>
      <c r="J46" s="10">
        <f t="shared" si="1"/>
        <v>0</v>
      </c>
    </row>
    <row r="47" spans="1:10">
      <c r="A47" s="1" t="s">
        <v>3</v>
      </c>
      <c r="B47" s="6" t="s">
        <v>58</v>
      </c>
      <c r="C47" s="21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3">
        <v>0</v>
      </c>
      <c r="J47" s="10">
        <f t="shared" si="1"/>
        <v>0</v>
      </c>
    </row>
    <row r="48" spans="1:10">
      <c r="A48" s="1" t="s">
        <v>3</v>
      </c>
      <c r="B48" s="6" t="s">
        <v>59</v>
      </c>
      <c r="C48" s="21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3">
        <v>0</v>
      </c>
      <c r="J48" s="10">
        <f t="shared" si="1"/>
        <v>0</v>
      </c>
    </row>
    <row r="49" spans="1:10">
      <c r="A49" s="1" t="s">
        <v>3</v>
      </c>
      <c r="B49" s="6" t="s">
        <v>60</v>
      </c>
      <c r="C49" s="21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3">
        <v>0</v>
      </c>
      <c r="J49" s="10">
        <f t="shared" si="1"/>
        <v>0</v>
      </c>
    </row>
    <row r="50" spans="1:10">
      <c r="A50" s="1" t="s">
        <v>3</v>
      </c>
      <c r="B50" s="6" t="s">
        <v>61</v>
      </c>
      <c r="C50" s="21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3">
        <v>0</v>
      </c>
      <c r="J50" s="10">
        <f t="shared" si="1"/>
        <v>0</v>
      </c>
    </row>
    <row r="51" spans="1:10">
      <c r="A51" s="1" t="s">
        <v>3</v>
      </c>
      <c r="B51" s="6" t="s">
        <v>62</v>
      </c>
      <c r="C51" s="21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3">
        <v>0</v>
      </c>
      <c r="J51" s="10">
        <f t="shared" si="1"/>
        <v>0</v>
      </c>
    </row>
    <row r="52" spans="1:10">
      <c r="A52" s="1" t="s">
        <v>3</v>
      </c>
      <c r="B52" s="6" t="s">
        <v>63</v>
      </c>
      <c r="C52" s="21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3">
        <v>0</v>
      </c>
      <c r="J52" s="10">
        <f t="shared" si="1"/>
        <v>0</v>
      </c>
    </row>
    <row r="53" spans="1:10">
      <c r="A53" s="1" t="s">
        <v>3</v>
      </c>
      <c r="B53" s="6" t="s">
        <v>64</v>
      </c>
      <c r="C53" s="21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3">
        <v>0</v>
      </c>
      <c r="J53" s="10">
        <f t="shared" si="1"/>
        <v>0</v>
      </c>
    </row>
    <row r="54" spans="1:10">
      <c r="A54" s="1" t="s">
        <v>3</v>
      </c>
      <c r="B54" s="6" t="s">
        <v>30</v>
      </c>
      <c r="C54" s="21">
        <v>27607</v>
      </c>
      <c r="D54" s="22">
        <v>0</v>
      </c>
      <c r="E54" s="22">
        <v>38016</v>
      </c>
      <c r="F54" s="22">
        <v>58015</v>
      </c>
      <c r="G54" s="22">
        <v>45056</v>
      </c>
      <c r="H54" s="22">
        <v>33280</v>
      </c>
      <c r="I54" s="23">
        <v>0</v>
      </c>
      <c r="J54" s="10">
        <f t="shared" si="1"/>
        <v>201974</v>
      </c>
    </row>
    <row r="55" spans="1:10">
      <c r="A55" s="1" t="s">
        <v>3</v>
      </c>
      <c r="B55" s="6" t="s">
        <v>65</v>
      </c>
      <c r="C55" s="21">
        <v>12552</v>
      </c>
      <c r="D55" s="22">
        <v>0</v>
      </c>
      <c r="E55" s="22">
        <v>15200</v>
      </c>
      <c r="F55" s="22">
        <v>24448</v>
      </c>
      <c r="G55" s="22">
        <v>16720</v>
      </c>
      <c r="H55" s="22">
        <v>29022</v>
      </c>
      <c r="I55" s="23">
        <v>0</v>
      </c>
      <c r="J55" s="10">
        <f t="shared" si="1"/>
        <v>97942</v>
      </c>
    </row>
    <row r="56" spans="1:10">
      <c r="A56" s="1" t="s">
        <v>3</v>
      </c>
      <c r="B56" s="6" t="s">
        <v>66</v>
      </c>
      <c r="C56" s="21">
        <v>0</v>
      </c>
      <c r="D56" s="22">
        <v>0</v>
      </c>
      <c r="E56" s="22">
        <v>7600</v>
      </c>
      <c r="F56" s="22">
        <v>0</v>
      </c>
      <c r="G56" s="22">
        <v>0</v>
      </c>
      <c r="H56" s="22">
        <v>0</v>
      </c>
      <c r="I56" s="23">
        <v>0</v>
      </c>
      <c r="J56" s="10">
        <f t="shared" si="1"/>
        <v>7600</v>
      </c>
    </row>
    <row r="57" spans="1:10">
      <c r="A57" s="1" t="s">
        <v>3</v>
      </c>
      <c r="B57" s="6" t="s">
        <v>67</v>
      </c>
      <c r="C57" s="21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3">
        <v>0</v>
      </c>
      <c r="J57" s="10">
        <f t="shared" si="1"/>
        <v>0</v>
      </c>
    </row>
    <row r="58" spans="1:10">
      <c r="A58" s="1" t="s">
        <v>3</v>
      </c>
      <c r="B58" s="6" t="s">
        <v>68</v>
      </c>
      <c r="C58" s="21">
        <v>0</v>
      </c>
      <c r="D58" s="22">
        <v>0</v>
      </c>
      <c r="E58" s="22">
        <v>0</v>
      </c>
      <c r="F58" s="22">
        <v>0</v>
      </c>
      <c r="G58" s="22">
        <v>0</v>
      </c>
      <c r="H58" s="22">
        <v>2864</v>
      </c>
      <c r="I58" s="23">
        <v>0</v>
      </c>
      <c r="J58" s="10">
        <f t="shared" si="1"/>
        <v>2864</v>
      </c>
    </row>
    <row r="59" spans="1:10">
      <c r="A59" s="1" t="s">
        <v>3</v>
      </c>
      <c r="B59" s="6" t="s">
        <v>69</v>
      </c>
      <c r="C59" s="21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3">
        <v>0</v>
      </c>
      <c r="J59" s="10">
        <f t="shared" si="1"/>
        <v>0</v>
      </c>
    </row>
    <row r="60" spans="1:10">
      <c r="A60" s="1" t="s">
        <v>3</v>
      </c>
      <c r="B60" s="6" t="s">
        <v>35</v>
      </c>
      <c r="C60" s="21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3">
        <v>0</v>
      </c>
      <c r="J60" s="10">
        <f t="shared" si="1"/>
        <v>0</v>
      </c>
    </row>
    <row r="61" spans="1:10" ht="19.5" thickBot="1">
      <c r="A61" s="1" t="s">
        <v>3</v>
      </c>
      <c r="B61" s="45" t="s">
        <v>40</v>
      </c>
      <c r="C61" s="46">
        <v>873</v>
      </c>
      <c r="D61" s="47">
        <v>0</v>
      </c>
      <c r="E61" s="47">
        <v>1410</v>
      </c>
      <c r="F61" s="47">
        <v>849</v>
      </c>
      <c r="G61" s="47">
        <v>564</v>
      </c>
      <c r="H61" s="47">
        <v>0</v>
      </c>
      <c r="I61" s="48">
        <v>0</v>
      </c>
      <c r="J61" s="49">
        <f t="shared" si="1"/>
        <v>3696</v>
      </c>
    </row>
    <row r="62" spans="1:10" ht="19.5" thickBot="1">
      <c r="A62" s="1" t="s">
        <v>3</v>
      </c>
      <c r="B62" s="50" t="s">
        <v>70</v>
      </c>
      <c r="C62" s="51">
        <v>307682</v>
      </c>
      <c r="D62" s="52">
        <v>365000</v>
      </c>
      <c r="E62" s="52">
        <v>309362</v>
      </c>
      <c r="F62" s="52">
        <v>314762</v>
      </c>
      <c r="G62" s="52">
        <v>302436</v>
      </c>
      <c r="H62" s="52">
        <v>279686</v>
      </c>
      <c r="I62" s="53">
        <v>89280</v>
      </c>
      <c r="J62" s="54">
        <f t="shared" si="1"/>
        <v>1968208</v>
      </c>
    </row>
    <row r="63" spans="1:10">
      <c r="A63" s="1" t="s">
        <v>3</v>
      </c>
      <c r="B63" s="27" t="s">
        <v>71</v>
      </c>
      <c r="C63" s="37">
        <v>7274</v>
      </c>
      <c r="D63" s="38">
        <v>6115</v>
      </c>
      <c r="E63" s="38">
        <v>5693</v>
      </c>
      <c r="F63" s="38">
        <v>10753</v>
      </c>
      <c r="G63" s="38">
        <v>1740</v>
      </c>
      <c r="H63" s="38">
        <v>7274</v>
      </c>
      <c r="I63" s="39">
        <v>3321</v>
      </c>
      <c r="J63" s="40">
        <f t="shared" si="1"/>
        <v>42170</v>
      </c>
    </row>
    <row r="64" spans="1:10" ht="19.5" thickBot="1">
      <c r="A64" s="1" t="s">
        <v>3</v>
      </c>
      <c r="B64" s="45" t="s">
        <v>72</v>
      </c>
      <c r="C64" s="46">
        <v>0</v>
      </c>
      <c r="D64" s="47">
        <v>0</v>
      </c>
      <c r="E64" s="47">
        <v>0</v>
      </c>
      <c r="F64" s="47">
        <v>0</v>
      </c>
      <c r="G64" s="47">
        <v>0</v>
      </c>
      <c r="H64" s="47">
        <v>0</v>
      </c>
      <c r="I64" s="48">
        <v>0</v>
      </c>
      <c r="J64" s="49">
        <f t="shared" si="1"/>
        <v>0</v>
      </c>
    </row>
    <row r="65" spans="1:10" ht="19.5" thickBot="1">
      <c r="A65" s="1" t="s">
        <v>3</v>
      </c>
      <c r="B65" s="50" t="s">
        <v>73</v>
      </c>
      <c r="C65" s="51">
        <v>7274</v>
      </c>
      <c r="D65" s="52">
        <v>6115</v>
      </c>
      <c r="E65" s="52">
        <v>5693</v>
      </c>
      <c r="F65" s="52">
        <v>10753</v>
      </c>
      <c r="G65" s="52">
        <v>1740</v>
      </c>
      <c r="H65" s="52">
        <v>7274</v>
      </c>
      <c r="I65" s="53">
        <v>3321</v>
      </c>
      <c r="J65" s="54">
        <f t="shared" si="1"/>
        <v>42170</v>
      </c>
    </row>
    <row r="66" spans="1:10" ht="19.5" thickBot="1">
      <c r="A66" s="1" t="s">
        <v>3</v>
      </c>
      <c r="B66" s="50" t="s">
        <v>74</v>
      </c>
      <c r="C66" s="51">
        <v>314956</v>
      </c>
      <c r="D66" s="52">
        <v>371115</v>
      </c>
      <c r="E66" s="52">
        <v>315055</v>
      </c>
      <c r="F66" s="52">
        <v>325515</v>
      </c>
      <c r="G66" s="52">
        <v>304176</v>
      </c>
      <c r="H66" s="52">
        <v>286960</v>
      </c>
      <c r="I66" s="53">
        <v>92601</v>
      </c>
      <c r="J66" s="54">
        <f t="shared" si="1"/>
        <v>2010378</v>
      </c>
    </row>
    <row r="67" spans="1:10">
      <c r="A67" s="1" t="s">
        <v>3</v>
      </c>
      <c r="B67" s="27" t="s">
        <v>75</v>
      </c>
      <c r="C67" s="37">
        <v>16320</v>
      </c>
      <c r="D67" s="38">
        <v>18360</v>
      </c>
      <c r="E67" s="38">
        <v>17340</v>
      </c>
      <c r="F67" s="38">
        <v>16320</v>
      </c>
      <c r="G67" s="38">
        <v>16320</v>
      </c>
      <c r="H67" s="38">
        <v>13260</v>
      </c>
      <c r="I67" s="39">
        <v>0</v>
      </c>
      <c r="J67" s="40">
        <f t="shared" si="1"/>
        <v>97920</v>
      </c>
    </row>
    <row r="68" spans="1:10">
      <c r="A68" s="1" t="s">
        <v>3</v>
      </c>
      <c r="B68" s="6" t="s">
        <v>76</v>
      </c>
      <c r="C68" s="21">
        <v>0</v>
      </c>
      <c r="D68" s="22">
        <v>3240</v>
      </c>
      <c r="E68" s="22">
        <v>3060</v>
      </c>
      <c r="F68" s="22">
        <v>2880</v>
      </c>
      <c r="G68" s="22">
        <v>2880</v>
      </c>
      <c r="H68" s="22">
        <v>2340</v>
      </c>
      <c r="I68" s="23">
        <v>0</v>
      </c>
      <c r="J68" s="10">
        <f t="shared" si="1"/>
        <v>14400</v>
      </c>
    </row>
    <row r="69" spans="1:10">
      <c r="A69" s="1" t="s">
        <v>3</v>
      </c>
      <c r="B69" s="6" t="s">
        <v>77</v>
      </c>
      <c r="C69" s="21">
        <v>29280</v>
      </c>
      <c r="D69" s="22">
        <v>32940</v>
      </c>
      <c r="E69" s="22">
        <v>31110</v>
      </c>
      <c r="F69" s="22">
        <v>29280</v>
      </c>
      <c r="G69" s="22">
        <v>29280</v>
      </c>
      <c r="H69" s="22">
        <v>23790</v>
      </c>
      <c r="I69" s="23">
        <v>0</v>
      </c>
      <c r="J69" s="10">
        <f t="shared" si="1"/>
        <v>175680</v>
      </c>
    </row>
    <row r="70" spans="1:10">
      <c r="A70" s="1" t="s">
        <v>3</v>
      </c>
      <c r="B70" s="6" t="s">
        <v>78</v>
      </c>
      <c r="C70" s="21">
        <v>945</v>
      </c>
      <c r="D70" s="22">
        <v>1113</v>
      </c>
      <c r="E70" s="22">
        <v>945</v>
      </c>
      <c r="F70" s="22">
        <v>977</v>
      </c>
      <c r="G70" s="22">
        <v>913</v>
      </c>
      <c r="H70" s="22">
        <v>861</v>
      </c>
      <c r="I70" s="23">
        <v>278</v>
      </c>
      <c r="J70" s="10">
        <f t="shared" si="1"/>
        <v>6032</v>
      </c>
    </row>
    <row r="71" spans="1:10" ht="19.5" thickBot="1">
      <c r="A71" s="1" t="s">
        <v>3</v>
      </c>
      <c r="B71" s="45" t="s">
        <v>79</v>
      </c>
      <c r="C71" s="46">
        <v>0</v>
      </c>
      <c r="D71" s="47">
        <v>0</v>
      </c>
      <c r="E71" s="47">
        <v>0</v>
      </c>
      <c r="F71" s="47">
        <v>0</v>
      </c>
      <c r="G71" s="47">
        <v>0</v>
      </c>
      <c r="H71" s="47">
        <v>0</v>
      </c>
      <c r="I71" s="48">
        <v>0</v>
      </c>
      <c r="J71" s="49">
        <f t="shared" si="1"/>
        <v>0</v>
      </c>
    </row>
    <row r="72" spans="1:10" ht="19.5" thickBot="1">
      <c r="A72" s="1" t="s">
        <v>3</v>
      </c>
      <c r="B72" s="50" t="s">
        <v>80</v>
      </c>
      <c r="C72" s="51">
        <v>46545</v>
      </c>
      <c r="D72" s="52">
        <v>55653</v>
      </c>
      <c r="E72" s="52">
        <v>52455</v>
      </c>
      <c r="F72" s="52">
        <v>49457</v>
      </c>
      <c r="G72" s="52">
        <v>49393</v>
      </c>
      <c r="H72" s="52">
        <v>40251</v>
      </c>
      <c r="I72" s="53">
        <v>278</v>
      </c>
      <c r="J72" s="54">
        <f t="shared" si="1"/>
        <v>294032</v>
      </c>
    </row>
    <row r="73" spans="1:10">
      <c r="A73" s="1" t="s">
        <v>3</v>
      </c>
      <c r="B73" s="27" t="s">
        <v>81</v>
      </c>
      <c r="C73" s="37">
        <v>6950</v>
      </c>
      <c r="D73" s="38">
        <v>9140</v>
      </c>
      <c r="E73" s="38">
        <v>5180</v>
      </c>
      <c r="F73" s="38">
        <v>5480</v>
      </c>
      <c r="G73" s="38">
        <v>5040</v>
      </c>
      <c r="H73" s="38">
        <v>6170</v>
      </c>
      <c r="I73" s="39">
        <v>160</v>
      </c>
      <c r="J73" s="40">
        <f t="shared" si="1"/>
        <v>38120</v>
      </c>
    </row>
    <row r="74" spans="1:10">
      <c r="A74" s="1" t="s">
        <v>3</v>
      </c>
      <c r="B74" s="6" t="s">
        <v>82</v>
      </c>
      <c r="C74" s="21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3">
        <v>0</v>
      </c>
      <c r="J74" s="10">
        <f t="shared" si="1"/>
        <v>0</v>
      </c>
    </row>
    <row r="75" spans="1:10">
      <c r="A75" s="1" t="s">
        <v>3</v>
      </c>
      <c r="B75" s="6" t="s">
        <v>83</v>
      </c>
      <c r="C75" s="21">
        <v>14600</v>
      </c>
      <c r="D75" s="22">
        <v>20200</v>
      </c>
      <c r="E75" s="22">
        <v>11000</v>
      </c>
      <c r="F75" s="22">
        <v>8300</v>
      </c>
      <c r="G75" s="22">
        <v>3900</v>
      </c>
      <c r="H75" s="22">
        <v>8900</v>
      </c>
      <c r="I75" s="23">
        <v>500</v>
      </c>
      <c r="J75" s="10">
        <f t="shared" si="1"/>
        <v>67400</v>
      </c>
    </row>
    <row r="76" spans="1:10">
      <c r="A76" s="1" t="s">
        <v>3</v>
      </c>
      <c r="B76" s="6" t="s">
        <v>84</v>
      </c>
      <c r="C76" s="21">
        <v>0</v>
      </c>
      <c r="D76" s="22">
        <v>0</v>
      </c>
      <c r="E76" s="22">
        <v>5000</v>
      </c>
      <c r="F76" s="22">
        <v>0</v>
      </c>
      <c r="G76" s="22">
        <v>0</v>
      </c>
      <c r="H76" s="22">
        <v>0</v>
      </c>
      <c r="I76" s="23">
        <v>0</v>
      </c>
      <c r="J76" s="10">
        <f t="shared" si="1"/>
        <v>5000</v>
      </c>
    </row>
    <row r="77" spans="1:10">
      <c r="A77" s="1" t="s">
        <v>3</v>
      </c>
      <c r="B77" s="6" t="s">
        <v>85</v>
      </c>
      <c r="C77" s="21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3">
        <v>0</v>
      </c>
      <c r="J77" s="10">
        <f t="shared" si="1"/>
        <v>0</v>
      </c>
    </row>
    <row r="78" spans="1:10">
      <c r="A78" s="1" t="s">
        <v>3</v>
      </c>
      <c r="B78" s="6" t="s">
        <v>86</v>
      </c>
      <c r="C78" s="21">
        <v>0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3">
        <v>0</v>
      </c>
      <c r="J78" s="10">
        <f t="shared" si="1"/>
        <v>0</v>
      </c>
    </row>
    <row r="79" spans="1:10" ht="19.5" thickBot="1">
      <c r="A79" s="1" t="s">
        <v>3</v>
      </c>
      <c r="B79" s="45" t="s">
        <v>87</v>
      </c>
      <c r="C79" s="46">
        <v>0</v>
      </c>
      <c r="D79" s="47">
        <v>0</v>
      </c>
      <c r="E79" s="47">
        <v>0</v>
      </c>
      <c r="F79" s="47">
        <v>0</v>
      </c>
      <c r="G79" s="47">
        <v>0</v>
      </c>
      <c r="H79" s="47">
        <v>0</v>
      </c>
      <c r="I79" s="48">
        <v>0</v>
      </c>
      <c r="J79" s="49">
        <f t="shared" si="1"/>
        <v>0</v>
      </c>
    </row>
    <row r="80" spans="1:10" ht="19.5" thickBot="1">
      <c r="A80" s="1" t="s">
        <v>3</v>
      </c>
      <c r="B80" s="50" t="s">
        <v>88</v>
      </c>
      <c r="C80" s="51">
        <v>68095</v>
      </c>
      <c r="D80" s="52">
        <v>84993</v>
      </c>
      <c r="E80" s="52">
        <v>73635</v>
      </c>
      <c r="F80" s="52">
        <v>63237</v>
      </c>
      <c r="G80" s="52">
        <v>58333</v>
      </c>
      <c r="H80" s="52">
        <v>55321</v>
      </c>
      <c r="I80" s="53">
        <v>938</v>
      </c>
      <c r="J80" s="54">
        <f t="shared" si="1"/>
        <v>404552</v>
      </c>
    </row>
    <row r="81" spans="1:10" ht="19.5" thickBot="1">
      <c r="A81" s="1" t="s">
        <v>3</v>
      </c>
      <c r="B81" s="50" t="s">
        <v>89</v>
      </c>
      <c r="C81" s="51">
        <v>261137</v>
      </c>
      <c r="D81" s="52">
        <v>309347</v>
      </c>
      <c r="E81" s="52">
        <v>256907</v>
      </c>
      <c r="F81" s="52">
        <v>265305</v>
      </c>
      <c r="G81" s="52">
        <v>253043</v>
      </c>
      <c r="H81" s="52">
        <v>239435</v>
      </c>
      <c r="I81" s="53">
        <v>89002</v>
      </c>
      <c r="J81" s="54">
        <f t="shared" si="1"/>
        <v>1674176</v>
      </c>
    </row>
    <row r="82" spans="1:10" ht="19.5" thickBot="1">
      <c r="A82" s="1" t="s">
        <v>3</v>
      </c>
      <c r="B82" s="50" t="s">
        <v>90</v>
      </c>
      <c r="C82" s="51">
        <v>246861</v>
      </c>
      <c r="D82" s="52">
        <v>286122</v>
      </c>
      <c r="E82" s="52">
        <v>241420</v>
      </c>
      <c r="F82" s="52">
        <v>262278</v>
      </c>
      <c r="G82" s="52">
        <v>245843</v>
      </c>
      <c r="H82" s="52">
        <v>231639</v>
      </c>
      <c r="I82" s="53">
        <v>91663</v>
      </c>
      <c r="J82" s="54">
        <f t="shared" si="1"/>
        <v>1605826</v>
      </c>
    </row>
    <row r="83" spans="1:10">
      <c r="A83" s="1" t="s">
        <v>3</v>
      </c>
      <c r="B83" s="27" t="s">
        <v>91</v>
      </c>
      <c r="C83" s="37">
        <v>0</v>
      </c>
      <c r="D83" s="38">
        <v>0</v>
      </c>
      <c r="E83" s="38">
        <v>0</v>
      </c>
      <c r="F83" s="38">
        <v>0</v>
      </c>
      <c r="G83" s="38">
        <v>0</v>
      </c>
      <c r="H83" s="38">
        <v>0</v>
      </c>
      <c r="I83" s="39">
        <v>0</v>
      </c>
      <c r="J83" s="40">
        <f t="shared" si="1"/>
        <v>0</v>
      </c>
    </row>
    <row r="84" spans="1:10">
      <c r="A84" s="1" t="s">
        <v>3</v>
      </c>
      <c r="B84" s="6" t="s">
        <v>92</v>
      </c>
      <c r="C84" s="21">
        <v>246861</v>
      </c>
      <c r="D84" s="22">
        <v>286122</v>
      </c>
      <c r="E84" s="22">
        <v>241420</v>
      </c>
      <c r="F84" s="22">
        <v>262278</v>
      </c>
      <c r="G84" s="22">
        <v>245843</v>
      </c>
      <c r="H84" s="22">
        <v>231639</v>
      </c>
      <c r="I84" s="23">
        <v>91663</v>
      </c>
      <c r="J84" s="10">
        <f t="shared" si="1"/>
        <v>1605826</v>
      </c>
    </row>
    <row r="85" spans="1:10">
      <c r="A85" s="1" t="s">
        <v>3</v>
      </c>
      <c r="B85" s="6" t="s">
        <v>93</v>
      </c>
      <c r="C85" s="21">
        <v>0</v>
      </c>
      <c r="D85" s="22">
        <v>0</v>
      </c>
      <c r="E85" s="22">
        <v>1</v>
      </c>
      <c r="F85" s="22">
        <v>1</v>
      </c>
      <c r="G85" s="22">
        <v>1</v>
      </c>
      <c r="H85" s="22">
        <v>0</v>
      </c>
      <c r="I85" s="23">
        <v>0</v>
      </c>
      <c r="J85" s="10"/>
    </row>
    <row r="86" spans="1:10" ht="19.5" thickBot="1">
      <c r="A86" s="1" t="s">
        <v>3</v>
      </c>
      <c r="B86" s="7" t="s">
        <v>94</v>
      </c>
      <c r="C86" s="24" t="s">
        <v>95</v>
      </c>
      <c r="D86" s="25" t="s">
        <v>95</v>
      </c>
      <c r="E86" s="25" t="s">
        <v>95</v>
      </c>
      <c r="F86" s="25" t="s">
        <v>95</v>
      </c>
      <c r="G86" s="25" t="s">
        <v>95</v>
      </c>
      <c r="H86" s="25" t="s">
        <v>95</v>
      </c>
      <c r="I86" s="26" t="s">
        <v>95</v>
      </c>
      <c r="J86" s="11"/>
    </row>
  </sheetData>
  <phoneticPr fontId="3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8432-9F51-4665-A418-514CD61E7D3D}">
  <sheetPr>
    <pageSetUpPr fitToPage="1"/>
  </sheetPr>
  <dimension ref="A1:L66"/>
  <sheetViews>
    <sheetView showZeros="0" workbookViewId="0">
      <selection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2" width="11.875" style="2" customWidth="1"/>
    <col min="13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96</v>
      </c>
    </row>
    <row r="3" spans="1:12">
      <c r="B3" s="4"/>
      <c r="C3" s="13" t="s">
        <v>5</v>
      </c>
      <c r="D3" s="14" t="s">
        <v>10</v>
      </c>
      <c r="E3" s="65" t="s">
        <v>97</v>
      </c>
      <c r="F3" s="12" t="s">
        <v>4</v>
      </c>
      <c r="G3" s="13" t="s">
        <v>6</v>
      </c>
      <c r="H3" s="13" t="s">
        <v>7</v>
      </c>
      <c r="I3" s="13" t="s">
        <v>8</v>
      </c>
      <c r="J3" s="67" t="s">
        <v>9</v>
      </c>
      <c r="K3" s="69" t="s">
        <v>97</v>
      </c>
      <c r="L3" s="70" t="s">
        <v>19</v>
      </c>
    </row>
    <row r="4" spans="1:12" ht="19.5" thickBot="1">
      <c r="A4" s="66"/>
      <c r="B4" s="32" t="s">
        <v>11</v>
      </c>
      <c r="C4" s="34" t="s">
        <v>13</v>
      </c>
      <c r="D4" s="35" t="s">
        <v>18</v>
      </c>
      <c r="E4" s="64" t="s">
        <v>98</v>
      </c>
      <c r="F4" s="33" t="s">
        <v>12</v>
      </c>
      <c r="G4" s="34" t="s">
        <v>14</v>
      </c>
      <c r="H4" s="34" t="s">
        <v>15</v>
      </c>
      <c r="I4" s="34" t="s">
        <v>16</v>
      </c>
      <c r="J4" s="68" t="s">
        <v>17</v>
      </c>
      <c r="K4" s="71" t="s">
        <v>99</v>
      </c>
      <c r="L4" s="72" t="s">
        <v>100</v>
      </c>
    </row>
    <row r="5" spans="1:12">
      <c r="A5" s="1" t="s">
        <v>3</v>
      </c>
      <c r="B5" s="27" t="s">
        <v>20</v>
      </c>
      <c r="C5" s="29">
        <v>24</v>
      </c>
      <c r="D5" s="30">
        <v>18</v>
      </c>
      <c r="E5" s="55">
        <f>SUM(C5:D5)</f>
        <v>42</v>
      </c>
      <c r="F5" s="28">
        <v>22</v>
      </c>
      <c r="G5" s="29">
        <v>22</v>
      </c>
      <c r="H5" s="29">
        <v>22</v>
      </c>
      <c r="I5" s="29">
        <v>21</v>
      </c>
      <c r="J5" s="55">
        <v>20</v>
      </c>
      <c r="K5" s="73">
        <f>SUM(F5:J5)</f>
        <v>107</v>
      </c>
      <c r="L5" s="73">
        <f>E5+K5</f>
        <v>149</v>
      </c>
    </row>
    <row r="6" spans="1:12">
      <c r="A6" s="1" t="s">
        <v>3</v>
      </c>
      <c r="B6" s="6" t="s">
        <v>21</v>
      </c>
      <c r="C6" s="16">
        <v>0</v>
      </c>
      <c r="D6" s="17">
        <v>0</v>
      </c>
      <c r="E6" s="56"/>
      <c r="F6" s="15">
        <v>1</v>
      </c>
      <c r="G6" s="16">
        <v>1</v>
      </c>
      <c r="H6" s="16">
        <v>2</v>
      </c>
      <c r="I6" s="16">
        <v>1</v>
      </c>
      <c r="J6" s="56">
        <v>2</v>
      </c>
      <c r="K6" s="74">
        <f>SUM(F6:J6)</f>
        <v>7</v>
      </c>
      <c r="L6" s="74">
        <f t="shared" ref="L6:L56" si="0">E6+K6</f>
        <v>7</v>
      </c>
    </row>
    <row r="7" spans="1:12">
      <c r="A7" s="1" t="s">
        <v>3</v>
      </c>
      <c r="B7" s="6" t="s">
        <v>22</v>
      </c>
      <c r="C7" s="16">
        <v>0</v>
      </c>
      <c r="D7" s="17">
        <v>0</v>
      </c>
      <c r="E7" s="56"/>
      <c r="F7" s="15">
        <v>0</v>
      </c>
      <c r="G7" s="16">
        <v>1</v>
      </c>
      <c r="H7" s="16">
        <v>0</v>
      </c>
      <c r="I7" s="16">
        <v>0</v>
      </c>
      <c r="J7" s="56">
        <v>1</v>
      </c>
      <c r="K7" s="74">
        <f t="shared" ref="K7:K9" si="1">SUM(F7:J7)</f>
        <v>2</v>
      </c>
      <c r="L7" s="74">
        <f t="shared" si="0"/>
        <v>2</v>
      </c>
    </row>
    <row r="8" spans="1:12">
      <c r="A8" s="1" t="s">
        <v>3</v>
      </c>
      <c r="B8" s="6" t="s">
        <v>23</v>
      </c>
      <c r="C8" s="16">
        <v>0</v>
      </c>
      <c r="D8" s="17">
        <v>0</v>
      </c>
      <c r="E8" s="56"/>
      <c r="F8" s="15">
        <v>0</v>
      </c>
      <c r="G8" s="16">
        <v>0</v>
      </c>
      <c r="H8" s="16">
        <v>0</v>
      </c>
      <c r="I8" s="16">
        <v>0</v>
      </c>
      <c r="J8" s="56">
        <v>1</v>
      </c>
      <c r="K8" s="74">
        <f t="shared" si="1"/>
        <v>1</v>
      </c>
      <c r="L8" s="74">
        <f t="shared" si="0"/>
        <v>1</v>
      </c>
    </row>
    <row r="9" spans="1:12">
      <c r="A9" s="1" t="s">
        <v>3</v>
      </c>
      <c r="B9" s="6" t="s">
        <v>24</v>
      </c>
      <c r="C9" s="16">
        <v>0</v>
      </c>
      <c r="D9" s="17">
        <v>1</v>
      </c>
      <c r="E9" s="56">
        <f>SUM(C9:D9)</f>
        <v>1</v>
      </c>
      <c r="F9" s="15">
        <v>2</v>
      </c>
      <c r="G9" s="16">
        <v>2</v>
      </c>
      <c r="H9" s="16">
        <v>2</v>
      </c>
      <c r="I9" s="16">
        <v>3</v>
      </c>
      <c r="J9" s="56">
        <v>3</v>
      </c>
      <c r="K9" s="74">
        <f t="shared" si="1"/>
        <v>12</v>
      </c>
      <c r="L9" s="74">
        <f t="shared" si="0"/>
        <v>13</v>
      </c>
    </row>
    <row r="10" spans="1:12">
      <c r="A10" s="1" t="s">
        <v>3</v>
      </c>
      <c r="B10" s="6" t="s">
        <v>25</v>
      </c>
      <c r="C10" s="16">
        <v>0</v>
      </c>
      <c r="D10" s="17">
        <v>0</v>
      </c>
      <c r="E10" s="56"/>
      <c r="F10" s="15">
        <v>0</v>
      </c>
      <c r="G10" s="16">
        <v>0</v>
      </c>
      <c r="H10" s="16">
        <v>0</v>
      </c>
      <c r="I10" s="16">
        <v>0</v>
      </c>
      <c r="J10" s="56">
        <v>0</v>
      </c>
      <c r="K10" s="74"/>
      <c r="L10" s="74">
        <f t="shared" si="0"/>
        <v>0</v>
      </c>
    </row>
    <row r="11" spans="1:12">
      <c r="A11" s="1" t="s">
        <v>3</v>
      </c>
      <c r="B11" s="6" t="s">
        <v>26</v>
      </c>
      <c r="C11" s="16">
        <v>0</v>
      </c>
      <c r="D11" s="17">
        <v>0</v>
      </c>
      <c r="E11" s="56"/>
      <c r="F11" s="15">
        <v>0</v>
      </c>
      <c r="G11" s="16">
        <v>0</v>
      </c>
      <c r="H11" s="16">
        <v>0</v>
      </c>
      <c r="I11" s="16">
        <v>0</v>
      </c>
      <c r="J11" s="56">
        <v>0</v>
      </c>
      <c r="K11" s="74"/>
      <c r="L11" s="74">
        <f t="shared" si="0"/>
        <v>0</v>
      </c>
    </row>
    <row r="12" spans="1:12">
      <c r="A12" s="1" t="s">
        <v>3</v>
      </c>
      <c r="B12" s="6" t="s">
        <v>27</v>
      </c>
      <c r="C12" s="16">
        <v>0</v>
      </c>
      <c r="D12" s="17">
        <v>0</v>
      </c>
      <c r="E12" s="56"/>
      <c r="F12" s="15">
        <v>0</v>
      </c>
      <c r="G12" s="16">
        <v>0</v>
      </c>
      <c r="H12" s="16">
        <v>0</v>
      </c>
      <c r="I12" s="16">
        <v>0</v>
      </c>
      <c r="J12" s="56">
        <v>0</v>
      </c>
      <c r="K12" s="74"/>
      <c r="L12" s="74">
        <f t="shared" si="0"/>
        <v>0</v>
      </c>
    </row>
    <row r="13" spans="1:12">
      <c r="A13" s="1" t="s">
        <v>3</v>
      </c>
      <c r="B13" s="6" t="s">
        <v>28</v>
      </c>
      <c r="C13" s="19">
        <v>0</v>
      </c>
      <c r="D13" s="20">
        <v>3.6666666666666665</v>
      </c>
      <c r="E13" s="57">
        <f>SUM(C13:D13)</f>
        <v>3.6666666666666665</v>
      </c>
      <c r="F13" s="18">
        <v>0</v>
      </c>
      <c r="G13" s="19">
        <v>0</v>
      </c>
      <c r="H13" s="19">
        <v>0</v>
      </c>
      <c r="I13" s="19">
        <v>0</v>
      </c>
      <c r="J13" s="57">
        <v>0</v>
      </c>
      <c r="K13" s="75"/>
      <c r="L13" s="75">
        <f t="shared" si="0"/>
        <v>3.6666666666666665</v>
      </c>
    </row>
    <row r="14" spans="1:12">
      <c r="A14" s="1" t="s">
        <v>3</v>
      </c>
      <c r="B14" s="6" t="s">
        <v>30</v>
      </c>
      <c r="C14" s="19">
        <v>0</v>
      </c>
      <c r="D14" s="20">
        <v>0</v>
      </c>
      <c r="E14" s="57"/>
      <c r="F14" s="18">
        <v>0.79166666666666663</v>
      </c>
      <c r="G14" s="19">
        <v>1.125</v>
      </c>
      <c r="H14" s="19">
        <v>1.7083333333333335</v>
      </c>
      <c r="I14" s="19">
        <v>1.3333333333333333</v>
      </c>
      <c r="J14" s="57">
        <v>1.0833333333333333</v>
      </c>
      <c r="K14" s="75">
        <f>SUM(F14:J14)</f>
        <v>6.0416666666666661</v>
      </c>
      <c r="L14" s="75">
        <f t="shared" si="0"/>
        <v>6.0416666666666661</v>
      </c>
    </row>
    <row r="15" spans="1:12">
      <c r="A15" s="1" t="s">
        <v>3</v>
      </c>
      <c r="B15" s="6" t="s">
        <v>31</v>
      </c>
      <c r="C15" s="19">
        <v>0</v>
      </c>
      <c r="D15" s="20">
        <v>0</v>
      </c>
      <c r="E15" s="57"/>
      <c r="F15" s="18">
        <v>0.33333333333333331</v>
      </c>
      <c r="G15" s="19">
        <v>0.41666666666666669</v>
      </c>
      <c r="H15" s="19">
        <v>0.66666666666666663</v>
      </c>
      <c r="I15" s="19">
        <v>0.45833333333333331</v>
      </c>
      <c r="J15" s="57">
        <v>0.875</v>
      </c>
      <c r="K15" s="75">
        <f t="shared" ref="K15:K22" si="2">SUM(F15:J15)</f>
        <v>2.75</v>
      </c>
      <c r="L15" s="75">
        <f t="shared" si="0"/>
        <v>2.75</v>
      </c>
    </row>
    <row r="16" spans="1:12">
      <c r="A16" s="1" t="s">
        <v>3</v>
      </c>
      <c r="B16" s="6" t="s">
        <v>32</v>
      </c>
      <c r="C16" s="19">
        <v>0</v>
      </c>
      <c r="D16" s="20">
        <v>0</v>
      </c>
      <c r="E16" s="57"/>
      <c r="F16" s="18">
        <v>0</v>
      </c>
      <c r="G16" s="19">
        <v>0.20833333333333334</v>
      </c>
      <c r="H16" s="19">
        <v>0</v>
      </c>
      <c r="I16" s="19">
        <v>0</v>
      </c>
      <c r="J16" s="57">
        <v>0</v>
      </c>
      <c r="K16" s="75">
        <f t="shared" si="2"/>
        <v>0.20833333333333334</v>
      </c>
      <c r="L16" s="75">
        <f t="shared" si="0"/>
        <v>0.20833333333333334</v>
      </c>
    </row>
    <row r="17" spans="1:12">
      <c r="A17" s="1" t="s">
        <v>3</v>
      </c>
      <c r="B17" s="6" t="s">
        <v>33</v>
      </c>
      <c r="C17" s="19">
        <v>0</v>
      </c>
      <c r="D17" s="20">
        <v>0</v>
      </c>
      <c r="E17" s="57"/>
      <c r="F17" s="18">
        <v>0</v>
      </c>
      <c r="G17" s="19">
        <v>0</v>
      </c>
      <c r="H17" s="19">
        <v>0</v>
      </c>
      <c r="I17" s="19">
        <v>0</v>
      </c>
      <c r="J17" s="57">
        <v>0</v>
      </c>
      <c r="K17" s="75">
        <f t="shared" si="2"/>
        <v>0</v>
      </c>
      <c r="L17" s="75">
        <f t="shared" si="0"/>
        <v>0</v>
      </c>
    </row>
    <row r="18" spans="1:12">
      <c r="A18" s="1" t="s">
        <v>3</v>
      </c>
      <c r="B18" s="6" t="s">
        <v>34</v>
      </c>
      <c r="C18" s="19">
        <v>0</v>
      </c>
      <c r="D18" s="20">
        <v>0</v>
      </c>
      <c r="E18" s="57"/>
      <c r="F18" s="18">
        <v>0</v>
      </c>
      <c r="G18" s="19">
        <v>0</v>
      </c>
      <c r="H18" s="19">
        <v>0</v>
      </c>
      <c r="I18" s="19">
        <v>0</v>
      </c>
      <c r="J18" s="57">
        <v>0.33333333333333331</v>
      </c>
      <c r="K18" s="75">
        <f t="shared" si="2"/>
        <v>0.33333333333333331</v>
      </c>
      <c r="L18" s="75">
        <f t="shared" si="0"/>
        <v>0.33333333333333331</v>
      </c>
    </row>
    <row r="19" spans="1:12">
      <c r="A19" s="1" t="s">
        <v>3</v>
      </c>
      <c r="B19" s="6" t="s">
        <v>35</v>
      </c>
      <c r="C19" s="19">
        <v>0</v>
      </c>
      <c r="D19" s="20">
        <v>0</v>
      </c>
      <c r="E19" s="57"/>
      <c r="F19" s="18">
        <v>0</v>
      </c>
      <c r="G19" s="19">
        <v>0</v>
      </c>
      <c r="H19" s="19">
        <v>0</v>
      </c>
      <c r="I19" s="19">
        <v>0</v>
      </c>
      <c r="J19" s="57">
        <v>0</v>
      </c>
      <c r="K19" s="75">
        <f t="shared" si="2"/>
        <v>0</v>
      </c>
      <c r="L19" s="75">
        <f t="shared" si="0"/>
        <v>0</v>
      </c>
    </row>
    <row r="20" spans="1:12">
      <c r="A20" s="1" t="s">
        <v>3</v>
      </c>
      <c r="B20" s="6" t="s">
        <v>37</v>
      </c>
      <c r="C20" s="19">
        <v>0</v>
      </c>
      <c r="D20" s="20">
        <v>0.20833333333333334</v>
      </c>
      <c r="E20" s="57">
        <f>SUM(C20:D20)</f>
        <v>0.20833333333333334</v>
      </c>
      <c r="F20" s="18">
        <v>0</v>
      </c>
      <c r="G20" s="19">
        <v>0</v>
      </c>
      <c r="H20" s="19">
        <v>0</v>
      </c>
      <c r="I20" s="19">
        <v>0</v>
      </c>
      <c r="J20" s="57">
        <v>0</v>
      </c>
      <c r="K20" s="75">
        <f t="shared" si="2"/>
        <v>0</v>
      </c>
      <c r="L20" s="75">
        <f t="shared" si="0"/>
        <v>0.20833333333333334</v>
      </c>
    </row>
    <row r="21" spans="1:12">
      <c r="A21" s="1" t="s">
        <v>3</v>
      </c>
      <c r="B21" s="6" t="s">
        <v>39</v>
      </c>
      <c r="C21" s="19">
        <v>0</v>
      </c>
      <c r="D21" s="20">
        <v>0</v>
      </c>
      <c r="E21" s="57"/>
      <c r="F21" s="18">
        <v>0</v>
      </c>
      <c r="G21" s="19">
        <v>0</v>
      </c>
      <c r="H21" s="19">
        <v>0</v>
      </c>
      <c r="I21" s="19">
        <v>0</v>
      </c>
      <c r="J21" s="57">
        <v>0</v>
      </c>
      <c r="K21" s="75">
        <f t="shared" si="2"/>
        <v>0</v>
      </c>
      <c r="L21" s="75">
        <f t="shared" si="0"/>
        <v>0</v>
      </c>
    </row>
    <row r="22" spans="1:12">
      <c r="A22" s="1" t="s">
        <v>3</v>
      </c>
      <c r="B22" s="6" t="s">
        <v>40</v>
      </c>
      <c r="C22" s="19">
        <v>0</v>
      </c>
      <c r="D22" s="20">
        <v>0</v>
      </c>
      <c r="E22" s="57"/>
      <c r="F22" s="18">
        <v>0.125</v>
      </c>
      <c r="G22" s="19">
        <v>0.20833333333333334</v>
      </c>
      <c r="H22" s="19">
        <v>0.125</v>
      </c>
      <c r="I22" s="19">
        <v>8.3333333333333329E-2</v>
      </c>
      <c r="J22" s="57">
        <v>0</v>
      </c>
      <c r="K22" s="75">
        <f t="shared" si="2"/>
        <v>0.54166666666666674</v>
      </c>
      <c r="L22" s="75">
        <f t="shared" si="0"/>
        <v>0.54166666666666674</v>
      </c>
    </row>
    <row r="23" spans="1:12" ht="19.5" thickBot="1">
      <c r="A23" s="1" t="s">
        <v>3</v>
      </c>
      <c r="B23" s="7" t="s">
        <v>41</v>
      </c>
      <c r="C23" s="42">
        <v>31</v>
      </c>
      <c r="D23" s="43">
        <v>26</v>
      </c>
      <c r="E23" s="58">
        <f>SUM(C23:D23)</f>
        <v>57</v>
      </c>
      <c r="F23" s="41">
        <v>11</v>
      </c>
      <c r="G23" s="42">
        <v>19</v>
      </c>
      <c r="H23" s="42">
        <v>22</v>
      </c>
      <c r="I23" s="42">
        <v>20</v>
      </c>
      <c r="J23" s="58">
        <v>13</v>
      </c>
      <c r="K23" s="76">
        <f>SUM(F23:J23)</f>
        <v>85</v>
      </c>
      <c r="L23" s="76">
        <f t="shared" si="0"/>
        <v>142</v>
      </c>
    </row>
    <row r="24" spans="1:12">
      <c r="A24" s="1" t="s">
        <v>3</v>
      </c>
      <c r="B24" s="27" t="s">
        <v>42</v>
      </c>
      <c r="C24" s="38">
        <v>365000</v>
      </c>
      <c r="D24" s="39">
        <v>0</v>
      </c>
      <c r="E24" s="59">
        <f>SUM(C24:D24)</f>
        <v>365000</v>
      </c>
      <c r="F24" s="37">
        <v>187000</v>
      </c>
      <c r="G24" s="38">
        <v>187000</v>
      </c>
      <c r="H24" s="38">
        <v>182000</v>
      </c>
      <c r="I24" s="38">
        <v>187000</v>
      </c>
      <c r="J24" s="59">
        <v>170000</v>
      </c>
      <c r="K24" s="77">
        <f>SUM(F24:J24)</f>
        <v>913000</v>
      </c>
      <c r="L24" s="77">
        <f t="shared" si="0"/>
        <v>1278000</v>
      </c>
    </row>
    <row r="25" spans="1:12">
      <c r="A25" s="1" t="s">
        <v>3</v>
      </c>
      <c r="B25" s="6" t="s">
        <v>43</v>
      </c>
      <c r="C25" s="22">
        <v>0</v>
      </c>
      <c r="D25" s="23">
        <v>0</v>
      </c>
      <c r="E25" s="60"/>
      <c r="F25" s="21">
        <v>0</v>
      </c>
      <c r="G25" s="22">
        <v>0</v>
      </c>
      <c r="H25" s="22">
        <v>0</v>
      </c>
      <c r="I25" s="22">
        <v>0</v>
      </c>
      <c r="J25" s="60">
        <v>0</v>
      </c>
      <c r="K25" s="78">
        <f t="shared" ref="K25:K64" si="3">SUM(F25:J25)</f>
        <v>0</v>
      </c>
      <c r="L25" s="78">
        <f t="shared" si="0"/>
        <v>0</v>
      </c>
    </row>
    <row r="26" spans="1:12">
      <c r="A26" s="1" t="s">
        <v>3</v>
      </c>
      <c r="B26" s="6" t="s">
        <v>44</v>
      </c>
      <c r="C26" s="22">
        <v>0</v>
      </c>
      <c r="D26" s="23">
        <v>0</v>
      </c>
      <c r="E26" s="60"/>
      <c r="F26" s="21">
        <v>6000</v>
      </c>
      <c r="G26" s="22">
        <v>0</v>
      </c>
      <c r="H26" s="22">
        <v>6000</v>
      </c>
      <c r="I26" s="22">
        <v>0</v>
      </c>
      <c r="J26" s="60">
        <v>0</v>
      </c>
      <c r="K26" s="78">
        <f t="shared" si="3"/>
        <v>12000</v>
      </c>
      <c r="L26" s="78">
        <f t="shared" si="0"/>
        <v>12000</v>
      </c>
    </row>
    <row r="27" spans="1:12">
      <c r="A27" s="1" t="s">
        <v>3</v>
      </c>
      <c r="B27" s="6" t="s">
        <v>45</v>
      </c>
      <c r="C27" s="22">
        <v>0</v>
      </c>
      <c r="D27" s="23">
        <v>0</v>
      </c>
      <c r="E27" s="60"/>
      <c r="F27" s="21">
        <v>0</v>
      </c>
      <c r="G27" s="22">
        <v>0</v>
      </c>
      <c r="H27" s="22">
        <v>0</v>
      </c>
      <c r="I27" s="22">
        <v>0</v>
      </c>
      <c r="J27" s="60">
        <v>0</v>
      </c>
      <c r="K27" s="78">
        <f t="shared" si="3"/>
        <v>0</v>
      </c>
      <c r="L27" s="78">
        <f t="shared" si="0"/>
        <v>0</v>
      </c>
    </row>
    <row r="28" spans="1:12">
      <c r="A28" s="1" t="s">
        <v>3</v>
      </c>
      <c r="B28" s="6" t="s">
        <v>46</v>
      </c>
      <c r="C28" s="22">
        <v>0</v>
      </c>
      <c r="D28" s="23">
        <v>0</v>
      </c>
      <c r="E28" s="60"/>
      <c r="F28" s="21">
        <v>72650</v>
      </c>
      <c r="G28" s="22">
        <v>59136</v>
      </c>
      <c r="H28" s="22">
        <v>42450</v>
      </c>
      <c r="I28" s="22">
        <v>52096</v>
      </c>
      <c r="J28" s="60">
        <v>43520</v>
      </c>
      <c r="K28" s="78">
        <f t="shared" si="3"/>
        <v>269852</v>
      </c>
      <c r="L28" s="78">
        <f t="shared" si="0"/>
        <v>269852</v>
      </c>
    </row>
    <row r="29" spans="1:12">
      <c r="A29" s="1" t="s">
        <v>3</v>
      </c>
      <c r="B29" s="6" t="s">
        <v>50</v>
      </c>
      <c r="C29" s="22">
        <v>0</v>
      </c>
      <c r="D29" s="23">
        <v>84480</v>
      </c>
      <c r="E29" s="60">
        <f>SUM(C29:D29)</f>
        <v>84480</v>
      </c>
      <c r="F29" s="21">
        <v>0</v>
      </c>
      <c r="G29" s="22">
        <v>0</v>
      </c>
      <c r="H29" s="22">
        <v>0</v>
      </c>
      <c r="I29" s="22">
        <v>0</v>
      </c>
      <c r="J29" s="60">
        <v>0</v>
      </c>
      <c r="K29" s="78">
        <f t="shared" si="3"/>
        <v>0</v>
      </c>
      <c r="L29" s="78">
        <f t="shared" si="0"/>
        <v>84480</v>
      </c>
    </row>
    <row r="30" spans="1:12">
      <c r="A30" s="1" t="s">
        <v>3</v>
      </c>
      <c r="B30" s="6" t="s">
        <v>52</v>
      </c>
      <c r="C30" s="22">
        <v>0</v>
      </c>
      <c r="D30" s="23">
        <v>0</v>
      </c>
      <c r="E30" s="60"/>
      <c r="F30" s="21">
        <v>0</v>
      </c>
      <c r="G30" s="22">
        <v>0</v>
      </c>
      <c r="H30" s="22">
        <v>0</v>
      </c>
      <c r="I30" s="22">
        <v>0</v>
      </c>
      <c r="J30" s="60">
        <v>0</v>
      </c>
      <c r="K30" s="78">
        <f t="shared" si="3"/>
        <v>0</v>
      </c>
      <c r="L30" s="78">
        <f t="shared" si="0"/>
        <v>0</v>
      </c>
    </row>
    <row r="31" spans="1:12">
      <c r="A31" s="1" t="s">
        <v>3</v>
      </c>
      <c r="B31" s="6" t="s">
        <v>53</v>
      </c>
      <c r="C31" s="22">
        <v>0</v>
      </c>
      <c r="D31" s="23">
        <v>0</v>
      </c>
      <c r="E31" s="60"/>
      <c r="F31" s="21">
        <v>0</v>
      </c>
      <c r="G31" s="22">
        <v>0</v>
      </c>
      <c r="H31" s="22">
        <v>0</v>
      </c>
      <c r="I31" s="22">
        <v>0</v>
      </c>
      <c r="J31" s="60">
        <v>0</v>
      </c>
      <c r="K31" s="78">
        <f t="shared" si="3"/>
        <v>0</v>
      </c>
      <c r="L31" s="78">
        <f t="shared" si="0"/>
        <v>0</v>
      </c>
    </row>
    <row r="32" spans="1:12">
      <c r="A32" s="1" t="s">
        <v>3</v>
      </c>
      <c r="B32" s="6" t="s">
        <v>54</v>
      </c>
      <c r="C32" s="22">
        <v>0</v>
      </c>
      <c r="D32" s="23">
        <v>0</v>
      </c>
      <c r="E32" s="60"/>
      <c r="F32" s="21">
        <v>1000</v>
      </c>
      <c r="G32" s="22">
        <v>1000</v>
      </c>
      <c r="H32" s="22">
        <v>1000</v>
      </c>
      <c r="I32" s="22">
        <v>1000</v>
      </c>
      <c r="J32" s="60">
        <v>1000</v>
      </c>
      <c r="K32" s="78">
        <f t="shared" si="3"/>
        <v>5000</v>
      </c>
      <c r="L32" s="78">
        <f t="shared" si="0"/>
        <v>5000</v>
      </c>
    </row>
    <row r="33" spans="1:12">
      <c r="A33" s="1" t="s">
        <v>3</v>
      </c>
      <c r="B33" s="6" t="s">
        <v>55</v>
      </c>
      <c r="C33" s="22">
        <v>0</v>
      </c>
      <c r="D33" s="23">
        <v>4800</v>
      </c>
      <c r="E33" s="60">
        <f>SUM(C33:D33)</f>
        <v>4800</v>
      </c>
      <c r="F33" s="21">
        <v>0</v>
      </c>
      <c r="G33" s="22">
        <v>0</v>
      </c>
      <c r="H33" s="22">
        <v>0</v>
      </c>
      <c r="I33" s="22">
        <v>0</v>
      </c>
      <c r="J33" s="60">
        <v>0</v>
      </c>
      <c r="K33" s="78">
        <f t="shared" si="3"/>
        <v>0</v>
      </c>
      <c r="L33" s="78">
        <f t="shared" si="0"/>
        <v>4800</v>
      </c>
    </row>
    <row r="34" spans="1:12">
      <c r="A34" s="1" t="s">
        <v>3</v>
      </c>
      <c r="B34" s="6" t="s">
        <v>57</v>
      </c>
      <c r="C34" s="22">
        <v>0</v>
      </c>
      <c r="D34" s="23">
        <v>0</v>
      </c>
      <c r="E34" s="60"/>
      <c r="F34" s="21">
        <v>0</v>
      </c>
      <c r="G34" s="22">
        <v>0</v>
      </c>
      <c r="H34" s="22">
        <v>0</v>
      </c>
      <c r="I34" s="22">
        <v>0</v>
      </c>
      <c r="J34" s="60">
        <v>0</v>
      </c>
      <c r="K34" s="78">
        <f t="shared" si="3"/>
        <v>0</v>
      </c>
      <c r="L34" s="78">
        <f t="shared" si="0"/>
        <v>0</v>
      </c>
    </row>
    <row r="35" spans="1:12">
      <c r="A35" s="1" t="s">
        <v>3</v>
      </c>
      <c r="B35" s="6" t="s">
        <v>60</v>
      </c>
      <c r="C35" s="22">
        <v>0</v>
      </c>
      <c r="D35" s="23">
        <v>0</v>
      </c>
      <c r="E35" s="60"/>
      <c r="F35" s="21">
        <v>0</v>
      </c>
      <c r="G35" s="22">
        <v>0</v>
      </c>
      <c r="H35" s="22">
        <v>0</v>
      </c>
      <c r="I35" s="22">
        <v>0</v>
      </c>
      <c r="J35" s="60">
        <v>0</v>
      </c>
      <c r="K35" s="78">
        <f t="shared" si="3"/>
        <v>0</v>
      </c>
      <c r="L35" s="78">
        <f t="shared" si="0"/>
        <v>0</v>
      </c>
    </row>
    <row r="36" spans="1:12">
      <c r="A36" s="1" t="s">
        <v>3</v>
      </c>
      <c r="B36" s="6" t="s">
        <v>61</v>
      </c>
      <c r="C36" s="22">
        <v>0</v>
      </c>
      <c r="D36" s="23">
        <v>0</v>
      </c>
      <c r="E36" s="60"/>
      <c r="F36" s="21">
        <v>0</v>
      </c>
      <c r="G36" s="22">
        <v>0</v>
      </c>
      <c r="H36" s="22">
        <v>0</v>
      </c>
      <c r="I36" s="22">
        <v>0</v>
      </c>
      <c r="J36" s="60">
        <v>0</v>
      </c>
      <c r="K36" s="78">
        <f t="shared" si="3"/>
        <v>0</v>
      </c>
      <c r="L36" s="78">
        <f t="shared" si="0"/>
        <v>0</v>
      </c>
    </row>
    <row r="37" spans="1:12">
      <c r="A37" s="1" t="s">
        <v>3</v>
      </c>
      <c r="B37" s="6" t="s">
        <v>62</v>
      </c>
      <c r="C37" s="22">
        <v>0</v>
      </c>
      <c r="D37" s="23">
        <v>0</v>
      </c>
      <c r="E37" s="60"/>
      <c r="F37" s="21">
        <v>0</v>
      </c>
      <c r="G37" s="22">
        <v>0</v>
      </c>
      <c r="H37" s="22">
        <v>0</v>
      </c>
      <c r="I37" s="22">
        <v>0</v>
      </c>
      <c r="J37" s="60">
        <v>0</v>
      </c>
      <c r="K37" s="78">
        <f t="shared" si="3"/>
        <v>0</v>
      </c>
      <c r="L37" s="78">
        <f t="shared" si="0"/>
        <v>0</v>
      </c>
    </row>
    <row r="38" spans="1:12">
      <c r="A38" s="1" t="s">
        <v>3</v>
      </c>
      <c r="B38" s="6" t="s">
        <v>63</v>
      </c>
      <c r="C38" s="22">
        <v>0</v>
      </c>
      <c r="D38" s="23">
        <v>0</v>
      </c>
      <c r="E38" s="60"/>
      <c r="F38" s="21">
        <v>0</v>
      </c>
      <c r="G38" s="22">
        <v>0</v>
      </c>
      <c r="H38" s="22">
        <v>0</v>
      </c>
      <c r="I38" s="22">
        <v>0</v>
      </c>
      <c r="J38" s="60">
        <v>0</v>
      </c>
      <c r="K38" s="78">
        <f t="shared" si="3"/>
        <v>0</v>
      </c>
      <c r="L38" s="78">
        <f t="shared" si="0"/>
        <v>0</v>
      </c>
    </row>
    <row r="39" spans="1:12">
      <c r="A39" s="1" t="s">
        <v>3</v>
      </c>
      <c r="B39" s="6" t="s">
        <v>30</v>
      </c>
      <c r="C39" s="22">
        <v>0</v>
      </c>
      <c r="D39" s="23">
        <v>0</v>
      </c>
      <c r="E39" s="60"/>
      <c r="F39" s="21">
        <v>27607</v>
      </c>
      <c r="G39" s="22">
        <v>38016</v>
      </c>
      <c r="H39" s="22">
        <v>58015</v>
      </c>
      <c r="I39" s="22">
        <v>45056</v>
      </c>
      <c r="J39" s="60">
        <v>33280</v>
      </c>
      <c r="K39" s="78">
        <f t="shared" si="3"/>
        <v>201974</v>
      </c>
      <c r="L39" s="78">
        <f t="shared" si="0"/>
        <v>201974</v>
      </c>
    </row>
    <row r="40" spans="1:12">
      <c r="A40" s="1" t="s">
        <v>3</v>
      </c>
      <c r="B40" s="6" t="s">
        <v>65</v>
      </c>
      <c r="C40" s="22">
        <v>0</v>
      </c>
      <c r="D40" s="23">
        <v>0</v>
      </c>
      <c r="E40" s="60"/>
      <c r="F40" s="21">
        <v>12552</v>
      </c>
      <c r="G40" s="22">
        <v>15200</v>
      </c>
      <c r="H40" s="22">
        <v>24448</v>
      </c>
      <c r="I40" s="22">
        <v>16720</v>
      </c>
      <c r="J40" s="60">
        <v>29022</v>
      </c>
      <c r="K40" s="78">
        <f t="shared" si="3"/>
        <v>97942</v>
      </c>
      <c r="L40" s="78">
        <f t="shared" si="0"/>
        <v>97942</v>
      </c>
    </row>
    <row r="41" spans="1:12">
      <c r="A41" s="1" t="s">
        <v>3</v>
      </c>
      <c r="B41" s="6" t="s">
        <v>66</v>
      </c>
      <c r="C41" s="22">
        <v>0</v>
      </c>
      <c r="D41" s="23">
        <v>0</v>
      </c>
      <c r="E41" s="60"/>
      <c r="F41" s="21">
        <v>0</v>
      </c>
      <c r="G41" s="22">
        <v>7600</v>
      </c>
      <c r="H41" s="22">
        <v>0</v>
      </c>
      <c r="I41" s="22">
        <v>0</v>
      </c>
      <c r="J41" s="60">
        <v>0</v>
      </c>
      <c r="K41" s="78">
        <f t="shared" si="3"/>
        <v>7600</v>
      </c>
      <c r="L41" s="78">
        <f t="shared" si="0"/>
        <v>7600</v>
      </c>
    </row>
    <row r="42" spans="1:12">
      <c r="A42" s="1" t="s">
        <v>3</v>
      </c>
      <c r="B42" s="6" t="s">
        <v>67</v>
      </c>
      <c r="C42" s="22">
        <v>0</v>
      </c>
      <c r="D42" s="23">
        <v>0</v>
      </c>
      <c r="E42" s="60"/>
      <c r="F42" s="21">
        <v>0</v>
      </c>
      <c r="G42" s="22">
        <v>0</v>
      </c>
      <c r="H42" s="22">
        <v>0</v>
      </c>
      <c r="I42" s="22">
        <v>0</v>
      </c>
      <c r="J42" s="60">
        <v>0</v>
      </c>
      <c r="K42" s="78">
        <f t="shared" si="3"/>
        <v>0</v>
      </c>
      <c r="L42" s="78">
        <f t="shared" si="0"/>
        <v>0</v>
      </c>
    </row>
    <row r="43" spans="1:12">
      <c r="A43" s="1" t="s">
        <v>3</v>
      </c>
      <c r="B43" s="6" t="s">
        <v>68</v>
      </c>
      <c r="C43" s="22">
        <v>0</v>
      </c>
      <c r="D43" s="23">
        <v>0</v>
      </c>
      <c r="E43" s="60"/>
      <c r="F43" s="21">
        <v>0</v>
      </c>
      <c r="G43" s="22">
        <v>0</v>
      </c>
      <c r="H43" s="22">
        <v>0</v>
      </c>
      <c r="I43" s="22">
        <v>0</v>
      </c>
      <c r="J43" s="60">
        <v>2864</v>
      </c>
      <c r="K43" s="78">
        <f t="shared" si="3"/>
        <v>2864</v>
      </c>
      <c r="L43" s="78">
        <f t="shared" si="0"/>
        <v>2864</v>
      </c>
    </row>
    <row r="44" spans="1:12">
      <c r="A44" s="1" t="s">
        <v>3</v>
      </c>
      <c r="B44" s="6" t="s">
        <v>69</v>
      </c>
      <c r="C44" s="22">
        <v>0</v>
      </c>
      <c r="D44" s="23">
        <v>0</v>
      </c>
      <c r="E44" s="60"/>
      <c r="F44" s="21">
        <v>0</v>
      </c>
      <c r="G44" s="22">
        <v>0</v>
      </c>
      <c r="H44" s="22">
        <v>0</v>
      </c>
      <c r="I44" s="22">
        <v>0</v>
      </c>
      <c r="J44" s="60">
        <v>0</v>
      </c>
      <c r="K44" s="78">
        <f t="shared" si="3"/>
        <v>0</v>
      </c>
      <c r="L44" s="78">
        <f t="shared" si="0"/>
        <v>0</v>
      </c>
    </row>
    <row r="45" spans="1:12">
      <c r="A45" s="1" t="s">
        <v>3</v>
      </c>
      <c r="B45" s="6" t="s">
        <v>35</v>
      </c>
      <c r="C45" s="22">
        <v>0</v>
      </c>
      <c r="D45" s="23">
        <v>0</v>
      </c>
      <c r="E45" s="60"/>
      <c r="F45" s="21">
        <v>0</v>
      </c>
      <c r="G45" s="22">
        <v>0</v>
      </c>
      <c r="H45" s="22">
        <v>0</v>
      </c>
      <c r="I45" s="22">
        <v>0</v>
      </c>
      <c r="J45" s="60">
        <v>0</v>
      </c>
      <c r="K45" s="78">
        <f t="shared" si="3"/>
        <v>0</v>
      </c>
      <c r="L45" s="78">
        <f t="shared" si="0"/>
        <v>0</v>
      </c>
    </row>
    <row r="46" spans="1:12" ht="19.5" thickBot="1">
      <c r="A46" s="1" t="s">
        <v>3</v>
      </c>
      <c r="B46" s="45" t="s">
        <v>40</v>
      </c>
      <c r="C46" s="47">
        <v>0</v>
      </c>
      <c r="D46" s="48">
        <v>0</v>
      </c>
      <c r="E46" s="61"/>
      <c r="F46" s="46">
        <v>873</v>
      </c>
      <c r="G46" s="47">
        <v>1410</v>
      </c>
      <c r="H46" s="47">
        <v>849</v>
      </c>
      <c r="I46" s="47">
        <v>564</v>
      </c>
      <c r="J46" s="61">
        <v>0</v>
      </c>
      <c r="K46" s="79">
        <f t="shared" si="3"/>
        <v>3696</v>
      </c>
      <c r="L46" s="79">
        <f t="shared" si="0"/>
        <v>3696</v>
      </c>
    </row>
    <row r="47" spans="1:12" ht="19.5" thickBot="1">
      <c r="A47" s="1" t="s">
        <v>3</v>
      </c>
      <c r="B47" s="50" t="s">
        <v>70</v>
      </c>
      <c r="C47" s="52">
        <v>365000</v>
      </c>
      <c r="D47" s="53">
        <v>89280</v>
      </c>
      <c r="E47" s="62">
        <f>SUM(C47:D47)</f>
        <v>454280</v>
      </c>
      <c r="F47" s="51">
        <v>307682</v>
      </c>
      <c r="G47" s="52">
        <v>309362</v>
      </c>
      <c r="H47" s="52">
        <v>314762</v>
      </c>
      <c r="I47" s="52">
        <v>302436</v>
      </c>
      <c r="J47" s="62">
        <v>279686</v>
      </c>
      <c r="K47" s="80">
        <f t="shared" si="3"/>
        <v>1513928</v>
      </c>
      <c r="L47" s="80">
        <f t="shared" si="0"/>
        <v>1968208</v>
      </c>
    </row>
    <row r="48" spans="1:12" ht="19.5" thickBot="1">
      <c r="A48" s="1" t="s">
        <v>3</v>
      </c>
      <c r="B48" s="27" t="s">
        <v>71</v>
      </c>
      <c r="C48" s="38">
        <v>6115</v>
      </c>
      <c r="D48" s="39">
        <v>3321</v>
      </c>
      <c r="E48" s="39">
        <f t="shared" ref="E48:E64" si="4">SUM(C48:D48)</f>
        <v>9436</v>
      </c>
      <c r="F48" s="37">
        <v>7274</v>
      </c>
      <c r="G48" s="38">
        <v>5693</v>
      </c>
      <c r="H48" s="38">
        <v>10753</v>
      </c>
      <c r="I48" s="38">
        <v>1740</v>
      </c>
      <c r="J48" s="59">
        <v>7274</v>
      </c>
      <c r="K48" s="77">
        <f t="shared" si="3"/>
        <v>32734</v>
      </c>
      <c r="L48" s="77">
        <f t="shared" si="0"/>
        <v>42170</v>
      </c>
    </row>
    <row r="49" spans="1:12" ht="19.5" thickBot="1">
      <c r="A49" s="1" t="s">
        <v>3</v>
      </c>
      <c r="B49" s="50" t="s">
        <v>73</v>
      </c>
      <c r="C49" s="52">
        <v>6115</v>
      </c>
      <c r="D49" s="53">
        <v>3321</v>
      </c>
      <c r="E49" s="53">
        <f t="shared" si="4"/>
        <v>9436</v>
      </c>
      <c r="F49" s="51">
        <v>7274</v>
      </c>
      <c r="G49" s="52">
        <v>5693</v>
      </c>
      <c r="H49" s="52">
        <v>10753</v>
      </c>
      <c r="I49" s="52">
        <v>1740</v>
      </c>
      <c r="J49" s="62">
        <v>7274</v>
      </c>
      <c r="K49" s="80">
        <f t="shared" si="3"/>
        <v>32734</v>
      </c>
      <c r="L49" s="80">
        <f t="shared" si="0"/>
        <v>42170</v>
      </c>
    </row>
    <row r="50" spans="1:12" ht="19.5" thickBot="1">
      <c r="A50" s="1" t="s">
        <v>3</v>
      </c>
      <c r="B50" s="50" t="s">
        <v>74</v>
      </c>
      <c r="C50" s="52">
        <v>371115</v>
      </c>
      <c r="D50" s="53">
        <v>92601</v>
      </c>
      <c r="E50" s="53">
        <f t="shared" si="4"/>
        <v>463716</v>
      </c>
      <c r="F50" s="51">
        <v>314956</v>
      </c>
      <c r="G50" s="52">
        <v>315055</v>
      </c>
      <c r="H50" s="52">
        <v>325515</v>
      </c>
      <c r="I50" s="52">
        <v>304176</v>
      </c>
      <c r="J50" s="62">
        <v>286960</v>
      </c>
      <c r="K50" s="80">
        <f t="shared" si="3"/>
        <v>1546662</v>
      </c>
      <c r="L50" s="80">
        <f t="shared" si="0"/>
        <v>2010378</v>
      </c>
    </row>
    <row r="51" spans="1:12">
      <c r="A51" s="1" t="s">
        <v>3</v>
      </c>
      <c r="B51" s="27" t="s">
        <v>75</v>
      </c>
      <c r="C51" s="38">
        <v>18360</v>
      </c>
      <c r="D51" s="39">
        <v>0</v>
      </c>
      <c r="E51" s="39">
        <f t="shared" si="4"/>
        <v>18360</v>
      </c>
      <c r="F51" s="37">
        <v>16320</v>
      </c>
      <c r="G51" s="38">
        <v>17340</v>
      </c>
      <c r="H51" s="38">
        <v>16320</v>
      </c>
      <c r="I51" s="38">
        <v>16320</v>
      </c>
      <c r="J51" s="59">
        <v>13260</v>
      </c>
      <c r="K51" s="77">
        <f t="shared" si="3"/>
        <v>79560</v>
      </c>
      <c r="L51" s="77">
        <f t="shared" si="0"/>
        <v>97920</v>
      </c>
    </row>
    <row r="52" spans="1:12">
      <c r="A52" s="1" t="s">
        <v>3</v>
      </c>
      <c r="B52" s="6" t="s">
        <v>76</v>
      </c>
      <c r="C52" s="22">
        <v>3240</v>
      </c>
      <c r="D52" s="23">
        <v>0</v>
      </c>
      <c r="E52" s="23">
        <f t="shared" si="4"/>
        <v>3240</v>
      </c>
      <c r="F52" s="21">
        <v>0</v>
      </c>
      <c r="G52" s="22">
        <v>3060</v>
      </c>
      <c r="H52" s="22">
        <v>2880</v>
      </c>
      <c r="I52" s="22">
        <v>2880</v>
      </c>
      <c r="J52" s="60">
        <v>2340</v>
      </c>
      <c r="K52" s="78">
        <f t="shared" si="3"/>
        <v>11160</v>
      </c>
      <c r="L52" s="78">
        <f t="shared" si="0"/>
        <v>14400</v>
      </c>
    </row>
    <row r="53" spans="1:12">
      <c r="A53" s="1" t="s">
        <v>3</v>
      </c>
      <c r="B53" s="6" t="s">
        <v>77</v>
      </c>
      <c r="C53" s="22">
        <v>32940</v>
      </c>
      <c r="D53" s="23">
        <v>0</v>
      </c>
      <c r="E53" s="23">
        <f t="shared" si="4"/>
        <v>32940</v>
      </c>
      <c r="F53" s="21">
        <v>29280</v>
      </c>
      <c r="G53" s="22">
        <v>31110</v>
      </c>
      <c r="H53" s="22">
        <v>29280</v>
      </c>
      <c r="I53" s="22">
        <v>29280</v>
      </c>
      <c r="J53" s="60">
        <v>23790</v>
      </c>
      <c r="K53" s="78">
        <f t="shared" si="3"/>
        <v>142740</v>
      </c>
      <c r="L53" s="78">
        <f t="shared" si="0"/>
        <v>175680</v>
      </c>
    </row>
    <row r="54" spans="1:12" ht="19.5" thickBot="1">
      <c r="A54" s="1" t="s">
        <v>3</v>
      </c>
      <c r="B54" s="6" t="s">
        <v>78</v>
      </c>
      <c r="C54" s="22">
        <v>1113</v>
      </c>
      <c r="D54" s="23">
        <v>278</v>
      </c>
      <c r="E54" s="23">
        <f t="shared" si="4"/>
        <v>1391</v>
      </c>
      <c r="F54" s="21">
        <v>945</v>
      </c>
      <c r="G54" s="22">
        <v>945</v>
      </c>
      <c r="H54" s="22">
        <v>977</v>
      </c>
      <c r="I54" s="22">
        <v>913</v>
      </c>
      <c r="J54" s="60">
        <v>861</v>
      </c>
      <c r="K54" s="78">
        <f t="shared" si="3"/>
        <v>4641</v>
      </c>
      <c r="L54" s="78">
        <f t="shared" si="0"/>
        <v>6032</v>
      </c>
    </row>
    <row r="55" spans="1:12" ht="19.5" thickBot="1">
      <c r="A55" s="1" t="s">
        <v>3</v>
      </c>
      <c r="B55" s="50" t="s">
        <v>80</v>
      </c>
      <c r="C55" s="52">
        <v>55653</v>
      </c>
      <c r="D55" s="53">
        <v>278</v>
      </c>
      <c r="E55" s="53">
        <f t="shared" si="4"/>
        <v>55931</v>
      </c>
      <c r="F55" s="51">
        <v>46545</v>
      </c>
      <c r="G55" s="52">
        <v>52455</v>
      </c>
      <c r="H55" s="52">
        <v>49457</v>
      </c>
      <c r="I55" s="52">
        <v>49393</v>
      </c>
      <c r="J55" s="62">
        <v>40251</v>
      </c>
      <c r="K55" s="80">
        <f t="shared" si="3"/>
        <v>238101</v>
      </c>
      <c r="L55" s="80">
        <f t="shared" si="0"/>
        <v>294032</v>
      </c>
    </row>
    <row r="56" spans="1:12">
      <c r="A56" s="1" t="s">
        <v>3</v>
      </c>
      <c r="B56" s="27" t="s">
        <v>81</v>
      </c>
      <c r="C56" s="38">
        <v>9140</v>
      </c>
      <c r="D56" s="39">
        <v>160</v>
      </c>
      <c r="E56" s="39">
        <f t="shared" si="4"/>
        <v>9300</v>
      </c>
      <c r="F56" s="37">
        <v>6950</v>
      </c>
      <c r="G56" s="38">
        <v>5180</v>
      </c>
      <c r="H56" s="38">
        <v>5480</v>
      </c>
      <c r="I56" s="38">
        <v>5040</v>
      </c>
      <c r="J56" s="59">
        <v>6170</v>
      </c>
      <c r="K56" s="77">
        <f t="shared" si="3"/>
        <v>28820</v>
      </c>
      <c r="L56" s="77">
        <f t="shared" si="0"/>
        <v>38120</v>
      </c>
    </row>
    <row r="57" spans="1:12">
      <c r="A57" s="1" t="s">
        <v>3</v>
      </c>
      <c r="B57" s="6" t="s">
        <v>82</v>
      </c>
      <c r="C57" s="22">
        <v>0</v>
      </c>
      <c r="D57" s="23">
        <v>0</v>
      </c>
      <c r="E57" s="23">
        <f t="shared" si="4"/>
        <v>0</v>
      </c>
      <c r="F57" s="21">
        <v>0</v>
      </c>
      <c r="G57" s="22">
        <v>0</v>
      </c>
      <c r="H57" s="22">
        <v>0</v>
      </c>
      <c r="I57" s="22">
        <v>0</v>
      </c>
      <c r="J57" s="60">
        <v>0</v>
      </c>
      <c r="K57" s="78">
        <f t="shared" si="3"/>
        <v>0</v>
      </c>
      <c r="L57" s="78">
        <f t="shared" ref="L57:L64" si="5">E57+K57</f>
        <v>0</v>
      </c>
    </row>
    <row r="58" spans="1:12">
      <c r="A58" s="1" t="s">
        <v>3</v>
      </c>
      <c r="B58" s="6" t="s">
        <v>83</v>
      </c>
      <c r="C58" s="22">
        <v>20200</v>
      </c>
      <c r="D58" s="23">
        <v>500</v>
      </c>
      <c r="E58" s="23">
        <f t="shared" si="4"/>
        <v>20700</v>
      </c>
      <c r="F58" s="21">
        <v>14600</v>
      </c>
      <c r="G58" s="22">
        <v>11000</v>
      </c>
      <c r="H58" s="22">
        <v>8300</v>
      </c>
      <c r="I58" s="22">
        <v>3900</v>
      </c>
      <c r="J58" s="60">
        <v>8900</v>
      </c>
      <c r="K58" s="78">
        <f t="shared" si="3"/>
        <v>46700</v>
      </c>
      <c r="L58" s="78">
        <f t="shared" si="5"/>
        <v>67400</v>
      </c>
    </row>
    <row r="59" spans="1:12" ht="19.5" thickBot="1">
      <c r="A59" s="1" t="s">
        <v>3</v>
      </c>
      <c r="B59" s="6" t="s">
        <v>84</v>
      </c>
      <c r="C59" s="22">
        <v>0</v>
      </c>
      <c r="D59" s="23">
        <v>0</v>
      </c>
      <c r="E59" s="23">
        <f t="shared" si="4"/>
        <v>0</v>
      </c>
      <c r="F59" s="21">
        <v>0</v>
      </c>
      <c r="G59" s="22">
        <v>5000</v>
      </c>
      <c r="H59" s="22">
        <v>0</v>
      </c>
      <c r="I59" s="22">
        <v>0</v>
      </c>
      <c r="J59" s="60">
        <v>0</v>
      </c>
      <c r="K59" s="78">
        <f t="shared" si="3"/>
        <v>5000</v>
      </c>
      <c r="L59" s="78">
        <f t="shared" si="5"/>
        <v>5000</v>
      </c>
    </row>
    <row r="60" spans="1:12" ht="19.5" thickBot="1">
      <c r="A60" s="1" t="s">
        <v>3</v>
      </c>
      <c r="B60" s="50" t="s">
        <v>88</v>
      </c>
      <c r="C60" s="52">
        <v>84993</v>
      </c>
      <c r="D60" s="53">
        <v>938</v>
      </c>
      <c r="E60" s="53">
        <f t="shared" si="4"/>
        <v>85931</v>
      </c>
      <c r="F60" s="51">
        <v>68095</v>
      </c>
      <c r="G60" s="52">
        <v>73635</v>
      </c>
      <c r="H60" s="52">
        <v>63237</v>
      </c>
      <c r="I60" s="52">
        <v>58333</v>
      </c>
      <c r="J60" s="62">
        <v>55321</v>
      </c>
      <c r="K60" s="80">
        <f t="shared" si="3"/>
        <v>318621</v>
      </c>
      <c r="L60" s="80">
        <f t="shared" si="5"/>
        <v>404552</v>
      </c>
    </row>
    <row r="61" spans="1:12" ht="19.5" thickBot="1">
      <c r="A61" s="1" t="s">
        <v>3</v>
      </c>
      <c r="B61" s="50" t="s">
        <v>89</v>
      </c>
      <c r="C61" s="52">
        <v>309347</v>
      </c>
      <c r="D61" s="53">
        <v>89002</v>
      </c>
      <c r="E61" s="53">
        <f t="shared" si="4"/>
        <v>398349</v>
      </c>
      <c r="F61" s="51">
        <v>261137</v>
      </c>
      <c r="G61" s="52">
        <v>256907</v>
      </c>
      <c r="H61" s="52">
        <v>265305</v>
      </c>
      <c r="I61" s="52">
        <v>253043</v>
      </c>
      <c r="J61" s="62">
        <v>239435</v>
      </c>
      <c r="K61" s="80">
        <f t="shared" si="3"/>
        <v>1275827</v>
      </c>
      <c r="L61" s="80">
        <f t="shared" si="5"/>
        <v>1674176</v>
      </c>
    </row>
    <row r="62" spans="1:12" ht="19.5" thickBot="1">
      <c r="A62" s="1" t="s">
        <v>3</v>
      </c>
      <c r="B62" s="50" t="s">
        <v>90</v>
      </c>
      <c r="C62" s="52">
        <v>286122</v>
      </c>
      <c r="D62" s="53">
        <v>91663</v>
      </c>
      <c r="E62" s="53">
        <f t="shared" si="4"/>
        <v>377785</v>
      </c>
      <c r="F62" s="51">
        <v>246861</v>
      </c>
      <c r="G62" s="52">
        <v>241420</v>
      </c>
      <c r="H62" s="52">
        <v>262278</v>
      </c>
      <c r="I62" s="52">
        <v>245843</v>
      </c>
      <c r="J62" s="62">
        <v>231639</v>
      </c>
      <c r="K62" s="80">
        <f t="shared" si="3"/>
        <v>1228041</v>
      </c>
      <c r="L62" s="80">
        <f t="shared" si="5"/>
        <v>1605826</v>
      </c>
    </row>
    <row r="63" spans="1:12">
      <c r="A63" s="1" t="s">
        <v>3</v>
      </c>
      <c r="B63" s="27" t="s">
        <v>91</v>
      </c>
      <c r="C63" s="38">
        <v>0</v>
      </c>
      <c r="D63" s="39">
        <v>0</v>
      </c>
      <c r="E63" s="39">
        <f t="shared" si="4"/>
        <v>0</v>
      </c>
      <c r="F63" s="37">
        <v>0</v>
      </c>
      <c r="G63" s="38">
        <v>0</v>
      </c>
      <c r="H63" s="38">
        <v>0</v>
      </c>
      <c r="I63" s="38">
        <v>0</v>
      </c>
      <c r="J63" s="59">
        <v>0</v>
      </c>
      <c r="K63" s="77">
        <f t="shared" si="3"/>
        <v>0</v>
      </c>
      <c r="L63" s="77">
        <f t="shared" si="5"/>
        <v>0</v>
      </c>
    </row>
    <row r="64" spans="1:12">
      <c r="A64" s="1" t="s">
        <v>3</v>
      </c>
      <c r="B64" s="6" t="s">
        <v>92</v>
      </c>
      <c r="C64" s="22">
        <v>286122</v>
      </c>
      <c r="D64" s="23">
        <v>91663</v>
      </c>
      <c r="E64" s="23">
        <f t="shared" si="4"/>
        <v>377785</v>
      </c>
      <c r="F64" s="21">
        <v>246861</v>
      </c>
      <c r="G64" s="22">
        <v>241420</v>
      </c>
      <c r="H64" s="22">
        <v>262278</v>
      </c>
      <c r="I64" s="22">
        <v>245843</v>
      </c>
      <c r="J64" s="60">
        <v>231639</v>
      </c>
      <c r="K64" s="78">
        <f t="shared" si="3"/>
        <v>1228041</v>
      </c>
      <c r="L64" s="78">
        <f t="shared" si="5"/>
        <v>1605826</v>
      </c>
    </row>
    <row r="65" spans="1:12">
      <c r="A65" s="1" t="s">
        <v>3</v>
      </c>
      <c r="B65" s="6" t="s">
        <v>93</v>
      </c>
      <c r="C65" s="22">
        <v>0</v>
      </c>
      <c r="D65" s="23">
        <v>0</v>
      </c>
      <c r="E65" s="23"/>
      <c r="F65" s="21">
        <v>0</v>
      </c>
      <c r="G65" s="22">
        <v>1</v>
      </c>
      <c r="H65" s="22">
        <v>1</v>
      </c>
      <c r="I65" s="22">
        <v>1</v>
      </c>
      <c r="J65" s="60">
        <v>0</v>
      </c>
      <c r="K65" s="78"/>
      <c r="L65" s="78"/>
    </row>
    <row r="66" spans="1:12" ht="19.5" thickBot="1">
      <c r="A66" s="1" t="s">
        <v>3</v>
      </c>
      <c r="B66" s="7" t="s">
        <v>94</v>
      </c>
      <c r="C66" s="25" t="s">
        <v>95</v>
      </c>
      <c r="D66" s="26" t="s">
        <v>95</v>
      </c>
      <c r="E66" s="26"/>
      <c r="F66" s="24" t="s">
        <v>95</v>
      </c>
      <c r="G66" s="25" t="s">
        <v>95</v>
      </c>
      <c r="H66" s="25" t="s">
        <v>95</v>
      </c>
      <c r="I66" s="25" t="s">
        <v>95</v>
      </c>
      <c r="J66" s="63" t="s">
        <v>95</v>
      </c>
      <c r="K66" s="81"/>
      <c r="L66" s="81"/>
    </row>
  </sheetData>
  <phoneticPr fontId="4"/>
  <pageMargins left="0.31496062992125984" right="0.31496062992125984" top="0.15748031496062992" bottom="0.15748031496062992" header="0.11811023622047245" footer="0.11811023622047245"/>
  <pageSetup paperSize="9" scale="46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2022年 8月度給与</vt:lpstr>
      <vt:lpstr>2022年 8月度給与 (2)</vt:lpstr>
      <vt:lpstr>'2022年 8月度給与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2022-09-13T01:15:00Z</cp:lastPrinted>
  <dcterms:created xsi:type="dcterms:W3CDTF">2022-09-06T07:49:26Z</dcterms:created>
  <dcterms:modified xsi:type="dcterms:W3CDTF">2022-09-13T01:15:07Z</dcterms:modified>
</cp:coreProperties>
</file>