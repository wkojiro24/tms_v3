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4\"/>
    </mc:Choice>
  </mc:AlternateContent>
  <xr:revisionPtr revIDLastSave="0" documentId="13_ncr:1_{4CE3CE86-CCCD-468B-AE11-3DA43EA2758C}" xr6:coauthVersionLast="47" xr6:coauthVersionMax="47" xr10:uidLastSave="{00000000-0000-0000-0000-000000000000}"/>
  <bookViews>
    <workbookView xWindow="-120" yWindow="-120" windowWidth="20730" windowHeight="11160" xr2:uid="{66AA226B-C753-4638-B499-3408C1399941}"/>
  </bookViews>
  <sheets>
    <sheet name="2022年 4月度給与 (3)" sheetId="4" r:id="rId1"/>
    <sheet name="2022年 4月度給与 (4)" sheetId="5" r:id="rId2"/>
  </sheets>
  <definedNames>
    <definedName name="_xlnm.Print_Area" localSheetId="0">'2022年 4月度給与 (3)'!$A$1:$O$65</definedName>
    <definedName name="_xlnm.Print_Area" localSheetId="1">'2022年 4月度給与 (4)'!$A$1:$V$65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63" i="5" l="1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19" i="5"/>
  <c r="V18" i="5"/>
  <c r="V17" i="5"/>
  <c r="V16" i="5"/>
  <c r="V15" i="5"/>
  <c r="V13" i="5"/>
  <c r="V12" i="5"/>
  <c r="V11" i="5"/>
  <c r="V10" i="5"/>
  <c r="V9" i="5"/>
  <c r="V8" i="5"/>
  <c r="V7" i="5"/>
  <c r="V6" i="5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L23" i="4"/>
  <c r="L21" i="4"/>
  <c r="L16" i="4"/>
  <c r="L15" i="4"/>
  <c r="L14" i="4"/>
  <c r="L13" i="4"/>
  <c r="L12" i="4"/>
  <c r="L11" i="4"/>
  <c r="N10" i="4"/>
  <c r="L10" i="4"/>
  <c r="L9" i="4"/>
  <c r="L8" i="4"/>
  <c r="N7" i="4"/>
  <c r="L7" i="4"/>
  <c r="N6" i="4"/>
  <c r="L6" i="4"/>
</calcChain>
</file>

<file path=xl/sharedStrings.xml><?xml version="1.0" encoding="utf-8"?>
<sst xmlns="http://schemas.openxmlformats.org/spreadsheetml/2006/main" count="343" uniqueCount="127">
  <si>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</si>
  <si>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</si>
  <si>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</si>
  <si>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</si>
  <si>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</si>
  <si>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</si>
  <si>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</si>
  <si>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</si>
  <si>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</si>
  <si>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</si>
  <si>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</si>
  <si>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</si>
  <si>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</si>
  <si>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</si>
  <si>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</si>
  <si>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</si>
  <si>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</si>
  <si>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</si>
  <si>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</si>
  <si>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</si>
  <si>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</si>
  <si>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</si>
  <si>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</si>
  <si>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1103</t>
    <phoneticPr fontId="4"/>
  </si>
  <si>
    <t>1104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</si>
  <si>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</si>
  <si>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</si>
  <si>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</si>
  <si>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</si>
  <si>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</si>
  <si>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</si>
  <si>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</si>
  <si>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</si>
  <si>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雲藤　順</t>
    <phoneticPr fontId="4"/>
  </si>
  <si>
    <t>小沼　康</t>
    <phoneticPr fontId="4"/>
  </si>
  <si>
    <t>圷　健佑</t>
    <phoneticPr fontId="4"/>
  </si>
  <si>
    <t>今野　正</t>
    <phoneticPr fontId="4"/>
  </si>
  <si>
    <t>瀬野尾　勉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</si>
  <si>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</si>
  <si>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</si>
  <si>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</si>
  <si>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</si>
  <si>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</si>
  <si>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</si>
  <si>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</si>
  <si>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</si>
  <si>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</si>
  <si>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</si>
  <si>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</si>
  <si>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</si>
  <si>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</si>
  <si>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</si>
  <si>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</si>
  <si>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</si>
  <si>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</si>
  <si>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</si>
  <si>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</si>
  <si>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</si>
  <si>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</si>
  <si>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</si>
  <si>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</si>
  <si>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</si>
  <si>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</si>
  <si>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</si>
  <si>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</si>
  <si>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</si>
  <si>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</si>
  <si>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</si>
  <si>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</si>
  <si>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</si>
  <si>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</si>
  <si>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</si>
  <si>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</si>
  <si>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</si>
  <si>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</si>
  <si>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</si>
  <si>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</si>
  <si>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</si>
  <si>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</si>
  <si>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</si>
  <si>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</si>
  <si>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</si>
  <si>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</si>
  <si>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</si>
  <si>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</si>
  <si>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</si>
  <si>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</si>
  <si>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</si>
  <si>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</si>
  <si>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</si>
  <si>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</si>
  <si>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</si>
  <si>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</si>
  <si>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</si>
  <si>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</si>
  <si>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</si>
  <si>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</si>
  <si>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4月度給与</t>
    <phoneticPr fontId="4"/>
  </si>
  <si>
    <t>小計</t>
    <rPh sb="0" eb="2">
      <t>ショウケイ</t>
    </rPh>
    <phoneticPr fontId="3"/>
  </si>
  <si>
    <t>9名</t>
    <rPh sb="1" eb="2">
      <t>メイ</t>
    </rPh>
    <phoneticPr fontId="3"/>
  </si>
  <si>
    <t>小林啓一</t>
    <phoneticPr fontId="4"/>
  </si>
  <si>
    <t>鈴木富雄</t>
    <phoneticPr fontId="4"/>
  </si>
  <si>
    <t>鈴木浩明</t>
    <phoneticPr fontId="4"/>
  </si>
  <si>
    <t>鵜沼芳昭</t>
    <phoneticPr fontId="4"/>
  </si>
  <si>
    <t>大平正勝</t>
    <phoneticPr fontId="4"/>
  </si>
  <si>
    <t>味戸隆典</t>
    <phoneticPr fontId="4"/>
  </si>
  <si>
    <t>荒木正朋</t>
    <phoneticPr fontId="4"/>
  </si>
  <si>
    <t>吉田哲司</t>
    <phoneticPr fontId="4"/>
  </si>
  <si>
    <t>神永香織</t>
    <phoneticPr fontId="4"/>
  </si>
  <si>
    <t>齋藤秀行</t>
    <phoneticPr fontId="4"/>
  </si>
  <si>
    <t>菊地秀和</t>
    <phoneticPr fontId="4"/>
  </si>
  <si>
    <t>若松美宏</t>
    <phoneticPr fontId="4"/>
  </si>
  <si>
    <t>渡邊浩司</t>
    <phoneticPr fontId="4"/>
  </si>
  <si>
    <t>松本誠治</t>
    <phoneticPr fontId="4"/>
  </si>
  <si>
    <t>横山達哉</t>
    <phoneticPr fontId="4"/>
  </si>
  <si>
    <t>小野宏美</t>
    <phoneticPr fontId="4"/>
  </si>
  <si>
    <t>蛭田孝子</t>
    <phoneticPr fontId="4"/>
  </si>
  <si>
    <t>鈴木紀子</t>
    <phoneticPr fontId="4"/>
  </si>
  <si>
    <t>下山田英治</t>
    <phoneticPr fontId="4"/>
  </si>
  <si>
    <t>鈴木重夫</t>
    <phoneticPr fontId="4"/>
  </si>
  <si>
    <t>渡辺敏男</t>
    <phoneticPr fontId="4"/>
  </si>
  <si>
    <t>佐原三夫</t>
    <phoneticPr fontId="4"/>
  </si>
  <si>
    <t>松本正己</t>
    <phoneticPr fontId="4"/>
  </si>
  <si>
    <t>金山岳夫</t>
    <phoneticPr fontId="4"/>
  </si>
  <si>
    <t>1名</t>
    <rPh sb="1" eb="2">
      <t>メイ</t>
    </rPh>
    <phoneticPr fontId="3"/>
  </si>
  <si>
    <t>19名</t>
    <rPh sb="2" eb="3">
      <t>メイ</t>
    </rPh>
    <phoneticPr fontId="3"/>
  </si>
  <si>
    <t xml:space="preserve">29名 </t>
    <rPh sb="2" eb="3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</si>
</sst>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7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1" xfId="1" applyNumberFormat="1" applyFont="1" applyBorder="1"/>
    <xf numFmtId="3" fontId="2" fillId="0" borderId="34" xfId="1" applyNumberFormat="1" applyFont="1" applyBorder="1"/>
    <xf numFmtId="49" fontId="2" fillId="0" borderId="31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6" xfId="1" applyNumberFormat="1" applyFont="1" applyBorder="1"/>
    <xf numFmtId="3" fontId="2" fillId="0" borderId="39" xfId="1" applyNumberFormat="1" applyFont="1" applyBorder="1"/>
    <xf numFmtId="49" fontId="2" fillId="0" borderId="36" xfId="1" applyNumberFormat="1" applyFont="1" applyBorder="1"/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1" xfId="1" applyNumberFormat="1" applyFont="1" applyBorder="1"/>
    <xf numFmtId="3" fontId="2" fillId="0" borderId="44" xfId="1" applyNumberFormat="1" applyFont="1" applyBorder="1"/>
    <xf numFmtId="49" fontId="2" fillId="0" borderId="41" xfId="1" applyNumberFormat="1" applyFont="1" applyBorder="1"/>
    <xf numFmtId="2" fontId="2" fillId="0" borderId="0" xfId="1" applyNumberFormat="1" applyFont="1" applyBorder="1"/>
    <xf numFmtId="176" fontId="2" fillId="0" borderId="0" xfId="1" applyNumberFormat="1" applyFont="1" applyBorder="1"/>
    <xf numFmtId="3" fontId="2" fillId="0" borderId="0" xfId="1" applyNumberFormat="1" applyFont="1" applyBorder="1"/>
    <xf numFmtId="0" fontId="2" fillId="0" borderId="6" xfId="1" applyFont="1" applyBorder="1" applyAlignment="1">
      <alignment horizontal="right"/>
    </xf>
    <xf numFmtId="0" fontId="2" fillId="0" borderId="45" xfId="1" applyFont="1" applyBorder="1"/>
    <xf numFmtId="0" fontId="2" fillId="0" borderId="7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49" fontId="2" fillId="0" borderId="22" xfId="1" applyNumberFormat="1" applyFont="1" applyBorder="1" applyAlignment="1">
      <alignment horizontal="left"/>
    </xf>
    <xf numFmtId="177" fontId="2" fillId="0" borderId="11" xfId="1" applyNumberFormat="1" applyFont="1" applyBorder="1"/>
    <xf numFmtId="177" fontId="2" fillId="0" borderId="23" xfId="1" applyNumberFormat="1" applyFont="1" applyBorder="1"/>
    <xf numFmtId="177" fontId="2" fillId="0" borderId="38" xfId="1" applyNumberFormat="1" applyFont="1" applyBorder="1"/>
    <xf numFmtId="177" fontId="2" fillId="0" borderId="29" xfId="1" applyNumberFormat="1" applyFont="1" applyBorder="1"/>
  </cellXfs>
  <cellStyles count="2">
    <cellStyle name="標準" xfId="0" builtinId="0"/>
    <cellStyle name="標準 2" xfId="1" xr:uid="{BDC5ADF7-FBAB-4120-9E33-8E7408BE7F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AA57-840E-4220-8114-A0A757482412}">
  <sheetPr>
    <pageSetUpPr fitToPage="1"/>
  </sheetPr>
  <dimension ref="A1:Q65"/>
  <sheetViews>
    <sheetView showZeros="0" tabSelected="1" topLeftCell="B1" workbookViewId="0">
      <selection activeCell="B48" sqref="A48:XFD48"/>
    </sheetView>
  </sheetViews>
  <sheetFormatPr defaultRowHeight="18.75"/>
  <cols>
    <col min="1" max="1" width="2.375" style="2" customWidth="1"/>
    <col min="2" max="2" width="13.25" style="2" bestFit="1" customWidth="1"/>
    <col min="3" max="15" width="11.5" style="2" customWidth="1"/>
    <col min="16" max="239" width="9" style="2"/>
    <col min="240" max="240" width="2.375" style="2" customWidth="1"/>
    <col min="241" max="241" width="13.25" style="2" bestFit="1" customWidth="1"/>
    <col min="242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48" width="11.125" style="2" bestFit="1" customWidth="1"/>
    <col min="249" max="249" width="9" style="2"/>
    <col min="250" max="260" width="11.125" style="2" bestFit="1" customWidth="1"/>
    <col min="261" max="262" width="9" style="2"/>
    <col min="263" max="270" width="11.125" style="2" bestFit="1" customWidth="1"/>
    <col min="271" max="271" width="9.625" style="2" bestFit="1" customWidth="1"/>
    <col min="272" max="495" width="9" style="2"/>
    <col min="496" max="496" width="2.375" style="2" customWidth="1"/>
    <col min="497" max="497" width="13.25" style="2" bestFit="1" customWidth="1"/>
    <col min="498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04" width="11.125" style="2" bestFit="1" customWidth="1"/>
    <col min="505" max="505" width="9" style="2"/>
    <col min="506" max="516" width="11.125" style="2" bestFit="1" customWidth="1"/>
    <col min="517" max="518" width="9" style="2"/>
    <col min="519" max="526" width="11.125" style="2" bestFit="1" customWidth="1"/>
    <col min="527" max="527" width="9.625" style="2" bestFit="1" customWidth="1"/>
    <col min="528" max="751" width="9" style="2"/>
    <col min="752" max="752" width="2.375" style="2" customWidth="1"/>
    <col min="753" max="753" width="13.25" style="2" bestFit="1" customWidth="1"/>
    <col min="754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60" width="11.125" style="2" bestFit="1" customWidth="1"/>
    <col min="761" max="761" width="9" style="2"/>
    <col min="762" max="772" width="11.125" style="2" bestFit="1" customWidth="1"/>
    <col min="773" max="774" width="9" style="2"/>
    <col min="775" max="782" width="11.125" style="2" bestFit="1" customWidth="1"/>
    <col min="783" max="783" width="9.625" style="2" bestFit="1" customWidth="1"/>
    <col min="784" max="1007" width="9" style="2"/>
    <col min="1008" max="1008" width="2.375" style="2" customWidth="1"/>
    <col min="1009" max="1009" width="13.25" style="2" bestFit="1" customWidth="1"/>
    <col min="1010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16" width="11.125" style="2" bestFit="1" customWidth="1"/>
    <col min="1017" max="1017" width="9" style="2"/>
    <col min="1018" max="1028" width="11.125" style="2" bestFit="1" customWidth="1"/>
    <col min="1029" max="1030" width="9" style="2"/>
    <col min="1031" max="1038" width="11.125" style="2" bestFit="1" customWidth="1"/>
    <col min="1039" max="1039" width="9.625" style="2" bestFit="1" customWidth="1"/>
    <col min="1040" max="1263" width="9" style="2"/>
    <col min="1264" max="1264" width="2.375" style="2" customWidth="1"/>
    <col min="1265" max="1265" width="13.25" style="2" bestFit="1" customWidth="1"/>
    <col min="1266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72" width="11.125" style="2" bestFit="1" customWidth="1"/>
    <col min="1273" max="1273" width="9" style="2"/>
    <col min="1274" max="1284" width="11.125" style="2" bestFit="1" customWidth="1"/>
    <col min="1285" max="1286" width="9" style="2"/>
    <col min="1287" max="1294" width="11.125" style="2" bestFit="1" customWidth="1"/>
    <col min="1295" max="1295" width="9.625" style="2" bestFit="1" customWidth="1"/>
    <col min="1296" max="1519" width="9" style="2"/>
    <col min="1520" max="1520" width="2.375" style="2" customWidth="1"/>
    <col min="1521" max="1521" width="13.25" style="2" bestFit="1" customWidth="1"/>
    <col min="1522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28" width="11.125" style="2" bestFit="1" customWidth="1"/>
    <col min="1529" max="1529" width="9" style="2"/>
    <col min="1530" max="1540" width="11.125" style="2" bestFit="1" customWidth="1"/>
    <col min="1541" max="1542" width="9" style="2"/>
    <col min="1543" max="1550" width="11.125" style="2" bestFit="1" customWidth="1"/>
    <col min="1551" max="1551" width="9.625" style="2" bestFit="1" customWidth="1"/>
    <col min="1552" max="1775" width="9" style="2"/>
    <col min="1776" max="1776" width="2.375" style="2" customWidth="1"/>
    <col min="1777" max="1777" width="13.25" style="2" bestFit="1" customWidth="1"/>
    <col min="1778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84" width="11.125" style="2" bestFit="1" customWidth="1"/>
    <col min="1785" max="1785" width="9" style="2"/>
    <col min="1786" max="1796" width="11.125" style="2" bestFit="1" customWidth="1"/>
    <col min="1797" max="1798" width="9" style="2"/>
    <col min="1799" max="1806" width="11.125" style="2" bestFit="1" customWidth="1"/>
    <col min="1807" max="1807" width="9.625" style="2" bestFit="1" customWidth="1"/>
    <col min="1808" max="2031" width="9" style="2"/>
    <col min="2032" max="2032" width="2.375" style="2" customWidth="1"/>
    <col min="2033" max="2033" width="13.25" style="2" bestFit="1" customWidth="1"/>
    <col min="2034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40" width="11.125" style="2" bestFit="1" customWidth="1"/>
    <col min="2041" max="2041" width="9" style="2"/>
    <col min="2042" max="2052" width="11.125" style="2" bestFit="1" customWidth="1"/>
    <col min="2053" max="2054" width="9" style="2"/>
    <col min="2055" max="2062" width="11.125" style="2" bestFit="1" customWidth="1"/>
    <col min="2063" max="2063" width="9.625" style="2" bestFit="1" customWidth="1"/>
    <col min="2064" max="2287" width="9" style="2"/>
    <col min="2288" max="2288" width="2.375" style="2" customWidth="1"/>
    <col min="2289" max="2289" width="13.25" style="2" bestFit="1" customWidth="1"/>
    <col min="2290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296" width="11.125" style="2" bestFit="1" customWidth="1"/>
    <col min="2297" max="2297" width="9" style="2"/>
    <col min="2298" max="2308" width="11.125" style="2" bestFit="1" customWidth="1"/>
    <col min="2309" max="2310" width="9" style="2"/>
    <col min="2311" max="2318" width="11.125" style="2" bestFit="1" customWidth="1"/>
    <col min="2319" max="2319" width="9.625" style="2" bestFit="1" customWidth="1"/>
    <col min="2320" max="2543" width="9" style="2"/>
    <col min="2544" max="2544" width="2.375" style="2" customWidth="1"/>
    <col min="2545" max="2545" width="13.25" style="2" bestFit="1" customWidth="1"/>
    <col min="2546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52" width="11.125" style="2" bestFit="1" customWidth="1"/>
    <col min="2553" max="2553" width="9" style="2"/>
    <col min="2554" max="2564" width="11.125" style="2" bestFit="1" customWidth="1"/>
    <col min="2565" max="2566" width="9" style="2"/>
    <col min="2567" max="2574" width="11.125" style="2" bestFit="1" customWidth="1"/>
    <col min="2575" max="2575" width="9.625" style="2" bestFit="1" customWidth="1"/>
    <col min="2576" max="2799" width="9" style="2"/>
    <col min="2800" max="2800" width="2.375" style="2" customWidth="1"/>
    <col min="2801" max="2801" width="13.25" style="2" bestFit="1" customWidth="1"/>
    <col min="2802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08" width="11.125" style="2" bestFit="1" customWidth="1"/>
    <col min="2809" max="2809" width="9" style="2"/>
    <col min="2810" max="2820" width="11.125" style="2" bestFit="1" customWidth="1"/>
    <col min="2821" max="2822" width="9" style="2"/>
    <col min="2823" max="2830" width="11.125" style="2" bestFit="1" customWidth="1"/>
    <col min="2831" max="2831" width="9.625" style="2" bestFit="1" customWidth="1"/>
    <col min="2832" max="3055" width="9" style="2"/>
    <col min="3056" max="3056" width="2.375" style="2" customWidth="1"/>
    <col min="3057" max="3057" width="13.25" style="2" bestFit="1" customWidth="1"/>
    <col min="3058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64" width="11.125" style="2" bestFit="1" customWidth="1"/>
    <col min="3065" max="3065" width="9" style="2"/>
    <col min="3066" max="3076" width="11.125" style="2" bestFit="1" customWidth="1"/>
    <col min="3077" max="3078" width="9" style="2"/>
    <col min="3079" max="3086" width="11.125" style="2" bestFit="1" customWidth="1"/>
    <col min="3087" max="3087" width="9.625" style="2" bestFit="1" customWidth="1"/>
    <col min="3088" max="3311" width="9" style="2"/>
    <col min="3312" max="3312" width="2.375" style="2" customWidth="1"/>
    <col min="3313" max="3313" width="13.25" style="2" bestFit="1" customWidth="1"/>
    <col min="3314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20" width="11.125" style="2" bestFit="1" customWidth="1"/>
    <col min="3321" max="3321" width="9" style="2"/>
    <col min="3322" max="3332" width="11.125" style="2" bestFit="1" customWidth="1"/>
    <col min="3333" max="3334" width="9" style="2"/>
    <col min="3335" max="3342" width="11.125" style="2" bestFit="1" customWidth="1"/>
    <col min="3343" max="3343" width="9.625" style="2" bestFit="1" customWidth="1"/>
    <col min="3344" max="3567" width="9" style="2"/>
    <col min="3568" max="3568" width="2.375" style="2" customWidth="1"/>
    <col min="3569" max="3569" width="13.25" style="2" bestFit="1" customWidth="1"/>
    <col min="3570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76" width="11.125" style="2" bestFit="1" customWidth="1"/>
    <col min="3577" max="3577" width="9" style="2"/>
    <col min="3578" max="3588" width="11.125" style="2" bestFit="1" customWidth="1"/>
    <col min="3589" max="3590" width="9" style="2"/>
    <col min="3591" max="3598" width="11.125" style="2" bestFit="1" customWidth="1"/>
    <col min="3599" max="3599" width="9.625" style="2" bestFit="1" customWidth="1"/>
    <col min="3600" max="3823" width="9" style="2"/>
    <col min="3824" max="3824" width="2.375" style="2" customWidth="1"/>
    <col min="3825" max="3825" width="13.25" style="2" bestFit="1" customWidth="1"/>
    <col min="3826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32" width="11.125" style="2" bestFit="1" customWidth="1"/>
    <col min="3833" max="3833" width="9" style="2"/>
    <col min="3834" max="3844" width="11.125" style="2" bestFit="1" customWidth="1"/>
    <col min="3845" max="3846" width="9" style="2"/>
    <col min="3847" max="3854" width="11.125" style="2" bestFit="1" customWidth="1"/>
    <col min="3855" max="3855" width="9.625" style="2" bestFit="1" customWidth="1"/>
    <col min="3856" max="4079" width="9" style="2"/>
    <col min="4080" max="4080" width="2.375" style="2" customWidth="1"/>
    <col min="4081" max="4081" width="13.25" style="2" bestFit="1" customWidth="1"/>
    <col min="4082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88" width="11.125" style="2" bestFit="1" customWidth="1"/>
    <col min="4089" max="4089" width="9" style="2"/>
    <col min="4090" max="4100" width="11.125" style="2" bestFit="1" customWidth="1"/>
    <col min="4101" max="4102" width="9" style="2"/>
    <col min="4103" max="4110" width="11.125" style="2" bestFit="1" customWidth="1"/>
    <col min="4111" max="4111" width="9.625" style="2" bestFit="1" customWidth="1"/>
    <col min="4112" max="4335" width="9" style="2"/>
    <col min="4336" max="4336" width="2.375" style="2" customWidth="1"/>
    <col min="4337" max="4337" width="13.25" style="2" bestFit="1" customWidth="1"/>
    <col min="4338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44" width="11.125" style="2" bestFit="1" customWidth="1"/>
    <col min="4345" max="4345" width="9" style="2"/>
    <col min="4346" max="4356" width="11.125" style="2" bestFit="1" customWidth="1"/>
    <col min="4357" max="4358" width="9" style="2"/>
    <col min="4359" max="4366" width="11.125" style="2" bestFit="1" customWidth="1"/>
    <col min="4367" max="4367" width="9.625" style="2" bestFit="1" customWidth="1"/>
    <col min="4368" max="4591" width="9" style="2"/>
    <col min="4592" max="4592" width="2.375" style="2" customWidth="1"/>
    <col min="4593" max="4593" width="13.25" style="2" bestFit="1" customWidth="1"/>
    <col min="4594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00" width="11.125" style="2" bestFit="1" customWidth="1"/>
    <col min="4601" max="4601" width="9" style="2"/>
    <col min="4602" max="4612" width="11.125" style="2" bestFit="1" customWidth="1"/>
    <col min="4613" max="4614" width="9" style="2"/>
    <col min="4615" max="4622" width="11.125" style="2" bestFit="1" customWidth="1"/>
    <col min="4623" max="4623" width="9.625" style="2" bestFit="1" customWidth="1"/>
    <col min="4624" max="4847" width="9" style="2"/>
    <col min="4848" max="4848" width="2.375" style="2" customWidth="1"/>
    <col min="4849" max="4849" width="13.25" style="2" bestFit="1" customWidth="1"/>
    <col min="4850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56" width="11.125" style="2" bestFit="1" customWidth="1"/>
    <col min="4857" max="4857" width="9" style="2"/>
    <col min="4858" max="4868" width="11.125" style="2" bestFit="1" customWidth="1"/>
    <col min="4869" max="4870" width="9" style="2"/>
    <col min="4871" max="4878" width="11.125" style="2" bestFit="1" customWidth="1"/>
    <col min="4879" max="4879" width="9.625" style="2" bestFit="1" customWidth="1"/>
    <col min="4880" max="5103" width="9" style="2"/>
    <col min="5104" max="5104" width="2.375" style="2" customWidth="1"/>
    <col min="5105" max="5105" width="13.25" style="2" bestFit="1" customWidth="1"/>
    <col min="5106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12" width="11.125" style="2" bestFit="1" customWidth="1"/>
    <col min="5113" max="5113" width="9" style="2"/>
    <col min="5114" max="5124" width="11.125" style="2" bestFit="1" customWidth="1"/>
    <col min="5125" max="5126" width="9" style="2"/>
    <col min="5127" max="5134" width="11.125" style="2" bestFit="1" customWidth="1"/>
    <col min="5135" max="5135" width="9.625" style="2" bestFit="1" customWidth="1"/>
    <col min="5136" max="5359" width="9" style="2"/>
    <col min="5360" max="5360" width="2.375" style="2" customWidth="1"/>
    <col min="5361" max="5361" width="13.25" style="2" bestFit="1" customWidth="1"/>
    <col min="5362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68" width="11.125" style="2" bestFit="1" customWidth="1"/>
    <col min="5369" max="5369" width="9" style="2"/>
    <col min="5370" max="5380" width="11.125" style="2" bestFit="1" customWidth="1"/>
    <col min="5381" max="5382" width="9" style="2"/>
    <col min="5383" max="5390" width="11.125" style="2" bestFit="1" customWidth="1"/>
    <col min="5391" max="5391" width="9.625" style="2" bestFit="1" customWidth="1"/>
    <col min="5392" max="5615" width="9" style="2"/>
    <col min="5616" max="5616" width="2.375" style="2" customWidth="1"/>
    <col min="5617" max="5617" width="13.25" style="2" bestFit="1" customWidth="1"/>
    <col min="5618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24" width="11.125" style="2" bestFit="1" customWidth="1"/>
    <col min="5625" max="5625" width="9" style="2"/>
    <col min="5626" max="5636" width="11.125" style="2" bestFit="1" customWidth="1"/>
    <col min="5637" max="5638" width="9" style="2"/>
    <col min="5639" max="5646" width="11.125" style="2" bestFit="1" customWidth="1"/>
    <col min="5647" max="5647" width="9.625" style="2" bestFit="1" customWidth="1"/>
    <col min="5648" max="5871" width="9" style="2"/>
    <col min="5872" max="5872" width="2.375" style="2" customWidth="1"/>
    <col min="5873" max="5873" width="13.25" style="2" bestFit="1" customWidth="1"/>
    <col min="5874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80" width="11.125" style="2" bestFit="1" customWidth="1"/>
    <col min="5881" max="5881" width="9" style="2"/>
    <col min="5882" max="5892" width="11.125" style="2" bestFit="1" customWidth="1"/>
    <col min="5893" max="5894" width="9" style="2"/>
    <col min="5895" max="5902" width="11.125" style="2" bestFit="1" customWidth="1"/>
    <col min="5903" max="5903" width="9.625" style="2" bestFit="1" customWidth="1"/>
    <col min="5904" max="6127" width="9" style="2"/>
    <col min="6128" max="6128" width="2.375" style="2" customWidth="1"/>
    <col min="6129" max="6129" width="13.25" style="2" bestFit="1" customWidth="1"/>
    <col min="6130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36" width="11.125" style="2" bestFit="1" customWidth="1"/>
    <col min="6137" max="6137" width="9" style="2"/>
    <col min="6138" max="6148" width="11.125" style="2" bestFit="1" customWidth="1"/>
    <col min="6149" max="6150" width="9" style="2"/>
    <col min="6151" max="6158" width="11.125" style="2" bestFit="1" customWidth="1"/>
    <col min="6159" max="6159" width="9.625" style="2" bestFit="1" customWidth="1"/>
    <col min="6160" max="6383" width="9" style="2"/>
    <col min="6384" max="6384" width="2.375" style="2" customWidth="1"/>
    <col min="6385" max="6385" width="13.25" style="2" bestFit="1" customWidth="1"/>
    <col min="6386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392" width="11.125" style="2" bestFit="1" customWidth="1"/>
    <col min="6393" max="6393" width="9" style="2"/>
    <col min="6394" max="6404" width="11.125" style="2" bestFit="1" customWidth="1"/>
    <col min="6405" max="6406" width="9" style="2"/>
    <col min="6407" max="6414" width="11.125" style="2" bestFit="1" customWidth="1"/>
    <col min="6415" max="6415" width="9.625" style="2" bestFit="1" customWidth="1"/>
    <col min="6416" max="6639" width="9" style="2"/>
    <col min="6640" max="6640" width="2.375" style="2" customWidth="1"/>
    <col min="6641" max="6641" width="13.25" style="2" bestFit="1" customWidth="1"/>
    <col min="6642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48" width="11.125" style="2" bestFit="1" customWidth="1"/>
    <col min="6649" max="6649" width="9" style="2"/>
    <col min="6650" max="6660" width="11.125" style="2" bestFit="1" customWidth="1"/>
    <col min="6661" max="6662" width="9" style="2"/>
    <col min="6663" max="6670" width="11.125" style="2" bestFit="1" customWidth="1"/>
    <col min="6671" max="6671" width="9.625" style="2" bestFit="1" customWidth="1"/>
    <col min="6672" max="6895" width="9" style="2"/>
    <col min="6896" max="6896" width="2.375" style="2" customWidth="1"/>
    <col min="6897" max="6897" width="13.25" style="2" bestFit="1" customWidth="1"/>
    <col min="6898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04" width="11.125" style="2" bestFit="1" customWidth="1"/>
    <col min="6905" max="6905" width="9" style="2"/>
    <col min="6906" max="6916" width="11.125" style="2" bestFit="1" customWidth="1"/>
    <col min="6917" max="6918" width="9" style="2"/>
    <col min="6919" max="6926" width="11.125" style="2" bestFit="1" customWidth="1"/>
    <col min="6927" max="6927" width="9.625" style="2" bestFit="1" customWidth="1"/>
    <col min="6928" max="7151" width="9" style="2"/>
    <col min="7152" max="7152" width="2.375" style="2" customWidth="1"/>
    <col min="7153" max="7153" width="13.25" style="2" bestFit="1" customWidth="1"/>
    <col min="7154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60" width="11.125" style="2" bestFit="1" customWidth="1"/>
    <col min="7161" max="7161" width="9" style="2"/>
    <col min="7162" max="7172" width="11.125" style="2" bestFit="1" customWidth="1"/>
    <col min="7173" max="7174" width="9" style="2"/>
    <col min="7175" max="7182" width="11.125" style="2" bestFit="1" customWidth="1"/>
    <col min="7183" max="7183" width="9.625" style="2" bestFit="1" customWidth="1"/>
    <col min="7184" max="7407" width="9" style="2"/>
    <col min="7408" max="7408" width="2.375" style="2" customWidth="1"/>
    <col min="7409" max="7409" width="13.25" style="2" bestFit="1" customWidth="1"/>
    <col min="7410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16" width="11.125" style="2" bestFit="1" customWidth="1"/>
    <col min="7417" max="7417" width="9" style="2"/>
    <col min="7418" max="7428" width="11.125" style="2" bestFit="1" customWidth="1"/>
    <col min="7429" max="7430" width="9" style="2"/>
    <col min="7431" max="7438" width="11.125" style="2" bestFit="1" customWidth="1"/>
    <col min="7439" max="7439" width="9.625" style="2" bestFit="1" customWidth="1"/>
    <col min="7440" max="7663" width="9" style="2"/>
    <col min="7664" max="7664" width="2.375" style="2" customWidth="1"/>
    <col min="7665" max="7665" width="13.25" style="2" bestFit="1" customWidth="1"/>
    <col min="7666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72" width="11.125" style="2" bestFit="1" customWidth="1"/>
    <col min="7673" max="7673" width="9" style="2"/>
    <col min="7674" max="7684" width="11.125" style="2" bestFit="1" customWidth="1"/>
    <col min="7685" max="7686" width="9" style="2"/>
    <col min="7687" max="7694" width="11.125" style="2" bestFit="1" customWidth="1"/>
    <col min="7695" max="7695" width="9.625" style="2" bestFit="1" customWidth="1"/>
    <col min="7696" max="7919" width="9" style="2"/>
    <col min="7920" max="7920" width="2.375" style="2" customWidth="1"/>
    <col min="7921" max="7921" width="13.25" style="2" bestFit="1" customWidth="1"/>
    <col min="7922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28" width="11.125" style="2" bestFit="1" customWidth="1"/>
    <col min="7929" max="7929" width="9" style="2"/>
    <col min="7930" max="7940" width="11.125" style="2" bestFit="1" customWidth="1"/>
    <col min="7941" max="7942" width="9" style="2"/>
    <col min="7943" max="7950" width="11.125" style="2" bestFit="1" customWidth="1"/>
    <col min="7951" max="7951" width="9.625" style="2" bestFit="1" customWidth="1"/>
    <col min="7952" max="8175" width="9" style="2"/>
    <col min="8176" max="8176" width="2.375" style="2" customWidth="1"/>
    <col min="8177" max="8177" width="13.25" style="2" bestFit="1" customWidth="1"/>
    <col min="8178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84" width="11.125" style="2" bestFit="1" customWidth="1"/>
    <col min="8185" max="8185" width="9" style="2"/>
    <col min="8186" max="8196" width="11.125" style="2" bestFit="1" customWidth="1"/>
    <col min="8197" max="8198" width="9" style="2"/>
    <col min="8199" max="8206" width="11.125" style="2" bestFit="1" customWidth="1"/>
    <col min="8207" max="8207" width="9.625" style="2" bestFit="1" customWidth="1"/>
    <col min="8208" max="8431" width="9" style="2"/>
    <col min="8432" max="8432" width="2.375" style="2" customWidth="1"/>
    <col min="8433" max="8433" width="13.25" style="2" bestFit="1" customWidth="1"/>
    <col min="8434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40" width="11.125" style="2" bestFit="1" customWidth="1"/>
    <col min="8441" max="8441" width="9" style="2"/>
    <col min="8442" max="8452" width="11.125" style="2" bestFit="1" customWidth="1"/>
    <col min="8453" max="8454" width="9" style="2"/>
    <col min="8455" max="8462" width="11.125" style="2" bestFit="1" customWidth="1"/>
    <col min="8463" max="8463" width="9.625" style="2" bestFit="1" customWidth="1"/>
    <col min="8464" max="8687" width="9" style="2"/>
    <col min="8688" max="8688" width="2.375" style="2" customWidth="1"/>
    <col min="8689" max="8689" width="13.25" style="2" bestFit="1" customWidth="1"/>
    <col min="8690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696" width="11.125" style="2" bestFit="1" customWidth="1"/>
    <col min="8697" max="8697" width="9" style="2"/>
    <col min="8698" max="8708" width="11.125" style="2" bestFit="1" customWidth="1"/>
    <col min="8709" max="8710" width="9" style="2"/>
    <col min="8711" max="8718" width="11.125" style="2" bestFit="1" customWidth="1"/>
    <col min="8719" max="8719" width="9.625" style="2" bestFit="1" customWidth="1"/>
    <col min="8720" max="8943" width="9" style="2"/>
    <col min="8944" max="8944" width="2.375" style="2" customWidth="1"/>
    <col min="8945" max="8945" width="13.25" style="2" bestFit="1" customWidth="1"/>
    <col min="8946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52" width="11.125" style="2" bestFit="1" customWidth="1"/>
    <col min="8953" max="8953" width="9" style="2"/>
    <col min="8954" max="8964" width="11.125" style="2" bestFit="1" customWidth="1"/>
    <col min="8965" max="8966" width="9" style="2"/>
    <col min="8967" max="8974" width="11.125" style="2" bestFit="1" customWidth="1"/>
    <col min="8975" max="8975" width="9.625" style="2" bestFit="1" customWidth="1"/>
    <col min="8976" max="9199" width="9" style="2"/>
    <col min="9200" max="9200" width="2.375" style="2" customWidth="1"/>
    <col min="9201" max="9201" width="13.25" style="2" bestFit="1" customWidth="1"/>
    <col min="9202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08" width="11.125" style="2" bestFit="1" customWidth="1"/>
    <col min="9209" max="9209" width="9" style="2"/>
    <col min="9210" max="9220" width="11.125" style="2" bestFit="1" customWidth="1"/>
    <col min="9221" max="9222" width="9" style="2"/>
    <col min="9223" max="9230" width="11.125" style="2" bestFit="1" customWidth="1"/>
    <col min="9231" max="9231" width="9.625" style="2" bestFit="1" customWidth="1"/>
    <col min="9232" max="9455" width="9" style="2"/>
    <col min="9456" max="9456" width="2.375" style="2" customWidth="1"/>
    <col min="9457" max="9457" width="13.25" style="2" bestFit="1" customWidth="1"/>
    <col min="9458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64" width="11.125" style="2" bestFit="1" customWidth="1"/>
    <col min="9465" max="9465" width="9" style="2"/>
    <col min="9466" max="9476" width="11.125" style="2" bestFit="1" customWidth="1"/>
    <col min="9477" max="9478" width="9" style="2"/>
    <col min="9479" max="9486" width="11.125" style="2" bestFit="1" customWidth="1"/>
    <col min="9487" max="9487" width="9.625" style="2" bestFit="1" customWidth="1"/>
    <col min="9488" max="9711" width="9" style="2"/>
    <col min="9712" max="9712" width="2.375" style="2" customWidth="1"/>
    <col min="9713" max="9713" width="13.25" style="2" bestFit="1" customWidth="1"/>
    <col min="9714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20" width="11.125" style="2" bestFit="1" customWidth="1"/>
    <col min="9721" max="9721" width="9" style="2"/>
    <col min="9722" max="9732" width="11.125" style="2" bestFit="1" customWidth="1"/>
    <col min="9733" max="9734" width="9" style="2"/>
    <col min="9735" max="9742" width="11.125" style="2" bestFit="1" customWidth="1"/>
    <col min="9743" max="9743" width="9.625" style="2" bestFit="1" customWidth="1"/>
    <col min="9744" max="9967" width="9" style="2"/>
    <col min="9968" max="9968" width="2.375" style="2" customWidth="1"/>
    <col min="9969" max="9969" width="13.25" style="2" bestFit="1" customWidth="1"/>
    <col min="9970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76" width="11.125" style="2" bestFit="1" customWidth="1"/>
    <col min="9977" max="9977" width="9" style="2"/>
    <col min="9978" max="9988" width="11.125" style="2" bestFit="1" customWidth="1"/>
    <col min="9989" max="9990" width="9" style="2"/>
    <col min="9991" max="9998" width="11.125" style="2" bestFit="1" customWidth="1"/>
    <col min="9999" max="9999" width="9.625" style="2" bestFit="1" customWidth="1"/>
    <col min="10000" max="10223" width="9" style="2"/>
    <col min="10224" max="10224" width="2.375" style="2" customWidth="1"/>
    <col min="10225" max="10225" width="13.25" style="2" bestFit="1" customWidth="1"/>
    <col min="10226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32" width="11.125" style="2" bestFit="1" customWidth="1"/>
    <col min="10233" max="10233" width="9" style="2"/>
    <col min="10234" max="10244" width="11.125" style="2" bestFit="1" customWidth="1"/>
    <col min="10245" max="10246" width="9" style="2"/>
    <col min="10247" max="10254" width="11.125" style="2" bestFit="1" customWidth="1"/>
    <col min="10255" max="10255" width="9.625" style="2" bestFit="1" customWidth="1"/>
    <col min="10256" max="10479" width="9" style="2"/>
    <col min="10480" max="10480" width="2.375" style="2" customWidth="1"/>
    <col min="10481" max="10481" width="13.25" style="2" bestFit="1" customWidth="1"/>
    <col min="10482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88" width="11.125" style="2" bestFit="1" customWidth="1"/>
    <col min="10489" max="10489" width="9" style="2"/>
    <col min="10490" max="10500" width="11.125" style="2" bestFit="1" customWidth="1"/>
    <col min="10501" max="10502" width="9" style="2"/>
    <col min="10503" max="10510" width="11.125" style="2" bestFit="1" customWidth="1"/>
    <col min="10511" max="10511" width="9.625" style="2" bestFit="1" customWidth="1"/>
    <col min="10512" max="10735" width="9" style="2"/>
    <col min="10736" max="10736" width="2.375" style="2" customWidth="1"/>
    <col min="10737" max="10737" width="13.25" style="2" bestFit="1" customWidth="1"/>
    <col min="10738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44" width="11.125" style="2" bestFit="1" customWidth="1"/>
    <col min="10745" max="10745" width="9" style="2"/>
    <col min="10746" max="10756" width="11.125" style="2" bestFit="1" customWidth="1"/>
    <col min="10757" max="10758" width="9" style="2"/>
    <col min="10759" max="10766" width="11.125" style="2" bestFit="1" customWidth="1"/>
    <col min="10767" max="10767" width="9.625" style="2" bestFit="1" customWidth="1"/>
    <col min="10768" max="10991" width="9" style="2"/>
    <col min="10992" max="10992" width="2.375" style="2" customWidth="1"/>
    <col min="10993" max="10993" width="13.25" style="2" bestFit="1" customWidth="1"/>
    <col min="10994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00" width="11.125" style="2" bestFit="1" customWidth="1"/>
    <col min="11001" max="11001" width="9" style="2"/>
    <col min="11002" max="11012" width="11.125" style="2" bestFit="1" customWidth="1"/>
    <col min="11013" max="11014" width="9" style="2"/>
    <col min="11015" max="11022" width="11.125" style="2" bestFit="1" customWidth="1"/>
    <col min="11023" max="11023" width="9.625" style="2" bestFit="1" customWidth="1"/>
    <col min="11024" max="11247" width="9" style="2"/>
    <col min="11248" max="11248" width="2.375" style="2" customWidth="1"/>
    <col min="11249" max="11249" width="13.25" style="2" bestFit="1" customWidth="1"/>
    <col min="11250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56" width="11.125" style="2" bestFit="1" customWidth="1"/>
    <col min="11257" max="11257" width="9" style="2"/>
    <col min="11258" max="11268" width="11.125" style="2" bestFit="1" customWidth="1"/>
    <col min="11269" max="11270" width="9" style="2"/>
    <col min="11271" max="11278" width="11.125" style="2" bestFit="1" customWidth="1"/>
    <col min="11279" max="11279" width="9.625" style="2" bestFit="1" customWidth="1"/>
    <col min="11280" max="11503" width="9" style="2"/>
    <col min="11504" max="11504" width="2.375" style="2" customWidth="1"/>
    <col min="11505" max="11505" width="13.25" style="2" bestFit="1" customWidth="1"/>
    <col min="11506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12" width="11.125" style="2" bestFit="1" customWidth="1"/>
    <col min="11513" max="11513" width="9" style="2"/>
    <col min="11514" max="11524" width="11.125" style="2" bestFit="1" customWidth="1"/>
    <col min="11525" max="11526" width="9" style="2"/>
    <col min="11527" max="11534" width="11.125" style="2" bestFit="1" customWidth="1"/>
    <col min="11535" max="11535" width="9.625" style="2" bestFit="1" customWidth="1"/>
    <col min="11536" max="11759" width="9" style="2"/>
    <col min="11760" max="11760" width="2.375" style="2" customWidth="1"/>
    <col min="11761" max="11761" width="13.25" style="2" bestFit="1" customWidth="1"/>
    <col min="11762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68" width="11.125" style="2" bestFit="1" customWidth="1"/>
    <col min="11769" max="11769" width="9" style="2"/>
    <col min="11770" max="11780" width="11.125" style="2" bestFit="1" customWidth="1"/>
    <col min="11781" max="11782" width="9" style="2"/>
    <col min="11783" max="11790" width="11.125" style="2" bestFit="1" customWidth="1"/>
    <col min="11791" max="11791" width="9.625" style="2" bestFit="1" customWidth="1"/>
    <col min="11792" max="12015" width="9" style="2"/>
    <col min="12016" max="12016" width="2.375" style="2" customWidth="1"/>
    <col min="12017" max="12017" width="13.25" style="2" bestFit="1" customWidth="1"/>
    <col min="12018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24" width="11.125" style="2" bestFit="1" customWidth="1"/>
    <col min="12025" max="12025" width="9" style="2"/>
    <col min="12026" max="12036" width="11.125" style="2" bestFit="1" customWidth="1"/>
    <col min="12037" max="12038" width="9" style="2"/>
    <col min="12039" max="12046" width="11.125" style="2" bestFit="1" customWidth="1"/>
    <col min="12047" max="12047" width="9.625" style="2" bestFit="1" customWidth="1"/>
    <col min="12048" max="12271" width="9" style="2"/>
    <col min="12272" max="12272" width="2.375" style="2" customWidth="1"/>
    <col min="12273" max="12273" width="13.25" style="2" bestFit="1" customWidth="1"/>
    <col min="12274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80" width="11.125" style="2" bestFit="1" customWidth="1"/>
    <col min="12281" max="12281" width="9" style="2"/>
    <col min="12282" max="12292" width="11.125" style="2" bestFit="1" customWidth="1"/>
    <col min="12293" max="12294" width="9" style="2"/>
    <col min="12295" max="12302" width="11.125" style="2" bestFit="1" customWidth="1"/>
    <col min="12303" max="12303" width="9.625" style="2" bestFit="1" customWidth="1"/>
    <col min="12304" max="12527" width="9" style="2"/>
    <col min="12528" max="12528" width="2.375" style="2" customWidth="1"/>
    <col min="12529" max="12529" width="13.25" style="2" bestFit="1" customWidth="1"/>
    <col min="12530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36" width="11.125" style="2" bestFit="1" customWidth="1"/>
    <col min="12537" max="12537" width="9" style="2"/>
    <col min="12538" max="12548" width="11.125" style="2" bestFit="1" customWidth="1"/>
    <col min="12549" max="12550" width="9" style="2"/>
    <col min="12551" max="12558" width="11.125" style="2" bestFit="1" customWidth="1"/>
    <col min="12559" max="12559" width="9.625" style="2" bestFit="1" customWidth="1"/>
    <col min="12560" max="12783" width="9" style="2"/>
    <col min="12784" max="12784" width="2.375" style="2" customWidth="1"/>
    <col min="12785" max="12785" width="13.25" style="2" bestFit="1" customWidth="1"/>
    <col min="12786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792" width="11.125" style="2" bestFit="1" customWidth="1"/>
    <col min="12793" max="12793" width="9" style="2"/>
    <col min="12794" max="12804" width="11.125" style="2" bestFit="1" customWidth="1"/>
    <col min="12805" max="12806" width="9" style="2"/>
    <col min="12807" max="12814" width="11.125" style="2" bestFit="1" customWidth="1"/>
    <col min="12815" max="12815" width="9.625" style="2" bestFit="1" customWidth="1"/>
    <col min="12816" max="13039" width="9" style="2"/>
    <col min="13040" max="13040" width="2.375" style="2" customWidth="1"/>
    <col min="13041" max="13041" width="13.25" style="2" bestFit="1" customWidth="1"/>
    <col min="13042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48" width="11.125" style="2" bestFit="1" customWidth="1"/>
    <col min="13049" max="13049" width="9" style="2"/>
    <col min="13050" max="13060" width="11.125" style="2" bestFit="1" customWidth="1"/>
    <col min="13061" max="13062" width="9" style="2"/>
    <col min="13063" max="13070" width="11.125" style="2" bestFit="1" customWidth="1"/>
    <col min="13071" max="13071" width="9.625" style="2" bestFit="1" customWidth="1"/>
    <col min="13072" max="13295" width="9" style="2"/>
    <col min="13296" max="13296" width="2.375" style="2" customWidth="1"/>
    <col min="13297" max="13297" width="13.25" style="2" bestFit="1" customWidth="1"/>
    <col min="13298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04" width="11.125" style="2" bestFit="1" customWidth="1"/>
    <col min="13305" max="13305" width="9" style="2"/>
    <col min="13306" max="13316" width="11.125" style="2" bestFit="1" customWidth="1"/>
    <col min="13317" max="13318" width="9" style="2"/>
    <col min="13319" max="13326" width="11.125" style="2" bestFit="1" customWidth="1"/>
    <col min="13327" max="13327" width="9.625" style="2" bestFit="1" customWidth="1"/>
    <col min="13328" max="13551" width="9" style="2"/>
    <col min="13552" max="13552" width="2.375" style="2" customWidth="1"/>
    <col min="13553" max="13553" width="13.25" style="2" bestFit="1" customWidth="1"/>
    <col min="13554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60" width="11.125" style="2" bestFit="1" customWidth="1"/>
    <col min="13561" max="13561" width="9" style="2"/>
    <col min="13562" max="13572" width="11.125" style="2" bestFit="1" customWidth="1"/>
    <col min="13573" max="13574" width="9" style="2"/>
    <col min="13575" max="13582" width="11.125" style="2" bestFit="1" customWidth="1"/>
    <col min="13583" max="13583" width="9.625" style="2" bestFit="1" customWidth="1"/>
    <col min="13584" max="13807" width="9" style="2"/>
    <col min="13808" max="13808" width="2.375" style="2" customWidth="1"/>
    <col min="13809" max="13809" width="13.25" style="2" bestFit="1" customWidth="1"/>
    <col min="13810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16" width="11.125" style="2" bestFit="1" customWidth="1"/>
    <col min="13817" max="13817" width="9" style="2"/>
    <col min="13818" max="13828" width="11.125" style="2" bestFit="1" customWidth="1"/>
    <col min="13829" max="13830" width="9" style="2"/>
    <col min="13831" max="13838" width="11.125" style="2" bestFit="1" customWidth="1"/>
    <col min="13839" max="13839" width="9.625" style="2" bestFit="1" customWidth="1"/>
    <col min="13840" max="14063" width="9" style="2"/>
    <col min="14064" max="14064" width="2.375" style="2" customWidth="1"/>
    <col min="14065" max="14065" width="13.25" style="2" bestFit="1" customWidth="1"/>
    <col min="14066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72" width="11.125" style="2" bestFit="1" customWidth="1"/>
    <col min="14073" max="14073" width="9" style="2"/>
    <col min="14074" max="14084" width="11.125" style="2" bestFit="1" customWidth="1"/>
    <col min="14085" max="14086" width="9" style="2"/>
    <col min="14087" max="14094" width="11.125" style="2" bestFit="1" customWidth="1"/>
    <col min="14095" max="14095" width="9.625" style="2" bestFit="1" customWidth="1"/>
    <col min="14096" max="14319" width="9" style="2"/>
    <col min="14320" max="14320" width="2.375" style="2" customWidth="1"/>
    <col min="14321" max="14321" width="13.25" style="2" bestFit="1" customWidth="1"/>
    <col min="14322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28" width="11.125" style="2" bestFit="1" customWidth="1"/>
    <col min="14329" max="14329" width="9" style="2"/>
    <col min="14330" max="14340" width="11.125" style="2" bestFit="1" customWidth="1"/>
    <col min="14341" max="14342" width="9" style="2"/>
    <col min="14343" max="14350" width="11.125" style="2" bestFit="1" customWidth="1"/>
    <col min="14351" max="14351" width="9.625" style="2" bestFit="1" customWidth="1"/>
    <col min="14352" max="14575" width="9" style="2"/>
    <col min="14576" max="14576" width="2.375" style="2" customWidth="1"/>
    <col min="14577" max="14577" width="13.25" style="2" bestFit="1" customWidth="1"/>
    <col min="14578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84" width="11.125" style="2" bestFit="1" customWidth="1"/>
    <col min="14585" max="14585" width="9" style="2"/>
    <col min="14586" max="14596" width="11.125" style="2" bestFit="1" customWidth="1"/>
    <col min="14597" max="14598" width="9" style="2"/>
    <col min="14599" max="14606" width="11.125" style="2" bestFit="1" customWidth="1"/>
    <col min="14607" max="14607" width="9.625" style="2" bestFit="1" customWidth="1"/>
    <col min="14608" max="14831" width="9" style="2"/>
    <col min="14832" max="14832" width="2.375" style="2" customWidth="1"/>
    <col min="14833" max="14833" width="13.25" style="2" bestFit="1" customWidth="1"/>
    <col min="14834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40" width="11.125" style="2" bestFit="1" customWidth="1"/>
    <col min="14841" max="14841" width="9" style="2"/>
    <col min="14842" max="14852" width="11.125" style="2" bestFit="1" customWidth="1"/>
    <col min="14853" max="14854" width="9" style="2"/>
    <col min="14855" max="14862" width="11.125" style="2" bestFit="1" customWidth="1"/>
    <col min="14863" max="14863" width="9.625" style="2" bestFit="1" customWidth="1"/>
    <col min="14864" max="15087" width="9" style="2"/>
    <col min="15088" max="15088" width="2.375" style="2" customWidth="1"/>
    <col min="15089" max="15089" width="13.25" style="2" bestFit="1" customWidth="1"/>
    <col min="15090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096" width="11.125" style="2" bestFit="1" customWidth="1"/>
    <col min="15097" max="15097" width="9" style="2"/>
    <col min="15098" max="15108" width="11.125" style="2" bestFit="1" customWidth="1"/>
    <col min="15109" max="15110" width="9" style="2"/>
    <col min="15111" max="15118" width="11.125" style="2" bestFit="1" customWidth="1"/>
    <col min="15119" max="15119" width="9.625" style="2" bestFit="1" customWidth="1"/>
    <col min="15120" max="15343" width="9" style="2"/>
    <col min="15344" max="15344" width="2.375" style="2" customWidth="1"/>
    <col min="15345" max="15345" width="13.25" style="2" bestFit="1" customWidth="1"/>
    <col min="15346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52" width="11.125" style="2" bestFit="1" customWidth="1"/>
    <col min="15353" max="15353" width="9" style="2"/>
    <col min="15354" max="15364" width="11.125" style="2" bestFit="1" customWidth="1"/>
    <col min="15365" max="15366" width="9" style="2"/>
    <col min="15367" max="15374" width="11.125" style="2" bestFit="1" customWidth="1"/>
    <col min="15375" max="15375" width="9.625" style="2" bestFit="1" customWidth="1"/>
    <col min="15376" max="15599" width="9" style="2"/>
    <col min="15600" max="15600" width="2.375" style="2" customWidth="1"/>
    <col min="15601" max="15601" width="13.25" style="2" bestFit="1" customWidth="1"/>
    <col min="15602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08" width="11.125" style="2" bestFit="1" customWidth="1"/>
    <col min="15609" max="15609" width="9" style="2"/>
    <col min="15610" max="15620" width="11.125" style="2" bestFit="1" customWidth="1"/>
    <col min="15621" max="15622" width="9" style="2"/>
    <col min="15623" max="15630" width="11.125" style="2" bestFit="1" customWidth="1"/>
    <col min="15631" max="15631" width="9.625" style="2" bestFit="1" customWidth="1"/>
    <col min="15632" max="15855" width="9" style="2"/>
    <col min="15856" max="15856" width="2.375" style="2" customWidth="1"/>
    <col min="15857" max="15857" width="13.25" style="2" bestFit="1" customWidth="1"/>
    <col min="15858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64" width="11.125" style="2" bestFit="1" customWidth="1"/>
    <col min="15865" max="15865" width="9" style="2"/>
    <col min="15866" max="15876" width="11.125" style="2" bestFit="1" customWidth="1"/>
    <col min="15877" max="15878" width="9" style="2"/>
    <col min="15879" max="15886" width="11.125" style="2" bestFit="1" customWidth="1"/>
    <col min="15887" max="15887" width="9.625" style="2" bestFit="1" customWidth="1"/>
    <col min="15888" max="16111" width="9" style="2"/>
    <col min="16112" max="16112" width="2.375" style="2" customWidth="1"/>
    <col min="16113" max="16113" width="13.25" style="2" bestFit="1" customWidth="1"/>
    <col min="16114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20" width="11.125" style="2" bestFit="1" customWidth="1"/>
    <col min="16121" max="16121" width="9" style="2"/>
    <col min="16122" max="16132" width="11.125" style="2" bestFit="1" customWidth="1"/>
    <col min="16133" max="16134" width="9" style="2"/>
    <col min="16135" max="16142" width="11.125" style="2" bestFit="1" customWidth="1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97</v>
      </c>
    </row>
    <row r="4" spans="1:17">
      <c r="B4" s="94"/>
      <c r="C4" s="78" t="s">
        <v>5</v>
      </c>
      <c r="D4" s="9" t="s">
        <v>6</v>
      </c>
      <c r="E4" s="9" t="s">
        <v>28</v>
      </c>
      <c r="F4" s="9" t="s">
        <v>29</v>
      </c>
      <c r="G4" s="9" t="s">
        <v>25</v>
      </c>
      <c r="H4" s="9" t="s">
        <v>26</v>
      </c>
      <c r="I4" s="9" t="s">
        <v>27</v>
      </c>
      <c r="J4" s="9" t="s">
        <v>30</v>
      </c>
      <c r="K4" s="10" t="s">
        <v>31</v>
      </c>
      <c r="L4" s="45" t="s">
        <v>98</v>
      </c>
      <c r="M4" s="56" t="s">
        <v>7</v>
      </c>
      <c r="N4" s="45" t="s">
        <v>98</v>
      </c>
      <c r="O4" s="4" t="s">
        <v>38</v>
      </c>
    </row>
    <row r="5" spans="1:17" ht="19.5" thickBot="1">
      <c r="A5" s="93"/>
      <c r="B5" s="95" t="s">
        <v>32</v>
      </c>
      <c r="C5" s="79" t="s">
        <v>115</v>
      </c>
      <c r="D5" s="29" t="s">
        <v>118</v>
      </c>
      <c r="E5" s="29" t="s">
        <v>116</v>
      </c>
      <c r="F5" s="29" t="s">
        <v>117</v>
      </c>
      <c r="G5" s="29" t="s">
        <v>37</v>
      </c>
      <c r="H5" s="29" t="s">
        <v>119</v>
      </c>
      <c r="I5" s="29" t="s">
        <v>120</v>
      </c>
      <c r="J5" s="29" t="s">
        <v>121</v>
      </c>
      <c r="K5" s="30" t="s">
        <v>122</v>
      </c>
      <c r="L5" s="46" t="s">
        <v>99</v>
      </c>
      <c r="M5" s="57" t="s">
        <v>123</v>
      </c>
      <c r="N5" s="46" t="s">
        <v>124</v>
      </c>
      <c r="O5" s="92" t="s">
        <v>126</v>
      </c>
    </row>
    <row r="6" spans="1:17">
      <c r="A6" s="1" t="s">
        <v>2</v>
      </c>
      <c r="B6" s="96" t="s">
        <v>39</v>
      </c>
      <c r="C6" s="80">
        <v>19</v>
      </c>
      <c r="D6" s="25">
        <v>20</v>
      </c>
      <c r="E6" s="25">
        <v>13</v>
      </c>
      <c r="F6" s="25">
        <v>15</v>
      </c>
      <c r="G6" s="25">
        <v>10</v>
      </c>
      <c r="H6" s="25">
        <v>6</v>
      </c>
      <c r="I6" s="25">
        <v>10</v>
      </c>
      <c r="J6" s="25">
        <v>8</v>
      </c>
      <c r="K6" s="26">
        <v>20</v>
      </c>
      <c r="L6" s="47">
        <f>SUM(C6:K6)</f>
        <v>121</v>
      </c>
      <c r="M6" s="58">
        <v>19</v>
      </c>
      <c r="N6" s="47">
        <f>SUM(M6)</f>
        <v>19</v>
      </c>
      <c r="O6" s="47">
        <v>456</v>
      </c>
      <c r="Q6" s="89"/>
    </row>
    <row r="7" spans="1:17">
      <c r="A7" s="1" t="s">
        <v>2</v>
      </c>
      <c r="B7" s="97" t="s">
        <v>40</v>
      </c>
      <c r="C7" s="81">
        <v>0</v>
      </c>
      <c r="D7" s="12">
        <v>2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3">
        <v>0</v>
      </c>
      <c r="L7" s="48">
        <f>SUM(C7:K7)</f>
        <v>2</v>
      </c>
      <c r="M7" s="59">
        <v>0</v>
      </c>
      <c r="N7" s="48">
        <f>SUM(M7)</f>
        <v>0</v>
      </c>
      <c r="O7" s="48">
        <v>47</v>
      </c>
      <c r="Q7" s="89"/>
    </row>
    <row r="8" spans="1:17">
      <c r="A8" s="1" t="s">
        <v>2</v>
      </c>
      <c r="B8" s="97" t="s">
        <v>41</v>
      </c>
      <c r="C8" s="8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v>0</v>
      </c>
      <c r="L8" s="48">
        <f t="shared" ref="L8:L13" si="0">SUM(C8:K8)</f>
        <v>0</v>
      </c>
      <c r="M8" s="59">
        <v>0</v>
      </c>
      <c r="N8" s="48"/>
      <c r="O8" s="48">
        <v>42</v>
      </c>
      <c r="Q8" s="89"/>
    </row>
    <row r="9" spans="1:17">
      <c r="A9" s="1" t="s">
        <v>2</v>
      </c>
      <c r="B9" s="97" t="s">
        <v>42</v>
      </c>
      <c r="C9" s="8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v>0</v>
      </c>
      <c r="L9" s="48">
        <f t="shared" si="0"/>
        <v>0</v>
      </c>
      <c r="M9" s="59">
        <v>0</v>
      </c>
      <c r="N9" s="48"/>
      <c r="O9" s="48">
        <v>5</v>
      </c>
      <c r="Q9" s="89"/>
    </row>
    <row r="10" spans="1:17">
      <c r="A10" s="1" t="s">
        <v>2</v>
      </c>
      <c r="B10" s="97" t="s">
        <v>43</v>
      </c>
      <c r="C10" s="81">
        <v>1</v>
      </c>
      <c r="D10" s="12">
        <v>0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0</v>
      </c>
      <c r="K10" s="13">
        <v>0</v>
      </c>
      <c r="L10" s="48">
        <f>SUM(C10:K10)</f>
        <v>6</v>
      </c>
      <c r="M10" s="59">
        <v>0</v>
      </c>
      <c r="N10" s="48">
        <f>SUM(M10)</f>
        <v>0</v>
      </c>
      <c r="O10" s="48">
        <v>17</v>
      </c>
      <c r="Q10" s="89"/>
    </row>
    <row r="11" spans="1:17">
      <c r="A11" s="1" t="s">
        <v>2</v>
      </c>
      <c r="B11" s="97" t="s">
        <v>44</v>
      </c>
      <c r="C11" s="81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3">
        <v>0</v>
      </c>
      <c r="L11" s="48">
        <f t="shared" si="0"/>
        <v>0</v>
      </c>
      <c r="M11" s="59">
        <v>0</v>
      </c>
      <c r="N11" s="48"/>
      <c r="O11" s="48">
        <v>10</v>
      </c>
      <c r="Q11" s="89"/>
    </row>
    <row r="12" spans="1:17">
      <c r="A12" s="1" t="s">
        <v>2</v>
      </c>
      <c r="B12" s="97" t="s">
        <v>45</v>
      </c>
      <c r="C12" s="81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3">
        <v>0</v>
      </c>
      <c r="L12" s="48">
        <f t="shared" si="0"/>
        <v>0</v>
      </c>
      <c r="M12" s="59">
        <v>0</v>
      </c>
      <c r="N12" s="48"/>
      <c r="O12" s="48">
        <v>39.799999999999997</v>
      </c>
      <c r="Q12" s="89"/>
    </row>
    <row r="13" spans="1:17">
      <c r="A13" s="1" t="s">
        <v>2</v>
      </c>
      <c r="B13" s="97" t="s">
        <v>46</v>
      </c>
      <c r="C13" s="81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0</v>
      </c>
      <c r="L13" s="48">
        <f t="shared" si="0"/>
        <v>0</v>
      </c>
      <c r="M13" s="59">
        <v>0</v>
      </c>
      <c r="N13" s="48"/>
      <c r="O13" s="48">
        <v>1</v>
      </c>
      <c r="Q13" s="89"/>
    </row>
    <row r="14" spans="1:17">
      <c r="A14" s="1" t="s">
        <v>2</v>
      </c>
      <c r="B14" s="97" t="s">
        <v>47</v>
      </c>
      <c r="C14" s="82">
        <v>0</v>
      </c>
      <c r="D14" s="15">
        <v>0</v>
      </c>
      <c r="E14" s="15">
        <v>3.5833333333333335</v>
      </c>
      <c r="F14" s="15">
        <v>3.8333333333333335</v>
      </c>
      <c r="G14" s="15">
        <v>2.9583333333333335</v>
      </c>
      <c r="H14" s="15">
        <v>1.75</v>
      </c>
      <c r="I14" s="15">
        <v>2.9583333333333335</v>
      </c>
      <c r="J14" s="15">
        <v>2.5</v>
      </c>
      <c r="K14" s="16">
        <v>3.5416666666666665</v>
      </c>
      <c r="L14" s="49">
        <f>SUM(C14:K14)</f>
        <v>21.125000000000004</v>
      </c>
      <c r="M14" s="60">
        <v>0</v>
      </c>
      <c r="N14" s="49"/>
      <c r="O14" s="49">
        <v>21.125000000000004</v>
      </c>
      <c r="Q14" s="90"/>
    </row>
    <row r="15" spans="1:17">
      <c r="A15" s="1" t="s">
        <v>2</v>
      </c>
      <c r="B15" s="97" t="s">
        <v>48</v>
      </c>
      <c r="C15" s="82">
        <v>0</v>
      </c>
      <c r="D15" s="15">
        <v>1.375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6">
        <v>0</v>
      </c>
      <c r="L15" s="49">
        <f t="shared" ref="L15:L16" si="1">SUM(C15:K15)</f>
        <v>1.375</v>
      </c>
      <c r="M15" s="60">
        <v>0</v>
      </c>
      <c r="N15" s="49"/>
      <c r="O15" s="49">
        <v>31.916666666666664</v>
      </c>
      <c r="Q15" s="90"/>
    </row>
    <row r="16" spans="1:17">
      <c r="A16" s="1" t="s">
        <v>2</v>
      </c>
      <c r="B16" s="97" t="s">
        <v>49</v>
      </c>
      <c r="C16" s="82">
        <v>0</v>
      </c>
      <c r="D16" s="15">
        <v>0.75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6">
        <v>0</v>
      </c>
      <c r="L16" s="49">
        <f t="shared" si="1"/>
        <v>0.75</v>
      </c>
      <c r="M16" s="60">
        <v>0</v>
      </c>
      <c r="N16" s="49"/>
      <c r="O16" s="49">
        <v>16</v>
      </c>
      <c r="Q16" s="90"/>
    </row>
    <row r="17" spans="1:17">
      <c r="A17" s="1" t="s">
        <v>2</v>
      </c>
      <c r="B17" s="97" t="s">
        <v>50</v>
      </c>
      <c r="C17" s="82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6">
        <v>0</v>
      </c>
      <c r="L17" s="49"/>
      <c r="M17" s="60">
        <v>0</v>
      </c>
      <c r="N17" s="49"/>
      <c r="O17" s="49">
        <v>13.708333333333334</v>
      </c>
      <c r="Q17" s="90"/>
    </row>
    <row r="18" spans="1:17">
      <c r="A18" s="1" t="s">
        <v>2</v>
      </c>
      <c r="B18" s="97" t="s">
        <v>51</v>
      </c>
      <c r="C18" s="8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6">
        <v>0</v>
      </c>
      <c r="L18" s="49"/>
      <c r="M18" s="60">
        <v>0</v>
      </c>
      <c r="N18" s="49"/>
      <c r="O18" s="49">
        <v>1.25</v>
      </c>
      <c r="Q18" s="90"/>
    </row>
    <row r="19" spans="1:17">
      <c r="A19" s="1" t="s">
        <v>2</v>
      </c>
      <c r="B19" s="97" t="s">
        <v>52</v>
      </c>
      <c r="C19" s="82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6">
        <v>0</v>
      </c>
      <c r="L19" s="49"/>
      <c r="M19" s="60">
        <v>0</v>
      </c>
      <c r="N19" s="49"/>
      <c r="O19" s="49">
        <v>0.70833333333333337</v>
      </c>
      <c r="Q19" s="90"/>
    </row>
    <row r="20" spans="1:17">
      <c r="A20" s="1" t="s">
        <v>2</v>
      </c>
      <c r="B20" s="97" t="s">
        <v>53</v>
      </c>
      <c r="C20" s="82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6">
        <v>0</v>
      </c>
      <c r="L20" s="49"/>
      <c r="M20" s="60">
        <v>0</v>
      </c>
      <c r="N20" s="49"/>
      <c r="O20" s="49">
        <v>0</v>
      </c>
      <c r="Q20" s="90"/>
    </row>
    <row r="21" spans="1:17">
      <c r="A21" s="1" t="s">
        <v>2</v>
      </c>
      <c r="B21" s="97" t="s">
        <v>54</v>
      </c>
      <c r="C21" s="82">
        <v>0</v>
      </c>
      <c r="D21" s="15">
        <v>0</v>
      </c>
      <c r="E21" s="15">
        <v>0.29166666666666669</v>
      </c>
      <c r="F21" s="15">
        <v>0.29166666666666669</v>
      </c>
      <c r="G21" s="15">
        <v>0.29166666666666669</v>
      </c>
      <c r="H21" s="15">
        <v>0.29166666666666669</v>
      </c>
      <c r="I21" s="15">
        <v>0.29166666666666669</v>
      </c>
      <c r="J21" s="15">
        <v>0</v>
      </c>
      <c r="K21" s="16">
        <v>0</v>
      </c>
      <c r="L21" s="49">
        <f>SUM(C21:K21)</f>
        <v>1.4583333333333335</v>
      </c>
      <c r="M21" s="60">
        <v>0</v>
      </c>
      <c r="N21" s="49"/>
      <c r="O21" s="49">
        <v>1.4583333333333335</v>
      </c>
      <c r="Q21" s="90"/>
    </row>
    <row r="22" spans="1:17">
      <c r="A22" s="1" t="s">
        <v>2</v>
      </c>
      <c r="B22" s="97" t="s">
        <v>55</v>
      </c>
      <c r="C22" s="82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6">
        <v>0</v>
      </c>
      <c r="L22" s="49"/>
      <c r="M22" s="60">
        <v>0</v>
      </c>
      <c r="N22" s="49"/>
      <c r="O22" s="49">
        <v>0</v>
      </c>
      <c r="Q22" s="90"/>
    </row>
    <row r="23" spans="1:17">
      <c r="A23" s="1" t="s">
        <v>2</v>
      </c>
      <c r="B23" s="97" t="s">
        <v>56</v>
      </c>
      <c r="C23" s="82">
        <v>0</v>
      </c>
      <c r="D23" s="15">
        <v>0</v>
      </c>
      <c r="E23" s="15">
        <v>0</v>
      </c>
      <c r="F23" s="15">
        <v>0</v>
      </c>
      <c r="G23" s="15">
        <v>2.0833333333333335</v>
      </c>
      <c r="H23" s="15">
        <v>1.25</v>
      </c>
      <c r="I23" s="15">
        <v>2.0833333333333335</v>
      </c>
      <c r="J23" s="15">
        <v>0.83333333333333337</v>
      </c>
      <c r="K23" s="16">
        <v>0</v>
      </c>
      <c r="L23" s="49">
        <f>SUM(C23:K23)</f>
        <v>6.25</v>
      </c>
      <c r="M23" s="60">
        <v>0</v>
      </c>
      <c r="N23" s="49"/>
      <c r="O23" s="49">
        <v>16.833333333333336</v>
      </c>
      <c r="Q23" s="90"/>
    </row>
    <row r="24" spans="1:17" ht="19.5" thickBot="1">
      <c r="A24" s="1" t="s">
        <v>2</v>
      </c>
      <c r="B24" s="98" t="s">
        <v>57</v>
      </c>
      <c r="C24" s="83">
        <v>39</v>
      </c>
      <c r="D24" s="36">
        <v>40</v>
      </c>
      <c r="E24" s="36">
        <v>21</v>
      </c>
      <c r="F24" s="36">
        <v>21</v>
      </c>
      <c r="G24" s="36">
        <v>8</v>
      </c>
      <c r="H24" s="36">
        <v>7</v>
      </c>
      <c r="I24" s="36">
        <v>5</v>
      </c>
      <c r="J24" s="36">
        <v>4</v>
      </c>
      <c r="K24" s="37">
        <v>16</v>
      </c>
      <c r="L24" s="50">
        <f>SUM(C24:K24)</f>
        <v>161</v>
      </c>
      <c r="M24" s="61">
        <v>40</v>
      </c>
      <c r="N24" s="50">
        <f>SUM(M24)</f>
        <v>40</v>
      </c>
      <c r="O24" s="50">
        <v>684</v>
      </c>
      <c r="Q24" s="89"/>
    </row>
    <row r="25" spans="1:17">
      <c r="A25" s="1" t="s">
        <v>2</v>
      </c>
      <c r="B25" s="96" t="s">
        <v>58</v>
      </c>
      <c r="C25" s="84">
        <v>485000</v>
      </c>
      <c r="D25" s="32">
        <v>280000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3">
        <v>0</v>
      </c>
      <c r="L25" s="33">
        <f>SUM(C25:K25)</f>
        <v>765000</v>
      </c>
      <c r="M25" s="62">
        <v>375000</v>
      </c>
      <c r="N25" s="51">
        <f>SUM(M25)</f>
        <v>375000</v>
      </c>
      <c r="O25" s="51">
        <v>4339000</v>
      </c>
      <c r="Q25" s="91"/>
    </row>
    <row r="26" spans="1:17">
      <c r="A26" s="1" t="s">
        <v>2</v>
      </c>
      <c r="B26" s="97" t="s">
        <v>59</v>
      </c>
      <c r="C26" s="85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  <c r="L26" s="19">
        <f t="shared" ref="L26:L63" si="2">SUM(C26:K26)</f>
        <v>0</v>
      </c>
      <c r="M26" s="63">
        <v>0</v>
      </c>
      <c r="N26" s="52">
        <f t="shared" ref="N26:N63" si="3">SUM(M26)</f>
        <v>0</v>
      </c>
      <c r="O26" s="52">
        <v>35000</v>
      </c>
      <c r="Q26" s="91"/>
    </row>
    <row r="27" spans="1:17">
      <c r="A27" s="1" t="s">
        <v>2</v>
      </c>
      <c r="B27" s="97" t="s">
        <v>60</v>
      </c>
      <c r="C27" s="85">
        <v>0</v>
      </c>
      <c r="D27" s="18">
        <v>3000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0</v>
      </c>
      <c r="L27" s="19">
        <f t="shared" si="2"/>
        <v>3000</v>
      </c>
      <c r="M27" s="63">
        <v>0</v>
      </c>
      <c r="N27" s="52">
        <f t="shared" si="3"/>
        <v>0</v>
      </c>
      <c r="O27" s="52">
        <v>6000</v>
      </c>
      <c r="Q27" s="91"/>
    </row>
    <row r="28" spans="1:17">
      <c r="A28" s="1" t="s">
        <v>2</v>
      </c>
      <c r="B28" s="97" t="s">
        <v>61</v>
      </c>
      <c r="C28" s="85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  <c r="L28" s="19">
        <f t="shared" si="2"/>
        <v>0</v>
      </c>
      <c r="M28" s="63">
        <v>0</v>
      </c>
      <c r="N28" s="52">
        <f t="shared" si="3"/>
        <v>0</v>
      </c>
      <c r="O28" s="52">
        <v>0</v>
      </c>
      <c r="Q28" s="91"/>
    </row>
    <row r="29" spans="1:17">
      <c r="A29" s="1" t="s">
        <v>2</v>
      </c>
      <c r="B29" s="97" t="s">
        <v>62</v>
      </c>
      <c r="C29" s="85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0</v>
      </c>
      <c r="L29" s="19">
        <f t="shared" si="2"/>
        <v>0</v>
      </c>
      <c r="M29" s="63">
        <v>0</v>
      </c>
      <c r="N29" s="52">
        <f t="shared" si="3"/>
        <v>0</v>
      </c>
      <c r="O29" s="52">
        <v>85990</v>
      </c>
      <c r="Q29" s="91"/>
    </row>
    <row r="30" spans="1:17">
      <c r="A30" s="1" t="s">
        <v>2</v>
      </c>
      <c r="B30" s="97" t="s">
        <v>63</v>
      </c>
      <c r="C30" s="85">
        <v>0</v>
      </c>
      <c r="D30" s="18">
        <v>0</v>
      </c>
      <c r="E30" s="18">
        <v>79120</v>
      </c>
      <c r="F30" s="18">
        <v>84640</v>
      </c>
      <c r="G30" s="18">
        <v>59640</v>
      </c>
      <c r="H30" s="18">
        <v>35280</v>
      </c>
      <c r="I30" s="18">
        <v>59640</v>
      </c>
      <c r="J30" s="18">
        <v>49800</v>
      </c>
      <c r="K30" s="19">
        <v>71400</v>
      </c>
      <c r="L30" s="19">
        <f t="shared" si="2"/>
        <v>439520</v>
      </c>
      <c r="M30" s="63">
        <v>0</v>
      </c>
      <c r="N30" s="52">
        <f t="shared" si="3"/>
        <v>0</v>
      </c>
      <c r="O30" s="52">
        <v>439520</v>
      </c>
      <c r="Q30" s="91"/>
    </row>
    <row r="31" spans="1:17">
      <c r="A31" s="1" t="s">
        <v>2</v>
      </c>
      <c r="B31" s="97" t="s">
        <v>64</v>
      </c>
      <c r="C31" s="85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0</v>
      </c>
      <c r="L31" s="19">
        <f t="shared" si="2"/>
        <v>0</v>
      </c>
      <c r="M31" s="63">
        <v>0</v>
      </c>
      <c r="N31" s="52">
        <f t="shared" si="3"/>
        <v>0</v>
      </c>
      <c r="O31" s="52">
        <v>0</v>
      </c>
      <c r="Q31" s="91"/>
    </row>
    <row r="32" spans="1:17">
      <c r="A32" s="1" t="s">
        <v>2</v>
      </c>
      <c r="B32" s="97" t="s">
        <v>65</v>
      </c>
      <c r="C32" s="85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  <c r="L32" s="19">
        <f t="shared" si="2"/>
        <v>0</v>
      </c>
      <c r="M32" s="63">
        <v>0</v>
      </c>
      <c r="N32" s="52">
        <f t="shared" si="3"/>
        <v>0</v>
      </c>
      <c r="O32" s="52">
        <v>352700</v>
      </c>
      <c r="Q32" s="91"/>
    </row>
    <row r="33" spans="1:17">
      <c r="A33" s="1" t="s">
        <v>2</v>
      </c>
      <c r="B33" s="97" t="s">
        <v>66</v>
      </c>
      <c r="C33" s="85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0</v>
      </c>
      <c r="L33" s="19">
        <f t="shared" si="2"/>
        <v>0</v>
      </c>
      <c r="M33" s="63">
        <v>0</v>
      </c>
      <c r="N33" s="52">
        <f t="shared" si="3"/>
        <v>0</v>
      </c>
      <c r="O33" s="52">
        <v>13000</v>
      </c>
      <c r="Q33" s="91"/>
    </row>
    <row r="34" spans="1:17">
      <c r="A34" s="1" t="s">
        <v>2</v>
      </c>
      <c r="B34" s="97" t="s">
        <v>67</v>
      </c>
      <c r="C34" s="85">
        <v>0</v>
      </c>
      <c r="D34" s="18">
        <v>0</v>
      </c>
      <c r="E34" s="18">
        <v>6440</v>
      </c>
      <c r="F34" s="18">
        <v>6440</v>
      </c>
      <c r="G34" s="18">
        <v>5880</v>
      </c>
      <c r="H34" s="18">
        <v>5880</v>
      </c>
      <c r="I34" s="18">
        <v>5880</v>
      </c>
      <c r="J34" s="18">
        <v>0</v>
      </c>
      <c r="K34" s="19">
        <v>0</v>
      </c>
      <c r="L34" s="19">
        <f t="shared" si="2"/>
        <v>30520</v>
      </c>
      <c r="M34" s="63">
        <v>0</v>
      </c>
      <c r="N34" s="52">
        <f t="shared" si="3"/>
        <v>0</v>
      </c>
      <c r="O34" s="52">
        <v>30520</v>
      </c>
      <c r="Q34" s="91"/>
    </row>
    <row r="35" spans="1:17">
      <c r="A35" s="1" t="s">
        <v>2</v>
      </c>
      <c r="B35" s="97" t="s">
        <v>68</v>
      </c>
      <c r="C35" s="85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0</v>
      </c>
      <c r="L35" s="19">
        <f t="shared" si="2"/>
        <v>0</v>
      </c>
      <c r="M35" s="63">
        <v>0</v>
      </c>
      <c r="N35" s="52">
        <f t="shared" si="3"/>
        <v>0</v>
      </c>
      <c r="O35" s="52">
        <v>0</v>
      </c>
      <c r="Q35" s="91"/>
    </row>
    <row r="36" spans="1:17">
      <c r="A36" s="1" t="s">
        <v>2</v>
      </c>
      <c r="B36" s="97" t="s">
        <v>69</v>
      </c>
      <c r="C36" s="85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9">
        <v>0</v>
      </c>
      <c r="L36" s="19">
        <f t="shared" si="2"/>
        <v>0</v>
      </c>
      <c r="M36" s="63">
        <v>0</v>
      </c>
      <c r="N36" s="52">
        <f t="shared" si="3"/>
        <v>0</v>
      </c>
      <c r="O36" s="52">
        <v>0</v>
      </c>
      <c r="Q36" s="91"/>
    </row>
    <row r="37" spans="1:17">
      <c r="A37" s="1" t="s">
        <v>2</v>
      </c>
      <c r="B37" s="97" t="s">
        <v>70</v>
      </c>
      <c r="C37" s="85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9">
        <v>0</v>
      </c>
      <c r="L37" s="19">
        <f t="shared" si="2"/>
        <v>0</v>
      </c>
      <c r="M37" s="63">
        <v>0</v>
      </c>
      <c r="N37" s="52">
        <f t="shared" si="3"/>
        <v>0</v>
      </c>
      <c r="O37" s="103">
        <v>-161032</v>
      </c>
      <c r="Q37" s="91"/>
    </row>
    <row r="38" spans="1:17">
      <c r="A38" s="1" t="s">
        <v>2</v>
      </c>
      <c r="B38" s="97" t="s">
        <v>48</v>
      </c>
      <c r="C38" s="85">
        <v>0</v>
      </c>
      <c r="D38" s="18">
        <v>69927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9">
        <v>0</v>
      </c>
      <c r="L38" s="19">
        <f t="shared" si="2"/>
        <v>69927</v>
      </c>
      <c r="M38" s="63">
        <v>0</v>
      </c>
      <c r="N38" s="52">
        <f t="shared" si="3"/>
        <v>0</v>
      </c>
      <c r="O38" s="52">
        <v>1064057</v>
      </c>
      <c r="Q38" s="91"/>
    </row>
    <row r="39" spans="1:17">
      <c r="A39" s="1" t="s">
        <v>2</v>
      </c>
      <c r="B39" s="97" t="s">
        <v>71</v>
      </c>
      <c r="C39" s="85">
        <v>0</v>
      </c>
      <c r="D39" s="18">
        <v>41184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9">
        <v>0</v>
      </c>
      <c r="L39" s="19">
        <f t="shared" si="2"/>
        <v>41184</v>
      </c>
      <c r="M39" s="63">
        <v>0</v>
      </c>
      <c r="N39" s="52">
        <f t="shared" si="3"/>
        <v>0</v>
      </c>
      <c r="O39" s="52">
        <v>580209</v>
      </c>
      <c r="Q39" s="91"/>
    </row>
    <row r="40" spans="1:17">
      <c r="A40" s="1" t="s">
        <v>2</v>
      </c>
      <c r="B40" s="97" t="s">
        <v>72</v>
      </c>
      <c r="C40" s="85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9">
        <v>0</v>
      </c>
      <c r="L40" s="19">
        <f t="shared" si="2"/>
        <v>0</v>
      </c>
      <c r="M40" s="63">
        <v>0</v>
      </c>
      <c r="N40" s="52">
        <f t="shared" si="3"/>
        <v>0</v>
      </c>
      <c r="O40" s="52">
        <v>480135</v>
      </c>
      <c r="Q40" s="91"/>
    </row>
    <row r="41" spans="1:17">
      <c r="A41" s="1" t="s">
        <v>2</v>
      </c>
      <c r="B41" s="97" t="s">
        <v>73</v>
      </c>
      <c r="C41" s="85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9">
        <v>0</v>
      </c>
      <c r="L41" s="19">
        <f t="shared" si="2"/>
        <v>0</v>
      </c>
      <c r="M41" s="63">
        <v>0</v>
      </c>
      <c r="N41" s="52">
        <f t="shared" si="3"/>
        <v>0</v>
      </c>
      <c r="O41" s="52">
        <v>11070</v>
      </c>
      <c r="Q41" s="91"/>
    </row>
    <row r="42" spans="1:17">
      <c r="A42" s="1" t="s">
        <v>2</v>
      </c>
      <c r="B42" s="97" t="s">
        <v>74</v>
      </c>
      <c r="C42" s="85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9">
        <v>0</v>
      </c>
      <c r="L42" s="19">
        <f t="shared" si="2"/>
        <v>0</v>
      </c>
      <c r="M42" s="63">
        <v>0</v>
      </c>
      <c r="N42" s="52">
        <f t="shared" si="3"/>
        <v>0</v>
      </c>
      <c r="O42" s="52">
        <v>6273</v>
      </c>
      <c r="Q42" s="91"/>
    </row>
    <row r="43" spans="1:17">
      <c r="A43" s="1" t="s">
        <v>2</v>
      </c>
      <c r="B43" s="97" t="s">
        <v>75</v>
      </c>
      <c r="C43" s="85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9">
        <v>0</v>
      </c>
      <c r="L43" s="19">
        <f t="shared" si="2"/>
        <v>0</v>
      </c>
      <c r="M43" s="63">
        <v>0</v>
      </c>
      <c r="N43" s="52">
        <f t="shared" si="3"/>
        <v>0</v>
      </c>
      <c r="O43" s="52">
        <v>8133</v>
      </c>
      <c r="Q43" s="91"/>
    </row>
    <row r="44" spans="1:17">
      <c r="A44" s="1" t="s">
        <v>2</v>
      </c>
      <c r="B44" s="97" t="s">
        <v>53</v>
      </c>
      <c r="C44" s="85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9">
        <v>0</v>
      </c>
      <c r="L44" s="19">
        <f t="shared" si="2"/>
        <v>0</v>
      </c>
      <c r="M44" s="63">
        <v>0</v>
      </c>
      <c r="N44" s="52">
        <f t="shared" si="3"/>
        <v>0</v>
      </c>
      <c r="O44" s="52">
        <v>0</v>
      </c>
      <c r="Q44" s="91"/>
    </row>
    <row r="45" spans="1:17">
      <c r="A45" s="1" t="s">
        <v>2</v>
      </c>
      <c r="B45" s="97" t="s">
        <v>56</v>
      </c>
      <c r="C45" s="85">
        <v>0</v>
      </c>
      <c r="D45" s="18">
        <v>0</v>
      </c>
      <c r="E45" s="18">
        <v>0</v>
      </c>
      <c r="F45" s="18">
        <v>0</v>
      </c>
      <c r="G45" s="18">
        <v>10500</v>
      </c>
      <c r="H45" s="18">
        <v>6300</v>
      </c>
      <c r="I45" s="18">
        <v>10500</v>
      </c>
      <c r="J45" s="18">
        <v>4160</v>
      </c>
      <c r="K45" s="19">
        <v>0</v>
      </c>
      <c r="L45" s="19">
        <f t="shared" si="2"/>
        <v>31460</v>
      </c>
      <c r="M45" s="63">
        <v>0</v>
      </c>
      <c r="N45" s="52">
        <f t="shared" si="3"/>
        <v>0</v>
      </c>
      <c r="O45" s="52">
        <v>100491</v>
      </c>
      <c r="Q45" s="91"/>
    </row>
    <row r="46" spans="1:17" ht="19.5" thickBot="1">
      <c r="A46" s="1" t="s">
        <v>2</v>
      </c>
      <c r="B46" s="98" t="s">
        <v>76</v>
      </c>
      <c r="C46" s="86">
        <v>485000</v>
      </c>
      <c r="D46" s="39">
        <v>394111</v>
      </c>
      <c r="E46" s="39">
        <v>85560</v>
      </c>
      <c r="F46" s="39">
        <v>91080</v>
      </c>
      <c r="G46" s="39">
        <v>76020</v>
      </c>
      <c r="H46" s="39">
        <v>47460</v>
      </c>
      <c r="I46" s="39">
        <v>76020</v>
      </c>
      <c r="J46" s="39">
        <v>53960</v>
      </c>
      <c r="K46" s="40">
        <v>71400</v>
      </c>
      <c r="L46" s="40">
        <f t="shared" si="2"/>
        <v>1380611</v>
      </c>
      <c r="M46" s="64">
        <v>375000</v>
      </c>
      <c r="N46" s="53">
        <f t="shared" si="3"/>
        <v>375000</v>
      </c>
      <c r="O46" s="53">
        <v>7391066</v>
      </c>
      <c r="Q46" s="91"/>
    </row>
    <row r="47" spans="1:17" ht="19.5" thickBot="1">
      <c r="A47" s="1" t="s">
        <v>2</v>
      </c>
      <c r="B47" s="96" t="s">
        <v>77</v>
      </c>
      <c r="C47" s="84">
        <v>8220</v>
      </c>
      <c r="D47" s="32">
        <v>5167</v>
      </c>
      <c r="E47" s="32">
        <v>2714</v>
      </c>
      <c r="F47" s="32">
        <v>1957</v>
      </c>
      <c r="G47" s="32">
        <v>3132</v>
      </c>
      <c r="H47" s="32">
        <v>2349</v>
      </c>
      <c r="I47" s="32">
        <v>4175</v>
      </c>
      <c r="J47" s="32">
        <v>2714</v>
      </c>
      <c r="K47" s="33">
        <v>7306</v>
      </c>
      <c r="L47" s="33">
        <f t="shared" si="2"/>
        <v>37734</v>
      </c>
      <c r="M47" s="62">
        <v>6784</v>
      </c>
      <c r="N47" s="51">
        <f t="shared" si="3"/>
        <v>6784</v>
      </c>
      <c r="O47" s="51">
        <v>145585</v>
      </c>
      <c r="Q47" s="91"/>
    </row>
    <row r="48" spans="1:17" ht="19.5" thickBot="1">
      <c r="A48" s="1" t="s">
        <v>2</v>
      </c>
      <c r="B48" s="99" t="s">
        <v>78</v>
      </c>
      <c r="C48" s="87">
        <v>8220</v>
      </c>
      <c r="D48" s="43">
        <v>5167</v>
      </c>
      <c r="E48" s="43">
        <v>2714</v>
      </c>
      <c r="F48" s="43">
        <v>1957</v>
      </c>
      <c r="G48" s="43">
        <v>3132</v>
      </c>
      <c r="H48" s="43">
        <v>2349</v>
      </c>
      <c r="I48" s="43">
        <v>4175</v>
      </c>
      <c r="J48" s="43">
        <v>2714</v>
      </c>
      <c r="K48" s="44">
        <v>7306</v>
      </c>
      <c r="L48" s="44">
        <f t="shared" si="2"/>
        <v>37734</v>
      </c>
      <c r="M48" s="65">
        <v>6784</v>
      </c>
      <c r="N48" s="54">
        <f t="shared" si="3"/>
        <v>6784</v>
      </c>
      <c r="O48" s="54">
        <v>145585</v>
      </c>
      <c r="Q48" s="91"/>
    </row>
    <row r="49" spans="1:17" ht="19.5" thickBot="1">
      <c r="A49" s="1" t="s">
        <v>2</v>
      </c>
      <c r="B49" s="99" t="s">
        <v>79</v>
      </c>
      <c r="C49" s="87">
        <v>493220</v>
      </c>
      <c r="D49" s="43">
        <v>399278</v>
      </c>
      <c r="E49" s="43">
        <v>88274</v>
      </c>
      <c r="F49" s="43">
        <v>93037</v>
      </c>
      <c r="G49" s="43">
        <v>79152</v>
      </c>
      <c r="H49" s="43">
        <v>49809</v>
      </c>
      <c r="I49" s="43">
        <v>80195</v>
      </c>
      <c r="J49" s="43">
        <v>56674</v>
      </c>
      <c r="K49" s="44">
        <v>78706</v>
      </c>
      <c r="L49" s="44">
        <f t="shared" si="2"/>
        <v>1418345</v>
      </c>
      <c r="M49" s="65">
        <v>381784</v>
      </c>
      <c r="N49" s="54">
        <f t="shared" si="3"/>
        <v>381784</v>
      </c>
      <c r="O49" s="54">
        <v>7536651</v>
      </c>
      <c r="Q49" s="91"/>
    </row>
    <row r="50" spans="1:17">
      <c r="A50" s="1" t="s">
        <v>2</v>
      </c>
      <c r="B50" s="96" t="s">
        <v>80</v>
      </c>
      <c r="C50" s="84">
        <v>23970</v>
      </c>
      <c r="D50" s="32">
        <v>19380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3">
        <v>0</v>
      </c>
      <c r="L50" s="33">
        <f t="shared" si="2"/>
        <v>43350</v>
      </c>
      <c r="M50" s="62">
        <v>19380</v>
      </c>
      <c r="N50" s="51">
        <f t="shared" si="3"/>
        <v>19380</v>
      </c>
      <c r="O50" s="51">
        <v>358530</v>
      </c>
      <c r="Q50" s="91"/>
    </row>
    <row r="51" spans="1:17">
      <c r="A51" s="1" t="s">
        <v>2</v>
      </c>
      <c r="B51" s="97" t="s">
        <v>81</v>
      </c>
      <c r="C51" s="85">
        <v>0</v>
      </c>
      <c r="D51" s="18">
        <v>3420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9">
        <v>0</v>
      </c>
      <c r="L51" s="19">
        <f t="shared" si="2"/>
        <v>3420</v>
      </c>
      <c r="M51" s="63">
        <v>3420</v>
      </c>
      <c r="N51" s="52">
        <f t="shared" si="3"/>
        <v>3420</v>
      </c>
      <c r="O51" s="52">
        <v>53640</v>
      </c>
      <c r="Q51" s="91"/>
    </row>
    <row r="52" spans="1:17">
      <c r="A52" s="1" t="s">
        <v>2</v>
      </c>
      <c r="B52" s="97" t="s">
        <v>82</v>
      </c>
      <c r="C52" s="85">
        <v>43005</v>
      </c>
      <c r="D52" s="18">
        <v>34770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9">
        <v>0</v>
      </c>
      <c r="L52" s="19">
        <f t="shared" si="2"/>
        <v>77775</v>
      </c>
      <c r="M52" s="63">
        <v>34770</v>
      </c>
      <c r="N52" s="52">
        <f t="shared" si="3"/>
        <v>34770</v>
      </c>
      <c r="O52" s="52">
        <v>643245</v>
      </c>
      <c r="Q52" s="91"/>
    </row>
    <row r="53" spans="1:17" ht="19.5" thickBot="1">
      <c r="A53" s="1" t="s">
        <v>2</v>
      </c>
      <c r="B53" s="97" t="s">
        <v>83</v>
      </c>
      <c r="C53" s="85">
        <v>1480</v>
      </c>
      <c r="D53" s="18">
        <v>1198</v>
      </c>
      <c r="E53" s="18">
        <v>265</v>
      </c>
      <c r="F53" s="18">
        <v>279</v>
      </c>
      <c r="G53" s="18">
        <v>0</v>
      </c>
      <c r="H53" s="18">
        <v>0</v>
      </c>
      <c r="I53" s="18">
        <v>0</v>
      </c>
      <c r="J53" s="18">
        <v>0</v>
      </c>
      <c r="K53" s="19">
        <v>236</v>
      </c>
      <c r="L53" s="19">
        <f t="shared" si="2"/>
        <v>3458</v>
      </c>
      <c r="M53" s="63">
        <v>1145</v>
      </c>
      <c r="N53" s="52">
        <f t="shared" si="3"/>
        <v>1145</v>
      </c>
      <c r="O53" s="52">
        <v>21814</v>
      </c>
      <c r="Q53" s="91"/>
    </row>
    <row r="54" spans="1:17" ht="19.5" thickBot="1">
      <c r="A54" s="1" t="s">
        <v>2</v>
      </c>
      <c r="B54" s="99" t="s">
        <v>84</v>
      </c>
      <c r="C54" s="87">
        <v>68455</v>
      </c>
      <c r="D54" s="43">
        <v>58768</v>
      </c>
      <c r="E54" s="43">
        <v>265</v>
      </c>
      <c r="F54" s="43">
        <v>279</v>
      </c>
      <c r="G54" s="43">
        <v>0</v>
      </c>
      <c r="H54" s="43">
        <v>0</v>
      </c>
      <c r="I54" s="43">
        <v>0</v>
      </c>
      <c r="J54" s="43">
        <v>0</v>
      </c>
      <c r="K54" s="44">
        <v>236</v>
      </c>
      <c r="L54" s="44">
        <f t="shared" si="2"/>
        <v>128003</v>
      </c>
      <c r="M54" s="65">
        <v>58715</v>
      </c>
      <c r="N54" s="54">
        <f t="shared" si="3"/>
        <v>58715</v>
      </c>
      <c r="O54" s="54">
        <v>1077229</v>
      </c>
      <c r="Q54" s="91"/>
    </row>
    <row r="55" spans="1:17">
      <c r="A55" s="1" t="s">
        <v>2</v>
      </c>
      <c r="B55" s="96" t="s">
        <v>85</v>
      </c>
      <c r="C55" s="84">
        <v>17900</v>
      </c>
      <c r="D55" s="32">
        <v>8160</v>
      </c>
      <c r="E55" s="32">
        <v>0</v>
      </c>
      <c r="F55" s="32">
        <v>250</v>
      </c>
      <c r="G55" s="32">
        <v>0</v>
      </c>
      <c r="H55" s="32">
        <v>0</v>
      </c>
      <c r="I55" s="32">
        <v>0</v>
      </c>
      <c r="J55" s="32">
        <v>0</v>
      </c>
      <c r="K55" s="33">
        <v>0</v>
      </c>
      <c r="L55" s="33">
        <f t="shared" si="2"/>
        <v>26310</v>
      </c>
      <c r="M55" s="62">
        <v>9710</v>
      </c>
      <c r="N55" s="51">
        <f t="shared" si="3"/>
        <v>9710</v>
      </c>
      <c r="O55" s="51">
        <v>151680</v>
      </c>
      <c r="Q55" s="91"/>
    </row>
    <row r="56" spans="1:17">
      <c r="A56" s="1" t="s">
        <v>2</v>
      </c>
      <c r="B56" s="97" t="s">
        <v>86</v>
      </c>
      <c r="C56" s="85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0</v>
      </c>
      <c r="L56" s="19">
        <f t="shared" si="2"/>
        <v>0</v>
      </c>
      <c r="M56" s="63">
        <v>0</v>
      </c>
      <c r="N56" s="52">
        <f t="shared" si="3"/>
        <v>0</v>
      </c>
      <c r="O56" s="52">
        <v>16900</v>
      </c>
      <c r="Q56" s="91"/>
    </row>
    <row r="57" spans="1:17">
      <c r="A57" s="1" t="s">
        <v>2</v>
      </c>
      <c r="B57" s="97" t="s">
        <v>87</v>
      </c>
      <c r="C57" s="85">
        <v>35200</v>
      </c>
      <c r="D57" s="18">
        <v>14500</v>
      </c>
      <c r="E57" s="18">
        <v>600</v>
      </c>
      <c r="F57" s="18">
        <v>500</v>
      </c>
      <c r="G57" s="18">
        <v>0</v>
      </c>
      <c r="H57" s="18">
        <v>4100</v>
      </c>
      <c r="I57" s="18">
        <v>0</v>
      </c>
      <c r="J57" s="18">
        <v>0</v>
      </c>
      <c r="K57" s="19">
        <v>0</v>
      </c>
      <c r="L57" s="19">
        <f t="shared" si="2"/>
        <v>54900</v>
      </c>
      <c r="M57" s="63">
        <v>16100</v>
      </c>
      <c r="N57" s="52">
        <f t="shared" si="3"/>
        <v>16100</v>
      </c>
      <c r="O57" s="52">
        <v>263000</v>
      </c>
      <c r="Q57" s="91"/>
    </row>
    <row r="58" spans="1:17" ht="19.5" thickBot="1">
      <c r="A58" s="1" t="s">
        <v>2</v>
      </c>
      <c r="B58" s="97" t="s">
        <v>88</v>
      </c>
      <c r="C58" s="85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0</v>
      </c>
      <c r="L58" s="19">
        <f t="shared" si="2"/>
        <v>0</v>
      </c>
      <c r="M58" s="63">
        <v>0</v>
      </c>
      <c r="N58" s="52">
        <f t="shared" si="3"/>
        <v>0</v>
      </c>
      <c r="O58" s="52">
        <v>279158</v>
      </c>
      <c r="Q58" s="91"/>
    </row>
    <row r="59" spans="1:17" ht="19.5" thickBot="1">
      <c r="A59" s="1" t="s">
        <v>2</v>
      </c>
      <c r="B59" s="99" t="s">
        <v>89</v>
      </c>
      <c r="C59" s="87">
        <v>121555</v>
      </c>
      <c r="D59" s="43">
        <v>81428</v>
      </c>
      <c r="E59" s="43">
        <v>865</v>
      </c>
      <c r="F59" s="43">
        <v>1029</v>
      </c>
      <c r="G59" s="43">
        <v>0</v>
      </c>
      <c r="H59" s="43">
        <v>4100</v>
      </c>
      <c r="I59" s="43">
        <v>0</v>
      </c>
      <c r="J59" s="43">
        <v>0</v>
      </c>
      <c r="K59" s="44">
        <v>236</v>
      </c>
      <c r="L59" s="44">
        <f t="shared" si="2"/>
        <v>209213</v>
      </c>
      <c r="M59" s="65">
        <v>84525</v>
      </c>
      <c r="N59" s="54">
        <f t="shared" si="3"/>
        <v>84525</v>
      </c>
      <c r="O59" s="54">
        <v>1787967</v>
      </c>
      <c r="Q59" s="91"/>
    </row>
    <row r="60" spans="1:17" ht="19.5" thickBot="1">
      <c r="A60" s="1" t="s">
        <v>2</v>
      </c>
      <c r="B60" s="99" t="s">
        <v>90</v>
      </c>
      <c r="C60" s="87">
        <v>416545</v>
      </c>
      <c r="D60" s="43">
        <v>335343</v>
      </c>
      <c r="E60" s="43">
        <v>85295</v>
      </c>
      <c r="F60" s="43">
        <v>90801</v>
      </c>
      <c r="G60" s="43">
        <v>76020</v>
      </c>
      <c r="H60" s="43">
        <v>47460</v>
      </c>
      <c r="I60" s="43">
        <v>76020</v>
      </c>
      <c r="J60" s="43">
        <v>53960</v>
      </c>
      <c r="K60" s="44">
        <v>71164</v>
      </c>
      <c r="L60" s="44">
        <f t="shared" si="2"/>
        <v>1252608</v>
      </c>
      <c r="M60" s="65">
        <v>316285</v>
      </c>
      <c r="N60" s="54">
        <f t="shared" si="3"/>
        <v>316285</v>
      </c>
      <c r="O60" s="54">
        <v>6313837</v>
      </c>
      <c r="Q60" s="91"/>
    </row>
    <row r="61" spans="1:17" ht="19.5" thickBot="1">
      <c r="A61" s="1" t="s">
        <v>2</v>
      </c>
      <c r="B61" s="99" t="s">
        <v>91</v>
      </c>
      <c r="C61" s="87">
        <v>371665</v>
      </c>
      <c r="D61" s="43">
        <v>317850</v>
      </c>
      <c r="E61" s="43">
        <v>87409</v>
      </c>
      <c r="F61" s="43">
        <v>92008</v>
      </c>
      <c r="G61" s="43">
        <v>79152</v>
      </c>
      <c r="H61" s="43">
        <v>45709</v>
      </c>
      <c r="I61" s="43">
        <v>80195</v>
      </c>
      <c r="J61" s="43">
        <v>56674</v>
      </c>
      <c r="K61" s="44">
        <v>78470</v>
      </c>
      <c r="L61" s="44">
        <f t="shared" si="2"/>
        <v>1209132</v>
      </c>
      <c r="M61" s="65">
        <v>297259</v>
      </c>
      <c r="N61" s="54">
        <f t="shared" si="3"/>
        <v>297259</v>
      </c>
      <c r="O61" s="54">
        <v>5748684</v>
      </c>
      <c r="Q61" s="91"/>
    </row>
    <row r="62" spans="1:17">
      <c r="A62" s="1" t="s">
        <v>2</v>
      </c>
      <c r="B62" s="96" t="s">
        <v>92</v>
      </c>
      <c r="C62" s="84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3">
        <v>0</v>
      </c>
      <c r="L62" s="33">
        <f t="shared" si="2"/>
        <v>0</v>
      </c>
      <c r="M62" s="62">
        <v>0</v>
      </c>
      <c r="N62" s="51">
        <f t="shared" si="3"/>
        <v>0</v>
      </c>
      <c r="O62" s="51">
        <v>0</v>
      </c>
      <c r="Q62" s="34"/>
    </row>
    <row r="63" spans="1:17">
      <c r="A63" s="1" t="s">
        <v>2</v>
      </c>
      <c r="B63" s="97" t="s">
        <v>93</v>
      </c>
      <c r="C63" s="85">
        <v>371665</v>
      </c>
      <c r="D63" s="18">
        <v>317850</v>
      </c>
      <c r="E63" s="18">
        <v>87409</v>
      </c>
      <c r="F63" s="18">
        <v>92008</v>
      </c>
      <c r="G63" s="18">
        <v>79152</v>
      </c>
      <c r="H63" s="18">
        <v>45709</v>
      </c>
      <c r="I63" s="18">
        <v>80195</v>
      </c>
      <c r="J63" s="18">
        <v>56674</v>
      </c>
      <c r="K63" s="19">
        <v>78470</v>
      </c>
      <c r="L63" s="19">
        <f t="shared" si="2"/>
        <v>1209132</v>
      </c>
      <c r="M63" s="63">
        <v>297259</v>
      </c>
      <c r="N63" s="52">
        <f t="shared" si="3"/>
        <v>297259</v>
      </c>
      <c r="O63" s="52">
        <v>5748684</v>
      </c>
      <c r="Q63" s="7"/>
    </row>
    <row r="64" spans="1:17">
      <c r="A64" s="1" t="s">
        <v>2</v>
      </c>
      <c r="B64" s="97" t="s">
        <v>94</v>
      </c>
      <c r="C64" s="85">
        <v>0</v>
      </c>
      <c r="D64" s="18">
        <v>1</v>
      </c>
      <c r="E64" s="18">
        <v>0</v>
      </c>
      <c r="F64" s="18">
        <v>0</v>
      </c>
      <c r="G64" s="18">
        <v>1</v>
      </c>
      <c r="H64" s="18">
        <v>1</v>
      </c>
      <c r="I64" s="18">
        <v>1</v>
      </c>
      <c r="J64" s="18">
        <v>1</v>
      </c>
      <c r="K64" s="19">
        <v>1</v>
      </c>
      <c r="L64" s="52"/>
      <c r="M64" s="63">
        <v>0</v>
      </c>
      <c r="N64" s="52"/>
      <c r="O64" s="52"/>
    </row>
    <row r="65" spans="1:15" ht="19.5" thickBot="1">
      <c r="A65" s="1" t="s">
        <v>2</v>
      </c>
      <c r="B65" s="98" t="s">
        <v>95</v>
      </c>
      <c r="C65" s="88" t="s">
        <v>96</v>
      </c>
      <c r="D65" s="21" t="s">
        <v>96</v>
      </c>
      <c r="E65" s="21" t="s">
        <v>96</v>
      </c>
      <c r="F65" s="21" t="s">
        <v>96</v>
      </c>
      <c r="G65" s="21" t="s">
        <v>96</v>
      </c>
      <c r="H65" s="21" t="s">
        <v>96</v>
      </c>
      <c r="I65" s="21" t="s">
        <v>96</v>
      </c>
      <c r="J65" s="21" t="s">
        <v>96</v>
      </c>
      <c r="K65" s="22" t="s">
        <v>96</v>
      </c>
      <c r="L65" s="55"/>
      <c r="M65" s="66" t="s">
        <v>96</v>
      </c>
      <c r="N65" s="55"/>
      <c r="O65" s="55"/>
    </row>
  </sheetData>
  <phoneticPr fontId="3"/>
  <pageMargins left="0.31496062992125984" right="0.31496062992125984" top="0.35433070866141736" bottom="0.35433070866141736" header="0.11811023622047245" footer="0.11811023622047245"/>
  <pageSetup paperSize="12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80AD-5E25-4E6C-88EF-37AE55FA0B70}">
  <sheetPr>
    <pageSetUpPr fitToPage="1"/>
  </sheetPr>
  <dimension ref="A1:X65"/>
  <sheetViews>
    <sheetView showZeros="0" topLeftCell="J4" workbookViewId="0">
      <selection activeCell="W67" sqref="W67"/>
    </sheetView>
  </sheetViews>
  <sheetFormatPr defaultRowHeight="18.75"/>
  <cols>
    <col min="1" max="1" width="2.375" style="2" customWidth="1"/>
    <col min="2" max="2" width="13.25" style="2" bestFit="1" customWidth="1"/>
    <col min="3" max="22" width="11.5" style="2" customWidth="1"/>
    <col min="23" max="246" width="9" style="2"/>
    <col min="247" max="247" width="2.375" style="2" customWidth="1"/>
    <col min="248" max="248" width="13.25" style="2" bestFit="1" customWidth="1"/>
    <col min="249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67" width="11.125" style="2" bestFit="1" customWidth="1"/>
    <col min="268" max="269" width="9" style="2"/>
    <col min="270" max="277" width="11.125" style="2" bestFit="1" customWidth="1"/>
    <col min="278" max="278" width="9.625" style="2" bestFit="1" customWidth="1"/>
    <col min="279" max="502" width="9" style="2"/>
    <col min="503" max="503" width="2.375" style="2" customWidth="1"/>
    <col min="504" max="504" width="13.25" style="2" bestFit="1" customWidth="1"/>
    <col min="505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23" width="11.125" style="2" bestFit="1" customWidth="1"/>
    <col min="524" max="525" width="9" style="2"/>
    <col min="526" max="533" width="11.125" style="2" bestFit="1" customWidth="1"/>
    <col min="534" max="534" width="9.625" style="2" bestFit="1" customWidth="1"/>
    <col min="535" max="758" width="9" style="2"/>
    <col min="759" max="759" width="2.375" style="2" customWidth="1"/>
    <col min="760" max="760" width="13.25" style="2" bestFit="1" customWidth="1"/>
    <col min="761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79" width="11.125" style="2" bestFit="1" customWidth="1"/>
    <col min="780" max="781" width="9" style="2"/>
    <col min="782" max="789" width="11.125" style="2" bestFit="1" customWidth="1"/>
    <col min="790" max="790" width="9.625" style="2" bestFit="1" customWidth="1"/>
    <col min="791" max="1014" width="9" style="2"/>
    <col min="1015" max="1015" width="2.375" style="2" customWidth="1"/>
    <col min="1016" max="1016" width="13.25" style="2" bestFit="1" customWidth="1"/>
    <col min="1017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35" width="11.125" style="2" bestFit="1" customWidth="1"/>
    <col min="1036" max="1037" width="9" style="2"/>
    <col min="1038" max="1045" width="11.125" style="2" bestFit="1" customWidth="1"/>
    <col min="1046" max="1046" width="9.625" style="2" bestFit="1" customWidth="1"/>
    <col min="1047" max="1270" width="9" style="2"/>
    <col min="1271" max="1271" width="2.375" style="2" customWidth="1"/>
    <col min="1272" max="1272" width="13.25" style="2" bestFit="1" customWidth="1"/>
    <col min="1273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91" width="11.125" style="2" bestFit="1" customWidth="1"/>
    <col min="1292" max="1293" width="9" style="2"/>
    <col min="1294" max="1301" width="11.125" style="2" bestFit="1" customWidth="1"/>
    <col min="1302" max="1302" width="9.625" style="2" bestFit="1" customWidth="1"/>
    <col min="1303" max="1526" width="9" style="2"/>
    <col min="1527" max="1527" width="2.375" style="2" customWidth="1"/>
    <col min="1528" max="1528" width="13.25" style="2" bestFit="1" customWidth="1"/>
    <col min="1529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47" width="11.125" style="2" bestFit="1" customWidth="1"/>
    <col min="1548" max="1549" width="9" style="2"/>
    <col min="1550" max="1557" width="11.125" style="2" bestFit="1" customWidth="1"/>
    <col min="1558" max="1558" width="9.625" style="2" bestFit="1" customWidth="1"/>
    <col min="1559" max="1782" width="9" style="2"/>
    <col min="1783" max="1783" width="2.375" style="2" customWidth="1"/>
    <col min="1784" max="1784" width="13.25" style="2" bestFit="1" customWidth="1"/>
    <col min="1785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803" width="11.125" style="2" bestFit="1" customWidth="1"/>
    <col min="1804" max="1805" width="9" style="2"/>
    <col min="1806" max="1813" width="11.125" style="2" bestFit="1" customWidth="1"/>
    <col min="1814" max="1814" width="9.625" style="2" bestFit="1" customWidth="1"/>
    <col min="1815" max="2038" width="9" style="2"/>
    <col min="2039" max="2039" width="2.375" style="2" customWidth="1"/>
    <col min="2040" max="2040" width="13.25" style="2" bestFit="1" customWidth="1"/>
    <col min="2041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59" width="11.125" style="2" bestFit="1" customWidth="1"/>
    <col min="2060" max="2061" width="9" style="2"/>
    <col min="2062" max="2069" width="11.125" style="2" bestFit="1" customWidth="1"/>
    <col min="2070" max="2070" width="9.625" style="2" bestFit="1" customWidth="1"/>
    <col min="2071" max="2294" width="9" style="2"/>
    <col min="2295" max="2295" width="2.375" style="2" customWidth="1"/>
    <col min="2296" max="2296" width="13.25" style="2" bestFit="1" customWidth="1"/>
    <col min="2297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15" width="11.125" style="2" bestFit="1" customWidth="1"/>
    <col min="2316" max="2317" width="9" style="2"/>
    <col min="2318" max="2325" width="11.125" style="2" bestFit="1" customWidth="1"/>
    <col min="2326" max="2326" width="9.625" style="2" bestFit="1" customWidth="1"/>
    <col min="2327" max="2550" width="9" style="2"/>
    <col min="2551" max="2551" width="2.375" style="2" customWidth="1"/>
    <col min="2552" max="2552" width="13.25" style="2" bestFit="1" customWidth="1"/>
    <col min="2553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71" width="11.125" style="2" bestFit="1" customWidth="1"/>
    <col min="2572" max="2573" width="9" style="2"/>
    <col min="2574" max="2581" width="11.125" style="2" bestFit="1" customWidth="1"/>
    <col min="2582" max="2582" width="9.625" style="2" bestFit="1" customWidth="1"/>
    <col min="2583" max="2806" width="9" style="2"/>
    <col min="2807" max="2807" width="2.375" style="2" customWidth="1"/>
    <col min="2808" max="2808" width="13.25" style="2" bestFit="1" customWidth="1"/>
    <col min="2809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27" width="11.125" style="2" bestFit="1" customWidth="1"/>
    <col min="2828" max="2829" width="9" style="2"/>
    <col min="2830" max="2837" width="11.125" style="2" bestFit="1" customWidth="1"/>
    <col min="2838" max="2838" width="9.625" style="2" bestFit="1" customWidth="1"/>
    <col min="2839" max="3062" width="9" style="2"/>
    <col min="3063" max="3063" width="2.375" style="2" customWidth="1"/>
    <col min="3064" max="3064" width="13.25" style="2" bestFit="1" customWidth="1"/>
    <col min="3065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83" width="11.125" style="2" bestFit="1" customWidth="1"/>
    <col min="3084" max="3085" width="9" style="2"/>
    <col min="3086" max="3093" width="11.125" style="2" bestFit="1" customWidth="1"/>
    <col min="3094" max="3094" width="9.625" style="2" bestFit="1" customWidth="1"/>
    <col min="3095" max="3318" width="9" style="2"/>
    <col min="3319" max="3319" width="2.375" style="2" customWidth="1"/>
    <col min="3320" max="3320" width="13.25" style="2" bestFit="1" customWidth="1"/>
    <col min="3321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39" width="11.125" style="2" bestFit="1" customWidth="1"/>
    <col min="3340" max="3341" width="9" style="2"/>
    <col min="3342" max="3349" width="11.125" style="2" bestFit="1" customWidth="1"/>
    <col min="3350" max="3350" width="9.625" style="2" bestFit="1" customWidth="1"/>
    <col min="3351" max="3574" width="9" style="2"/>
    <col min="3575" max="3575" width="2.375" style="2" customWidth="1"/>
    <col min="3576" max="3576" width="13.25" style="2" bestFit="1" customWidth="1"/>
    <col min="3577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95" width="11.125" style="2" bestFit="1" customWidth="1"/>
    <col min="3596" max="3597" width="9" style="2"/>
    <col min="3598" max="3605" width="11.125" style="2" bestFit="1" customWidth="1"/>
    <col min="3606" max="3606" width="9.625" style="2" bestFit="1" customWidth="1"/>
    <col min="3607" max="3830" width="9" style="2"/>
    <col min="3831" max="3831" width="2.375" style="2" customWidth="1"/>
    <col min="3832" max="3832" width="13.25" style="2" bestFit="1" customWidth="1"/>
    <col min="3833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51" width="11.125" style="2" bestFit="1" customWidth="1"/>
    <col min="3852" max="3853" width="9" style="2"/>
    <col min="3854" max="3861" width="11.125" style="2" bestFit="1" customWidth="1"/>
    <col min="3862" max="3862" width="9.625" style="2" bestFit="1" customWidth="1"/>
    <col min="3863" max="4086" width="9" style="2"/>
    <col min="4087" max="4087" width="2.375" style="2" customWidth="1"/>
    <col min="4088" max="4088" width="13.25" style="2" bestFit="1" customWidth="1"/>
    <col min="4089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107" width="11.125" style="2" bestFit="1" customWidth="1"/>
    <col min="4108" max="4109" width="9" style="2"/>
    <col min="4110" max="4117" width="11.125" style="2" bestFit="1" customWidth="1"/>
    <col min="4118" max="4118" width="9.625" style="2" bestFit="1" customWidth="1"/>
    <col min="4119" max="4342" width="9" style="2"/>
    <col min="4343" max="4343" width="2.375" style="2" customWidth="1"/>
    <col min="4344" max="4344" width="13.25" style="2" bestFit="1" customWidth="1"/>
    <col min="4345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63" width="11.125" style="2" bestFit="1" customWidth="1"/>
    <col min="4364" max="4365" width="9" style="2"/>
    <col min="4366" max="4373" width="11.125" style="2" bestFit="1" customWidth="1"/>
    <col min="4374" max="4374" width="9.625" style="2" bestFit="1" customWidth="1"/>
    <col min="4375" max="4598" width="9" style="2"/>
    <col min="4599" max="4599" width="2.375" style="2" customWidth="1"/>
    <col min="4600" max="4600" width="13.25" style="2" bestFit="1" customWidth="1"/>
    <col min="4601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19" width="11.125" style="2" bestFit="1" customWidth="1"/>
    <col min="4620" max="4621" width="9" style="2"/>
    <col min="4622" max="4629" width="11.125" style="2" bestFit="1" customWidth="1"/>
    <col min="4630" max="4630" width="9.625" style="2" bestFit="1" customWidth="1"/>
    <col min="4631" max="4854" width="9" style="2"/>
    <col min="4855" max="4855" width="2.375" style="2" customWidth="1"/>
    <col min="4856" max="4856" width="13.25" style="2" bestFit="1" customWidth="1"/>
    <col min="4857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75" width="11.125" style="2" bestFit="1" customWidth="1"/>
    <col min="4876" max="4877" width="9" style="2"/>
    <col min="4878" max="4885" width="11.125" style="2" bestFit="1" customWidth="1"/>
    <col min="4886" max="4886" width="9.625" style="2" bestFit="1" customWidth="1"/>
    <col min="4887" max="5110" width="9" style="2"/>
    <col min="5111" max="5111" width="2.375" style="2" customWidth="1"/>
    <col min="5112" max="5112" width="13.25" style="2" bestFit="1" customWidth="1"/>
    <col min="5113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31" width="11.125" style="2" bestFit="1" customWidth="1"/>
    <col min="5132" max="5133" width="9" style="2"/>
    <col min="5134" max="5141" width="11.125" style="2" bestFit="1" customWidth="1"/>
    <col min="5142" max="5142" width="9.625" style="2" bestFit="1" customWidth="1"/>
    <col min="5143" max="5366" width="9" style="2"/>
    <col min="5367" max="5367" width="2.375" style="2" customWidth="1"/>
    <col min="5368" max="5368" width="13.25" style="2" bestFit="1" customWidth="1"/>
    <col min="5369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87" width="11.125" style="2" bestFit="1" customWidth="1"/>
    <col min="5388" max="5389" width="9" style="2"/>
    <col min="5390" max="5397" width="11.125" style="2" bestFit="1" customWidth="1"/>
    <col min="5398" max="5398" width="9.625" style="2" bestFit="1" customWidth="1"/>
    <col min="5399" max="5622" width="9" style="2"/>
    <col min="5623" max="5623" width="2.375" style="2" customWidth="1"/>
    <col min="5624" max="5624" width="13.25" style="2" bestFit="1" customWidth="1"/>
    <col min="5625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43" width="11.125" style="2" bestFit="1" customWidth="1"/>
    <col min="5644" max="5645" width="9" style="2"/>
    <col min="5646" max="5653" width="11.125" style="2" bestFit="1" customWidth="1"/>
    <col min="5654" max="5654" width="9.625" style="2" bestFit="1" customWidth="1"/>
    <col min="5655" max="5878" width="9" style="2"/>
    <col min="5879" max="5879" width="2.375" style="2" customWidth="1"/>
    <col min="5880" max="5880" width="13.25" style="2" bestFit="1" customWidth="1"/>
    <col min="5881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99" width="11.125" style="2" bestFit="1" customWidth="1"/>
    <col min="5900" max="5901" width="9" style="2"/>
    <col min="5902" max="5909" width="11.125" style="2" bestFit="1" customWidth="1"/>
    <col min="5910" max="5910" width="9.625" style="2" bestFit="1" customWidth="1"/>
    <col min="5911" max="6134" width="9" style="2"/>
    <col min="6135" max="6135" width="2.375" style="2" customWidth="1"/>
    <col min="6136" max="6136" width="13.25" style="2" bestFit="1" customWidth="1"/>
    <col min="6137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55" width="11.125" style="2" bestFit="1" customWidth="1"/>
    <col min="6156" max="6157" width="9" style="2"/>
    <col min="6158" max="6165" width="11.125" style="2" bestFit="1" customWidth="1"/>
    <col min="6166" max="6166" width="9.625" style="2" bestFit="1" customWidth="1"/>
    <col min="6167" max="6390" width="9" style="2"/>
    <col min="6391" max="6391" width="2.375" style="2" customWidth="1"/>
    <col min="6392" max="6392" width="13.25" style="2" bestFit="1" customWidth="1"/>
    <col min="6393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11" width="11.125" style="2" bestFit="1" customWidth="1"/>
    <col min="6412" max="6413" width="9" style="2"/>
    <col min="6414" max="6421" width="11.125" style="2" bestFit="1" customWidth="1"/>
    <col min="6422" max="6422" width="9.625" style="2" bestFit="1" customWidth="1"/>
    <col min="6423" max="6646" width="9" style="2"/>
    <col min="6647" max="6647" width="2.375" style="2" customWidth="1"/>
    <col min="6648" max="6648" width="13.25" style="2" bestFit="1" customWidth="1"/>
    <col min="6649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67" width="11.125" style="2" bestFit="1" customWidth="1"/>
    <col min="6668" max="6669" width="9" style="2"/>
    <col min="6670" max="6677" width="11.125" style="2" bestFit="1" customWidth="1"/>
    <col min="6678" max="6678" width="9.625" style="2" bestFit="1" customWidth="1"/>
    <col min="6679" max="6902" width="9" style="2"/>
    <col min="6903" max="6903" width="2.375" style="2" customWidth="1"/>
    <col min="6904" max="6904" width="13.25" style="2" bestFit="1" customWidth="1"/>
    <col min="6905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23" width="11.125" style="2" bestFit="1" customWidth="1"/>
    <col min="6924" max="6925" width="9" style="2"/>
    <col min="6926" max="6933" width="11.125" style="2" bestFit="1" customWidth="1"/>
    <col min="6934" max="6934" width="9.625" style="2" bestFit="1" customWidth="1"/>
    <col min="6935" max="7158" width="9" style="2"/>
    <col min="7159" max="7159" width="2.375" style="2" customWidth="1"/>
    <col min="7160" max="7160" width="13.25" style="2" bestFit="1" customWidth="1"/>
    <col min="7161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79" width="11.125" style="2" bestFit="1" customWidth="1"/>
    <col min="7180" max="7181" width="9" style="2"/>
    <col min="7182" max="7189" width="11.125" style="2" bestFit="1" customWidth="1"/>
    <col min="7190" max="7190" width="9.625" style="2" bestFit="1" customWidth="1"/>
    <col min="7191" max="7414" width="9" style="2"/>
    <col min="7415" max="7415" width="2.375" style="2" customWidth="1"/>
    <col min="7416" max="7416" width="13.25" style="2" bestFit="1" customWidth="1"/>
    <col min="7417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35" width="11.125" style="2" bestFit="1" customWidth="1"/>
    <col min="7436" max="7437" width="9" style="2"/>
    <col min="7438" max="7445" width="11.125" style="2" bestFit="1" customWidth="1"/>
    <col min="7446" max="7446" width="9.625" style="2" bestFit="1" customWidth="1"/>
    <col min="7447" max="7670" width="9" style="2"/>
    <col min="7671" max="7671" width="2.375" style="2" customWidth="1"/>
    <col min="7672" max="7672" width="13.25" style="2" bestFit="1" customWidth="1"/>
    <col min="7673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91" width="11.125" style="2" bestFit="1" customWidth="1"/>
    <col min="7692" max="7693" width="9" style="2"/>
    <col min="7694" max="7701" width="11.125" style="2" bestFit="1" customWidth="1"/>
    <col min="7702" max="7702" width="9.625" style="2" bestFit="1" customWidth="1"/>
    <col min="7703" max="7926" width="9" style="2"/>
    <col min="7927" max="7927" width="2.375" style="2" customWidth="1"/>
    <col min="7928" max="7928" width="13.25" style="2" bestFit="1" customWidth="1"/>
    <col min="7929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47" width="11.125" style="2" bestFit="1" customWidth="1"/>
    <col min="7948" max="7949" width="9" style="2"/>
    <col min="7950" max="7957" width="11.125" style="2" bestFit="1" customWidth="1"/>
    <col min="7958" max="7958" width="9.625" style="2" bestFit="1" customWidth="1"/>
    <col min="7959" max="8182" width="9" style="2"/>
    <col min="8183" max="8183" width="2.375" style="2" customWidth="1"/>
    <col min="8184" max="8184" width="13.25" style="2" bestFit="1" customWidth="1"/>
    <col min="8185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203" width="11.125" style="2" bestFit="1" customWidth="1"/>
    <col min="8204" max="8205" width="9" style="2"/>
    <col min="8206" max="8213" width="11.125" style="2" bestFit="1" customWidth="1"/>
    <col min="8214" max="8214" width="9.625" style="2" bestFit="1" customWidth="1"/>
    <col min="8215" max="8438" width="9" style="2"/>
    <col min="8439" max="8439" width="2.375" style="2" customWidth="1"/>
    <col min="8440" max="8440" width="13.25" style="2" bestFit="1" customWidth="1"/>
    <col min="8441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59" width="11.125" style="2" bestFit="1" customWidth="1"/>
    <col min="8460" max="8461" width="9" style="2"/>
    <col min="8462" max="8469" width="11.125" style="2" bestFit="1" customWidth="1"/>
    <col min="8470" max="8470" width="9.625" style="2" bestFit="1" customWidth="1"/>
    <col min="8471" max="8694" width="9" style="2"/>
    <col min="8695" max="8695" width="2.375" style="2" customWidth="1"/>
    <col min="8696" max="8696" width="13.25" style="2" bestFit="1" customWidth="1"/>
    <col min="8697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15" width="11.125" style="2" bestFit="1" customWidth="1"/>
    <col min="8716" max="8717" width="9" style="2"/>
    <col min="8718" max="8725" width="11.125" style="2" bestFit="1" customWidth="1"/>
    <col min="8726" max="8726" width="9.625" style="2" bestFit="1" customWidth="1"/>
    <col min="8727" max="8950" width="9" style="2"/>
    <col min="8951" max="8951" width="2.375" style="2" customWidth="1"/>
    <col min="8952" max="8952" width="13.25" style="2" bestFit="1" customWidth="1"/>
    <col min="8953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71" width="11.125" style="2" bestFit="1" customWidth="1"/>
    <col min="8972" max="8973" width="9" style="2"/>
    <col min="8974" max="8981" width="11.125" style="2" bestFit="1" customWidth="1"/>
    <col min="8982" max="8982" width="9.625" style="2" bestFit="1" customWidth="1"/>
    <col min="8983" max="9206" width="9" style="2"/>
    <col min="9207" max="9207" width="2.375" style="2" customWidth="1"/>
    <col min="9208" max="9208" width="13.25" style="2" bestFit="1" customWidth="1"/>
    <col min="9209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27" width="11.125" style="2" bestFit="1" customWidth="1"/>
    <col min="9228" max="9229" width="9" style="2"/>
    <col min="9230" max="9237" width="11.125" style="2" bestFit="1" customWidth="1"/>
    <col min="9238" max="9238" width="9.625" style="2" bestFit="1" customWidth="1"/>
    <col min="9239" max="9462" width="9" style="2"/>
    <col min="9463" max="9463" width="2.375" style="2" customWidth="1"/>
    <col min="9464" max="9464" width="13.25" style="2" bestFit="1" customWidth="1"/>
    <col min="9465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83" width="11.125" style="2" bestFit="1" customWidth="1"/>
    <col min="9484" max="9485" width="9" style="2"/>
    <col min="9486" max="9493" width="11.125" style="2" bestFit="1" customWidth="1"/>
    <col min="9494" max="9494" width="9.625" style="2" bestFit="1" customWidth="1"/>
    <col min="9495" max="9718" width="9" style="2"/>
    <col min="9719" max="9719" width="2.375" style="2" customWidth="1"/>
    <col min="9720" max="9720" width="13.25" style="2" bestFit="1" customWidth="1"/>
    <col min="9721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39" width="11.125" style="2" bestFit="1" customWidth="1"/>
    <col min="9740" max="9741" width="9" style="2"/>
    <col min="9742" max="9749" width="11.125" style="2" bestFit="1" customWidth="1"/>
    <col min="9750" max="9750" width="9.625" style="2" bestFit="1" customWidth="1"/>
    <col min="9751" max="9974" width="9" style="2"/>
    <col min="9975" max="9975" width="2.375" style="2" customWidth="1"/>
    <col min="9976" max="9976" width="13.25" style="2" bestFit="1" customWidth="1"/>
    <col min="9977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95" width="11.125" style="2" bestFit="1" customWidth="1"/>
    <col min="9996" max="9997" width="9" style="2"/>
    <col min="9998" max="10005" width="11.125" style="2" bestFit="1" customWidth="1"/>
    <col min="10006" max="10006" width="9.625" style="2" bestFit="1" customWidth="1"/>
    <col min="10007" max="10230" width="9" style="2"/>
    <col min="10231" max="10231" width="2.375" style="2" customWidth="1"/>
    <col min="10232" max="10232" width="13.25" style="2" bestFit="1" customWidth="1"/>
    <col min="10233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51" width="11.125" style="2" bestFit="1" customWidth="1"/>
    <col min="10252" max="10253" width="9" style="2"/>
    <col min="10254" max="10261" width="11.125" style="2" bestFit="1" customWidth="1"/>
    <col min="10262" max="10262" width="9.625" style="2" bestFit="1" customWidth="1"/>
    <col min="10263" max="10486" width="9" style="2"/>
    <col min="10487" max="10487" width="2.375" style="2" customWidth="1"/>
    <col min="10488" max="10488" width="13.25" style="2" bestFit="1" customWidth="1"/>
    <col min="10489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507" width="11.125" style="2" bestFit="1" customWidth="1"/>
    <col min="10508" max="10509" width="9" style="2"/>
    <col min="10510" max="10517" width="11.125" style="2" bestFit="1" customWidth="1"/>
    <col min="10518" max="10518" width="9.625" style="2" bestFit="1" customWidth="1"/>
    <col min="10519" max="10742" width="9" style="2"/>
    <col min="10743" max="10743" width="2.375" style="2" customWidth="1"/>
    <col min="10744" max="10744" width="13.25" style="2" bestFit="1" customWidth="1"/>
    <col min="10745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63" width="11.125" style="2" bestFit="1" customWidth="1"/>
    <col min="10764" max="10765" width="9" style="2"/>
    <col min="10766" max="10773" width="11.125" style="2" bestFit="1" customWidth="1"/>
    <col min="10774" max="10774" width="9.625" style="2" bestFit="1" customWidth="1"/>
    <col min="10775" max="10998" width="9" style="2"/>
    <col min="10999" max="10999" width="2.375" style="2" customWidth="1"/>
    <col min="11000" max="11000" width="13.25" style="2" bestFit="1" customWidth="1"/>
    <col min="11001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19" width="11.125" style="2" bestFit="1" customWidth="1"/>
    <col min="11020" max="11021" width="9" style="2"/>
    <col min="11022" max="11029" width="11.125" style="2" bestFit="1" customWidth="1"/>
    <col min="11030" max="11030" width="9.625" style="2" bestFit="1" customWidth="1"/>
    <col min="11031" max="11254" width="9" style="2"/>
    <col min="11255" max="11255" width="2.375" style="2" customWidth="1"/>
    <col min="11256" max="11256" width="13.25" style="2" bestFit="1" customWidth="1"/>
    <col min="11257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75" width="11.125" style="2" bestFit="1" customWidth="1"/>
    <col min="11276" max="11277" width="9" style="2"/>
    <col min="11278" max="11285" width="11.125" style="2" bestFit="1" customWidth="1"/>
    <col min="11286" max="11286" width="9.625" style="2" bestFit="1" customWidth="1"/>
    <col min="11287" max="11510" width="9" style="2"/>
    <col min="11511" max="11511" width="2.375" style="2" customWidth="1"/>
    <col min="11512" max="11512" width="13.25" style="2" bestFit="1" customWidth="1"/>
    <col min="11513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31" width="11.125" style="2" bestFit="1" customWidth="1"/>
    <col min="11532" max="11533" width="9" style="2"/>
    <col min="11534" max="11541" width="11.125" style="2" bestFit="1" customWidth="1"/>
    <col min="11542" max="11542" width="9.625" style="2" bestFit="1" customWidth="1"/>
    <col min="11543" max="11766" width="9" style="2"/>
    <col min="11767" max="11767" width="2.375" style="2" customWidth="1"/>
    <col min="11768" max="11768" width="13.25" style="2" bestFit="1" customWidth="1"/>
    <col min="11769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87" width="11.125" style="2" bestFit="1" customWidth="1"/>
    <col min="11788" max="11789" width="9" style="2"/>
    <col min="11790" max="11797" width="11.125" style="2" bestFit="1" customWidth="1"/>
    <col min="11798" max="11798" width="9.625" style="2" bestFit="1" customWidth="1"/>
    <col min="11799" max="12022" width="9" style="2"/>
    <col min="12023" max="12023" width="2.375" style="2" customWidth="1"/>
    <col min="12024" max="12024" width="13.25" style="2" bestFit="1" customWidth="1"/>
    <col min="12025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43" width="11.125" style="2" bestFit="1" customWidth="1"/>
    <col min="12044" max="12045" width="9" style="2"/>
    <col min="12046" max="12053" width="11.125" style="2" bestFit="1" customWidth="1"/>
    <col min="12054" max="12054" width="9.625" style="2" bestFit="1" customWidth="1"/>
    <col min="12055" max="12278" width="9" style="2"/>
    <col min="12279" max="12279" width="2.375" style="2" customWidth="1"/>
    <col min="12280" max="12280" width="13.25" style="2" bestFit="1" customWidth="1"/>
    <col min="12281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99" width="11.125" style="2" bestFit="1" customWidth="1"/>
    <col min="12300" max="12301" width="9" style="2"/>
    <col min="12302" max="12309" width="11.125" style="2" bestFit="1" customWidth="1"/>
    <col min="12310" max="12310" width="9.625" style="2" bestFit="1" customWidth="1"/>
    <col min="12311" max="12534" width="9" style="2"/>
    <col min="12535" max="12535" width="2.375" style="2" customWidth="1"/>
    <col min="12536" max="12536" width="13.25" style="2" bestFit="1" customWidth="1"/>
    <col min="12537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55" width="11.125" style="2" bestFit="1" customWidth="1"/>
    <col min="12556" max="12557" width="9" style="2"/>
    <col min="12558" max="12565" width="11.125" style="2" bestFit="1" customWidth="1"/>
    <col min="12566" max="12566" width="9.625" style="2" bestFit="1" customWidth="1"/>
    <col min="12567" max="12790" width="9" style="2"/>
    <col min="12791" max="12791" width="2.375" style="2" customWidth="1"/>
    <col min="12792" max="12792" width="13.25" style="2" bestFit="1" customWidth="1"/>
    <col min="12793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11" width="11.125" style="2" bestFit="1" customWidth="1"/>
    <col min="12812" max="12813" width="9" style="2"/>
    <col min="12814" max="12821" width="11.125" style="2" bestFit="1" customWidth="1"/>
    <col min="12822" max="12822" width="9.625" style="2" bestFit="1" customWidth="1"/>
    <col min="12823" max="13046" width="9" style="2"/>
    <col min="13047" max="13047" width="2.375" style="2" customWidth="1"/>
    <col min="13048" max="13048" width="13.25" style="2" bestFit="1" customWidth="1"/>
    <col min="13049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67" width="11.125" style="2" bestFit="1" customWidth="1"/>
    <col min="13068" max="13069" width="9" style="2"/>
    <col min="13070" max="13077" width="11.125" style="2" bestFit="1" customWidth="1"/>
    <col min="13078" max="13078" width="9.625" style="2" bestFit="1" customWidth="1"/>
    <col min="13079" max="13302" width="9" style="2"/>
    <col min="13303" max="13303" width="2.375" style="2" customWidth="1"/>
    <col min="13304" max="13304" width="13.25" style="2" bestFit="1" customWidth="1"/>
    <col min="13305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23" width="11.125" style="2" bestFit="1" customWidth="1"/>
    <col min="13324" max="13325" width="9" style="2"/>
    <col min="13326" max="13333" width="11.125" style="2" bestFit="1" customWidth="1"/>
    <col min="13334" max="13334" width="9.625" style="2" bestFit="1" customWidth="1"/>
    <col min="13335" max="13558" width="9" style="2"/>
    <col min="13559" max="13559" width="2.375" style="2" customWidth="1"/>
    <col min="13560" max="13560" width="13.25" style="2" bestFit="1" customWidth="1"/>
    <col min="13561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79" width="11.125" style="2" bestFit="1" customWidth="1"/>
    <col min="13580" max="13581" width="9" style="2"/>
    <col min="13582" max="13589" width="11.125" style="2" bestFit="1" customWidth="1"/>
    <col min="13590" max="13590" width="9.625" style="2" bestFit="1" customWidth="1"/>
    <col min="13591" max="13814" width="9" style="2"/>
    <col min="13815" max="13815" width="2.375" style="2" customWidth="1"/>
    <col min="13816" max="13816" width="13.25" style="2" bestFit="1" customWidth="1"/>
    <col min="13817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35" width="11.125" style="2" bestFit="1" customWidth="1"/>
    <col min="13836" max="13837" width="9" style="2"/>
    <col min="13838" max="13845" width="11.125" style="2" bestFit="1" customWidth="1"/>
    <col min="13846" max="13846" width="9.625" style="2" bestFit="1" customWidth="1"/>
    <col min="13847" max="14070" width="9" style="2"/>
    <col min="14071" max="14071" width="2.375" style="2" customWidth="1"/>
    <col min="14072" max="14072" width="13.25" style="2" bestFit="1" customWidth="1"/>
    <col min="14073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91" width="11.125" style="2" bestFit="1" customWidth="1"/>
    <col min="14092" max="14093" width="9" style="2"/>
    <col min="14094" max="14101" width="11.125" style="2" bestFit="1" customWidth="1"/>
    <col min="14102" max="14102" width="9.625" style="2" bestFit="1" customWidth="1"/>
    <col min="14103" max="14326" width="9" style="2"/>
    <col min="14327" max="14327" width="2.375" style="2" customWidth="1"/>
    <col min="14328" max="14328" width="13.25" style="2" bestFit="1" customWidth="1"/>
    <col min="14329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47" width="11.125" style="2" bestFit="1" customWidth="1"/>
    <col min="14348" max="14349" width="9" style="2"/>
    <col min="14350" max="14357" width="11.125" style="2" bestFit="1" customWidth="1"/>
    <col min="14358" max="14358" width="9.625" style="2" bestFit="1" customWidth="1"/>
    <col min="14359" max="14582" width="9" style="2"/>
    <col min="14583" max="14583" width="2.375" style="2" customWidth="1"/>
    <col min="14584" max="14584" width="13.25" style="2" bestFit="1" customWidth="1"/>
    <col min="14585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603" width="11.125" style="2" bestFit="1" customWidth="1"/>
    <col min="14604" max="14605" width="9" style="2"/>
    <col min="14606" max="14613" width="11.125" style="2" bestFit="1" customWidth="1"/>
    <col min="14614" max="14614" width="9.625" style="2" bestFit="1" customWidth="1"/>
    <col min="14615" max="14838" width="9" style="2"/>
    <col min="14839" max="14839" width="2.375" style="2" customWidth="1"/>
    <col min="14840" max="14840" width="13.25" style="2" bestFit="1" customWidth="1"/>
    <col min="14841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59" width="11.125" style="2" bestFit="1" customWidth="1"/>
    <col min="14860" max="14861" width="9" style="2"/>
    <col min="14862" max="14869" width="11.125" style="2" bestFit="1" customWidth="1"/>
    <col min="14870" max="14870" width="9.625" style="2" bestFit="1" customWidth="1"/>
    <col min="14871" max="15094" width="9" style="2"/>
    <col min="15095" max="15095" width="2.375" style="2" customWidth="1"/>
    <col min="15096" max="15096" width="13.25" style="2" bestFit="1" customWidth="1"/>
    <col min="15097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15" width="11.125" style="2" bestFit="1" customWidth="1"/>
    <col min="15116" max="15117" width="9" style="2"/>
    <col min="15118" max="15125" width="11.125" style="2" bestFit="1" customWidth="1"/>
    <col min="15126" max="15126" width="9.625" style="2" bestFit="1" customWidth="1"/>
    <col min="15127" max="15350" width="9" style="2"/>
    <col min="15351" max="15351" width="2.375" style="2" customWidth="1"/>
    <col min="15352" max="15352" width="13.25" style="2" bestFit="1" customWidth="1"/>
    <col min="15353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71" width="11.125" style="2" bestFit="1" customWidth="1"/>
    <col min="15372" max="15373" width="9" style="2"/>
    <col min="15374" max="15381" width="11.125" style="2" bestFit="1" customWidth="1"/>
    <col min="15382" max="15382" width="9.625" style="2" bestFit="1" customWidth="1"/>
    <col min="15383" max="15606" width="9" style="2"/>
    <col min="15607" max="15607" width="2.375" style="2" customWidth="1"/>
    <col min="15608" max="15608" width="13.25" style="2" bestFit="1" customWidth="1"/>
    <col min="15609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27" width="11.125" style="2" bestFit="1" customWidth="1"/>
    <col min="15628" max="15629" width="9" style="2"/>
    <col min="15630" max="15637" width="11.125" style="2" bestFit="1" customWidth="1"/>
    <col min="15638" max="15638" width="9.625" style="2" bestFit="1" customWidth="1"/>
    <col min="15639" max="15862" width="9" style="2"/>
    <col min="15863" max="15863" width="2.375" style="2" customWidth="1"/>
    <col min="15864" max="15864" width="13.25" style="2" bestFit="1" customWidth="1"/>
    <col min="15865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83" width="11.125" style="2" bestFit="1" customWidth="1"/>
    <col min="15884" max="15885" width="9" style="2"/>
    <col min="15886" max="15893" width="11.125" style="2" bestFit="1" customWidth="1"/>
    <col min="15894" max="15894" width="9.625" style="2" bestFit="1" customWidth="1"/>
    <col min="15895" max="16118" width="9" style="2"/>
    <col min="16119" max="16119" width="2.375" style="2" customWidth="1"/>
    <col min="16120" max="16120" width="13.25" style="2" bestFit="1" customWidth="1"/>
    <col min="16121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39" width="11.125" style="2" bestFit="1" customWidth="1"/>
    <col min="16140" max="16141" width="9" style="2"/>
    <col min="16142" max="16149" width="11.125" style="2" bestFit="1" customWidth="1"/>
    <col min="16150" max="16150" width="9.625" style="2" bestFit="1" customWidth="1"/>
    <col min="16151" max="16384" width="9" style="2"/>
  </cols>
  <sheetData>
    <row r="1" spans="1:24">
      <c r="A1" s="1" t="s">
        <v>0</v>
      </c>
    </row>
    <row r="2" spans="1:24">
      <c r="A2" s="1" t="s">
        <v>1</v>
      </c>
    </row>
    <row r="3" spans="1:24" ht="19.5" thickBot="1">
      <c r="A3" s="1" t="s">
        <v>97</v>
      </c>
    </row>
    <row r="4" spans="1:24">
      <c r="B4" s="3"/>
      <c r="C4" s="8" t="s">
        <v>3</v>
      </c>
      <c r="D4" s="9" t="s">
        <v>4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  <c r="T4" s="9" t="s">
        <v>23</v>
      </c>
      <c r="U4" s="67" t="s">
        <v>24</v>
      </c>
      <c r="V4" s="45" t="s">
        <v>98</v>
      </c>
    </row>
    <row r="5" spans="1:24" ht="19.5" thickBot="1">
      <c r="A5" s="93"/>
      <c r="B5" s="27" t="s">
        <v>32</v>
      </c>
      <c r="C5" s="28" t="s">
        <v>100</v>
      </c>
      <c r="D5" s="29" t="s">
        <v>101</v>
      </c>
      <c r="E5" s="29" t="s">
        <v>33</v>
      </c>
      <c r="F5" s="29" t="s">
        <v>102</v>
      </c>
      <c r="G5" s="29" t="s">
        <v>34</v>
      </c>
      <c r="H5" s="29" t="s">
        <v>103</v>
      </c>
      <c r="I5" s="29" t="s">
        <v>104</v>
      </c>
      <c r="J5" s="29" t="s">
        <v>105</v>
      </c>
      <c r="K5" s="29" t="s">
        <v>106</v>
      </c>
      <c r="L5" s="29" t="s">
        <v>107</v>
      </c>
      <c r="M5" s="29" t="s">
        <v>108</v>
      </c>
      <c r="N5" s="29" t="s">
        <v>109</v>
      </c>
      <c r="O5" s="29" t="s">
        <v>110</v>
      </c>
      <c r="P5" s="29" t="s">
        <v>111</v>
      </c>
      <c r="Q5" s="29" t="s">
        <v>112</v>
      </c>
      <c r="R5" s="29" t="s">
        <v>113</v>
      </c>
      <c r="S5" s="29" t="s">
        <v>35</v>
      </c>
      <c r="T5" s="29" t="s">
        <v>36</v>
      </c>
      <c r="U5" s="68" t="s">
        <v>114</v>
      </c>
      <c r="V5" s="46" t="s">
        <v>125</v>
      </c>
    </row>
    <row r="6" spans="1:24">
      <c r="A6" s="1" t="s">
        <v>2</v>
      </c>
      <c r="B6" s="23" t="s">
        <v>39</v>
      </c>
      <c r="C6" s="24">
        <v>18</v>
      </c>
      <c r="D6" s="25">
        <v>0</v>
      </c>
      <c r="E6" s="25">
        <v>17</v>
      </c>
      <c r="F6" s="25">
        <v>20</v>
      </c>
      <c r="G6" s="25">
        <v>19</v>
      </c>
      <c r="H6" s="25">
        <v>18</v>
      </c>
      <c r="I6" s="25">
        <v>17</v>
      </c>
      <c r="J6" s="25">
        <v>20</v>
      </c>
      <c r="K6" s="25">
        <v>17</v>
      </c>
      <c r="L6" s="25">
        <v>20</v>
      </c>
      <c r="M6" s="25">
        <v>20</v>
      </c>
      <c r="N6" s="25">
        <v>18</v>
      </c>
      <c r="O6" s="25">
        <v>20</v>
      </c>
      <c r="P6" s="25">
        <v>20</v>
      </c>
      <c r="Q6" s="25">
        <v>19</v>
      </c>
      <c r="R6" s="25">
        <v>13</v>
      </c>
      <c r="S6" s="25">
        <v>20</v>
      </c>
      <c r="T6" s="25">
        <v>10</v>
      </c>
      <c r="U6" s="69">
        <v>10</v>
      </c>
      <c r="V6" s="47">
        <f t="shared" ref="V6:V13" si="0">SUM(C6:U6)</f>
        <v>316</v>
      </c>
      <c r="X6" s="89"/>
    </row>
    <row r="7" spans="1:24">
      <c r="A7" s="1" t="s">
        <v>2</v>
      </c>
      <c r="B7" s="5" t="s">
        <v>40</v>
      </c>
      <c r="C7" s="11">
        <v>3</v>
      </c>
      <c r="D7" s="12">
        <v>0</v>
      </c>
      <c r="E7" s="12">
        <v>4</v>
      </c>
      <c r="F7" s="12">
        <v>2</v>
      </c>
      <c r="G7" s="12">
        <v>2</v>
      </c>
      <c r="H7" s="12">
        <v>3</v>
      </c>
      <c r="I7" s="12">
        <v>4</v>
      </c>
      <c r="J7" s="12">
        <v>3</v>
      </c>
      <c r="K7" s="12">
        <v>4</v>
      </c>
      <c r="L7" s="12">
        <v>3</v>
      </c>
      <c r="M7" s="12">
        <v>2</v>
      </c>
      <c r="N7" s="12">
        <v>3</v>
      </c>
      <c r="O7" s="12">
        <v>1</v>
      </c>
      <c r="P7" s="12">
        <v>1</v>
      </c>
      <c r="Q7" s="12">
        <v>2</v>
      </c>
      <c r="R7" s="12">
        <v>3</v>
      </c>
      <c r="S7" s="12">
        <v>3</v>
      </c>
      <c r="T7" s="12">
        <v>1</v>
      </c>
      <c r="U7" s="70">
        <v>1</v>
      </c>
      <c r="V7" s="48">
        <f t="shared" si="0"/>
        <v>45</v>
      </c>
      <c r="X7" s="89"/>
    </row>
    <row r="8" spans="1:24">
      <c r="A8" s="1" t="s">
        <v>2</v>
      </c>
      <c r="B8" s="5" t="s">
        <v>41</v>
      </c>
      <c r="C8" s="11">
        <v>4</v>
      </c>
      <c r="D8" s="12">
        <v>0</v>
      </c>
      <c r="E8" s="12">
        <v>2</v>
      </c>
      <c r="F8" s="12">
        <v>2</v>
      </c>
      <c r="G8" s="12">
        <v>4</v>
      </c>
      <c r="H8" s="12">
        <v>2</v>
      </c>
      <c r="I8" s="12">
        <v>3</v>
      </c>
      <c r="J8" s="12">
        <v>1</v>
      </c>
      <c r="K8" s="12">
        <v>3</v>
      </c>
      <c r="L8" s="12">
        <v>0</v>
      </c>
      <c r="M8" s="12">
        <v>3</v>
      </c>
      <c r="N8" s="12">
        <v>2</v>
      </c>
      <c r="O8" s="12">
        <v>3</v>
      </c>
      <c r="P8" s="12">
        <v>3</v>
      </c>
      <c r="Q8" s="12">
        <v>3</v>
      </c>
      <c r="R8" s="12">
        <v>4</v>
      </c>
      <c r="S8" s="12">
        <v>1</v>
      </c>
      <c r="T8" s="12">
        <v>0</v>
      </c>
      <c r="U8" s="70">
        <v>2</v>
      </c>
      <c r="V8" s="48">
        <f t="shared" si="0"/>
        <v>42</v>
      </c>
      <c r="X8" s="89"/>
    </row>
    <row r="9" spans="1:24">
      <c r="A9" s="1" t="s">
        <v>2</v>
      </c>
      <c r="B9" s="5" t="s">
        <v>42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5</v>
      </c>
      <c r="S9" s="12">
        <v>0</v>
      </c>
      <c r="T9" s="12">
        <v>0</v>
      </c>
      <c r="U9" s="70">
        <v>0</v>
      </c>
      <c r="V9" s="48">
        <f t="shared" si="0"/>
        <v>5</v>
      </c>
      <c r="X9" s="89"/>
    </row>
    <row r="10" spans="1:24">
      <c r="A10" s="1" t="s">
        <v>2</v>
      </c>
      <c r="B10" s="5" t="s">
        <v>43</v>
      </c>
      <c r="C10" s="11">
        <v>2</v>
      </c>
      <c r="D10" s="12">
        <v>0</v>
      </c>
      <c r="E10" s="12">
        <v>3</v>
      </c>
      <c r="F10" s="12">
        <v>0</v>
      </c>
      <c r="G10" s="12">
        <v>1</v>
      </c>
      <c r="H10" s="12">
        <v>0</v>
      </c>
      <c r="I10" s="12">
        <v>1</v>
      </c>
      <c r="J10" s="12">
        <v>0</v>
      </c>
      <c r="K10" s="12">
        <v>1</v>
      </c>
      <c r="L10" s="12">
        <v>0</v>
      </c>
      <c r="M10" s="12">
        <v>0</v>
      </c>
      <c r="N10" s="12">
        <v>2</v>
      </c>
      <c r="O10" s="12">
        <v>0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70">
        <v>0</v>
      </c>
      <c r="V10" s="48">
        <f t="shared" si="0"/>
        <v>11</v>
      </c>
      <c r="X10" s="89"/>
    </row>
    <row r="11" spans="1:24">
      <c r="A11" s="1" t="s">
        <v>2</v>
      </c>
      <c r="B11" s="5" t="s">
        <v>44</v>
      </c>
      <c r="C11" s="11">
        <v>0</v>
      </c>
      <c r="D11" s="12">
        <v>0</v>
      </c>
      <c r="E11" s="12">
        <v>0</v>
      </c>
      <c r="F11" s="12">
        <v>0</v>
      </c>
      <c r="G11" s="12">
        <v>0</v>
      </c>
      <c r="H11" s="12">
        <v>2</v>
      </c>
      <c r="I11" s="12">
        <v>2</v>
      </c>
      <c r="J11" s="12">
        <v>0</v>
      </c>
      <c r="K11" s="12">
        <v>2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2</v>
      </c>
      <c r="S11" s="12">
        <v>0</v>
      </c>
      <c r="T11" s="12">
        <v>2</v>
      </c>
      <c r="U11" s="70">
        <v>0</v>
      </c>
      <c r="V11" s="48">
        <f t="shared" si="0"/>
        <v>10</v>
      </c>
      <c r="X11" s="89"/>
    </row>
    <row r="12" spans="1:24">
      <c r="A12" s="1" t="s">
        <v>2</v>
      </c>
      <c r="B12" s="5" t="s">
        <v>45</v>
      </c>
      <c r="C12" s="11">
        <v>0</v>
      </c>
      <c r="D12" s="12">
        <v>20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8.9</v>
      </c>
      <c r="U12" s="70">
        <v>10.9</v>
      </c>
      <c r="V12" s="48">
        <f t="shared" si="0"/>
        <v>39.799999999999997</v>
      </c>
      <c r="X12" s="89"/>
    </row>
    <row r="13" spans="1:24">
      <c r="A13" s="1" t="s">
        <v>2</v>
      </c>
      <c r="B13" s="5" t="s">
        <v>46</v>
      </c>
      <c r="C13" s="11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70">
        <v>0</v>
      </c>
      <c r="V13" s="48">
        <f t="shared" si="0"/>
        <v>1</v>
      </c>
      <c r="X13" s="89"/>
    </row>
    <row r="14" spans="1:24">
      <c r="A14" s="1" t="s">
        <v>2</v>
      </c>
      <c r="B14" s="5" t="s">
        <v>47</v>
      </c>
      <c r="C14" s="14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71">
        <v>0</v>
      </c>
      <c r="V14" s="49"/>
      <c r="X14" s="90"/>
    </row>
    <row r="15" spans="1:24">
      <c r="A15" s="1" t="s">
        <v>2</v>
      </c>
      <c r="B15" s="5" t="s">
        <v>48</v>
      </c>
      <c r="C15" s="14">
        <v>1.375</v>
      </c>
      <c r="D15" s="15">
        <v>0</v>
      </c>
      <c r="E15" s="15">
        <v>0.875</v>
      </c>
      <c r="F15" s="15">
        <v>2.75</v>
      </c>
      <c r="G15" s="15">
        <v>1.5416666666666665</v>
      </c>
      <c r="H15" s="15">
        <v>2.6666666666666665</v>
      </c>
      <c r="I15" s="15">
        <v>2.0833333333333335</v>
      </c>
      <c r="J15" s="15">
        <v>2.3333333333333335</v>
      </c>
      <c r="K15" s="15">
        <v>1.9583333333333335</v>
      </c>
      <c r="L15" s="15">
        <v>0.91666666666666663</v>
      </c>
      <c r="M15" s="15">
        <v>1.4583333333333333</v>
      </c>
      <c r="N15" s="15">
        <v>1.5</v>
      </c>
      <c r="O15" s="15">
        <v>1.8333333333333335</v>
      </c>
      <c r="P15" s="15">
        <v>3.0833333333333335</v>
      </c>
      <c r="Q15" s="15">
        <v>2.6666666666666665</v>
      </c>
      <c r="R15" s="15">
        <v>1.0416666666666667</v>
      </c>
      <c r="S15" s="15">
        <v>1.0416666666666667</v>
      </c>
      <c r="T15" s="15">
        <v>0.45833333333333331</v>
      </c>
      <c r="U15" s="71">
        <v>0.95833333333333337</v>
      </c>
      <c r="V15" s="49">
        <f>SUM(C15:U15)</f>
        <v>30.541666666666664</v>
      </c>
      <c r="X15" s="90"/>
    </row>
    <row r="16" spans="1:24">
      <c r="A16" s="1" t="s">
        <v>2</v>
      </c>
      <c r="B16" s="5" t="s">
        <v>49</v>
      </c>
      <c r="C16" s="14">
        <v>1.0416666666666667</v>
      </c>
      <c r="D16" s="15">
        <v>0</v>
      </c>
      <c r="E16" s="15">
        <v>1.625</v>
      </c>
      <c r="F16" s="15">
        <v>0.5</v>
      </c>
      <c r="G16" s="15">
        <v>0.875</v>
      </c>
      <c r="H16" s="15">
        <v>0.79166666666666663</v>
      </c>
      <c r="I16" s="15">
        <v>1.3333333333333333</v>
      </c>
      <c r="J16" s="15">
        <v>1.0416666666666667</v>
      </c>
      <c r="K16" s="15">
        <v>1.4166666666666667</v>
      </c>
      <c r="L16" s="15">
        <v>0.875</v>
      </c>
      <c r="M16" s="15">
        <v>0.95833333333333337</v>
      </c>
      <c r="N16" s="15">
        <v>1.3333333333333333</v>
      </c>
      <c r="O16" s="15">
        <v>0.375</v>
      </c>
      <c r="P16" s="15">
        <v>0.16666666666666666</v>
      </c>
      <c r="Q16" s="15">
        <v>1</v>
      </c>
      <c r="R16" s="15">
        <v>0</v>
      </c>
      <c r="S16" s="15">
        <v>0.95833333333333337</v>
      </c>
      <c r="T16" s="15">
        <v>0.45833333333333331</v>
      </c>
      <c r="U16" s="71">
        <v>0.5</v>
      </c>
      <c r="V16" s="49">
        <f>SUM(C16:U16)</f>
        <v>15.250000000000002</v>
      </c>
      <c r="X16" s="90"/>
    </row>
    <row r="17" spans="1:24">
      <c r="A17" s="1" t="s">
        <v>2</v>
      </c>
      <c r="B17" s="5" t="s">
        <v>50</v>
      </c>
      <c r="C17" s="14">
        <v>1.5</v>
      </c>
      <c r="D17" s="15">
        <v>0</v>
      </c>
      <c r="E17" s="15">
        <v>0.79166666666666663</v>
      </c>
      <c r="F17" s="15">
        <v>0.54166666666666663</v>
      </c>
      <c r="G17" s="15">
        <v>1.5</v>
      </c>
      <c r="H17" s="15">
        <v>0.5</v>
      </c>
      <c r="I17" s="15">
        <v>1.1666666666666667</v>
      </c>
      <c r="J17" s="15">
        <v>0.25</v>
      </c>
      <c r="K17" s="15">
        <v>1.125</v>
      </c>
      <c r="L17" s="15">
        <v>0</v>
      </c>
      <c r="M17" s="15">
        <v>1.3333333333333333</v>
      </c>
      <c r="N17" s="15">
        <v>0.75</v>
      </c>
      <c r="O17" s="15">
        <v>0.875</v>
      </c>
      <c r="P17" s="15">
        <v>0.95833333333333337</v>
      </c>
      <c r="Q17" s="15">
        <v>0.54166666666666663</v>
      </c>
      <c r="R17" s="15">
        <v>0.91666666666666663</v>
      </c>
      <c r="S17" s="15">
        <v>0.375</v>
      </c>
      <c r="T17" s="15">
        <v>0</v>
      </c>
      <c r="U17" s="71">
        <v>0.58333333333333337</v>
      </c>
      <c r="V17" s="49">
        <f>SUM(C17:U17)</f>
        <v>13.708333333333334</v>
      </c>
      <c r="X17" s="90"/>
    </row>
    <row r="18" spans="1:24">
      <c r="A18" s="1" t="s">
        <v>2</v>
      </c>
      <c r="B18" s="5" t="s">
        <v>51</v>
      </c>
      <c r="C18" s="14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1.25</v>
      </c>
      <c r="S18" s="15">
        <v>0</v>
      </c>
      <c r="T18" s="15">
        <v>0</v>
      </c>
      <c r="U18" s="71">
        <v>0</v>
      </c>
      <c r="V18" s="49">
        <f>SUM(C18:U18)</f>
        <v>1.25</v>
      </c>
      <c r="X18" s="90"/>
    </row>
    <row r="19" spans="1:24">
      <c r="A19" s="1" t="s">
        <v>2</v>
      </c>
      <c r="B19" s="5" t="s">
        <v>52</v>
      </c>
      <c r="C19" s="14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0.70833333333333337</v>
      </c>
      <c r="S19" s="15">
        <v>0</v>
      </c>
      <c r="T19" s="15">
        <v>0</v>
      </c>
      <c r="U19" s="71">
        <v>0</v>
      </c>
      <c r="V19" s="49">
        <f>SUM(C19:U19)</f>
        <v>0.70833333333333337</v>
      </c>
      <c r="X19" s="90"/>
    </row>
    <row r="20" spans="1:24">
      <c r="A20" s="1" t="s">
        <v>2</v>
      </c>
      <c r="B20" s="5" t="s">
        <v>53</v>
      </c>
      <c r="C20" s="14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71">
        <v>0</v>
      </c>
      <c r="V20" s="49"/>
      <c r="X20" s="90"/>
    </row>
    <row r="21" spans="1:24">
      <c r="A21" s="1" t="s">
        <v>2</v>
      </c>
      <c r="B21" s="5" t="s">
        <v>54</v>
      </c>
      <c r="C21" s="14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71">
        <v>0</v>
      </c>
      <c r="V21" s="49"/>
      <c r="X21" s="90"/>
    </row>
    <row r="22" spans="1:24">
      <c r="A22" s="1" t="s">
        <v>2</v>
      </c>
      <c r="B22" s="5" t="s">
        <v>55</v>
      </c>
      <c r="C22" s="14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71">
        <v>0</v>
      </c>
      <c r="V22" s="49"/>
      <c r="X22" s="90"/>
    </row>
    <row r="23" spans="1:24">
      <c r="A23" s="1" t="s">
        <v>2</v>
      </c>
      <c r="B23" s="5" t="s">
        <v>56</v>
      </c>
      <c r="C23" s="14">
        <v>0.33333333333333331</v>
      </c>
      <c r="D23" s="15">
        <v>0</v>
      </c>
      <c r="E23" s="15">
        <v>8.3333333333333329E-2</v>
      </c>
      <c r="F23" s="15">
        <v>0.875</v>
      </c>
      <c r="G23" s="15">
        <v>1.0416666666666667</v>
      </c>
      <c r="H23" s="15">
        <v>1.0416666666666667</v>
      </c>
      <c r="I23" s="15">
        <v>4.1666666666666664E-2</v>
      </c>
      <c r="J23" s="15">
        <v>0.25</v>
      </c>
      <c r="K23" s="15">
        <v>0</v>
      </c>
      <c r="L23" s="15">
        <v>0.125</v>
      </c>
      <c r="M23" s="15">
        <v>0.33333333333333331</v>
      </c>
      <c r="N23" s="15">
        <v>1.25</v>
      </c>
      <c r="O23" s="15">
        <v>0</v>
      </c>
      <c r="P23" s="15">
        <v>1.2916666666666667</v>
      </c>
      <c r="Q23" s="15">
        <v>1.125</v>
      </c>
      <c r="R23" s="15">
        <v>2.0833333333333335</v>
      </c>
      <c r="S23" s="15">
        <v>0.20833333333333334</v>
      </c>
      <c r="T23" s="15">
        <v>4.1666666666666664E-2</v>
      </c>
      <c r="U23" s="71">
        <v>0.45833333333333331</v>
      </c>
      <c r="V23" s="49">
        <f t="shared" ref="V23:V63" si="1">SUM(C23:U23)</f>
        <v>10.583333333333334</v>
      </c>
      <c r="X23" s="90"/>
    </row>
    <row r="24" spans="1:24" ht="19.5" thickBot="1">
      <c r="A24" s="1" t="s">
        <v>2</v>
      </c>
      <c r="B24" s="6" t="s">
        <v>57</v>
      </c>
      <c r="C24" s="35">
        <v>26</v>
      </c>
      <c r="D24" s="36">
        <v>35</v>
      </c>
      <c r="E24" s="36">
        <v>37</v>
      </c>
      <c r="F24" s="36">
        <v>40</v>
      </c>
      <c r="G24" s="36">
        <v>33</v>
      </c>
      <c r="H24" s="36">
        <v>40</v>
      </c>
      <c r="I24" s="36">
        <v>39</v>
      </c>
      <c r="J24" s="36">
        <v>29</v>
      </c>
      <c r="K24" s="36">
        <v>36</v>
      </c>
      <c r="L24" s="36">
        <v>40</v>
      </c>
      <c r="M24" s="36">
        <v>0</v>
      </c>
      <c r="N24" s="36">
        <v>18</v>
      </c>
      <c r="O24" s="36">
        <v>30</v>
      </c>
      <c r="P24" s="36">
        <v>25</v>
      </c>
      <c r="Q24" s="36">
        <v>22</v>
      </c>
      <c r="R24" s="36">
        <v>21</v>
      </c>
      <c r="S24" s="36">
        <v>12</v>
      </c>
      <c r="T24" s="36">
        <v>0</v>
      </c>
      <c r="U24" s="72">
        <v>0</v>
      </c>
      <c r="V24" s="50">
        <f t="shared" si="1"/>
        <v>483</v>
      </c>
      <c r="X24" s="89"/>
    </row>
    <row r="25" spans="1:24">
      <c r="A25" s="1" t="s">
        <v>2</v>
      </c>
      <c r="B25" s="23" t="s">
        <v>58</v>
      </c>
      <c r="C25" s="31">
        <v>177000</v>
      </c>
      <c r="D25" s="32">
        <v>0</v>
      </c>
      <c r="E25" s="32">
        <v>187000</v>
      </c>
      <c r="F25" s="32">
        <v>192000</v>
      </c>
      <c r="G25" s="32">
        <v>182000</v>
      </c>
      <c r="H25" s="32">
        <v>187000</v>
      </c>
      <c r="I25" s="32">
        <v>177000</v>
      </c>
      <c r="J25" s="32">
        <v>177000</v>
      </c>
      <c r="K25" s="32">
        <v>172000</v>
      </c>
      <c r="L25" s="32">
        <v>187000</v>
      </c>
      <c r="M25" s="32">
        <v>177000</v>
      </c>
      <c r="N25" s="32">
        <v>177000</v>
      </c>
      <c r="O25" s="32">
        <v>170000</v>
      </c>
      <c r="P25" s="32">
        <v>177000</v>
      </c>
      <c r="Q25" s="32">
        <v>175000</v>
      </c>
      <c r="R25" s="32">
        <v>175000</v>
      </c>
      <c r="S25" s="32">
        <v>170000</v>
      </c>
      <c r="T25" s="32">
        <v>170000</v>
      </c>
      <c r="U25" s="73">
        <v>170000</v>
      </c>
      <c r="V25" s="51">
        <f t="shared" si="1"/>
        <v>3199000</v>
      </c>
      <c r="X25" s="91"/>
    </row>
    <row r="26" spans="1:24">
      <c r="A26" s="1" t="s">
        <v>2</v>
      </c>
      <c r="B26" s="5" t="s">
        <v>59</v>
      </c>
      <c r="C26" s="17">
        <v>0</v>
      </c>
      <c r="D26" s="18">
        <v>0</v>
      </c>
      <c r="E26" s="18">
        <v>20000</v>
      </c>
      <c r="F26" s="18">
        <v>5000</v>
      </c>
      <c r="G26" s="18">
        <v>5000</v>
      </c>
      <c r="H26" s="18">
        <v>5000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74">
        <v>0</v>
      </c>
      <c r="V26" s="52">
        <f t="shared" si="1"/>
        <v>35000</v>
      </c>
      <c r="X26" s="91"/>
    </row>
    <row r="27" spans="1:24">
      <c r="A27" s="1" t="s">
        <v>2</v>
      </c>
      <c r="B27" s="5" t="s">
        <v>60</v>
      </c>
      <c r="C27" s="17">
        <v>0</v>
      </c>
      <c r="D27" s="18">
        <v>0</v>
      </c>
      <c r="E27" s="18">
        <v>3000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74">
        <v>0</v>
      </c>
      <c r="V27" s="52">
        <f t="shared" si="1"/>
        <v>3000</v>
      </c>
      <c r="X27" s="91"/>
    </row>
    <row r="28" spans="1:24">
      <c r="A28" s="1" t="s">
        <v>2</v>
      </c>
      <c r="B28" s="5" t="s">
        <v>61</v>
      </c>
      <c r="C28" s="17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74">
        <v>0</v>
      </c>
      <c r="V28" s="52">
        <f t="shared" si="1"/>
        <v>0</v>
      </c>
      <c r="X28" s="91"/>
    </row>
    <row r="29" spans="1:24">
      <c r="A29" s="1" t="s">
        <v>2</v>
      </c>
      <c r="B29" s="5" t="s">
        <v>62</v>
      </c>
      <c r="C29" s="17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85990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74">
        <v>0</v>
      </c>
      <c r="V29" s="52">
        <f t="shared" si="1"/>
        <v>85990</v>
      </c>
      <c r="X29" s="91"/>
    </row>
    <row r="30" spans="1:24">
      <c r="A30" s="1" t="s">
        <v>2</v>
      </c>
      <c r="B30" s="5" t="s">
        <v>63</v>
      </c>
      <c r="C30" s="17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74">
        <v>0</v>
      </c>
      <c r="V30" s="52">
        <f t="shared" si="1"/>
        <v>0</v>
      </c>
      <c r="X30" s="91"/>
    </row>
    <row r="31" spans="1:24">
      <c r="A31" s="1" t="s">
        <v>2</v>
      </c>
      <c r="B31" s="5" t="s">
        <v>64</v>
      </c>
      <c r="C31" s="17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74">
        <v>0</v>
      </c>
      <c r="V31" s="52">
        <f t="shared" si="1"/>
        <v>0</v>
      </c>
      <c r="X31" s="91"/>
    </row>
    <row r="32" spans="1:24">
      <c r="A32" s="1" t="s">
        <v>2</v>
      </c>
      <c r="B32" s="5" t="s">
        <v>65</v>
      </c>
      <c r="C32" s="17">
        <v>27000</v>
      </c>
      <c r="D32" s="18">
        <v>24000</v>
      </c>
      <c r="E32" s="18">
        <v>29800</v>
      </c>
      <c r="F32" s="18">
        <v>29600</v>
      </c>
      <c r="G32" s="18">
        <v>14700</v>
      </c>
      <c r="H32" s="18">
        <v>28400</v>
      </c>
      <c r="I32" s="18">
        <v>14100</v>
      </c>
      <c r="J32" s="18">
        <v>28200</v>
      </c>
      <c r="K32" s="18">
        <v>14100</v>
      </c>
      <c r="L32" s="18">
        <v>28800</v>
      </c>
      <c r="M32" s="18">
        <v>0</v>
      </c>
      <c r="N32" s="18">
        <v>28400</v>
      </c>
      <c r="O32" s="18">
        <v>0</v>
      </c>
      <c r="P32" s="18">
        <v>28800</v>
      </c>
      <c r="Q32" s="18">
        <v>29000</v>
      </c>
      <c r="R32" s="18">
        <v>27800</v>
      </c>
      <c r="S32" s="18">
        <v>0</v>
      </c>
      <c r="T32" s="18">
        <v>0</v>
      </c>
      <c r="U32" s="74">
        <v>0</v>
      </c>
      <c r="V32" s="52">
        <f t="shared" si="1"/>
        <v>352700</v>
      </c>
      <c r="X32" s="91"/>
    </row>
    <row r="33" spans="1:24">
      <c r="A33" s="1" t="s">
        <v>2</v>
      </c>
      <c r="B33" s="5" t="s">
        <v>66</v>
      </c>
      <c r="C33" s="17">
        <v>1000</v>
      </c>
      <c r="D33" s="18">
        <v>0</v>
      </c>
      <c r="E33" s="18">
        <v>1000</v>
      </c>
      <c r="F33" s="18">
        <v>1000</v>
      </c>
      <c r="G33" s="18">
        <v>0</v>
      </c>
      <c r="H33" s="18">
        <v>1000</v>
      </c>
      <c r="I33" s="18">
        <v>1000</v>
      </c>
      <c r="J33" s="18">
        <v>1000</v>
      </c>
      <c r="K33" s="18">
        <v>0</v>
      </c>
      <c r="L33" s="18">
        <v>1000</v>
      </c>
      <c r="M33" s="18">
        <v>1000</v>
      </c>
      <c r="N33" s="18">
        <v>1000</v>
      </c>
      <c r="O33" s="18">
        <v>1000</v>
      </c>
      <c r="P33" s="18">
        <v>1000</v>
      </c>
      <c r="Q33" s="18">
        <v>1000</v>
      </c>
      <c r="R33" s="18">
        <v>1000</v>
      </c>
      <c r="S33" s="18">
        <v>0</v>
      </c>
      <c r="T33" s="18">
        <v>0</v>
      </c>
      <c r="U33" s="74">
        <v>0</v>
      </c>
      <c r="V33" s="52">
        <f t="shared" si="1"/>
        <v>13000</v>
      </c>
      <c r="X33" s="91"/>
    </row>
    <row r="34" spans="1:24">
      <c r="A34" s="1" t="s">
        <v>2</v>
      </c>
      <c r="B34" s="5" t="s">
        <v>67</v>
      </c>
      <c r="C34" s="17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74">
        <v>0</v>
      </c>
      <c r="V34" s="52">
        <f t="shared" si="1"/>
        <v>0</v>
      </c>
      <c r="X34" s="91"/>
    </row>
    <row r="35" spans="1:24">
      <c r="A35" s="1" t="s">
        <v>2</v>
      </c>
      <c r="B35" s="5" t="s">
        <v>68</v>
      </c>
      <c r="C35" s="17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74">
        <v>0</v>
      </c>
      <c r="V35" s="52">
        <f t="shared" si="1"/>
        <v>0</v>
      </c>
      <c r="X35" s="91"/>
    </row>
    <row r="36" spans="1:24">
      <c r="A36" s="1" t="s">
        <v>2</v>
      </c>
      <c r="B36" s="5" t="s">
        <v>69</v>
      </c>
      <c r="C36" s="17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74">
        <v>0</v>
      </c>
      <c r="V36" s="52">
        <f t="shared" si="1"/>
        <v>0</v>
      </c>
      <c r="X36" s="91"/>
    </row>
    <row r="37" spans="1:24">
      <c r="A37" s="1" t="s">
        <v>2</v>
      </c>
      <c r="B37" s="5" t="s">
        <v>70</v>
      </c>
      <c r="C37" s="17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00">
        <v>-72383</v>
      </c>
      <c r="U37" s="102">
        <v>-88649</v>
      </c>
      <c r="V37" s="103">
        <f t="shared" si="1"/>
        <v>-161032</v>
      </c>
      <c r="X37" s="91"/>
    </row>
    <row r="38" spans="1:24">
      <c r="A38" s="1" t="s">
        <v>2</v>
      </c>
      <c r="B38" s="5" t="s">
        <v>48</v>
      </c>
      <c r="C38" s="17">
        <v>43989</v>
      </c>
      <c r="D38" s="18">
        <v>0</v>
      </c>
      <c r="E38" s="18">
        <v>33159</v>
      </c>
      <c r="F38" s="18">
        <v>97878</v>
      </c>
      <c r="G38" s="18">
        <v>51800</v>
      </c>
      <c r="H38" s="18">
        <v>92480</v>
      </c>
      <c r="I38" s="18">
        <v>66650</v>
      </c>
      <c r="J38" s="18">
        <v>74648</v>
      </c>
      <c r="K38" s="18">
        <v>60536</v>
      </c>
      <c r="L38" s="18">
        <v>30976</v>
      </c>
      <c r="M38" s="18">
        <v>46655</v>
      </c>
      <c r="N38" s="18">
        <v>47988</v>
      </c>
      <c r="O38" s="18">
        <v>56320</v>
      </c>
      <c r="P38" s="18">
        <v>98642</v>
      </c>
      <c r="Q38" s="18">
        <v>84352</v>
      </c>
      <c r="R38" s="18">
        <v>32950</v>
      </c>
      <c r="S38" s="18">
        <v>31825</v>
      </c>
      <c r="T38" s="18">
        <v>14003</v>
      </c>
      <c r="U38" s="74">
        <v>29279</v>
      </c>
      <c r="V38" s="52">
        <f t="shared" si="1"/>
        <v>994130</v>
      </c>
      <c r="X38" s="91"/>
    </row>
    <row r="39" spans="1:24">
      <c r="A39" s="1" t="s">
        <v>2</v>
      </c>
      <c r="B39" s="5" t="s">
        <v>71</v>
      </c>
      <c r="C39" s="17">
        <v>35975</v>
      </c>
      <c r="D39" s="18">
        <v>0</v>
      </c>
      <c r="E39" s="18">
        <v>66495</v>
      </c>
      <c r="F39" s="18">
        <v>19212</v>
      </c>
      <c r="G39" s="18">
        <v>31752</v>
      </c>
      <c r="H39" s="18">
        <v>29659</v>
      </c>
      <c r="I39" s="18">
        <v>46048</v>
      </c>
      <c r="J39" s="18">
        <v>35975</v>
      </c>
      <c r="K39" s="18">
        <v>47294</v>
      </c>
      <c r="L39" s="18">
        <v>31920</v>
      </c>
      <c r="M39" s="18">
        <v>33097</v>
      </c>
      <c r="N39" s="18">
        <v>46048</v>
      </c>
      <c r="O39" s="18">
        <v>12438</v>
      </c>
      <c r="P39" s="18">
        <v>5756</v>
      </c>
      <c r="Q39" s="18">
        <v>34152</v>
      </c>
      <c r="R39" s="18">
        <v>0</v>
      </c>
      <c r="S39" s="18">
        <v>31602</v>
      </c>
      <c r="T39" s="18">
        <v>15114</v>
      </c>
      <c r="U39" s="74">
        <v>16488</v>
      </c>
      <c r="V39" s="52">
        <f t="shared" si="1"/>
        <v>539025</v>
      </c>
      <c r="X39" s="91"/>
    </row>
    <row r="40" spans="1:24">
      <c r="A40" s="1" t="s">
        <v>2</v>
      </c>
      <c r="B40" s="5" t="s">
        <v>72</v>
      </c>
      <c r="C40" s="17">
        <v>51804</v>
      </c>
      <c r="D40" s="18">
        <v>0</v>
      </c>
      <c r="E40" s="18">
        <v>32395</v>
      </c>
      <c r="F40" s="18">
        <v>20813</v>
      </c>
      <c r="G40" s="18">
        <v>54432</v>
      </c>
      <c r="H40" s="18">
        <v>18732</v>
      </c>
      <c r="I40" s="18">
        <v>40292</v>
      </c>
      <c r="J40" s="18">
        <v>8634</v>
      </c>
      <c r="K40" s="18">
        <v>37557</v>
      </c>
      <c r="L40" s="18">
        <v>0</v>
      </c>
      <c r="M40" s="18">
        <v>46048</v>
      </c>
      <c r="N40" s="18">
        <v>25902</v>
      </c>
      <c r="O40" s="18">
        <v>29022</v>
      </c>
      <c r="P40" s="18">
        <v>33097</v>
      </c>
      <c r="Q40" s="18">
        <v>18499</v>
      </c>
      <c r="R40" s="18">
        <v>31306</v>
      </c>
      <c r="S40" s="18">
        <v>12366</v>
      </c>
      <c r="T40" s="18">
        <v>0</v>
      </c>
      <c r="U40" s="74">
        <v>19236</v>
      </c>
      <c r="V40" s="52">
        <f t="shared" si="1"/>
        <v>480135</v>
      </c>
      <c r="X40" s="91"/>
    </row>
    <row r="41" spans="1:24">
      <c r="A41" s="1" t="s">
        <v>2</v>
      </c>
      <c r="B41" s="5" t="s">
        <v>73</v>
      </c>
      <c r="C41" s="17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11070</v>
      </c>
      <c r="S41" s="18">
        <v>0</v>
      </c>
      <c r="T41" s="18">
        <v>0</v>
      </c>
      <c r="U41" s="74">
        <v>0</v>
      </c>
      <c r="V41" s="52">
        <f t="shared" si="1"/>
        <v>11070</v>
      </c>
      <c r="X41" s="91"/>
    </row>
    <row r="42" spans="1:24">
      <c r="A42" s="1" t="s">
        <v>2</v>
      </c>
      <c r="B42" s="5" t="s">
        <v>74</v>
      </c>
      <c r="C42" s="17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6273</v>
      </c>
      <c r="S42" s="18">
        <v>0</v>
      </c>
      <c r="T42" s="18">
        <v>0</v>
      </c>
      <c r="U42" s="74">
        <v>0</v>
      </c>
      <c r="V42" s="52">
        <f t="shared" si="1"/>
        <v>6273</v>
      </c>
      <c r="X42" s="91"/>
    </row>
    <row r="43" spans="1:24">
      <c r="A43" s="1" t="s">
        <v>2</v>
      </c>
      <c r="B43" s="5" t="s">
        <v>75</v>
      </c>
      <c r="C43" s="17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8133</v>
      </c>
      <c r="U43" s="74">
        <v>0</v>
      </c>
      <c r="V43" s="52">
        <f t="shared" si="1"/>
        <v>8133</v>
      </c>
      <c r="X43" s="91"/>
    </row>
    <row r="44" spans="1:24">
      <c r="A44" s="1" t="s">
        <v>2</v>
      </c>
      <c r="B44" s="5" t="s">
        <v>53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74">
        <v>0</v>
      </c>
      <c r="V44" s="52">
        <f t="shared" si="1"/>
        <v>0</v>
      </c>
      <c r="X44" s="91"/>
    </row>
    <row r="45" spans="1:24">
      <c r="A45" s="1" t="s">
        <v>2</v>
      </c>
      <c r="B45" s="5" t="s">
        <v>56</v>
      </c>
      <c r="C45" s="17">
        <v>2136</v>
      </c>
      <c r="D45" s="18">
        <v>0</v>
      </c>
      <c r="E45" s="18">
        <v>632</v>
      </c>
      <c r="F45" s="18">
        <v>6237</v>
      </c>
      <c r="G45" s="18">
        <v>7000</v>
      </c>
      <c r="H45" s="18">
        <v>7225</v>
      </c>
      <c r="I45" s="18">
        <v>267</v>
      </c>
      <c r="J45" s="18">
        <v>1602</v>
      </c>
      <c r="K45" s="18">
        <v>0</v>
      </c>
      <c r="L45" s="18">
        <v>846</v>
      </c>
      <c r="M45" s="18">
        <v>2136</v>
      </c>
      <c r="N45" s="18">
        <v>8010</v>
      </c>
      <c r="O45" s="18">
        <v>0</v>
      </c>
      <c r="P45" s="18">
        <v>8277</v>
      </c>
      <c r="Q45" s="18">
        <v>7128</v>
      </c>
      <c r="R45" s="18">
        <v>13200</v>
      </c>
      <c r="S45" s="18">
        <v>1275</v>
      </c>
      <c r="T45" s="18">
        <v>255</v>
      </c>
      <c r="U45" s="74">
        <v>2805</v>
      </c>
      <c r="V45" s="52">
        <f t="shared" si="1"/>
        <v>69031</v>
      </c>
      <c r="X45" s="91"/>
    </row>
    <row r="46" spans="1:24" ht="19.5" thickBot="1">
      <c r="A46" s="1" t="s">
        <v>2</v>
      </c>
      <c r="B46" s="6" t="s">
        <v>76</v>
      </c>
      <c r="C46" s="38">
        <v>338904</v>
      </c>
      <c r="D46" s="39">
        <v>24000</v>
      </c>
      <c r="E46" s="39">
        <v>373481</v>
      </c>
      <c r="F46" s="39">
        <v>371740</v>
      </c>
      <c r="G46" s="39">
        <v>346684</v>
      </c>
      <c r="H46" s="39">
        <v>369496</v>
      </c>
      <c r="I46" s="39">
        <v>345357</v>
      </c>
      <c r="J46" s="39">
        <v>327059</v>
      </c>
      <c r="K46" s="39">
        <v>331487</v>
      </c>
      <c r="L46" s="39">
        <v>366532</v>
      </c>
      <c r="M46" s="39">
        <v>305936</v>
      </c>
      <c r="N46" s="39">
        <v>334348</v>
      </c>
      <c r="O46" s="39">
        <v>268780</v>
      </c>
      <c r="P46" s="39">
        <v>352572</v>
      </c>
      <c r="Q46" s="39">
        <v>349131</v>
      </c>
      <c r="R46" s="39">
        <v>298599</v>
      </c>
      <c r="S46" s="39">
        <v>247068</v>
      </c>
      <c r="T46" s="39">
        <v>135122</v>
      </c>
      <c r="U46" s="75">
        <v>149159</v>
      </c>
      <c r="V46" s="53">
        <f t="shared" si="1"/>
        <v>5635455</v>
      </c>
      <c r="X46" s="91"/>
    </row>
    <row r="47" spans="1:24" ht="19.5" thickBot="1">
      <c r="A47" s="1" t="s">
        <v>2</v>
      </c>
      <c r="B47" s="23" t="s">
        <v>77</v>
      </c>
      <c r="C47" s="31">
        <v>13047</v>
      </c>
      <c r="D47" s="32">
        <v>0</v>
      </c>
      <c r="E47" s="32">
        <v>5402</v>
      </c>
      <c r="F47" s="32">
        <v>3132</v>
      </c>
      <c r="G47" s="32">
        <v>15004</v>
      </c>
      <c r="H47" s="32">
        <v>2401</v>
      </c>
      <c r="I47" s="32">
        <v>2505</v>
      </c>
      <c r="J47" s="32">
        <v>1253</v>
      </c>
      <c r="K47" s="32">
        <v>3132</v>
      </c>
      <c r="L47" s="32">
        <v>4801</v>
      </c>
      <c r="M47" s="32">
        <v>6524</v>
      </c>
      <c r="N47" s="32">
        <v>4201</v>
      </c>
      <c r="O47" s="32">
        <v>7515</v>
      </c>
      <c r="P47" s="32">
        <v>3758</v>
      </c>
      <c r="Q47" s="32">
        <v>6263</v>
      </c>
      <c r="R47" s="32">
        <v>8872</v>
      </c>
      <c r="S47" s="32">
        <v>4384</v>
      </c>
      <c r="T47" s="32">
        <v>3445</v>
      </c>
      <c r="U47" s="73">
        <v>5428</v>
      </c>
      <c r="V47" s="51">
        <f t="shared" si="1"/>
        <v>101067</v>
      </c>
      <c r="X47" s="91"/>
    </row>
    <row r="48" spans="1:24" ht="19.5" thickBot="1">
      <c r="A48" s="1" t="s">
        <v>2</v>
      </c>
      <c r="B48" s="41" t="s">
        <v>78</v>
      </c>
      <c r="C48" s="42">
        <v>13047</v>
      </c>
      <c r="D48" s="43">
        <v>0</v>
      </c>
      <c r="E48" s="43">
        <v>5402</v>
      </c>
      <c r="F48" s="43">
        <v>3132</v>
      </c>
      <c r="G48" s="43">
        <v>15004</v>
      </c>
      <c r="H48" s="43">
        <v>2401</v>
      </c>
      <c r="I48" s="43">
        <v>2505</v>
      </c>
      <c r="J48" s="43">
        <v>1253</v>
      </c>
      <c r="K48" s="43">
        <v>3132</v>
      </c>
      <c r="L48" s="43">
        <v>4801</v>
      </c>
      <c r="M48" s="43">
        <v>6524</v>
      </c>
      <c r="N48" s="43">
        <v>4201</v>
      </c>
      <c r="O48" s="43">
        <v>7515</v>
      </c>
      <c r="P48" s="43">
        <v>3758</v>
      </c>
      <c r="Q48" s="43">
        <v>6263</v>
      </c>
      <c r="R48" s="43">
        <v>8872</v>
      </c>
      <c r="S48" s="43">
        <v>4384</v>
      </c>
      <c r="T48" s="43">
        <v>3445</v>
      </c>
      <c r="U48" s="76">
        <v>5428</v>
      </c>
      <c r="V48" s="54">
        <f t="shared" si="1"/>
        <v>101067</v>
      </c>
      <c r="X48" s="91"/>
    </row>
    <row r="49" spans="1:24" ht="19.5" thickBot="1">
      <c r="A49" s="1" t="s">
        <v>2</v>
      </c>
      <c r="B49" s="41" t="s">
        <v>79</v>
      </c>
      <c r="C49" s="42">
        <v>351951</v>
      </c>
      <c r="D49" s="43">
        <v>24000</v>
      </c>
      <c r="E49" s="43">
        <v>378883</v>
      </c>
      <c r="F49" s="43">
        <v>374872</v>
      </c>
      <c r="G49" s="43">
        <v>361688</v>
      </c>
      <c r="H49" s="43">
        <v>371897</v>
      </c>
      <c r="I49" s="43">
        <v>347862</v>
      </c>
      <c r="J49" s="43">
        <v>328312</v>
      </c>
      <c r="K49" s="43">
        <v>334619</v>
      </c>
      <c r="L49" s="43">
        <v>371333</v>
      </c>
      <c r="M49" s="43">
        <v>312460</v>
      </c>
      <c r="N49" s="43">
        <v>338549</v>
      </c>
      <c r="O49" s="43">
        <v>276295</v>
      </c>
      <c r="P49" s="43">
        <v>356330</v>
      </c>
      <c r="Q49" s="43">
        <v>355394</v>
      </c>
      <c r="R49" s="43">
        <v>307471</v>
      </c>
      <c r="S49" s="43">
        <v>251452</v>
      </c>
      <c r="T49" s="43">
        <v>138567</v>
      </c>
      <c r="U49" s="76">
        <v>154587</v>
      </c>
      <c r="V49" s="54">
        <f t="shared" si="1"/>
        <v>5736522</v>
      </c>
      <c r="X49" s="91"/>
    </row>
    <row r="50" spans="1:24">
      <c r="A50" s="1" t="s">
        <v>2</v>
      </c>
      <c r="B50" s="23" t="s">
        <v>80</v>
      </c>
      <c r="C50" s="31">
        <v>16320</v>
      </c>
      <c r="D50" s="32">
        <v>19380</v>
      </c>
      <c r="E50" s="32">
        <v>19380</v>
      </c>
      <c r="F50" s="32">
        <v>20910</v>
      </c>
      <c r="G50" s="32">
        <v>19380</v>
      </c>
      <c r="H50" s="32">
        <v>20910</v>
      </c>
      <c r="I50" s="32">
        <v>16320</v>
      </c>
      <c r="J50" s="32">
        <v>15300</v>
      </c>
      <c r="K50" s="32">
        <v>16320</v>
      </c>
      <c r="L50" s="32">
        <v>17340</v>
      </c>
      <c r="M50" s="32">
        <v>16320</v>
      </c>
      <c r="N50" s="32">
        <v>17340</v>
      </c>
      <c r="O50" s="32">
        <v>15300</v>
      </c>
      <c r="P50" s="32">
        <v>19380</v>
      </c>
      <c r="Q50" s="32">
        <v>17340</v>
      </c>
      <c r="R50" s="32">
        <v>15300</v>
      </c>
      <c r="S50" s="32">
        <v>13260</v>
      </c>
      <c r="T50" s="32">
        <v>0</v>
      </c>
      <c r="U50" s="73">
        <v>0</v>
      </c>
      <c r="V50" s="51">
        <f t="shared" si="1"/>
        <v>295800</v>
      </c>
      <c r="X50" s="91"/>
    </row>
    <row r="51" spans="1:24">
      <c r="A51" s="1" t="s">
        <v>2</v>
      </c>
      <c r="B51" s="5" t="s">
        <v>81</v>
      </c>
      <c r="C51" s="17">
        <v>2880</v>
      </c>
      <c r="D51" s="18">
        <v>3420</v>
      </c>
      <c r="E51" s="18">
        <v>3420</v>
      </c>
      <c r="F51" s="18">
        <v>3690</v>
      </c>
      <c r="G51" s="18">
        <v>3420</v>
      </c>
      <c r="H51" s="18">
        <v>3690</v>
      </c>
      <c r="I51" s="18">
        <v>2880</v>
      </c>
      <c r="J51" s="18">
        <v>2700</v>
      </c>
      <c r="K51" s="18">
        <v>2880</v>
      </c>
      <c r="L51" s="18">
        <v>3060</v>
      </c>
      <c r="M51" s="18">
        <v>2880</v>
      </c>
      <c r="N51" s="18">
        <v>0</v>
      </c>
      <c r="O51" s="18">
        <v>2700</v>
      </c>
      <c r="P51" s="18">
        <v>3420</v>
      </c>
      <c r="Q51" s="18">
        <v>3060</v>
      </c>
      <c r="R51" s="18">
        <v>2700</v>
      </c>
      <c r="S51" s="18">
        <v>0</v>
      </c>
      <c r="T51" s="18">
        <v>0</v>
      </c>
      <c r="U51" s="74">
        <v>0</v>
      </c>
      <c r="V51" s="52">
        <f t="shared" si="1"/>
        <v>46800</v>
      </c>
      <c r="X51" s="91"/>
    </row>
    <row r="52" spans="1:24">
      <c r="A52" s="1" t="s">
        <v>2</v>
      </c>
      <c r="B52" s="5" t="s">
        <v>82</v>
      </c>
      <c r="C52" s="17">
        <v>29280</v>
      </c>
      <c r="D52" s="18">
        <v>34770</v>
      </c>
      <c r="E52" s="18">
        <v>34770</v>
      </c>
      <c r="F52" s="18">
        <v>37515</v>
      </c>
      <c r="G52" s="18">
        <v>34770</v>
      </c>
      <c r="H52" s="18">
        <v>37515</v>
      </c>
      <c r="I52" s="18">
        <v>29280</v>
      </c>
      <c r="J52" s="18">
        <v>27450</v>
      </c>
      <c r="K52" s="18">
        <v>29280</v>
      </c>
      <c r="L52" s="18">
        <v>31110</v>
      </c>
      <c r="M52" s="18">
        <v>29280</v>
      </c>
      <c r="N52" s="18">
        <v>31110</v>
      </c>
      <c r="O52" s="18">
        <v>27450</v>
      </c>
      <c r="P52" s="18">
        <v>34770</v>
      </c>
      <c r="Q52" s="18">
        <v>31110</v>
      </c>
      <c r="R52" s="18">
        <v>27450</v>
      </c>
      <c r="S52" s="18">
        <v>23790</v>
      </c>
      <c r="T52" s="18">
        <v>0</v>
      </c>
      <c r="U52" s="74">
        <v>0</v>
      </c>
      <c r="V52" s="52">
        <f t="shared" si="1"/>
        <v>530700</v>
      </c>
      <c r="X52" s="91"/>
    </row>
    <row r="53" spans="1:24" ht="19.5" thickBot="1">
      <c r="A53" s="1" t="s">
        <v>2</v>
      </c>
      <c r="B53" s="5" t="s">
        <v>83</v>
      </c>
      <c r="C53" s="17">
        <v>1056</v>
      </c>
      <c r="D53" s="18">
        <v>72</v>
      </c>
      <c r="E53" s="18">
        <v>1137</v>
      </c>
      <c r="F53" s="18">
        <v>1125</v>
      </c>
      <c r="G53" s="18">
        <v>1085</v>
      </c>
      <c r="H53" s="18">
        <v>1116</v>
      </c>
      <c r="I53" s="18">
        <v>1044</v>
      </c>
      <c r="J53" s="18">
        <v>985</v>
      </c>
      <c r="K53" s="18">
        <v>1004</v>
      </c>
      <c r="L53" s="18">
        <v>1114</v>
      </c>
      <c r="M53" s="18">
        <v>937</v>
      </c>
      <c r="N53" s="18">
        <v>1016</v>
      </c>
      <c r="O53" s="18">
        <v>829</v>
      </c>
      <c r="P53" s="18">
        <v>1069</v>
      </c>
      <c r="Q53" s="18">
        <v>1066</v>
      </c>
      <c r="R53" s="18">
        <v>922</v>
      </c>
      <c r="S53" s="18">
        <v>754</v>
      </c>
      <c r="T53" s="18">
        <v>416</v>
      </c>
      <c r="U53" s="74">
        <v>464</v>
      </c>
      <c r="V53" s="52">
        <f t="shared" si="1"/>
        <v>17211</v>
      </c>
      <c r="X53" s="91"/>
    </row>
    <row r="54" spans="1:24" ht="19.5" thickBot="1">
      <c r="A54" s="1" t="s">
        <v>2</v>
      </c>
      <c r="B54" s="41" t="s">
        <v>84</v>
      </c>
      <c r="C54" s="42">
        <v>49536</v>
      </c>
      <c r="D54" s="43">
        <v>57642</v>
      </c>
      <c r="E54" s="43">
        <v>58707</v>
      </c>
      <c r="F54" s="43">
        <v>63240</v>
      </c>
      <c r="G54" s="43">
        <v>58655</v>
      </c>
      <c r="H54" s="43">
        <v>63231</v>
      </c>
      <c r="I54" s="43">
        <v>49524</v>
      </c>
      <c r="J54" s="43">
        <v>46435</v>
      </c>
      <c r="K54" s="43">
        <v>49484</v>
      </c>
      <c r="L54" s="43">
        <v>52624</v>
      </c>
      <c r="M54" s="43">
        <v>49417</v>
      </c>
      <c r="N54" s="43">
        <v>49466</v>
      </c>
      <c r="O54" s="43">
        <v>46279</v>
      </c>
      <c r="P54" s="43">
        <v>58639</v>
      </c>
      <c r="Q54" s="43">
        <v>52576</v>
      </c>
      <c r="R54" s="43">
        <v>46372</v>
      </c>
      <c r="S54" s="43">
        <v>37804</v>
      </c>
      <c r="T54" s="43">
        <v>416</v>
      </c>
      <c r="U54" s="76">
        <v>464</v>
      </c>
      <c r="V54" s="54">
        <f t="shared" si="1"/>
        <v>890511</v>
      </c>
      <c r="X54" s="91"/>
    </row>
    <row r="55" spans="1:24">
      <c r="A55" s="1" t="s">
        <v>2</v>
      </c>
      <c r="B55" s="23" t="s">
        <v>85</v>
      </c>
      <c r="C55" s="31">
        <v>6340</v>
      </c>
      <c r="D55" s="32">
        <v>0</v>
      </c>
      <c r="E55" s="32">
        <v>7320</v>
      </c>
      <c r="F55" s="32">
        <v>9070</v>
      </c>
      <c r="G55" s="32">
        <v>6290</v>
      </c>
      <c r="H55" s="32">
        <v>8890</v>
      </c>
      <c r="I55" s="32">
        <v>8190</v>
      </c>
      <c r="J55" s="32">
        <v>6030</v>
      </c>
      <c r="K55" s="32">
        <v>7700</v>
      </c>
      <c r="L55" s="32">
        <v>9520</v>
      </c>
      <c r="M55" s="32">
        <v>6780</v>
      </c>
      <c r="N55" s="32">
        <v>7800</v>
      </c>
      <c r="O55" s="32">
        <v>5570</v>
      </c>
      <c r="P55" s="32">
        <v>8120</v>
      </c>
      <c r="Q55" s="32">
        <v>3370</v>
      </c>
      <c r="R55" s="32">
        <v>6630</v>
      </c>
      <c r="S55" s="32">
        <v>5100</v>
      </c>
      <c r="T55" s="32">
        <v>0</v>
      </c>
      <c r="U55" s="73">
        <v>2940</v>
      </c>
      <c r="V55" s="51">
        <f t="shared" si="1"/>
        <v>115660</v>
      </c>
      <c r="X55" s="91"/>
    </row>
    <row r="56" spans="1:24">
      <c r="A56" s="1" t="s">
        <v>2</v>
      </c>
      <c r="B56" s="5" t="s">
        <v>86</v>
      </c>
      <c r="C56" s="17">
        <v>1300</v>
      </c>
      <c r="D56" s="18">
        <v>1300</v>
      </c>
      <c r="E56" s="18">
        <v>1300</v>
      </c>
      <c r="F56" s="18">
        <v>0</v>
      </c>
      <c r="G56" s="18">
        <v>1300</v>
      </c>
      <c r="H56" s="18">
        <v>1300</v>
      </c>
      <c r="I56" s="18">
        <v>1300</v>
      </c>
      <c r="J56" s="18">
        <v>1300</v>
      </c>
      <c r="K56" s="18">
        <v>1300</v>
      </c>
      <c r="L56" s="18">
        <v>1300</v>
      </c>
      <c r="M56" s="18">
        <v>0</v>
      </c>
      <c r="N56" s="18">
        <v>0</v>
      </c>
      <c r="O56" s="18">
        <v>1300</v>
      </c>
      <c r="P56" s="18">
        <v>1300</v>
      </c>
      <c r="Q56" s="18">
        <v>1300</v>
      </c>
      <c r="R56" s="18">
        <v>0</v>
      </c>
      <c r="S56" s="18">
        <v>1300</v>
      </c>
      <c r="T56" s="18">
        <v>0</v>
      </c>
      <c r="U56" s="74">
        <v>0</v>
      </c>
      <c r="V56" s="52">
        <f t="shared" si="1"/>
        <v>16900</v>
      </c>
      <c r="X56" s="91"/>
    </row>
    <row r="57" spans="1:24">
      <c r="A57" s="1" t="s">
        <v>2</v>
      </c>
      <c r="B57" s="5" t="s">
        <v>87</v>
      </c>
      <c r="C57" s="17">
        <v>8600</v>
      </c>
      <c r="D57" s="18">
        <v>14600</v>
      </c>
      <c r="E57" s="18">
        <v>13800</v>
      </c>
      <c r="F57" s="18">
        <v>16700</v>
      </c>
      <c r="G57" s="18">
        <v>15200</v>
      </c>
      <c r="H57" s="18">
        <v>17700</v>
      </c>
      <c r="I57" s="18">
        <v>13500</v>
      </c>
      <c r="J57" s="18">
        <v>9200</v>
      </c>
      <c r="K57" s="18">
        <v>13000</v>
      </c>
      <c r="L57" s="18">
        <v>13800</v>
      </c>
      <c r="M57" s="18">
        <v>10500</v>
      </c>
      <c r="N57" s="18">
        <v>13500</v>
      </c>
      <c r="O57" s="18">
        <v>12100</v>
      </c>
      <c r="P57" s="18">
        <v>14200</v>
      </c>
      <c r="Q57" s="18">
        <v>5600</v>
      </c>
      <c r="R57" s="18">
        <v>0</v>
      </c>
      <c r="S57" s="18">
        <v>0</v>
      </c>
      <c r="T57" s="18">
        <v>0</v>
      </c>
      <c r="U57" s="74">
        <v>0</v>
      </c>
      <c r="V57" s="52">
        <f t="shared" si="1"/>
        <v>192000</v>
      </c>
      <c r="X57" s="91"/>
    </row>
    <row r="58" spans="1:24" ht="19.5" thickBot="1">
      <c r="A58" s="1" t="s">
        <v>2</v>
      </c>
      <c r="B58" s="5" t="s">
        <v>88</v>
      </c>
      <c r="C58" s="17">
        <v>27000</v>
      </c>
      <c r="D58" s="100">
        <v>-49542</v>
      </c>
      <c r="E58" s="18">
        <v>29800</v>
      </c>
      <c r="F58" s="18">
        <v>29600</v>
      </c>
      <c r="G58" s="18">
        <v>14700</v>
      </c>
      <c r="H58" s="18">
        <v>28400</v>
      </c>
      <c r="I58" s="18">
        <v>14100</v>
      </c>
      <c r="J58" s="18">
        <v>28200</v>
      </c>
      <c r="K58" s="18">
        <v>14100</v>
      </c>
      <c r="L58" s="18">
        <v>28800</v>
      </c>
      <c r="M58" s="18">
        <v>0</v>
      </c>
      <c r="N58" s="18">
        <v>28400</v>
      </c>
      <c r="O58" s="18">
        <v>0</v>
      </c>
      <c r="P58" s="18">
        <v>28800</v>
      </c>
      <c r="Q58" s="18">
        <v>29000</v>
      </c>
      <c r="R58" s="18">
        <v>27800</v>
      </c>
      <c r="S58" s="18">
        <v>0</v>
      </c>
      <c r="T58" s="18">
        <v>0</v>
      </c>
      <c r="U58" s="74">
        <v>0</v>
      </c>
      <c r="V58" s="52">
        <f t="shared" si="1"/>
        <v>279158</v>
      </c>
      <c r="X58" s="91"/>
    </row>
    <row r="59" spans="1:24" ht="19.5" thickBot="1">
      <c r="A59" s="1" t="s">
        <v>2</v>
      </c>
      <c r="B59" s="41" t="s">
        <v>89</v>
      </c>
      <c r="C59" s="42">
        <v>92776</v>
      </c>
      <c r="D59" s="43">
        <v>24000</v>
      </c>
      <c r="E59" s="43">
        <v>110927</v>
      </c>
      <c r="F59" s="43">
        <v>118610</v>
      </c>
      <c r="G59" s="43">
        <v>96145</v>
      </c>
      <c r="H59" s="43">
        <v>119521</v>
      </c>
      <c r="I59" s="43">
        <v>86614</v>
      </c>
      <c r="J59" s="43">
        <v>91165</v>
      </c>
      <c r="K59" s="43">
        <v>85584</v>
      </c>
      <c r="L59" s="43">
        <v>106044</v>
      </c>
      <c r="M59" s="43">
        <v>66697</v>
      </c>
      <c r="N59" s="43">
        <v>99166</v>
      </c>
      <c r="O59" s="43">
        <v>65249</v>
      </c>
      <c r="P59" s="43">
        <v>111059</v>
      </c>
      <c r="Q59" s="43">
        <v>91846</v>
      </c>
      <c r="R59" s="43">
        <v>80802</v>
      </c>
      <c r="S59" s="43">
        <v>44204</v>
      </c>
      <c r="T59" s="43">
        <v>416</v>
      </c>
      <c r="U59" s="76">
        <v>3404</v>
      </c>
      <c r="V59" s="54">
        <f t="shared" si="1"/>
        <v>1494229</v>
      </c>
      <c r="X59" s="91"/>
    </row>
    <row r="60" spans="1:24" ht="19.5" thickBot="1">
      <c r="A60" s="1" t="s">
        <v>2</v>
      </c>
      <c r="B60" s="41" t="s">
        <v>90</v>
      </c>
      <c r="C60" s="42">
        <v>289368</v>
      </c>
      <c r="D60" s="101">
        <v>-33642</v>
      </c>
      <c r="E60" s="43">
        <v>314774</v>
      </c>
      <c r="F60" s="43">
        <v>308500</v>
      </c>
      <c r="G60" s="43">
        <v>288029</v>
      </c>
      <c r="H60" s="43">
        <v>306265</v>
      </c>
      <c r="I60" s="43">
        <v>295833</v>
      </c>
      <c r="J60" s="43">
        <v>280624</v>
      </c>
      <c r="K60" s="43">
        <v>282003</v>
      </c>
      <c r="L60" s="43">
        <v>313908</v>
      </c>
      <c r="M60" s="43">
        <v>256519</v>
      </c>
      <c r="N60" s="43">
        <v>284882</v>
      </c>
      <c r="O60" s="43">
        <v>222501</v>
      </c>
      <c r="P60" s="43">
        <v>293933</v>
      </c>
      <c r="Q60" s="43">
        <v>296555</v>
      </c>
      <c r="R60" s="43">
        <v>252227</v>
      </c>
      <c r="S60" s="43">
        <v>209264</v>
      </c>
      <c r="T60" s="43">
        <v>134706</v>
      </c>
      <c r="U60" s="76">
        <v>148695</v>
      </c>
      <c r="V60" s="54">
        <f t="shared" si="1"/>
        <v>4744944</v>
      </c>
      <c r="X60" s="91"/>
    </row>
    <row r="61" spans="1:24" ht="19.5" thickBot="1">
      <c r="A61" s="1" t="s">
        <v>2</v>
      </c>
      <c r="B61" s="41" t="s">
        <v>91</v>
      </c>
      <c r="C61" s="42">
        <v>259175</v>
      </c>
      <c r="D61" s="43">
        <v>0</v>
      </c>
      <c r="E61" s="43">
        <v>267956</v>
      </c>
      <c r="F61" s="43">
        <v>256262</v>
      </c>
      <c r="G61" s="43">
        <v>265543</v>
      </c>
      <c r="H61" s="43">
        <v>252376</v>
      </c>
      <c r="I61" s="43">
        <v>261248</v>
      </c>
      <c r="J61" s="43">
        <v>237147</v>
      </c>
      <c r="K61" s="43">
        <v>249035</v>
      </c>
      <c r="L61" s="43">
        <v>265289</v>
      </c>
      <c r="M61" s="43">
        <v>245763</v>
      </c>
      <c r="N61" s="43">
        <v>239383</v>
      </c>
      <c r="O61" s="43">
        <v>211046</v>
      </c>
      <c r="P61" s="43">
        <v>245271</v>
      </c>
      <c r="Q61" s="43">
        <v>263548</v>
      </c>
      <c r="R61" s="43">
        <v>226669</v>
      </c>
      <c r="S61" s="43">
        <v>207248</v>
      </c>
      <c r="T61" s="43">
        <v>138151</v>
      </c>
      <c r="U61" s="76">
        <v>151183</v>
      </c>
      <c r="V61" s="54">
        <f t="shared" si="1"/>
        <v>4242293</v>
      </c>
      <c r="X61" s="91"/>
    </row>
    <row r="62" spans="1:24">
      <c r="A62" s="1" t="s">
        <v>2</v>
      </c>
      <c r="B62" s="23" t="s">
        <v>92</v>
      </c>
      <c r="C62" s="31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73">
        <v>0</v>
      </c>
      <c r="V62" s="51">
        <f t="shared" si="1"/>
        <v>0</v>
      </c>
      <c r="X62"/>
    </row>
    <row r="63" spans="1:24">
      <c r="A63" s="1" t="s">
        <v>2</v>
      </c>
      <c r="B63" s="5" t="s">
        <v>93</v>
      </c>
      <c r="C63" s="17">
        <v>259175</v>
      </c>
      <c r="D63" s="18">
        <v>0</v>
      </c>
      <c r="E63" s="18">
        <v>267956</v>
      </c>
      <c r="F63" s="18">
        <v>256262</v>
      </c>
      <c r="G63" s="18">
        <v>265543</v>
      </c>
      <c r="H63" s="18">
        <v>252376</v>
      </c>
      <c r="I63" s="18">
        <v>261248</v>
      </c>
      <c r="J63" s="18">
        <v>237147</v>
      </c>
      <c r="K63" s="18">
        <v>249035</v>
      </c>
      <c r="L63" s="18">
        <v>265289</v>
      </c>
      <c r="M63" s="18">
        <v>245763</v>
      </c>
      <c r="N63" s="18">
        <v>239383</v>
      </c>
      <c r="O63" s="18">
        <v>211046</v>
      </c>
      <c r="P63" s="18">
        <v>245271</v>
      </c>
      <c r="Q63" s="18">
        <v>263548</v>
      </c>
      <c r="R63" s="18">
        <v>226669</v>
      </c>
      <c r="S63" s="18">
        <v>207248</v>
      </c>
      <c r="T63" s="18">
        <v>138151</v>
      </c>
      <c r="U63" s="74">
        <v>151183</v>
      </c>
      <c r="V63" s="52">
        <f t="shared" si="1"/>
        <v>4242293</v>
      </c>
      <c r="X63"/>
    </row>
    <row r="64" spans="1:24">
      <c r="A64" s="1" t="s">
        <v>2</v>
      </c>
      <c r="B64" s="5" t="s">
        <v>94</v>
      </c>
      <c r="C64" s="17">
        <v>1</v>
      </c>
      <c r="D64" s="18">
        <v>0</v>
      </c>
      <c r="E64" s="18">
        <v>1</v>
      </c>
      <c r="F64" s="18">
        <v>0</v>
      </c>
      <c r="G64" s="18">
        <v>1</v>
      </c>
      <c r="H64" s="18">
        <v>0</v>
      </c>
      <c r="I64" s="18">
        <v>0</v>
      </c>
      <c r="J64" s="18">
        <v>1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3</v>
      </c>
      <c r="R64" s="18">
        <v>0</v>
      </c>
      <c r="S64" s="18">
        <v>0</v>
      </c>
      <c r="T64" s="18">
        <v>2</v>
      </c>
      <c r="U64" s="74">
        <v>0</v>
      </c>
      <c r="V64" s="52"/>
    </row>
    <row r="65" spans="1:22" ht="19.5" thickBot="1">
      <c r="A65" s="1" t="s">
        <v>2</v>
      </c>
      <c r="B65" s="6" t="s">
        <v>95</v>
      </c>
      <c r="C65" s="20" t="s">
        <v>96</v>
      </c>
      <c r="D65" s="21" t="s">
        <v>96</v>
      </c>
      <c r="E65" s="21" t="s">
        <v>96</v>
      </c>
      <c r="F65" s="21" t="s">
        <v>96</v>
      </c>
      <c r="G65" s="21" t="s">
        <v>96</v>
      </c>
      <c r="H65" s="21" t="s">
        <v>96</v>
      </c>
      <c r="I65" s="21" t="s">
        <v>96</v>
      </c>
      <c r="J65" s="21" t="s">
        <v>96</v>
      </c>
      <c r="K65" s="21" t="s">
        <v>96</v>
      </c>
      <c r="L65" s="21" t="s">
        <v>96</v>
      </c>
      <c r="M65" s="21" t="s">
        <v>96</v>
      </c>
      <c r="N65" s="21" t="s">
        <v>96</v>
      </c>
      <c r="O65" s="21" t="s">
        <v>96</v>
      </c>
      <c r="P65" s="21" t="s">
        <v>96</v>
      </c>
      <c r="Q65" s="21" t="s">
        <v>96</v>
      </c>
      <c r="R65" s="21" t="s">
        <v>96</v>
      </c>
      <c r="S65" s="21" t="s">
        <v>96</v>
      </c>
      <c r="T65" s="21" t="s">
        <v>96</v>
      </c>
      <c r="U65" s="77" t="s">
        <v>96</v>
      </c>
      <c r="V65" s="55"/>
    </row>
  </sheetData>
  <phoneticPr fontId="3"/>
  <pageMargins left="0.31496062992125984" right="0.31496062992125984" top="0.15748031496062992" bottom="0.15748031496062992" header="0.19685039370078741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2022年 4月度給与 (3)</vt:lpstr>
      <vt:lpstr>2022年 4月度給与 (4)</vt:lpstr>
      <vt:lpstr>'2022年 4月度給与 (3)'!Print_Area</vt:lpstr>
      <vt:lpstr>'2022年 4月度給与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2022-05-12T06:16:17Z</cp:lastPrinted>
  <dcterms:created xsi:type="dcterms:W3CDTF">2022-05-10T06:34:35Z</dcterms:created>
  <dcterms:modified xsi:type="dcterms:W3CDTF">2022-05-23T01:13:51Z</dcterms:modified>
</cp:coreProperties>
</file>