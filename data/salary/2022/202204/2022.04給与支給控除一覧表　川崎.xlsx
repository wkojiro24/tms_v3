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若林運送 Dropbox\深沢道夫\総務・経理\給与集計内訳\2022\202204\"/>
    </mc:Choice>
  </mc:AlternateContent>
  <xr:revisionPtr revIDLastSave="0" documentId="13_ncr:1_{569A488B-0A0B-432B-B097-66D6E7E15654}" xr6:coauthVersionLast="47" xr6:coauthVersionMax="47" xr10:uidLastSave="{00000000-0000-0000-0000-000000000000}"/>
  <bookViews>
    <workbookView xWindow="-120" yWindow="-120" windowWidth="20730" windowHeight="11160" xr2:uid="{F04B20BD-EC6D-4D3A-853F-C4A867098108}"/>
  </bookViews>
  <sheets>
    <sheet name="2022年 4月度給与 (2)" sheetId="3" r:id="rId1"/>
  </sheets>
  <definedNames>
    <definedName name="_xlnm.Print_Area" localSheetId="0">'2022年 4月度給与 (2)'!$A$1:$J$66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8" i="3" l="1"/>
  <c r="J9" i="3"/>
  <c r="J10" i="3"/>
  <c r="J11" i="3"/>
  <c r="J12" i="3"/>
  <c r="J13" i="3"/>
  <c r="J15" i="3"/>
  <c r="J18" i="3"/>
  <c r="J19" i="3"/>
  <c r="J20" i="3"/>
  <c r="J21" i="3"/>
  <c r="J22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25" i="3"/>
  <c r="I24" i="3"/>
  <c r="I23" i="3"/>
  <c r="J23" i="3" s="1"/>
  <c r="I17" i="3"/>
  <c r="J17" i="3" s="1"/>
  <c r="I16" i="3"/>
  <c r="J16" i="3" s="1"/>
  <c r="I7" i="3"/>
  <c r="J7" i="3" s="1"/>
  <c r="I6" i="3"/>
  <c r="E26" i="3"/>
  <c r="J26" i="3" s="1"/>
  <c r="E27" i="3"/>
  <c r="J27" i="3" s="1"/>
  <c r="E28" i="3"/>
  <c r="E29" i="3"/>
  <c r="E30" i="3"/>
  <c r="J30" i="3" s="1"/>
  <c r="E31" i="3"/>
  <c r="J31" i="3" s="1"/>
  <c r="E32" i="3"/>
  <c r="E33" i="3"/>
  <c r="E34" i="3"/>
  <c r="J34" i="3" s="1"/>
  <c r="E35" i="3"/>
  <c r="J35" i="3" s="1"/>
  <c r="E36" i="3"/>
  <c r="E37" i="3"/>
  <c r="E38" i="3"/>
  <c r="J38" i="3" s="1"/>
  <c r="E39" i="3"/>
  <c r="E40" i="3"/>
  <c r="E41" i="3"/>
  <c r="E42" i="3"/>
  <c r="E43" i="3"/>
  <c r="J43" i="3" s="1"/>
  <c r="E44" i="3"/>
  <c r="E45" i="3"/>
  <c r="E46" i="3"/>
  <c r="E47" i="3"/>
  <c r="J47" i="3" s="1"/>
  <c r="E48" i="3"/>
  <c r="E49" i="3"/>
  <c r="E50" i="3"/>
  <c r="J50" i="3" s="1"/>
  <c r="E51" i="3"/>
  <c r="E52" i="3"/>
  <c r="E53" i="3"/>
  <c r="E54" i="3"/>
  <c r="J54" i="3" s="1"/>
  <c r="E55" i="3"/>
  <c r="E56" i="3"/>
  <c r="E57" i="3"/>
  <c r="E58" i="3"/>
  <c r="J58" i="3" s="1"/>
  <c r="E59" i="3"/>
  <c r="E60" i="3"/>
  <c r="E61" i="3"/>
  <c r="E62" i="3"/>
  <c r="E63" i="3"/>
  <c r="J63" i="3" s="1"/>
  <c r="E64" i="3"/>
  <c r="E25" i="3"/>
  <c r="E24" i="3"/>
  <c r="E14" i="3"/>
  <c r="J14" i="3" s="1"/>
  <c r="E6" i="3"/>
  <c r="J25" i="3" l="1"/>
  <c r="J61" i="3"/>
  <c r="J57" i="3"/>
  <c r="J52" i="3"/>
  <c r="J36" i="3"/>
  <c r="J32" i="3"/>
  <c r="J28" i="3"/>
  <c r="J49" i="3"/>
  <c r="J45" i="3"/>
  <c r="J41" i="3"/>
  <c r="J24" i="3"/>
  <c r="J62" i="3"/>
  <c r="J55" i="3"/>
  <c r="J51" i="3"/>
  <c r="J48" i="3"/>
  <c r="J44" i="3"/>
  <c r="J40" i="3"/>
  <c r="J37" i="3"/>
  <c r="J60" i="3"/>
  <c r="J59" i="3"/>
  <c r="J56" i="3"/>
  <c r="J53" i="3"/>
  <c r="J46" i="3"/>
  <c r="J42" i="3"/>
  <c r="J39" i="3"/>
  <c r="J33" i="3"/>
  <c r="J29" i="3"/>
  <c r="J64" i="3"/>
  <c r="J6" i="3"/>
</calcChain>
</file>

<file path=xl/sharedStrings.xml><?xml version="1.0" encoding="utf-8"?>
<sst xmlns="http://schemas.openxmlformats.org/spreadsheetml/2006/main" count="147" uniqueCount="78">
  <si>
    <t>支給控除一覧表</t>
    <phoneticPr fontId="4"/>
  </si>
  <si>
    <t>若林運送株式会社</t>
    <phoneticPr fontId="4"/>
  </si>
  <si>
    <t/>
  </si>
  <si>
    <t>1049</t>
    <phoneticPr fontId="4"/>
  </si>
  <si>
    <t>1050</t>
    <phoneticPr fontId="4"/>
  </si>
  <si>
    <t>1078</t>
    <phoneticPr fontId="4"/>
  </si>
  <si>
    <t>1090</t>
    <phoneticPr fontId="4"/>
  </si>
  <si>
    <t>1101</t>
    <phoneticPr fontId="4"/>
  </si>
  <si>
    <t>項目名</t>
    <phoneticPr fontId="4"/>
  </si>
  <si>
    <t>伊藤　尚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</si>
  <si>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</si>
  <si>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</si>
  <si>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</si>
  <si>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</si>
  <si>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</si>
  <si>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</si>
  <si>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</si>
  <si>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</si>
  <si>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</si>
  <si>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</si>
  <si>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就労時間2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</si>
  <si>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</si>
  <si>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</si>
  <si>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</si>
  <si>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</si>
  <si>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</si>
  <si>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</si>
  <si>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</si>
  <si>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</si>
  <si>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</si>
  <si>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</si>
  <si>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</si>
  <si>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</si>
  <si>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</si>
  <si>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</si>
  <si>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</si>
  <si>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</si>
  <si>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</si>
  <si>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</si>
  <si>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</si>
  <si>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</si>
  <si>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調整加算</t>
    <phoneticPr fontId="4"/>
  </si>
  <si>
    <t>正月出勤手当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</si>
  <si>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</si>
  <si>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</si>
  <si>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</si>
  <si>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</si>
  <si>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</si>
  <si>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</si>
  <si>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</si>
  <si>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</si>
  <si>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</si>
  <si>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</si>
  <si>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</si>
  <si>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</si>
  <si>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</si>
  <si>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</si>
  <si>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</si>
  <si>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</si>
  <si>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</si>
  <si>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</si>
  <si>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</si>
  <si>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</si>
  <si>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</si>
  <si>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</si>
  <si>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</si>
  <si>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</si>
  <si>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</si>
  <si>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</si>
  <si>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</si>
  <si>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 4月度給与</t>
    <phoneticPr fontId="4"/>
  </si>
  <si>
    <t>小計</t>
    <rPh sb="0" eb="2">
      <t>ショウケイ</t>
    </rPh>
    <phoneticPr fontId="3"/>
  </si>
  <si>
    <t>2名</t>
    <rPh sb="1" eb="2">
      <t>メイ</t>
    </rPh>
    <phoneticPr fontId="3"/>
  </si>
  <si>
    <t>阿部優子</t>
    <phoneticPr fontId="4"/>
  </si>
  <si>
    <t>菅原幸志</t>
    <phoneticPr fontId="4"/>
  </si>
  <si>
    <t>伊藤正典</t>
    <phoneticPr fontId="4"/>
  </si>
  <si>
    <t>橋本淳志</t>
    <phoneticPr fontId="4"/>
  </si>
  <si>
    <t>3名</t>
    <rPh sb="1" eb="2">
      <t>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</si>
</sst>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2" fontId="2" fillId="0" borderId="27" xfId="1" applyNumberFormat="1" applyFont="1" applyBorder="1"/>
    <xf numFmtId="2" fontId="2" fillId="0" borderId="28" xfId="1" applyNumberFormat="1" applyFont="1" applyBorder="1"/>
    <xf numFmtId="176" fontId="2" fillId="0" borderId="28" xfId="1" applyNumberFormat="1" applyFont="1" applyBorder="1"/>
    <xf numFmtId="2" fontId="2" fillId="0" borderId="26" xfId="1" applyNumberFormat="1" applyFont="1" applyBorder="1"/>
    <xf numFmtId="49" fontId="2" fillId="0" borderId="25" xfId="1" applyNumberFormat="1" applyFont="1" applyBorder="1" applyAlignment="1">
      <alignment horizontal="left"/>
    </xf>
    <xf numFmtId="49" fontId="2" fillId="0" borderId="26" xfId="1" applyNumberFormat="1" applyFont="1" applyBorder="1" applyAlignment="1">
      <alignment horizontal="right"/>
    </xf>
    <xf numFmtId="49" fontId="2" fillId="0" borderId="30" xfId="1" applyNumberFormat="1" applyFont="1" applyBorder="1" applyAlignment="1">
      <alignment horizontal="center"/>
    </xf>
    <xf numFmtId="49" fontId="2" fillId="0" borderId="31" xfId="1" applyNumberFormat="1" applyFont="1" applyBorder="1" applyAlignment="1">
      <alignment horizontal="center"/>
    </xf>
    <xf numFmtId="2" fontId="2" fillId="0" borderId="32" xfId="1" applyNumberFormat="1" applyFont="1" applyBorder="1"/>
    <xf numFmtId="2" fontId="2" fillId="0" borderId="33" xfId="1" applyNumberFormat="1" applyFont="1" applyBorder="1"/>
    <xf numFmtId="176" fontId="2" fillId="0" borderId="33" xfId="1" applyNumberFormat="1" applyFont="1" applyBorder="1"/>
    <xf numFmtId="2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49" fontId="2" fillId="0" borderId="31" xfId="1" applyNumberFormat="1" applyFont="1" applyBorder="1"/>
    <xf numFmtId="49" fontId="2" fillId="0" borderId="36" xfId="1" applyNumberFormat="1" applyFont="1" applyBorder="1" applyAlignment="1">
      <alignment horizontal="left"/>
    </xf>
    <xf numFmtId="0" fontId="2" fillId="0" borderId="36" xfId="1" applyFont="1" applyBorder="1"/>
    <xf numFmtId="49" fontId="2" fillId="0" borderId="37" xfId="1" applyNumberFormat="1" applyFont="1" applyBorder="1" applyAlignment="1">
      <alignment horizontal="right"/>
    </xf>
    <xf numFmtId="0" fontId="2" fillId="0" borderId="37" xfId="1" applyFont="1" applyBorder="1" applyAlignment="1">
      <alignment horizontal="center"/>
    </xf>
    <xf numFmtId="2" fontId="2" fillId="0" borderId="38" xfId="1" applyNumberFormat="1" applyFont="1" applyBorder="1"/>
    <xf numFmtId="2" fontId="2" fillId="0" borderId="39" xfId="1" applyNumberFormat="1" applyFont="1" applyBorder="1"/>
    <xf numFmtId="176" fontId="2" fillId="0" borderId="39" xfId="1" applyNumberFormat="1" applyFont="1" applyBorder="1"/>
    <xf numFmtId="2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29" xfId="1" applyNumberFormat="1" applyFont="1" applyBorder="1"/>
    <xf numFmtId="49" fontId="2" fillId="0" borderId="37" xfId="1" applyNumberFormat="1" applyFont="1" applyBorder="1"/>
    <xf numFmtId="0" fontId="2" fillId="0" borderId="41" xfId="1" applyFont="1" applyBorder="1"/>
  </cellXfs>
  <cellStyles count="2">
    <cellStyle name="標準" xfId="0" builtinId="0"/>
    <cellStyle name="標準 2" xfId="1" xr:uid="{D38E9E38-D3F2-437A-A9CE-B52BBCA4C6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AC91B-083F-4335-99E4-BF817E90A28F}">
  <sheetPr>
    <pageSetUpPr fitToPage="1"/>
  </sheetPr>
  <dimension ref="A1:J66"/>
  <sheetViews>
    <sheetView showZeros="0" tabSelected="1" workbookViewId="0">
      <selection activeCell="F3" sqref="F3"/>
    </sheetView>
  </sheetViews>
  <sheetFormatPr defaultRowHeight="18.75"/>
  <cols>
    <col min="1" max="1" width="2.375" style="2" customWidth="1"/>
    <col min="2" max="2" width="13.25" style="2" bestFit="1" customWidth="1"/>
    <col min="3" max="10" width="12.125" style="2" customWidth="1"/>
    <col min="11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2" width="9" style="2"/>
    <col min="263" max="264" width="11.125" style="2" bestFit="1" customWidth="1"/>
    <col min="265" max="265" width="9.625" style="2" bestFit="1" customWidth="1"/>
    <col min="266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8" width="9" style="2"/>
    <col min="519" max="520" width="11.125" style="2" bestFit="1" customWidth="1"/>
    <col min="521" max="521" width="9.625" style="2" bestFit="1" customWidth="1"/>
    <col min="522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4" width="9" style="2"/>
    <col min="775" max="776" width="11.125" style="2" bestFit="1" customWidth="1"/>
    <col min="777" max="777" width="9.625" style="2" bestFit="1" customWidth="1"/>
    <col min="778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0" width="9" style="2"/>
    <col min="1031" max="1032" width="11.125" style="2" bestFit="1" customWidth="1"/>
    <col min="1033" max="1033" width="9.625" style="2" bestFit="1" customWidth="1"/>
    <col min="1034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6" width="9" style="2"/>
    <col min="1287" max="1288" width="11.125" style="2" bestFit="1" customWidth="1"/>
    <col min="1289" max="1289" width="9.625" style="2" bestFit="1" customWidth="1"/>
    <col min="1290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2" width="9" style="2"/>
    <col min="1543" max="1544" width="11.125" style="2" bestFit="1" customWidth="1"/>
    <col min="1545" max="1545" width="9.625" style="2" bestFit="1" customWidth="1"/>
    <col min="1546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8" width="9" style="2"/>
    <col min="1799" max="1800" width="11.125" style="2" bestFit="1" customWidth="1"/>
    <col min="1801" max="1801" width="9.625" style="2" bestFit="1" customWidth="1"/>
    <col min="1802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4" width="9" style="2"/>
    <col min="2055" max="2056" width="11.125" style="2" bestFit="1" customWidth="1"/>
    <col min="2057" max="2057" width="9.625" style="2" bestFit="1" customWidth="1"/>
    <col min="2058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0" width="9" style="2"/>
    <col min="2311" max="2312" width="11.125" style="2" bestFit="1" customWidth="1"/>
    <col min="2313" max="2313" width="9.625" style="2" bestFit="1" customWidth="1"/>
    <col min="2314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6" width="9" style="2"/>
    <col min="2567" max="2568" width="11.125" style="2" bestFit="1" customWidth="1"/>
    <col min="2569" max="2569" width="9.625" style="2" bestFit="1" customWidth="1"/>
    <col min="2570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2" width="9" style="2"/>
    <col min="2823" max="2824" width="11.125" style="2" bestFit="1" customWidth="1"/>
    <col min="2825" max="2825" width="9.625" style="2" bestFit="1" customWidth="1"/>
    <col min="2826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8" width="9" style="2"/>
    <col min="3079" max="3080" width="11.125" style="2" bestFit="1" customWidth="1"/>
    <col min="3081" max="3081" width="9.625" style="2" bestFit="1" customWidth="1"/>
    <col min="3082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4" width="9" style="2"/>
    <col min="3335" max="3336" width="11.125" style="2" bestFit="1" customWidth="1"/>
    <col min="3337" max="3337" width="9.625" style="2" bestFit="1" customWidth="1"/>
    <col min="3338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0" width="9" style="2"/>
    <col min="3591" max="3592" width="11.125" style="2" bestFit="1" customWidth="1"/>
    <col min="3593" max="3593" width="9.625" style="2" bestFit="1" customWidth="1"/>
    <col min="3594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6" width="9" style="2"/>
    <col min="3847" max="3848" width="11.125" style="2" bestFit="1" customWidth="1"/>
    <col min="3849" max="3849" width="9.625" style="2" bestFit="1" customWidth="1"/>
    <col min="3850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2" width="9" style="2"/>
    <col min="4103" max="4104" width="11.125" style="2" bestFit="1" customWidth="1"/>
    <col min="4105" max="4105" width="9.625" style="2" bestFit="1" customWidth="1"/>
    <col min="4106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8" width="9" style="2"/>
    <col min="4359" max="4360" width="11.125" style="2" bestFit="1" customWidth="1"/>
    <col min="4361" max="4361" width="9.625" style="2" bestFit="1" customWidth="1"/>
    <col min="4362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4" width="9" style="2"/>
    <col min="4615" max="4616" width="11.125" style="2" bestFit="1" customWidth="1"/>
    <col min="4617" max="4617" width="9.625" style="2" bestFit="1" customWidth="1"/>
    <col min="4618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0" width="9" style="2"/>
    <col min="4871" max="4872" width="11.125" style="2" bestFit="1" customWidth="1"/>
    <col min="4873" max="4873" width="9.625" style="2" bestFit="1" customWidth="1"/>
    <col min="4874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6" width="9" style="2"/>
    <col min="5127" max="5128" width="11.125" style="2" bestFit="1" customWidth="1"/>
    <col min="5129" max="5129" width="9.625" style="2" bestFit="1" customWidth="1"/>
    <col min="5130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2" width="9" style="2"/>
    <col min="5383" max="5384" width="11.125" style="2" bestFit="1" customWidth="1"/>
    <col min="5385" max="5385" width="9.625" style="2" bestFit="1" customWidth="1"/>
    <col min="5386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8" width="9" style="2"/>
    <col min="5639" max="5640" width="11.125" style="2" bestFit="1" customWidth="1"/>
    <col min="5641" max="5641" width="9.625" style="2" bestFit="1" customWidth="1"/>
    <col min="5642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4" width="9" style="2"/>
    <col min="5895" max="5896" width="11.125" style="2" bestFit="1" customWidth="1"/>
    <col min="5897" max="5897" width="9.625" style="2" bestFit="1" customWidth="1"/>
    <col min="5898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0" width="9" style="2"/>
    <col min="6151" max="6152" width="11.125" style="2" bestFit="1" customWidth="1"/>
    <col min="6153" max="6153" width="9.625" style="2" bestFit="1" customWidth="1"/>
    <col min="6154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6" width="9" style="2"/>
    <col min="6407" max="6408" width="11.125" style="2" bestFit="1" customWidth="1"/>
    <col min="6409" max="6409" width="9.625" style="2" bestFit="1" customWidth="1"/>
    <col min="6410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2" width="9" style="2"/>
    <col min="6663" max="6664" width="11.125" style="2" bestFit="1" customWidth="1"/>
    <col min="6665" max="6665" width="9.625" style="2" bestFit="1" customWidth="1"/>
    <col min="6666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8" width="9" style="2"/>
    <col min="6919" max="6920" width="11.125" style="2" bestFit="1" customWidth="1"/>
    <col min="6921" max="6921" width="9.625" style="2" bestFit="1" customWidth="1"/>
    <col min="6922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4" width="9" style="2"/>
    <col min="7175" max="7176" width="11.125" style="2" bestFit="1" customWidth="1"/>
    <col min="7177" max="7177" width="9.625" style="2" bestFit="1" customWidth="1"/>
    <col min="7178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0" width="9" style="2"/>
    <col min="7431" max="7432" width="11.125" style="2" bestFit="1" customWidth="1"/>
    <col min="7433" max="7433" width="9.625" style="2" bestFit="1" customWidth="1"/>
    <col min="7434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6" width="9" style="2"/>
    <col min="7687" max="7688" width="11.125" style="2" bestFit="1" customWidth="1"/>
    <col min="7689" max="7689" width="9.625" style="2" bestFit="1" customWidth="1"/>
    <col min="7690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2" width="9" style="2"/>
    <col min="7943" max="7944" width="11.125" style="2" bestFit="1" customWidth="1"/>
    <col min="7945" max="7945" width="9.625" style="2" bestFit="1" customWidth="1"/>
    <col min="7946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8" width="9" style="2"/>
    <col min="8199" max="8200" width="11.125" style="2" bestFit="1" customWidth="1"/>
    <col min="8201" max="8201" width="9.625" style="2" bestFit="1" customWidth="1"/>
    <col min="8202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4" width="9" style="2"/>
    <col min="8455" max="8456" width="11.125" style="2" bestFit="1" customWidth="1"/>
    <col min="8457" max="8457" width="9.625" style="2" bestFit="1" customWidth="1"/>
    <col min="8458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0" width="9" style="2"/>
    <col min="8711" max="8712" width="11.125" style="2" bestFit="1" customWidth="1"/>
    <col min="8713" max="8713" width="9.625" style="2" bestFit="1" customWidth="1"/>
    <col min="8714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6" width="9" style="2"/>
    <col min="8967" max="8968" width="11.125" style="2" bestFit="1" customWidth="1"/>
    <col min="8969" max="8969" width="9.625" style="2" bestFit="1" customWidth="1"/>
    <col min="8970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2" width="9" style="2"/>
    <col min="9223" max="9224" width="11.125" style="2" bestFit="1" customWidth="1"/>
    <col min="9225" max="9225" width="9.625" style="2" bestFit="1" customWidth="1"/>
    <col min="9226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8" width="9" style="2"/>
    <col min="9479" max="9480" width="11.125" style="2" bestFit="1" customWidth="1"/>
    <col min="9481" max="9481" width="9.625" style="2" bestFit="1" customWidth="1"/>
    <col min="9482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4" width="9" style="2"/>
    <col min="9735" max="9736" width="11.125" style="2" bestFit="1" customWidth="1"/>
    <col min="9737" max="9737" width="9.625" style="2" bestFit="1" customWidth="1"/>
    <col min="9738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0" width="9" style="2"/>
    <col min="9991" max="9992" width="11.125" style="2" bestFit="1" customWidth="1"/>
    <col min="9993" max="9993" width="9.625" style="2" bestFit="1" customWidth="1"/>
    <col min="9994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6" width="9" style="2"/>
    <col min="10247" max="10248" width="11.125" style="2" bestFit="1" customWidth="1"/>
    <col min="10249" max="10249" width="9.625" style="2" bestFit="1" customWidth="1"/>
    <col min="10250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2" width="9" style="2"/>
    <col min="10503" max="10504" width="11.125" style="2" bestFit="1" customWidth="1"/>
    <col min="10505" max="10505" width="9.625" style="2" bestFit="1" customWidth="1"/>
    <col min="10506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8" width="9" style="2"/>
    <col min="10759" max="10760" width="11.125" style="2" bestFit="1" customWidth="1"/>
    <col min="10761" max="10761" width="9.625" style="2" bestFit="1" customWidth="1"/>
    <col min="10762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4" width="9" style="2"/>
    <col min="11015" max="11016" width="11.125" style="2" bestFit="1" customWidth="1"/>
    <col min="11017" max="11017" width="9.625" style="2" bestFit="1" customWidth="1"/>
    <col min="11018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0" width="9" style="2"/>
    <col min="11271" max="11272" width="11.125" style="2" bestFit="1" customWidth="1"/>
    <col min="11273" max="11273" width="9.625" style="2" bestFit="1" customWidth="1"/>
    <col min="11274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6" width="9" style="2"/>
    <col min="11527" max="11528" width="11.125" style="2" bestFit="1" customWidth="1"/>
    <col min="11529" max="11529" width="9.625" style="2" bestFit="1" customWidth="1"/>
    <col min="11530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2" width="9" style="2"/>
    <col min="11783" max="11784" width="11.125" style="2" bestFit="1" customWidth="1"/>
    <col min="11785" max="11785" width="9.625" style="2" bestFit="1" customWidth="1"/>
    <col min="11786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8" width="9" style="2"/>
    <col min="12039" max="12040" width="11.125" style="2" bestFit="1" customWidth="1"/>
    <col min="12041" max="12041" width="9.625" style="2" bestFit="1" customWidth="1"/>
    <col min="12042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4" width="9" style="2"/>
    <col min="12295" max="12296" width="11.125" style="2" bestFit="1" customWidth="1"/>
    <col min="12297" max="12297" width="9.625" style="2" bestFit="1" customWidth="1"/>
    <col min="12298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0" width="9" style="2"/>
    <col min="12551" max="12552" width="11.125" style="2" bestFit="1" customWidth="1"/>
    <col min="12553" max="12553" width="9.625" style="2" bestFit="1" customWidth="1"/>
    <col min="12554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6" width="9" style="2"/>
    <col min="12807" max="12808" width="11.125" style="2" bestFit="1" customWidth="1"/>
    <col min="12809" max="12809" width="9.625" style="2" bestFit="1" customWidth="1"/>
    <col min="12810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2" width="9" style="2"/>
    <col min="13063" max="13064" width="11.125" style="2" bestFit="1" customWidth="1"/>
    <col min="13065" max="13065" width="9.625" style="2" bestFit="1" customWidth="1"/>
    <col min="13066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8" width="9" style="2"/>
    <col min="13319" max="13320" width="11.125" style="2" bestFit="1" customWidth="1"/>
    <col min="13321" max="13321" width="9.625" style="2" bestFit="1" customWidth="1"/>
    <col min="13322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4" width="9" style="2"/>
    <col min="13575" max="13576" width="11.125" style="2" bestFit="1" customWidth="1"/>
    <col min="13577" max="13577" width="9.625" style="2" bestFit="1" customWidth="1"/>
    <col min="13578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0" width="9" style="2"/>
    <col min="13831" max="13832" width="11.125" style="2" bestFit="1" customWidth="1"/>
    <col min="13833" max="13833" width="9.625" style="2" bestFit="1" customWidth="1"/>
    <col min="13834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6" width="9" style="2"/>
    <col min="14087" max="14088" width="11.125" style="2" bestFit="1" customWidth="1"/>
    <col min="14089" max="14089" width="9.625" style="2" bestFit="1" customWidth="1"/>
    <col min="14090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2" width="9" style="2"/>
    <col min="14343" max="14344" width="11.125" style="2" bestFit="1" customWidth="1"/>
    <col min="14345" max="14345" width="9.625" style="2" bestFit="1" customWidth="1"/>
    <col min="14346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8" width="9" style="2"/>
    <col min="14599" max="14600" width="11.125" style="2" bestFit="1" customWidth="1"/>
    <col min="14601" max="14601" width="9.625" style="2" bestFit="1" customWidth="1"/>
    <col min="14602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4" width="9" style="2"/>
    <col min="14855" max="14856" width="11.125" style="2" bestFit="1" customWidth="1"/>
    <col min="14857" max="14857" width="9.625" style="2" bestFit="1" customWidth="1"/>
    <col min="14858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0" width="9" style="2"/>
    <col min="15111" max="15112" width="11.125" style="2" bestFit="1" customWidth="1"/>
    <col min="15113" max="15113" width="9.625" style="2" bestFit="1" customWidth="1"/>
    <col min="15114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6" width="9" style="2"/>
    <col min="15367" max="15368" width="11.125" style="2" bestFit="1" customWidth="1"/>
    <col min="15369" max="15369" width="9.625" style="2" bestFit="1" customWidth="1"/>
    <col min="15370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2" width="9" style="2"/>
    <col min="15623" max="15624" width="11.125" style="2" bestFit="1" customWidth="1"/>
    <col min="15625" max="15625" width="9.625" style="2" bestFit="1" customWidth="1"/>
    <col min="15626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8" width="9" style="2"/>
    <col min="15879" max="15880" width="11.125" style="2" bestFit="1" customWidth="1"/>
    <col min="15881" max="15881" width="9.625" style="2" bestFit="1" customWidth="1"/>
    <col min="15882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4" width="9" style="2"/>
    <col min="16135" max="16136" width="11.125" style="2" bestFit="1" customWidth="1"/>
    <col min="16137" max="16137" width="9.625" style="2" bestFit="1" customWidth="1"/>
    <col min="16138" max="16384" width="9" style="2"/>
  </cols>
  <sheetData>
    <row r="1" spans="1:10">
      <c r="A1" s="1" t="s">
        <v>0</v>
      </c>
    </row>
    <row r="2" spans="1:10">
      <c r="A2" s="1" t="s">
        <v>1</v>
      </c>
    </row>
    <row r="3" spans="1:10" ht="19.5" thickBot="1">
      <c r="A3" s="1" t="s">
        <v>70</v>
      </c>
    </row>
    <row r="4" spans="1:10">
      <c r="B4" s="3"/>
      <c r="C4" s="7" t="s">
        <v>5</v>
      </c>
      <c r="D4" s="8" t="s">
        <v>7</v>
      </c>
      <c r="E4" s="47" t="s">
        <v>71</v>
      </c>
      <c r="F4" s="6" t="s">
        <v>3</v>
      </c>
      <c r="G4" s="7" t="s">
        <v>4</v>
      </c>
      <c r="H4" s="49" t="s">
        <v>6</v>
      </c>
      <c r="I4" s="60" t="s">
        <v>71</v>
      </c>
      <c r="J4" s="61" t="s">
        <v>10</v>
      </c>
    </row>
    <row r="5" spans="1:10" ht="19.5" thickBot="1">
      <c r="A5" s="73"/>
      <c r="B5" s="25" t="s">
        <v>8</v>
      </c>
      <c r="C5" s="27" t="s">
        <v>9</v>
      </c>
      <c r="D5" s="28" t="s">
        <v>73</v>
      </c>
      <c r="E5" s="48" t="s">
        <v>72</v>
      </c>
      <c r="F5" s="26" t="s">
        <v>74</v>
      </c>
      <c r="G5" s="27" t="s">
        <v>75</v>
      </c>
      <c r="H5" s="50" t="s">
        <v>76</v>
      </c>
      <c r="I5" s="62" t="s">
        <v>77</v>
      </c>
      <c r="J5" s="63" t="s">
        <v>10</v>
      </c>
    </row>
    <row r="6" spans="1:10">
      <c r="A6" s="1" t="s">
        <v>2</v>
      </c>
      <c r="B6" s="21" t="s">
        <v>11</v>
      </c>
      <c r="C6" s="23">
        <v>20</v>
      </c>
      <c r="D6" s="24">
        <v>18</v>
      </c>
      <c r="E6" s="43">
        <f>SUM(C6:D6)</f>
        <v>38</v>
      </c>
      <c r="F6" s="22">
        <v>20</v>
      </c>
      <c r="G6" s="23">
        <v>20</v>
      </c>
      <c r="H6" s="51">
        <v>20</v>
      </c>
      <c r="I6" s="64">
        <f>SUM(F6:H6)</f>
        <v>60</v>
      </c>
      <c r="J6" s="64">
        <f>E6+I6</f>
        <v>98</v>
      </c>
    </row>
    <row r="7" spans="1:10">
      <c r="A7" s="1" t="s">
        <v>2</v>
      </c>
      <c r="B7" s="4" t="s">
        <v>12</v>
      </c>
      <c r="C7" s="10">
        <v>0</v>
      </c>
      <c r="D7" s="11">
        <v>0</v>
      </c>
      <c r="E7" s="44"/>
      <c r="F7" s="9">
        <v>0</v>
      </c>
      <c r="G7" s="10">
        <v>1</v>
      </c>
      <c r="H7" s="52">
        <v>1</v>
      </c>
      <c r="I7" s="65">
        <f>SUM(F7:H7)</f>
        <v>2</v>
      </c>
      <c r="J7" s="65">
        <f t="shared" ref="J7:J57" si="0">E7+I7</f>
        <v>2</v>
      </c>
    </row>
    <row r="8" spans="1:10">
      <c r="A8" s="1" t="s">
        <v>2</v>
      </c>
      <c r="B8" s="4" t="s">
        <v>13</v>
      </c>
      <c r="C8" s="10">
        <v>0</v>
      </c>
      <c r="D8" s="11">
        <v>0</v>
      </c>
      <c r="E8" s="44"/>
      <c r="F8" s="9">
        <v>0</v>
      </c>
      <c r="G8" s="10">
        <v>0</v>
      </c>
      <c r="H8" s="52">
        <v>0</v>
      </c>
      <c r="I8" s="65"/>
      <c r="J8" s="65">
        <f t="shared" si="0"/>
        <v>0</v>
      </c>
    </row>
    <row r="9" spans="1:10">
      <c r="A9" s="1" t="s">
        <v>2</v>
      </c>
      <c r="B9" s="4" t="s">
        <v>14</v>
      </c>
      <c r="C9" s="10">
        <v>0</v>
      </c>
      <c r="D9" s="11">
        <v>0</v>
      </c>
      <c r="E9" s="44"/>
      <c r="F9" s="9">
        <v>0</v>
      </c>
      <c r="G9" s="10">
        <v>0</v>
      </c>
      <c r="H9" s="52">
        <v>0</v>
      </c>
      <c r="I9" s="65"/>
      <c r="J9" s="65">
        <f t="shared" si="0"/>
        <v>0</v>
      </c>
    </row>
    <row r="10" spans="1:10">
      <c r="A10" s="1" t="s">
        <v>2</v>
      </c>
      <c r="B10" s="4" t="s">
        <v>15</v>
      </c>
      <c r="C10" s="10">
        <v>0</v>
      </c>
      <c r="D10" s="11">
        <v>0</v>
      </c>
      <c r="E10" s="44"/>
      <c r="F10" s="9">
        <v>0</v>
      </c>
      <c r="G10" s="10">
        <v>0</v>
      </c>
      <c r="H10" s="52">
        <v>0</v>
      </c>
      <c r="I10" s="65"/>
      <c r="J10" s="65">
        <f t="shared" si="0"/>
        <v>0</v>
      </c>
    </row>
    <row r="11" spans="1:10">
      <c r="A11" s="1" t="s">
        <v>2</v>
      </c>
      <c r="B11" s="4" t="s">
        <v>16</v>
      </c>
      <c r="C11" s="10">
        <v>0</v>
      </c>
      <c r="D11" s="11">
        <v>0</v>
      </c>
      <c r="E11" s="44"/>
      <c r="F11" s="9">
        <v>0</v>
      </c>
      <c r="G11" s="10">
        <v>0</v>
      </c>
      <c r="H11" s="52">
        <v>0</v>
      </c>
      <c r="I11" s="65"/>
      <c r="J11" s="65">
        <f t="shared" si="0"/>
        <v>0</v>
      </c>
    </row>
    <row r="12" spans="1:10">
      <c r="A12" s="1" t="s">
        <v>2</v>
      </c>
      <c r="B12" s="4" t="s">
        <v>17</v>
      </c>
      <c r="C12" s="10">
        <v>0</v>
      </c>
      <c r="D12" s="11">
        <v>0</v>
      </c>
      <c r="E12" s="44"/>
      <c r="F12" s="9">
        <v>0</v>
      </c>
      <c r="G12" s="10">
        <v>0</v>
      </c>
      <c r="H12" s="52">
        <v>0</v>
      </c>
      <c r="I12" s="65"/>
      <c r="J12" s="65">
        <f t="shared" si="0"/>
        <v>0</v>
      </c>
    </row>
    <row r="13" spans="1:10">
      <c r="A13" s="1" t="s">
        <v>2</v>
      </c>
      <c r="B13" s="4" t="s">
        <v>18</v>
      </c>
      <c r="C13" s="10">
        <v>0</v>
      </c>
      <c r="D13" s="11">
        <v>0</v>
      </c>
      <c r="E13" s="44"/>
      <c r="F13" s="9">
        <v>0</v>
      </c>
      <c r="G13" s="10">
        <v>0</v>
      </c>
      <c r="H13" s="52">
        <v>0</v>
      </c>
      <c r="I13" s="65"/>
      <c r="J13" s="65">
        <f t="shared" si="0"/>
        <v>0</v>
      </c>
    </row>
    <row r="14" spans="1:10">
      <c r="A14" s="1" t="s">
        <v>2</v>
      </c>
      <c r="B14" s="4" t="s">
        <v>19</v>
      </c>
      <c r="C14" s="13">
        <v>0</v>
      </c>
      <c r="D14" s="14">
        <v>3</v>
      </c>
      <c r="E14" s="45">
        <f>SUM(C14:D14)</f>
        <v>3</v>
      </c>
      <c r="F14" s="12">
        <v>0</v>
      </c>
      <c r="G14" s="13">
        <v>0</v>
      </c>
      <c r="H14" s="53">
        <v>0</v>
      </c>
      <c r="I14" s="66"/>
      <c r="J14" s="66">
        <f t="shared" si="0"/>
        <v>3</v>
      </c>
    </row>
    <row r="15" spans="1:10">
      <c r="A15" s="1" t="s">
        <v>2</v>
      </c>
      <c r="B15" s="4" t="s">
        <v>20</v>
      </c>
      <c r="C15" s="13">
        <v>0</v>
      </c>
      <c r="D15" s="14">
        <v>0</v>
      </c>
      <c r="E15" s="45"/>
      <c r="F15" s="12">
        <v>0</v>
      </c>
      <c r="G15" s="13">
        <v>0</v>
      </c>
      <c r="H15" s="53">
        <v>0</v>
      </c>
      <c r="I15" s="66"/>
      <c r="J15" s="66">
        <f t="shared" si="0"/>
        <v>0</v>
      </c>
    </row>
    <row r="16" spans="1:10">
      <c r="A16" s="1" t="s">
        <v>2</v>
      </c>
      <c r="B16" s="4" t="s">
        <v>21</v>
      </c>
      <c r="C16" s="13">
        <v>0</v>
      </c>
      <c r="D16" s="14">
        <v>0</v>
      </c>
      <c r="E16" s="45"/>
      <c r="F16" s="12">
        <v>1.5</v>
      </c>
      <c r="G16" s="13">
        <v>2.125</v>
      </c>
      <c r="H16" s="53">
        <v>1.4583333333333333</v>
      </c>
      <c r="I16" s="66">
        <f>SUM(F16:H16)</f>
        <v>5.083333333333333</v>
      </c>
      <c r="J16" s="66">
        <f t="shared" si="0"/>
        <v>5.083333333333333</v>
      </c>
    </row>
    <row r="17" spans="1:10">
      <c r="A17" s="1" t="s">
        <v>2</v>
      </c>
      <c r="B17" s="4" t="s">
        <v>22</v>
      </c>
      <c r="C17" s="13">
        <v>0</v>
      </c>
      <c r="D17" s="14">
        <v>0</v>
      </c>
      <c r="E17" s="45"/>
      <c r="F17" s="12">
        <v>0</v>
      </c>
      <c r="G17" s="13">
        <v>0.16666666666666666</v>
      </c>
      <c r="H17" s="53">
        <v>0.375</v>
      </c>
      <c r="I17" s="66">
        <f>SUM(F17:H17)</f>
        <v>0.54166666666666663</v>
      </c>
      <c r="J17" s="66">
        <f t="shared" si="0"/>
        <v>0.54166666666666663</v>
      </c>
    </row>
    <row r="18" spans="1:10">
      <c r="A18" s="1" t="s">
        <v>2</v>
      </c>
      <c r="B18" s="4" t="s">
        <v>23</v>
      </c>
      <c r="C18" s="13">
        <v>0</v>
      </c>
      <c r="D18" s="14">
        <v>0</v>
      </c>
      <c r="E18" s="45"/>
      <c r="F18" s="12">
        <v>0</v>
      </c>
      <c r="G18" s="13">
        <v>0</v>
      </c>
      <c r="H18" s="53">
        <v>0</v>
      </c>
      <c r="I18" s="66"/>
      <c r="J18" s="66">
        <f t="shared" si="0"/>
        <v>0</v>
      </c>
    </row>
    <row r="19" spans="1:10">
      <c r="A19" s="1" t="s">
        <v>2</v>
      </c>
      <c r="B19" s="4" t="s">
        <v>24</v>
      </c>
      <c r="C19" s="13">
        <v>0</v>
      </c>
      <c r="D19" s="14">
        <v>0</v>
      </c>
      <c r="E19" s="45"/>
      <c r="F19" s="12">
        <v>0</v>
      </c>
      <c r="G19" s="13">
        <v>0</v>
      </c>
      <c r="H19" s="53">
        <v>0</v>
      </c>
      <c r="I19" s="66"/>
      <c r="J19" s="66">
        <f t="shared" si="0"/>
        <v>0</v>
      </c>
    </row>
    <row r="20" spans="1:10">
      <c r="A20" s="1" t="s">
        <v>2</v>
      </c>
      <c r="B20" s="4" t="s">
        <v>25</v>
      </c>
      <c r="C20" s="13">
        <v>0</v>
      </c>
      <c r="D20" s="14">
        <v>0</v>
      </c>
      <c r="E20" s="45"/>
      <c r="F20" s="12">
        <v>0</v>
      </c>
      <c r="G20" s="13">
        <v>0</v>
      </c>
      <c r="H20" s="53">
        <v>0</v>
      </c>
      <c r="I20" s="66"/>
      <c r="J20" s="66">
        <f t="shared" si="0"/>
        <v>0</v>
      </c>
    </row>
    <row r="21" spans="1:10">
      <c r="A21" s="1" t="s">
        <v>2</v>
      </c>
      <c r="B21" s="4" t="s">
        <v>26</v>
      </c>
      <c r="C21" s="13">
        <v>0</v>
      </c>
      <c r="D21" s="14">
        <v>0</v>
      </c>
      <c r="E21" s="45"/>
      <c r="F21" s="12">
        <v>0</v>
      </c>
      <c r="G21" s="13">
        <v>0</v>
      </c>
      <c r="H21" s="53">
        <v>0</v>
      </c>
      <c r="I21" s="66"/>
      <c r="J21" s="66">
        <f t="shared" si="0"/>
        <v>0</v>
      </c>
    </row>
    <row r="22" spans="1:10">
      <c r="A22" s="1" t="s">
        <v>2</v>
      </c>
      <c r="B22" s="4" t="s">
        <v>27</v>
      </c>
      <c r="C22" s="13">
        <v>0</v>
      </c>
      <c r="D22" s="14">
        <v>0</v>
      </c>
      <c r="E22" s="45"/>
      <c r="F22" s="12">
        <v>0</v>
      </c>
      <c r="G22" s="13">
        <v>0</v>
      </c>
      <c r="H22" s="53">
        <v>0</v>
      </c>
      <c r="I22" s="66"/>
      <c r="J22" s="66">
        <f t="shared" si="0"/>
        <v>0</v>
      </c>
    </row>
    <row r="23" spans="1:10">
      <c r="A23" s="1" t="s">
        <v>2</v>
      </c>
      <c r="B23" s="4" t="s">
        <v>28</v>
      </c>
      <c r="C23" s="13">
        <v>0</v>
      </c>
      <c r="D23" s="14">
        <v>0</v>
      </c>
      <c r="E23" s="45"/>
      <c r="F23" s="12">
        <v>0.125</v>
      </c>
      <c r="G23" s="13">
        <v>0.20833333333333334</v>
      </c>
      <c r="H23" s="53">
        <v>0.16666666666666666</v>
      </c>
      <c r="I23" s="66">
        <f>SUM(F23:H23)</f>
        <v>0.5</v>
      </c>
      <c r="J23" s="66">
        <f t="shared" si="0"/>
        <v>0.5</v>
      </c>
    </row>
    <row r="24" spans="1:10" ht="19.5" thickBot="1">
      <c r="A24" s="1" t="s">
        <v>2</v>
      </c>
      <c r="B24" s="5" t="s">
        <v>29</v>
      </c>
      <c r="C24" s="33">
        <v>30</v>
      </c>
      <c r="D24" s="34">
        <v>0</v>
      </c>
      <c r="E24" s="46">
        <f>SUM(C24:D24)</f>
        <v>30</v>
      </c>
      <c r="F24" s="32">
        <v>38</v>
      </c>
      <c r="G24" s="33">
        <v>38</v>
      </c>
      <c r="H24" s="54">
        <v>18</v>
      </c>
      <c r="I24" s="67">
        <f>SUM(F24:H24)</f>
        <v>94</v>
      </c>
      <c r="J24" s="67">
        <f t="shared" si="0"/>
        <v>124</v>
      </c>
    </row>
    <row r="25" spans="1:10">
      <c r="A25" s="1" t="s">
        <v>2</v>
      </c>
      <c r="B25" s="21" t="s">
        <v>30</v>
      </c>
      <c r="C25" s="30">
        <v>355000</v>
      </c>
      <c r="D25" s="31">
        <v>0</v>
      </c>
      <c r="E25" s="31">
        <f>SUM(C25:D25)</f>
        <v>355000</v>
      </c>
      <c r="F25" s="29">
        <v>182000</v>
      </c>
      <c r="G25" s="30">
        <v>192000</v>
      </c>
      <c r="H25" s="55">
        <v>182000</v>
      </c>
      <c r="I25" s="68">
        <f>SUM(F25:H25)</f>
        <v>556000</v>
      </c>
      <c r="J25" s="68">
        <f t="shared" si="0"/>
        <v>911000</v>
      </c>
    </row>
    <row r="26" spans="1:10">
      <c r="A26" s="1" t="s">
        <v>2</v>
      </c>
      <c r="B26" s="4" t="s">
        <v>31</v>
      </c>
      <c r="C26" s="16">
        <v>0</v>
      </c>
      <c r="D26" s="17">
        <v>0</v>
      </c>
      <c r="E26" s="17">
        <f t="shared" ref="E26:E64" si="1">SUM(C26:D26)</f>
        <v>0</v>
      </c>
      <c r="F26" s="15">
        <v>5000</v>
      </c>
      <c r="G26" s="16">
        <v>0</v>
      </c>
      <c r="H26" s="56">
        <v>0</v>
      </c>
      <c r="I26" s="69">
        <f t="shared" ref="I26:I64" si="2">SUM(F26:H26)</f>
        <v>5000</v>
      </c>
      <c r="J26" s="69">
        <f t="shared" si="0"/>
        <v>5000</v>
      </c>
    </row>
    <row r="27" spans="1:10">
      <c r="A27" s="1" t="s">
        <v>2</v>
      </c>
      <c r="B27" s="4" t="s">
        <v>32</v>
      </c>
      <c r="C27" s="16">
        <v>0</v>
      </c>
      <c r="D27" s="17">
        <v>0</v>
      </c>
      <c r="E27" s="17">
        <f t="shared" si="1"/>
        <v>0</v>
      </c>
      <c r="F27" s="15">
        <v>3000</v>
      </c>
      <c r="G27" s="16">
        <v>3000</v>
      </c>
      <c r="H27" s="56">
        <v>0</v>
      </c>
      <c r="I27" s="69">
        <f t="shared" si="2"/>
        <v>6000</v>
      </c>
      <c r="J27" s="69">
        <f t="shared" si="0"/>
        <v>6000</v>
      </c>
    </row>
    <row r="28" spans="1:10">
      <c r="A28" s="1" t="s">
        <v>2</v>
      </c>
      <c r="B28" s="4" t="s">
        <v>33</v>
      </c>
      <c r="C28" s="16">
        <v>50000</v>
      </c>
      <c r="D28" s="17">
        <v>0</v>
      </c>
      <c r="E28" s="17">
        <f t="shared" si="1"/>
        <v>50000</v>
      </c>
      <c r="F28" s="15">
        <v>50000</v>
      </c>
      <c r="G28" s="16">
        <v>50000</v>
      </c>
      <c r="H28" s="56">
        <v>50000</v>
      </c>
      <c r="I28" s="69">
        <f t="shared" si="2"/>
        <v>150000</v>
      </c>
      <c r="J28" s="69">
        <f t="shared" si="0"/>
        <v>200000</v>
      </c>
    </row>
    <row r="29" spans="1:10">
      <c r="A29" s="1" t="s">
        <v>2</v>
      </c>
      <c r="B29" s="4" t="s">
        <v>34</v>
      </c>
      <c r="C29" s="16">
        <v>0</v>
      </c>
      <c r="D29" s="17">
        <v>0</v>
      </c>
      <c r="E29" s="17">
        <f t="shared" si="1"/>
        <v>0</v>
      </c>
      <c r="F29" s="15">
        <v>0</v>
      </c>
      <c r="G29" s="16">
        <v>0</v>
      </c>
      <c r="H29" s="56">
        <v>0</v>
      </c>
      <c r="I29" s="69">
        <f t="shared" si="2"/>
        <v>0</v>
      </c>
      <c r="J29" s="69">
        <f t="shared" si="0"/>
        <v>0</v>
      </c>
    </row>
    <row r="30" spans="1:10">
      <c r="A30" s="1" t="s">
        <v>2</v>
      </c>
      <c r="B30" s="4" t="s">
        <v>35</v>
      </c>
      <c r="C30" s="16">
        <v>0</v>
      </c>
      <c r="D30" s="17">
        <v>77040</v>
      </c>
      <c r="E30" s="17">
        <f t="shared" si="1"/>
        <v>77040</v>
      </c>
      <c r="F30" s="15">
        <v>0</v>
      </c>
      <c r="G30" s="16">
        <v>0</v>
      </c>
      <c r="H30" s="56">
        <v>0</v>
      </c>
      <c r="I30" s="69">
        <f t="shared" si="2"/>
        <v>0</v>
      </c>
      <c r="J30" s="69">
        <f t="shared" si="0"/>
        <v>77040</v>
      </c>
    </row>
    <row r="31" spans="1:10">
      <c r="A31" s="1" t="s">
        <v>2</v>
      </c>
      <c r="B31" s="4" t="s">
        <v>36</v>
      </c>
      <c r="C31" s="16">
        <v>0</v>
      </c>
      <c r="D31" s="17">
        <v>0</v>
      </c>
      <c r="E31" s="17">
        <f t="shared" si="1"/>
        <v>0</v>
      </c>
      <c r="F31" s="15">
        <v>0</v>
      </c>
      <c r="G31" s="16">
        <v>0</v>
      </c>
      <c r="H31" s="56">
        <v>0</v>
      </c>
      <c r="I31" s="69">
        <f t="shared" si="2"/>
        <v>0</v>
      </c>
      <c r="J31" s="69">
        <f t="shared" si="0"/>
        <v>0</v>
      </c>
    </row>
    <row r="32" spans="1:10">
      <c r="A32" s="1" t="s">
        <v>2</v>
      </c>
      <c r="B32" s="4" t="s">
        <v>37</v>
      </c>
      <c r="C32" s="16">
        <v>0</v>
      </c>
      <c r="D32" s="17">
        <v>0</v>
      </c>
      <c r="E32" s="17">
        <f t="shared" si="1"/>
        <v>0</v>
      </c>
      <c r="F32" s="15">
        <v>22400</v>
      </c>
      <c r="G32" s="16">
        <v>23200</v>
      </c>
      <c r="H32" s="56">
        <v>0</v>
      </c>
      <c r="I32" s="69">
        <f t="shared" si="2"/>
        <v>45600</v>
      </c>
      <c r="J32" s="69">
        <f t="shared" si="0"/>
        <v>45600</v>
      </c>
    </row>
    <row r="33" spans="1:10">
      <c r="A33" s="1" t="s">
        <v>2</v>
      </c>
      <c r="B33" s="4" t="s">
        <v>38</v>
      </c>
      <c r="C33" s="16">
        <v>0</v>
      </c>
      <c r="D33" s="17">
        <v>0</v>
      </c>
      <c r="E33" s="17">
        <f t="shared" si="1"/>
        <v>0</v>
      </c>
      <c r="F33" s="15">
        <v>1000</v>
      </c>
      <c r="G33" s="16">
        <v>1000</v>
      </c>
      <c r="H33" s="56">
        <v>0</v>
      </c>
      <c r="I33" s="69">
        <f t="shared" si="2"/>
        <v>2000</v>
      </c>
      <c r="J33" s="69">
        <f t="shared" si="0"/>
        <v>2000</v>
      </c>
    </row>
    <row r="34" spans="1:10">
      <c r="A34" s="1" t="s">
        <v>2</v>
      </c>
      <c r="B34" s="4" t="s">
        <v>39</v>
      </c>
      <c r="C34" s="16">
        <v>0</v>
      </c>
      <c r="D34" s="17">
        <v>0</v>
      </c>
      <c r="E34" s="17">
        <f t="shared" si="1"/>
        <v>0</v>
      </c>
      <c r="F34" s="15">
        <v>0</v>
      </c>
      <c r="G34" s="16">
        <v>0</v>
      </c>
      <c r="H34" s="56">
        <v>0</v>
      </c>
      <c r="I34" s="69">
        <f t="shared" si="2"/>
        <v>0</v>
      </c>
      <c r="J34" s="69">
        <f t="shared" si="0"/>
        <v>0</v>
      </c>
    </row>
    <row r="35" spans="1:10">
      <c r="A35" s="1" t="s">
        <v>2</v>
      </c>
      <c r="B35" s="4" t="s">
        <v>40</v>
      </c>
      <c r="C35" s="16">
        <v>0</v>
      </c>
      <c r="D35" s="17">
        <v>0</v>
      </c>
      <c r="E35" s="17">
        <f t="shared" si="1"/>
        <v>0</v>
      </c>
      <c r="F35" s="15">
        <v>0</v>
      </c>
      <c r="G35" s="16">
        <v>0</v>
      </c>
      <c r="H35" s="56">
        <v>0</v>
      </c>
      <c r="I35" s="69">
        <f t="shared" si="2"/>
        <v>0</v>
      </c>
      <c r="J35" s="69">
        <f t="shared" si="0"/>
        <v>0</v>
      </c>
    </row>
    <row r="36" spans="1:10">
      <c r="A36" s="1" t="s">
        <v>2</v>
      </c>
      <c r="B36" s="4" t="s">
        <v>41</v>
      </c>
      <c r="C36" s="16">
        <v>0</v>
      </c>
      <c r="D36" s="17">
        <v>0</v>
      </c>
      <c r="E36" s="17">
        <f t="shared" si="1"/>
        <v>0</v>
      </c>
      <c r="F36" s="15">
        <v>0</v>
      </c>
      <c r="G36" s="16">
        <v>13000</v>
      </c>
      <c r="H36" s="56">
        <v>13000</v>
      </c>
      <c r="I36" s="69">
        <f t="shared" si="2"/>
        <v>26000</v>
      </c>
      <c r="J36" s="69">
        <f t="shared" si="0"/>
        <v>26000</v>
      </c>
    </row>
    <row r="37" spans="1:10">
      <c r="A37" s="1" t="s">
        <v>2</v>
      </c>
      <c r="B37" s="4" t="s">
        <v>42</v>
      </c>
      <c r="C37" s="16">
        <v>0</v>
      </c>
      <c r="D37" s="17">
        <v>0</v>
      </c>
      <c r="E37" s="17">
        <f t="shared" si="1"/>
        <v>0</v>
      </c>
      <c r="F37" s="15">
        <v>0</v>
      </c>
      <c r="G37" s="16">
        <v>0</v>
      </c>
      <c r="H37" s="56">
        <v>0</v>
      </c>
      <c r="I37" s="69">
        <f t="shared" si="2"/>
        <v>0</v>
      </c>
      <c r="J37" s="69">
        <f t="shared" si="0"/>
        <v>0</v>
      </c>
    </row>
    <row r="38" spans="1:10">
      <c r="A38" s="1" t="s">
        <v>2</v>
      </c>
      <c r="B38" s="4" t="s">
        <v>43</v>
      </c>
      <c r="C38" s="16">
        <v>0</v>
      </c>
      <c r="D38" s="17">
        <v>0</v>
      </c>
      <c r="E38" s="17">
        <f t="shared" si="1"/>
        <v>0</v>
      </c>
      <c r="F38" s="15">
        <v>0</v>
      </c>
      <c r="G38" s="16">
        <v>0</v>
      </c>
      <c r="H38" s="56">
        <v>0</v>
      </c>
      <c r="I38" s="69">
        <f t="shared" si="2"/>
        <v>0</v>
      </c>
      <c r="J38" s="69">
        <f t="shared" si="0"/>
        <v>0</v>
      </c>
    </row>
    <row r="39" spans="1:10">
      <c r="A39" s="1" t="s">
        <v>2</v>
      </c>
      <c r="B39" s="4" t="s">
        <v>44</v>
      </c>
      <c r="C39" s="16">
        <v>0</v>
      </c>
      <c r="D39" s="17">
        <v>0</v>
      </c>
      <c r="E39" s="17">
        <f t="shared" si="1"/>
        <v>0</v>
      </c>
      <c r="F39" s="15">
        <v>0</v>
      </c>
      <c r="G39" s="16">
        <v>0</v>
      </c>
      <c r="H39" s="56">
        <v>0</v>
      </c>
      <c r="I39" s="69">
        <f t="shared" si="2"/>
        <v>0</v>
      </c>
      <c r="J39" s="69">
        <f t="shared" si="0"/>
        <v>0</v>
      </c>
    </row>
    <row r="40" spans="1:10">
      <c r="A40" s="1" t="s">
        <v>2</v>
      </c>
      <c r="B40" s="4" t="s">
        <v>21</v>
      </c>
      <c r="C40" s="16">
        <v>0</v>
      </c>
      <c r="D40" s="17">
        <v>0</v>
      </c>
      <c r="E40" s="17">
        <f t="shared" si="1"/>
        <v>0</v>
      </c>
      <c r="F40" s="15">
        <v>64944</v>
      </c>
      <c r="G40" s="16">
        <v>98889</v>
      </c>
      <c r="H40" s="56">
        <v>64190</v>
      </c>
      <c r="I40" s="69">
        <f t="shared" si="2"/>
        <v>228023</v>
      </c>
      <c r="J40" s="69">
        <f t="shared" si="0"/>
        <v>228023</v>
      </c>
    </row>
    <row r="41" spans="1:10">
      <c r="A41" s="1" t="s">
        <v>2</v>
      </c>
      <c r="B41" s="4" t="s">
        <v>45</v>
      </c>
      <c r="C41" s="16">
        <v>0</v>
      </c>
      <c r="D41" s="17">
        <v>0</v>
      </c>
      <c r="E41" s="17">
        <f t="shared" si="1"/>
        <v>0</v>
      </c>
      <c r="F41" s="15">
        <v>0</v>
      </c>
      <c r="G41" s="16">
        <v>8376</v>
      </c>
      <c r="H41" s="56">
        <v>17820</v>
      </c>
      <c r="I41" s="69">
        <f t="shared" si="2"/>
        <v>26196</v>
      </c>
      <c r="J41" s="69">
        <f t="shared" si="0"/>
        <v>26196</v>
      </c>
    </row>
    <row r="42" spans="1:10">
      <c r="A42" s="1" t="s">
        <v>2</v>
      </c>
      <c r="B42" s="4" t="s">
        <v>46</v>
      </c>
      <c r="C42" s="16">
        <v>0</v>
      </c>
      <c r="D42" s="17">
        <v>0</v>
      </c>
      <c r="E42" s="17">
        <f t="shared" si="1"/>
        <v>0</v>
      </c>
      <c r="F42" s="15">
        <v>0</v>
      </c>
      <c r="G42" s="16">
        <v>0</v>
      </c>
      <c r="H42" s="56">
        <v>0</v>
      </c>
      <c r="I42" s="69">
        <f t="shared" si="2"/>
        <v>0</v>
      </c>
      <c r="J42" s="69">
        <f t="shared" si="0"/>
        <v>0</v>
      </c>
    </row>
    <row r="43" spans="1:10">
      <c r="A43" s="1" t="s">
        <v>2</v>
      </c>
      <c r="B43" s="4" t="s">
        <v>47</v>
      </c>
      <c r="C43" s="16">
        <v>0</v>
      </c>
      <c r="D43" s="17">
        <v>0</v>
      </c>
      <c r="E43" s="17">
        <f t="shared" si="1"/>
        <v>0</v>
      </c>
      <c r="F43" s="15">
        <v>0</v>
      </c>
      <c r="G43" s="16">
        <v>0</v>
      </c>
      <c r="H43" s="56">
        <v>0</v>
      </c>
      <c r="I43" s="69">
        <f t="shared" si="2"/>
        <v>0</v>
      </c>
      <c r="J43" s="69">
        <f t="shared" si="0"/>
        <v>0</v>
      </c>
    </row>
    <row r="44" spans="1:10">
      <c r="A44" s="1" t="s">
        <v>2</v>
      </c>
      <c r="B44" s="4" t="s">
        <v>48</v>
      </c>
      <c r="C44" s="16">
        <v>0</v>
      </c>
      <c r="D44" s="17">
        <v>0</v>
      </c>
      <c r="E44" s="17">
        <f t="shared" si="1"/>
        <v>0</v>
      </c>
      <c r="F44" s="15">
        <v>0</v>
      </c>
      <c r="G44" s="16">
        <v>0</v>
      </c>
      <c r="H44" s="56">
        <v>0</v>
      </c>
      <c r="I44" s="69">
        <f t="shared" si="2"/>
        <v>0</v>
      </c>
      <c r="J44" s="69">
        <f t="shared" si="0"/>
        <v>0</v>
      </c>
    </row>
    <row r="45" spans="1:10">
      <c r="A45" s="1" t="s">
        <v>2</v>
      </c>
      <c r="B45" s="4" t="s">
        <v>49</v>
      </c>
      <c r="C45" s="16">
        <v>0</v>
      </c>
      <c r="D45" s="17">
        <v>0</v>
      </c>
      <c r="E45" s="17">
        <f t="shared" si="1"/>
        <v>0</v>
      </c>
      <c r="F45" s="15">
        <v>0</v>
      </c>
      <c r="G45" s="16">
        <v>0</v>
      </c>
      <c r="H45" s="56">
        <v>0</v>
      </c>
      <c r="I45" s="69">
        <f t="shared" si="2"/>
        <v>0</v>
      </c>
      <c r="J45" s="69">
        <f t="shared" si="0"/>
        <v>0</v>
      </c>
    </row>
    <row r="46" spans="1:10">
      <c r="A46" s="1" t="s">
        <v>2</v>
      </c>
      <c r="B46" s="4" t="s">
        <v>26</v>
      </c>
      <c r="C46" s="16">
        <v>0</v>
      </c>
      <c r="D46" s="17">
        <v>0</v>
      </c>
      <c r="E46" s="17">
        <f t="shared" si="1"/>
        <v>0</v>
      </c>
      <c r="F46" s="15">
        <v>0</v>
      </c>
      <c r="G46" s="16">
        <v>0</v>
      </c>
      <c r="H46" s="56">
        <v>0</v>
      </c>
      <c r="I46" s="69">
        <f t="shared" si="2"/>
        <v>0</v>
      </c>
      <c r="J46" s="69">
        <f t="shared" si="0"/>
        <v>0</v>
      </c>
    </row>
    <row r="47" spans="1:10" ht="19.5" thickBot="1">
      <c r="A47" s="1" t="s">
        <v>2</v>
      </c>
      <c r="B47" s="35" t="s">
        <v>28</v>
      </c>
      <c r="C47" s="37">
        <v>0</v>
      </c>
      <c r="D47" s="38">
        <v>0</v>
      </c>
      <c r="E47" s="38">
        <f t="shared" si="1"/>
        <v>0</v>
      </c>
      <c r="F47" s="36">
        <v>1083</v>
      </c>
      <c r="G47" s="37">
        <v>1940</v>
      </c>
      <c r="H47" s="57">
        <v>1468</v>
      </c>
      <c r="I47" s="70">
        <f t="shared" si="2"/>
        <v>4491</v>
      </c>
      <c r="J47" s="70">
        <f t="shared" si="0"/>
        <v>4491</v>
      </c>
    </row>
    <row r="48" spans="1:10" ht="19.5" thickBot="1">
      <c r="A48" s="1" t="s">
        <v>2</v>
      </c>
      <c r="B48" s="39" t="s">
        <v>50</v>
      </c>
      <c r="C48" s="41">
        <v>405000</v>
      </c>
      <c r="D48" s="42">
        <v>77040</v>
      </c>
      <c r="E48" s="42">
        <f t="shared" si="1"/>
        <v>482040</v>
      </c>
      <c r="F48" s="40">
        <v>329427</v>
      </c>
      <c r="G48" s="41">
        <v>391405</v>
      </c>
      <c r="H48" s="58">
        <v>328478</v>
      </c>
      <c r="I48" s="71">
        <f t="shared" si="2"/>
        <v>1049310</v>
      </c>
      <c r="J48" s="71">
        <f t="shared" si="0"/>
        <v>1531350</v>
      </c>
    </row>
    <row r="49" spans="1:10" ht="19.5" thickBot="1">
      <c r="A49" s="1" t="s">
        <v>2</v>
      </c>
      <c r="B49" s="21" t="s">
        <v>51</v>
      </c>
      <c r="C49" s="30">
        <v>9787</v>
      </c>
      <c r="D49" s="31">
        <v>0</v>
      </c>
      <c r="E49" s="31">
        <f t="shared" si="1"/>
        <v>9787</v>
      </c>
      <c r="F49" s="29">
        <v>6189</v>
      </c>
      <c r="G49" s="30">
        <v>1623</v>
      </c>
      <c r="H49" s="55">
        <v>0</v>
      </c>
      <c r="I49" s="68">
        <f t="shared" si="2"/>
        <v>7812</v>
      </c>
      <c r="J49" s="68">
        <f t="shared" si="0"/>
        <v>17599</v>
      </c>
    </row>
    <row r="50" spans="1:10" ht="19.5" thickBot="1">
      <c r="A50" s="1" t="s">
        <v>2</v>
      </c>
      <c r="B50" s="39" t="s">
        <v>52</v>
      </c>
      <c r="C50" s="41">
        <v>9787</v>
      </c>
      <c r="D50" s="42">
        <v>0</v>
      </c>
      <c r="E50" s="42">
        <f t="shared" si="1"/>
        <v>9787</v>
      </c>
      <c r="F50" s="40">
        <v>6189</v>
      </c>
      <c r="G50" s="41">
        <v>1623</v>
      </c>
      <c r="H50" s="58">
        <v>0</v>
      </c>
      <c r="I50" s="71">
        <f t="shared" si="2"/>
        <v>7812</v>
      </c>
      <c r="J50" s="71">
        <f t="shared" si="0"/>
        <v>17599</v>
      </c>
    </row>
    <row r="51" spans="1:10" ht="19.5" thickBot="1">
      <c r="A51" s="1" t="s">
        <v>2</v>
      </c>
      <c r="B51" s="39" t="s">
        <v>53</v>
      </c>
      <c r="C51" s="41">
        <v>414787</v>
      </c>
      <c r="D51" s="42">
        <v>77040</v>
      </c>
      <c r="E51" s="42">
        <f t="shared" si="1"/>
        <v>491827</v>
      </c>
      <c r="F51" s="40">
        <v>335616</v>
      </c>
      <c r="G51" s="41">
        <v>393028</v>
      </c>
      <c r="H51" s="58">
        <v>328478</v>
      </c>
      <c r="I51" s="71">
        <f t="shared" si="2"/>
        <v>1057122</v>
      </c>
      <c r="J51" s="71">
        <f t="shared" si="0"/>
        <v>1548949</v>
      </c>
    </row>
    <row r="52" spans="1:10">
      <c r="A52" s="1" t="s">
        <v>2</v>
      </c>
      <c r="B52" s="21" t="s">
        <v>54</v>
      </c>
      <c r="C52" s="30">
        <v>20910</v>
      </c>
      <c r="D52" s="31">
        <v>0</v>
      </c>
      <c r="E52" s="31">
        <f t="shared" si="1"/>
        <v>20910</v>
      </c>
      <c r="F52" s="29">
        <v>17340</v>
      </c>
      <c r="G52" s="30">
        <v>19380</v>
      </c>
      <c r="H52" s="55">
        <v>18360</v>
      </c>
      <c r="I52" s="68">
        <f t="shared" si="2"/>
        <v>55080</v>
      </c>
      <c r="J52" s="68">
        <f t="shared" si="0"/>
        <v>75990</v>
      </c>
    </row>
    <row r="53" spans="1:10">
      <c r="A53" s="1" t="s">
        <v>2</v>
      </c>
      <c r="B53" s="4" t="s">
        <v>55</v>
      </c>
      <c r="C53" s="16">
        <v>3690</v>
      </c>
      <c r="D53" s="17">
        <v>0</v>
      </c>
      <c r="E53" s="17">
        <f t="shared" si="1"/>
        <v>3690</v>
      </c>
      <c r="F53" s="15">
        <v>3060</v>
      </c>
      <c r="G53" s="16">
        <v>3420</v>
      </c>
      <c r="H53" s="56">
        <v>3240</v>
      </c>
      <c r="I53" s="69">
        <f t="shared" si="2"/>
        <v>9720</v>
      </c>
      <c r="J53" s="69">
        <f t="shared" si="0"/>
        <v>13410</v>
      </c>
    </row>
    <row r="54" spans="1:10">
      <c r="A54" s="1" t="s">
        <v>2</v>
      </c>
      <c r="B54" s="4" t="s">
        <v>56</v>
      </c>
      <c r="C54" s="16">
        <v>37515</v>
      </c>
      <c r="D54" s="17">
        <v>0</v>
      </c>
      <c r="E54" s="17">
        <f t="shared" si="1"/>
        <v>37515</v>
      </c>
      <c r="F54" s="15">
        <v>31110</v>
      </c>
      <c r="G54" s="16">
        <v>34770</v>
      </c>
      <c r="H54" s="56">
        <v>32940</v>
      </c>
      <c r="I54" s="69">
        <f t="shared" si="2"/>
        <v>98820</v>
      </c>
      <c r="J54" s="69">
        <f t="shared" si="0"/>
        <v>136335</v>
      </c>
    </row>
    <row r="55" spans="1:10" ht="19.5" thickBot="1">
      <c r="A55" s="1" t="s">
        <v>2</v>
      </c>
      <c r="B55" s="4" t="s">
        <v>57</v>
      </c>
      <c r="C55" s="16">
        <v>1244</v>
      </c>
      <c r="D55" s="17">
        <v>231</v>
      </c>
      <c r="E55" s="17">
        <f t="shared" si="1"/>
        <v>1475</v>
      </c>
      <c r="F55" s="15">
        <v>1007</v>
      </c>
      <c r="G55" s="16">
        <v>1179</v>
      </c>
      <c r="H55" s="56">
        <v>985</v>
      </c>
      <c r="I55" s="69">
        <f t="shared" si="2"/>
        <v>3171</v>
      </c>
      <c r="J55" s="69">
        <f t="shared" si="0"/>
        <v>4646</v>
      </c>
    </row>
    <row r="56" spans="1:10" ht="19.5" thickBot="1">
      <c r="A56" s="1" t="s">
        <v>2</v>
      </c>
      <c r="B56" s="39" t="s">
        <v>58</v>
      </c>
      <c r="C56" s="41">
        <v>63359</v>
      </c>
      <c r="D56" s="42">
        <v>231</v>
      </c>
      <c r="E56" s="42">
        <f t="shared" si="1"/>
        <v>63590</v>
      </c>
      <c r="F56" s="40">
        <v>52517</v>
      </c>
      <c r="G56" s="41">
        <v>58749</v>
      </c>
      <c r="H56" s="58">
        <v>55525</v>
      </c>
      <c r="I56" s="71">
        <f t="shared" si="2"/>
        <v>166791</v>
      </c>
      <c r="J56" s="71">
        <f t="shared" si="0"/>
        <v>230381</v>
      </c>
    </row>
    <row r="57" spans="1:10">
      <c r="A57" s="1" t="s">
        <v>2</v>
      </c>
      <c r="B57" s="21" t="s">
        <v>59</v>
      </c>
      <c r="C57" s="30">
        <v>8550</v>
      </c>
      <c r="D57" s="31">
        <v>0</v>
      </c>
      <c r="E57" s="31">
        <f t="shared" si="1"/>
        <v>8550</v>
      </c>
      <c r="F57" s="29">
        <v>7510</v>
      </c>
      <c r="G57" s="30">
        <v>11050</v>
      </c>
      <c r="H57" s="55">
        <v>4140</v>
      </c>
      <c r="I57" s="68">
        <f t="shared" si="2"/>
        <v>22700</v>
      </c>
      <c r="J57" s="68">
        <f t="shared" si="0"/>
        <v>31250</v>
      </c>
    </row>
    <row r="58" spans="1:10">
      <c r="A58" s="1" t="s">
        <v>2</v>
      </c>
      <c r="B58" s="4" t="s">
        <v>60</v>
      </c>
      <c r="C58" s="16">
        <v>16300</v>
      </c>
      <c r="D58" s="17">
        <v>0</v>
      </c>
      <c r="E58" s="17">
        <f t="shared" si="1"/>
        <v>16300</v>
      </c>
      <c r="F58" s="15">
        <v>14800</v>
      </c>
      <c r="G58" s="16">
        <v>17000</v>
      </c>
      <c r="H58" s="56">
        <v>5000</v>
      </c>
      <c r="I58" s="69">
        <f t="shared" si="2"/>
        <v>36800</v>
      </c>
      <c r="J58" s="69">
        <f t="shared" ref="J58:J64" si="3">E58+I58</f>
        <v>53100</v>
      </c>
    </row>
    <row r="59" spans="1:10" ht="19.5" thickBot="1">
      <c r="A59" s="1" t="s">
        <v>2</v>
      </c>
      <c r="B59" s="4" t="s">
        <v>61</v>
      </c>
      <c r="C59" s="16">
        <v>0</v>
      </c>
      <c r="D59" s="17">
        <v>0</v>
      </c>
      <c r="E59" s="17">
        <f t="shared" si="1"/>
        <v>0</v>
      </c>
      <c r="F59" s="15">
        <v>22400</v>
      </c>
      <c r="G59" s="16">
        <v>23200</v>
      </c>
      <c r="H59" s="56">
        <v>0</v>
      </c>
      <c r="I59" s="69">
        <f t="shared" si="2"/>
        <v>45600</v>
      </c>
      <c r="J59" s="69">
        <f t="shared" si="3"/>
        <v>45600</v>
      </c>
    </row>
    <row r="60" spans="1:10" ht="19.5" thickBot="1">
      <c r="A60" s="1" t="s">
        <v>2</v>
      </c>
      <c r="B60" s="39" t="s">
        <v>62</v>
      </c>
      <c r="C60" s="41">
        <v>88209</v>
      </c>
      <c r="D60" s="42">
        <v>231</v>
      </c>
      <c r="E60" s="42">
        <f t="shared" si="1"/>
        <v>88440</v>
      </c>
      <c r="F60" s="40">
        <v>97227</v>
      </c>
      <c r="G60" s="41">
        <v>109999</v>
      </c>
      <c r="H60" s="58">
        <v>64665</v>
      </c>
      <c r="I60" s="71">
        <f t="shared" si="2"/>
        <v>271891</v>
      </c>
      <c r="J60" s="71">
        <f t="shared" si="3"/>
        <v>360331</v>
      </c>
    </row>
    <row r="61" spans="1:10" ht="19.5" thickBot="1">
      <c r="A61" s="1" t="s">
        <v>2</v>
      </c>
      <c r="B61" s="39" t="s">
        <v>63</v>
      </c>
      <c r="C61" s="41">
        <v>341641</v>
      </c>
      <c r="D61" s="42">
        <v>76809</v>
      </c>
      <c r="E61" s="42">
        <f t="shared" si="1"/>
        <v>418450</v>
      </c>
      <c r="F61" s="40">
        <v>276910</v>
      </c>
      <c r="G61" s="41">
        <v>332656</v>
      </c>
      <c r="H61" s="58">
        <v>272953</v>
      </c>
      <c r="I61" s="71">
        <f t="shared" si="2"/>
        <v>882519</v>
      </c>
      <c r="J61" s="71">
        <f t="shared" si="3"/>
        <v>1300969</v>
      </c>
    </row>
    <row r="62" spans="1:10" ht="19.5" thickBot="1">
      <c r="A62" s="1" t="s">
        <v>2</v>
      </c>
      <c r="B62" s="39" t="s">
        <v>64</v>
      </c>
      <c r="C62" s="41">
        <v>326578</v>
      </c>
      <c r="D62" s="42">
        <v>76809</v>
      </c>
      <c r="E62" s="42">
        <f t="shared" si="1"/>
        <v>403387</v>
      </c>
      <c r="F62" s="40">
        <v>238389</v>
      </c>
      <c r="G62" s="41">
        <v>283029</v>
      </c>
      <c r="H62" s="58">
        <v>263813</v>
      </c>
      <c r="I62" s="71">
        <f t="shared" si="2"/>
        <v>785231</v>
      </c>
      <c r="J62" s="71">
        <f t="shared" si="3"/>
        <v>1188618</v>
      </c>
    </row>
    <row r="63" spans="1:10">
      <c r="A63" s="1" t="s">
        <v>2</v>
      </c>
      <c r="B63" s="21" t="s">
        <v>65</v>
      </c>
      <c r="C63" s="30">
        <v>0</v>
      </c>
      <c r="D63" s="31">
        <v>0</v>
      </c>
      <c r="E63" s="31">
        <f t="shared" si="1"/>
        <v>0</v>
      </c>
      <c r="F63" s="29">
        <v>0</v>
      </c>
      <c r="G63" s="30">
        <v>0</v>
      </c>
      <c r="H63" s="55">
        <v>0</v>
      </c>
      <c r="I63" s="68">
        <f t="shared" si="2"/>
        <v>0</v>
      </c>
      <c r="J63" s="68">
        <f t="shared" si="3"/>
        <v>0</v>
      </c>
    </row>
    <row r="64" spans="1:10">
      <c r="A64" s="1" t="s">
        <v>2</v>
      </c>
      <c r="B64" s="4" t="s">
        <v>66</v>
      </c>
      <c r="C64" s="16">
        <v>326578</v>
      </c>
      <c r="D64" s="17">
        <v>76809</v>
      </c>
      <c r="E64" s="17">
        <f t="shared" si="1"/>
        <v>403387</v>
      </c>
      <c r="F64" s="15">
        <v>238389</v>
      </c>
      <c r="G64" s="16">
        <v>283029</v>
      </c>
      <c r="H64" s="56">
        <v>263813</v>
      </c>
      <c r="I64" s="69">
        <f t="shared" si="2"/>
        <v>785231</v>
      </c>
      <c r="J64" s="69">
        <f t="shared" si="3"/>
        <v>1188618</v>
      </c>
    </row>
    <row r="65" spans="1:10">
      <c r="A65" s="1" t="s">
        <v>2</v>
      </c>
      <c r="B65" s="4" t="s">
        <v>67</v>
      </c>
      <c r="C65" s="16">
        <v>1</v>
      </c>
      <c r="D65" s="17">
        <v>0</v>
      </c>
      <c r="E65" s="17"/>
      <c r="F65" s="15">
        <v>0</v>
      </c>
      <c r="G65" s="16">
        <v>0</v>
      </c>
      <c r="H65" s="56">
        <v>2</v>
      </c>
      <c r="I65" s="69"/>
      <c r="J65" s="69"/>
    </row>
    <row r="66" spans="1:10" ht="19.5" thickBot="1">
      <c r="A66" s="1" t="s">
        <v>2</v>
      </c>
      <c r="B66" s="5" t="s">
        <v>68</v>
      </c>
      <c r="C66" s="19" t="s">
        <v>69</v>
      </c>
      <c r="D66" s="20" t="s">
        <v>69</v>
      </c>
      <c r="E66" s="20"/>
      <c r="F66" s="18" t="s">
        <v>69</v>
      </c>
      <c r="G66" s="19" t="s">
        <v>69</v>
      </c>
      <c r="H66" s="59" t="s">
        <v>69</v>
      </c>
      <c r="I66" s="72"/>
      <c r="J66" s="72"/>
    </row>
  </sheetData>
  <phoneticPr fontId="4"/>
  <pageMargins left="0.31496062992125984" right="0.31496062992125984" top="0.35433070866141736" bottom="0.35433070866141736" header="0.11811023622047245" footer="0.11811023622047245"/>
  <pageSetup paperSize="12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 4月度給与 (2)</vt:lpstr>
      <vt:lpstr>'2022年 4月度給与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2024-03-09T01:50:49Z</cp:lastPrinted>
  <dcterms:created xsi:type="dcterms:W3CDTF">2022-05-10T06:50:15Z</dcterms:created>
  <dcterms:modified xsi:type="dcterms:W3CDTF">2024-03-09T01:50:52Z</dcterms:modified>
</cp:coreProperties>
</file>