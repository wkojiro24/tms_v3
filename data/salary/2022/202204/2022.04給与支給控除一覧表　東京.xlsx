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4\"/>
    </mc:Choice>
  </mc:AlternateContent>
  <xr:revisionPtr revIDLastSave="0" documentId="13_ncr:1_{0125C53C-E6B5-40A4-B303-3009F99CE8D0}" xr6:coauthVersionLast="47" xr6:coauthVersionMax="47" xr10:uidLastSave="{00000000-0000-0000-0000-000000000000}"/>
  <bookViews>
    <workbookView xWindow="-120" yWindow="-120" windowWidth="20730" windowHeight="11160" xr2:uid="{3B2020B5-1756-4045-A248-B34D4B4C1BED}"/>
  </bookViews>
  <sheets>
    <sheet name="2022年 4月度給与 (2)" sheetId="3" r:id="rId1"/>
  </sheets>
  <definedNames>
    <definedName name="_xlnm.Print_Area" localSheetId="0">'2022年 4月度給与 (2)'!$A$1:$M$65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9" i="3" l="1"/>
  <c r="M12" i="3"/>
  <c r="M13" i="3"/>
  <c r="M18" i="3"/>
  <c r="M19" i="3"/>
  <c r="M20" i="3"/>
  <c r="M22" i="3"/>
  <c r="M29" i="3"/>
  <c r="M31" i="3"/>
  <c r="M35" i="3"/>
  <c r="M37" i="3"/>
  <c r="M38" i="3"/>
  <c r="M42" i="3"/>
  <c r="M43" i="3"/>
  <c r="M44" i="3"/>
  <c r="M45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46" i="3"/>
  <c r="M46" i="3" s="1"/>
  <c r="L40" i="3"/>
  <c r="M40" i="3" s="1"/>
  <c r="L41" i="3"/>
  <c r="M41" i="3" s="1"/>
  <c r="L39" i="3"/>
  <c r="M39" i="3" s="1"/>
  <c r="L36" i="3"/>
  <c r="M36" i="3" s="1"/>
  <c r="L33" i="3"/>
  <c r="M33" i="3" s="1"/>
  <c r="L32" i="3"/>
  <c r="M32" i="3" s="1"/>
  <c r="L27" i="3"/>
  <c r="M27" i="3" s="1"/>
  <c r="L28" i="3"/>
  <c r="L26" i="3"/>
  <c r="M26" i="3" s="1"/>
  <c r="L25" i="3"/>
  <c r="L24" i="3"/>
  <c r="L23" i="3"/>
  <c r="M23" i="3" s="1"/>
  <c r="L16" i="3"/>
  <c r="M16" i="3" s="1"/>
  <c r="L17" i="3"/>
  <c r="M17" i="3" s="1"/>
  <c r="L15" i="3"/>
  <c r="M15" i="3" s="1"/>
  <c r="L11" i="3"/>
  <c r="M11" i="3" s="1"/>
  <c r="L10" i="3"/>
  <c r="L8" i="3"/>
  <c r="M8" i="3" s="1"/>
  <c r="L7" i="3"/>
  <c r="M7" i="3" s="1"/>
  <c r="L6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47" i="3"/>
  <c r="E34" i="3"/>
  <c r="M34" i="3" s="1"/>
  <c r="E30" i="3"/>
  <c r="M30" i="3" s="1"/>
  <c r="E28" i="3"/>
  <c r="E25" i="3"/>
  <c r="E24" i="3"/>
  <c r="E21" i="3"/>
  <c r="M21" i="3" s="1"/>
  <c r="E14" i="3"/>
  <c r="M14" i="3" s="1"/>
  <c r="E10" i="3"/>
  <c r="E6" i="3"/>
  <c r="M6" i="3" s="1"/>
  <c r="M10" i="3" l="1"/>
  <c r="M47" i="3"/>
  <c r="M28" i="3"/>
  <c r="M63" i="3"/>
  <c r="M58" i="3"/>
  <c r="M59" i="3"/>
  <c r="M55" i="3"/>
  <c r="M52" i="3"/>
  <c r="M25" i="3"/>
  <c r="M62" i="3"/>
  <c r="M57" i="3"/>
  <c r="M51" i="3"/>
  <c r="M48" i="3"/>
  <c r="M24" i="3"/>
  <c r="M61" i="3"/>
  <c r="M54" i="3"/>
  <c r="M50" i="3"/>
  <c r="M60" i="3"/>
  <c r="M56" i="3"/>
  <c r="M53" i="3"/>
  <c r="M49" i="3"/>
</calcChain>
</file>

<file path=xl/sharedStrings.xml><?xml version="1.0" encoding="utf-8"?>
<sst xmlns="http://schemas.openxmlformats.org/spreadsheetml/2006/main" count="154" uniqueCount="84">
  <si>
    <t>支給控除一覧表</t>
    <phoneticPr fontId="4"/>
  </si>
  <si>
    <t>若林運送株式会社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</si>
  <si>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</si>
  <si>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</si>
  <si>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</si>
  <si>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</si>
  <si>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</si>
  <si>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</si>
  <si>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</si>
  <si>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</si>
  <si>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</si>
  <si>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</si>
  <si>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上原　勉</t>
    <phoneticPr fontId="4"/>
  </si>
  <si>
    <t>米山　勝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</si>
  <si>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</si>
  <si>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</si>
  <si>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</si>
  <si>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</si>
  <si>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</si>
  <si>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</si>
  <si>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</si>
  <si>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</si>
  <si>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</si>
  <si>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</si>
  <si>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</si>
  <si>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</si>
  <si>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</si>
  <si>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</si>
  <si>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</si>
  <si>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</si>
  <si>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</si>
  <si>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</si>
  <si>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</si>
  <si>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</si>
  <si>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</si>
  <si>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</si>
  <si>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</si>
  <si>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</si>
  <si>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</si>
  <si>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</si>
  <si>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</si>
  <si>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</si>
  <si>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</si>
  <si>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</si>
  <si>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</si>
  <si>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調整加算</t>
    <phoneticPr fontId="4"/>
  </si>
  <si>
    <t>課税通勤手当</t>
    <phoneticPr fontId="4"/>
  </si>
  <si>
    <t>遅早控除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</si>
  <si>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</si>
  <si>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</si>
  <si>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</si>
  <si>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</si>
  <si>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</si>
  <si>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</si>
  <si>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</si>
  <si>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</si>
  <si>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</si>
  <si>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</si>
  <si>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</si>
  <si>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</si>
  <si>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</si>
  <si>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</si>
  <si>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</si>
  <si>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</si>
  <si>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</si>
  <si>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</si>
  <si>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</si>
  <si>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</si>
  <si>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</si>
  <si>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</si>
  <si>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</si>
  <si>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</si>
  <si>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</si>
  <si>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4月度給与</t>
    <phoneticPr fontId="4"/>
  </si>
  <si>
    <t>新治泰子</t>
    <phoneticPr fontId="4"/>
  </si>
  <si>
    <t>宮腰真也</t>
    <phoneticPr fontId="4"/>
  </si>
  <si>
    <t>金子勝彦</t>
    <phoneticPr fontId="4"/>
  </si>
  <si>
    <t>銅谷和久</t>
    <phoneticPr fontId="4"/>
  </si>
  <si>
    <t>土屋勝三</t>
    <phoneticPr fontId="4"/>
  </si>
  <si>
    <t>本間裕康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</si>
  <si>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</si>
  <si>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</si>
  <si>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6名</t>
    <rPh sb="1" eb="2">
      <t>メイ</t>
    </rPh>
    <phoneticPr fontId="3"/>
  </si>
  <si>
    <t>8名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</si>
</sst>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9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26" xfId="1" applyNumberFormat="1" applyFont="1" applyBorder="1"/>
    <xf numFmtId="49" fontId="2" fillId="0" borderId="25" xfId="1" applyNumberFormat="1" applyFont="1" applyBorder="1" applyAlignment="1">
      <alignment horizontal="left"/>
    </xf>
    <xf numFmtId="49" fontId="2" fillId="0" borderId="26" xfId="1" applyNumberFormat="1" applyFont="1" applyBorder="1" applyAlignment="1">
      <alignment horizontal="right"/>
    </xf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49" fontId="2" fillId="0" borderId="33" xfId="1" applyNumberFormat="1" applyFont="1" applyBorder="1"/>
    <xf numFmtId="49" fontId="2" fillId="0" borderId="38" xfId="1" applyNumberFormat="1" applyFont="1" applyBorder="1" applyAlignment="1">
      <alignment horizontal="left"/>
    </xf>
    <xf numFmtId="0" fontId="2" fillId="0" borderId="38" xfId="1" applyFont="1" applyBorder="1"/>
    <xf numFmtId="49" fontId="2" fillId="0" borderId="39" xfId="1" applyNumberFormat="1" applyFont="1" applyBorder="1" applyAlignment="1">
      <alignment horizontal="right"/>
    </xf>
    <xf numFmtId="0" fontId="2" fillId="0" borderId="39" xfId="1" applyFont="1" applyBorder="1" applyAlignment="1">
      <alignment horizontal="right"/>
    </xf>
    <xf numFmtId="2" fontId="2" fillId="0" borderId="40" xfId="1" applyNumberFormat="1" applyFont="1" applyBorder="1"/>
    <xf numFmtId="2" fontId="2" fillId="0" borderId="41" xfId="1" applyNumberFormat="1" applyFont="1" applyBorder="1"/>
    <xf numFmtId="176" fontId="2" fillId="0" borderId="41" xfId="1" applyNumberFormat="1" applyFont="1" applyBorder="1"/>
    <xf numFmtId="2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31" xfId="1" applyNumberFormat="1" applyFont="1" applyBorder="1"/>
    <xf numFmtId="49" fontId="2" fillId="0" borderId="39" xfId="1" applyNumberFormat="1" applyFont="1" applyBorder="1"/>
    <xf numFmtId="0" fontId="2" fillId="0" borderId="43" xfId="1" applyFont="1" applyBorder="1"/>
  </cellXfs>
  <cellStyles count="2">
    <cellStyle name="標準" xfId="0" builtinId="0"/>
    <cellStyle name="標準 2" xfId="1" xr:uid="{7857B37D-1AB5-40A6-878E-439EA8CB56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4873D-792C-4C53-8EA8-2EB2388EFC33}">
  <sheetPr>
    <pageSetUpPr fitToPage="1"/>
  </sheetPr>
  <dimension ref="A1:M65"/>
  <sheetViews>
    <sheetView showZeros="0" tabSelected="1" workbookViewId="0">
      <selection activeCell="B4" sqref="B4"/>
    </sheetView>
  </sheetViews>
  <sheetFormatPr defaultRowHeight="18.75"/>
  <cols>
    <col min="1" max="1" width="2.375" style="2" customWidth="1"/>
    <col min="2" max="2" width="13.25" style="2" bestFit="1" customWidth="1"/>
    <col min="3" max="6" width="11.125" style="2" customWidth="1"/>
    <col min="7" max="7" width="11.125" style="2" bestFit="1" customWidth="1"/>
    <col min="8" max="8" width="9" style="2" bestFit="1" customWidth="1"/>
    <col min="9" max="11" width="11.125" style="2" bestFit="1" customWidth="1"/>
    <col min="12" max="12" width="11.125" style="2" customWidth="1"/>
    <col min="13" max="13" width="9.625" style="2" bestFit="1" customWidth="1"/>
    <col min="14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>
      <c r="A2" s="1" t="s">
        <v>1</v>
      </c>
    </row>
    <row r="3" spans="1:13" ht="19.5" thickBot="1">
      <c r="A3" s="1" t="s">
        <v>73</v>
      </c>
    </row>
    <row r="4" spans="1:13">
      <c r="B4" s="3"/>
      <c r="C4" s="7" t="s">
        <v>5</v>
      </c>
      <c r="D4" s="8" t="s">
        <v>10</v>
      </c>
      <c r="E4" s="52" t="s">
        <v>80</v>
      </c>
      <c r="F4" s="6" t="s">
        <v>3</v>
      </c>
      <c r="G4" s="7" t="s">
        <v>4</v>
      </c>
      <c r="H4" s="7" t="s">
        <v>6</v>
      </c>
      <c r="I4" s="7" t="s">
        <v>7</v>
      </c>
      <c r="J4" s="7" t="s">
        <v>8</v>
      </c>
      <c r="K4" s="54" t="s">
        <v>9</v>
      </c>
      <c r="L4" s="65" t="s">
        <v>80</v>
      </c>
      <c r="M4" s="66" t="s">
        <v>14</v>
      </c>
    </row>
    <row r="5" spans="1:13" ht="19.5" thickBot="1">
      <c r="A5" s="78"/>
      <c r="B5" s="25" t="s">
        <v>11</v>
      </c>
      <c r="C5" s="27" t="s">
        <v>12</v>
      </c>
      <c r="D5" s="28" t="s">
        <v>74</v>
      </c>
      <c r="E5" s="53" t="s">
        <v>81</v>
      </c>
      <c r="F5" s="26" t="s">
        <v>75</v>
      </c>
      <c r="G5" s="27" t="s">
        <v>76</v>
      </c>
      <c r="H5" s="27" t="s">
        <v>13</v>
      </c>
      <c r="I5" s="27" t="s">
        <v>77</v>
      </c>
      <c r="J5" s="27" t="s">
        <v>78</v>
      </c>
      <c r="K5" s="55" t="s">
        <v>79</v>
      </c>
      <c r="L5" s="67" t="s">
        <v>82</v>
      </c>
      <c r="M5" s="68" t="s">
        <v>83</v>
      </c>
    </row>
    <row r="6" spans="1:13">
      <c r="A6" s="1" t="s">
        <v>2</v>
      </c>
      <c r="B6" s="21" t="s">
        <v>15</v>
      </c>
      <c r="C6" s="23">
        <v>20</v>
      </c>
      <c r="D6" s="24">
        <v>11</v>
      </c>
      <c r="E6" s="43">
        <f>SUM(C6:D6)</f>
        <v>31</v>
      </c>
      <c r="F6" s="22">
        <v>19</v>
      </c>
      <c r="G6" s="23">
        <v>19</v>
      </c>
      <c r="H6" s="23">
        <v>17</v>
      </c>
      <c r="I6" s="23">
        <v>20</v>
      </c>
      <c r="J6" s="23">
        <v>19</v>
      </c>
      <c r="K6" s="56">
        <v>19</v>
      </c>
      <c r="L6" s="69">
        <f>SUM(F6:K6)</f>
        <v>113</v>
      </c>
      <c r="M6" s="69">
        <f>E6+L6</f>
        <v>144</v>
      </c>
    </row>
    <row r="7" spans="1:13">
      <c r="A7" s="1" t="s">
        <v>2</v>
      </c>
      <c r="B7" s="4" t="s">
        <v>16</v>
      </c>
      <c r="C7" s="10">
        <v>0</v>
      </c>
      <c r="D7" s="11">
        <v>0</v>
      </c>
      <c r="E7" s="44"/>
      <c r="F7" s="9">
        <v>0</v>
      </c>
      <c r="G7" s="10">
        <v>0</v>
      </c>
      <c r="H7" s="10">
        <v>0</v>
      </c>
      <c r="I7" s="10">
        <v>1</v>
      </c>
      <c r="J7" s="10">
        <v>3</v>
      </c>
      <c r="K7" s="57">
        <v>3</v>
      </c>
      <c r="L7" s="70">
        <f>SUM(F7:K7)</f>
        <v>7</v>
      </c>
      <c r="M7" s="70">
        <f t="shared" ref="M7:M56" si="0">E7+L7</f>
        <v>7</v>
      </c>
    </row>
    <row r="8" spans="1:13">
      <c r="A8" s="1" t="s">
        <v>2</v>
      </c>
      <c r="B8" s="4" t="s">
        <v>17</v>
      </c>
      <c r="C8" s="10">
        <v>0</v>
      </c>
      <c r="D8" s="11">
        <v>0</v>
      </c>
      <c r="E8" s="44"/>
      <c r="F8" s="9">
        <v>0</v>
      </c>
      <c r="G8" s="10">
        <v>0</v>
      </c>
      <c r="H8" s="10">
        <v>1</v>
      </c>
      <c r="I8" s="10">
        <v>0</v>
      </c>
      <c r="J8" s="10">
        <v>1</v>
      </c>
      <c r="K8" s="57">
        <v>1</v>
      </c>
      <c r="L8" s="70">
        <f>SUM(F8:K8)</f>
        <v>3</v>
      </c>
      <c r="M8" s="70">
        <f t="shared" si="0"/>
        <v>3</v>
      </c>
    </row>
    <row r="9" spans="1:13">
      <c r="A9" s="1" t="s">
        <v>2</v>
      </c>
      <c r="B9" s="4" t="s">
        <v>18</v>
      </c>
      <c r="C9" s="10">
        <v>0</v>
      </c>
      <c r="D9" s="11">
        <v>0</v>
      </c>
      <c r="E9" s="44"/>
      <c r="F9" s="9">
        <v>0</v>
      </c>
      <c r="G9" s="10">
        <v>0</v>
      </c>
      <c r="H9" s="10">
        <v>0</v>
      </c>
      <c r="I9" s="10">
        <v>0</v>
      </c>
      <c r="J9" s="10">
        <v>0</v>
      </c>
      <c r="K9" s="57">
        <v>0</v>
      </c>
      <c r="L9" s="70"/>
      <c r="M9" s="70">
        <f t="shared" si="0"/>
        <v>0</v>
      </c>
    </row>
    <row r="10" spans="1:13">
      <c r="A10" s="1" t="s">
        <v>2</v>
      </c>
      <c r="B10" s="4" t="s">
        <v>19</v>
      </c>
      <c r="C10" s="10">
        <v>0</v>
      </c>
      <c r="D10" s="11">
        <v>2</v>
      </c>
      <c r="E10" s="44">
        <f>SUM(C10:D10)</f>
        <v>2</v>
      </c>
      <c r="F10" s="9">
        <v>1</v>
      </c>
      <c r="G10" s="10">
        <v>1</v>
      </c>
      <c r="H10" s="10">
        <v>1</v>
      </c>
      <c r="I10" s="10">
        <v>0</v>
      </c>
      <c r="J10" s="10">
        <v>1</v>
      </c>
      <c r="K10" s="57">
        <v>1</v>
      </c>
      <c r="L10" s="70">
        <f>SUM(F10:K10)</f>
        <v>5</v>
      </c>
      <c r="M10" s="70">
        <f t="shared" si="0"/>
        <v>7</v>
      </c>
    </row>
    <row r="11" spans="1:13">
      <c r="A11" s="1" t="s">
        <v>2</v>
      </c>
      <c r="B11" s="4" t="s">
        <v>20</v>
      </c>
      <c r="C11" s="10">
        <v>0</v>
      </c>
      <c r="D11" s="11">
        <v>0</v>
      </c>
      <c r="E11" s="44"/>
      <c r="F11" s="9">
        <v>0</v>
      </c>
      <c r="G11" s="10">
        <v>0</v>
      </c>
      <c r="H11" s="10">
        <v>2</v>
      </c>
      <c r="I11" s="10">
        <v>0</v>
      </c>
      <c r="J11" s="10">
        <v>0</v>
      </c>
      <c r="K11" s="57">
        <v>0</v>
      </c>
      <c r="L11" s="70">
        <f>SUM(F11:K11)</f>
        <v>2</v>
      </c>
      <c r="M11" s="70">
        <f t="shared" si="0"/>
        <v>2</v>
      </c>
    </row>
    <row r="12" spans="1:13">
      <c r="A12" s="1" t="s">
        <v>2</v>
      </c>
      <c r="B12" s="4" t="s">
        <v>21</v>
      </c>
      <c r="C12" s="10">
        <v>0</v>
      </c>
      <c r="D12" s="11">
        <v>0</v>
      </c>
      <c r="E12" s="44"/>
      <c r="F12" s="9">
        <v>0</v>
      </c>
      <c r="G12" s="10">
        <v>0</v>
      </c>
      <c r="H12" s="10">
        <v>0</v>
      </c>
      <c r="I12" s="10">
        <v>0</v>
      </c>
      <c r="J12" s="10">
        <v>0</v>
      </c>
      <c r="K12" s="57">
        <v>0</v>
      </c>
      <c r="L12" s="70"/>
      <c r="M12" s="70">
        <f t="shared" si="0"/>
        <v>0</v>
      </c>
    </row>
    <row r="13" spans="1:13">
      <c r="A13" s="1" t="s">
        <v>2</v>
      </c>
      <c r="B13" s="4" t="s">
        <v>22</v>
      </c>
      <c r="C13" s="10">
        <v>0</v>
      </c>
      <c r="D13" s="11">
        <v>0</v>
      </c>
      <c r="E13" s="44"/>
      <c r="F13" s="9">
        <v>0</v>
      </c>
      <c r="G13" s="10">
        <v>0</v>
      </c>
      <c r="H13" s="10">
        <v>0</v>
      </c>
      <c r="I13" s="10">
        <v>0</v>
      </c>
      <c r="J13" s="10">
        <v>0</v>
      </c>
      <c r="K13" s="57">
        <v>0</v>
      </c>
      <c r="L13" s="70"/>
      <c r="M13" s="70">
        <f t="shared" si="0"/>
        <v>0</v>
      </c>
    </row>
    <row r="14" spans="1:13">
      <c r="A14" s="1" t="s">
        <v>2</v>
      </c>
      <c r="B14" s="4" t="s">
        <v>23</v>
      </c>
      <c r="C14" s="13">
        <v>0</v>
      </c>
      <c r="D14" s="14">
        <v>3.2083333333333335</v>
      </c>
      <c r="E14" s="45">
        <f>SUM(C14:D14)</f>
        <v>3.2083333333333335</v>
      </c>
      <c r="F14" s="12">
        <v>0</v>
      </c>
      <c r="G14" s="13">
        <v>0</v>
      </c>
      <c r="H14" s="13">
        <v>0</v>
      </c>
      <c r="I14" s="13">
        <v>0</v>
      </c>
      <c r="J14" s="13">
        <v>0</v>
      </c>
      <c r="K14" s="58">
        <v>0</v>
      </c>
      <c r="L14" s="71"/>
      <c r="M14" s="71">
        <f t="shared" si="0"/>
        <v>3.2083333333333335</v>
      </c>
    </row>
    <row r="15" spans="1:13">
      <c r="A15" s="1" t="s">
        <v>2</v>
      </c>
      <c r="B15" s="4" t="s">
        <v>24</v>
      </c>
      <c r="C15" s="13">
        <v>0</v>
      </c>
      <c r="D15" s="14">
        <v>0</v>
      </c>
      <c r="E15" s="45"/>
      <c r="F15" s="12">
        <v>1.9166666666666665</v>
      </c>
      <c r="G15" s="13">
        <v>1.4583333333333333</v>
      </c>
      <c r="H15" s="13">
        <v>0.70833333333333337</v>
      </c>
      <c r="I15" s="13">
        <v>1.375</v>
      </c>
      <c r="J15" s="13">
        <v>1.0833333333333333</v>
      </c>
      <c r="K15" s="58">
        <v>0.83333333333333337</v>
      </c>
      <c r="L15" s="71">
        <f>SUM(F15:K15)</f>
        <v>7.3749999999999991</v>
      </c>
      <c r="M15" s="71">
        <f t="shared" si="0"/>
        <v>7.3749999999999991</v>
      </c>
    </row>
    <row r="16" spans="1:13">
      <c r="A16" s="1" t="s">
        <v>2</v>
      </c>
      <c r="B16" s="4" t="s">
        <v>25</v>
      </c>
      <c r="C16" s="13">
        <v>0</v>
      </c>
      <c r="D16" s="14">
        <v>0</v>
      </c>
      <c r="E16" s="45"/>
      <c r="F16" s="12">
        <v>0</v>
      </c>
      <c r="G16" s="13">
        <v>0</v>
      </c>
      <c r="H16" s="13">
        <v>0</v>
      </c>
      <c r="I16" s="13">
        <v>0.41666666666666669</v>
      </c>
      <c r="J16" s="13">
        <v>0.95833333333333337</v>
      </c>
      <c r="K16" s="58">
        <v>0.83333333333333337</v>
      </c>
      <c r="L16" s="71">
        <f t="shared" ref="L16:L17" si="1">SUM(F16:K16)</f>
        <v>2.2083333333333335</v>
      </c>
      <c r="M16" s="71">
        <f t="shared" si="0"/>
        <v>2.2083333333333335</v>
      </c>
    </row>
    <row r="17" spans="1:13">
      <c r="A17" s="1" t="s">
        <v>2</v>
      </c>
      <c r="B17" s="4" t="s">
        <v>26</v>
      </c>
      <c r="C17" s="13">
        <v>0</v>
      </c>
      <c r="D17" s="14">
        <v>0</v>
      </c>
      <c r="E17" s="45"/>
      <c r="F17" s="12">
        <v>0</v>
      </c>
      <c r="G17" s="13">
        <v>0</v>
      </c>
      <c r="H17" s="13">
        <v>0.20833333333333334</v>
      </c>
      <c r="I17" s="13">
        <v>0</v>
      </c>
      <c r="J17" s="13">
        <v>0.20833333333333334</v>
      </c>
      <c r="K17" s="58">
        <v>0.20833333333333334</v>
      </c>
      <c r="L17" s="71">
        <f t="shared" si="1"/>
        <v>0.625</v>
      </c>
      <c r="M17" s="71">
        <f t="shared" si="0"/>
        <v>0.625</v>
      </c>
    </row>
    <row r="18" spans="1:13">
      <c r="A18" s="1" t="s">
        <v>2</v>
      </c>
      <c r="B18" s="4" t="s">
        <v>27</v>
      </c>
      <c r="C18" s="13">
        <v>0</v>
      </c>
      <c r="D18" s="14">
        <v>0</v>
      </c>
      <c r="E18" s="45"/>
      <c r="F18" s="12">
        <v>0</v>
      </c>
      <c r="G18" s="13">
        <v>0</v>
      </c>
      <c r="H18" s="13">
        <v>0</v>
      </c>
      <c r="I18" s="13">
        <v>0</v>
      </c>
      <c r="J18" s="13">
        <v>0</v>
      </c>
      <c r="K18" s="58">
        <v>0</v>
      </c>
      <c r="L18" s="71"/>
      <c r="M18" s="71">
        <f t="shared" si="0"/>
        <v>0</v>
      </c>
    </row>
    <row r="19" spans="1:13">
      <c r="A19" s="1" t="s">
        <v>2</v>
      </c>
      <c r="B19" s="4" t="s">
        <v>28</v>
      </c>
      <c r="C19" s="13">
        <v>0</v>
      </c>
      <c r="D19" s="14">
        <v>0</v>
      </c>
      <c r="E19" s="45"/>
      <c r="F19" s="12">
        <v>0</v>
      </c>
      <c r="G19" s="13">
        <v>0</v>
      </c>
      <c r="H19" s="13">
        <v>0</v>
      </c>
      <c r="I19" s="13">
        <v>0</v>
      </c>
      <c r="J19" s="13">
        <v>0</v>
      </c>
      <c r="K19" s="58">
        <v>0</v>
      </c>
      <c r="L19" s="71"/>
      <c r="M19" s="71">
        <f t="shared" si="0"/>
        <v>0</v>
      </c>
    </row>
    <row r="20" spans="1:13">
      <c r="A20" s="1" t="s">
        <v>2</v>
      </c>
      <c r="B20" s="4" t="s">
        <v>29</v>
      </c>
      <c r="C20" s="13">
        <v>0</v>
      </c>
      <c r="D20" s="14">
        <v>0</v>
      </c>
      <c r="E20" s="45"/>
      <c r="F20" s="12">
        <v>0</v>
      </c>
      <c r="G20" s="13">
        <v>0</v>
      </c>
      <c r="H20" s="13">
        <v>0</v>
      </c>
      <c r="I20" s="13">
        <v>0</v>
      </c>
      <c r="J20" s="13">
        <v>0</v>
      </c>
      <c r="K20" s="58">
        <v>0</v>
      </c>
      <c r="L20" s="71"/>
      <c r="M20" s="71">
        <f t="shared" si="0"/>
        <v>0</v>
      </c>
    </row>
    <row r="21" spans="1:13">
      <c r="A21" s="1" t="s">
        <v>2</v>
      </c>
      <c r="B21" s="4" t="s">
        <v>30</v>
      </c>
      <c r="C21" s="13">
        <v>0</v>
      </c>
      <c r="D21" s="14">
        <v>0.58333333333333337</v>
      </c>
      <c r="E21" s="45">
        <f>SUM(C21:D21)</f>
        <v>0.58333333333333337</v>
      </c>
      <c r="F21" s="12">
        <v>0</v>
      </c>
      <c r="G21" s="13">
        <v>0</v>
      </c>
      <c r="H21" s="13">
        <v>0</v>
      </c>
      <c r="I21" s="13">
        <v>0</v>
      </c>
      <c r="J21" s="13">
        <v>0</v>
      </c>
      <c r="K21" s="58">
        <v>0</v>
      </c>
      <c r="L21" s="71"/>
      <c r="M21" s="71">
        <f t="shared" si="0"/>
        <v>0.58333333333333337</v>
      </c>
    </row>
    <row r="22" spans="1:13">
      <c r="A22" s="1" t="s">
        <v>2</v>
      </c>
      <c r="B22" s="4" t="s">
        <v>31</v>
      </c>
      <c r="C22" s="13">
        <v>0</v>
      </c>
      <c r="D22" s="14">
        <v>0</v>
      </c>
      <c r="E22" s="45"/>
      <c r="F22" s="12">
        <v>0</v>
      </c>
      <c r="G22" s="13">
        <v>0</v>
      </c>
      <c r="H22" s="13">
        <v>0</v>
      </c>
      <c r="I22" s="13">
        <v>0</v>
      </c>
      <c r="J22" s="13">
        <v>0</v>
      </c>
      <c r="K22" s="58">
        <v>0</v>
      </c>
      <c r="L22" s="71"/>
      <c r="M22" s="71">
        <f t="shared" si="0"/>
        <v>0</v>
      </c>
    </row>
    <row r="23" spans="1:13">
      <c r="A23" s="1" t="s">
        <v>2</v>
      </c>
      <c r="B23" s="4" t="s">
        <v>32</v>
      </c>
      <c r="C23" s="13">
        <v>0</v>
      </c>
      <c r="D23" s="14">
        <v>0</v>
      </c>
      <c r="E23" s="45"/>
      <c r="F23" s="12">
        <v>0.5</v>
      </c>
      <c r="G23" s="13">
        <v>0.66666666666666663</v>
      </c>
      <c r="H23" s="13">
        <v>8.3333333333333329E-2</v>
      </c>
      <c r="I23" s="13">
        <v>0.75</v>
      </c>
      <c r="J23" s="13">
        <v>0.20833333333333334</v>
      </c>
      <c r="K23" s="58">
        <v>8.3333333333333329E-2</v>
      </c>
      <c r="L23" s="71">
        <f>SUM(F23:K23)</f>
        <v>2.2916666666666665</v>
      </c>
      <c r="M23" s="71">
        <f t="shared" si="0"/>
        <v>2.2916666666666665</v>
      </c>
    </row>
    <row r="24" spans="1:13" ht="19.5" thickBot="1">
      <c r="A24" s="1" t="s">
        <v>2</v>
      </c>
      <c r="B24" s="5" t="s">
        <v>33</v>
      </c>
      <c r="C24" s="33">
        <v>40</v>
      </c>
      <c r="D24" s="34">
        <v>18</v>
      </c>
      <c r="E24" s="46">
        <f>SUM(C24:D24)</f>
        <v>58</v>
      </c>
      <c r="F24" s="32">
        <v>39</v>
      </c>
      <c r="G24" s="33">
        <v>39</v>
      </c>
      <c r="H24" s="33">
        <v>39</v>
      </c>
      <c r="I24" s="33">
        <v>34</v>
      </c>
      <c r="J24" s="33">
        <v>33</v>
      </c>
      <c r="K24" s="59">
        <v>33</v>
      </c>
      <c r="L24" s="72">
        <f>SUM(F24:K24)</f>
        <v>217</v>
      </c>
      <c r="M24" s="72">
        <f t="shared" si="0"/>
        <v>275</v>
      </c>
    </row>
    <row r="25" spans="1:13">
      <c r="A25" s="1" t="s">
        <v>2</v>
      </c>
      <c r="B25" s="21" t="s">
        <v>34</v>
      </c>
      <c r="C25" s="30">
        <v>355000</v>
      </c>
      <c r="D25" s="31">
        <v>0</v>
      </c>
      <c r="E25" s="47">
        <f>SUM(C25:D25)</f>
        <v>355000</v>
      </c>
      <c r="F25" s="29">
        <v>177000</v>
      </c>
      <c r="G25" s="30">
        <v>192000</v>
      </c>
      <c r="H25" s="30">
        <v>177000</v>
      </c>
      <c r="I25" s="30">
        <v>177000</v>
      </c>
      <c r="J25" s="30">
        <v>177000</v>
      </c>
      <c r="K25" s="60">
        <v>170000</v>
      </c>
      <c r="L25" s="73">
        <f>SUM(F25:K25)</f>
        <v>1070000</v>
      </c>
      <c r="M25" s="73">
        <f t="shared" si="0"/>
        <v>1425000</v>
      </c>
    </row>
    <row r="26" spans="1:13">
      <c r="A26" s="1" t="s">
        <v>2</v>
      </c>
      <c r="B26" s="4" t="s">
        <v>35</v>
      </c>
      <c r="C26" s="16">
        <v>0</v>
      </c>
      <c r="D26" s="17">
        <v>0</v>
      </c>
      <c r="E26" s="48"/>
      <c r="F26" s="15">
        <v>0</v>
      </c>
      <c r="G26" s="16">
        <v>5000</v>
      </c>
      <c r="H26" s="16">
        <v>0</v>
      </c>
      <c r="I26" s="16">
        <v>0</v>
      </c>
      <c r="J26" s="16">
        <v>0</v>
      </c>
      <c r="K26" s="61">
        <v>0</v>
      </c>
      <c r="L26" s="74">
        <f>SUM(F26:K26)</f>
        <v>5000</v>
      </c>
      <c r="M26" s="74">
        <f t="shared" si="0"/>
        <v>5000</v>
      </c>
    </row>
    <row r="27" spans="1:13">
      <c r="A27" s="1" t="s">
        <v>2</v>
      </c>
      <c r="B27" s="4" t="s">
        <v>36</v>
      </c>
      <c r="C27" s="16">
        <v>0</v>
      </c>
      <c r="D27" s="17">
        <v>0</v>
      </c>
      <c r="E27" s="48"/>
      <c r="F27" s="15">
        <v>6000</v>
      </c>
      <c r="G27" s="16">
        <v>0</v>
      </c>
      <c r="H27" s="16">
        <v>3000</v>
      </c>
      <c r="I27" s="16">
        <v>0</v>
      </c>
      <c r="J27" s="16">
        <v>0</v>
      </c>
      <c r="K27" s="61">
        <v>0</v>
      </c>
      <c r="L27" s="74">
        <f t="shared" ref="L27:L28" si="2">SUM(F27:K27)</f>
        <v>9000</v>
      </c>
      <c r="M27" s="74">
        <f t="shared" si="0"/>
        <v>9000</v>
      </c>
    </row>
    <row r="28" spans="1:13">
      <c r="A28" s="1" t="s">
        <v>2</v>
      </c>
      <c r="B28" s="4" t="s">
        <v>37</v>
      </c>
      <c r="C28" s="16">
        <v>50000</v>
      </c>
      <c r="D28" s="17">
        <v>0</v>
      </c>
      <c r="E28" s="48">
        <f>SUM(C28:D28)</f>
        <v>50000</v>
      </c>
      <c r="F28" s="15">
        <v>50000</v>
      </c>
      <c r="G28" s="16">
        <v>50000</v>
      </c>
      <c r="H28" s="16">
        <v>50000</v>
      </c>
      <c r="I28" s="16">
        <v>50000</v>
      </c>
      <c r="J28" s="16">
        <v>50000</v>
      </c>
      <c r="K28" s="61">
        <v>50000</v>
      </c>
      <c r="L28" s="74">
        <f t="shared" si="2"/>
        <v>300000</v>
      </c>
      <c r="M28" s="74">
        <f t="shared" si="0"/>
        <v>350000</v>
      </c>
    </row>
    <row r="29" spans="1:13">
      <c r="A29" s="1" t="s">
        <v>2</v>
      </c>
      <c r="B29" s="4" t="s">
        <v>38</v>
      </c>
      <c r="C29" s="16">
        <v>0</v>
      </c>
      <c r="D29" s="17">
        <v>0</v>
      </c>
      <c r="E29" s="48"/>
      <c r="F29" s="15">
        <v>0</v>
      </c>
      <c r="G29" s="16">
        <v>0</v>
      </c>
      <c r="H29" s="16">
        <v>0</v>
      </c>
      <c r="I29" s="16">
        <v>0</v>
      </c>
      <c r="J29" s="16">
        <v>0</v>
      </c>
      <c r="K29" s="61">
        <v>0</v>
      </c>
      <c r="L29" s="74"/>
      <c r="M29" s="74">
        <f t="shared" si="0"/>
        <v>0</v>
      </c>
    </row>
    <row r="30" spans="1:13">
      <c r="A30" s="1" t="s">
        <v>2</v>
      </c>
      <c r="B30" s="4" t="s">
        <v>39</v>
      </c>
      <c r="C30" s="16">
        <v>0</v>
      </c>
      <c r="D30" s="17">
        <v>87780</v>
      </c>
      <c r="E30" s="48">
        <f>SUM(C30:D30)</f>
        <v>87780</v>
      </c>
      <c r="F30" s="15">
        <v>0</v>
      </c>
      <c r="G30" s="16">
        <v>0</v>
      </c>
      <c r="H30" s="16">
        <v>0</v>
      </c>
      <c r="I30" s="16">
        <v>0</v>
      </c>
      <c r="J30" s="16">
        <v>0</v>
      </c>
      <c r="K30" s="61">
        <v>0</v>
      </c>
      <c r="L30" s="74"/>
      <c r="M30" s="74">
        <f t="shared" si="0"/>
        <v>87780</v>
      </c>
    </row>
    <row r="31" spans="1:13">
      <c r="A31" s="1" t="s">
        <v>2</v>
      </c>
      <c r="B31" s="4" t="s">
        <v>40</v>
      </c>
      <c r="C31" s="16">
        <v>0</v>
      </c>
      <c r="D31" s="17">
        <v>0</v>
      </c>
      <c r="E31" s="48"/>
      <c r="F31" s="15">
        <v>0</v>
      </c>
      <c r="G31" s="16">
        <v>0</v>
      </c>
      <c r="H31" s="16">
        <v>0</v>
      </c>
      <c r="I31" s="16">
        <v>0</v>
      </c>
      <c r="J31" s="16">
        <v>0</v>
      </c>
      <c r="K31" s="61">
        <v>0</v>
      </c>
      <c r="L31" s="74"/>
      <c r="M31" s="74">
        <f t="shared" si="0"/>
        <v>0</v>
      </c>
    </row>
    <row r="32" spans="1:13">
      <c r="A32" s="1" t="s">
        <v>2</v>
      </c>
      <c r="B32" s="4" t="s">
        <v>41</v>
      </c>
      <c r="C32" s="16">
        <v>0</v>
      </c>
      <c r="D32" s="17">
        <v>0</v>
      </c>
      <c r="E32" s="48"/>
      <c r="F32" s="15">
        <v>24800</v>
      </c>
      <c r="G32" s="16">
        <v>23600</v>
      </c>
      <c r="H32" s="16">
        <v>23200</v>
      </c>
      <c r="I32" s="16">
        <v>24000</v>
      </c>
      <c r="J32" s="16">
        <v>26200</v>
      </c>
      <c r="K32" s="61">
        <v>27600</v>
      </c>
      <c r="L32" s="74">
        <f>SUM(F32:K32)</f>
        <v>149400</v>
      </c>
      <c r="M32" s="74">
        <f t="shared" si="0"/>
        <v>149400</v>
      </c>
    </row>
    <row r="33" spans="1:13">
      <c r="A33" s="1" t="s">
        <v>2</v>
      </c>
      <c r="B33" s="4" t="s">
        <v>42</v>
      </c>
      <c r="C33" s="16">
        <v>0</v>
      </c>
      <c r="D33" s="17">
        <v>0</v>
      </c>
      <c r="E33" s="48"/>
      <c r="F33" s="15">
        <v>1000</v>
      </c>
      <c r="G33" s="16">
        <v>1000</v>
      </c>
      <c r="H33" s="16">
        <v>1000</v>
      </c>
      <c r="I33" s="16">
        <v>1000</v>
      </c>
      <c r="J33" s="16">
        <v>1000</v>
      </c>
      <c r="K33" s="61">
        <v>1000</v>
      </c>
      <c r="L33" s="74">
        <f>SUM(F33:K33)</f>
        <v>6000</v>
      </c>
      <c r="M33" s="74">
        <f t="shared" si="0"/>
        <v>6000</v>
      </c>
    </row>
    <row r="34" spans="1:13">
      <c r="A34" s="1" t="s">
        <v>2</v>
      </c>
      <c r="B34" s="4" t="s">
        <v>43</v>
      </c>
      <c r="C34" s="16">
        <v>0</v>
      </c>
      <c r="D34" s="17">
        <v>15960</v>
      </c>
      <c r="E34" s="48">
        <f>SUM(C34:D34)</f>
        <v>15960</v>
      </c>
      <c r="F34" s="15">
        <v>0</v>
      </c>
      <c r="G34" s="16">
        <v>0</v>
      </c>
      <c r="H34" s="16">
        <v>0</v>
      </c>
      <c r="I34" s="16">
        <v>0</v>
      </c>
      <c r="J34" s="16">
        <v>0</v>
      </c>
      <c r="K34" s="61">
        <v>0</v>
      </c>
      <c r="L34" s="74"/>
      <c r="M34" s="74">
        <f t="shared" si="0"/>
        <v>15960</v>
      </c>
    </row>
    <row r="35" spans="1:13">
      <c r="A35" s="1" t="s">
        <v>2</v>
      </c>
      <c r="B35" s="4" t="s">
        <v>44</v>
      </c>
      <c r="C35" s="16">
        <v>0</v>
      </c>
      <c r="D35" s="17">
        <v>0</v>
      </c>
      <c r="E35" s="48"/>
      <c r="F35" s="15">
        <v>0</v>
      </c>
      <c r="G35" s="16">
        <v>0</v>
      </c>
      <c r="H35" s="16">
        <v>0</v>
      </c>
      <c r="I35" s="16">
        <v>0</v>
      </c>
      <c r="J35" s="16">
        <v>0</v>
      </c>
      <c r="K35" s="61">
        <v>0</v>
      </c>
      <c r="L35" s="74"/>
      <c r="M35" s="74">
        <f t="shared" si="0"/>
        <v>0</v>
      </c>
    </row>
    <row r="36" spans="1:13">
      <c r="A36" s="1" t="s">
        <v>2</v>
      </c>
      <c r="B36" s="4" t="s">
        <v>45</v>
      </c>
      <c r="C36" s="16">
        <v>0</v>
      </c>
      <c r="D36" s="17">
        <v>0</v>
      </c>
      <c r="E36" s="48"/>
      <c r="F36" s="15">
        <v>23700</v>
      </c>
      <c r="G36" s="16">
        <v>10500</v>
      </c>
      <c r="H36" s="16">
        <v>13500</v>
      </c>
      <c r="I36" s="16">
        <v>13000</v>
      </c>
      <c r="J36" s="16">
        <v>13000</v>
      </c>
      <c r="K36" s="61">
        <v>15000</v>
      </c>
      <c r="L36" s="74">
        <f>SUM(F36:K36)</f>
        <v>88700</v>
      </c>
      <c r="M36" s="74">
        <f t="shared" si="0"/>
        <v>88700</v>
      </c>
    </row>
    <row r="37" spans="1:13">
      <c r="A37" s="1" t="s">
        <v>2</v>
      </c>
      <c r="B37" s="4" t="s">
        <v>46</v>
      </c>
      <c r="C37" s="16">
        <v>0</v>
      </c>
      <c r="D37" s="17">
        <v>0</v>
      </c>
      <c r="E37" s="48"/>
      <c r="F37" s="15">
        <v>0</v>
      </c>
      <c r="G37" s="16">
        <v>0</v>
      </c>
      <c r="H37" s="16">
        <v>0</v>
      </c>
      <c r="I37" s="16">
        <v>0</v>
      </c>
      <c r="J37" s="16">
        <v>0</v>
      </c>
      <c r="K37" s="61">
        <v>0</v>
      </c>
      <c r="L37" s="74"/>
      <c r="M37" s="74">
        <f t="shared" si="0"/>
        <v>0</v>
      </c>
    </row>
    <row r="38" spans="1:13">
      <c r="A38" s="1" t="s">
        <v>2</v>
      </c>
      <c r="B38" s="4" t="s">
        <v>47</v>
      </c>
      <c r="C38" s="16">
        <v>0</v>
      </c>
      <c r="D38" s="17">
        <v>0</v>
      </c>
      <c r="E38" s="48"/>
      <c r="F38" s="15">
        <v>0</v>
      </c>
      <c r="G38" s="16">
        <v>0</v>
      </c>
      <c r="H38" s="16">
        <v>0</v>
      </c>
      <c r="I38" s="16">
        <v>0</v>
      </c>
      <c r="J38" s="16">
        <v>0</v>
      </c>
      <c r="K38" s="61">
        <v>0</v>
      </c>
      <c r="L38" s="74"/>
      <c r="M38" s="74">
        <f t="shared" si="0"/>
        <v>0</v>
      </c>
    </row>
    <row r="39" spans="1:13">
      <c r="A39" s="1" t="s">
        <v>2</v>
      </c>
      <c r="B39" s="4" t="s">
        <v>24</v>
      </c>
      <c r="C39" s="16">
        <v>0</v>
      </c>
      <c r="D39" s="17">
        <v>0</v>
      </c>
      <c r="E39" s="48"/>
      <c r="F39" s="15">
        <v>88734</v>
      </c>
      <c r="G39" s="16">
        <v>67725</v>
      </c>
      <c r="H39" s="16">
        <v>31110</v>
      </c>
      <c r="I39" s="16">
        <v>59532</v>
      </c>
      <c r="J39" s="16">
        <v>46904</v>
      </c>
      <c r="K39" s="61">
        <v>35320</v>
      </c>
      <c r="L39" s="74">
        <f>SUM(F39:K39)</f>
        <v>329325</v>
      </c>
      <c r="M39" s="74">
        <f t="shared" si="0"/>
        <v>329325</v>
      </c>
    </row>
    <row r="40" spans="1:13">
      <c r="A40" s="1" t="s">
        <v>2</v>
      </c>
      <c r="B40" s="4" t="s">
        <v>48</v>
      </c>
      <c r="C40" s="16">
        <v>0</v>
      </c>
      <c r="D40" s="17">
        <v>0</v>
      </c>
      <c r="E40" s="48"/>
      <c r="F40" s="15">
        <v>0</v>
      </c>
      <c r="G40" s="16">
        <v>0</v>
      </c>
      <c r="H40" s="16">
        <v>0</v>
      </c>
      <c r="I40" s="16">
        <v>19480</v>
      </c>
      <c r="J40" s="16">
        <v>44804</v>
      </c>
      <c r="K40" s="61">
        <v>38160</v>
      </c>
      <c r="L40" s="74">
        <f t="shared" ref="L40:L41" si="3">SUM(F40:K40)</f>
        <v>102444</v>
      </c>
      <c r="M40" s="74">
        <f t="shared" si="0"/>
        <v>102444</v>
      </c>
    </row>
    <row r="41" spans="1:13">
      <c r="A41" s="1" t="s">
        <v>2</v>
      </c>
      <c r="B41" s="4" t="s">
        <v>49</v>
      </c>
      <c r="C41" s="16">
        <v>0</v>
      </c>
      <c r="D41" s="17">
        <v>0</v>
      </c>
      <c r="E41" s="48"/>
      <c r="F41" s="15">
        <v>0</v>
      </c>
      <c r="G41" s="16">
        <v>0</v>
      </c>
      <c r="H41" s="16">
        <v>9880</v>
      </c>
      <c r="I41" s="16">
        <v>0</v>
      </c>
      <c r="J41" s="16">
        <v>9740</v>
      </c>
      <c r="K41" s="61">
        <v>9540</v>
      </c>
      <c r="L41" s="74">
        <f t="shared" si="3"/>
        <v>29160</v>
      </c>
      <c r="M41" s="74">
        <f t="shared" si="0"/>
        <v>29160</v>
      </c>
    </row>
    <row r="42" spans="1:13">
      <c r="A42" s="1" t="s">
        <v>2</v>
      </c>
      <c r="B42" s="4" t="s">
        <v>50</v>
      </c>
      <c r="C42" s="16">
        <v>0</v>
      </c>
      <c r="D42" s="17">
        <v>0</v>
      </c>
      <c r="E42" s="48"/>
      <c r="F42" s="15">
        <v>0</v>
      </c>
      <c r="G42" s="16">
        <v>0</v>
      </c>
      <c r="H42" s="16">
        <v>0</v>
      </c>
      <c r="I42" s="16">
        <v>0</v>
      </c>
      <c r="J42" s="16">
        <v>0</v>
      </c>
      <c r="K42" s="61">
        <v>0</v>
      </c>
      <c r="L42" s="74"/>
      <c r="M42" s="74">
        <f t="shared" si="0"/>
        <v>0</v>
      </c>
    </row>
    <row r="43" spans="1:13">
      <c r="A43" s="1" t="s">
        <v>2</v>
      </c>
      <c r="B43" s="4" t="s">
        <v>51</v>
      </c>
      <c r="C43" s="16">
        <v>0</v>
      </c>
      <c r="D43" s="17">
        <v>0</v>
      </c>
      <c r="E43" s="48"/>
      <c r="F43" s="15">
        <v>0</v>
      </c>
      <c r="G43" s="16">
        <v>0</v>
      </c>
      <c r="H43" s="16">
        <v>0</v>
      </c>
      <c r="I43" s="16">
        <v>0</v>
      </c>
      <c r="J43" s="16">
        <v>0</v>
      </c>
      <c r="K43" s="61">
        <v>0</v>
      </c>
      <c r="L43" s="74"/>
      <c r="M43" s="74">
        <f t="shared" si="0"/>
        <v>0</v>
      </c>
    </row>
    <row r="44" spans="1:13">
      <c r="A44" s="1" t="s">
        <v>2</v>
      </c>
      <c r="B44" s="4" t="s">
        <v>52</v>
      </c>
      <c r="C44" s="16">
        <v>0</v>
      </c>
      <c r="D44" s="17">
        <v>0</v>
      </c>
      <c r="E44" s="48"/>
      <c r="F44" s="15">
        <v>0</v>
      </c>
      <c r="G44" s="16">
        <v>0</v>
      </c>
      <c r="H44" s="16">
        <v>0</v>
      </c>
      <c r="I44" s="16">
        <v>0</v>
      </c>
      <c r="J44" s="16">
        <v>0</v>
      </c>
      <c r="K44" s="61">
        <v>0</v>
      </c>
      <c r="L44" s="74"/>
      <c r="M44" s="74">
        <f t="shared" si="0"/>
        <v>0</v>
      </c>
    </row>
    <row r="45" spans="1:13">
      <c r="A45" s="1" t="s">
        <v>2</v>
      </c>
      <c r="B45" s="4" t="s">
        <v>29</v>
      </c>
      <c r="C45" s="16">
        <v>0</v>
      </c>
      <c r="D45" s="17">
        <v>0</v>
      </c>
      <c r="E45" s="48"/>
      <c r="F45" s="15">
        <v>0</v>
      </c>
      <c r="G45" s="16">
        <v>0</v>
      </c>
      <c r="H45" s="16">
        <v>0</v>
      </c>
      <c r="I45" s="16">
        <v>0</v>
      </c>
      <c r="J45" s="16">
        <v>0</v>
      </c>
      <c r="K45" s="61">
        <v>0</v>
      </c>
      <c r="L45" s="74"/>
      <c r="M45" s="74">
        <f t="shared" si="0"/>
        <v>0</v>
      </c>
    </row>
    <row r="46" spans="1:13" ht="19.5" thickBot="1">
      <c r="A46" s="1" t="s">
        <v>2</v>
      </c>
      <c r="B46" s="35" t="s">
        <v>32</v>
      </c>
      <c r="C46" s="37">
        <v>0</v>
      </c>
      <c r="D46" s="38">
        <v>0</v>
      </c>
      <c r="E46" s="49"/>
      <c r="F46" s="36">
        <v>4632</v>
      </c>
      <c r="G46" s="37">
        <v>6192</v>
      </c>
      <c r="H46" s="37">
        <v>732</v>
      </c>
      <c r="I46" s="37">
        <v>6498</v>
      </c>
      <c r="J46" s="37">
        <v>1805</v>
      </c>
      <c r="K46" s="62">
        <v>706</v>
      </c>
      <c r="L46" s="75">
        <f>SUM(F46:K46)</f>
        <v>20565</v>
      </c>
      <c r="M46" s="75">
        <f t="shared" si="0"/>
        <v>20565</v>
      </c>
    </row>
    <row r="47" spans="1:13" ht="19.5" thickBot="1">
      <c r="A47" s="1" t="s">
        <v>2</v>
      </c>
      <c r="B47" s="39" t="s">
        <v>53</v>
      </c>
      <c r="C47" s="41">
        <v>405000</v>
      </c>
      <c r="D47" s="42">
        <v>103740</v>
      </c>
      <c r="E47" s="50">
        <f>SUM(C47:D47)</f>
        <v>508740</v>
      </c>
      <c r="F47" s="40">
        <v>375866</v>
      </c>
      <c r="G47" s="41">
        <v>356017</v>
      </c>
      <c r="H47" s="41">
        <v>309422</v>
      </c>
      <c r="I47" s="41">
        <v>350510</v>
      </c>
      <c r="J47" s="41">
        <v>370453</v>
      </c>
      <c r="K47" s="63">
        <v>347326</v>
      </c>
      <c r="L47" s="76">
        <f t="shared" ref="L47:L63" si="4">SUM(F47:K47)</f>
        <v>2109594</v>
      </c>
      <c r="M47" s="76">
        <f t="shared" si="0"/>
        <v>2618334</v>
      </c>
    </row>
    <row r="48" spans="1:13" ht="19.5" thickBot="1">
      <c r="A48" s="1" t="s">
        <v>2</v>
      </c>
      <c r="B48" s="21" t="s">
        <v>54</v>
      </c>
      <c r="C48" s="30">
        <v>12421</v>
      </c>
      <c r="D48" s="31">
        <v>3960</v>
      </c>
      <c r="E48" s="31">
        <f t="shared" ref="E48:E63" si="5">SUM(C48:D48)</f>
        <v>16381</v>
      </c>
      <c r="F48" s="29">
        <v>5409</v>
      </c>
      <c r="G48" s="30">
        <v>4917</v>
      </c>
      <c r="H48" s="30">
        <v>7425</v>
      </c>
      <c r="I48" s="30">
        <v>4874</v>
      </c>
      <c r="J48" s="30">
        <v>4167</v>
      </c>
      <c r="K48" s="60">
        <v>5952</v>
      </c>
      <c r="L48" s="73">
        <f t="shared" si="4"/>
        <v>32744</v>
      </c>
      <c r="M48" s="73">
        <f t="shared" si="0"/>
        <v>49125</v>
      </c>
    </row>
    <row r="49" spans="1:13" ht="19.5" thickBot="1">
      <c r="A49" s="1" t="s">
        <v>2</v>
      </c>
      <c r="B49" s="39" t="s">
        <v>55</v>
      </c>
      <c r="C49" s="41">
        <v>12421</v>
      </c>
      <c r="D49" s="42">
        <v>3960</v>
      </c>
      <c r="E49" s="42">
        <f t="shared" si="5"/>
        <v>16381</v>
      </c>
      <c r="F49" s="40">
        <v>5409</v>
      </c>
      <c r="G49" s="41">
        <v>4917</v>
      </c>
      <c r="H49" s="41">
        <v>7425</v>
      </c>
      <c r="I49" s="41">
        <v>4874</v>
      </c>
      <c r="J49" s="41">
        <v>4167</v>
      </c>
      <c r="K49" s="63">
        <v>5952</v>
      </c>
      <c r="L49" s="76">
        <f t="shared" si="4"/>
        <v>32744</v>
      </c>
      <c r="M49" s="76">
        <f t="shared" si="0"/>
        <v>49125</v>
      </c>
    </row>
    <row r="50" spans="1:13" ht="19.5" thickBot="1">
      <c r="A50" s="1" t="s">
        <v>2</v>
      </c>
      <c r="B50" s="39" t="s">
        <v>56</v>
      </c>
      <c r="C50" s="41">
        <v>417421</v>
      </c>
      <c r="D50" s="42">
        <v>107700</v>
      </c>
      <c r="E50" s="42">
        <f t="shared" si="5"/>
        <v>525121</v>
      </c>
      <c r="F50" s="40">
        <v>381275</v>
      </c>
      <c r="G50" s="41">
        <v>360934</v>
      </c>
      <c r="H50" s="41">
        <v>316847</v>
      </c>
      <c r="I50" s="41">
        <v>355384</v>
      </c>
      <c r="J50" s="41">
        <v>374620</v>
      </c>
      <c r="K50" s="63">
        <v>353278</v>
      </c>
      <c r="L50" s="76">
        <f t="shared" si="4"/>
        <v>2142338</v>
      </c>
      <c r="M50" s="76">
        <f t="shared" si="0"/>
        <v>2667459</v>
      </c>
    </row>
    <row r="51" spans="1:13">
      <c r="A51" s="1" t="s">
        <v>2</v>
      </c>
      <c r="B51" s="21" t="s">
        <v>57</v>
      </c>
      <c r="C51" s="30">
        <v>20910</v>
      </c>
      <c r="D51" s="31">
        <v>0</v>
      </c>
      <c r="E51" s="31">
        <f t="shared" si="5"/>
        <v>20910</v>
      </c>
      <c r="F51" s="29">
        <v>20910</v>
      </c>
      <c r="G51" s="30">
        <v>19380</v>
      </c>
      <c r="H51" s="30">
        <v>16320</v>
      </c>
      <c r="I51" s="30">
        <v>18360</v>
      </c>
      <c r="J51" s="30">
        <v>19380</v>
      </c>
      <c r="K51" s="60">
        <v>18360</v>
      </c>
      <c r="L51" s="73">
        <f t="shared" si="4"/>
        <v>112710</v>
      </c>
      <c r="M51" s="73">
        <f t="shared" si="0"/>
        <v>133620</v>
      </c>
    </row>
    <row r="52" spans="1:13">
      <c r="A52" s="1" t="s">
        <v>2</v>
      </c>
      <c r="B52" s="4" t="s">
        <v>58</v>
      </c>
      <c r="C52" s="16">
        <v>3690</v>
      </c>
      <c r="D52" s="17">
        <v>0</v>
      </c>
      <c r="E52" s="17">
        <f t="shared" si="5"/>
        <v>3690</v>
      </c>
      <c r="F52" s="15">
        <v>3690</v>
      </c>
      <c r="G52" s="16">
        <v>3420</v>
      </c>
      <c r="H52" s="16">
        <v>2880</v>
      </c>
      <c r="I52" s="16">
        <v>3240</v>
      </c>
      <c r="J52" s="16">
        <v>3420</v>
      </c>
      <c r="K52" s="61">
        <v>3240</v>
      </c>
      <c r="L52" s="74">
        <f t="shared" si="4"/>
        <v>19890</v>
      </c>
      <c r="M52" s="74">
        <f t="shared" si="0"/>
        <v>23580</v>
      </c>
    </row>
    <row r="53" spans="1:13">
      <c r="A53" s="1" t="s">
        <v>2</v>
      </c>
      <c r="B53" s="4" t="s">
        <v>59</v>
      </c>
      <c r="C53" s="16">
        <v>37515</v>
      </c>
      <c r="D53" s="17">
        <v>0</v>
      </c>
      <c r="E53" s="17">
        <f t="shared" si="5"/>
        <v>37515</v>
      </c>
      <c r="F53" s="15">
        <v>37515</v>
      </c>
      <c r="G53" s="16">
        <v>34770</v>
      </c>
      <c r="H53" s="16">
        <v>29280</v>
      </c>
      <c r="I53" s="16">
        <v>32940</v>
      </c>
      <c r="J53" s="16">
        <v>34770</v>
      </c>
      <c r="K53" s="61">
        <v>32940</v>
      </c>
      <c r="L53" s="74">
        <f t="shared" si="4"/>
        <v>202215</v>
      </c>
      <c r="M53" s="74">
        <f t="shared" si="0"/>
        <v>239730</v>
      </c>
    </row>
    <row r="54" spans="1:13" ht="19.5" thickBot="1">
      <c r="A54" s="1" t="s">
        <v>2</v>
      </c>
      <c r="B54" s="4" t="s">
        <v>60</v>
      </c>
      <c r="C54" s="16">
        <v>1252</v>
      </c>
      <c r="D54" s="17">
        <v>323</v>
      </c>
      <c r="E54" s="17">
        <f t="shared" si="5"/>
        <v>1575</v>
      </c>
      <c r="F54" s="15">
        <v>1144</v>
      </c>
      <c r="G54" s="16">
        <v>1083</v>
      </c>
      <c r="H54" s="16">
        <v>951</v>
      </c>
      <c r="I54" s="16">
        <v>1066</v>
      </c>
      <c r="J54" s="16">
        <v>1124</v>
      </c>
      <c r="K54" s="61">
        <v>1060</v>
      </c>
      <c r="L54" s="74">
        <f t="shared" si="4"/>
        <v>6428</v>
      </c>
      <c r="M54" s="74">
        <f t="shared" si="0"/>
        <v>8003</v>
      </c>
    </row>
    <row r="55" spans="1:13" ht="19.5" thickBot="1">
      <c r="A55" s="1" t="s">
        <v>2</v>
      </c>
      <c r="B55" s="39" t="s">
        <v>61</v>
      </c>
      <c r="C55" s="41">
        <v>63367</v>
      </c>
      <c r="D55" s="42">
        <v>323</v>
      </c>
      <c r="E55" s="42">
        <f t="shared" si="5"/>
        <v>63690</v>
      </c>
      <c r="F55" s="40">
        <v>63259</v>
      </c>
      <c r="G55" s="41">
        <v>58653</v>
      </c>
      <c r="H55" s="41">
        <v>49431</v>
      </c>
      <c r="I55" s="41">
        <v>55606</v>
      </c>
      <c r="J55" s="41">
        <v>58694</v>
      </c>
      <c r="K55" s="63">
        <v>55600</v>
      </c>
      <c r="L55" s="76">
        <f t="shared" si="4"/>
        <v>341243</v>
      </c>
      <c r="M55" s="76">
        <f t="shared" si="0"/>
        <v>404933</v>
      </c>
    </row>
    <row r="56" spans="1:13">
      <c r="A56" s="1" t="s">
        <v>2</v>
      </c>
      <c r="B56" s="21" t="s">
        <v>62</v>
      </c>
      <c r="C56" s="30">
        <v>6810</v>
      </c>
      <c r="D56" s="31">
        <v>900</v>
      </c>
      <c r="E56" s="31">
        <f t="shared" si="5"/>
        <v>7710</v>
      </c>
      <c r="F56" s="29">
        <v>7240</v>
      </c>
      <c r="G56" s="30">
        <v>8240</v>
      </c>
      <c r="H56" s="30">
        <v>5290</v>
      </c>
      <c r="I56" s="30">
        <v>4920</v>
      </c>
      <c r="J56" s="30">
        <v>9340</v>
      </c>
      <c r="K56" s="60">
        <v>8040</v>
      </c>
      <c r="L56" s="73">
        <f t="shared" si="4"/>
        <v>43070</v>
      </c>
      <c r="M56" s="73">
        <f t="shared" si="0"/>
        <v>50780</v>
      </c>
    </row>
    <row r="57" spans="1:13">
      <c r="A57" s="1" t="s">
        <v>2</v>
      </c>
      <c r="B57" s="4" t="s">
        <v>63</v>
      </c>
      <c r="C57" s="16">
        <v>25500</v>
      </c>
      <c r="D57" s="17">
        <v>900</v>
      </c>
      <c r="E57" s="17">
        <f t="shared" si="5"/>
        <v>26400</v>
      </c>
      <c r="F57" s="15">
        <v>14800</v>
      </c>
      <c r="G57" s="16">
        <v>17200</v>
      </c>
      <c r="H57" s="16">
        <v>0</v>
      </c>
      <c r="I57" s="16">
        <v>5800</v>
      </c>
      <c r="J57" s="16">
        <v>18000</v>
      </c>
      <c r="K57" s="61">
        <v>2100</v>
      </c>
      <c r="L57" s="74">
        <f t="shared" si="4"/>
        <v>57900</v>
      </c>
      <c r="M57" s="74">
        <f t="shared" ref="M57:M63" si="6">E57+L57</f>
        <v>84300</v>
      </c>
    </row>
    <row r="58" spans="1:13" ht="19.5" thickBot="1">
      <c r="A58" s="1" t="s">
        <v>2</v>
      </c>
      <c r="B58" s="4" t="s">
        <v>64</v>
      </c>
      <c r="C58" s="16">
        <v>0</v>
      </c>
      <c r="D58" s="17">
        <v>0</v>
      </c>
      <c r="E58" s="17">
        <f t="shared" si="5"/>
        <v>0</v>
      </c>
      <c r="F58" s="15">
        <v>24800</v>
      </c>
      <c r="G58" s="16">
        <v>23600</v>
      </c>
      <c r="H58" s="16">
        <v>23200</v>
      </c>
      <c r="I58" s="16">
        <v>24000</v>
      </c>
      <c r="J58" s="16">
        <v>26200</v>
      </c>
      <c r="K58" s="61">
        <v>27600</v>
      </c>
      <c r="L58" s="74">
        <f t="shared" si="4"/>
        <v>149400</v>
      </c>
      <c r="M58" s="74">
        <f t="shared" si="6"/>
        <v>149400</v>
      </c>
    </row>
    <row r="59" spans="1:13" ht="19.5" thickBot="1">
      <c r="A59" s="1" t="s">
        <v>2</v>
      </c>
      <c r="B59" s="39" t="s">
        <v>65</v>
      </c>
      <c r="C59" s="41">
        <v>95677</v>
      </c>
      <c r="D59" s="42">
        <v>2123</v>
      </c>
      <c r="E59" s="42">
        <f t="shared" si="5"/>
        <v>97800</v>
      </c>
      <c r="F59" s="40">
        <v>110099</v>
      </c>
      <c r="G59" s="41">
        <v>107693</v>
      </c>
      <c r="H59" s="41">
        <v>77921</v>
      </c>
      <c r="I59" s="41">
        <v>90326</v>
      </c>
      <c r="J59" s="41">
        <v>112234</v>
      </c>
      <c r="K59" s="63">
        <v>93340</v>
      </c>
      <c r="L59" s="76">
        <f t="shared" si="4"/>
        <v>591613</v>
      </c>
      <c r="M59" s="76">
        <f t="shared" si="6"/>
        <v>689413</v>
      </c>
    </row>
    <row r="60" spans="1:13" ht="19.5" thickBot="1">
      <c r="A60" s="1" t="s">
        <v>2</v>
      </c>
      <c r="B60" s="39" t="s">
        <v>66</v>
      </c>
      <c r="C60" s="41">
        <v>341633</v>
      </c>
      <c r="D60" s="42">
        <v>103417</v>
      </c>
      <c r="E60" s="42">
        <f t="shared" si="5"/>
        <v>445050</v>
      </c>
      <c r="F60" s="40">
        <v>312607</v>
      </c>
      <c r="G60" s="41">
        <v>297364</v>
      </c>
      <c r="H60" s="41">
        <v>259991</v>
      </c>
      <c r="I60" s="41">
        <v>294904</v>
      </c>
      <c r="J60" s="41">
        <v>311759</v>
      </c>
      <c r="K60" s="63">
        <v>291726</v>
      </c>
      <c r="L60" s="76">
        <f t="shared" si="4"/>
        <v>1768351</v>
      </c>
      <c r="M60" s="76">
        <f t="shared" si="6"/>
        <v>2213401</v>
      </c>
    </row>
    <row r="61" spans="1:13" ht="19.5" thickBot="1">
      <c r="A61" s="1" t="s">
        <v>2</v>
      </c>
      <c r="B61" s="39" t="s">
        <v>67</v>
      </c>
      <c r="C61" s="41">
        <v>321744</v>
      </c>
      <c r="D61" s="42">
        <v>105577</v>
      </c>
      <c r="E61" s="42">
        <f t="shared" si="5"/>
        <v>427321</v>
      </c>
      <c r="F61" s="40">
        <v>271176</v>
      </c>
      <c r="G61" s="41">
        <v>253241</v>
      </c>
      <c r="H61" s="41">
        <v>238926</v>
      </c>
      <c r="I61" s="41">
        <v>265058</v>
      </c>
      <c r="J61" s="41">
        <v>262386</v>
      </c>
      <c r="K61" s="63">
        <v>259938</v>
      </c>
      <c r="L61" s="76">
        <f t="shared" si="4"/>
        <v>1550725</v>
      </c>
      <c r="M61" s="76">
        <f t="shared" si="6"/>
        <v>1978046</v>
      </c>
    </row>
    <row r="62" spans="1:13">
      <c r="A62" s="1" t="s">
        <v>2</v>
      </c>
      <c r="B62" s="21" t="s">
        <v>68</v>
      </c>
      <c r="C62" s="30">
        <v>0</v>
      </c>
      <c r="D62" s="31">
        <v>0</v>
      </c>
      <c r="E62" s="31">
        <f t="shared" si="5"/>
        <v>0</v>
      </c>
      <c r="F62" s="29">
        <v>0</v>
      </c>
      <c r="G62" s="30">
        <v>0</v>
      </c>
      <c r="H62" s="30">
        <v>0</v>
      </c>
      <c r="I62" s="30">
        <v>0</v>
      </c>
      <c r="J62" s="30">
        <v>0</v>
      </c>
      <c r="K62" s="60">
        <v>0</v>
      </c>
      <c r="L62" s="73">
        <f t="shared" si="4"/>
        <v>0</v>
      </c>
      <c r="M62" s="73">
        <f t="shared" si="6"/>
        <v>0</v>
      </c>
    </row>
    <row r="63" spans="1:13">
      <c r="A63" s="1" t="s">
        <v>2</v>
      </c>
      <c r="B63" s="4" t="s">
        <v>69</v>
      </c>
      <c r="C63" s="16">
        <v>321744</v>
      </c>
      <c r="D63" s="17">
        <v>105577</v>
      </c>
      <c r="E63" s="17">
        <f t="shared" si="5"/>
        <v>427321</v>
      </c>
      <c r="F63" s="15">
        <v>271176</v>
      </c>
      <c r="G63" s="16">
        <v>253241</v>
      </c>
      <c r="H63" s="16">
        <v>238926</v>
      </c>
      <c r="I63" s="16">
        <v>265058</v>
      </c>
      <c r="J63" s="16">
        <v>262386</v>
      </c>
      <c r="K63" s="61">
        <v>259938</v>
      </c>
      <c r="L63" s="74">
        <f t="shared" si="4"/>
        <v>1550725</v>
      </c>
      <c r="M63" s="74">
        <f t="shared" si="6"/>
        <v>1978046</v>
      </c>
    </row>
    <row r="64" spans="1:13">
      <c r="A64" s="1" t="s">
        <v>2</v>
      </c>
      <c r="B64" s="4" t="s">
        <v>70</v>
      </c>
      <c r="C64" s="16">
        <v>2</v>
      </c>
      <c r="D64" s="17">
        <v>0</v>
      </c>
      <c r="E64" s="48"/>
      <c r="F64" s="15">
        <v>1</v>
      </c>
      <c r="G64" s="16">
        <v>0</v>
      </c>
      <c r="H64" s="16">
        <v>1</v>
      </c>
      <c r="I64" s="16">
        <v>2</v>
      </c>
      <c r="J64" s="16">
        <v>0</v>
      </c>
      <c r="K64" s="61">
        <v>0</v>
      </c>
      <c r="L64" s="74"/>
      <c r="M64" s="74"/>
    </row>
    <row r="65" spans="1:13" ht="19.5" thickBot="1">
      <c r="A65" s="1" t="s">
        <v>2</v>
      </c>
      <c r="B65" s="5" t="s">
        <v>71</v>
      </c>
      <c r="C65" s="19" t="s">
        <v>72</v>
      </c>
      <c r="D65" s="20" t="s">
        <v>72</v>
      </c>
      <c r="E65" s="51"/>
      <c r="F65" s="18" t="s">
        <v>72</v>
      </c>
      <c r="G65" s="19" t="s">
        <v>72</v>
      </c>
      <c r="H65" s="19" t="s">
        <v>72</v>
      </c>
      <c r="I65" s="19" t="s">
        <v>72</v>
      </c>
      <c r="J65" s="19" t="s">
        <v>72</v>
      </c>
      <c r="K65" s="64" t="s">
        <v>72</v>
      </c>
      <c r="L65" s="77"/>
      <c r="M65" s="77"/>
    </row>
  </sheetData>
  <phoneticPr fontId="4"/>
  <pageMargins left="0.31496062992125984" right="0.31496062992125984" top="0.35433070866141736" bottom="0.35433070866141736" header="0.11811023622047245" footer="0.11811023622047245"/>
  <pageSetup paperSize="12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4月度給与 (2)</vt:lpstr>
      <vt:lpstr>'2022年 4月度給与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2022-05-12T01:24:32Z</cp:lastPrinted>
  <dcterms:created xsi:type="dcterms:W3CDTF">2022-05-10T06:46:21Z</dcterms:created>
  <dcterms:modified xsi:type="dcterms:W3CDTF">2022-05-23T01:14:57Z</dcterms:modified>
</cp:coreProperties>
</file>