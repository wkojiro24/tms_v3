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7\"/>
    </mc:Choice>
  </mc:AlternateContent>
  <xr:revisionPtr revIDLastSave="0" documentId="13_ncr:1_{DFFC0E6A-F14F-407D-9EF9-B19081882D11}" xr6:coauthVersionLast="47" xr6:coauthVersionMax="47" xr10:uidLastSave="{00000000-0000-0000-0000-000000000000}"/>
  <bookViews>
    <workbookView xWindow="-120" yWindow="-120" windowWidth="20730" windowHeight="11160" activeTab="1" xr2:uid="{274054A9-6BD7-46B1-B2A1-86587D78F837}"/>
  </bookViews>
  <sheets>
    <sheet name="2021年 7月度給与 (2)" sheetId="3" r:id="rId1"/>
    <sheet name="2021年 7月度給与 (助成金)" sheetId="4" r:id="rId2"/>
  </sheets>
  <definedNames>
    <definedName name="_xlnm.Print_Area" localSheetId="0">'2021年 7月度給与 (2)'!$B$1:$L$62</definedName>
    <definedName name="_xlnm.Print_Area" localSheetId="1">'2021年 7月度給与 (助成金)'!$B$1:$L$61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9" i="4" l="1"/>
  <c r="F59" i="4"/>
  <c r="L59" i="4" s="1"/>
  <c r="K58" i="4"/>
  <c r="F58" i="4"/>
  <c r="L58" i="4" s="1"/>
  <c r="K57" i="4"/>
  <c r="F57" i="4"/>
  <c r="K56" i="4"/>
  <c r="F56" i="4"/>
  <c r="K55" i="4"/>
  <c r="L55" i="4" s="1"/>
  <c r="F55" i="4"/>
  <c r="L54" i="4"/>
  <c r="K54" i="4"/>
  <c r="F54" i="4"/>
  <c r="K53" i="4"/>
  <c r="F53" i="4"/>
  <c r="L53" i="4" s="1"/>
  <c r="K52" i="4"/>
  <c r="F52" i="4"/>
  <c r="L52" i="4" s="1"/>
  <c r="K51" i="4"/>
  <c r="F51" i="4"/>
  <c r="K50" i="4"/>
  <c r="F50" i="4"/>
  <c r="L50" i="4" s="1"/>
  <c r="K49" i="4"/>
  <c r="F49" i="4"/>
  <c r="K48" i="4"/>
  <c r="F48" i="4"/>
  <c r="K47" i="4"/>
  <c r="F47" i="4"/>
  <c r="K46" i="4"/>
  <c r="F46" i="4"/>
  <c r="L46" i="4" s="1"/>
  <c r="K45" i="4"/>
  <c r="F45" i="4"/>
  <c r="L45" i="4" s="1"/>
  <c r="K44" i="4"/>
  <c r="F44" i="4"/>
  <c r="L44" i="4" s="1"/>
  <c r="K43" i="4"/>
  <c r="F43" i="4"/>
  <c r="L43" i="4" s="1"/>
  <c r="K42" i="4"/>
  <c r="F42" i="4"/>
  <c r="L42" i="4" s="1"/>
  <c r="K41" i="4"/>
  <c r="F41" i="4"/>
  <c r="K40" i="4"/>
  <c r="F40" i="4"/>
  <c r="K39" i="4"/>
  <c r="F39" i="4"/>
  <c r="L38" i="4"/>
  <c r="K38" i="4"/>
  <c r="F38" i="4"/>
  <c r="K37" i="4"/>
  <c r="F37" i="4"/>
  <c r="L37" i="4" s="1"/>
  <c r="K36" i="4"/>
  <c r="F36" i="4"/>
  <c r="L36" i="4" s="1"/>
  <c r="K35" i="4"/>
  <c r="F35" i="4"/>
  <c r="L35" i="4" s="1"/>
  <c r="K34" i="4"/>
  <c r="F34" i="4"/>
  <c r="L34" i="4" s="1"/>
  <c r="K33" i="4"/>
  <c r="F33" i="4"/>
  <c r="K32" i="4"/>
  <c r="F32" i="4"/>
  <c r="K31" i="4"/>
  <c r="F31" i="4"/>
  <c r="K30" i="4"/>
  <c r="F30" i="4"/>
  <c r="L30" i="4" s="1"/>
  <c r="K29" i="4"/>
  <c r="F29" i="4"/>
  <c r="L29" i="4" s="1"/>
  <c r="K28" i="4"/>
  <c r="F28" i="4"/>
  <c r="L28" i="4" s="1"/>
  <c r="K27" i="4"/>
  <c r="F27" i="4"/>
  <c r="L27" i="4" s="1"/>
  <c r="K26" i="4"/>
  <c r="F26" i="4"/>
  <c r="L26" i="4" s="1"/>
  <c r="K25" i="4"/>
  <c r="F25" i="4"/>
  <c r="K24" i="4"/>
  <c r="F24" i="4"/>
  <c r="K23" i="4"/>
  <c r="F23" i="4"/>
  <c r="L22" i="4"/>
  <c r="K22" i="4"/>
  <c r="F22" i="4"/>
  <c r="K21" i="4"/>
  <c r="F21" i="4"/>
  <c r="K20" i="4"/>
  <c r="F20" i="4"/>
  <c r="L20" i="4" s="1"/>
  <c r="K19" i="4"/>
  <c r="F19" i="4"/>
  <c r="K18" i="4"/>
  <c r="L18" i="4" s="1"/>
  <c r="F18" i="4"/>
  <c r="K17" i="4"/>
  <c r="L17" i="4" s="1"/>
  <c r="F17" i="4"/>
  <c r="K16" i="4"/>
  <c r="F16" i="4"/>
  <c r="K15" i="4"/>
  <c r="L15" i="4" s="1"/>
  <c r="F15" i="4"/>
  <c r="K14" i="4"/>
  <c r="F14" i="4"/>
  <c r="L14" i="4" s="1"/>
  <c r="K13" i="4"/>
  <c r="F13" i="4"/>
  <c r="K12" i="4"/>
  <c r="F12" i="4"/>
  <c r="K11" i="4"/>
  <c r="L11" i="4" s="1"/>
  <c r="F11" i="4"/>
  <c r="K10" i="4"/>
  <c r="L10" i="4" s="1"/>
  <c r="F10" i="4"/>
  <c r="K9" i="4"/>
  <c r="F9" i="4"/>
  <c r="K8" i="4"/>
  <c r="L8" i="4" s="1"/>
  <c r="F8" i="4"/>
  <c r="K7" i="4"/>
  <c r="F7" i="4"/>
  <c r="L7" i="4" s="1"/>
  <c r="K6" i="4"/>
  <c r="F6" i="4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24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F25" i="3"/>
  <c r="L25" i="3" s="1"/>
  <c r="F26" i="3"/>
  <c r="L26" i="3" s="1"/>
  <c r="F27" i="3"/>
  <c r="L27" i="3" s="1"/>
  <c r="F28" i="3"/>
  <c r="F29" i="3"/>
  <c r="L29" i="3" s="1"/>
  <c r="F30" i="3"/>
  <c r="L30" i="3" s="1"/>
  <c r="F31" i="3"/>
  <c r="F32" i="3"/>
  <c r="F33" i="3"/>
  <c r="L33" i="3" s="1"/>
  <c r="F34" i="3"/>
  <c r="L34" i="3" s="1"/>
  <c r="F35" i="3"/>
  <c r="F36" i="3"/>
  <c r="F37" i="3"/>
  <c r="L37" i="3" s="1"/>
  <c r="F38" i="3"/>
  <c r="L38" i="3" s="1"/>
  <c r="F39" i="3"/>
  <c r="F40" i="3"/>
  <c r="F41" i="3"/>
  <c r="L41" i="3" s="1"/>
  <c r="F42" i="3"/>
  <c r="L42" i="3" s="1"/>
  <c r="F43" i="3"/>
  <c r="F44" i="3"/>
  <c r="F45" i="3"/>
  <c r="L45" i="3" s="1"/>
  <c r="F46" i="3"/>
  <c r="L46" i="3" s="1"/>
  <c r="F47" i="3"/>
  <c r="F48" i="3"/>
  <c r="F49" i="3"/>
  <c r="L49" i="3" s="1"/>
  <c r="F50" i="3"/>
  <c r="L50" i="3" s="1"/>
  <c r="F51" i="3"/>
  <c r="F52" i="3"/>
  <c r="F53" i="3"/>
  <c r="L53" i="3" s="1"/>
  <c r="F54" i="3"/>
  <c r="L54" i="3" s="1"/>
  <c r="F55" i="3"/>
  <c r="F56" i="3"/>
  <c r="F57" i="3"/>
  <c r="L57" i="3" s="1"/>
  <c r="F58" i="3"/>
  <c r="L58" i="3" s="1"/>
  <c r="F59" i="3"/>
  <c r="F60" i="3"/>
  <c r="F24" i="3"/>
  <c r="L24" i="3" s="1"/>
  <c r="F7" i="3"/>
  <c r="L7" i="3" s="1"/>
  <c r="F8" i="3"/>
  <c r="F9" i="3"/>
  <c r="F10" i="3"/>
  <c r="F11" i="3"/>
  <c r="L11" i="3" s="1"/>
  <c r="F12" i="3"/>
  <c r="F13" i="3"/>
  <c r="F14" i="3"/>
  <c r="F15" i="3"/>
  <c r="F16" i="3"/>
  <c r="F17" i="3"/>
  <c r="F18" i="3"/>
  <c r="L18" i="3" s="1"/>
  <c r="F19" i="3"/>
  <c r="F20" i="3"/>
  <c r="F21" i="3"/>
  <c r="F22" i="3"/>
  <c r="F23" i="3"/>
  <c r="K6" i="3"/>
  <c r="F6" i="3"/>
  <c r="L9" i="4" l="1"/>
  <c r="L12" i="4"/>
  <c r="L16" i="4"/>
  <c r="L19" i="4"/>
  <c r="L21" i="4"/>
  <c r="L23" i="4"/>
  <c r="L25" i="4"/>
  <c r="L32" i="4"/>
  <c r="L39" i="4"/>
  <c r="L41" i="4"/>
  <c r="L48" i="4"/>
  <c r="L51" i="4"/>
  <c r="L57" i="4"/>
  <c r="L6" i="4"/>
  <c r="L13" i="4"/>
  <c r="L24" i="4"/>
  <c r="L31" i="4"/>
  <c r="L33" i="4"/>
  <c r="L40" i="4"/>
  <c r="L47" i="4"/>
  <c r="L49" i="4"/>
  <c r="L56" i="4"/>
  <c r="L32" i="3"/>
  <c r="L19" i="3"/>
  <c r="L22" i="3"/>
  <c r="L15" i="3"/>
  <c r="L12" i="3"/>
  <c r="L8" i="3"/>
  <c r="L59" i="3"/>
  <c r="L55" i="3"/>
  <c r="L51" i="3"/>
  <c r="L47" i="3"/>
  <c r="L43" i="3"/>
  <c r="L39" i="3"/>
  <c r="L35" i="3"/>
  <c r="L23" i="3"/>
  <c r="L20" i="3"/>
  <c r="L16" i="3"/>
  <c r="L13" i="3"/>
  <c r="L9" i="3"/>
  <c r="L44" i="3"/>
  <c r="L40" i="3"/>
  <c r="L36" i="3"/>
  <c r="L28" i="3"/>
  <c r="L52" i="3"/>
  <c r="L60" i="3"/>
  <c r="L56" i="3"/>
  <c r="L48" i="3"/>
  <c r="L31" i="3"/>
  <c r="L21" i="3"/>
  <c r="L17" i="3"/>
  <c r="L14" i="3"/>
  <c r="L10" i="3"/>
  <c r="L6" i="3"/>
</calcChain>
</file>

<file path=xl/sharedStrings.xml><?xml version="1.0" encoding="utf-8"?>
<sst xmlns="http://schemas.openxmlformats.org/spreadsheetml/2006/main" count="288" uniqueCount="80">
  <si>
    <t>支給控除一覧表</t>
    <phoneticPr fontId="4"/>
  </si>
  <si>
    <t>若林運送株式会社</t>
    <phoneticPr fontId="4"/>
  </si>
  <si>
    <t/>
  </si>
  <si>
    <t>1031</t>
    <phoneticPr fontId="4"/>
  </si>
  <si>
    <t>1049</t>
    <phoneticPr fontId="4"/>
  </si>
  <si>
    <t>1050</t>
    <phoneticPr fontId="4"/>
  </si>
  <si>
    <t>1062</t>
    <phoneticPr fontId="4"/>
  </si>
  <si>
    <t>1078</t>
    <phoneticPr fontId="4"/>
  </si>
  <si>
    <t>1090</t>
    <phoneticPr fontId="4"/>
  </si>
  <si>
    <t>1089</t>
    <phoneticPr fontId="4"/>
  </si>
  <si>
    <t>項目名</t>
    <phoneticPr fontId="4"/>
  </si>
  <si>
    <t>松岡敏夫</t>
    <phoneticPr fontId="4"/>
  </si>
  <si>
    <t>菅原幸志</t>
    <phoneticPr fontId="4"/>
  </si>
  <si>
    <t>伊藤正典</t>
    <phoneticPr fontId="4"/>
  </si>
  <si>
    <t>上野誠也</t>
    <phoneticPr fontId="4"/>
  </si>
  <si>
    <t>伊藤尚</t>
    <phoneticPr fontId="4"/>
  </si>
  <si>
    <t>橋本淳志</t>
    <phoneticPr fontId="4"/>
  </si>
  <si>
    <t>秋田愛美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</si>
  <si>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</si>
  <si>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</si>
  <si>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</si>
  <si>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</si>
  <si>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</si>
  <si>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</si>
  <si>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</si>
  <si>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</si>
  <si>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</si>
  <si>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</si>
  <si>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</si>
  <si>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</si>
  <si>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</si>
  <si>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</si>
  <si>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</si>
  <si>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</si>
  <si>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</si>
  <si>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</si>
  <si>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</si>
  <si>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</si>
  <si>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</si>
  <si>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</si>
  <si>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</si>
  <si>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</si>
  <si>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有給休暇</t>
    <phoneticPr fontId="4"/>
  </si>
  <si>
    <t>調整加算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</si>
  <si>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</si>
  <si>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</si>
  <si>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</si>
  <si>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</si>
  <si>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</si>
  <si>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</si>
  <si>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</si>
  <si>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</si>
  <si>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</si>
  <si>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</si>
  <si>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</si>
  <si>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</si>
  <si>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</si>
  <si>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</si>
  <si>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社保調整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</si>
  <si>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</si>
  <si>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</si>
  <si>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</si>
  <si>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</si>
  <si>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</si>
  <si>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税調整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</si>
  <si>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</si>
  <si>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</si>
  <si>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</si>
  <si>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</si>
  <si>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</si>
  <si>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</si>
  <si>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</si>
  <si>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</si>
  <si>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2021年 7月度給与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</si>
  <si>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</si>
  <si>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</si>
  <si>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合計</t>
    <rPh sb="0" eb="2">
      <t>ゴウケイ</t>
    </rPh>
    <phoneticPr fontId="3"/>
  </si>
  <si>
    <t>7名</t>
    <rPh sb="1" eb="2">
      <t>メイ</t>
    </rPh>
    <phoneticPr fontId="3"/>
  </si>
  <si>
    <t>小計</t>
    <rPh sb="0" eb="2">
      <t>ショウケイ</t>
    </rPh>
    <phoneticPr fontId="4"/>
  </si>
  <si>
    <t>4名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</si>
</sst>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81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left"/>
    </xf>
    <xf numFmtId="2" fontId="2" fillId="0" borderId="5" xfId="1" applyNumberFormat="1" applyFont="1" applyBorder="1"/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2" fontId="2" fillId="0" borderId="13" xfId="1" applyNumberFormat="1" applyFont="1" applyBorder="1"/>
    <xf numFmtId="176" fontId="2" fillId="0" borderId="12" xfId="1" applyNumberFormat="1" applyFont="1" applyBorder="1"/>
    <xf numFmtId="176" fontId="2" fillId="0" borderId="13" xfId="1" applyNumberFormat="1" applyFont="1" applyBorder="1"/>
    <xf numFmtId="3" fontId="2" fillId="0" borderId="12" xfId="1" applyNumberFormat="1" applyFont="1" applyBorder="1"/>
    <xf numFmtId="3" fontId="2" fillId="0" borderId="13" xfId="1" applyNumberFormat="1" applyFont="1" applyBorder="1"/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4" xfId="1" applyNumberFormat="1" applyFont="1" applyBorder="1" applyAlignment="1">
      <alignment horizontal="left"/>
    </xf>
    <xf numFmtId="2" fontId="2" fillId="0" borderId="15" xfId="1" applyNumberFormat="1" applyFont="1" applyBorder="1"/>
    <xf numFmtId="2" fontId="2" fillId="0" borderId="16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6" xfId="1" applyNumberFormat="1" applyFont="1" applyBorder="1"/>
    <xf numFmtId="3" fontId="2" fillId="0" borderId="7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49" fontId="2" fillId="0" borderId="20" xfId="1" applyNumberFormat="1" applyFont="1" applyBorder="1" applyAlignment="1">
      <alignment horizontal="center"/>
    </xf>
    <xf numFmtId="49" fontId="2" fillId="0" borderId="21" xfId="1" applyNumberFormat="1" applyFont="1" applyBorder="1" applyAlignment="1">
      <alignment horizontal="center"/>
    </xf>
    <xf numFmtId="2" fontId="2" fillId="0" borderId="22" xfId="1" applyNumberFormat="1" applyFont="1" applyBorder="1"/>
    <xf numFmtId="2" fontId="2" fillId="0" borderId="23" xfId="1" applyNumberFormat="1" applyFont="1" applyBorder="1"/>
    <xf numFmtId="176" fontId="2" fillId="0" borderId="23" xfId="1" applyNumberFormat="1" applyFont="1" applyBorder="1"/>
    <xf numFmtId="2" fontId="2" fillId="0" borderId="24" xfId="1" applyNumberFormat="1" applyFont="1" applyBorder="1"/>
    <xf numFmtId="3" fontId="2" fillId="0" borderId="20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2" xfId="1" applyNumberFormat="1" applyFont="1" applyBorder="1"/>
    <xf numFmtId="49" fontId="2" fillId="0" borderId="21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2" fontId="2" fillId="0" borderId="29" xfId="1" applyNumberFormat="1" applyFont="1" applyBorder="1"/>
    <xf numFmtId="2" fontId="2" fillId="0" borderId="30" xfId="1" applyNumberFormat="1" applyFont="1" applyBorder="1"/>
    <xf numFmtId="176" fontId="2" fillId="0" borderId="30" xfId="1" applyNumberFormat="1" applyFont="1" applyBorder="1"/>
    <xf numFmtId="2" fontId="2" fillId="0" borderId="31" xfId="1" applyNumberFormat="1" applyFont="1" applyBorder="1"/>
    <xf numFmtId="3" fontId="2" fillId="0" borderId="27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29" xfId="1" applyNumberFormat="1" applyFont="1" applyBorder="1"/>
    <xf numFmtId="49" fontId="2" fillId="0" borderId="28" xfId="1" applyNumberFormat="1" applyFont="1" applyBorder="1"/>
    <xf numFmtId="49" fontId="2" fillId="0" borderId="33" xfId="1" applyNumberFormat="1" applyFont="1" applyBorder="1" applyAlignment="1">
      <alignment horizontal="left"/>
    </xf>
    <xf numFmtId="49" fontId="2" fillId="0" borderId="34" xfId="1" applyNumberFormat="1" applyFont="1" applyBorder="1" applyAlignment="1">
      <alignment horizontal="right"/>
    </xf>
    <xf numFmtId="2" fontId="2" fillId="0" borderId="35" xfId="1" applyNumberFormat="1" applyFont="1" applyBorder="1"/>
    <xf numFmtId="2" fontId="2" fillId="0" borderId="36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3" xfId="1" applyNumberFormat="1" applyFont="1" applyBorder="1"/>
    <xf numFmtId="3" fontId="2" fillId="0" borderId="36" xfId="1" applyNumberFormat="1" applyFont="1" applyBorder="1"/>
    <xf numFmtId="3" fontId="2" fillId="0" borderId="37" xfId="1" applyNumberFormat="1" applyFont="1" applyBorder="1"/>
    <xf numFmtId="3" fontId="2" fillId="0" borderId="26" xfId="1" applyNumberFormat="1" applyFont="1" applyBorder="1"/>
    <xf numFmtId="3" fontId="2" fillId="0" borderId="35" xfId="1" applyNumberFormat="1" applyFont="1" applyBorder="1"/>
    <xf numFmtId="49" fontId="2" fillId="0" borderId="34" xfId="1" applyNumberFormat="1" applyFont="1" applyBorder="1"/>
    <xf numFmtId="0" fontId="2" fillId="0" borderId="33" xfId="1" applyFont="1" applyBorder="1" applyAlignment="1">
      <alignment horizontal="left"/>
    </xf>
    <xf numFmtId="0" fontId="2" fillId="0" borderId="34" xfId="1" applyFont="1" applyBorder="1" applyAlignment="1">
      <alignment horizontal="right"/>
    </xf>
    <xf numFmtId="0" fontId="2" fillId="0" borderId="38" xfId="1" applyFont="1" applyBorder="1"/>
    <xf numFmtId="49" fontId="2" fillId="2" borderId="4" xfId="1" applyNumberFormat="1" applyFont="1" applyFill="1" applyBorder="1" applyAlignment="1">
      <alignment horizontal="left"/>
    </xf>
    <xf numFmtId="3" fontId="2" fillId="2" borderId="12" xfId="1" applyNumberFormat="1" applyFont="1" applyFill="1" applyBorder="1"/>
    <xf numFmtId="3" fontId="2" fillId="2" borderId="23" xfId="1" applyNumberFormat="1" applyFont="1" applyFill="1" applyBorder="1"/>
    <xf numFmtId="3" fontId="2" fillId="2" borderId="13" xfId="1" applyNumberFormat="1" applyFont="1" applyFill="1" applyBorder="1"/>
    <xf numFmtId="3" fontId="2" fillId="2" borderId="30" xfId="1" applyNumberFormat="1" applyFont="1" applyFill="1" applyBorder="1"/>
    <xf numFmtId="3" fontId="2" fillId="2" borderId="36" xfId="1" applyNumberFormat="1" applyFont="1" applyFill="1" applyBorder="1"/>
  </cellXfs>
  <cellStyles count="2">
    <cellStyle name="標準" xfId="0" builtinId="0"/>
    <cellStyle name="標準 2" xfId="1" xr:uid="{AA157882-8429-4024-A489-9A9B18488B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0781-03D8-4F0D-A63C-D1A0EA84ACA7}">
  <sheetPr>
    <pageSetUpPr fitToPage="1"/>
  </sheetPr>
  <dimension ref="A1:L62"/>
  <sheetViews>
    <sheetView showZeros="0" workbookViewId="0">
      <selection activeCell="A13" sqref="A13:XFD13"/>
    </sheetView>
  </sheetViews>
  <sheetFormatPr defaultRowHeight="18.75"/>
  <cols>
    <col min="1" max="1" width="2.375" style="2" customWidth="1"/>
    <col min="2" max="2" width="13.25" style="2" bestFit="1" customWidth="1"/>
    <col min="3" max="12" width="11.25" style="2" customWidth="1"/>
    <col min="13" max="258" width="9" style="2"/>
    <col min="259" max="259" width="2.375" style="2" customWidth="1"/>
    <col min="260" max="260" width="13.25" style="2" bestFit="1" customWidth="1"/>
    <col min="261" max="264" width="9" style="2"/>
    <col min="265" max="265" width="8" style="2" bestFit="1" customWidth="1"/>
    <col min="266" max="267" width="9" style="2"/>
    <col min="268" max="268" width="9.625" style="2" bestFit="1" customWidth="1"/>
    <col min="269" max="514" width="9" style="2"/>
    <col min="515" max="515" width="2.375" style="2" customWidth="1"/>
    <col min="516" max="516" width="13.25" style="2" bestFit="1" customWidth="1"/>
    <col min="517" max="520" width="9" style="2"/>
    <col min="521" max="521" width="8" style="2" bestFit="1" customWidth="1"/>
    <col min="522" max="523" width="9" style="2"/>
    <col min="524" max="524" width="9.625" style="2" bestFit="1" customWidth="1"/>
    <col min="525" max="770" width="9" style="2"/>
    <col min="771" max="771" width="2.375" style="2" customWidth="1"/>
    <col min="772" max="772" width="13.25" style="2" bestFit="1" customWidth="1"/>
    <col min="773" max="776" width="9" style="2"/>
    <col min="777" max="777" width="8" style="2" bestFit="1" customWidth="1"/>
    <col min="778" max="779" width="9" style="2"/>
    <col min="780" max="780" width="9.625" style="2" bestFit="1" customWidth="1"/>
    <col min="781" max="1026" width="9" style="2"/>
    <col min="1027" max="1027" width="2.375" style="2" customWidth="1"/>
    <col min="1028" max="1028" width="13.25" style="2" bestFit="1" customWidth="1"/>
    <col min="1029" max="1032" width="9" style="2"/>
    <col min="1033" max="1033" width="8" style="2" bestFit="1" customWidth="1"/>
    <col min="1034" max="1035" width="9" style="2"/>
    <col min="1036" max="1036" width="9.625" style="2" bestFit="1" customWidth="1"/>
    <col min="1037" max="1282" width="9" style="2"/>
    <col min="1283" max="1283" width="2.375" style="2" customWidth="1"/>
    <col min="1284" max="1284" width="13.25" style="2" bestFit="1" customWidth="1"/>
    <col min="1285" max="1288" width="9" style="2"/>
    <col min="1289" max="1289" width="8" style="2" bestFit="1" customWidth="1"/>
    <col min="1290" max="1291" width="9" style="2"/>
    <col min="1292" max="1292" width="9.625" style="2" bestFit="1" customWidth="1"/>
    <col min="1293" max="1538" width="9" style="2"/>
    <col min="1539" max="1539" width="2.375" style="2" customWidth="1"/>
    <col min="1540" max="1540" width="13.25" style="2" bestFit="1" customWidth="1"/>
    <col min="1541" max="1544" width="9" style="2"/>
    <col min="1545" max="1545" width="8" style="2" bestFit="1" customWidth="1"/>
    <col min="1546" max="1547" width="9" style="2"/>
    <col min="1548" max="1548" width="9.625" style="2" bestFit="1" customWidth="1"/>
    <col min="1549" max="1794" width="9" style="2"/>
    <col min="1795" max="1795" width="2.375" style="2" customWidth="1"/>
    <col min="1796" max="1796" width="13.25" style="2" bestFit="1" customWidth="1"/>
    <col min="1797" max="1800" width="9" style="2"/>
    <col min="1801" max="1801" width="8" style="2" bestFit="1" customWidth="1"/>
    <col min="1802" max="1803" width="9" style="2"/>
    <col min="1804" max="1804" width="9.625" style="2" bestFit="1" customWidth="1"/>
    <col min="1805" max="2050" width="9" style="2"/>
    <col min="2051" max="2051" width="2.375" style="2" customWidth="1"/>
    <col min="2052" max="2052" width="13.25" style="2" bestFit="1" customWidth="1"/>
    <col min="2053" max="2056" width="9" style="2"/>
    <col min="2057" max="2057" width="8" style="2" bestFit="1" customWidth="1"/>
    <col min="2058" max="2059" width="9" style="2"/>
    <col min="2060" max="2060" width="9.625" style="2" bestFit="1" customWidth="1"/>
    <col min="2061" max="2306" width="9" style="2"/>
    <col min="2307" max="2307" width="2.375" style="2" customWidth="1"/>
    <col min="2308" max="2308" width="13.25" style="2" bestFit="1" customWidth="1"/>
    <col min="2309" max="2312" width="9" style="2"/>
    <col min="2313" max="2313" width="8" style="2" bestFit="1" customWidth="1"/>
    <col min="2314" max="2315" width="9" style="2"/>
    <col min="2316" max="2316" width="9.625" style="2" bestFit="1" customWidth="1"/>
    <col min="2317" max="2562" width="9" style="2"/>
    <col min="2563" max="2563" width="2.375" style="2" customWidth="1"/>
    <col min="2564" max="2564" width="13.25" style="2" bestFit="1" customWidth="1"/>
    <col min="2565" max="2568" width="9" style="2"/>
    <col min="2569" max="2569" width="8" style="2" bestFit="1" customWidth="1"/>
    <col min="2570" max="2571" width="9" style="2"/>
    <col min="2572" max="2572" width="9.625" style="2" bestFit="1" customWidth="1"/>
    <col min="2573" max="2818" width="9" style="2"/>
    <col min="2819" max="2819" width="2.375" style="2" customWidth="1"/>
    <col min="2820" max="2820" width="13.25" style="2" bestFit="1" customWidth="1"/>
    <col min="2821" max="2824" width="9" style="2"/>
    <col min="2825" max="2825" width="8" style="2" bestFit="1" customWidth="1"/>
    <col min="2826" max="2827" width="9" style="2"/>
    <col min="2828" max="2828" width="9.625" style="2" bestFit="1" customWidth="1"/>
    <col min="2829" max="3074" width="9" style="2"/>
    <col min="3075" max="3075" width="2.375" style="2" customWidth="1"/>
    <col min="3076" max="3076" width="13.25" style="2" bestFit="1" customWidth="1"/>
    <col min="3077" max="3080" width="9" style="2"/>
    <col min="3081" max="3081" width="8" style="2" bestFit="1" customWidth="1"/>
    <col min="3082" max="3083" width="9" style="2"/>
    <col min="3084" max="3084" width="9.625" style="2" bestFit="1" customWidth="1"/>
    <col min="3085" max="3330" width="9" style="2"/>
    <col min="3331" max="3331" width="2.375" style="2" customWidth="1"/>
    <col min="3332" max="3332" width="13.25" style="2" bestFit="1" customWidth="1"/>
    <col min="3333" max="3336" width="9" style="2"/>
    <col min="3337" max="3337" width="8" style="2" bestFit="1" customWidth="1"/>
    <col min="3338" max="3339" width="9" style="2"/>
    <col min="3340" max="3340" width="9.625" style="2" bestFit="1" customWidth="1"/>
    <col min="3341" max="3586" width="9" style="2"/>
    <col min="3587" max="3587" width="2.375" style="2" customWidth="1"/>
    <col min="3588" max="3588" width="13.25" style="2" bestFit="1" customWidth="1"/>
    <col min="3589" max="3592" width="9" style="2"/>
    <col min="3593" max="3593" width="8" style="2" bestFit="1" customWidth="1"/>
    <col min="3594" max="3595" width="9" style="2"/>
    <col min="3596" max="3596" width="9.625" style="2" bestFit="1" customWidth="1"/>
    <col min="3597" max="3842" width="9" style="2"/>
    <col min="3843" max="3843" width="2.375" style="2" customWidth="1"/>
    <col min="3844" max="3844" width="13.25" style="2" bestFit="1" customWidth="1"/>
    <col min="3845" max="3848" width="9" style="2"/>
    <col min="3849" max="3849" width="8" style="2" bestFit="1" customWidth="1"/>
    <col min="3850" max="3851" width="9" style="2"/>
    <col min="3852" max="3852" width="9.625" style="2" bestFit="1" customWidth="1"/>
    <col min="3853" max="4098" width="9" style="2"/>
    <col min="4099" max="4099" width="2.375" style="2" customWidth="1"/>
    <col min="4100" max="4100" width="13.25" style="2" bestFit="1" customWidth="1"/>
    <col min="4101" max="4104" width="9" style="2"/>
    <col min="4105" max="4105" width="8" style="2" bestFit="1" customWidth="1"/>
    <col min="4106" max="4107" width="9" style="2"/>
    <col min="4108" max="4108" width="9.625" style="2" bestFit="1" customWidth="1"/>
    <col min="4109" max="4354" width="9" style="2"/>
    <col min="4355" max="4355" width="2.375" style="2" customWidth="1"/>
    <col min="4356" max="4356" width="13.25" style="2" bestFit="1" customWidth="1"/>
    <col min="4357" max="4360" width="9" style="2"/>
    <col min="4361" max="4361" width="8" style="2" bestFit="1" customWidth="1"/>
    <col min="4362" max="4363" width="9" style="2"/>
    <col min="4364" max="4364" width="9.625" style="2" bestFit="1" customWidth="1"/>
    <col min="4365" max="4610" width="9" style="2"/>
    <col min="4611" max="4611" width="2.375" style="2" customWidth="1"/>
    <col min="4612" max="4612" width="13.25" style="2" bestFit="1" customWidth="1"/>
    <col min="4613" max="4616" width="9" style="2"/>
    <col min="4617" max="4617" width="8" style="2" bestFit="1" customWidth="1"/>
    <col min="4618" max="4619" width="9" style="2"/>
    <col min="4620" max="4620" width="9.625" style="2" bestFit="1" customWidth="1"/>
    <col min="4621" max="4866" width="9" style="2"/>
    <col min="4867" max="4867" width="2.375" style="2" customWidth="1"/>
    <col min="4868" max="4868" width="13.25" style="2" bestFit="1" customWidth="1"/>
    <col min="4869" max="4872" width="9" style="2"/>
    <col min="4873" max="4873" width="8" style="2" bestFit="1" customWidth="1"/>
    <col min="4874" max="4875" width="9" style="2"/>
    <col min="4876" max="4876" width="9.625" style="2" bestFit="1" customWidth="1"/>
    <col min="4877" max="5122" width="9" style="2"/>
    <col min="5123" max="5123" width="2.375" style="2" customWidth="1"/>
    <col min="5124" max="5124" width="13.25" style="2" bestFit="1" customWidth="1"/>
    <col min="5125" max="5128" width="9" style="2"/>
    <col min="5129" max="5129" width="8" style="2" bestFit="1" customWidth="1"/>
    <col min="5130" max="5131" width="9" style="2"/>
    <col min="5132" max="5132" width="9.625" style="2" bestFit="1" customWidth="1"/>
    <col min="5133" max="5378" width="9" style="2"/>
    <col min="5379" max="5379" width="2.375" style="2" customWidth="1"/>
    <col min="5380" max="5380" width="13.25" style="2" bestFit="1" customWidth="1"/>
    <col min="5381" max="5384" width="9" style="2"/>
    <col min="5385" max="5385" width="8" style="2" bestFit="1" customWidth="1"/>
    <col min="5386" max="5387" width="9" style="2"/>
    <col min="5388" max="5388" width="9.625" style="2" bestFit="1" customWidth="1"/>
    <col min="5389" max="5634" width="9" style="2"/>
    <col min="5635" max="5635" width="2.375" style="2" customWidth="1"/>
    <col min="5636" max="5636" width="13.25" style="2" bestFit="1" customWidth="1"/>
    <col min="5637" max="5640" width="9" style="2"/>
    <col min="5641" max="5641" width="8" style="2" bestFit="1" customWidth="1"/>
    <col min="5642" max="5643" width="9" style="2"/>
    <col min="5644" max="5644" width="9.625" style="2" bestFit="1" customWidth="1"/>
    <col min="5645" max="5890" width="9" style="2"/>
    <col min="5891" max="5891" width="2.375" style="2" customWidth="1"/>
    <col min="5892" max="5892" width="13.25" style="2" bestFit="1" customWidth="1"/>
    <col min="5893" max="5896" width="9" style="2"/>
    <col min="5897" max="5897" width="8" style="2" bestFit="1" customWidth="1"/>
    <col min="5898" max="5899" width="9" style="2"/>
    <col min="5900" max="5900" width="9.625" style="2" bestFit="1" customWidth="1"/>
    <col min="5901" max="6146" width="9" style="2"/>
    <col min="6147" max="6147" width="2.375" style="2" customWidth="1"/>
    <col min="6148" max="6148" width="13.25" style="2" bestFit="1" customWidth="1"/>
    <col min="6149" max="6152" width="9" style="2"/>
    <col min="6153" max="6153" width="8" style="2" bestFit="1" customWidth="1"/>
    <col min="6154" max="6155" width="9" style="2"/>
    <col min="6156" max="6156" width="9.625" style="2" bestFit="1" customWidth="1"/>
    <col min="6157" max="6402" width="9" style="2"/>
    <col min="6403" max="6403" width="2.375" style="2" customWidth="1"/>
    <col min="6404" max="6404" width="13.25" style="2" bestFit="1" customWidth="1"/>
    <col min="6405" max="6408" width="9" style="2"/>
    <col min="6409" max="6409" width="8" style="2" bestFit="1" customWidth="1"/>
    <col min="6410" max="6411" width="9" style="2"/>
    <col min="6412" max="6412" width="9.625" style="2" bestFit="1" customWidth="1"/>
    <col min="6413" max="6658" width="9" style="2"/>
    <col min="6659" max="6659" width="2.375" style="2" customWidth="1"/>
    <col min="6660" max="6660" width="13.25" style="2" bestFit="1" customWidth="1"/>
    <col min="6661" max="6664" width="9" style="2"/>
    <col min="6665" max="6665" width="8" style="2" bestFit="1" customWidth="1"/>
    <col min="6666" max="6667" width="9" style="2"/>
    <col min="6668" max="6668" width="9.625" style="2" bestFit="1" customWidth="1"/>
    <col min="6669" max="6914" width="9" style="2"/>
    <col min="6915" max="6915" width="2.375" style="2" customWidth="1"/>
    <col min="6916" max="6916" width="13.25" style="2" bestFit="1" customWidth="1"/>
    <col min="6917" max="6920" width="9" style="2"/>
    <col min="6921" max="6921" width="8" style="2" bestFit="1" customWidth="1"/>
    <col min="6922" max="6923" width="9" style="2"/>
    <col min="6924" max="6924" width="9.625" style="2" bestFit="1" customWidth="1"/>
    <col min="6925" max="7170" width="9" style="2"/>
    <col min="7171" max="7171" width="2.375" style="2" customWidth="1"/>
    <col min="7172" max="7172" width="13.25" style="2" bestFit="1" customWidth="1"/>
    <col min="7173" max="7176" width="9" style="2"/>
    <col min="7177" max="7177" width="8" style="2" bestFit="1" customWidth="1"/>
    <col min="7178" max="7179" width="9" style="2"/>
    <col min="7180" max="7180" width="9.625" style="2" bestFit="1" customWidth="1"/>
    <col min="7181" max="7426" width="9" style="2"/>
    <col min="7427" max="7427" width="2.375" style="2" customWidth="1"/>
    <col min="7428" max="7428" width="13.25" style="2" bestFit="1" customWidth="1"/>
    <col min="7429" max="7432" width="9" style="2"/>
    <col min="7433" max="7433" width="8" style="2" bestFit="1" customWidth="1"/>
    <col min="7434" max="7435" width="9" style="2"/>
    <col min="7436" max="7436" width="9.625" style="2" bestFit="1" customWidth="1"/>
    <col min="7437" max="7682" width="9" style="2"/>
    <col min="7683" max="7683" width="2.375" style="2" customWidth="1"/>
    <col min="7684" max="7684" width="13.25" style="2" bestFit="1" customWidth="1"/>
    <col min="7685" max="7688" width="9" style="2"/>
    <col min="7689" max="7689" width="8" style="2" bestFit="1" customWidth="1"/>
    <col min="7690" max="7691" width="9" style="2"/>
    <col min="7692" max="7692" width="9.625" style="2" bestFit="1" customWidth="1"/>
    <col min="7693" max="7938" width="9" style="2"/>
    <col min="7939" max="7939" width="2.375" style="2" customWidth="1"/>
    <col min="7940" max="7940" width="13.25" style="2" bestFit="1" customWidth="1"/>
    <col min="7941" max="7944" width="9" style="2"/>
    <col min="7945" max="7945" width="8" style="2" bestFit="1" customWidth="1"/>
    <col min="7946" max="7947" width="9" style="2"/>
    <col min="7948" max="7948" width="9.625" style="2" bestFit="1" customWidth="1"/>
    <col min="7949" max="8194" width="9" style="2"/>
    <col min="8195" max="8195" width="2.375" style="2" customWidth="1"/>
    <col min="8196" max="8196" width="13.25" style="2" bestFit="1" customWidth="1"/>
    <col min="8197" max="8200" width="9" style="2"/>
    <col min="8201" max="8201" width="8" style="2" bestFit="1" customWidth="1"/>
    <col min="8202" max="8203" width="9" style="2"/>
    <col min="8204" max="8204" width="9.625" style="2" bestFit="1" customWidth="1"/>
    <col min="8205" max="8450" width="9" style="2"/>
    <col min="8451" max="8451" width="2.375" style="2" customWidth="1"/>
    <col min="8452" max="8452" width="13.25" style="2" bestFit="1" customWidth="1"/>
    <col min="8453" max="8456" width="9" style="2"/>
    <col min="8457" max="8457" width="8" style="2" bestFit="1" customWidth="1"/>
    <col min="8458" max="8459" width="9" style="2"/>
    <col min="8460" max="8460" width="9.625" style="2" bestFit="1" customWidth="1"/>
    <col min="8461" max="8706" width="9" style="2"/>
    <col min="8707" max="8707" width="2.375" style="2" customWidth="1"/>
    <col min="8708" max="8708" width="13.25" style="2" bestFit="1" customWidth="1"/>
    <col min="8709" max="8712" width="9" style="2"/>
    <col min="8713" max="8713" width="8" style="2" bestFit="1" customWidth="1"/>
    <col min="8714" max="8715" width="9" style="2"/>
    <col min="8716" max="8716" width="9.625" style="2" bestFit="1" customWidth="1"/>
    <col min="8717" max="8962" width="9" style="2"/>
    <col min="8963" max="8963" width="2.375" style="2" customWidth="1"/>
    <col min="8964" max="8964" width="13.25" style="2" bestFit="1" customWidth="1"/>
    <col min="8965" max="8968" width="9" style="2"/>
    <col min="8969" max="8969" width="8" style="2" bestFit="1" customWidth="1"/>
    <col min="8970" max="8971" width="9" style="2"/>
    <col min="8972" max="8972" width="9.625" style="2" bestFit="1" customWidth="1"/>
    <col min="8973" max="9218" width="9" style="2"/>
    <col min="9219" max="9219" width="2.375" style="2" customWidth="1"/>
    <col min="9220" max="9220" width="13.25" style="2" bestFit="1" customWidth="1"/>
    <col min="9221" max="9224" width="9" style="2"/>
    <col min="9225" max="9225" width="8" style="2" bestFit="1" customWidth="1"/>
    <col min="9226" max="9227" width="9" style="2"/>
    <col min="9228" max="9228" width="9.625" style="2" bestFit="1" customWidth="1"/>
    <col min="9229" max="9474" width="9" style="2"/>
    <col min="9475" max="9475" width="2.375" style="2" customWidth="1"/>
    <col min="9476" max="9476" width="13.25" style="2" bestFit="1" customWidth="1"/>
    <col min="9477" max="9480" width="9" style="2"/>
    <col min="9481" max="9481" width="8" style="2" bestFit="1" customWidth="1"/>
    <col min="9482" max="9483" width="9" style="2"/>
    <col min="9484" max="9484" width="9.625" style="2" bestFit="1" customWidth="1"/>
    <col min="9485" max="9730" width="9" style="2"/>
    <col min="9731" max="9731" width="2.375" style="2" customWidth="1"/>
    <col min="9732" max="9732" width="13.25" style="2" bestFit="1" customWidth="1"/>
    <col min="9733" max="9736" width="9" style="2"/>
    <col min="9737" max="9737" width="8" style="2" bestFit="1" customWidth="1"/>
    <col min="9738" max="9739" width="9" style="2"/>
    <col min="9740" max="9740" width="9.625" style="2" bestFit="1" customWidth="1"/>
    <col min="9741" max="9986" width="9" style="2"/>
    <col min="9987" max="9987" width="2.375" style="2" customWidth="1"/>
    <col min="9988" max="9988" width="13.25" style="2" bestFit="1" customWidth="1"/>
    <col min="9989" max="9992" width="9" style="2"/>
    <col min="9993" max="9993" width="8" style="2" bestFit="1" customWidth="1"/>
    <col min="9994" max="9995" width="9" style="2"/>
    <col min="9996" max="9996" width="9.625" style="2" bestFit="1" customWidth="1"/>
    <col min="9997" max="10242" width="9" style="2"/>
    <col min="10243" max="10243" width="2.375" style="2" customWidth="1"/>
    <col min="10244" max="10244" width="13.25" style="2" bestFit="1" customWidth="1"/>
    <col min="10245" max="10248" width="9" style="2"/>
    <col min="10249" max="10249" width="8" style="2" bestFit="1" customWidth="1"/>
    <col min="10250" max="10251" width="9" style="2"/>
    <col min="10252" max="10252" width="9.625" style="2" bestFit="1" customWidth="1"/>
    <col min="10253" max="10498" width="9" style="2"/>
    <col min="10499" max="10499" width="2.375" style="2" customWidth="1"/>
    <col min="10500" max="10500" width="13.25" style="2" bestFit="1" customWidth="1"/>
    <col min="10501" max="10504" width="9" style="2"/>
    <col min="10505" max="10505" width="8" style="2" bestFit="1" customWidth="1"/>
    <col min="10506" max="10507" width="9" style="2"/>
    <col min="10508" max="10508" width="9.625" style="2" bestFit="1" customWidth="1"/>
    <col min="10509" max="10754" width="9" style="2"/>
    <col min="10755" max="10755" width="2.375" style="2" customWidth="1"/>
    <col min="10756" max="10756" width="13.25" style="2" bestFit="1" customWidth="1"/>
    <col min="10757" max="10760" width="9" style="2"/>
    <col min="10761" max="10761" width="8" style="2" bestFit="1" customWidth="1"/>
    <col min="10762" max="10763" width="9" style="2"/>
    <col min="10764" max="10764" width="9.625" style="2" bestFit="1" customWidth="1"/>
    <col min="10765" max="11010" width="9" style="2"/>
    <col min="11011" max="11011" width="2.375" style="2" customWidth="1"/>
    <col min="11012" max="11012" width="13.25" style="2" bestFit="1" customWidth="1"/>
    <col min="11013" max="11016" width="9" style="2"/>
    <col min="11017" max="11017" width="8" style="2" bestFit="1" customWidth="1"/>
    <col min="11018" max="11019" width="9" style="2"/>
    <col min="11020" max="11020" width="9.625" style="2" bestFit="1" customWidth="1"/>
    <col min="11021" max="11266" width="9" style="2"/>
    <col min="11267" max="11267" width="2.375" style="2" customWidth="1"/>
    <col min="11268" max="11268" width="13.25" style="2" bestFit="1" customWidth="1"/>
    <col min="11269" max="11272" width="9" style="2"/>
    <col min="11273" max="11273" width="8" style="2" bestFit="1" customWidth="1"/>
    <col min="11274" max="11275" width="9" style="2"/>
    <col min="11276" max="11276" width="9.625" style="2" bestFit="1" customWidth="1"/>
    <col min="11277" max="11522" width="9" style="2"/>
    <col min="11523" max="11523" width="2.375" style="2" customWidth="1"/>
    <col min="11524" max="11524" width="13.25" style="2" bestFit="1" customWidth="1"/>
    <col min="11525" max="11528" width="9" style="2"/>
    <col min="11529" max="11529" width="8" style="2" bestFit="1" customWidth="1"/>
    <col min="11530" max="11531" width="9" style="2"/>
    <col min="11532" max="11532" width="9.625" style="2" bestFit="1" customWidth="1"/>
    <col min="11533" max="11778" width="9" style="2"/>
    <col min="11779" max="11779" width="2.375" style="2" customWidth="1"/>
    <col min="11780" max="11780" width="13.25" style="2" bestFit="1" customWidth="1"/>
    <col min="11781" max="11784" width="9" style="2"/>
    <col min="11785" max="11785" width="8" style="2" bestFit="1" customWidth="1"/>
    <col min="11786" max="11787" width="9" style="2"/>
    <col min="11788" max="11788" width="9.625" style="2" bestFit="1" customWidth="1"/>
    <col min="11789" max="12034" width="9" style="2"/>
    <col min="12035" max="12035" width="2.375" style="2" customWidth="1"/>
    <col min="12036" max="12036" width="13.25" style="2" bestFit="1" customWidth="1"/>
    <col min="12037" max="12040" width="9" style="2"/>
    <col min="12041" max="12041" width="8" style="2" bestFit="1" customWidth="1"/>
    <col min="12042" max="12043" width="9" style="2"/>
    <col min="12044" max="12044" width="9.625" style="2" bestFit="1" customWidth="1"/>
    <col min="12045" max="12290" width="9" style="2"/>
    <col min="12291" max="12291" width="2.375" style="2" customWidth="1"/>
    <col min="12292" max="12292" width="13.25" style="2" bestFit="1" customWidth="1"/>
    <col min="12293" max="12296" width="9" style="2"/>
    <col min="12297" max="12297" width="8" style="2" bestFit="1" customWidth="1"/>
    <col min="12298" max="12299" width="9" style="2"/>
    <col min="12300" max="12300" width="9.625" style="2" bestFit="1" customWidth="1"/>
    <col min="12301" max="12546" width="9" style="2"/>
    <col min="12547" max="12547" width="2.375" style="2" customWidth="1"/>
    <col min="12548" max="12548" width="13.25" style="2" bestFit="1" customWidth="1"/>
    <col min="12549" max="12552" width="9" style="2"/>
    <col min="12553" max="12553" width="8" style="2" bestFit="1" customWidth="1"/>
    <col min="12554" max="12555" width="9" style="2"/>
    <col min="12556" max="12556" width="9.625" style="2" bestFit="1" customWidth="1"/>
    <col min="12557" max="12802" width="9" style="2"/>
    <col min="12803" max="12803" width="2.375" style="2" customWidth="1"/>
    <col min="12804" max="12804" width="13.25" style="2" bestFit="1" customWidth="1"/>
    <col min="12805" max="12808" width="9" style="2"/>
    <col min="12809" max="12809" width="8" style="2" bestFit="1" customWidth="1"/>
    <col min="12810" max="12811" width="9" style="2"/>
    <col min="12812" max="12812" width="9.625" style="2" bestFit="1" customWidth="1"/>
    <col min="12813" max="13058" width="9" style="2"/>
    <col min="13059" max="13059" width="2.375" style="2" customWidth="1"/>
    <col min="13060" max="13060" width="13.25" style="2" bestFit="1" customWidth="1"/>
    <col min="13061" max="13064" width="9" style="2"/>
    <col min="13065" max="13065" width="8" style="2" bestFit="1" customWidth="1"/>
    <col min="13066" max="13067" width="9" style="2"/>
    <col min="13068" max="13068" width="9.625" style="2" bestFit="1" customWidth="1"/>
    <col min="13069" max="13314" width="9" style="2"/>
    <col min="13315" max="13315" width="2.375" style="2" customWidth="1"/>
    <col min="13316" max="13316" width="13.25" style="2" bestFit="1" customWidth="1"/>
    <col min="13317" max="13320" width="9" style="2"/>
    <col min="13321" max="13321" width="8" style="2" bestFit="1" customWidth="1"/>
    <col min="13322" max="13323" width="9" style="2"/>
    <col min="13324" max="13324" width="9.625" style="2" bestFit="1" customWidth="1"/>
    <col min="13325" max="13570" width="9" style="2"/>
    <col min="13571" max="13571" width="2.375" style="2" customWidth="1"/>
    <col min="13572" max="13572" width="13.25" style="2" bestFit="1" customWidth="1"/>
    <col min="13573" max="13576" width="9" style="2"/>
    <col min="13577" max="13577" width="8" style="2" bestFit="1" customWidth="1"/>
    <col min="13578" max="13579" width="9" style="2"/>
    <col min="13580" max="13580" width="9.625" style="2" bestFit="1" customWidth="1"/>
    <col min="13581" max="13826" width="9" style="2"/>
    <col min="13827" max="13827" width="2.375" style="2" customWidth="1"/>
    <col min="13828" max="13828" width="13.25" style="2" bestFit="1" customWidth="1"/>
    <col min="13829" max="13832" width="9" style="2"/>
    <col min="13833" max="13833" width="8" style="2" bestFit="1" customWidth="1"/>
    <col min="13834" max="13835" width="9" style="2"/>
    <col min="13836" max="13836" width="9.625" style="2" bestFit="1" customWidth="1"/>
    <col min="13837" max="14082" width="9" style="2"/>
    <col min="14083" max="14083" width="2.375" style="2" customWidth="1"/>
    <col min="14084" max="14084" width="13.25" style="2" bestFit="1" customWidth="1"/>
    <col min="14085" max="14088" width="9" style="2"/>
    <col min="14089" max="14089" width="8" style="2" bestFit="1" customWidth="1"/>
    <col min="14090" max="14091" width="9" style="2"/>
    <col min="14092" max="14092" width="9.625" style="2" bestFit="1" customWidth="1"/>
    <col min="14093" max="14338" width="9" style="2"/>
    <col min="14339" max="14339" width="2.375" style="2" customWidth="1"/>
    <col min="14340" max="14340" width="13.25" style="2" bestFit="1" customWidth="1"/>
    <col min="14341" max="14344" width="9" style="2"/>
    <col min="14345" max="14345" width="8" style="2" bestFit="1" customWidth="1"/>
    <col min="14346" max="14347" width="9" style="2"/>
    <col min="14348" max="14348" width="9.625" style="2" bestFit="1" customWidth="1"/>
    <col min="14349" max="14594" width="9" style="2"/>
    <col min="14595" max="14595" width="2.375" style="2" customWidth="1"/>
    <col min="14596" max="14596" width="13.25" style="2" bestFit="1" customWidth="1"/>
    <col min="14597" max="14600" width="9" style="2"/>
    <col min="14601" max="14601" width="8" style="2" bestFit="1" customWidth="1"/>
    <col min="14602" max="14603" width="9" style="2"/>
    <col min="14604" max="14604" width="9.625" style="2" bestFit="1" customWidth="1"/>
    <col min="14605" max="14850" width="9" style="2"/>
    <col min="14851" max="14851" width="2.375" style="2" customWidth="1"/>
    <col min="14852" max="14852" width="13.25" style="2" bestFit="1" customWidth="1"/>
    <col min="14853" max="14856" width="9" style="2"/>
    <col min="14857" max="14857" width="8" style="2" bestFit="1" customWidth="1"/>
    <col min="14858" max="14859" width="9" style="2"/>
    <col min="14860" max="14860" width="9.625" style="2" bestFit="1" customWidth="1"/>
    <col min="14861" max="15106" width="9" style="2"/>
    <col min="15107" max="15107" width="2.375" style="2" customWidth="1"/>
    <col min="15108" max="15108" width="13.25" style="2" bestFit="1" customWidth="1"/>
    <col min="15109" max="15112" width="9" style="2"/>
    <col min="15113" max="15113" width="8" style="2" bestFit="1" customWidth="1"/>
    <col min="15114" max="15115" width="9" style="2"/>
    <col min="15116" max="15116" width="9.625" style="2" bestFit="1" customWidth="1"/>
    <col min="15117" max="15362" width="9" style="2"/>
    <col min="15363" max="15363" width="2.375" style="2" customWidth="1"/>
    <col min="15364" max="15364" width="13.25" style="2" bestFit="1" customWidth="1"/>
    <col min="15365" max="15368" width="9" style="2"/>
    <col min="15369" max="15369" width="8" style="2" bestFit="1" customWidth="1"/>
    <col min="15370" max="15371" width="9" style="2"/>
    <col min="15372" max="15372" width="9.625" style="2" bestFit="1" customWidth="1"/>
    <col min="15373" max="15618" width="9" style="2"/>
    <col min="15619" max="15619" width="2.375" style="2" customWidth="1"/>
    <col min="15620" max="15620" width="13.25" style="2" bestFit="1" customWidth="1"/>
    <col min="15621" max="15624" width="9" style="2"/>
    <col min="15625" max="15625" width="8" style="2" bestFit="1" customWidth="1"/>
    <col min="15626" max="15627" width="9" style="2"/>
    <col min="15628" max="15628" width="9.625" style="2" bestFit="1" customWidth="1"/>
    <col min="15629" max="15874" width="9" style="2"/>
    <col min="15875" max="15875" width="2.375" style="2" customWidth="1"/>
    <col min="15876" max="15876" width="13.25" style="2" bestFit="1" customWidth="1"/>
    <col min="15877" max="15880" width="9" style="2"/>
    <col min="15881" max="15881" width="8" style="2" bestFit="1" customWidth="1"/>
    <col min="15882" max="15883" width="9" style="2"/>
    <col min="15884" max="15884" width="9.625" style="2" bestFit="1" customWidth="1"/>
    <col min="15885" max="16130" width="9" style="2"/>
    <col min="16131" max="16131" width="2.375" style="2" customWidth="1"/>
    <col min="16132" max="16132" width="13.25" style="2" bestFit="1" customWidth="1"/>
    <col min="16133" max="16136" width="9" style="2"/>
    <col min="16137" max="16137" width="8" style="2" bestFit="1" customWidth="1"/>
    <col min="16138" max="16139" width="9" style="2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 ht="19.5" thickBot="1">
      <c r="A3" s="1" t="s">
        <v>73</v>
      </c>
    </row>
    <row r="4" spans="1:12">
      <c r="B4" s="3"/>
      <c r="C4" s="9" t="s">
        <v>7</v>
      </c>
      <c r="D4" s="36" t="s">
        <v>3</v>
      </c>
      <c r="E4" s="10" t="s">
        <v>9</v>
      </c>
      <c r="F4" s="72" t="s">
        <v>74</v>
      </c>
      <c r="G4" s="36" t="s">
        <v>4</v>
      </c>
      <c r="H4" s="9" t="s">
        <v>5</v>
      </c>
      <c r="I4" s="9" t="s">
        <v>6</v>
      </c>
      <c r="J4" s="48" t="s">
        <v>8</v>
      </c>
      <c r="K4" s="60" t="s">
        <v>78</v>
      </c>
      <c r="L4" s="72" t="s">
        <v>76</v>
      </c>
    </row>
    <row r="5" spans="1:12" ht="19.5" thickBot="1">
      <c r="A5" s="74"/>
      <c r="B5" s="4" t="s">
        <v>10</v>
      </c>
      <c r="C5" s="11" t="s">
        <v>15</v>
      </c>
      <c r="D5" s="37" t="s">
        <v>11</v>
      </c>
      <c r="E5" s="12" t="s">
        <v>17</v>
      </c>
      <c r="F5" s="73" t="s">
        <v>75</v>
      </c>
      <c r="G5" s="37" t="s">
        <v>12</v>
      </c>
      <c r="H5" s="11" t="s">
        <v>13</v>
      </c>
      <c r="I5" s="11" t="s">
        <v>14</v>
      </c>
      <c r="J5" s="49" t="s">
        <v>16</v>
      </c>
      <c r="K5" s="61" t="s">
        <v>79</v>
      </c>
      <c r="L5" s="73" t="s">
        <v>77</v>
      </c>
    </row>
    <row r="6" spans="1:12">
      <c r="A6" s="1" t="s">
        <v>2</v>
      </c>
      <c r="B6" s="5" t="s">
        <v>18</v>
      </c>
      <c r="C6" s="13">
        <v>21</v>
      </c>
      <c r="D6" s="38">
        <v>10</v>
      </c>
      <c r="E6" s="14">
        <v>19</v>
      </c>
      <c r="F6" s="8">
        <f>SUM(C6:E6)</f>
        <v>50</v>
      </c>
      <c r="G6" s="13">
        <v>20</v>
      </c>
      <c r="H6" s="13">
        <v>19</v>
      </c>
      <c r="I6" s="13">
        <v>20</v>
      </c>
      <c r="J6" s="50">
        <v>20</v>
      </c>
      <c r="K6" s="62">
        <f>SUM(G6:J6)</f>
        <v>79</v>
      </c>
      <c r="L6" s="62">
        <f>SUM(K6,F6)</f>
        <v>129</v>
      </c>
    </row>
    <row r="7" spans="1:12">
      <c r="A7" s="1" t="s">
        <v>2</v>
      </c>
      <c r="B7" s="6" t="s">
        <v>19</v>
      </c>
      <c r="C7" s="15">
        <v>0</v>
      </c>
      <c r="D7" s="39">
        <v>0</v>
      </c>
      <c r="E7" s="16">
        <v>0</v>
      </c>
      <c r="F7" s="8">
        <f t="shared" ref="F7:F23" si="0">SUM(C7:E7)</f>
        <v>0</v>
      </c>
      <c r="G7" s="15">
        <v>0</v>
      </c>
      <c r="H7" s="15">
        <v>1</v>
      </c>
      <c r="I7" s="15">
        <v>1</v>
      </c>
      <c r="J7" s="51">
        <v>1</v>
      </c>
      <c r="K7" s="63">
        <f t="shared" ref="K7:K23" si="1">SUM(G7:J7)</f>
        <v>3</v>
      </c>
      <c r="L7" s="62">
        <f t="shared" ref="L7:L23" si="2">SUM(K7,F7)</f>
        <v>3</v>
      </c>
    </row>
    <row r="8" spans="1:12">
      <c r="A8" s="1" t="s">
        <v>2</v>
      </c>
      <c r="B8" s="6" t="s">
        <v>20</v>
      </c>
      <c r="C8" s="15">
        <v>0</v>
      </c>
      <c r="D8" s="39">
        <v>1</v>
      </c>
      <c r="E8" s="16">
        <v>0</v>
      </c>
      <c r="F8" s="8">
        <f t="shared" si="0"/>
        <v>1</v>
      </c>
      <c r="G8" s="15">
        <v>1</v>
      </c>
      <c r="H8" s="15">
        <v>1</v>
      </c>
      <c r="I8" s="15">
        <v>0</v>
      </c>
      <c r="J8" s="51">
        <v>0</v>
      </c>
      <c r="K8" s="63">
        <f t="shared" si="1"/>
        <v>2</v>
      </c>
      <c r="L8" s="62">
        <f t="shared" si="2"/>
        <v>3</v>
      </c>
    </row>
    <row r="9" spans="1:12">
      <c r="A9" s="1" t="s">
        <v>2</v>
      </c>
      <c r="B9" s="6" t="s">
        <v>21</v>
      </c>
      <c r="C9" s="15">
        <v>0</v>
      </c>
      <c r="D9" s="39">
        <v>0</v>
      </c>
      <c r="E9" s="16">
        <v>0</v>
      </c>
      <c r="F9" s="8">
        <f t="shared" si="0"/>
        <v>0</v>
      </c>
      <c r="G9" s="15">
        <v>0</v>
      </c>
      <c r="H9" s="15">
        <v>1</v>
      </c>
      <c r="I9" s="15">
        <v>0</v>
      </c>
      <c r="J9" s="51">
        <v>0</v>
      </c>
      <c r="K9" s="63">
        <f t="shared" si="1"/>
        <v>1</v>
      </c>
      <c r="L9" s="62">
        <f t="shared" si="2"/>
        <v>1</v>
      </c>
    </row>
    <row r="10" spans="1:12">
      <c r="A10" s="1" t="s">
        <v>2</v>
      </c>
      <c r="B10" s="6" t="s">
        <v>22</v>
      </c>
      <c r="C10" s="15">
        <v>0</v>
      </c>
      <c r="D10" s="39">
        <v>11</v>
      </c>
      <c r="E10" s="16">
        <v>1</v>
      </c>
      <c r="F10" s="8">
        <f t="shared" si="0"/>
        <v>12</v>
      </c>
      <c r="G10" s="15">
        <v>0</v>
      </c>
      <c r="H10" s="15">
        <v>1</v>
      </c>
      <c r="I10" s="15">
        <v>0</v>
      </c>
      <c r="J10" s="51">
        <v>0</v>
      </c>
      <c r="K10" s="63">
        <f t="shared" si="1"/>
        <v>1</v>
      </c>
      <c r="L10" s="62">
        <f t="shared" si="2"/>
        <v>13</v>
      </c>
    </row>
    <row r="11" spans="1:12">
      <c r="A11" s="1" t="s">
        <v>2</v>
      </c>
      <c r="B11" s="6" t="s">
        <v>23</v>
      </c>
      <c r="C11" s="15">
        <v>0</v>
      </c>
      <c r="D11" s="39">
        <v>0</v>
      </c>
      <c r="E11" s="16">
        <v>0</v>
      </c>
      <c r="F11" s="8">
        <f t="shared" si="0"/>
        <v>0</v>
      </c>
      <c r="G11" s="15">
        <v>0</v>
      </c>
      <c r="H11" s="15">
        <v>0</v>
      </c>
      <c r="I11" s="15">
        <v>0</v>
      </c>
      <c r="J11" s="51">
        <v>0</v>
      </c>
      <c r="K11" s="63">
        <f t="shared" si="1"/>
        <v>0</v>
      </c>
      <c r="L11" s="62">
        <f t="shared" si="2"/>
        <v>0</v>
      </c>
    </row>
    <row r="12" spans="1:12">
      <c r="A12" s="1" t="s">
        <v>2</v>
      </c>
      <c r="B12" s="6" t="s">
        <v>24</v>
      </c>
      <c r="C12" s="15">
        <v>0</v>
      </c>
      <c r="D12" s="39">
        <v>0</v>
      </c>
      <c r="E12" s="16">
        <v>0</v>
      </c>
      <c r="F12" s="8">
        <f t="shared" si="0"/>
        <v>0</v>
      </c>
      <c r="G12" s="15">
        <v>1</v>
      </c>
      <c r="H12" s="15">
        <v>0</v>
      </c>
      <c r="I12" s="15">
        <v>1</v>
      </c>
      <c r="J12" s="51">
        <v>1</v>
      </c>
      <c r="K12" s="63">
        <f t="shared" si="1"/>
        <v>3</v>
      </c>
      <c r="L12" s="62">
        <f t="shared" si="2"/>
        <v>3</v>
      </c>
    </row>
    <row r="13" spans="1:12">
      <c r="A13" s="1" t="s">
        <v>2</v>
      </c>
      <c r="B13" s="6" t="s">
        <v>25</v>
      </c>
      <c r="C13" s="15">
        <v>0</v>
      </c>
      <c r="D13" s="39">
        <v>0</v>
      </c>
      <c r="E13" s="16">
        <v>0</v>
      </c>
      <c r="F13" s="8">
        <f t="shared" si="0"/>
        <v>0</v>
      </c>
      <c r="G13" s="15">
        <v>1</v>
      </c>
      <c r="H13" s="15">
        <v>0</v>
      </c>
      <c r="I13" s="15">
        <v>1</v>
      </c>
      <c r="J13" s="51">
        <v>1</v>
      </c>
      <c r="K13" s="63">
        <f t="shared" si="1"/>
        <v>3</v>
      </c>
      <c r="L13" s="62">
        <f t="shared" si="2"/>
        <v>3</v>
      </c>
    </row>
    <row r="14" spans="1:12">
      <c r="A14" s="1" t="s">
        <v>2</v>
      </c>
      <c r="B14" s="6" t="s">
        <v>26</v>
      </c>
      <c r="C14" s="17">
        <v>0</v>
      </c>
      <c r="D14" s="40">
        <v>0</v>
      </c>
      <c r="E14" s="18">
        <v>2.375</v>
      </c>
      <c r="F14" s="18">
        <f t="shared" si="0"/>
        <v>2.375</v>
      </c>
      <c r="G14" s="17">
        <v>0</v>
      </c>
      <c r="H14" s="17">
        <v>0</v>
      </c>
      <c r="I14" s="17">
        <v>0</v>
      </c>
      <c r="J14" s="52">
        <v>0</v>
      </c>
      <c r="K14" s="64">
        <f t="shared" si="1"/>
        <v>0</v>
      </c>
      <c r="L14" s="64">
        <f t="shared" si="2"/>
        <v>2.375</v>
      </c>
    </row>
    <row r="15" spans="1:12">
      <c r="A15" s="1" t="s">
        <v>2</v>
      </c>
      <c r="B15" s="6" t="s">
        <v>27</v>
      </c>
      <c r="C15" s="17">
        <v>0</v>
      </c>
      <c r="D15" s="40">
        <v>0</v>
      </c>
      <c r="E15" s="18">
        <v>0</v>
      </c>
      <c r="F15" s="8">
        <f t="shared" si="0"/>
        <v>0</v>
      </c>
      <c r="G15" s="17">
        <v>2</v>
      </c>
      <c r="H15" s="17">
        <v>2.0833333333333335</v>
      </c>
      <c r="I15" s="17">
        <v>2.2916666666666665</v>
      </c>
      <c r="J15" s="52">
        <v>2.0416666666666665</v>
      </c>
      <c r="K15" s="64">
        <f t="shared" si="1"/>
        <v>8.4166666666666661</v>
      </c>
      <c r="L15" s="64">
        <f t="shared" si="2"/>
        <v>8.4166666666666661</v>
      </c>
    </row>
    <row r="16" spans="1:12">
      <c r="A16" s="1" t="s">
        <v>2</v>
      </c>
      <c r="B16" s="6" t="s">
        <v>28</v>
      </c>
      <c r="C16" s="17">
        <v>0</v>
      </c>
      <c r="D16" s="40">
        <v>0</v>
      </c>
      <c r="E16" s="18">
        <v>0</v>
      </c>
      <c r="F16" s="8">
        <f t="shared" si="0"/>
        <v>0</v>
      </c>
      <c r="G16" s="17">
        <v>0</v>
      </c>
      <c r="H16" s="17">
        <v>0</v>
      </c>
      <c r="I16" s="17">
        <v>0.29166666666666669</v>
      </c>
      <c r="J16" s="52">
        <v>0.25</v>
      </c>
      <c r="K16" s="64">
        <f t="shared" si="1"/>
        <v>0.54166666666666674</v>
      </c>
      <c r="L16" s="64">
        <f t="shared" si="2"/>
        <v>0.54166666666666674</v>
      </c>
    </row>
    <row r="17" spans="1:12">
      <c r="A17" s="1" t="s">
        <v>2</v>
      </c>
      <c r="B17" s="6" t="s">
        <v>29</v>
      </c>
      <c r="C17" s="17">
        <v>0</v>
      </c>
      <c r="D17" s="40">
        <v>0.16666666666666666</v>
      </c>
      <c r="E17" s="18">
        <v>0</v>
      </c>
      <c r="F17" s="64">
        <f t="shared" si="0"/>
        <v>0.16666666666666666</v>
      </c>
      <c r="G17" s="40">
        <v>0.41666666666666669</v>
      </c>
      <c r="H17" s="17">
        <v>0.5</v>
      </c>
      <c r="I17" s="17">
        <v>0</v>
      </c>
      <c r="J17" s="52">
        <v>0</v>
      </c>
      <c r="K17" s="64">
        <f t="shared" si="1"/>
        <v>0.91666666666666674</v>
      </c>
      <c r="L17" s="64">
        <f t="shared" si="2"/>
        <v>1.0833333333333335</v>
      </c>
    </row>
    <row r="18" spans="1:12">
      <c r="A18" s="1" t="s">
        <v>2</v>
      </c>
      <c r="B18" s="6" t="s">
        <v>30</v>
      </c>
      <c r="C18" s="17">
        <v>0</v>
      </c>
      <c r="D18" s="40">
        <v>0</v>
      </c>
      <c r="E18" s="18">
        <v>0</v>
      </c>
      <c r="F18" s="8">
        <f t="shared" si="0"/>
        <v>0</v>
      </c>
      <c r="G18" s="17">
        <v>0</v>
      </c>
      <c r="H18" s="17">
        <v>0.33333333333333331</v>
      </c>
      <c r="I18" s="17">
        <v>0</v>
      </c>
      <c r="J18" s="52">
        <v>0</v>
      </c>
      <c r="K18" s="64">
        <f t="shared" si="1"/>
        <v>0.33333333333333331</v>
      </c>
      <c r="L18" s="64">
        <f t="shared" si="2"/>
        <v>0.33333333333333331</v>
      </c>
    </row>
    <row r="19" spans="1:12">
      <c r="A19" s="1" t="s">
        <v>2</v>
      </c>
      <c r="B19" s="6" t="s">
        <v>31</v>
      </c>
      <c r="C19" s="17">
        <v>0</v>
      </c>
      <c r="D19" s="40">
        <v>0</v>
      </c>
      <c r="E19" s="18">
        <v>0</v>
      </c>
      <c r="F19" s="8">
        <f t="shared" si="0"/>
        <v>0</v>
      </c>
      <c r="G19" s="17">
        <v>0</v>
      </c>
      <c r="H19" s="17">
        <v>0</v>
      </c>
      <c r="I19" s="17">
        <v>0</v>
      </c>
      <c r="J19" s="52">
        <v>0</v>
      </c>
      <c r="K19" s="64">
        <f t="shared" si="1"/>
        <v>0</v>
      </c>
      <c r="L19" s="62">
        <f t="shared" si="2"/>
        <v>0</v>
      </c>
    </row>
    <row r="20" spans="1:12">
      <c r="A20" s="1" t="s">
        <v>2</v>
      </c>
      <c r="B20" s="6" t="s">
        <v>32</v>
      </c>
      <c r="C20" s="17">
        <v>0</v>
      </c>
      <c r="D20" s="40">
        <v>0</v>
      </c>
      <c r="E20" s="18">
        <v>0</v>
      </c>
      <c r="F20" s="8">
        <f t="shared" si="0"/>
        <v>0</v>
      </c>
      <c r="G20" s="17">
        <v>0</v>
      </c>
      <c r="H20" s="17">
        <v>0</v>
      </c>
      <c r="I20" s="17">
        <v>0</v>
      </c>
      <c r="J20" s="52">
        <v>0</v>
      </c>
      <c r="K20" s="64">
        <f t="shared" si="1"/>
        <v>0</v>
      </c>
      <c r="L20" s="62">
        <f t="shared" si="2"/>
        <v>0</v>
      </c>
    </row>
    <row r="21" spans="1:12">
      <c r="A21" s="1" t="s">
        <v>2</v>
      </c>
      <c r="B21" s="6" t="s">
        <v>33</v>
      </c>
      <c r="C21" s="17">
        <v>0</v>
      </c>
      <c r="D21" s="40">
        <v>0</v>
      </c>
      <c r="E21" s="18">
        <v>0.14583333333333334</v>
      </c>
      <c r="F21" s="64">
        <f t="shared" si="0"/>
        <v>0.14583333333333334</v>
      </c>
      <c r="G21" s="40">
        <v>0</v>
      </c>
      <c r="H21" s="17">
        <v>0</v>
      </c>
      <c r="I21" s="17">
        <v>0</v>
      </c>
      <c r="J21" s="52">
        <v>0</v>
      </c>
      <c r="K21" s="64">
        <f t="shared" si="1"/>
        <v>0</v>
      </c>
      <c r="L21" s="64">
        <f t="shared" si="2"/>
        <v>0.14583333333333334</v>
      </c>
    </row>
    <row r="22" spans="1:12">
      <c r="A22" s="1" t="s">
        <v>2</v>
      </c>
      <c r="B22" s="6" t="s">
        <v>34</v>
      </c>
      <c r="C22" s="17">
        <v>0.16666666666666666</v>
      </c>
      <c r="D22" s="40">
        <v>0</v>
      </c>
      <c r="E22" s="18">
        <v>0</v>
      </c>
      <c r="F22" s="64">
        <f t="shared" si="0"/>
        <v>0.16666666666666666</v>
      </c>
      <c r="G22" s="40">
        <v>0.375</v>
      </c>
      <c r="H22" s="17">
        <v>0.70833333333333337</v>
      </c>
      <c r="I22" s="17">
        <v>0.58333333333333337</v>
      </c>
      <c r="J22" s="52">
        <v>0.54166666666666663</v>
      </c>
      <c r="K22" s="64">
        <f t="shared" si="1"/>
        <v>2.2083333333333335</v>
      </c>
      <c r="L22" s="64">
        <f t="shared" si="2"/>
        <v>2.375</v>
      </c>
    </row>
    <row r="23" spans="1:12" ht="19.5" thickBot="1">
      <c r="A23" s="1" t="s">
        <v>2</v>
      </c>
      <c r="B23" s="23" t="s">
        <v>35</v>
      </c>
      <c r="C23" s="24">
        <v>25</v>
      </c>
      <c r="D23" s="41">
        <v>0</v>
      </c>
      <c r="E23" s="25">
        <v>10</v>
      </c>
      <c r="F23" s="8">
        <f t="shared" si="0"/>
        <v>35</v>
      </c>
      <c r="G23" s="24">
        <v>25</v>
      </c>
      <c r="H23" s="24">
        <v>32</v>
      </c>
      <c r="I23" s="24">
        <v>29</v>
      </c>
      <c r="J23" s="53">
        <v>15</v>
      </c>
      <c r="K23" s="65">
        <f t="shared" si="1"/>
        <v>101</v>
      </c>
      <c r="L23" s="62">
        <f t="shared" si="2"/>
        <v>136</v>
      </c>
    </row>
    <row r="24" spans="1:12">
      <c r="A24" s="1" t="s">
        <v>2</v>
      </c>
      <c r="B24" s="26" t="s">
        <v>36</v>
      </c>
      <c r="C24" s="27">
        <v>355000</v>
      </c>
      <c r="D24" s="42">
        <v>100000</v>
      </c>
      <c r="E24" s="28">
        <v>0</v>
      </c>
      <c r="F24" s="28">
        <f>SUM(C24:E24)</f>
        <v>455000</v>
      </c>
      <c r="G24" s="27">
        <v>177000</v>
      </c>
      <c r="H24" s="27">
        <v>187000</v>
      </c>
      <c r="I24" s="27">
        <v>170000</v>
      </c>
      <c r="J24" s="54">
        <v>187000</v>
      </c>
      <c r="K24" s="66">
        <f>SUM(G24:J24)</f>
        <v>721000</v>
      </c>
      <c r="L24" s="66">
        <f>SUM(F24,K24)</f>
        <v>1176000</v>
      </c>
    </row>
    <row r="25" spans="1:12">
      <c r="A25" s="1" t="s">
        <v>2</v>
      </c>
      <c r="B25" s="6" t="s">
        <v>37</v>
      </c>
      <c r="C25" s="19">
        <v>0</v>
      </c>
      <c r="D25" s="43">
        <v>0</v>
      </c>
      <c r="E25" s="20">
        <v>0</v>
      </c>
      <c r="F25" s="20">
        <f t="shared" ref="F25:F60" si="3">SUM(C25:E25)</f>
        <v>0</v>
      </c>
      <c r="G25" s="19">
        <v>5000</v>
      </c>
      <c r="H25" s="19">
        <v>0</v>
      </c>
      <c r="I25" s="19">
        <v>0</v>
      </c>
      <c r="J25" s="55">
        <v>0</v>
      </c>
      <c r="K25" s="67">
        <f t="shared" ref="K25:K60" si="4">SUM(G25:J25)</f>
        <v>5000</v>
      </c>
      <c r="L25" s="67">
        <f t="shared" ref="L25:L60" si="5">SUM(F25,K25)</f>
        <v>5000</v>
      </c>
    </row>
    <row r="26" spans="1:12">
      <c r="A26" s="1" t="s">
        <v>2</v>
      </c>
      <c r="B26" s="6" t="s">
        <v>38</v>
      </c>
      <c r="C26" s="19">
        <v>0</v>
      </c>
      <c r="D26" s="43">
        <v>10126</v>
      </c>
      <c r="E26" s="20">
        <v>0</v>
      </c>
      <c r="F26" s="20">
        <f t="shared" si="3"/>
        <v>10126</v>
      </c>
      <c r="G26" s="19">
        <v>3000</v>
      </c>
      <c r="H26" s="19">
        <v>3000</v>
      </c>
      <c r="I26" s="19">
        <v>0</v>
      </c>
      <c r="J26" s="55">
        <v>0</v>
      </c>
      <c r="K26" s="67">
        <f t="shared" si="4"/>
        <v>6000</v>
      </c>
      <c r="L26" s="67">
        <f t="shared" si="5"/>
        <v>16126</v>
      </c>
    </row>
    <row r="27" spans="1:12">
      <c r="A27" s="1" t="s">
        <v>2</v>
      </c>
      <c r="B27" s="6" t="s">
        <v>39</v>
      </c>
      <c r="C27" s="19">
        <v>50000</v>
      </c>
      <c r="D27" s="43">
        <v>50000</v>
      </c>
      <c r="E27" s="20">
        <v>0</v>
      </c>
      <c r="F27" s="20">
        <f t="shared" si="3"/>
        <v>100000</v>
      </c>
      <c r="G27" s="19">
        <v>50000</v>
      </c>
      <c r="H27" s="19">
        <v>50000</v>
      </c>
      <c r="I27" s="19">
        <v>50000</v>
      </c>
      <c r="J27" s="55">
        <v>50000</v>
      </c>
      <c r="K27" s="67">
        <f t="shared" si="4"/>
        <v>200000</v>
      </c>
      <c r="L27" s="67">
        <f t="shared" si="5"/>
        <v>300000</v>
      </c>
    </row>
    <row r="28" spans="1:12">
      <c r="A28" s="1" t="s">
        <v>2</v>
      </c>
      <c r="B28" s="6" t="s">
        <v>40</v>
      </c>
      <c r="C28" s="19">
        <v>0</v>
      </c>
      <c r="D28" s="43">
        <v>0</v>
      </c>
      <c r="E28" s="20">
        <v>0</v>
      </c>
      <c r="F28" s="20">
        <f t="shared" si="3"/>
        <v>0</v>
      </c>
      <c r="G28" s="19">
        <v>0</v>
      </c>
      <c r="H28" s="19">
        <v>0</v>
      </c>
      <c r="I28" s="19">
        <v>0</v>
      </c>
      <c r="J28" s="55">
        <v>0</v>
      </c>
      <c r="K28" s="67">
        <f t="shared" si="4"/>
        <v>0</v>
      </c>
      <c r="L28" s="67">
        <f t="shared" si="5"/>
        <v>0</v>
      </c>
    </row>
    <row r="29" spans="1:12">
      <c r="A29" s="1" t="s">
        <v>2</v>
      </c>
      <c r="B29" s="6" t="s">
        <v>41</v>
      </c>
      <c r="C29" s="19">
        <v>0</v>
      </c>
      <c r="D29" s="43">
        <v>0</v>
      </c>
      <c r="E29" s="20">
        <v>61560</v>
      </c>
      <c r="F29" s="20">
        <f t="shared" si="3"/>
        <v>61560</v>
      </c>
      <c r="G29" s="19">
        <v>0</v>
      </c>
      <c r="H29" s="19">
        <v>0</v>
      </c>
      <c r="I29" s="19">
        <v>0</v>
      </c>
      <c r="J29" s="55">
        <v>0</v>
      </c>
      <c r="K29" s="67">
        <f t="shared" si="4"/>
        <v>0</v>
      </c>
      <c r="L29" s="67">
        <f t="shared" si="5"/>
        <v>61560</v>
      </c>
    </row>
    <row r="30" spans="1:12">
      <c r="A30" s="1" t="s">
        <v>2</v>
      </c>
      <c r="B30" s="6" t="s">
        <v>42</v>
      </c>
      <c r="C30" s="19">
        <v>0</v>
      </c>
      <c r="D30" s="43">
        <v>0</v>
      </c>
      <c r="E30" s="20">
        <v>3780</v>
      </c>
      <c r="F30" s="20">
        <f t="shared" si="3"/>
        <v>3780</v>
      </c>
      <c r="G30" s="19">
        <v>0</v>
      </c>
      <c r="H30" s="19">
        <v>0</v>
      </c>
      <c r="I30" s="19">
        <v>0</v>
      </c>
      <c r="J30" s="55">
        <v>0</v>
      </c>
      <c r="K30" s="67">
        <f t="shared" si="4"/>
        <v>0</v>
      </c>
      <c r="L30" s="67">
        <f t="shared" si="5"/>
        <v>3780</v>
      </c>
    </row>
    <row r="31" spans="1:12">
      <c r="A31" s="1" t="s">
        <v>2</v>
      </c>
      <c r="B31" s="6" t="s">
        <v>43</v>
      </c>
      <c r="C31" s="19">
        <v>0</v>
      </c>
      <c r="D31" s="43">
        <v>0</v>
      </c>
      <c r="E31" s="20">
        <v>0</v>
      </c>
      <c r="F31" s="20">
        <f t="shared" si="3"/>
        <v>0</v>
      </c>
      <c r="G31" s="19">
        <v>0</v>
      </c>
      <c r="H31" s="19">
        <v>13000</v>
      </c>
      <c r="I31" s="19">
        <v>0</v>
      </c>
      <c r="J31" s="55">
        <v>13000</v>
      </c>
      <c r="K31" s="67">
        <f t="shared" si="4"/>
        <v>26000</v>
      </c>
      <c r="L31" s="67">
        <f t="shared" si="5"/>
        <v>26000</v>
      </c>
    </row>
    <row r="32" spans="1:12">
      <c r="A32" s="1" t="s">
        <v>2</v>
      </c>
      <c r="B32" s="6" t="s">
        <v>44</v>
      </c>
      <c r="C32" s="19">
        <v>0</v>
      </c>
      <c r="D32" s="43">
        <v>0</v>
      </c>
      <c r="E32" s="20">
        <v>0</v>
      </c>
      <c r="F32" s="20">
        <f t="shared" si="3"/>
        <v>0</v>
      </c>
      <c r="G32" s="19">
        <v>-11244</v>
      </c>
      <c r="H32" s="19">
        <v>0</v>
      </c>
      <c r="I32" s="19">
        <v>-10526</v>
      </c>
      <c r="J32" s="55">
        <v>-11961</v>
      </c>
      <c r="K32" s="67">
        <f t="shared" si="4"/>
        <v>-33731</v>
      </c>
      <c r="L32" s="67">
        <f t="shared" si="5"/>
        <v>-33731</v>
      </c>
    </row>
    <row r="33" spans="1:12">
      <c r="A33" s="1" t="s">
        <v>2</v>
      </c>
      <c r="B33" s="6" t="s">
        <v>27</v>
      </c>
      <c r="C33" s="19">
        <v>0</v>
      </c>
      <c r="D33" s="43">
        <v>0</v>
      </c>
      <c r="E33" s="20">
        <v>0</v>
      </c>
      <c r="F33" s="20">
        <f t="shared" si="3"/>
        <v>0</v>
      </c>
      <c r="G33" s="19">
        <v>84432</v>
      </c>
      <c r="H33" s="19">
        <v>94700</v>
      </c>
      <c r="I33" s="19">
        <v>90530</v>
      </c>
      <c r="J33" s="55">
        <v>91679</v>
      </c>
      <c r="K33" s="67">
        <f t="shared" si="4"/>
        <v>361341</v>
      </c>
      <c r="L33" s="67">
        <f t="shared" si="5"/>
        <v>361341</v>
      </c>
    </row>
    <row r="34" spans="1:12">
      <c r="A34" s="1" t="s">
        <v>2</v>
      </c>
      <c r="B34" s="6" t="s">
        <v>45</v>
      </c>
      <c r="C34" s="19">
        <v>0</v>
      </c>
      <c r="D34" s="43">
        <v>0</v>
      </c>
      <c r="E34" s="20">
        <v>0</v>
      </c>
      <c r="F34" s="20">
        <f t="shared" si="3"/>
        <v>0</v>
      </c>
      <c r="G34" s="19">
        <v>0</v>
      </c>
      <c r="H34" s="19">
        <v>0</v>
      </c>
      <c r="I34" s="19">
        <v>12446</v>
      </c>
      <c r="J34" s="55">
        <v>12126</v>
      </c>
      <c r="K34" s="67">
        <f t="shared" si="4"/>
        <v>24572</v>
      </c>
      <c r="L34" s="67">
        <f t="shared" si="5"/>
        <v>24572</v>
      </c>
    </row>
    <row r="35" spans="1:12">
      <c r="A35" s="1" t="s">
        <v>2</v>
      </c>
      <c r="B35" s="6" t="s">
        <v>46</v>
      </c>
      <c r="C35" s="19">
        <v>0</v>
      </c>
      <c r="D35" s="43">
        <v>9208</v>
      </c>
      <c r="E35" s="20">
        <v>0</v>
      </c>
      <c r="F35" s="20">
        <f t="shared" si="3"/>
        <v>9208</v>
      </c>
      <c r="G35" s="19">
        <v>18990</v>
      </c>
      <c r="H35" s="19">
        <v>24540</v>
      </c>
      <c r="I35" s="19">
        <v>0</v>
      </c>
      <c r="J35" s="55">
        <v>0</v>
      </c>
      <c r="K35" s="67">
        <f t="shared" si="4"/>
        <v>43530</v>
      </c>
      <c r="L35" s="67">
        <f t="shared" si="5"/>
        <v>52738</v>
      </c>
    </row>
    <row r="36" spans="1:12">
      <c r="A36" s="1" t="s">
        <v>2</v>
      </c>
      <c r="B36" s="6" t="s">
        <v>47</v>
      </c>
      <c r="C36" s="19">
        <v>0</v>
      </c>
      <c r="D36" s="43">
        <v>0</v>
      </c>
      <c r="E36" s="20">
        <v>0</v>
      </c>
      <c r="F36" s="20">
        <f t="shared" si="3"/>
        <v>0</v>
      </c>
      <c r="G36" s="19">
        <v>0</v>
      </c>
      <c r="H36" s="19">
        <v>4240</v>
      </c>
      <c r="I36" s="19">
        <v>0</v>
      </c>
      <c r="J36" s="55">
        <v>0</v>
      </c>
      <c r="K36" s="67">
        <f t="shared" si="4"/>
        <v>4240</v>
      </c>
      <c r="L36" s="67">
        <f t="shared" si="5"/>
        <v>4240</v>
      </c>
    </row>
    <row r="37" spans="1:12">
      <c r="A37" s="1" t="s">
        <v>2</v>
      </c>
      <c r="B37" s="6" t="s">
        <v>48</v>
      </c>
      <c r="C37" s="19">
        <v>0</v>
      </c>
      <c r="D37" s="43">
        <v>0</v>
      </c>
      <c r="E37" s="20">
        <v>0</v>
      </c>
      <c r="F37" s="20">
        <f t="shared" si="3"/>
        <v>0</v>
      </c>
      <c r="G37" s="19">
        <v>0</v>
      </c>
      <c r="H37" s="19">
        <v>0</v>
      </c>
      <c r="I37" s="19">
        <v>0</v>
      </c>
      <c r="J37" s="55">
        <v>0</v>
      </c>
      <c r="K37" s="67">
        <f t="shared" si="4"/>
        <v>0</v>
      </c>
      <c r="L37" s="67">
        <f t="shared" si="5"/>
        <v>0</v>
      </c>
    </row>
    <row r="38" spans="1:12">
      <c r="A38" s="1" t="s">
        <v>2</v>
      </c>
      <c r="B38" s="6" t="s">
        <v>49</v>
      </c>
      <c r="C38" s="19">
        <v>0</v>
      </c>
      <c r="D38" s="43">
        <v>0</v>
      </c>
      <c r="E38" s="20">
        <v>0</v>
      </c>
      <c r="F38" s="20">
        <f t="shared" si="3"/>
        <v>0</v>
      </c>
      <c r="G38" s="19">
        <v>11244</v>
      </c>
      <c r="H38" s="19">
        <v>0</v>
      </c>
      <c r="I38" s="19">
        <v>10526</v>
      </c>
      <c r="J38" s="55">
        <v>11961</v>
      </c>
      <c r="K38" s="67">
        <f t="shared" si="4"/>
        <v>33731</v>
      </c>
      <c r="L38" s="67">
        <f t="shared" si="5"/>
        <v>33731</v>
      </c>
    </row>
    <row r="39" spans="1:12">
      <c r="A39" s="1" t="s">
        <v>2</v>
      </c>
      <c r="B39" s="6" t="s">
        <v>32</v>
      </c>
      <c r="C39" s="19">
        <v>0</v>
      </c>
      <c r="D39" s="43">
        <v>0</v>
      </c>
      <c r="E39" s="20">
        <v>0</v>
      </c>
      <c r="F39" s="20">
        <f t="shared" si="3"/>
        <v>0</v>
      </c>
      <c r="G39" s="19">
        <v>0</v>
      </c>
      <c r="H39" s="19">
        <v>0</v>
      </c>
      <c r="I39" s="19">
        <v>0</v>
      </c>
      <c r="J39" s="55">
        <v>0</v>
      </c>
      <c r="K39" s="67">
        <f t="shared" si="4"/>
        <v>0</v>
      </c>
      <c r="L39" s="67">
        <f t="shared" si="5"/>
        <v>0</v>
      </c>
    </row>
    <row r="40" spans="1:12" ht="19.5" thickBot="1">
      <c r="A40" s="1" t="s">
        <v>2</v>
      </c>
      <c r="B40" s="23" t="s">
        <v>34</v>
      </c>
      <c r="C40" s="29">
        <v>2424</v>
      </c>
      <c r="D40" s="44">
        <v>0</v>
      </c>
      <c r="E40" s="30">
        <v>0</v>
      </c>
      <c r="F40" s="30">
        <f t="shared" si="3"/>
        <v>2424</v>
      </c>
      <c r="G40" s="29">
        <v>3168</v>
      </c>
      <c r="H40" s="29">
        <v>6443</v>
      </c>
      <c r="I40" s="29">
        <v>4606</v>
      </c>
      <c r="J40" s="56">
        <v>4862</v>
      </c>
      <c r="K40" s="68">
        <f t="shared" si="4"/>
        <v>19079</v>
      </c>
      <c r="L40" s="68">
        <f t="shared" si="5"/>
        <v>21503</v>
      </c>
    </row>
    <row r="41" spans="1:12" ht="19.5" thickBot="1">
      <c r="A41" s="1" t="s">
        <v>2</v>
      </c>
      <c r="B41" s="33" t="s">
        <v>50</v>
      </c>
      <c r="C41" s="34">
        <v>407424</v>
      </c>
      <c r="D41" s="45">
        <v>169334</v>
      </c>
      <c r="E41" s="35">
        <v>65340</v>
      </c>
      <c r="F41" s="35">
        <f t="shared" si="3"/>
        <v>642098</v>
      </c>
      <c r="G41" s="34">
        <v>341590</v>
      </c>
      <c r="H41" s="34">
        <v>382923</v>
      </c>
      <c r="I41" s="34">
        <v>327582</v>
      </c>
      <c r="J41" s="57">
        <v>358667</v>
      </c>
      <c r="K41" s="69">
        <f t="shared" si="4"/>
        <v>1410762</v>
      </c>
      <c r="L41" s="69">
        <f t="shared" si="5"/>
        <v>2052860</v>
      </c>
    </row>
    <row r="42" spans="1:12" ht="19.5" thickBot="1">
      <c r="A42" s="1" t="s">
        <v>2</v>
      </c>
      <c r="B42" s="5" t="s">
        <v>51</v>
      </c>
      <c r="C42" s="31">
        <v>10257</v>
      </c>
      <c r="D42" s="46">
        <v>6433</v>
      </c>
      <c r="E42" s="32">
        <v>0</v>
      </c>
      <c r="F42" s="32">
        <f t="shared" si="3"/>
        <v>16690</v>
      </c>
      <c r="G42" s="31">
        <v>5653</v>
      </c>
      <c r="H42" s="31">
        <v>1418</v>
      </c>
      <c r="I42" s="31">
        <v>14690</v>
      </c>
      <c r="J42" s="58">
        <v>0</v>
      </c>
      <c r="K42" s="70">
        <f t="shared" si="4"/>
        <v>21761</v>
      </c>
      <c r="L42" s="70">
        <f t="shared" si="5"/>
        <v>38451</v>
      </c>
    </row>
    <row r="43" spans="1:12" ht="19.5" thickBot="1">
      <c r="A43" s="1" t="s">
        <v>2</v>
      </c>
      <c r="B43" s="33" t="s">
        <v>52</v>
      </c>
      <c r="C43" s="34">
        <v>10257</v>
      </c>
      <c r="D43" s="45">
        <v>6433</v>
      </c>
      <c r="E43" s="35">
        <v>0</v>
      </c>
      <c r="F43" s="35">
        <f t="shared" si="3"/>
        <v>16690</v>
      </c>
      <c r="G43" s="34">
        <v>5653</v>
      </c>
      <c r="H43" s="34">
        <v>1418</v>
      </c>
      <c r="I43" s="34">
        <v>14690</v>
      </c>
      <c r="J43" s="57">
        <v>0</v>
      </c>
      <c r="K43" s="69">
        <f t="shared" si="4"/>
        <v>21761</v>
      </c>
      <c r="L43" s="69">
        <f t="shared" si="5"/>
        <v>38451</v>
      </c>
    </row>
    <row r="44" spans="1:12" ht="19.5" thickBot="1">
      <c r="A44" s="1" t="s">
        <v>2</v>
      </c>
      <c r="B44" s="33" t="s">
        <v>53</v>
      </c>
      <c r="C44" s="34">
        <v>417681</v>
      </c>
      <c r="D44" s="45">
        <v>175767</v>
      </c>
      <c r="E44" s="35">
        <v>65340</v>
      </c>
      <c r="F44" s="35">
        <f t="shared" si="3"/>
        <v>658788</v>
      </c>
      <c r="G44" s="34">
        <v>347243</v>
      </c>
      <c r="H44" s="34">
        <v>384341</v>
      </c>
      <c r="I44" s="34">
        <v>342272</v>
      </c>
      <c r="J44" s="57">
        <v>358667</v>
      </c>
      <c r="K44" s="69">
        <f t="shared" si="4"/>
        <v>1432523</v>
      </c>
      <c r="L44" s="69">
        <f t="shared" si="5"/>
        <v>2091311</v>
      </c>
    </row>
    <row r="45" spans="1:12">
      <c r="A45" s="1" t="s">
        <v>2</v>
      </c>
      <c r="B45" s="5" t="s">
        <v>54</v>
      </c>
      <c r="C45" s="31">
        <v>20910</v>
      </c>
      <c r="D45" s="46">
        <v>0</v>
      </c>
      <c r="E45" s="32">
        <v>0</v>
      </c>
      <c r="F45" s="32">
        <f t="shared" si="3"/>
        <v>20910</v>
      </c>
      <c r="G45" s="31">
        <v>18360</v>
      </c>
      <c r="H45" s="31">
        <v>19380</v>
      </c>
      <c r="I45" s="31">
        <v>16320</v>
      </c>
      <c r="J45" s="58">
        <v>16320</v>
      </c>
      <c r="K45" s="70">
        <f t="shared" si="4"/>
        <v>70380</v>
      </c>
      <c r="L45" s="70">
        <f t="shared" si="5"/>
        <v>91290</v>
      </c>
    </row>
    <row r="46" spans="1:12">
      <c r="A46" s="1" t="s">
        <v>2</v>
      </c>
      <c r="B46" s="6" t="s">
        <v>55</v>
      </c>
      <c r="C46" s="19">
        <v>3690</v>
      </c>
      <c r="D46" s="43">
        <v>0</v>
      </c>
      <c r="E46" s="20">
        <v>0</v>
      </c>
      <c r="F46" s="20">
        <f t="shared" si="3"/>
        <v>3690</v>
      </c>
      <c r="G46" s="19">
        <v>3240</v>
      </c>
      <c r="H46" s="19">
        <v>3420</v>
      </c>
      <c r="I46" s="19">
        <v>2880</v>
      </c>
      <c r="J46" s="55">
        <v>2880</v>
      </c>
      <c r="K46" s="67">
        <f t="shared" si="4"/>
        <v>12420</v>
      </c>
      <c r="L46" s="67">
        <f t="shared" si="5"/>
        <v>16110</v>
      </c>
    </row>
    <row r="47" spans="1:12">
      <c r="A47" s="1" t="s">
        <v>2</v>
      </c>
      <c r="B47" s="6" t="s">
        <v>56</v>
      </c>
      <c r="C47" s="19">
        <v>37515</v>
      </c>
      <c r="D47" s="43">
        <v>0</v>
      </c>
      <c r="E47" s="20">
        <v>0</v>
      </c>
      <c r="F47" s="20">
        <f t="shared" si="3"/>
        <v>37515</v>
      </c>
      <c r="G47" s="19">
        <v>32940</v>
      </c>
      <c r="H47" s="19">
        <v>34770</v>
      </c>
      <c r="I47" s="19">
        <v>29280</v>
      </c>
      <c r="J47" s="55">
        <v>29280</v>
      </c>
      <c r="K47" s="67">
        <f t="shared" si="4"/>
        <v>126270</v>
      </c>
      <c r="L47" s="67">
        <f t="shared" si="5"/>
        <v>163785</v>
      </c>
    </row>
    <row r="48" spans="1:12">
      <c r="A48" s="1" t="s">
        <v>2</v>
      </c>
      <c r="B48" s="6" t="s">
        <v>57</v>
      </c>
      <c r="C48" s="19">
        <v>1253</v>
      </c>
      <c r="D48" s="43">
        <v>527</v>
      </c>
      <c r="E48" s="20">
        <v>0</v>
      </c>
      <c r="F48" s="20">
        <f t="shared" si="3"/>
        <v>1780</v>
      </c>
      <c r="G48" s="19">
        <v>1042</v>
      </c>
      <c r="H48" s="19">
        <v>1153</v>
      </c>
      <c r="I48" s="19">
        <v>1027</v>
      </c>
      <c r="J48" s="55">
        <v>1076</v>
      </c>
      <c r="K48" s="67">
        <f t="shared" si="4"/>
        <v>4298</v>
      </c>
      <c r="L48" s="67">
        <f t="shared" si="5"/>
        <v>6078</v>
      </c>
    </row>
    <row r="49" spans="1:12" ht="19.5" thickBot="1">
      <c r="A49" s="1" t="s">
        <v>2</v>
      </c>
      <c r="B49" s="23" t="s">
        <v>58</v>
      </c>
      <c r="C49" s="29">
        <v>0</v>
      </c>
      <c r="D49" s="44">
        <v>0</v>
      </c>
      <c r="E49" s="30">
        <v>0</v>
      </c>
      <c r="F49" s="30">
        <f t="shared" si="3"/>
        <v>0</v>
      </c>
      <c r="G49" s="29">
        <v>0</v>
      </c>
      <c r="H49" s="29">
        <v>0</v>
      </c>
      <c r="I49" s="29">
        <v>0</v>
      </c>
      <c r="J49" s="56">
        <v>0</v>
      </c>
      <c r="K49" s="68">
        <f t="shared" si="4"/>
        <v>0</v>
      </c>
      <c r="L49" s="68">
        <f t="shared" si="5"/>
        <v>0</v>
      </c>
    </row>
    <row r="50" spans="1:12" ht="19.5" thickBot="1">
      <c r="A50" s="1" t="s">
        <v>2</v>
      </c>
      <c r="B50" s="33" t="s">
        <v>59</v>
      </c>
      <c r="C50" s="34">
        <v>63368</v>
      </c>
      <c r="D50" s="45">
        <v>527</v>
      </c>
      <c r="E50" s="35">
        <v>0</v>
      </c>
      <c r="F50" s="35">
        <f t="shared" si="3"/>
        <v>63895</v>
      </c>
      <c r="G50" s="34">
        <v>55582</v>
      </c>
      <c r="H50" s="34">
        <v>58723</v>
      </c>
      <c r="I50" s="34">
        <v>49507</v>
      </c>
      <c r="J50" s="57">
        <v>49556</v>
      </c>
      <c r="K50" s="69">
        <f t="shared" si="4"/>
        <v>213368</v>
      </c>
      <c r="L50" s="69">
        <f t="shared" si="5"/>
        <v>277263</v>
      </c>
    </row>
    <row r="51" spans="1:12">
      <c r="A51" s="1" t="s">
        <v>2</v>
      </c>
      <c r="B51" s="5" t="s">
        <v>60</v>
      </c>
      <c r="C51" s="31">
        <v>8750</v>
      </c>
      <c r="D51" s="46">
        <v>2030</v>
      </c>
      <c r="E51" s="32">
        <v>0</v>
      </c>
      <c r="F51" s="32">
        <f t="shared" si="3"/>
        <v>10780</v>
      </c>
      <c r="G51" s="31">
        <v>7840</v>
      </c>
      <c r="H51" s="31">
        <v>10360</v>
      </c>
      <c r="I51" s="31">
        <v>7550</v>
      </c>
      <c r="J51" s="58">
        <v>5480</v>
      </c>
      <c r="K51" s="70">
        <f t="shared" si="4"/>
        <v>31230</v>
      </c>
      <c r="L51" s="70">
        <f t="shared" si="5"/>
        <v>42010</v>
      </c>
    </row>
    <row r="52" spans="1:12">
      <c r="A52" s="1" t="s">
        <v>2</v>
      </c>
      <c r="B52" s="6" t="s">
        <v>61</v>
      </c>
      <c r="C52" s="19">
        <v>0</v>
      </c>
      <c r="D52" s="43">
        <v>0</v>
      </c>
      <c r="E52" s="20">
        <v>0</v>
      </c>
      <c r="F52" s="20">
        <f t="shared" si="3"/>
        <v>0</v>
      </c>
      <c r="G52" s="19">
        <v>0</v>
      </c>
      <c r="H52" s="19">
        <v>0</v>
      </c>
      <c r="I52" s="19">
        <v>0</v>
      </c>
      <c r="J52" s="55">
        <v>0</v>
      </c>
      <c r="K52" s="67">
        <f t="shared" si="4"/>
        <v>0</v>
      </c>
      <c r="L52" s="67">
        <f t="shared" si="5"/>
        <v>0</v>
      </c>
    </row>
    <row r="53" spans="1:12">
      <c r="A53" s="1" t="s">
        <v>2</v>
      </c>
      <c r="B53" s="6" t="s">
        <v>62</v>
      </c>
      <c r="C53" s="19">
        <v>16300</v>
      </c>
      <c r="D53" s="43">
        <v>12900</v>
      </c>
      <c r="E53" s="20">
        <v>0</v>
      </c>
      <c r="F53" s="20">
        <f t="shared" si="3"/>
        <v>29200</v>
      </c>
      <c r="G53" s="19">
        <v>14800</v>
      </c>
      <c r="H53" s="19">
        <v>17000</v>
      </c>
      <c r="I53" s="19">
        <v>12100</v>
      </c>
      <c r="J53" s="55">
        <v>5000</v>
      </c>
      <c r="K53" s="67">
        <f t="shared" si="4"/>
        <v>48900</v>
      </c>
      <c r="L53" s="67">
        <f t="shared" si="5"/>
        <v>78100</v>
      </c>
    </row>
    <row r="54" spans="1:12">
      <c r="A54" s="1" t="s">
        <v>2</v>
      </c>
      <c r="B54" s="6" t="s">
        <v>63</v>
      </c>
      <c r="C54" s="19">
        <v>0</v>
      </c>
      <c r="D54" s="43">
        <v>0</v>
      </c>
      <c r="E54" s="20">
        <v>0</v>
      </c>
      <c r="F54" s="20">
        <f t="shared" si="3"/>
        <v>0</v>
      </c>
      <c r="G54" s="19">
        <v>0</v>
      </c>
      <c r="H54" s="19">
        <v>0</v>
      </c>
      <c r="I54" s="19">
        <v>0</v>
      </c>
      <c r="J54" s="55">
        <v>0</v>
      </c>
      <c r="K54" s="67">
        <f t="shared" si="4"/>
        <v>0</v>
      </c>
      <c r="L54" s="67">
        <f t="shared" si="5"/>
        <v>0</v>
      </c>
    </row>
    <row r="55" spans="1:12" ht="19.5" thickBot="1">
      <c r="A55" s="1" t="s">
        <v>2</v>
      </c>
      <c r="B55" s="6" t="s">
        <v>64</v>
      </c>
      <c r="C55" s="19">
        <v>0</v>
      </c>
      <c r="D55" s="43">
        <v>0</v>
      </c>
      <c r="E55" s="20">
        <v>0</v>
      </c>
      <c r="F55" s="20">
        <f t="shared" si="3"/>
        <v>0</v>
      </c>
      <c r="G55" s="19">
        <v>0</v>
      </c>
      <c r="H55" s="19">
        <v>0</v>
      </c>
      <c r="I55" s="19">
        <v>0</v>
      </c>
      <c r="J55" s="55">
        <v>0</v>
      </c>
      <c r="K55" s="67">
        <f t="shared" si="4"/>
        <v>0</v>
      </c>
      <c r="L55" s="67">
        <f t="shared" si="5"/>
        <v>0</v>
      </c>
    </row>
    <row r="56" spans="1:12" ht="19.5" thickBot="1">
      <c r="A56" s="1" t="s">
        <v>2</v>
      </c>
      <c r="B56" s="33" t="s">
        <v>65</v>
      </c>
      <c r="C56" s="34">
        <v>88418</v>
      </c>
      <c r="D56" s="45">
        <v>15457</v>
      </c>
      <c r="E56" s="35">
        <v>0</v>
      </c>
      <c r="F56" s="35">
        <f t="shared" si="3"/>
        <v>103875</v>
      </c>
      <c r="G56" s="34">
        <v>78222</v>
      </c>
      <c r="H56" s="34">
        <v>86083</v>
      </c>
      <c r="I56" s="34">
        <v>69157</v>
      </c>
      <c r="J56" s="57">
        <v>60036</v>
      </c>
      <c r="K56" s="69">
        <f t="shared" si="4"/>
        <v>293498</v>
      </c>
      <c r="L56" s="69">
        <f t="shared" si="5"/>
        <v>397373</v>
      </c>
    </row>
    <row r="57" spans="1:12" ht="19.5" thickBot="1">
      <c r="A57" s="1" t="s">
        <v>2</v>
      </c>
      <c r="B57" s="33" t="s">
        <v>66</v>
      </c>
      <c r="C57" s="34">
        <v>344056</v>
      </c>
      <c r="D57" s="45">
        <v>168807</v>
      </c>
      <c r="E57" s="35">
        <v>65340</v>
      </c>
      <c r="F57" s="35">
        <f t="shared" si="3"/>
        <v>578203</v>
      </c>
      <c r="G57" s="34">
        <v>286008</v>
      </c>
      <c r="H57" s="34">
        <v>324200</v>
      </c>
      <c r="I57" s="34">
        <v>278075</v>
      </c>
      <c r="J57" s="57">
        <v>309111</v>
      </c>
      <c r="K57" s="69">
        <f t="shared" si="4"/>
        <v>1197394</v>
      </c>
      <c r="L57" s="69">
        <f t="shared" si="5"/>
        <v>1775597</v>
      </c>
    </row>
    <row r="58" spans="1:12" ht="19.5" thickBot="1">
      <c r="A58" s="1" t="s">
        <v>2</v>
      </c>
      <c r="B58" s="33" t="s">
        <v>67</v>
      </c>
      <c r="C58" s="34">
        <v>329263</v>
      </c>
      <c r="D58" s="45">
        <v>160310</v>
      </c>
      <c r="E58" s="35">
        <v>65340</v>
      </c>
      <c r="F58" s="35">
        <f t="shared" si="3"/>
        <v>554913</v>
      </c>
      <c r="G58" s="34">
        <v>269021</v>
      </c>
      <c r="H58" s="34">
        <v>298258</v>
      </c>
      <c r="I58" s="34">
        <v>273115</v>
      </c>
      <c r="J58" s="57">
        <v>298631</v>
      </c>
      <c r="K58" s="69">
        <f t="shared" si="4"/>
        <v>1139025</v>
      </c>
      <c r="L58" s="69">
        <f t="shared" si="5"/>
        <v>1693938</v>
      </c>
    </row>
    <row r="59" spans="1:12">
      <c r="A59" s="1" t="s">
        <v>2</v>
      </c>
      <c r="B59" s="5" t="s">
        <v>68</v>
      </c>
      <c r="C59" s="31">
        <v>0</v>
      </c>
      <c r="D59" s="46">
        <v>0</v>
      </c>
      <c r="E59" s="32">
        <v>0</v>
      </c>
      <c r="F59" s="32">
        <f t="shared" si="3"/>
        <v>0</v>
      </c>
      <c r="G59" s="31">
        <v>0</v>
      </c>
      <c r="H59" s="31">
        <v>0</v>
      </c>
      <c r="I59" s="31">
        <v>0</v>
      </c>
      <c r="J59" s="58">
        <v>0</v>
      </c>
      <c r="K59" s="70">
        <f t="shared" si="4"/>
        <v>0</v>
      </c>
      <c r="L59" s="70">
        <f t="shared" si="5"/>
        <v>0</v>
      </c>
    </row>
    <row r="60" spans="1:12">
      <c r="A60" s="1" t="s">
        <v>2</v>
      </c>
      <c r="B60" s="6" t="s">
        <v>69</v>
      </c>
      <c r="C60" s="19">
        <v>329263</v>
      </c>
      <c r="D60" s="43">
        <v>160310</v>
      </c>
      <c r="E60" s="20">
        <v>65340</v>
      </c>
      <c r="F60" s="20">
        <f t="shared" si="3"/>
        <v>554913</v>
      </c>
      <c r="G60" s="19">
        <v>269021</v>
      </c>
      <c r="H60" s="19">
        <v>298258</v>
      </c>
      <c r="I60" s="19">
        <v>273115</v>
      </c>
      <c r="J60" s="55">
        <v>298631</v>
      </c>
      <c r="K60" s="67">
        <f t="shared" si="4"/>
        <v>1139025</v>
      </c>
      <c r="L60" s="67">
        <f t="shared" si="5"/>
        <v>1693938</v>
      </c>
    </row>
    <row r="61" spans="1:12">
      <c r="A61" s="1" t="s">
        <v>2</v>
      </c>
      <c r="B61" s="6" t="s">
        <v>70</v>
      </c>
      <c r="C61" s="19">
        <v>1</v>
      </c>
      <c r="D61" s="43">
        <v>1</v>
      </c>
      <c r="E61" s="20">
        <v>0</v>
      </c>
      <c r="F61" s="20"/>
      <c r="G61" s="19">
        <v>0</v>
      </c>
      <c r="H61" s="19">
        <v>0</v>
      </c>
      <c r="I61" s="19">
        <v>0</v>
      </c>
      <c r="J61" s="55">
        <v>2</v>
      </c>
      <c r="K61" s="67"/>
      <c r="L61" s="67"/>
    </row>
    <row r="62" spans="1:12" ht="19.5" thickBot="1">
      <c r="A62" s="1" t="s">
        <v>2</v>
      </c>
      <c r="B62" s="7" t="s">
        <v>71</v>
      </c>
      <c r="C62" s="21" t="s">
        <v>72</v>
      </c>
      <c r="D62" s="47" t="s">
        <v>72</v>
      </c>
      <c r="E62" s="22" t="s">
        <v>72</v>
      </c>
      <c r="F62" s="22"/>
      <c r="G62" s="21" t="s">
        <v>72</v>
      </c>
      <c r="H62" s="21" t="s">
        <v>72</v>
      </c>
      <c r="I62" s="21" t="s">
        <v>72</v>
      </c>
      <c r="J62" s="59" t="s">
        <v>72</v>
      </c>
      <c r="K62" s="71"/>
      <c r="L62" s="71"/>
    </row>
  </sheetData>
  <phoneticPr fontId="4"/>
  <pageMargins left="0.31496062992125984" right="0.31496062992125984" top="0.35433070866141736" bottom="0.35433070866141736" header="0.31496062992125984" footer="0.31496062992125984"/>
  <pageSetup paperSize="9" scale="47" orientation="landscape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2BEA6-BDA7-4275-8EEA-D9302F15DF63}">
  <sheetPr>
    <pageSetUpPr fitToPage="1"/>
  </sheetPr>
  <dimension ref="A1:L61"/>
  <sheetViews>
    <sheetView showZeros="0" tabSelected="1" topLeftCell="A4" workbookViewId="0">
      <selection activeCell="K9" sqref="K9"/>
    </sheetView>
  </sheetViews>
  <sheetFormatPr defaultRowHeight="18.75"/>
  <cols>
    <col min="1" max="1" width="2.375" style="2" customWidth="1"/>
    <col min="2" max="2" width="13.25" style="2" bestFit="1" customWidth="1"/>
    <col min="3" max="12" width="11.25" style="2" customWidth="1"/>
    <col min="13" max="258" width="9" style="2"/>
    <col min="259" max="259" width="2.375" style="2" customWidth="1"/>
    <col min="260" max="260" width="13.25" style="2" bestFit="1" customWidth="1"/>
    <col min="261" max="264" width="9" style="2"/>
    <col min="265" max="265" width="8" style="2" bestFit="1" customWidth="1"/>
    <col min="266" max="267" width="9" style="2"/>
    <col min="268" max="268" width="9.625" style="2" bestFit="1" customWidth="1"/>
    <col min="269" max="514" width="9" style="2"/>
    <col min="515" max="515" width="2.375" style="2" customWidth="1"/>
    <col min="516" max="516" width="13.25" style="2" bestFit="1" customWidth="1"/>
    <col min="517" max="520" width="9" style="2"/>
    <col min="521" max="521" width="8" style="2" bestFit="1" customWidth="1"/>
    <col min="522" max="523" width="9" style="2"/>
    <col min="524" max="524" width="9.625" style="2" bestFit="1" customWidth="1"/>
    <col min="525" max="770" width="9" style="2"/>
    <col min="771" max="771" width="2.375" style="2" customWidth="1"/>
    <col min="772" max="772" width="13.25" style="2" bestFit="1" customWidth="1"/>
    <col min="773" max="776" width="9" style="2"/>
    <col min="777" max="777" width="8" style="2" bestFit="1" customWidth="1"/>
    <col min="778" max="779" width="9" style="2"/>
    <col min="780" max="780" width="9.625" style="2" bestFit="1" customWidth="1"/>
    <col min="781" max="1026" width="9" style="2"/>
    <col min="1027" max="1027" width="2.375" style="2" customWidth="1"/>
    <col min="1028" max="1028" width="13.25" style="2" bestFit="1" customWidth="1"/>
    <col min="1029" max="1032" width="9" style="2"/>
    <col min="1033" max="1033" width="8" style="2" bestFit="1" customWidth="1"/>
    <col min="1034" max="1035" width="9" style="2"/>
    <col min="1036" max="1036" width="9.625" style="2" bestFit="1" customWidth="1"/>
    <col min="1037" max="1282" width="9" style="2"/>
    <col min="1283" max="1283" width="2.375" style="2" customWidth="1"/>
    <col min="1284" max="1284" width="13.25" style="2" bestFit="1" customWidth="1"/>
    <col min="1285" max="1288" width="9" style="2"/>
    <col min="1289" max="1289" width="8" style="2" bestFit="1" customWidth="1"/>
    <col min="1290" max="1291" width="9" style="2"/>
    <col min="1292" max="1292" width="9.625" style="2" bestFit="1" customWidth="1"/>
    <col min="1293" max="1538" width="9" style="2"/>
    <col min="1539" max="1539" width="2.375" style="2" customWidth="1"/>
    <col min="1540" max="1540" width="13.25" style="2" bestFit="1" customWidth="1"/>
    <col min="1541" max="1544" width="9" style="2"/>
    <col min="1545" max="1545" width="8" style="2" bestFit="1" customWidth="1"/>
    <col min="1546" max="1547" width="9" style="2"/>
    <col min="1548" max="1548" width="9.625" style="2" bestFit="1" customWidth="1"/>
    <col min="1549" max="1794" width="9" style="2"/>
    <col min="1795" max="1795" width="2.375" style="2" customWidth="1"/>
    <col min="1796" max="1796" width="13.25" style="2" bestFit="1" customWidth="1"/>
    <col min="1797" max="1800" width="9" style="2"/>
    <col min="1801" max="1801" width="8" style="2" bestFit="1" customWidth="1"/>
    <col min="1802" max="1803" width="9" style="2"/>
    <col min="1804" max="1804" width="9.625" style="2" bestFit="1" customWidth="1"/>
    <col min="1805" max="2050" width="9" style="2"/>
    <col min="2051" max="2051" width="2.375" style="2" customWidth="1"/>
    <col min="2052" max="2052" width="13.25" style="2" bestFit="1" customWidth="1"/>
    <col min="2053" max="2056" width="9" style="2"/>
    <col min="2057" max="2057" width="8" style="2" bestFit="1" customWidth="1"/>
    <col min="2058" max="2059" width="9" style="2"/>
    <col min="2060" max="2060" width="9.625" style="2" bestFit="1" customWidth="1"/>
    <col min="2061" max="2306" width="9" style="2"/>
    <col min="2307" max="2307" width="2.375" style="2" customWidth="1"/>
    <col min="2308" max="2308" width="13.25" style="2" bestFit="1" customWidth="1"/>
    <col min="2309" max="2312" width="9" style="2"/>
    <col min="2313" max="2313" width="8" style="2" bestFit="1" customWidth="1"/>
    <col min="2314" max="2315" width="9" style="2"/>
    <col min="2316" max="2316" width="9.625" style="2" bestFit="1" customWidth="1"/>
    <col min="2317" max="2562" width="9" style="2"/>
    <col min="2563" max="2563" width="2.375" style="2" customWidth="1"/>
    <col min="2564" max="2564" width="13.25" style="2" bestFit="1" customWidth="1"/>
    <col min="2565" max="2568" width="9" style="2"/>
    <col min="2569" max="2569" width="8" style="2" bestFit="1" customWidth="1"/>
    <col min="2570" max="2571" width="9" style="2"/>
    <col min="2572" max="2572" width="9.625" style="2" bestFit="1" customWidth="1"/>
    <col min="2573" max="2818" width="9" style="2"/>
    <col min="2819" max="2819" width="2.375" style="2" customWidth="1"/>
    <col min="2820" max="2820" width="13.25" style="2" bestFit="1" customWidth="1"/>
    <col min="2821" max="2824" width="9" style="2"/>
    <col min="2825" max="2825" width="8" style="2" bestFit="1" customWidth="1"/>
    <col min="2826" max="2827" width="9" style="2"/>
    <col min="2828" max="2828" width="9.625" style="2" bestFit="1" customWidth="1"/>
    <col min="2829" max="3074" width="9" style="2"/>
    <col min="3075" max="3075" width="2.375" style="2" customWidth="1"/>
    <col min="3076" max="3076" width="13.25" style="2" bestFit="1" customWidth="1"/>
    <col min="3077" max="3080" width="9" style="2"/>
    <col min="3081" max="3081" width="8" style="2" bestFit="1" customWidth="1"/>
    <col min="3082" max="3083" width="9" style="2"/>
    <col min="3084" max="3084" width="9.625" style="2" bestFit="1" customWidth="1"/>
    <col min="3085" max="3330" width="9" style="2"/>
    <col min="3331" max="3331" width="2.375" style="2" customWidth="1"/>
    <col min="3332" max="3332" width="13.25" style="2" bestFit="1" customWidth="1"/>
    <col min="3333" max="3336" width="9" style="2"/>
    <col min="3337" max="3337" width="8" style="2" bestFit="1" customWidth="1"/>
    <col min="3338" max="3339" width="9" style="2"/>
    <col min="3340" max="3340" width="9.625" style="2" bestFit="1" customWidth="1"/>
    <col min="3341" max="3586" width="9" style="2"/>
    <col min="3587" max="3587" width="2.375" style="2" customWidth="1"/>
    <col min="3588" max="3588" width="13.25" style="2" bestFit="1" customWidth="1"/>
    <col min="3589" max="3592" width="9" style="2"/>
    <col min="3593" max="3593" width="8" style="2" bestFit="1" customWidth="1"/>
    <col min="3594" max="3595" width="9" style="2"/>
    <col min="3596" max="3596" width="9.625" style="2" bestFit="1" customWidth="1"/>
    <col min="3597" max="3842" width="9" style="2"/>
    <col min="3843" max="3843" width="2.375" style="2" customWidth="1"/>
    <col min="3844" max="3844" width="13.25" style="2" bestFit="1" customWidth="1"/>
    <col min="3845" max="3848" width="9" style="2"/>
    <col min="3849" max="3849" width="8" style="2" bestFit="1" customWidth="1"/>
    <col min="3850" max="3851" width="9" style="2"/>
    <col min="3852" max="3852" width="9.625" style="2" bestFit="1" customWidth="1"/>
    <col min="3853" max="4098" width="9" style="2"/>
    <col min="4099" max="4099" width="2.375" style="2" customWidth="1"/>
    <col min="4100" max="4100" width="13.25" style="2" bestFit="1" customWidth="1"/>
    <col min="4101" max="4104" width="9" style="2"/>
    <col min="4105" max="4105" width="8" style="2" bestFit="1" customWidth="1"/>
    <col min="4106" max="4107" width="9" style="2"/>
    <col min="4108" max="4108" width="9.625" style="2" bestFit="1" customWidth="1"/>
    <col min="4109" max="4354" width="9" style="2"/>
    <col min="4355" max="4355" width="2.375" style="2" customWidth="1"/>
    <col min="4356" max="4356" width="13.25" style="2" bestFit="1" customWidth="1"/>
    <col min="4357" max="4360" width="9" style="2"/>
    <col min="4361" max="4361" width="8" style="2" bestFit="1" customWidth="1"/>
    <col min="4362" max="4363" width="9" style="2"/>
    <col min="4364" max="4364" width="9.625" style="2" bestFit="1" customWidth="1"/>
    <col min="4365" max="4610" width="9" style="2"/>
    <col min="4611" max="4611" width="2.375" style="2" customWidth="1"/>
    <col min="4612" max="4612" width="13.25" style="2" bestFit="1" customWidth="1"/>
    <col min="4613" max="4616" width="9" style="2"/>
    <col min="4617" max="4617" width="8" style="2" bestFit="1" customWidth="1"/>
    <col min="4618" max="4619" width="9" style="2"/>
    <col min="4620" max="4620" width="9.625" style="2" bestFit="1" customWidth="1"/>
    <col min="4621" max="4866" width="9" style="2"/>
    <col min="4867" max="4867" width="2.375" style="2" customWidth="1"/>
    <col min="4868" max="4868" width="13.25" style="2" bestFit="1" customWidth="1"/>
    <col min="4869" max="4872" width="9" style="2"/>
    <col min="4873" max="4873" width="8" style="2" bestFit="1" customWidth="1"/>
    <col min="4874" max="4875" width="9" style="2"/>
    <col min="4876" max="4876" width="9.625" style="2" bestFit="1" customWidth="1"/>
    <col min="4877" max="5122" width="9" style="2"/>
    <col min="5123" max="5123" width="2.375" style="2" customWidth="1"/>
    <col min="5124" max="5124" width="13.25" style="2" bestFit="1" customWidth="1"/>
    <col min="5125" max="5128" width="9" style="2"/>
    <col min="5129" max="5129" width="8" style="2" bestFit="1" customWidth="1"/>
    <col min="5130" max="5131" width="9" style="2"/>
    <col min="5132" max="5132" width="9.625" style="2" bestFit="1" customWidth="1"/>
    <col min="5133" max="5378" width="9" style="2"/>
    <col min="5379" max="5379" width="2.375" style="2" customWidth="1"/>
    <col min="5380" max="5380" width="13.25" style="2" bestFit="1" customWidth="1"/>
    <col min="5381" max="5384" width="9" style="2"/>
    <col min="5385" max="5385" width="8" style="2" bestFit="1" customWidth="1"/>
    <col min="5386" max="5387" width="9" style="2"/>
    <col min="5388" max="5388" width="9.625" style="2" bestFit="1" customWidth="1"/>
    <col min="5389" max="5634" width="9" style="2"/>
    <col min="5635" max="5635" width="2.375" style="2" customWidth="1"/>
    <col min="5636" max="5636" width="13.25" style="2" bestFit="1" customWidth="1"/>
    <col min="5637" max="5640" width="9" style="2"/>
    <col min="5641" max="5641" width="8" style="2" bestFit="1" customWidth="1"/>
    <col min="5642" max="5643" width="9" style="2"/>
    <col min="5644" max="5644" width="9.625" style="2" bestFit="1" customWidth="1"/>
    <col min="5645" max="5890" width="9" style="2"/>
    <col min="5891" max="5891" width="2.375" style="2" customWidth="1"/>
    <col min="5892" max="5892" width="13.25" style="2" bestFit="1" customWidth="1"/>
    <col min="5893" max="5896" width="9" style="2"/>
    <col min="5897" max="5897" width="8" style="2" bestFit="1" customWidth="1"/>
    <col min="5898" max="5899" width="9" style="2"/>
    <col min="5900" max="5900" width="9.625" style="2" bestFit="1" customWidth="1"/>
    <col min="5901" max="6146" width="9" style="2"/>
    <col min="6147" max="6147" width="2.375" style="2" customWidth="1"/>
    <col min="6148" max="6148" width="13.25" style="2" bestFit="1" customWidth="1"/>
    <col min="6149" max="6152" width="9" style="2"/>
    <col min="6153" max="6153" width="8" style="2" bestFit="1" customWidth="1"/>
    <col min="6154" max="6155" width="9" style="2"/>
    <col min="6156" max="6156" width="9.625" style="2" bestFit="1" customWidth="1"/>
    <col min="6157" max="6402" width="9" style="2"/>
    <col min="6403" max="6403" width="2.375" style="2" customWidth="1"/>
    <col min="6404" max="6404" width="13.25" style="2" bestFit="1" customWidth="1"/>
    <col min="6405" max="6408" width="9" style="2"/>
    <col min="6409" max="6409" width="8" style="2" bestFit="1" customWidth="1"/>
    <col min="6410" max="6411" width="9" style="2"/>
    <col min="6412" max="6412" width="9.625" style="2" bestFit="1" customWidth="1"/>
    <col min="6413" max="6658" width="9" style="2"/>
    <col min="6659" max="6659" width="2.375" style="2" customWidth="1"/>
    <col min="6660" max="6660" width="13.25" style="2" bestFit="1" customWidth="1"/>
    <col min="6661" max="6664" width="9" style="2"/>
    <col min="6665" max="6665" width="8" style="2" bestFit="1" customWidth="1"/>
    <col min="6666" max="6667" width="9" style="2"/>
    <col min="6668" max="6668" width="9.625" style="2" bestFit="1" customWidth="1"/>
    <col min="6669" max="6914" width="9" style="2"/>
    <col min="6915" max="6915" width="2.375" style="2" customWidth="1"/>
    <col min="6916" max="6916" width="13.25" style="2" bestFit="1" customWidth="1"/>
    <col min="6917" max="6920" width="9" style="2"/>
    <col min="6921" max="6921" width="8" style="2" bestFit="1" customWidth="1"/>
    <col min="6922" max="6923" width="9" style="2"/>
    <col min="6924" max="6924" width="9.625" style="2" bestFit="1" customWidth="1"/>
    <col min="6925" max="7170" width="9" style="2"/>
    <col min="7171" max="7171" width="2.375" style="2" customWidth="1"/>
    <col min="7172" max="7172" width="13.25" style="2" bestFit="1" customWidth="1"/>
    <col min="7173" max="7176" width="9" style="2"/>
    <col min="7177" max="7177" width="8" style="2" bestFit="1" customWidth="1"/>
    <col min="7178" max="7179" width="9" style="2"/>
    <col min="7180" max="7180" width="9.625" style="2" bestFit="1" customWidth="1"/>
    <col min="7181" max="7426" width="9" style="2"/>
    <col min="7427" max="7427" width="2.375" style="2" customWidth="1"/>
    <col min="7428" max="7428" width="13.25" style="2" bestFit="1" customWidth="1"/>
    <col min="7429" max="7432" width="9" style="2"/>
    <col min="7433" max="7433" width="8" style="2" bestFit="1" customWidth="1"/>
    <col min="7434" max="7435" width="9" style="2"/>
    <col min="7436" max="7436" width="9.625" style="2" bestFit="1" customWidth="1"/>
    <col min="7437" max="7682" width="9" style="2"/>
    <col min="7683" max="7683" width="2.375" style="2" customWidth="1"/>
    <col min="7684" max="7684" width="13.25" style="2" bestFit="1" customWidth="1"/>
    <col min="7685" max="7688" width="9" style="2"/>
    <col min="7689" max="7689" width="8" style="2" bestFit="1" customWidth="1"/>
    <col min="7690" max="7691" width="9" style="2"/>
    <col min="7692" max="7692" width="9.625" style="2" bestFit="1" customWidth="1"/>
    <col min="7693" max="7938" width="9" style="2"/>
    <col min="7939" max="7939" width="2.375" style="2" customWidth="1"/>
    <col min="7940" max="7940" width="13.25" style="2" bestFit="1" customWidth="1"/>
    <col min="7941" max="7944" width="9" style="2"/>
    <col min="7945" max="7945" width="8" style="2" bestFit="1" customWidth="1"/>
    <col min="7946" max="7947" width="9" style="2"/>
    <col min="7948" max="7948" width="9.625" style="2" bestFit="1" customWidth="1"/>
    <col min="7949" max="8194" width="9" style="2"/>
    <col min="8195" max="8195" width="2.375" style="2" customWidth="1"/>
    <col min="8196" max="8196" width="13.25" style="2" bestFit="1" customWidth="1"/>
    <col min="8197" max="8200" width="9" style="2"/>
    <col min="8201" max="8201" width="8" style="2" bestFit="1" customWidth="1"/>
    <col min="8202" max="8203" width="9" style="2"/>
    <col min="8204" max="8204" width="9.625" style="2" bestFit="1" customWidth="1"/>
    <col min="8205" max="8450" width="9" style="2"/>
    <col min="8451" max="8451" width="2.375" style="2" customWidth="1"/>
    <col min="8452" max="8452" width="13.25" style="2" bestFit="1" customWidth="1"/>
    <col min="8453" max="8456" width="9" style="2"/>
    <col min="8457" max="8457" width="8" style="2" bestFit="1" customWidth="1"/>
    <col min="8458" max="8459" width="9" style="2"/>
    <col min="8460" max="8460" width="9.625" style="2" bestFit="1" customWidth="1"/>
    <col min="8461" max="8706" width="9" style="2"/>
    <col min="8707" max="8707" width="2.375" style="2" customWidth="1"/>
    <col min="8708" max="8708" width="13.25" style="2" bestFit="1" customWidth="1"/>
    <col min="8709" max="8712" width="9" style="2"/>
    <col min="8713" max="8713" width="8" style="2" bestFit="1" customWidth="1"/>
    <col min="8714" max="8715" width="9" style="2"/>
    <col min="8716" max="8716" width="9.625" style="2" bestFit="1" customWidth="1"/>
    <col min="8717" max="8962" width="9" style="2"/>
    <col min="8963" max="8963" width="2.375" style="2" customWidth="1"/>
    <col min="8964" max="8964" width="13.25" style="2" bestFit="1" customWidth="1"/>
    <col min="8965" max="8968" width="9" style="2"/>
    <col min="8969" max="8969" width="8" style="2" bestFit="1" customWidth="1"/>
    <col min="8970" max="8971" width="9" style="2"/>
    <col min="8972" max="8972" width="9.625" style="2" bestFit="1" customWidth="1"/>
    <col min="8973" max="9218" width="9" style="2"/>
    <col min="9219" max="9219" width="2.375" style="2" customWidth="1"/>
    <col min="9220" max="9220" width="13.25" style="2" bestFit="1" customWidth="1"/>
    <col min="9221" max="9224" width="9" style="2"/>
    <col min="9225" max="9225" width="8" style="2" bestFit="1" customWidth="1"/>
    <col min="9226" max="9227" width="9" style="2"/>
    <col min="9228" max="9228" width="9.625" style="2" bestFit="1" customWidth="1"/>
    <col min="9229" max="9474" width="9" style="2"/>
    <col min="9475" max="9475" width="2.375" style="2" customWidth="1"/>
    <col min="9476" max="9476" width="13.25" style="2" bestFit="1" customWidth="1"/>
    <col min="9477" max="9480" width="9" style="2"/>
    <col min="9481" max="9481" width="8" style="2" bestFit="1" customWidth="1"/>
    <col min="9482" max="9483" width="9" style="2"/>
    <col min="9484" max="9484" width="9.625" style="2" bestFit="1" customWidth="1"/>
    <col min="9485" max="9730" width="9" style="2"/>
    <col min="9731" max="9731" width="2.375" style="2" customWidth="1"/>
    <col min="9732" max="9732" width="13.25" style="2" bestFit="1" customWidth="1"/>
    <col min="9733" max="9736" width="9" style="2"/>
    <col min="9737" max="9737" width="8" style="2" bestFit="1" customWidth="1"/>
    <col min="9738" max="9739" width="9" style="2"/>
    <col min="9740" max="9740" width="9.625" style="2" bestFit="1" customWidth="1"/>
    <col min="9741" max="9986" width="9" style="2"/>
    <col min="9987" max="9987" width="2.375" style="2" customWidth="1"/>
    <col min="9988" max="9988" width="13.25" style="2" bestFit="1" customWidth="1"/>
    <col min="9989" max="9992" width="9" style="2"/>
    <col min="9993" max="9993" width="8" style="2" bestFit="1" customWidth="1"/>
    <col min="9994" max="9995" width="9" style="2"/>
    <col min="9996" max="9996" width="9.625" style="2" bestFit="1" customWidth="1"/>
    <col min="9997" max="10242" width="9" style="2"/>
    <col min="10243" max="10243" width="2.375" style="2" customWidth="1"/>
    <col min="10244" max="10244" width="13.25" style="2" bestFit="1" customWidth="1"/>
    <col min="10245" max="10248" width="9" style="2"/>
    <col min="10249" max="10249" width="8" style="2" bestFit="1" customWidth="1"/>
    <col min="10250" max="10251" width="9" style="2"/>
    <col min="10252" max="10252" width="9.625" style="2" bestFit="1" customWidth="1"/>
    <col min="10253" max="10498" width="9" style="2"/>
    <col min="10499" max="10499" width="2.375" style="2" customWidth="1"/>
    <col min="10500" max="10500" width="13.25" style="2" bestFit="1" customWidth="1"/>
    <col min="10501" max="10504" width="9" style="2"/>
    <col min="10505" max="10505" width="8" style="2" bestFit="1" customWidth="1"/>
    <col min="10506" max="10507" width="9" style="2"/>
    <col min="10508" max="10508" width="9.625" style="2" bestFit="1" customWidth="1"/>
    <col min="10509" max="10754" width="9" style="2"/>
    <col min="10755" max="10755" width="2.375" style="2" customWidth="1"/>
    <col min="10756" max="10756" width="13.25" style="2" bestFit="1" customWidth="1"/>
    <col min="10757" max="10760" width="9" style="2"/>
    <col min="10761" max="10761" width="8" style="2" bestFit="1" customWidth="1"/>
    <col min="10762" max="10763" width="9" style="2"/>
    <col min="10764" max="10764" width="9.625" style="2" bestFit="1" customWidth="1"/>
    <col min="10765" max="11010" width="9" style="2"/>
    <col min="11011" max="11011" width="2.375" style="2" customWidth="1"/>
    <col min="11012" max="11012" width="13.25" style="2" bestFit="1" customWidth="1"/>
    <col min="11013" max="11016" width="9" style="2"/>
    <col min="11017" max="11017" width="8" style="2" bestFit="1" customWidth="1"/>
    <col min="11018" max="11019" width="9" style="2"/>
    <col min="11020" max="11020" width="9.625" style="2" bestFit="1" customWidth="1"/>
    <col min="11021" max="11266" width="9" style="2"/>
    <col min="11267" max="11267" width="2.375" style="2" customWidth="1"/>
    <col min="11268" max="11268" width="13.25" style="2" bestFit="1" customWidth="1"/>
    <col min="11269" max="11272" width="9" style="2"/>
    <col min="11273" max="11273" width="8" style="2" bestFit="1" customWidth="1"/>
    <col min="11274" max="11275" width="9" style="2"/>
    <col min="11276" max="11276" width="9.625" style="2" bestFit="1" customWidth="1"/>
    <col min="11277" max="11522" width="9" style="2"/>
    <col min="11523" max="11523" width="2.375" style="2" customWidth="1"/>
    <col min="11524" max="11524" width="13.25" style="2" bestFit="1" customWidth="1"/>
    <col min="11525" max="11528" width="9" style="2"/>
    <col min="11529" max="11529" width="8" style="2" bestFit="1" customWidth="1"/>
    <col min="11530" max="11531" width="9" style="2"/>
    <col min="11532" max="11532" width="9.625" style="2" bestFit="1" customWidth="1"/>
    <col min="11533" max="11778" width="9" style="2"/>
    <col min="11779" max="11779" width="2.375" style="2" customWidth="1"/>
    <col min="11780" max="11780" width="13.25" style="2" bestFit="1" customWidth="1"/>
    <col min="11781" max="11784" width="9" style="2"/>
    <col min="11785" max="11785" width="8" style="2" bestFit="1" customWidth="1"/>
    <col min="11786" max="11787" width="9" style="2"/>
    <col min="11788" max="11788" width="9.625" style="2" bestFit="1" customWidth="1"/>
    <col min="11789" max="12034" width="9" style="2"/>
    <col min="12035" max="12035" width="2.375" style="2" customWidth="1"/>
    <col min="12036" max="12036" width="13.25" style="2" bestFit="1" customWidth="1"/>
    <col min="12037" max="12040" width="9" style="2"/>
    <col min="12041" max="12041" width="8" style="2" bestFit="1" customWidth="1"/>
    <col min="12042" max="12043" width="9" style="2"/>
    <col min="12044" max="12044" width="9.625" style="2" bestFit="1" customWidth="1"/>
    <col min="12045" max="12290" width="9" style="2"/>
    <col min="12291" max="12291" width="2.375" style="2" customWidth="1"/>
    <col min="12292" max="12292" width="13.25" style="2" bestFit="1" customWidth="1"/>
    <col min="12293" max="12296" width="9" style="2"/>
    <col min="12297" max="12297" width="8" style="2" bestFit="1" customWidth="1"/>
    <col min="12298" max="12299" width="9" style="2"/>
    <col min="12300" max="12300" width="9.625" style="2" bestFit="1" customWidth="1"/>
    <col min="12301" max="12546" width="9" style="2"/>
    <col min="12547" max="12547" width="2.375" style="2" customWidth="1"/>
    <col min="12548" max="12548" width="13.25" style="2" bestFit="1" customWidth="1"/>
    <col min="12549" max="12552" width="9" style="2"/>
    <col min="12553" max="12553" width="8" style="2" bestFit="1" customWidth="1"/>
    <col min="12554" max="12555" width="9" style="2"/>
    <col min="12556" max="12556" width="9.625" style="2" bestFit="1" customWidth="1"/>
    <col min="12557" max="12802" width="9" style="2"/>
    <col min="12803" max="12803" width="2.375" style="2" customWidth="1"/>
    <col min="12804" max="12804" width="13.25" style="2" bestFit="1" customWidth="1"/>
    <col min="12805" max="12808" width="9" style="2"/>
    <col min="12809" max="12809" width="8" style="2" bestFit="1" customWidth="1"/>
    <col min="12810" max="12811" width="9" style="2"/>
    <col min="12812" max="12812" width="9.625" style="2" bestFit="1" customWidth="1"/>
    <col min="12813" max="13058" width="9" style="2"/>
    <col min="13059" max="13059" width="2.375" style="2" customWidth="1"/>
    <col min="13060" max="13060" width="13.25" style="2" bestFit="1" customWidth="1"/>
    <col min="13061" max="13064" width="9" style="2"/>
    <col min="13065" max="13065" width="8" style="2" bestFit="1" customWidth="1"/>
    <col min="13066" max="13067" width="9" style="2"/>
    <col min="13068" max="13068" width="9.625" style="2" bestFit="1" customWidth="1"/>
    <col min="13069" max="13314" width="9" style="2"/>
    <col min="13315" max="13315" width="2.375" style="2" customWidth="1"/>
    <col min="13316" max="13316" width="13.25" style="2" bestFit="1" customWidth="1"/>
    <col min="13317" max="13320" width="9" style="2"/>
    <col min="13321" max="13321" width="8" style="2" bestFit="1" customWidth="1"/>
    <col min="13322" max="13323" width="9" style="2"/>
    <col min="13324" max="13324" width="9.625" style="2" bestFit="1" customWidth="1"/>
    <col min="13325" max="13570" width="9" style="2"/>
    <col min="13571" max="13571" width="2.375" style="2" customWidth="1"/>
    <col min="13572" max="13572" width="13.25" style="2" bestFit="1" customWidth="1"/>
    <col min="13573" max="13576" width="9" style="2"/>
    <col min="13577" max="13577" width="8" style="2" bestFit="1" customWidth="1"/>
    <col min="13578" max="13579" width="9" style="2"/>
    <col min="13580" max="13580" width="9.625" style="2" bestFit="1" customWidth="1"/>
    <col min="13581" max="13826" width="9" style="2"/>
    <col min="13827" max="13827" width="2.375" style="2" customWidth="1"/>
    <col min="13828" max="13828" width="13.25" style="2" bestFit="1" customWidth="1"/>
    <col min="13829" max="13832" width="9" style="2"/>
    <col min="13833" max="13833" width="8" style="2" bestFit="1" customWidth="1"/>
    <col min="13834" max="13835" width="9" style="2"/>
    <col min="13836" max="13836" width="9.625" style="2" bestFit="1" customWidth="1"/>
    <col min="13837" max="14082" width="9" style="2"/>
    <col min="14083" max="14083" width="2.375" style="2" customWidth="1"/>
    <col min="14084" max="14084" width="13.25" style="2" bestFit="1" customWidth="1"/>
    <col min="14085" max="14088" width="9" style="2"/>
    <col min="14089" max="14089" width="8" style="2" bestFit="1" customWidth="1"/>
    <col min="14090" max="14091" width="9" style="2"/>
    <col min="14092" max="14092" width="9.625" style="2" bestFit="1" customWidth="1"/>
    <col min="14093" max="14338" width="9" style="2"/>
    <col min="14339" max="14339" width="2.375" style="2" customWidth="1"/>
    <col min="14340" max="14340" width="13.25" style="2" bestFit="1" customWidth="1"/>
    <col min="14341" max="14344" width="9" style="2"/>
    <col min="14345" max="14345" width="8" style="2" bestFit="1" customWidth="1"/>
    <col min="14346" max="14347" width="9" style="2"/>
    <col min="14348" max="14348" width="9.625" style="2" bestFit="1" customWidth="1"/>
    <col min="14349" max="14594" width="9" style="2"/>
    <col min="14595" max="14595" width="2.375" style="2" customWidth="1"/>
    <col min="14596" max="14596" width="13.25" style="2" bestFit="1" customWidth="1"/>
    <col min="14597" max="14600" width="9" style="2"/>
    <col min="14601" max="14601" width="8" style="2" bestFit="1" customWidth="1"/>
    <col min="14602" max="14603" width="9" style="2"/>
    <col min="14604" max="14604" width="9.625" style="2" bestFit="1" customWidth="1"/>
    <col min="14605" max="14850" width="9" style="2"/>
    <col min="14851" max="14851" width="2.375" style="2" customWidth="1"/>
    <col min="14852" max="14852" width="13.25" style="2" bestFit="1" customWidth="1"/>
    <col min="14853" max="14856" width="9" style="2"/>
    <col min="14857" max="14857" width="8" style="2" bestFit="1" customWidth="1"/>
    <col min="14858" max="14859" width="9" style="2"/>
    <col min="14860" max="14860" width="9.625" style="2" bestFit="1" customWidth="1"/>
    <col min="14861" max="15106" width="9" style="2"/>
    <col min="15107" max="15107" width="2.375" style="2" customWidth="1"/>
    <col min="15108" max="15108" width="13.25" style="2" bestFit="1" customWidth="1"/>
    <col min="15109" max="15112" width="9" style="2"/>
    <col min="15113" max="15113" width="8" style="2" bestFit="1" customWidth="1"/>
    <col min="15114" max="15115" width="9" style="2"/>
    <col min="15116" max="15116" width="9.625" style="2" bestFit="1" customWidth="1"/>
    <col min="15117" max="15362" width="9" style="2"/>
    <col min="15363" max="15363" width="2.375" style="2" customWidth="1"/>
    <col min="15364" max="15364" width="13.25" style="2" bestFit="1" customWidth="1"/>
    <col min="15365" max="15368" width="9" style="2"/>
    <col min="15369" max="15369" width="8" style="2" bestFit="1" customWidth="1"/>
    <col min="15370" max="15371" width="9" style="2"/>
    <col min="15372" max="15372" width="9.625" style="2" bestFit="1" customWidth="1"/>
    <col min="15373" max="15618" width="9" style="2"/>
    <col min="15619" max="15619" width="2.375" style="2" customWidth="1"/>
    <col min="15620" max="15620" width="13.25" style="2" bestFit="1" customWidth="1"/>
    <col min="15621" max="15624" width="9" style="2"/>
    <col min="15625" max="15625" width="8" style="2" bestFit="1" customWidth="1"/>
    <col min="15626" max="15627" width="9" style="2"/>
    <col min="15628" max="15628" width="9.625" style="2" bestFit="1" customWidth="1"/>
    <col min="15629" max="15874" width="9" style="2"/>
    <col min="15875" max="15875" width="2.375" style="2" customWidth="1"/>
    <col min="15876" max="15876" width="13.25" style="2" bestFit="1" customWidth="1"/>
    <col min="15877" max="15880" width="9" style="2"/>
    <col min="15881" max="15881" width="8" style="2" bestFit="1" customWidth="1"/>
    <col min="15882" max="15883" width="9" style="2"/>
    <col min="15884" max="15884" width="9.625" style="2" bestFit="1" customWidth="1"/>
    <col min="15885" max="16130" width="9" style="2"/>
    <col min="16131" max="16131" width="2.375" style="2" customWidth="1"/>
    <col min="16132" max="16132" width="13.25" style="2" bestFit="1" customWidth="1"/>
    <col min="16133" max="16136" width="9" style="2"/>
    <col min="16137" max="16137" width="8" style="2" bestFit="1" customWidth="1"/>
    <col min="16138" max="16139" width="9" style="2"/>
    <col min="16140" max="16140" width="9.625" style="2" bestFit="1" customWidth="1"/>
    <col min="16141" max="16384" width="9" style="2"/>
  </cols>
  <sheetData>
    <row r="1" spans="1:12">
      <c r="A1" s="1" t="s">
        <v>0</v>
      </c>
    </row>
    <row r="2" spans="1:12">
      <c r="A2" s="1" t="s">
        <v>1</v>
      </c>
    </row>
    <row r="3" spans="1:12" ht="19.5" thickBot="1">
      <c r="A3" s="1" t="s">
        <v>73</v>
      </c>
    </row>
    <row r="4" spans="1:12">
      <c r="B4" s="3"/>
      <c r="C4" s="9" t="s">
        <v>7</v>
      </c>
      <c r="D4" s="36" t="s">
        <v>3</v>
      </c>
      <c r="E4" s="10" t="s">
        <v>9</v>
      </c>
      <c r="F4" s="72" t="s">
        <v>74</v>
      </c>
      <c r="G4" s="36" t="s">
        <v>4</v>
      </c>
      <c r="H4" s="9" t="s">
        <v>5</v>
      </c>
      <c r="I4" s="9" t="s">
        <v>6</v>
      </c>
      <c r="J4" s="48" t="s">
        <v>8</v>
      </c>
      <c r="K4" s="60" t="s">
        <v>78</v>
      </c>
      <c r="L4" s="72" t="s">
        <v>76</v>
      </c>
    </row>
    <row r="5" spans="1:12" ht="19.5" thickBot="1">
      <c r="A5" s="74"/>
      <c r="B5" s="4" t="s">
        <v>10</v>
      </c>
      <c r="C5" s="11" t="s">
        <v>15</v>
      </c>
      <c r="D5" s="37" t="s">
        <v>11</v>
      </c>
      <c r="E5" s="12" t="s">
        <v>17</v>
      </c>
      <c r="F5" s="73" t="s">
        <v>75</v>
      </c>
      <c r="G5" s="37" t="s">
        <v>12</v>
      </c>
      <c r="H5" s="11" t="s">
        <v>13</v>
      </c>
      <c r="I5" s="11" t="s">
        <v>14</v>
      </c>
      <c r="J5" s="49" t="s">
        <v>16</v>
      </c>
      <c r="K5" s="61" t="s">
        <v>79</v>
      </c>
      <c r="L5" s="73" t="s">
        <v>77</v>
      </c>
    </row>
    <row r="6" spans="1:12">
      <c r="A6" s="1" t="s">
        <v>2</v>
      </c>
      <c r="B6" s="5" t="s">
        <v>18</v>
      </c>
      <c r="C6" s="13">
        <v>21</v>
      </c>
      <c r="D6" s="38">
        <v>10</v>
      </c>
      <c r="E6" s="14">
        <v>19</v>
      </c>
      <c r="F6" s="8">
        <f>SUM(C6:E6)</f>
        <v>50</v>
      </c>
      <c r="G6" s="13">
        <v>20</v>
      </c>
      <c r="H6" s="13">
        <v>19</v>
      </c>
      <c r="I6" s="13">
        <v>20</v>
      </c>
      <c r="J6" s="50">
        <v>20</v>
      </c>
      <c r="K6" s="62">
        <f>SUM(G6:J6)</f>
        <v>79</v>
      </c>
      <c r="L6" s="62">
        <f>SUM(K6,F6)</f>
        <v>129</v>
      </c>
    </row>
    <row r="7" spans="1:12">
      <c r="A7" s="1" t="s">
        <v>2</v>
      </c>
      <c r="B7" s="6" t="s">
        <v>19</v>
      </c>
      <c r="C7" s="15">
        <v>0</v>
      </c>
      <c r="D7" s="39">
        <v>0</v>
      </c>
      <c r="E7" s="16">
        <v>0</v>
      </c>
      <c r="F7" s="8">
        <f t="shared" ref="F7:F22" si="0">SUM(C7:E7)</f>
        <v>0</v>
      </c>
      <c r="G7" s="15">
        <v>0</v>
      </c>
      <c r="H7" s="15">
        <v>1</v>
      </c>
      <c r="I7" s="15">
        <v>1</v>
      </c>
      <c r="J7" s="51">
        <v>1</v>
      </c>
      <c r="K7" s="63">
        <f t="shared" ref="K7:K22" si="1">SUM(G7:J7)</f>
        <v>3</v>
      </c>
      <c r="L7" s="62">
        <f t="shared" ref="L7:L22" si="2">SUM(K7,F7)</f>
        <v>3</v>
      </c>
    </row>
    <row r="8" spans="1:12">
      <c r="A8" s="1" t="s">
        <v>2</v>
      </c>
      <c r="B8" s="6" t="s">
        <v>20</v>
      </c>
      <c r="C8" s="15">
        <v>0</v>
      </c>
      <c r="D8" s="39">
        <v>1</v>
      </c>
      <c r="E8" s="16">
        <v>0</v>
      </c>
      <c r="F8" s="8">
        <f t="shared" si="0"/>
        <v>1</v>
      </c>
      <c r="G8" s="15">
        <v>1</v>
      </c>
      <c r="H8" s="15">
        <v>1</v>
      </c>
      <c r="I8" s="15">
        <v>0</v>
      </c>
      <c r="J8" s="51">
        <v>0</v>
      </c>
      <c r="K8" s="63">
        <f t="shared" si="1"/>
        <v>2</v>
      </c>
      <c r="L8" s="62">
        <f t="shared" si="2"/>
        <v>3</v>
      </c>
    </row>
    <row r="9" spans="1:12">
      <c r="A9" s="1" t="s">
        <v>2</v>
      </c>
      <c r="B9" s="6" t="s">
        <v>21</v>
      </c>
      <c r="C9" s="15">
        <v>0</v>
      </c>
      <c r="D9" s="39">
        <v>0</v>
      </c>
      <c r="E9" s="16">
        <v>0</v>
      </c>
      <c r="F9" s="8">
        <f t="shared" si="0"/>
        <v>0</v>
      </c>
      <c r="G9" s="15">
        <v>0</v>
      </c>
      <c r="H9" s="15">
        <v>1</v>
      </c>
      <c r="I9" s="15">
        <v>0</v>
      </c>
      <c r="J9" s="51">
        <v>0</v>
      </c>
      <c r="K9" s="63">
        <f t="shared" si="1"/>
        <v>1</v>
      </c>
      <c r="L9" s="62">
        <f t="shared" si="2"/>
        <v>1</v>
      </c>
    </row>
    <row r="10" spans="1:12">
      <c r="A10" s="1" t="s">
        <v>2</v>
      </c>
      <c r="B10" s="6" t="s">
        <v>22</v>
      </c>
      <c r="C10" s="15">
        <v>0</v>
      </c>
      <c r="D10" s="39">
        <v>11</v>
      </c>
      <c r="E10" s="16">
        <v>1</v>
      </c>
      <c r="F10" s="8">
        <f t="shared" si="0"/>
        <v>12</v>
      </c>
      <c r="G10" s="15">
        <v>0</v>
      </c>
      <c r="H10" s="15">
        <v>1</v>
      </c>
      <c r="I10" s="15">
        <v>0</v>
      </c>
      <c r="J10" s="51">
        <v>0</v>
      </c>
      <c r="K10" s="63">
        <f t="shared" si="1"/>
        <v>1</v>
      </c>
      <c r="L10" s="62">
        <f t="shared" si="2"/>
        <v>13</v>
      </c>
    </row>
    <row r="11" spans="1:12">
      <c r="A11" s="1" t="s">
        <v>2</v>
      </c>
      <c r="B11" s="6" t="s">
        <v>23</v>
      </c>
      <c r="C11" s="15">
        <v>0</v>
      </c>
      <c r="D11" s="39">
        <v>0</v>
      </c>
      <c r="E11" s="16">
        <v>0</v>
      </c>
      <c r="F11" s="8">
        <f t="shared" si="0"/>
        <v>0</v>
      </c>
      <c r="G11" s="15">
        <v>0</v>
      </c>
      <c r="H11" s="15">
        <v>0</v>
      </c>
      <c r="I11" s="15">
        <v>0</v>
      </c>
      <c r="J11" s="51">
        <v>0</v>
      </c>
      <c r="K11" s="63">
        <f t="shared" si="1"/>
        <v>0</v>
      </c>
      <c r="L11" s="62">
        <f t="shared" si="2"/>
        <v>0</v>
      </c>
    </row>
    <row r="12" spans="1:12">
      <c r="A12" s="1" t="s">
        <v>2</v>
      </c>
      <c r="B12" s="6" t="s">
        <v>24</v>
      </c>
      <c r="C12" s="15">
        <v>0</v>
      </c>
      <c r="D12" s="39">
        <v>0</v>
      </c>
      <c r="E12" s="16">
        <v>0</v>
      </c>
      <c r="F12" s="8">
        <f t="shared" si="0"/>
        <v>0</v>
      </c>
      <c r="G12" s="15">
        <v>1</v>
      </c>
      <c r="H12" s="15">
        <v>0</v>
      </c>
      <c r="I12" s="15">
        <v>1</v>
      </c>
      <c r="J12" s="51">
        <v>1</v>
      </c>
      <c r="K12" s="63">
        <f t="shared" si="1"/>
        <v>3</v>
      </c>
      <c r="L12" s="62">
        <f t="shared" si="2"/>
        <v>3</v>
      </c>
    </row>
    <row r="13" spans="1:12">
      <c r="A13" s="1" t="s">
        <v>2</v>
      </c>
      <c r="B13" s="6" t="s">
        <v>26</v>
      </c>
      <c r="C13" s="17">
        <v>0</v>
      </c>
      <c r="D13" s="40">
        <v>0</v>
      </c>
      <c r="E13" s="18">
        <v>2.375</v>
      </c>
      <c r="F13" s="18">
        <f t="shared" si="0"/>
        <v>2.375</v>
      </c>
      <c r="G13" s="17">
        <v>0</v>
      </c>
      <c r="H13" s="17">
        <v>0</v>
      </c>
      <c r="I13" s="17">
        <v>0</v>
      </c>
      <c r="J13" s="52">
        <v>0</v>
      </c>
      <c r="K13" s="64">
        <f t="shared" si="1"/>
        <v>0</v>
      </c>
      <c r="L13" s="64">
        <f t="shared" si="2"/>
        <v>2.375</v>
      </c>
    </row>
    <row r="14" spans="1:12">
      <c r="A14" s="1" t="s">
        <v>2</v>
      </c>
      <c r="B14" s="6" t="s">
        <v>27</v>
      </c>
      <c r="C14" s="17">
        <v>0</v>
      </c>
      <c r="D14" s="40">
        <v>0</v>
      </c>
      <c r="E14" s="18">
        <v>0</v>
      </c>
      <c r="F14" s="8">
        <f t="shared" si="0"/>
        <v>0</v>
      </c>
      <c r="G14" s="17">
        <v>2</v>
      </c>
      <c r="H14" s="17">
        <v>2.0833333333333335</v>
      </c>
      <c r="I14" s="17">
        <v>2.2916666666666665</v>
      </c>
      <c r="J14" s="52">
        <v>2.0416666666666665</v>
      </c>
      <c r="K14" s="64">
        <f t="shared" si="1"/>
        <v>8.4166666666666661</v>
      </c>
      <c r="L14" s="64">
        <f t="shared" si="2"/>
        <v>8.4166666666666661</v>
      </c>
    </row>
    <row r="15" spans="1:12">
      <c r="A15" s="1" t="s">
        <v>2</v>
      </c>
      <c r="B15" s="6" t="s">
        <v>28</v>
      </c>
      <c r="C15" s="17">
        <v>0</v>
      </c>
      <c r="D15" s="40">
        <v>0</v>
      </c>
      <c r="E15" s="18">
        <v>0</v>
      </c>
      <c r="F15" s="8">
        <f t="shared" si="0"/>
        <v>0</v>
      </c>
      <c r="G15" s="17">
        <v>0</v>
      </c>
      <c r="H15" s="17">
        <v>0</v>
      </c>
      <c r="I15" s="17">
        <v>0.29166666666666669</v>
      </c>
      <c r="J15" s="52">
        <v>0.25</v>
      </c>
      <c r="K15" s="64">
        <f t="shared" si="1"/>
        <v>0.54166666666666674</v>
      </c>
      <c r="L15" s="64">
        <f t="shared" si="2"/>
        <v>0.54166666666666674</v>
      </c>
    </row>
    <row r="16" spans="1:12">
      <c r="A16" s="1" t="s">
        <v>2</v>
      </c>
      <c r="B16" s="6" t="s">
        <v>29</v>
      </c>
      <c r="C16" s="17">
        <v>0</v>
      </c>
      <c r="D16" s="40">
        <v>0.16666666666666666</v>
      </c>
      <c r="E16" s="18">
        <v>0</v>
      </c>
      <c r="F16" s="64">
        <f t="shared" si="0"/>
        <v>0.16666666666666666</v>
      </c>
      <c r="G16" s="40">
        <v>0.41666666666666669</v>
      </c>
      <c r="H16" s="17">
        <v>0.5</v>
      </c>
      <c r="I16" s="17">
        <v>0</v>
      </c>
      <c r="J16" s="52">
        <v>0</v>
      </c>
      <c r="K16" s="64">
        <f t="shared" si="1"/>
        <v>0.91666666666666674</v>
      </c>
      <c r="L16" s="64">
        <f t="shared" si="2"/>
        <v>1.0833333333333335</v>
      </c>
    </row>
    <row r="17" spans="1:12">
      <c r="A17" s="1" t="s">
        <v>2</v>
      </c>
      <c r="B17" s="6" t="s">
        <v>30</v>
      </c>
      <c r="C17" s="17">
        <v>0</v>
      </c>
      <c r="D17" s="40">
        <v>0</v>
      </c>
      <c r="E17" s="18">
        <v>0</v>
      </c>
      <c r="F17" s="8">
        <f t="shared" si="0"/>
        <v>0</v>
      </c>
      <c r="G17" s="17">
        <v>0</v>
      </c>
      <c r="H17" s="17">
        <v>0.33333333333333331</v>
      </c>
      <c r="I17" s="17">
        <v>0</v>
      </c>
      <c r="J17" s="52">
        <v>0</v>
      </c>
      <c r="K17" s="64">
        <f t="shared" si="1"/>
        <v>0.33333333333333331</v>
      </c>
      <c r="L17" s="64">
        <f t="shared" si="2"/>
        <v>0.33333333333333331</v>
      </c>
    </row>
    <row r="18" spans="1:12">
      <c r="A18" s="1" t="s">
        <v>2</v>
      </c>
      <c r="B18" s="6" t="s">
        <v>31</v>
      </c>
      <c r="C18" s="17">
        <v>0</v>
      </c>
      <c r="D18" s="40">
        <v>0</v>
      </c>
      <c r="E18" s="18">
        <v>0</v>
      </c>
      <c r="F18" s="8">
        <f t="shared" si="0"/>
        <v>0</v>
      </c>
      <c r="G18" s="17">
        <v>0</v>
      </c>
      <c r="H18" s="17">
        <v>0</v>
      </c>
      <c r="I18" s="17">
        <v>0</v>
      </c>
      <c r="J18" s="52">
        <v>0</v>
      </c>
      <c r="K18" s="64">
        <f t="shared" si="1"/>
        <v>0</v>
      </c>
      <c r="L18" s="62">
        <f t="shared" si="2"/>
        <v>0</v>
      </c>
    </row>
    <row r="19" spans="1:12">
      <c r="A19" s="1" t="s">
        <v>2</v>
      </c>
      <c r="B19" s="6" t="s">
        <v>32</v>
      </c>
      <c r="C19" s="17">
        <v>0</v>
      </c>
      <c r="D19" s="40">
        <v>0</v>
      </c>
      <c r="E19" s="18">
        <v>0</v>
      </c>
      <c r="F19" s="8">
        <f t="shared" si="0"/>
        <v>0</v>
      </c>
      <c r="G19" s="17">
        <v>0</v>
      </c>
      <c r="H19" s="17">
        <v>0</v>
      </c>
      <c r="I19" s="17">
        <v>0</v>
      </c>
      <c r="J19" s="52">
        <v>0</v>
      </c>
      <c r="K19" s="64">
        <f t="shared" si="1"/>
        <v>0</v>
      </c>
      <c r="L19" s="62">
        <f t="shared" si="2"/>
        <v>0</v>
      </c>
    </row>
    <row r="20" spans="1:12">
      <c r="A20" s="1" t="s">
        <v>2</v>
      </c>
      <c r="B20" s="6" t="s">
        <v>33</v>
      </c>
      <c r="C20" s="17">
        <v>0</v>
      </c>
      <c r="D20" s="40">
        <v>0</v>
      </c>
      <c r="E20" s="18">
        <v>0.14583333333333334</v>
      </c>
      <c r="F20" s="64">
        <f t="shared" si="0"/>
        <v>0.14583333333333334</v>
      </c>
      <c r="G20" s="40">
        <v>0</v>
      </c>
      <c r="H20" s="17">
        <v>0</v>
      </c>
      <c r="I20" s="17">
        <v>0</v>
      </c>
      <c r="J20" s="52">
        <v>0</v>
      </c>
      <c r="K20" s="64">
        <f t="shared" si="1"/>
        <v>0</v>
      </c>
      <c r="L20" s="64">
        <f t="shared" si="2"/>
        <v>0.14583333333333334</v>
      </c>
    </row>
    <row r="21" spans="1:12">
      <c r="A21" s="1" t="s">
        <v>2</v>
      </c>
      <c r="B21" s="6" t="s">
        <v>34</v>
      </c>
      <c r="C21" s="17">
        <v>0.16666666666666666</v>
      </c>
      <c r="D21" s="40">
        <v>0</v>
      </c>
      <c r="E21" s="18">
        <v>0</v>
      </c>
      <c r="F21" s="64">
        <f t="shared" si="0"/>
        <v>0.16666666666666666</v>
      </c>
      <c r="G21" s="40">
        <v>0.375</v>
      </c>
      <c r="H21" s="17">
        <v>0.70833333333333337</v>
      </c>
      <c r="I21" s="17">
        <v>0.58333333333333337</v>
      </c>
      <c r="J21" s="52">
        <v>0.54166666666666663</v>
      </c>
      <c r="K21" s="64">
        <f t="shared" si="1"/>
        <v>2.2083333333333335</v>
      </c>
      <c r="L21" s="64">
        <f t="shared" si="2"/>
        <v>2.375</v>
      </c>
    </row>
    <row r="22" spans="1:12" ht="19.5" thickBot="1">
      <c r="A22" s="1" t="s">
        <v>2</v>
      </c>
      <c r="B22" s="23" t="s">
        <v>35</v>
      </c>
      <c r="C22" s="24">
        <v>25</v>
      </c>
      <c r="D22" s="41">
        <v>0</v>
      </c>
      <c r="E22" s="25">
        <v>10</v>
      </c>
      <c r="F22" s="8">
        <f t="shared" si="0"/>
        <v>35</v>
      </c>
      <c r="G22" s="24">
        <v>25</v>
      </c>
      <c r="H22" s="24">
        <v>32</v>
      </c>
      <c r="I22" s="24">
        <v>29</v>
      </c>
      <c r="J22" s="53">
        <v>15</v>
      </c>
      <c r="K22" s="65">
        <f t="shared" si="1"/>
        <v>101</v>
      </c>
      <c r="L22" s="62">
        <f t="shared" si="2"/>
        <v>136</v>
      </c>
    </row>
    <row r="23" spans="1:12">
      <c r="A23" s="1" t="s">
        <v>2</v>
      </c>
      <c r="B23" s="26" t="s">
        <v>36</v>
      </c>
      <c r="C23" s="27">
        <v>355000</v>
      </c>
      <c r="D23" s="42">
        <v>100000</v>
      </c>
      <c r="E23" s="28">
        <v>0</v>
      </c>
      <c r="F23" s="28">
        <f>SUM(C23:E23)</f>
        <v>455000</v>
      </c>
      <c r="G23" s="27">
        <v>177000</v>
      </c>
      <c r="H23" s="27">
        <v>187000</v>
      </c>
      <c r="I23" s="27">
        <v>170000</v>
      </c>
      <c r="J23" s="54">
        <v>187000</v>
      </c>
      <c r="K23" s="66">
        <f>SUM(G23:J23)</f>
        <v>721000</v>
      </c>
      <c r="L23" s="66">
        <f>SUM(F23,K23)</f>
        <v>1176000</v>
      </c>
    </row>
    <row r="24" spans="1:12">
      <c r="A24" s="1" t="s">
        <v>2</v>
      </c>
      <c r="B24" s="6" t="s">
        <v>37</v>
      </c>
      <c r="C24" s="19">
        <v>0</v>
      </c>
      <c r="D24" s="43">
        <v>0</v>
      </c>
      <c r="E24" s="20">
        <v>0</v>
      </c>
      <c r="F24" s="20">
        <f t="shared" ref="F24:F59" si="3">SUM(C24:E24)</f>
        <v>0</v>
      </c>
      <c r="G24" s="19">
        <v>5000</v>
      </c>
      <c r="H24" s="19">
        <v>0</v>
      </c>
      <c r="I24" s="19">
        <v>0</v>
      </c>
      <c r="J24" s="55">
        <v>0</v>
      </c>
      <c r="K24" s="67">
        <f t="shared" ref="K24:K59" si="4">SUM(G24:J24)</f>
        <v>5000</v>
      </c>
      <c r="L24" s="67">
        <f t="shared" ref="L24:L59" si="5">SUM(F24,K24)</f>
        <v>5000</v>
      </c>
    </row>
    <row r="25" spans="1:12">
      <c r="A25" s="1" t="s">
        <v>2</v>
      </c>
      <c r="B25" s="6" t="s">
        <v>38</v>
      </c>
      <c r="C25" s="19">
        <v>0</v>
      </c>
      <c r="D25" s="43">
        <v>10126</v>
      </c>
      <c r="E25" s="20">
        <v>0</v>
      </c>
      <c r="F25" s="20">
        <f t="shared" si="3"/>
        <v>10126</v>
      </c>
      <c r="G25" s="19">
        <v>3000</v>
      </c>
      <c r="H25" s="19">
        <v>3000</v>
      </c>
      <c r="I25" s="19">
        <v>0</v>
      </c>
      <c r="J25" s="55">
        <v>0</v>
      </c>
      <c r="K25" s="67">
        <f t="shared" si="4"/>
        <v>6000</v>
      </c>
      <c r="L25" s="67">
        <f t="shared" si="5"/>
        <v>16126</v>
      </c>
    </row>
    <row r="26" spans="1:12">
      <c r="A26" s="1" t="s">
        <v>2</v>
      </c>
      <c r="B26" s="6" t="s">
        <v>39</v>
      </c>
      <c r="C26" s="19">
        <v>50000</v>
      </c>
      <c r="D26" s="43">
        <v>50000</v>
      </c>
      <c r="E26" s="20">
        <v>0</v>
      </c>
      <c r="F26" s="20">
        <f t="shared" si="3"/>
        <v>100000</v>
      </c>
      <c r="G26" s="19">
        <v>50000</v>
      </c>
      <c r="H26" s="19">
        <v>50000</v>
      </c>
      <c r="I26" s="19">
        <v>50000</v>
      </c>
      <c r="J26" s="55">
        <v>50000</v>
      </c>
      <c r="K26" s="67">
        <f t="shared" si="4"/>
        <v>200000</v>
      </c>
      <c r="L26" s="67">
        <f t="shared" si="5"/>
        <v>300000</v>
      </c>
    </row>
    <row r="27" spans="1:12">
      <c r="A27" s="1" t="s">
        <v>2</v>
      </c>
      <c r="B27" s="6" t="s">
        <v>40</v>
      </c>
      <c r="C27" s="19">
        <v>0</v>
      </c>
      <c r="D27" s="43">
        <v>0</v>
      </c>
      <c r="E27" s="20">
        <v>0</v>
      </c>
      <c r="F27" s="20">
        <f t="shared" si="3"/>
        <v>0</v>
      </c>
      <c r="G27" s="19">
        <v>0</v>
      </c>
      <c r="H27" s="19">
        <v>0</v>
      </c>
      <c r="I27" s="19">
        <v>0</v>
      </c>
      <c r="J27" s="55">
        <v>0</v>
      </c>
      <c r="K27" s="67">
        <f t="shared" si="4"/>
        <v>0</v>
      </c>
      <c r="L27" s="67">
        <f t="shared" si="5"/>
        <v>0</v>
      </c>
    </row>
    <row r="28" spans="1:12">
      <c r="A28" s="1" t="s">
        <v>2</v>
      </c>
      <c r="B28" s="6" t="s">
        <v>41</v>
      </c>
      <c r="C28" s="19">
        <v>0</v>
      </c>
      <c r="D28" s="43">
        <v>0</v>
      </c>
      <c r="E28" s="20">
        <v>61560</v>
      </c>
      <c r="F28" s="20">
        <f t="shared" si="3"/>
        <v>61560</v>
      </c>
      <c r="G28" s="19">
        <v>0</v>
      </c>
      <c r="H28" s="19">
        <v>0</v>
      </c>
      <c r="I28" s="19">
        <v>0</v>
      </c>
      <c r="J28" s="55">
        <v>0</v>
      </c>
      <c r="K28" s="67">
        <f t="shared" si="4"/>
        <v>0</v>
      </c>
      <c r="L28" s="67">
        <f t="shared" si="5"/>
        <v>61560</v>
      </c>
    </row>
    <row r="29" spans="1:12">
      <c r="A29" s="1" t="s">
        <v>2</v>
      </c>
      <c r="B29" s="6" t="s">
        <v>42</v>
      </c>
      <c r="C29" s="19">
        <v>0</v>
      </c>
      <c r="D29" s="43">
        <v>0</v>
      </c>
      <c r="E29" s="20">
        <v>3780</v>
      </c>
      <c r="F29" s="20">
        <f t="shared" si="3"/>
        <v>3780</v>
      </c>
      <c r="G29" s="19">
        <v>0</v>
      </c>
      <c r="H29" s="19">
        <v>0</v>
      </c>
      <c r="I29" s="19">
        <v>0</v>
      </c>
      <c r="J29" s="55">
        <v>0</v>
      </c>
      <c r="K29" s="67">
        <f t="shared" si="4"/>
        <v>0</v>
      </c>
      <c r="L29" s="67">
        <f t="shared" si="5"/>
        <v>3780</v>
      </c>
    </row>
    <row r="30" spans="1:12">
      <c r="A30" s="1" t="s">
        <v>2</v>
      </c>
      <c r="B30" s="6" t="s">
        <v>43</v>
      </c>
      <c r="C30" s="19">
        <v>0</v>
      </c>
      <c r="D30" s="43">
        <v>0</v>
      </c>
      <c r="E30" s="20">
        <v>0</v>
      </c>
      <c r="F30" s="20">
        <f t="shared" si="3"/>
        <v>0</v>
      </c>
      <c r="G30" s="19">
        <v>0</v>
      </c>
      <c r="H30" s="19">
        <v>13000</v>
      </c>
      <c r="I30" s="19">
        <v>0</v>
      </c>
      <c r="J30" s="55">
        <v>13000</v>
      </c>
      <c r="K30" s="67">
        <f t="shared" si="4"/>
        <v>26000</v>
      </c>
      <c r="L30" s="67">
        <f t="shared" si="5"/>
        <v>26000</v>
      </c>
    </row>
    <row r="31" spans="1:12">
      <c r="A31" s="1" t="s">
        <v>2</v>
      </c>
      <c r="B31" s="75" t="s">
        <v>44</v>
      </c>
      <c r="C31" s="76">
        <v>0</v>
      </c>
      <c r="D31" s="77">
        <v>0</v>
      </c>
      <c r="E31" s="78">
        <v>0</v>
      </c>
      <c r="F31" s="78">
        <f t="shared" si="3"/>
        <v>0</v>
      </c>
      <c r="G31" s="76">
        <v>-11244</v>
      </c>
      <c r="H31" s="76">
        <v>0</v>
      </c>
      <c r="I31" s="76">
        <v>-10526</v>
      </c>
      <c r="J31" s="79">
        <v>-11961</v>
      </c>
      <c r="K31" s="80">
        <f t="shared" si="4"/>
        <v>-33731</v>
      </c>
      <c r="L31" s="80">
        <f t="shared" si="5"/>
        <v>-33731</v>
      </c>
    </row>
    <row r="32" spans="1:12">
      <c r="A32" s="1" t="s">
        <v>2</v>
      </c>
      <c r="B32" s="6" t="s">
        <v>27</v>
      </c>
      <c r="C32" s="19">
        <v>0</v>
      </c>
      <c r="D32" s="43">
        <v>0</v>
      </c>
      <c r="E32" s="20">
        <v>0</v>
      </c>
      <c r="F32" s="20">
        <f t="shared" si="3"/>
        <v>0</v>
      </c>
      <c r="G32" s="19">
        <v>84432</v>
      </c>
      <c r="H32" s="19">
        <v>94700</v>
      </c>
      <c r="I32" s="19">
        <v>90530</v>
      </c>
      <c r="J32" s="55">
        <v>91679</v>
      </c>
      <c r="K32" s="67">
        <f t="shared" si="4"/>
        <v>361341</v>
      </c>
      <c r="L32" s="67">
        <f t="shared" si="5"/>
        <v>361341</v>
      </c>
    </row>
    <row r="33" spans="1:12">
      <c r="A33" s="1" t="s">
        <v>2</v>
      </c>
      <c r="B33" s="6" t="s">
        <v>45</v>
      </c>
      <c r="C33" s="19">
        <v>0</v>
      </c>
      <c r="D33" s="43">
        <v>0</v>
      </c>
      <c r="E33" s="20">
        <v>0</v>
      </c>
      <c r="F33" s="20">
        <f t="shared" si="3"/>
        <v>0</v>
      </c>
      <c r="G33" s="19">
        <v>0</v>
      </c>
      <c r="H33" s="19">
        <v>0</v>
      </c>
      <c r="I33" s="19">
        <v>12446</v>
      </c>
      <c r="J33" s="55">
        <v>12126</v>
      </c>
      <c r="K33" s="67">
        <f t="shared" si="4"/>
        <v>24572</v>
      </c>
      <c r="L33" s="67">
        <f t="shared" si="5"/>
        <v>24572</v>
      </c>
    </row>
    <row r="34" spans="1:12">
      <c r="A34" s="1" t="s">
        <v>2</v>
      </c>
      <c r="B34" s="6" t="s">
        <v>46</v>
      </c>
      <c r="C34" s="19">
        <v>0</v>
      </c>
      <c r="D34" s="43">
        <v>9208</v>
      </c>
      <c r="E34" s="20">
        <v>0</v>
      </c>
      <c r="F34" s="20">
        <f t="shared" si="3"/>
        <v>9208</v>
      </c>
      <c r="G34" s="19">
        <v>18990</v>
      </c>
      <c r="H34" s="19">
        <v>24540</v>
      </c>
      <c r="I34" s="19">
        <v>0</v>
      </c>
      <c r="J34" s="55">
        <v>0</v>
      </c>
      <c r="K34" s="67">
        <f t="shared" si="4"/>
        <v>43530</v>
      </c>
      <c r="L34" s="67">
        <f t="shared" si="5"/>
        <v>52738</v>
      </c>
    </row>
    <row r="35" spans="1:12">
      <c r="A35" s="1" t="s">
        <v>2</v>
      </c>
      <c r="B35" s="6" t="s">
        <v>47</v>
      </c>
      <c r="C35" s="19">
        <v>0</v>
      </c>
      <c r="D35" s="43">
        <v>0</v>
      </c>
      <c r="E35" s="20">
        <v>0</v>
      </c>
      <c r="F35" s="20">
        <f t="shared" si="3"/>
        <v>0</v>
      </c>
      <c r="G35" s="19">
        <v>0</v>
      </c>
      <c r="H35" s="19">
        <v>4240</v>
      </c>
      <c r="I35" s="19">
        <v>0</v>
      </c>
      <c r="J35" s="55">
        <v>0</v>
      </c>
      <c r="K35" s="67">
        <f t="shared" si="4"/>
        <v>4240</v>
      </c>
      <c r="L35" s="67">
        <f t="shared" si="5"/>
        <v>4240</v>
      </c>
    </row>
    <row r="36" spans="1:12">
      <c r="A36" s="1" t="s">
        <v>2</v>
      </c>
      <c r="B36" s="6" t="s">
        <v>48</v>
      </c>
      <c r="C36" s="19">
        <v>0</v>
      </c>
      <c r="D36" s="43">
        <v>0</v>
      </c>
      <c r="E36" s="20">
        <v>0</v>
      </c>
      <c r="F36" s="20">
        <f t="shared" si="3"/>
        <v>0</v>
      </c>
      <c r="G36" s="19">
        <v>0</v>
      </c>
      <c r="H36" s="19">
        <v>0</v>
      </c>
      <c r="I36" s="19">
        <v>0</v>
      </c>
      <c r="J36" s="55">
        <v>0</v>
      </c>
      <c r="K36" s="67">
        <f t="shared" si="4"/>
        <v>0</v>
      </c>
      <c r="L36" s="67">
        <f t="shared" si="5"/>
        <v>0</v>
      </c>
    </row>
    <row r="37" spans="1:12">
      <c r="A37" s="1" t="s">
        <v>2</v>
      </c>
      <c r="B37" s="75" t="s">
        <v>49</v>
      </c>
      <c r="C37" s="76">
        <v>0</v>
      </c>
      <c r="D37" s="77">
        <v>0</v>
      </c>
      <c r="E37" s="78">
        <v>0</v>
      </c>
      <c r="F37" s="78">
        <f t="shared" si="3"/>
        <v>0</v>
      </c>
      <c r="G37" s="76">
        <v>11244</v>
      </c>
      <c r="H37" s="76">
        <v>0</v>
      </c>
      <c r="I37" s="76">
        <v>10526</v>
      </c>
      <c r="J37" s="79">
        <v>11961</v>
      </c>
      <c r="K37" s="80">
        <f t="shared" si="4"/>
        <v>33731</v>
      </c>
      <c r="L37" s="80">
        <f t="shared" si="5"/>
        <v>33731</v>
      </c>
    </row>
    <row r="38" spans="1:12">
      <c r="A38" s="1" t="s">
        <v>2</v>
      </c>
      <c r="B38" s="6" t="s">
        <v>32</v>
      </c>
      <c r="C38" s="19">
        <v>0</v>
      </c>
      <c r="D38" s="43">
        <v>0</v>
      </c>
      <c r="E38" s="20">
        <v>0</v>
      </c>
      <c r="F38" s="20">
        <f t="shared" si="3"/>
        <v>0</v>
      </c>
      <c r="G38" s="19">
        <v>0</v>
      </c>
      <c r="H38" s="19">
        <v>0</v>
      </c>
      <c r="I38" s="19">
        <v>0</v>
      </c>
      <c r="J38" s="55">
        <v>0</v>
      </c>
      <c r="K38" s="67">
        <f t="shared" si="4"/>
        <v>0</v>
      </c>
      <c r="L38" s="67">
        <f t="shared" si="5"/>
        <v>0</v>
      </c>
    </row>
    <row r="39" spans="1:12" ht="19.5" thickBot="1">
      <c r="A39" s="1" t="s">
        <v>2</v>
      </c>
      <c r="B39" s="23" t="s">
        <v>34</v>
      </c>
      <c r="C39" s="29">
        <v>2424</v>
      </c>
      <c r="D39" s="44">
        <v>0</v>
      </c>
      <c r="E39" s="30">
        <v>0</v>
      </c>
      <c r="F39" s="30">
        <f t="shared" si="3"/>
        <v>2424</v>
      </c>
      <c r="G39" s="29">
        <v>3168</v>
      </c>
      <c r="H39" s="29">
        <v>6443</v>
      </c>
      <c r="I39" s="29">
        <v>4606</v>
      </c>
      <c r="J39" s="56">
        <v>4862</v>
      </c>
      <c r="K39" s="68">
        <f t="shared" si="4"/>
        <v>19079</v>
      </c>
      <c r="L39" s="68">
        <f t="shared" si="5"/>
        <v>21503</v>
      </c>
    </row>
    <row r="40" spans="1:12" ht="19.5" thickBot="1">
      <c r="A40" s="1" t="s">
        <v>2</v>
      </c>
      <c r="B40" s="33" t="s">
        <v>50</v>
      </c>
      <c r="C40" s="34">
        <v>407424</v>
      </c>
      <c r="D40" s="45">
        <v>169334</v>
      </c>
      <c r="E40" s="35">
        <v>65340</v>
      </c>
      <c r="F40" s="35">
        <f t="shared" si="3"/>
        <v>642098</v>
      </c>
      <c r="G40" s="34">
        <v>341590</v>
      </c>
      <c r="H40" s="34">
        <v>382923</v>
      </c>
      <c r="I40" s="34">
        <v>327582</v>
      </c>
      <c r="J40" s="57">
        <v>358667</v>
      </c>
      <c r="K40" s="69">
        <f t="shared" si="4"/>
        <v>1410762</v>
      </c>
      <c r="L40" s="69">
        <f t="shared" si="5"/>
        <v>2052860</v>
      </c>
    </row>
    <row r="41" spans="1:12" ht="19.5" thickBot="1">
      <c r="A41" s="1" t="s">
        <v>2</v>
      </c>
      <c r="B41" s="5" t="s">
        <v>51</v>
      </c>
      <c r="C41" s="31">
        <v>10257</v>
      </c>
      <c r="D41" s="46">
        <v>6433</v>
      </c>
      <c r="E41" s="32">
        <v>0</v>
      </c>
      <c r="F41" s="32">
        <f t="shared" si="3"/>
        <v>16690</v>
      </c>
      <c r="G41" s="31">
        <v>5653</v>
      </c>
      <c r="H41" s="31">
        <v>1418</v>
      </c>
      <c r="I41" s="31">
        <v>14690</v>
      </c>
      <c r="J41" s="58">
        <v>0</v>
      </c>
      <c r="K41" s="70">
        <f t="shared" si="4"/>
        <v>21761</v>
      </c>
      <c r="L41" s="70">
        <f t="shared" si="5"/>
        <v>38451</v>
      </c>
    </row>
    <row r="42" spans="1:12" ht="19.5" thickBot="1">
      <c r="A42" s="1" t="s">
        <v>2</v>
      </c>
      <c r="B42" s="33" t="s">
        <v>52</v>
      </c>
      <c r="C42" s="34">
        <v>10257</v>
      </c>
      <c r="D42" s="45">
        <v>6433</v>
      </c>
      <c r="E42" s="35">
        <v>0</v>
      </c>
      <c r="F42" s="35">
        <f t="shared" si="3"/>
        <v>16690</v>
      </c>
      <c r="G42" s="34">
        <v>5653</v>
      </c>
      <c r="H42" s="34">
        <v>1418</v>
      </c>
      <c r="I42" s="34">
        <v>14690</v>
      </c>
      <c r="J42" s="57">
        <v>0</v>
      </c>
      <c r="K42" s="69">
        <f t="shared" si="4"/>
        <v>21761</v>
      </c>
      <c r="L42" s="69">
        <f t="shared" si="5"/>
        <v>38451</v>
      </c>
    </row>
    <row r="43" spans="1:12" ht="19.5" thickBot="1">
      <c r="A43" s="1" t="s">
        <v>2</v>
      </c>
      <c r="B43" s="33" t="s">
        <v>53</v>
      </c>
      <c r="C43" s="34">
        <v>417681</v>
      </c>
      <c r="D43" s="45">
        <v>175767</v>
      </c>
      <c r="E43" s="35">
        <v>65340</v>
      </c>
      <c r="F43" s="35">
        <f t="shared" si="3"/>
        <v>658788</v>
      </c>
      <c r="G43" s="34">
        <v>347243</v>
      </c>
      <c r="H43" s="34">
        <v>384341</v>
      </c>
      <c r="I43" s="34">
        <v>342272</v>
      </c>
      <c r="J43" s="57">
        <v>358667</v>
      </c>
      <c r="K43" s="69">
        <f t="shared" si="4"/>
        <v>1432523</v>
      </c>
      <c r="L43" s="69">
        <f t="shared" si="5"/>
        <v>2091311</v>
      </c>
    </row>
    <row r="44" spans="1:12">
      <c r="A44" s="1" t="s">
        <v>2</v>
      </c>
      <c r="B44" s="5" t="s">
        <v>54</v>
      </c>
      <c r="C44" s="31">
        <v>20910</v>
      </c>
      <c r="D44" s="46">
        <v>0</v>
      </c>
      <c r="E44" s="32">
        <v>0</v>
      </c>
      <c r="F44" s="32">
        <f t="shared" si="3"/>
        <v>20910</v>
      </c>
      <c r="G44" s="31">
        <v>18360</v>
      </c>
      <c r="H44" s="31">
        <v>19380</v>
      </c>
      <c r="I44" s="31">
        <v>16320</v>
      </c>
      <c r="J44" s="58">
        <v>16320</v>
      </c>
      <c r="K44" s="70">
        <f t="shared" si="4"/>
        <v>70380</v>
      </c>
      <c r="L44" s="70">
        <f t="shared" si="5"/>
        <v>91290</v>
      </c>
    </row>
    <row r="45" spans="1:12">
      <c r="A45" s="1" t="s">
        <v>2</v>
      </c>
      <c r="B45" s="6" t="s">
        <v>55</v>
      </c>
      <c r="C45" s="19">
        <v>3690</v>
      </c>
      <c r="D45" s="43">
        <v>0</v>
      </c>
      <c r="E45" s="20">
        <v>0</v>
      </c>
      <c r="F45" s="20">
        <f t="shared" si="3"/>
        <v>3690</v>
      </c>
      <c r="G45" s="19">
        <v>3240</v>
      </c>
      <c r="H45" s="19">
        <v>3420</v>
      </c>
      <c r="I45" s="19">
        <v>2880</v>
      </c>
      <c r="J45" s="55">
        <v>2880</v>
      </c>
      <c r="K45" s="67">
        <f t="shared" si="4"/>
        <v>12420</v>
      </c>
      <c r="L45" s="67">
        <f t="shared" si="5"/>
        <v>16110</v>
      </c>
    </row>
    <row r="46" spans="1:12">
      <c r="A46" s="1" t="s">
        <v>2</v>
      </c>
      <c r="B46" s="6" t="s">
        <v>56</v>
      </c>
      <c r="C46" s="19">
        <v>37515</v>
      </c>
      <c r="D46" s="43">
        <v>0</v>
      </c>
      <c r="E46" s="20">
        <v>0</v>
      </c>
      <c r="F46" s="20">
        <f t="shared" si="3"/>
        <v>37515</v>
      </c>
      <c r="G46" s="19">
        <v>32940</v>
      </c>
      <c r="H46" s="19">
        <v>34770</v>
      </c>
      <c r="I46" s="19">
        <v>29280</v>
      </c>
      <c r="J46" s="55">
        <v>29280</v>
      </c>
      <c r="K46" s="67">
        <f t="shared" si="4"/>
        <v>126270</v>
      </c>
      <c r="L46" s="67">
        <f t="shared" si="5"/>
        <v>163785</v>
      </c>
    </row>
    <row r="47" spans="1:12">
      <c r="A47" s="1" t="s">
        <v>2</v>
      </c>
      <c r="B47" s="6" t="s">
        <v>57</v>
      </c>
      <c r="C47" s="19">
        <v>1253</v>
      </c>
      <c r="D47" s="43">
        <v>527</v>
      </c>
      <c r="E47" s="20">
        <v>0</v>
      </c>
      <c r="F47" s="20">
        <f t="shared" si="3"/>
        <v>1780</v>
      </c>
      <c r="G47" s="19">
        <v>1042</v>
      </c>
      <c r="H47" s="19">
        <v>1153</v>
      </c>
      <c r="I47" s="19">
        <v>1027</v>
      </c>
      <c r="J47" s="55">
        <v>1076</v>
      </c>
      <c r="K47" s="67">
        <f t="shared" si="4"/>
        <v>4298</v>
      </c>
      <c r="L47" s="67">
        <f t="shared" si="5"/>
        <v>6078</v>
      </c>
    </row>
    <row r="48" spans="1:12" ht="19.5" thickBot="1">
      <c r="A48" s="1" t="s">
        <v>2</v>
      </c>
      <c r="B48" s="23" t="s">
        <v>58</v>
      </c>
      <c r="C48" s="29">
        <v>0</v>
      </c>
      <c r="D48" s="44">
        <v>0</v>
      </c>
      <c r="E48" s="30">
        <v>0</v>
      </c>
      <c r="F48" s="30">
        <f t="shared" si="3"/>
        <v>0</v>
      </c>
      <c r="G48" s="29">
        <v>0</v>
      </c>
      <c r="H48" s="29">
        <v>0</v>
      </c>
      <c r="I48" s="29">
        <v>0</v>
      </c>
      <c r="J48" s="56">
        <v>0</v>
      </c>
      <c r="K48" s="68">
        <f t="shared" si="4"/>
        <v>0</v>
      </c>
      <c r="L48" s="68">
        <f t="shared" si="5"/>
        <v>0</v>
      </c>
    </row>
    <row r="49" spans="1:12" ht="19.5" thickBot="1">
      <c r="A49" s="1" t="s">
        <v>2</v>
      </c>
      <c r="B49" s="33" t="s">
        <v>59</v>
      </c>
      <c r="C49" s="34">
        <v>63368</v>
      </c>
      <c r="D49" s="45">
        <v>527</v>
      </c>
      <c r="E49" s="35">
        <v>0</v>
      </c>
      <c r="F49" s="35">
        <f t="shared" si="3"/>
        <v>63895</v>
      </c>
      <c r="G49" s="34">
        <v>55582</v>
      </c>
      <c r="H49" s="34">
        <v>58723</v>
      </c>
      <c r="I49" s="34">
        <v>49507</v>
      </c>
      <c r="J49" s="57">
        <v>49556</v>
      </c>
      <c r="K49" s="69">
        <f t="shared" si="4"/>
        <v>213368</v>
      </c>
      <c r="L49" s="69">
        <f t="shared" si="5"/>
        <v>277263</v>
      </c>
    </row>
    <row r="50" spans="1:12">
      <c r="A50" s="1" t="s">
        <v>2</v>
      </c>
      <c r="B50" s="5" t="s">
        <v>60</v>
      </c>
      <c r="C50" s="31">
        <v>8750</v>
      </c>
      <c r="D50" s="46">
        <v>2030</v>
      </c>
      <c r="E50" s="32">
        <v>0</v>
      </c>
      <c r="F50" s="32">
        <f t="shared" si="3"/>
        <v>10780</v>
      </c>
      <c r="G50" s="31">
        <v>7840</v>
      </c>
      <c r="H50" s="31">
        <v>10360</v>
      </c>
      <c r="I50" s="31">
        <v>7550</v>
      </c>
      <c r="J50" s="58">
        <v>5480</v>
      </c>
      <c r="K50" s="70">
        <f t="shared" si="4"/>
        <v>31230</v>
      </c>
      <c r="L50" s="70">
        <f t="shared" si="5"/>
        <v>42010</v>
      </c>
    </row>
    <row r="51" spans="1:12">
      <c r="A51" s="1" t="s">
        <v>2</v>
      </c>
      <c r="B51" s="6" t="s">
        <v>61</v>
      </c>
      <c r="C51" s="19">
        <v>0</v>
      </c>
      <c r="D51" s="43">
        <v>0</v>
      </c>
      <c r="E51" s="20">
        <v>0</v>
      </c>
      <c r="F51" s="20">
        <f t="shared" si="3"/>
        <v>0</v>
      </c>
      <c r="G51" s="19">
        <v>0</v>
      </c>
      <c r="H51" s="19">
        <v>0</v>
      </c>
      <c r="I51" s="19">
        <v>0</v>
      </c>
      <c r="J51" s="55">
        <v>0</v>
      </c>
      <c r="K51" s="67">
        <f t="shared" si="4"/>
        <v>0</v>
      </c>
      <c r="L51" s="67">
        <f t="shared" si="5"/>
        <v>0</v>
      </c>
    </row>
    <row r="52" spans="1:12">
      <c r="A52" s="1" t="s">
        <v>2</v>
      </c>
      <c r="B52" s="6" t="s">
        <v>62</v>
      </c>
      <c r="C52" s="19">
        <v>16300</v>
      </c>
      <c r="D52" s="43">
        <v>12900</v>
      </c>
      <c r="E52" s="20">
        <v>0</v>
      </c>
      <c r="F52" s="20">
        <f t="shared" si="3"/>
        <v>29200</v>
      </c>
      <c r="G52" s="19">
        <v>14800</v>
      </c>
      <c r="H52" s="19">
        <v>17000</v>
      </c>
      <c r="I52" s="19">
        <v>12100</v>
      </c>
      <c r="J52" s="55">
        <v>5000</v>
      </c>
      <c r="K52" s="67">
        <f t="shared" si="4"/>
        <v>48900</v>
      </c>
      <c r="L52" s="67">
        <f t="shared" si="5"/>
        <v>78100</v>
      </c>
    </row>
    <row r="53" spans="1:12">
      <c r="A53" s="1" t="s">
        <v>2</v>
      </c>
      <c r="B53" s="6" t="s">
        <v>63</v>
      </c>
      <c r="C53" s="19">
        <v>0</v>
      </c>
      <c r="D53" s="43">
        <v>0</v>
      </c>
      <c r="E53" s="20">
        <v>0</v>
      </c>
      <c r="F53" s="20">
        <f t="shared" si="3"/>
        <v>0</v>
      </c>
      <c r="G53" s="19">
        <v>0</v>
      </c>
      <c r="H53" s="19">
        <v>0</v>
      </c>
      <c r="I53" s="19">
        <v>0</v>
      </c>
      <c r="J53" s="55">
        <v>0</v>
      </c>
      <c r="K53" s="67">
        <f t="shared" si="4"/>
        <v>0</v>
      </c>
      <c r="L53" s="67">
        <f t="shared" si="5"/>
        <v>0</v>
      </c>
    </row>
    <row r="54" spans="1:12" ht="19.5" thickBot="1">
      <c r="A54" s="1" t="s">
        <v>2</v>
      </c>
      <c r="B54" s="6" t="s">
        <v>64</v>
      </c>
      <c r="C54" s="19">
        <v>0</v>
      </c>
      <c r="D54" s="43">
        <v>0</v>
      </c>
      <c r="E54" s="20">
        <v>0</v>
      </c>
      <c r="F54" s="20">
        <f t="shared" si="3"/>
        <v>0</v>
      </c>
      <c r="G54" s="19">
        <v>0</v>
      </c>
      <c r="H54" s="19">
        <v>0</v>
      </c>
      <c r="I54" s="19">
        <v>0</v>
      </c>
      <c r="J54" s="55">
        <v>0</v>
      </c>
      <c r="K54" s="67">
        <f t="shared" si="4"/>
        <v>0</v>
      </c>
      <c r="L54" s="67">
        <f t="shared" si="5"/>
        <v>0</v>
      </c>
    </row>
    <row r="55" spans="1:12" ht="19.5" thickBot="1">
      <c r="A55" s="1" t="s">
        <v>2</v>
      </c>
      <c r="B55" s="33" t="s">
        <v>65</v>
      </c>
      <c r="C55" s="34">
        <v>88418</v>
      </c>
      <c r="D55" s="45">
        <v>15457</v>
      </c>
      <c r="E55" s="35">
        <v>0</v>
      </c>
      <c r="F55" s="35">
        <f t="shared" si="3"/>
        <v>103875</v>
      </c>
      <c r="G55" s="34">
        <v>78222</v>
      </c>
      <c r="H55" s="34">
        <v>86083</v>
      </c>
      <c r="I55" s="34">
        <v>69157</v>
      </c>
      <c r="J55" s="57">
        <v>60036</v>
      </c>
      <c r="K55" s="69">
        <f t="shared" si="4"/>
        <v>293498</v>
      </c>
      <c r="L55" s="69">
        <f t="shared" si="5"/>
        <v>397373</v>
      </c>
    </row>
    <row r="56" spans="1:12" ht="19.5" thickBot="1">
      <c r="A56" s="1" t="s">
        <v>2</v>
      </c>
      <c r="B56" s="33" t="s">
        <v>66</v>
      </c>
      <c r="C56" s="34">
        <v>344056</v>
      </c>
      <c r="D56" s="45">
        <v>168807</v>
      </c>
      <c r="E56" s="35">
        <v>65340</v>
      </c>
      <c r="F56" s="35">
        <f t="shared" si="3"/>
        <v>578203</v>
      </c>
      <c r="G56" s="34">
        <v>286008</v>
      </c>
      <c r="H56" s="34">
        <v>324200</v>
      </c>
      <c r="I56" s="34">
        <v>278075</v>
      </c>
      <c r="J56" s="57">
        <v>309111</v>
      </c>
      <c r="K56" s="69">
        <f t="shared" si="4"/>
        <v>1197394</v>
      </c>
      <c r="L56" s="69">
        <f t="shared" si="5"/>
        <v>1775597</v>
      </c>
    </row>
    <row r="57" spans="1:12" ht="19.5" thickBot="1">
      <c r="A57" s="1" t="s">
        <v>2</v>
      </c>
      <c r="B57" s="33" t="s">
        <v>67</v>
      </c>
      <c r="C57" s="34">
        <v>329263</v>
      </c>
      <c r="D57" s="45">
        <v>160310</v>
      </c>
      <c r="E57" s="35">
        <v>65340</v>
      </c>
      <c r="F57" s="35">
        <f t="shared" si="3"/>
        <v>554913</v>
      </c>
      <c r="G57" s="34">
        <v>269021</v>
      </c>
      <c r="H57" s="34">
        <v>298258</v>
      </c>
      <c r="I57" s="34">
        <v>273115</v>
      </c>
      <c r="J57" s="57">
        <v>298631</v>
      </c>
      <c r="K57" s="69">
        <f t="shared" si="4"/>
        <v>1139025</v>
      </c>
      <c r="L57" s="69">
        <f t="shared" si="5"/>
        <v>1693938</v>
      </c>
    </row>
    <row r="58" spans="1:12">
      <c r="A58" s="1" t="s">
        <v>2</v>
      </c>
      <c r="B58" s="5" t="s">
        <v>68</v>
      </c>
      <c r="C58" s="31">
        <v>0</v>
      </c>
      <c r="D58" s="46">
        <v>0</v>
      </c>
      <c r="E58" s="32">
        <v>0</v>
      </c>
      <c r="F58" s="32">
        <f t="shared" si="3"/>
        <v>0</v>
      </c>
      <c r="G58" s="31">
        <v>0</v>
      </c>
      <c r="H58" s="31">
        <v>0</v>
      </c>
      <c r="I58" s="31">
        <v>0</v>
      </c>
      <c r="J58" s="58">
        <v>0</v>
      </c>
      <c r="K58" s="70">
        <f t="shared" si="4"/>
        <v>0</v>
      </c>
      <c r="L58" s="70">
        <f t="shared" si="5"/>
        <v>0</v>
      </c>
    </row>
    <row r="59" spans="1:12">
      <c r="A59" s="1" t="s">
        <v>2</v>
      </c>
      <c r="B59" s="6" t="s">
        <v>69</v>
      </c>
      <c r="C59" s="19">
        <v>329263</v>
      </c>
      <c r="D59" s="43">
        <v>160310</v>
      </c>
      <c r="E59" s="20">
        <v>65340</v>
      </c>
      <c r="F59" s="20">
        <f t="shared" si="3"/>
        <v>554913</v>
      </c>
      <c r="G59" s="19">
        <v>269021</v>
      </c>
      <c r="H59" s="19">
        <v>298258</v>
      </c>
      <c r="I59" s="19">
        <v>273115</v>
      </c>
      <c r="J59" s="55">
        <v>298631</v>
      </c>
      <c r="K59" s="67">
        <f t="shared" si="4"/>
        <v>1139025</v>
      </c>
      <c r="L59" s="67">
        <f t="shared" si="5"/>
        <v>1693938</v>
      </c>
    </row>
    <row r="60" spans="1:12">
      <c r="A60" s="1" t="s">
        <v>2</v>
      </c>
      <c r="B60" s="6" t="s">
        <v>70</v>
      </c>
      <c r="C60" s="19">
        <v>1</v>
      </c>
      <c r="D60" s="43">
        <v>1</v>
      </c>
      <c r="E60" s="20">
        <v>0</v>
      </c>
      <c r="F60" s="20"/>
      <c r="G60" s="19">
        <v>0</v>
      </c>
      <c r="H60" s="19">
        <v>0</v>
      </c>
      <c r="I60" s="19">
        <v>0</v>
      </c>
      <c r="J60" s="55">
        <v>2</v>
      </c>
      <c r="K60" s="67"/>
      <c r="L60" s="67"/>
    </row>
    <row r="61" spans="1:12" ht="19.5" thickBot="1">
      <c r="A61" s="1" t="s">
        <v>2</v>
      </c>
      <c r="B61" s="7" t="s">
        <v>71</v>
      </c>
      <c r="C61" s="21" t="s">
        <v>72</v>
      </c>
      <c r="D61" s="47" t="s">
        <v>72</v>
      </c>
      <c r="E61" s="22" t="s">
        <v>72</v>
      </c>
      <c r="F61" s="22"/>
      <c r="G61" s="21" t="s">
        <v>72</v>
      </c>
      <c r="H61" s="21" t="s">
        <v>72</v>
      </c>
      <c r="I61" s="21" t="s">
        <v>72</v>
      </c>
      <c r="J61" s="59" t="s">
        <v>72</v>
      </c>
      <c r="K61" s="71"/>
      <c r="L61" s="71"/>
    </row>
  </sheetData>
  <phoneticPr fontId="3"/>
  <pageMargins left="0.31496062992125984" right="0.31496062992125984" top="0.35433070866141736" bottom="0.35433070866141736" header="0.31496062992125984" footer="0.31496062992125984"/>
  <pageSetup paperSize="9" scale="47" orientation="landscape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2021年 7月度給与 (2)</vt:lpstr>
      <vt:lpstr>2021年 7月度給与 (助成金)</vt:lpstr>
      <vt:lpstr>'2021年 7月度給与 (2)'!Print_Area</vt:lpstr>
      <vt:lpstr>'2021年 7月度給与 (助成金)'!Print_Area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2021-08-10T05:23:41Z</cp:lastPrinted>
  <dcterms:created xsi:type="dcterms:W3CDTF">2021-08-10T01:52:51Z</dcterms:created>
  <dcterms:modified xsi:type="dcterms:W3CDTF">2021-09-13T08:04:20Z</dcterms:modified>
</cp:coreProperties>
</file>