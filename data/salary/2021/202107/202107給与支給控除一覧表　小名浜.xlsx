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7\"/>
    </mc:Choice>
  </mc:AlternateContent>
  <xr:revisionPtr revIDLastSave="0" documentId="13_ncr:1_{F9AE87A8-27D3-4663-A26E-CB875723CC40}" xr6:coauthVersionLast="47" xr6:coauthVersionMax="47" xr10:uidLastSave="{00000000-0000-0000-0000-000000000000}"/>
  <bookViews>
    <workbookView xWindow="-120" yWindow="-120" windowWidth="20730" windowHeight="11160" activeTab="2" xr2:uid="{2A3F6C81-269C-429D-A131-D20C6737842A}"/>
  </bookViews>
  <sheets>
    <sheet name="2021年 7月度給与 (3)" sheetId="4" r:id="rId1"/>
    <sheet name="2021年 7月度給与 (4)" sheetId="5" r:id="rId2"/>
    <sheet name="2021年 7月度給与 (5)" sheetId="6" r:id="rId3"/>
  </sheets>
  <definedNames>
    <definedName name="_xlnm.Print_Area" localSheetId="1">'2021年 7月度給与 (4)'!$A$1:$T$64</definedName>
    <definedName name="_xlnm.Print_Area" localSheetId="2">'2021年 7月度給与 (5)'!$A$1:$O$64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2" i="6" l="1"/>
  <c r="L62" i="6"/>
  <c r="N61" i="6"/>
  <c r="L61" i="6"/>
  <c r="N60" i="6"/>
  <c r="L60" i="6"/>
  <c r="N59" i="6"/>
  <c r="L59" i="6"/>
  <c r="N58" i="6"/>
  <c r="L58" i="6"/>
  <c r="N57" i="6"/>
  <c r="L57" i="6"/>
  <c r="N56" i="6"/>
  <c r="L56" i="6"/>
  <c r="N55" i="6"/>
  <c r="L55" i="6"/>
  <c r="N54" i="6"/>
  <c r="L54" i="6"/>
  <c r="N53" i="6"/>
  <c r="L53" i="6"/>
  <c r="N52" i="6"/>
  <c r="L52" i="6"/>
  <c r="N51" i="6"/>
  <c r="L51" i="6"/>
  <c r="N50" i="6"/>
  <c r="L50" i="6"/>
  <c r="N49" i="6"/>
  <c r="L49" i="6"/>
  <c r="N48" i="6"/>
  <c r="L48" i="6"/>
  <c r="N47" i="6"/>
  <c r="L47" i="6"/>
  <c r="N46" i="6"/>
  <c r="L46" i="6"/>
  <c r="N45" i="6"/>
  <c r="L45" i="6"/>
  <c r="N44" i="6"/>
  <c r="L44" i="6"/>
  <c r="N43" i="6"/>
  <c r="L43" i="6"/>
  <c r="N42" i="6"/>
  <c r="L42" i="6"/>
  <c r="N41" i="6"/>
  <c r="L41" i="6"/>
  <c r="N40" i="6"/>
  <c r="L40" i="6"/>
  <c r="N39" i="6"/>
  <c r="L39" i="6"/>
  <c r="N38" i="6"/>
  <c r="L38" i="6"/>
  <c r="N37" i="6"/>
  <c r="L37" i="6"/>
  <c r="N36" i="6"/>
  <c r="L36" i="6"/>
  <c r="N35" i="6"/>
  <c r="L35" i="6"/>
  <c r="N34" i="6"/>
  <c r="L34" i="6"/>
  <c r="N33" i="6"/>
  <c r="L33" i="6"/>
  <c r="N32" i="6"/>
  <c r="L32" i="6"/>
  <c r="N31" i="6"/>
  <c r="L31" i="6"/>
  <c r="N30" i="6"/>
  <c r="L30" i="6"/>
  <c r="N29" i="6"/>
  <c r="L29" i="6"/>
  <c r="N28" i="6"/>
  <c r="L28" i="6"/>
  <c r="N27" i="6"/>
  <c r="L27" i="6"/>
  <c r="N26" i="6"/>
  <c r="L26" i="6"/>
  <c r="N25" i="6"/>
  <c r="L25" i="6"/>
  <c r="N24" i="6"/>
  <c r="L24" i="6"/>
  <c r="N23" i="6"/>
  <c r="L23" i="6"/>
  <c r="N22" i="6"/>
  <c r="L22" i="6"/>
  <c r="N21" i="6"/>
  <c r="L21" i="6"/>
  <c r="N20" i="6"/>
  <c r="L20" i="6"/>
  <c r="N19" i="6"/>
  <c r="L19" i="6"/>
  <c r="N18" i="6"/>
  <c r="L18" i="6"/>
  <c r="N17" i="6"/>
  <c r="L17" i="6"/>
  <c r="N16" i="6"/>
  <c r="L16" i="6"/>
  <c r="N15" i="6"/>
  <c r="L15" i="6"/>
  <c r="N14" i="6"/>
  <c r="L14" i="6"/>
  <c r="N13" i="6"/>
  <c r="L13" i="6"/>
  <c r="N12" i="6"/>
  <c r="L12" i="6"/>
  <c r="N11" i="6"/>
  <c r="L11" i="6"/>
  <c r="N10" i="6"/>
  <c r="L10" i="6"/>
  <c r="N9" i="6"/>
  <c r="L9" i="6"/>
  <c r="N8" i="6"/>
  <c r="L8" i="6"/>
  <c r="N7" i="6"/>
  <c r="L7" i="6"/>
  <c r="N6" i="6"/>
  <c r="L6" i="6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AF62" i="4"/>
  <c r="AD62" i="4"/>
  <c r="T62" i="4"/>
  <c r="AF61" i="4"/>
  <c r="AD61" i="4"/>
  <c r="T61" i="4"/>
  <c r="AF60" i="4"/>
  <c r="AD60" i="4"/>
  <c r="T60" i="4"/>
  <c r="AF59" i="4"/>
  <c r="AD59" i="4"/>
  <c r="T59" i="4"/>
  <c r="AG59" i="4" s="1"/>
  <c r="AF58" i="4"/>
  <c r="AD58" i="4"/>
  <c r="T58" i="4"/>
  <c r="AF57" i="4"/>
  <c r="AD57" i="4"/>
  <c r="T57" i="4"/>
  <c r="AF56" i="4"/>
  <c r="AD56" i="4"/>
  <c r="T56" i="4"/>
  <c r="AF55" i="4"/>
  <c r="AD55" i="4"/>
  <c r="T55" i="4"/>
  <c r="AG55" i="4" s="1"/>
  <c r="AF54" i="4"/>
  <c r="AD54" i="4"/>
  <c r="T54" i="4"/>
  <c r="AF53" i="4"/>
  <c r="AD53" i="4"/>
  <c r="T53" i="4"/>
  <c r="AF52" i="4"/>
  <c r="AD52" i="4"/>
  <c r="T52" i="4"/>
  <c r="AF51" i="4"/>
  <c r="AD51" i="4"/>
  <c r="T51" i="4"/>
  <c r="AG51" i="4" s="1"/>
  <c r="AF50" i="4"/>
  <c r="AD50" i="4"/>
  <c r="T50" i="4"/>
  <c r="AF49" i="4"/>
  <c r="AD49" i="4"/>
  <c r="T49" i="4"/>
  <c r="AF48" i="4"/>
  <c r="AD48" i="4"/>
  <c r="T48" i="4"/>
  <c r="AF47" i="4"/>
  <c r="AD47" i="4"/>
  <c r="T47" i="4"/>
  <c r="AG47" i="4" s="1"/>
  <c r="AF46" i="4"/>
  <c r="AD46" i="4"/>
  <c r="T46" i="4"/>
  <c r="AF45" i="4"/>
  <c r="AD45" i="4"/>
  <c r="T45" i="4"/>
  <c r="AF44" i="4"/>
  <c r="AD44" i="4"/>
  <c r="T44" i="4"/>
  <c r="AF43" i="4"/>
  <c r="AD43" i="4"/>
  <c r="T43" i="4"/>
  <c r="AG43" i="4" s="1"/>
  <c r="AF42" i="4"/>
  <c r="AD42" i="4"/>
  <c r="T42" i="4"/>
  <c r="AF41" i="4"/>
  <c r="AD41" i="4"/>
  <c r="T41" i="4"/>
  <c r="AF40" i="4"/>
  <c r="AD40" i="4"/>
  <c r="T40" i="4"/>
  <c r="AF39" i="4"/>
  <c r="AD39" i="4"/>
  <c r="T39" i="4"/>
  <c r="AG39" i="4" s="1"/>
  <c r="AF38" i="4"/>
  <c r="AD38" i="4"/>
  <c r="T38" i="4"/>
  <c r="AF37" i="4"/>
  <c r="AD37" i="4"/>
  <c r="T37" i="4"/>
  <c r="AF36" i="4"/>
  <c r="AD36" i="4"/>
  <c r="T36" i="4"/>
  <c r="AF35" i="4"/>
  <c r="AD35" i="4"/>
  <c r="T35" i="4"/>
  <c r="AF34" i="4"/>
  <c r="AD34" i="4"/>
  <c r="T34" i="4"/>
  <c r="AF33" i="4"/>
  <c r="AD33" i="4"/>
  <c r="T33" i="4"/>
  <c r="AF32" i="4"/>
  <c r="AD32" i="4"/>
  <c r="T32" i="4"/>
  <c r="AF31" i="4"/>
  <c r="AD31" i="4"/>
  <c r="T31" i="4"/>
  <c r="AF30" i="4"/>
  <c r="AD30" i="4"/>
  <c r="T30" i="4"/>
  <c r="AF29" i="4"/>
  <c r="AD29" i="4"/>
  <c r="T29" i="4"/>
  <c r="AF28" i="4"/>
  <c r="AD28" i="4"/>
  <c r="T28" i="4"/>
  <c r="AF27" i="4"/>
  <c r="AD27" i="4"/>
  <c r="T27" i="4"/>
  <c r="AF26" i="4"/>
  <c r="AD26" i="4"/>
  <c r="T26" i="4"/>
  <c r="AF25" i="4"/>
  <c r="AD25" i="4"/>
  <c r="T25" i="4"/>
  <c r="AF24" i="4"/>
  <c r="AD24" i="4"/>
  <c r="T24" i="4"/>
  <c r="AF23" i="4"/>
  <c r="AD23" i="4"/>
  <c r="T23" i="4"/>
  <c r="AF22" i="4"/>
  <c r="AD22" i="4"/>
  <c r="T22" i="4"/>
  <c r="AF21" i="4"/>
  <c r="AD21" i="4"/>
  <c r="T21" i="4"/>
  <c r="AF20" i="4"/>
  <c r="AD20" i="4"/>
  <c r="T20" i="4"/>
  <c r="AF19" i="4"/>
  <c r="AD19" i="4"/>
  <c r="T19" i="4"/>
  <c r="AF18" i="4"/>
  <c r="AD18" i="4"/>
  <c r="T18" i="4"/>
  <c r="AF17" i="4"/>
  <c r="AD17" i="4"/>
  <c r="T17" i="4"/>
  <c r="AF16" i="4"/>
  <c r="AD16" i="4"/>
  <c r="T16" i="4"/>
  <c r="AF15" i="4"/>
  <c r="AD15" i="4"/>
  <c r="T15" i="4"/>
  <c r="AF14" i="4"/>
  <c r="AD14" i="4"/>
  <c r="T14" i="4"/>
  <c r="AF13" i="4"/>
  <c r="AD13" i="4"/>
  <c r="T13" i="4"/>
  <c r="AF12" i="4"/>
  <c r="AD12" i="4"/>
  <c r="T12" i="4"/>
  <c r="AF11" i="4"/>
  <c r="AD11" i="4"/>
  <c r="T11" i="4"/>
  <c r="AF10" i="4"/>
  <c r="AD10" i="4"/>
  <c r="T10" i="4"/>
  <c r="AF9" i="4"/>
  <c r="AD9" i="4"/>
  <c r="T9" i="4"/>
  <c r="AF8" i="4"/>
  <c r="AD8" i="4"/>
  <c r="T8" i="4"/>
  <c r="AF7" i="4"/>
  <c r="AD7" i="4"/>
  <c r="T7" i="4"/>
  <c r="AF6" i="4"/>
  <c r="AD6" i="4"/>
  <c r="T6" i="4"/>
  <c r="AG27" i="4" l="1"/>
  <c r="AG30" i="4"/>
  <c r="AG31" i="4"/>
  <c r="AG37" i="4"/>
  <c r="AG8" i="4"/>
  <c r="AG12" i="4"/>
  <c r="AG16" i="4"/>
  <c r="AG20" i="4"/>
  <c r="AG24" i="4"/>
  <c r="AG6" i="4"/>
  <c r="AG10" i="4"/>
  <c r="AG14" i="4"/>
  <c r="AG18" i="4"/>
  <c r="AG22" i="4"/>
  <c r="AG26" i="4"/>
  <c r="AG7" i="4"/>
  <c r="AG11" i="4"/>
  <c r="AG15" i="4"/>
  <c r="AG19" i="4"/>
  <c r="AG23" i="4"/>
  <c r="AG33" i="4"/>
  <c r="AG36" i="4"/>
  <c r="AG42" i="4"/>
  <c r="AG46" i="4"/>
  <c r="AG50" i="4"/>
  <c r="AG54" i="4"/>
  <c r="AG58" i="4"/>
  <c r="AG62" i="4"/>
  <c r="AG29" i="4"/>
  <c r="AG32" i="4"/>
  <c r="AG41" i="4"/>
  <c r="AG45" i="4"/>
  <c r="AG49" i="4"/>
  <c r="AG53" i="4"/>
  <c r="AG57" i="4"/>
  <c r="AG61" i="4"/>
  <c r="AG9" i="4"/>
  <c r="AG13" i="4"/>
  <c r="AG17" i="4"/>
  <c r="AG21" i="4"/>
  <c r="AG25" i="4"/>
  <c r="AG28" i="4"/>
  <c r="AG34" i="4"/>
  <c r="AG35" i="4"/>
  <c r="AG38" i="4"/>
  <c r="AG40" i="4"/>
  <c r="AG44" i="4"/>
  <c r="AG48" i="4"/>
  <c r="AG52" i="4"/>
  <c r="AG56" i="4"/>
  <c r="AG60" i="4"/>
</calcChain>
</file>

<file path=xl/sharedStrings.xml><?xml version="1.0" encoding="utf-8"?>
<sst xmlns="http://schemas.openxmlformats.org/spreadsheetml/2006/main" count="544" uniqueCount="122">
  <si>
    <t>支給控除一覧表</t>
    <phoneticPr fontId="4"/>
  </si>
  <si>
    <t>若林運送株式会社</t>
    <phoneticPr fontId="4"/>
  </si>
  <si>
    <t/>
  </si>
  <si>
    <t>1006</t>
    <phoneticPr fontId="4"/>
  </si>
  <si>
    <t>1007</t>
    <phoneticPr fontId="4"/>
  </si>
  <si>
    <t>1009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</si>
  <si>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</si>
  <si>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</si>
  <si>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</si>
  <si>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</si>
  <si>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</si>
  <si>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</si>
  <si>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</si>
  <si>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</si>
  <si>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</si>
  <si>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</si>
  <si>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</si>
  <si>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</si>
  <si>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</si>
  <si>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</si>
  <si>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</si>
  <si>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</si>
  <si>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1096</t>
    <phoneticPr fontId="4"/>
  </si>
  <si>
    <t>1001</t>
    <phoneticPr fontId="4"/>
  </si>
  <si>
    <t>1002</t>
    <phoneticPr fontId="4"/>
  </si>
  <si>
    <t>1003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</si>
  <si>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</si>
  <si>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</si>
  <si>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</si>
  <si>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</si>
  <si>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項目名</t>
    <phoneticPr fontId="4"/>
  </si>
  <si>
    <t>小林　啓一</t>
    <phoneticPr fontId="4"/>
  </si>
  <si>
    <t>鈴木 富雄</t>
    <phoneticPr fontId="4"/>
  </si>
  <si>
    <t>小野　宏美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</si>
  <si>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</si>
  <si>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</si>
  <si>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</si>
  <si>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</si>
  <si>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</si>
  <si>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</si>
  <si>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</si>
  <si>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</si>
  <si>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</si>
  <si>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</si>
  <si>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</si>
  <si>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</si>
  <si>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</si>
  <si>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</si>
  <si>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</si>
  <si>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</si>
  <si>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皆川正勝</t>
    <phoneticPr fontId="4"/>
  </si>
  <si>
    <t>三澤秀雄</t>
    <phoneticPr fontId="4"/>
  </si>
  <si>
    <t>瀬野尾勉</t>
    <phoneticPr fontId="4"/>
  </si>
  <si>
    <t>鈴木重夫</t>
    <phoneticPr fontId="4"/>
  </si>
  <si>
    <t>渡辺敏男</t>
    <phoneticPr fontId="4"/>
  </si>
  <si>
    <t>蛭田　孝子</t>
    <phoneticPr fontId="4"/>
  </si>
  <si>
    <t>鈴木　紀子</t>
    <phoneticPr fontId="4"/>
  </si>
  <si>
    <t>佐原三夫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</si>
  <si>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</si>
  <si>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</si>
  <si>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</si>
  <si>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</si>
  <si>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</si>
  <si>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</si>
  <si>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</si>
  <si>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</si>
  <si>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</si>
  <si>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</si>
  <si>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</si>
  <si>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</si>
  <si>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</si>
  <si>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</si>
  <si>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</si>
  <si>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</si>
  <si>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遅刻早退時間</t>
    <phoneticPr fontId="4"/>
  </si>
  <si>
    <t>有給休暇時間</t>
    <phoneticPr fontId="4"/>
  </si>
  <si>
    <t>有休時間2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</si>
  <si>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</si>
  <si>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</si>
  <si>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</si>
  <si>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</si>
  <si>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</si>
  <si>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</si>
  <si>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</si>
  <si>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</si>
  <si>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</si>
  <si>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有給休暇</t>
    <phoneticPr fontId="4"/>
  </si>
  <si>
    <t>欠勤控除</t>
    <phoneticPr fontId="4"/>
  </si>
  <si>
    <t>法定休日残業</t>
    <phoneticPr fontId="4"/>
  </si>
  <si>
    <t>法定外休日残</t>
    <phoneticPr fontId="4"/>
  </si>
  <si>
    <t>休業手当</t>
    <phoneticPr fontId="4"/>
  </si>
  <si>
    <t>課税支給合計</t>
    <phoneticPr fontId="4"/>
  </si>
  <si>
    <t>非課税通勤費</t>
    <phoneticPr fontId="4"/>
  </si>
  <si>
    <t>休業見舞金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</si>
  <si>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</si>
  <si>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</si>
  <si>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</si>
  <si>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</si>
  <si>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</si>
  <si>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</si>
  <si>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</si>
  <si>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</si>
  <si>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</si>
  <si>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</si>
  <si>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</si>
  <si>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</si>
  <si>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税調整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</si>
  <si>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</si>
  <si>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</si>
  <si>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</si>
  <si>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</si>
  <si>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</si>
  <si>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</si>
  <si>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</si>
  <si>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</si>
  <si>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 7月度給与</t>
    <phoneticPr fontId="4"/>
  </si>
  <si>
    <t>小計</t>
    <rPh sb="0" eb="2">
      <t>ショウケイ</t>
    </rPh>
    <phoneticPr fontId="3"/>
  </si>
  <si>
    <t>17名</t>
    <rPh sb="2" eb="3">
      <t>メイ</t>
    </rPh>
    <phoneticPr fontId="3"/>
  </si>
  <si>
    <t>9名</t>
    <rPh sb="1" eb="2">
      <t>メイ</t>
    </rPh>
    <phoneticPr fontId="3"/>
  </si>
  <si>
    <t>1名</t>
    <rPh sb="1" eb="2">
      <t>メイ</t>
    </rPh>
    <phoneticPr fontId="3"/>
  </si>
  <si>
    <t>合計</t>
    <rPh sb="0" eb="2">
      <t>ゴウケイ</t>
    </rPh>
    <phoneticPr fontId="3"/>
  </si>
  <si>
    <t>27名</t>
    <rPh sb="2" eb="3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</si>
</sst>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2" fontId="2" fillId="0" borderId="5" xfId="1" applyNumberFormat="1" applyFont="1" applyBorder="1"/>
    <xf numFmtId="2" fontId="2" fillId="0" borderId="4" xfId="1" applyNumberFormat="1" applyFont="1" applyBorder="1"/>
    <xf numFmtId="176" fontId="2" fillId="0" borderId="5" xfId="1" applyNumberFormat="1" applyFont="1" applyBorder="1"/>
    <xf numFmtId="176" fontId="2" fillId="0" borderId="4" xfId="1" applyNumberFormat="1" applyFont="1" applyBorder="1"/>
    <xf numFmtId="3" fontId="2" fillId="0" borderId="5" xfId="1" applyNumberFormat="1" applyFont="1" applyBorder="1"/>
    <xf numFmtId="3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left"/>
    </xf>
    <xf numFmtId="2" fontId="2" fillId="0" borderId="12" xfId="1" applyNumberFormat="1" applyFont="1" applyBorder="1"/>
    <xf numFmtId="2" fontId="2" fillId="0" borderId="11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3" xfId="1" applyNumberFormat="1" applyFont="1" applyBorder="1"/>
    <xf numFmtId="3" fontId="2" fillId="0" borderId="10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" xfId="1" applyNumberFormat="1" applyFont="1" applyBorder="1"/>
    <xf numFmtId="0" fontId="2" fillId="0" borderId="14" xfId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right"/>
    </xf>
    <xf numFmtId="49" fontId="2" fillId="0" borderId="10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0" fontId="2" fillId="0" borderId="15" xfId="1" applyFont="1" applyBorder="1"/>
    <xf numFmtId="3" fontId="2" fillId="0" borderId="16" xfId="1" applyNumberFormat="1" applyFont="1" applyBorder="1"/>
    <xf numFmtId="49" fontId="2" fillId="0" borderId="17" xfId="1" applyNumberFormat="1" applyFont="1" applyBorder="1"/>
    <xf numFmtId="0" fontId="2" fillId="0" borderId="10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49" fontId="2" fillId="0" borderId="20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center"/>
    </xf>
    <xf numFmtId="49" fontId="2" fillId="0" borderId="22" xfId="1" applyNumberFormat="1" applyFont="1" applyBorder="1" applyAlignment="1">
      <alignment horizontal="center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176" fontId="2" fillId="0" borderId="25" xfId="1" applyNumberFormat="1" applyFont="1" applyBorder="1"/>
    <xf numFmtId="176" fontId="2" fillId="0" borderId="26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18" xfId="1" applyNumberFormat="1" applyFont="1" applyBorder="1"/>
    <xf numFmtId="3" fontId="2" fillId="0" borderId="29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</cellXfs>
  <cellStyles count="2">
    <cellStyle name="標準" xfId="0" builtinId="0"/>
    <cellStyle name="標準 2" xfId="1" xr:uid="{17439C30-6DAC-42B1-B33A-2F06497CC8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37D91-37B5-4C91-9C98-C187378A7F8D}">
  <dimension ref="A1:AG64"/>
  <sheetViews>
    <sheetView showZeros="0" workbookViewId="0"/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9.625" style="2" bestFit="1" customWidth="1"/>
    <col min="5" max="5" width="9" style="2" bestFit="1" customWidth="1"/>
    <col min="6" max="6" width="11.125" style="2" bestFit="1" customWidth="1"/>
    <col min="7" max="7" width="9" style="2" bestFit="1" customWidth="1"/>
    <col min="8" max="8" width="11.125" style="2" bestFit="1" customWidth="1"/>
    <col min="9" max="9" width="9" style="2" bestFit="1" customWidth="1"/>
    <col min="10" max="18" width="11.125" style="2" bestFit="1" customWidth="1"/>
    <col min="19" max="19" width="9" style="2" bestFit="1" customWidth="1"/>
    <col min="20" max="24" width="9" style="2" customWidth="1"/>
    <col min="25" max="29" width="9" style="2" bestFit="1" customWidth="1"/>
    <col min="30" max="32" width="9" style="2" customWidth="1"/>
    <col min="33" max="33" width="9.625" style="2" bestFit="1" customWidth="1"/>
    <col min="34" max="259" width="9" style="2"/>
    <col min="260" max="260" width="2.375" style="2" customWidth="1"/>
    <col min="261" max="261" width="13.25" style="2" bestFit="1" customWidth="1"/>
    <col min="262" max="262" width="11.125" style="2" bestFit="1" customWidth="1"/>
    <col min="263" max="263" width="9.625" style="2" bestFit="1" customWidth="1"/>
    <col min="264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/>
    <col min="268" max="268" width="11.125" style="2" bestFit="1" customWidth="1"/>
    <col min="269" max="269" width="9" style="2"/>
    <col min="270" max="270" width="11.125" style="2" bestFit="1" customWidth="1"/>
    <col min="271" max="271" width="9" style="2"/>
    <col min="272" max="280" width="11.125" style="2" bestFit="1" customWidth="1"/>
    <col min="281" max="285" width="9" style="2"/>
    <col min="286" max="287" width="11.125" style="2" bestFit="1" customWidth="1"/>
    <col min="288" max="288" width="9" style="2"/>
    <col min="289" max="289" width="9.625" style="2" bestFit="1" customWidth="1"/>
    <col min="290" max="515" width="9" style="2"/>
    <col min="516" max="516" width="2.375" style="2" customWidth="1"/>
    <col min="517" max="517" width="13.25" style="2" bestFit="1" customWidth="1"/>
    <col min="518" max="518" width="11.125" style="2" bestFit="1" customWidth="1"/>
    <col min="519" max="519" width="9.625" style="2" bestFit="1" customWidth="1"/>
    <col min="520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/>
    <col min="524" max="524" width="11.125" style="2" bestFit="1" customWidth="1"/>
    <col min="525" max="525" width="9" style="2"/>
    <col min="526" max="526" width="11.125" style="2" bestFit="1" customWidth="1"/>
    <col min="527" max="527" width="9" style="2"/>
    <col min="528" max="536" width="11.125" style="2" bestFit="1" customWidth="1"/>
    <col min="537" max="541" width="9" style="2"/>
    <col min="542" max="543" width="11.125" style="2" bestFit="1" customWidth="1"/>
    <col min="544" max="544" width="9" style="2"/>
    <col min="545" max="545" width="9.625" style="2" bestFit="1" customWidth="1"/>
    <col min="546" max="771" width="9" style="2"/>
    <col min="772" max="772" width="2.375" style="2" customWidth="1"/>
    <col min="773" max="773" width="13.25" style="2" bestFit="1" customWidth="1"/>
    <col min="774" max="774" width="11.125" style="2" bestFit="1" customWidth="1"/>
    <col min="775" max="775" width="9.625" style="2" bestFit="1" customWidth="1"/>
    <col min="776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/>
    <col min="780" max="780" width="11.125" style="2" bestFit="1" customWidth="1"/>
    <col min="781" max="781" width="9" style="2"/>
    <col min="782" max="782" width="11.125" style="2" bestFit="1" customWidth="1"/>
    <col min="783" max="783" width="9" style="2"/>
    <col min="784" max="792" width="11.125" style="2" bestFit="1" customWidth="1"/>
    <col min="793" max="797" width="9" style="2"/>
    <col min="798" max="799" width="11.125" style="2" bestFit="1" customWidth="1"/>
    <col min="800" max="800" width="9" style="2"/>
    <col min="801" max="801" width="9.625" style="2" bestFit="1" customWidth="1"/>
    <col min="802" max="1027" width="9" style="2"/>
    <col min="1028" max="1028" width="2.375" style="2" customWidth="1"/>
    <col min="1029" max="1029" width="13.25" style="2" bestFit="1" customWidth="1"/>
    <col min="1030" max="1030" width="11.125" style="2" bestFit="1" customWidth="1"/>
    <col min="1031" max="1031" width="9.625" style="2" bestFit="1" customWidth="1"/>
    <col min="1032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/>
    <col min="1036" max="1036" width="11.125" style="2" bestFit="1" customWidth="1"/>
    <col min="1037" max="1037" width="9" style="2"/>
    <col min="1038" max="1038" width="11.125" style="2" bestFit="1" customWidth="1"/>
    <col min="1039" max="1039" width="9" style="2"/>
    <col min="1040" max="1048" width="11.125" style="2" bestFit="1" customWidth="1"/>
    <col min="1049" max="1053" width="9" style="2"/>
    <col min="1054" max="1055" width="11.125" style="2" bestFit="1" customWidth="1"/>
    <col min="1056" max="1056" width="9" style="2"/>
    <col min="1057" max="1057" width="9.625" style="2" bestFit="1" customWidth="1"/>
    <col min="1058" max="1283" width="9" style="2"/>
    <col min="1284" max="1284" width="2.375" style="2" customWidth="1"/>
    <col min="1285" max="1285" width="13.25" style="2" bestFit="1" customWidth="1"/>
    <col min="1286" max="1286" width="11.125" style="2" bestFit="1" customWidth="1"/>
    <col min="1287" max="1287" width="9.625" style="2" bestFit="1" customWidth="1"/>
    <col min="1288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/>
    <col min="1292" max="1292" width="11.125" style="2" bestFit="1" customWidth="1"/>
    <col min="1293" max="1293" width="9" style="2"/>
    <col min="1294" max="1294" width="11.125" style="2" bestFit="1" customWidth="1"/>
    <col min="1295" max="1295" width="9" style="2"/>
    <col min="1296" max="1304" width="11.125" style="2" bestFit="1" customWidth="1"/>
    <col min="1305" max="1309" width="9" style="2"/>
    <col min="1310" max="1311" width="11.125" style="2" bestFit="1" customWidth="1"/>
    <col min="1312" max="1312" width="9" style="2"/>
    <col min="1313" max="1313" width="9.625" style="2" bestFit="1" customWidth="1"/>
    <col min="1314" max="1539" width="9" style="2"/>
    <col min="1540" max="1540" width="2.375" style="2" customWidth="1"/>
    <col min="1541" max="1541" width="13.25" style="2" bestFit="1" customWidth="1"/>
    <col min="1542" max="1542" width="11.125" style="2" bestFit="1" customWidth="1"/>
    <col min="1543" max="1543" width="9.625" style="2" bestFit="1" customWidth="1"/>
    <col min="1544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/>
    <col min="1548" max="1548" width="11.125" style="2" bestFit="1" customWidth="1"/>
    <col min="1549" max="1549" width="9" style="2"/>
    <col min="1550" max="1550" width="11.125" style="2" bestFit="1" customWidth="1"/>
    <col min="1551" max="1551" width="9" style="2"/>
    <col min="1552" max="1560" width="11.125" style="2" bestFit="1" customWidth="1"/>
    <col min="1561" max="1565" width="9" style="2"/>
    <col min="1566" max="1567" width="11.125" style="2" bestFit="1" customWidth="1"/>
    <col min="1568" max="1568" width="9" style="2"/>
    <col min="1569" max="1569" width="9.625" style="2" bestFit="1" customWidth="1"/>
    <col min="1570" max="1795" width="9" style="2"/>
    <col min="1796" max="1796" width="2.375" style="2" customWidth="1"/>
    <col min="1797" max="1797" width="13.25" style="2" bestFit="1" customWidth="1"/>
    <col min="1798" max="1798" width="11.125" style="2" bestFit="1" customWidth="1"/>
    <col min="1799" max="1799" width="9.625" style="2" bestFit="1" customWidth="1"/>
    <col min="1800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/>
    <col min="1804" max="1804" width="11.125" style="2" bestFit="1" customWidth="1"/>
    <col min="1805" max="1805" width="9" style="2"/>
    <col min="1806" max="1806" width="11.125" style="2" bestFit="1" customWidth="1"/>
    <col min="1807" max="1807" width="9" style="2"/>
    <col min="1808" max="1816" width="11.125" style="2" bestFit="1" customWidth="1"/>
    <col min="1817" max="1821" width="9" style="2"/>
    <col min="1822" max="1823" width="11.125" style="2" bestFit="1" customWidth="1"/>
    <col min="1824" max="1824" width="9" style="2"/>
    <col min="1825" max="1825" width="9.625" style="2" bestFit="1" customWidth="1"/>
    <col min="1826" max="2051" width="9" style="2"/>
    <col min="2052" max="2052" width="2.375" style="2" customWidth="1"/>
    <col min="2053" max="2053" width="13.25" style="2" bestFit="1" customWidth="1"/>
    <col min="2054" max="2054" width="11.125" style="2" bestFit="1" customWidth="1"/>
    <col min="2055" max="2055" width="9.625" style="2" bestFit="1" customWidth="1"/>
    <col min="2056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/>
    <col min="2060" max="2060" width="11.125" style="2" bestFit="1" customWidth="1"/>
    <col min="2061" max="2061" width="9" style="2"/>
    <col min="2062" max="2062" width="11.125" style="2" bestFit="1" customWidth="1"/>
    <col min="2063" max="2063" width="9" style="2"/>
    <col min="2064" max="2072" width="11.125" style="2" bestFit="1" customWidth="1"/>
    <col min="2073" max="2077" width="9" style="2"/>
    <col min="2078" max="2079" width="11.125" style="2" bestFit="1" customWidth="1"/>
    <col min="2080" max="2080" width="9" style="2"/>
    <col min="2081" max="2081" width="9.625" style="2" bestFit="1" customWidth="1"/>
    <col min="2082" max="2307" width="9" style="2"/>
    <col min="2308" max="2308" width="2.375" style="2" customWidth="1"/>
    <col min="2309" max="2309" width="13.25" style="2" bestFit="1" customWidth="1"/>
    <col min="2310" max="2310" width="11.125" style="2" bestFit="1" customWidth="1"/>
    <col min="2311" max="2311" width="9.625" style="2" bestFit="1" customWidth="1"/>
    <col min="2312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/>
    <col min="2316" max="2316" width="11.125" style="2" bestFit="1" customWidth="1"/>
    <col min="2317" max="2317" width="9" style="2"/>
    <col min="2318" max="2318" width="11.125" style="2" bestFit="1" customWidth="1"/>
    <col min="2319" max="2319" width="9" style="2"/>
    <col min="2320" max="2328" width="11.125" style="2" bestFit="1" customWidth="1"/>
    <col min="2329" max="2333" width="9" style="2"/>
    <col min="2334" max="2335" width="11.125" style="2" bestFit="1" customWidth="1"/>
    <col min="2336" max="2336" width="9" style="2"/>
    <col min="2337" max="2337" width="9.625" style="2" bestFit="1" customWidth="1"/>
    <col min="2338" max="2563" width="9" style="2"/>
    <col min="2564" max="2564" width="2.375" style="2" customWidth="1"/>
    <col min="2565" max="2565" width="13.25" style="2" bestFit="1" customWidth="1"/>
    <col min="2566" max="2566" width="11.125" style="2" bestFit="1" customWidth="1"/>
    <col min="2567" max="2567" width="9.625" style="2" bestFit="1" customWidth="1"/>
    <col min="2568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/>
    <col min="2572" max="2572" width="11.125" style="2" bestFit="1" customWidth="1"/>
    <col min="2573" max="2573" width="9" style="2"/>
    <col min="2574" max="2574" width="11.125" style="2" bestFit="1" customWidth="1"/>
    <col min="2575" max="2575" width="9" style="2"/>
    <col min="2576" max="2584" width="11.125" style="2" bestFit="1" customWidth="1"/>
    <col min="2585" max="2589" width="9" style="2"/>
    <col min="2590" max="2591" width="11.125" style="2" bestFit="1" customWidth="1"/>
    <col min="2592" max="2592" width="9" style="2"/>
    <col min="2593" max="2593" width="9.625" style="2" bestFit="1" customWidth="1"/>
    <col min="2594" max="2819" width="9" style="2"/>
    <col min="2820" max="2820" width="2.375" style="2" customWidth="1"/>
    <col min="2821" max="2821" width="13.25" style="2" bestFit="1" customWidth="1"/>
    <col min="2822" max="2822" width="11.125" style="2" bestFit="1" customWidth="1"/>
    <col min="2823" max="2823" width="9.625" style="2" bestFit="1" customWidth="1"/>
    <col min="2824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/>
    <col min="2828" max="2828" width="11.125" style="2" bestFit="1" customWidth="1"/>
    <col min="2829" max="2829" width="9" style="2"/>
    <col min="2830" max="2830" width="11.125" style="2" bestFit="1" customWidth="1"/>
    <col min="2831" max="2831" width="9" style="2"/>
    <col min="2832" max="2840" width="11.125" style="2" bestFit="1" customWidth="1"/>
    <col min="2841" max="2845" width="9" style="2"/>
    <col min="2846" max="2847" width="11.125" style="2" bestFit="1" customWidth="1"/>
    <col min="2848" max="2848" width="9" style="2"/>
    <col min="2849" max="2849" width="9.625" style="2" bestFit="1" customWidth="1"/>
    <col min="2850" max="3075" width="9" style="2"/>
    <col min="3076" max="3076" width="2.375" style="2" customWidth="1"/>
    <col min="3077" max="3077" width="13.25" style="2" bestFit="1" customWidth="1"/>
    <col min="3078" max="3078" width="11.125" style="2" bestFit="1" customWidth="1"/>
    <col min="3079" max="3079" width="9.625" style="2" bestFit="1" customWidth="1"/>
    <col min="3080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/>
    <col min="3084" max="3084" width="11.125" style="2" bestFit="1" customWidth="1"/>
    <col min="3085" max="3085" width="9" style="2"/>
    <col min="3086" max="3086" width="11.125" style="2" bestFit="1" customWidth="1"/>
    <col min="3087" max="3087" width="9" style="2"/>
    <col min="3088" max="3096" width="11.125" style="2" bestFit="1" customWidth="1"/>
    <col min="3097" max="3101" width="9" style="2"/>
    <col min="3102" max="3103" width="11.125" style="2" bestFit="1" customWidth="1"/>
    <col min="3104" max="3104" width="9" style="2"/>
    <col min="3105" max="3105" width="9.625" style="2" bestFit="1" customWidth="1"/>
    <col min="3106" max="3331" width="9" style="2"/>
    <col min="3332" max="3332" width="2.375" style="2" customWidth="1"/>
    <col min="3333" max="3333" width="13.25" style="2" bestFit="1" customWidth="1"/>
    <col min="3334" max="3334" width="11.125" style="2" bestFit="1" customWidth="1"/>
    <col min="3335" max="3335" width="9.625" style="2" bestFit="1" customWidth="1"/>
    <col min="3336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/>
    <col min="3340" max="3340" width="11.125" style="2" bestFit="1" customWidth="1"/>
    <col min="3341" max="3341" width="9" style="2"/>
    <col min="3342" max="3342" width="11.125" style="2" bestFit="1" customWidth="1"/>
    <col min="3343" max="3343" width="9" style="2"/>
    <col min="3344" max="3352" width="11.125" style="2" bestFit="1" customWidth="1"/>
    <col min="3353" max="3357" width="9" style="2"/>
    <col min="3358" max="3359" width="11.125" style="2" bestFit="1" customWidth="1"/>
    <col min="3360" max="3360" width="9" style="2"/>
    <col min="3361" max="3361" width="9.625" style="2" bestFit="1" customWidth="1"/>
    <col min="3362" max="3587" width="9" style="2"/>
    <col min="3588" max="3588" width="2.375" style="2" customWidth="1"/>
    <col min="3589" max="3589" width="13.25" style="2" bestFit="1" customWidth="1"/>
    <col min="3590" max="3590" width="11.125" style="2" bestFit="1" customWidth="1"/>
    <col min="3591" max="3591" width="9.625" style="2" bestFit="1" customWidth="1"/>
    <col min="3592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/>
    <col min="3596" max="3596" width="11.125" style="2" bestFit="1" customWidth="1"/>
    <col min="3597" max="3597" width="9" style="2"/>
    <col min="3598" max="3598" width="11.125" style="2" bestFit="1" customWidth="1"/>
    <col min="3599" max="3599" width="9" style="2"/>
    <col min="3600" max="3608" width="11.125" style="2" bestFit="1" customWidth="1"/>
    <col min="3609" max="3613" width="9" style="2"/>
    <col min="3614" max="3615" width="11.125" style="2" bestFit="1" customWidth="1"/>
    <col min="3616" max="3616" width="9" style="2"/>
    <col min="3617" max="3617" width="9.625" style="2" bestFit="1" customWidth="1"/>
    <col min="3618" max="3843" width="9" style="2"/>
    <col min="3844" max="3844" width="2.375" style="2" customWidth="1"/>
    <col min="3845" max="3845" width="13.25" style="2" bestFit="1" customWidth="1"/>
    <col min="3846" max="3846" width="11.125" style="2" bestFit="1" customWidth="1"/>
    <col min="3847" max="3847" width="9.625" style="2" bestFit="1" customWidth="1"/>
    <col min="3848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/>
    <col min="3852" max="3852" width="11.125" style="2" bestFit="1" customWidth="1"/>
    <col min="3853" max="3853" width="9" style="2"/>
    <col min="3854" max="3854" width="11.125" style="2" bestFit="1" customWidth="1"/>
    <col min="3855" max="3855" width="9" style="2"/>
    <col min="3856" max="3864" width="11.125" style="2" bestFit="1" customWidth="1"/>
    <col min="3865" max="3869" width="9" style="2"/>
    <col min="3870" max="3871" width="11.125" style="2" bestFit="1" customWidth="1"/>
    <col min="3872" max="3872" width="9" style="2"/>
    <col min="3873" max="3873" width="9.625" style="2" bestFit="1" customWidth="1"/>
    <col min="3874" max="4099" width="9" style="2"/>
    <col min="4100" max="4100" width="2.375" style="2" customWidth="1"/>
    <col min="4101" max="4101" width="13.25" style="2" bestFit="1" customWidth="1"/>
    <col min="4102" max="4102" width="11.125" style="2" bestFit="1" customWidth="1"/>
    <col min="4103" max="4103" width="9.625" style="2" bestFit="1" customWidth="1"/>
    <col min="4104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/>
    <col min="4108" max="4108" width="11.125" style="2" bestFit="1" customWidth="1"/>
    <col min="4109" max="4109" width="9" style="2"/>
    <col min="4110" max="4110" width="11.125" style="2" bestFit="1" customWidth="1"/>
    <col min="4111" max="4111" width="9" style="2"/>
    <col min="4112" max="4120" width="11.125" style="2" bestFit="1" customWidth="1"/>
    <col min="4121" max="4125" width="9" style="2"/>
    <col min="4126" max="4127" width="11.125" style="2" bestFit="1" customWidth="1"/>
    <col min="4128" max="4128" width="9" style="2"/>
    <col min="4129" max="4129" width="9.625" style="2" bestFit="1" customWidth="1"/>
    <col min="4130" max="4355" width="9" style="2"/>
    <col min="4356" max="4356" width="2.375" style="2" customWidth="1"/>
    <col min="4357" max="4357" width="13.25" style="2" bestFit="1" customWidth="1"/>
    <col min="4358" max="4358" width="11.125" style="2" bestFit="1" customWidth="1"/>
    <col min="4359" max="4359" width="9.625" style="2" bestFit="1" customWidth="1"/>
    <col min="4360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/>
    <col min="4364" max="4364" width="11.125" style="2" bestFit="1" customWidth="1"/>
    <col min="4365" max="4365" width="9" style="2"/>
    <col min="4366" max="4366" width="11.125" style="2" bestFit="1" customWidth="1"/>
    <col min="4367" max="4367" width="9" style="2"/>
    <col min="4368" max="4376" width="11.125" style="2" bestFit="1" customWidth="1"/>
    <col min="4377" max="4381" width="9" style="2"/>
    <col min="4382" max="4383" width="11.125" style="2" bestFit="1" customWidth="1"/>
    <col min="4384" max="4384" width="9" style="2"/>
    <col min="4385" max="4385" width="9.625" style="2" bestFit="1" customWidth="1"/>
    <col min="4386" max="4611" width="9" style="2"/>
    <col min="4612" max="4612" width="2.375" style="2" customWidth="1"/>
    <col min="4613" max="4613" width="13.25" style="2" bestFit="1" customWidth="1"/>
    <col min="4614" max="4614" width="11.125" style="2" bestFit="1" customWidth="1"/>
    <col min="4615" max="4615" width="9.625" style="2" bestFit="1" customWidth="1"/>
    <col min="4616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/>
    <col min="4620" max="4620" width="11.125" style="2" bestFit="1" customWidth="1"/>
    <col min="4621" max="4621" width="9" style="2"/>
    <col min="4622" max="4622" width="11.125" style="2" bestFit="1" customWidth="1"/>
    <col min="4623" max="4623" width="9" style="2"/>
    <col min="4624" max="4632" width="11.125" style="2" bestFit="1" customWidth="1"/>
    <col min="4633" max="4637" width="9" style="2"/>
    <col min="4638" max="4639" width="11.125" style="2" bestFit="1" customWidth="1"/>
    <col min="4640" max="4640" width="9" style="2"/>
    <col min="4641" max="4641" width="9.625" style="2" bestFit="1" customWidth="1"/>
    <col min="4642" max="4867" width="9" style="2"/>
    <col min="4868" max="4868" width="2.375" style="2" customWidth="1"/>
    <col min="4869" max="4869" width="13.25" style="2" bestFit="1" customWidth="1"/>
    <col min="4870" max="4870" width="11.125" style="2" bestFit="1" customWidth="1"/>
    <col min="4871" max="4871" width="9.625" style="2" bestFit="1" customWidth="1"/>
    <col min="4872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/>
    <col min="4876" max="4876" width="11.125" style="2" bestFit="1" customWidth="1"/>
    <col min="4877" max="4877" width="9" style="2"/>
    <col min="4878" max="4878" width="11.125" style="2" bestFit="1" customWidth="1"/>
    <col min="4879" max="4879" width="9" style="2"/>
    <col min="4880" max="4888" width="11.125" style="2" bestFit="1" customWidth="1"/>
    <col min="4889" max="4893" width="9" style="2"/>
    <col min="4894" max="4895" width="11.125" style="2" bestFit="1" customWidth="1"/>
    <col min="4896" max="4896" width="9" style="2"/>
    <col min="4897" max="4897" width="9.625" style="2" bestFit="1" customWidth="1"/>
    <col min="4898" max="5123" width="9" style="2"/>
    <col min="5124" max="5124" width="2.375" style="2" customWidth="1"/>
    <col min="5125" max="5125" width="13.25" style="2" bestFit="1" customWidth="1"/>
    <col min="5126" max="5126" width="11.125" style="2" bestFit="1" customWidth="1"/>
    <col min="5127" max="5127" width="9.625" style="2" bestFit="1" customWidth="1"/>
    <col min="5128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/>
    <col min="5132" max="5132" width="11.125" style="2" bestFit="1" customWidth="1"/>
    <col min="5133" max="5133" width="9" style="2"/>
    <col min="5134" max="5134" width="11.125" style="2" bestFit="1" customWidth="1"/>
    <col min="5135" max="5135" width="9" style="2"/>
    <col min="5136" max="5144" width="11.125" style="2" bestFit="1" customWidth="1"/>
    <col min="5145" max="5149" width="9" style="2"/>
    <col min="5150" max="5151" width="11.125" style="2" bestFit="1" customWidth="1"/>
    <col min="5152" max="5152" width="9" style="2"/>
    <col min="5153" max="5153" width="9.625" style="2" bestFit="1" customWidth="1"/>
    <col min="5154" max="5379" width="9" style="2"/>
    <col min="5380" max="5380" width="2.375" style="2" customWidth="1"/>
    <col min="5381" max="5381" width="13.25" style="2" bestFit="1" customWidth="1"/>
    <col min="5382" max="5382" width="11.125" style="2" bestFit="1" customWidth="1"/>
    <col min="5383" max="5383" width="9.625" style="2" bestFit="1" customWidth="1"/>
    <col min="5384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/>
    <col min="5388" max="5388" width="11.125" style="2" bestFit="1" customWidth="1"/>
    <col min="5389" max="5389" width="9" style="2"/>
    <col min="5390" max="5390" width="11.125" style="2" bestFit="1" customWidth="1"/>
    <col min="5391" max="5391" width="9" style="2"/>
    <col min="5392" max="5400" width="11.125" style="2" bestFit="1" customWidth="1"/>
    <col min="5401" max="5405" width="9" style="2"/>
    <col min="5406" max="5407" width="11.125" style="2" bestFit="1" customWidth="1"/>
    <col min="5408" max="5408" width="9" style="2"/>
    <col min="5409" max="5409" width="9.625" style="2" bestFit="1" customWidth="1"/>
    <col min="5410" max="5635" width="9" style="2"/>
    <col min="5636" max="5636" width="2.375" style="2" customWidth="1"/>
    <col min="5637" max="5637" width="13.25" style="2" bestFit="1" customWidth="1"/>
    <col min="5638" max="5638" width="11.125" style="2" bestFit="1" customWidth="1"/>
    <col min="5639" max="5639" width="9.625" style="2" bestFit="1" customWidth="1"/>
    <col min="5640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/>
    <col min="5644" max="5644" width="11.125" style="2" bestFit="1" customWidth="1"/>
    <col min="5645" max="5645" width="9" style="2"/>
    <col min="5646" max="5646" width="11.125" style="2" bestFit="1" customWidth="1"/>
    <col min="5647" max="5647" width="9" style="2"/>
    <col min="5648" max="5656" width="11.125" style="2" bestFit="1" customWidth="1"/>
    <col min="5657" max="5661" width="9" style="2"/>
    <col min="5662" max="5663" width="11.125" style="2" bestFit="1" customWidth="1"/>
    <col min="5664" max="5664" width="9" style="2"/>
    <col min="5665" max="5665" width="9.625" style="2" bestFit="1" customWidth="1"/>
    <col min="5666" max="5891" width="9" style="2"/>
    <col min="5892" max="5892" width="2.375" style="2" customWidth="1"/>
    <col min="5893" max="5893" width="13.25" style="2" bestFit="1" customWidth="1"/>
    <col min="5894" max="5894" width="11.125" style="2" bestFit="1" customWidth="1"/>
    <col min="5895" max="5895" width="9.625" style="2" bestFit="1" customWidth="1"/>
    <col min="5896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/>
    <col min="5900" max="5900" width="11.125" style="2" bestFit="1" customWidth="1"/>
    <col min="5901" max="5901" width="9" style="2"/>
    <col min="5902" max="5902" width="11.125" style="2" bestFit="1" customWidth="1"/>
    <col min="5903" max="5903" width="9" style="2"/>
    <col min="5904" max="5912" width="11.125" style="2" bestFit="1" customWidth="1"/>
    <col min="5913" max="5917" width="9" style="2"/>
    <col min="5918" max="5919" width="11.125" style="2" bestFit="1" customWidth="1"/>
    <col min="5920" max="5920" width="9" style="2"/>
    <col min="5921" max="5921" width="9.625" style="2" bestFit="1" customWidth="1"/>
    <col min="5922" max="6147" width="9" style="2"/>
    <col min="6148" max="6148" width="2.375" style="2" customWidth="1"/>
    <col min="6149" max="6149" width="13.25" style="2" bestFit="1" customWidth="1"/>
    <col min="6150" max="6150" width="11.125" style="2" bestFit="1" customWidth="1"/>
    <col min="6151" max="6151" width="9.625" style="2" bestFit="1" customWidth="1"/>
    <col min="6152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/>
    <col min="6156" max="6156" width="11.125" style="2" bestFit="1" customWidth="1"/>
    <col min="6157" max="6157" width="9" style="2"/>
    <col min="6158" max="6158" width="11.125" style="2" bestFit="1" customWidth="1"/>
    <col min="6159" max="6159" width="9" style="2"/>
    <col min="6160" max="6168" width="11.125" style="2" bestFit="1" customWidth="1"/>
    <col min="6169" max="6173" width="9" style="2"/>
    <col min="6174" max="6175" width="11.125" style="2" bestFit="1" customWidth="1"/>
    <col min="6176" max="6176" width="9" style="2"/>
    <col min="6177" max="6177" width="9.625" style="2" bestFit="1" customWidth="1"/>
    <col min="6178" max="6403" width="9" style="2"/>
    <col min="6404" max="6404" width="2.375" style="2" customWidth="1"/>
    <col min="6405" max="6405" width="13.25" style="2" bestFit="1" customWidth="1"/>
    <col min="6406" max="6406" width="11.125" style="2" bestFit="1" customWidth="1"/>
    <col min="6407" max="6407" width="9.625" style="2" bestFit="1" customWidth="1"/>
    <col min="6408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/>
    <col min="6412" max="6412" width="11.125" style="2" bestFit="1" customWidth="1"/>
    <col min="6413" max="6413" width="9" style="2"/>
    <col min="6414" max="6414" width="11.125" style="2" bestFit="1" customWidth="1"/>
    <col min="6415" max="6415" width="9" style="2"/>
    <col min="6416" max="6424" width="11.125" style="2" bestFit="1" customWidth="1"/>
    <col min="6425" max="6429" width="9" style="2"/>
    <col min="6430" max="6431" width="11.125" style="2" bestFit="1" customWidth="1"/>
    <col min="6432" max="6432" width="9" style="2"/>
    <col min="6433" max="6433" width="9.625" style="2" bestFit="1" customWidth="1"/>
    <col min="6434" max="6659" width="9" style="2"/>
    <col min="6660" max="6660" width="2.375" style="2" customWidth="1"/>
    <col min="6661" max="6661" width="13.25" style="2" bestFit="1" customWidth="1"/>
    <col min="6662" max="6662" width="11.125" style="2" bestFit="1" customWidth="1"/>
    <col min="6663" max="6663" width="9.625" style="2" bestFit="1" customWidth="1"/>
    <col min="6664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/>
    <col min="6668" max="6668" width="11.125" style="2" bestFit="1" customWidth="1"/>
    <col min="6669" max="6669" width="9" style="2"/>
    <col min="6670" max="6670" width="11.125" style="2" bestFit="1" customWidth="1"/>
    <col min="6671" max="6671" width="9" style="2"/>
    <col min="6672" max="6680" width="11.125" style="2" bestFit="1" customWidth="1"/>
    <col min="6681" max="6685" width="9" style="2"/>
    <col min="6686" max="6687" width="11.125" style="2" bestFit="1" customWidth="1"/>
    <col min="6688" max="6688" width="9" style="2"/>
    <col min="6689" max="6689" width="9.625" style="2" bestFit="1" customWidth="1"/>
    <col min="6690" max="6915" width="9" style="2"/>
    <col min="6916" max="6916" width="2.375" style="2" customWidth="1"/>
    <col min="6917" max="6917" width="13.25" style="2" bestFit="1" customWidth="1"/>
    <col min="6918" max="6918" width="11.125" style="2" bestFit="1" customWidth="1"/>
    <col min="6919" max="6919" width="9.625" style="2" bestFit="1" customWidth="1"/>
    <col min="6920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/>
    <col min="6924" max="6924" width="11.125" style="2" bestFit="1" customWidth="1"/>
    <col min="6925" max="6925" width="9" style="2"/>
    <col min="6926" max="6926" width="11.125" style="2" bestFit="1" customWidth="1"/>
    <col min="6927" max="6927" width="9" style="2"/>
    <col min="6928" max="6936" width="11.125" style="2" bestFit="1" customWidth="1"/>
    <col min="6937" max="6941" width="9" style="2"/>
    <col min="6942" max="6943" width="11.125" style="2" bestFit="1" customWidth="1"/>
    <col min="6944" max="6944" width="9" style="2"/>
    <col min="6945" max="6945" width="9.625" style="2" bestFit="1" customWidth="1"/>
    <col min="6946" max="7171" width="9" style="2"/>
    <col min="7172" max="7172" width="2.375" style="2" customWidth="1"/>
    <col min="7173" max="7173" width="13.25" style="2" bestFit="1" customWidth="1"/>
    <col min="7174" max="7174" width="11.125" style="2" bestFit="1" customWidth="1"/>
    <col min="7175" max="7175" width="9.625" style="2" bestFit="1" customWidth="1"/>
    <col min="7176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/>
    <col min="7180" max="7180" width="11.125" style="2" bestFit="1" customWidth="1"/>
    <col min="7181" max="7181" width="9" style="2"/>
    <col min="7182" max="7182" width="11.125" style="2" bestFit="1" customWidth="1"/>
    <col min="7183" max="7183" width="9" style="2"/>
    <col min="7184" max="7192" width="11.125" style="2" bestFit="1" customWidth="1"/>
    <col min="7193" max="7197" width="9" style="2"/>
    <col min="7198" max="7199" width="11.125" style="2" bestFit="1" customWidth="1"/>
    <col min="7200" max="7200" width="9" style="2"/>
    <col min="7201" max="7201" width="9.625" style="2" bestFit="1" customWidth="1"/>
    <col min="7202" max="7427" width="9" style="2"/>
    <col min="7428" max="7428" width="2.375" style="2" customWidth="1"/>
    <col min="7429" max="7429" width="13.25" style="2" bestFit="1" customWidth="1"/>
    <col min="7430" max="7430" width="11.125" style="2" bestFit="1" customWidth="1"/>
    <col min="7431" max="7431" width="9.625" style="2" bestFit="1" customWidth="1"/>
    <col min="7432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/>
    <col min="7436" max="7436" width="11.125" style="2" bestFit="1" customWidth="1"/>
    <col min="7437" max="7437" width="9" style="2"/>
    <col min="7438" max="7438" width="11.125" style="2" bestFit="1" customWidth="1"/>
    <col min="7439" max="7439" width="9" style="2"/>
    <col min="7440" max="7448" width="11.125" style="2" bestFit="1" customWidth="1"/>
    <col min="7449" max="7453" width="9" style="2"/>
    <col min="7454" max="7455" width="11.125" style="2" bestFit="1" customWidth="1"/>
    <col min="7456" max="7456" width="9" style="2"/>
    <col min="7457" max="7457" width="9.625" style="2" bestFit="1" customWidth="1"/>
    <col min="7458" max="7683" width="9" style="2"/>
    <col min="7684" max="7684" width="2.375" style="2" customWidth="1"/>
    <col min="7685" max="7685" width="13.25" style="2" bestFit="1" customWidth="1"/>
    <col min="7686" max="7686" width="11.125" style="2" bestFit="1" customWidth="1"/>
    <col min="7687" max="7687" width="9.625" style="2" bestFit="1" customWidth="1"/>
    <col min="7688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/>
    <col min="7692" max="7692" width="11.125" style="2" bestFit="1" customWidth="1"/>
    <col min="7693" max="7693" width="9" style="2"/>
    <col min="7694" max="7694" width="11.125" style="2" bestFit="1" customWidth="1"/>
    <col min="7695" max="7695" width="9" style="2"/>
    <col min="7696" max="7704" width="11.125" style="2" bestFit="1" customWidth="1"/>
    <col min="7705" max="7709" width="9" style="2"/>
    <col min="7710" max="7711" width="11.125" style="2" bestFit="1" customWidth="1"/>
    <col min="7712" max="7712" width="9" style="2"/>
    <col min="7713" max="7713" width="9.625" style="2" bestFit="1" customWidth="1"/>
    <col min="7714" max="7939" width="9" style="2"/>
    <col min="7940" max="7940" width="2.375" style="2" customWidth="1"/>
    <col min="7941" max="7941" width="13.25" style="2" bestFit="1" customWidth="1"/>
    <col min="7942" max="7942" width="11.125" style="2" bestFit="1" customWidth="1"/>
    <col min="7943" max="7943" width="9.625" style="2" bestFit="1" customWidth="1"/>
    <col min="7944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/>
    <col min="7948" max="7948" width="11.125" style="2" bestFit="1" customWidth="1"/>
    <col min="7949" max="7949" width="9" style="2"/>
    <col min="7950" max="7950" width="11.125" style="2" bestFit="1" customWidth="1"/>
    <col min="7951" max="7951" width="9" style="2"/>
    <col min="7952" max="7960" width="11.125" style="2" bestFit="1" customWidth="1"/>
    <col min="7961" max="7965" width="9" style="2"/>
    <col min="7966" max="7967" width="11.125" style="2" bestFit="1" customWidth="1"/>
    <col min="7968" max="7968" width="9" style="2"/>
    <col min="7969" max="7969" width="9.625" style="2" bestFit="1" customWidth="1"/>
    <col min="7970" max="8195" width="9" style="2"/>
    <col min="8196" max="8196" width="2.375" style="2" customWidth="1"/>
    <col min="8197" max="8197" width="13.25" style="2" bestFit="1" customWidth="1"/>
    <col min="8198" max="8198" width="11.125" style="2" bestFit="1" customWidth="1"/>
    <col min="8199" max="8199" width="9.625" style="2" bestFit="1" customWidth="1"/>
    <col min="8200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/>
    <col min="8204" max="8204" width="11.125" style="2" bestFit="1" customWidth="1"/>
    <col min="8205" max="8205" width="9" style="2"/>
    <col min="8206" max="8206" width="11.125" style="2" bestFit="1" customWidth="1"/>
    <col min="8207" max="8207" width="9" style="2"/>
    <col min="8208" max="8216" width="11.125" style="2" bestFit="1" customWidth="1"/>
    <col min="8217" max="8221" width="9" style="2"/>
    <col min="8222" max="8223" width="11.125" style="2" bestFit="1" customWidth="1"/>
    <col min="8224" max="8224" width="9" style="2"/>
    <col min="8225" max="8225" width="9.625" style="2" bestFit="1" customWidth="1"/>
    <col min="8226" max="8451" width="9" style="2"/>
    <col min="8452" max="8452" width="2.375" style="2" customWidth="1"/>
    <col min="8453" max="8453" width="13.25" style="2" bestFit="1" customWidth="1"/>
    <col min="8454" max="8454" width="11.125" style="2" bestFit="1" customWidth="1"/>
    <col min="8455" max="8455" width="9.625" style="2" bestFit="1" customWidth="1"/>
    <col min="8456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/>
    <col min="8460" max="8460" width="11.125" style="2" bestFit="1" customWidth="1"/>
    <col min="8461" max="8461" width="9" style="2"/>
    <col min="8462" max="8462" width="11.125" style="2" bestFit="1" customWidth="1"/>
    <col min="8463" max="8463" width="9" style="2"/>
    <col min="8464" max="8472" width="11.125" style="2" bestFit="1" customWidth="1"/>
    <col min="8473" max="8477" width="9" style="2"/>
    <col min="8478" max="8479" width="11.125" style="2" bestFit="1" customWidth="1"/>
    <col min="8480" max="8480" width="9" style="2"/>
    <col min="8481" max="8481" width="9.625" style="2" bestFit="1" customWidth="1"/>
    <col min="8482" max="8707" width="9" style="2"/>
    <col min="8708" max="8708" width="2.375" style="2" customWidth="1"/>
    <col min="8709" max="8709" width="13.25" style="2" bestFit="1" customWidth="1"/>
    <col min="8710" max="8710" width="11.125" style="2" bestFit="1" customWidth="1"/>
    <col min="8711" max="8711" width="9.625" style="2" bestFit="1" customWidth="1"/>
    <col min="8712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/>
    <col min="8716" max="8716" width="11.125" style="2" bestFit="1" customWidth="1"/>
    <col min="8717" max="8717" width="9" style="2"/>
    <col min="8718" max="8718" width="11.125" style="2" bestFit="1" customWidth="1"/>
    <col min="8719" max="8719" width="9" style="2"/>
    <col min="8720" max="8728" width="11.125" style="2" bestFit="1" customWidth="1"/>
    <col min="8729" max="8733" width="9" style="2"/>
    <col min="8734" max="8735" width="11.125" style="2" bestFit="1" customWidth="1"/>
    <col min="8736" max="8736" width="9" style="2"/>
    <col min="8737" max="8737" width="9.625" style="2" bestFit="1" customWidth="1"/>
    <col min="8738" max="8963" width="9" style="2"/>
    <col min="8964" max="8964" width="2.375" style="2" customWidth="1"/>
    <col min="8965" max="8965" width="13.25" style="2" bestFit="1" customWidth="1"/>
    <col min="8966" max="8966" width="11.125" style="2" bestFit="1" customWidth="1"/>
    <col min="8967" max="8967" width="9.625" style="2" bestFit="1" customWidth="1"/>
    <col min="8968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/>
    <col min="8972" max="8972" width="11.125" style="2" bestFit="1" customWidth="1"/>
    <col min="8973" max="8973" width="9" style="2"/>
    <col min="8974" max="8974" width="11.125" style="2" bestFit="1" customWidth="1"/>
    <col min="8975" max="8975" width="9" style="2"/>
    <col min="8976" max="8984" width="11.125" style="2" bestFit="1" customWidth="1"/>
    <col min="8985" max="8989" width="9" style="2"/>
    <col min="8990" max="8991" width="11.125" style="2" bestFit="1" customWidth="1"/>
    <col min="8992" max="8992" width="9" style="2"/>
    <col min="8993" max="8993" width="9.625" style="2" bestFit="1" customWidth="1"/>
    <col min="8994" max="9219" width="9" style="2"/>
    <col min="9220" max="9220" width="2.375" style="2" customWidth="1"/>
    <col min="9221" max="9221" width="13.25" style="2" bestFit="1" customWidth="1"/>
    <col min="9222" max="9222" width="11.125" style="2" bestFit="1" customWidth="1"/>
    <col min="9223" max="9223" width="9.625" style="2" bestFit="1" customWidth="1"/>
    <col min="9224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/>
    <col min="9228" max="9228" width="11.125" style="2" bestFit="1" customWidth="1"/>
    <col min="9229" max="9229" width="9" style="2"/>
    <col min="9230" max="9230" width="11.125" style="2" bestFit="1" customWidth="1"/>
    <col min="9231" max="9231" width="9" style="2"/>
    <col min="9232" max="9240" width="11.125" style="2" bestFit="1" customWidth="1"/>
    <col min="9241" max="9245" width="9" style="2"/>
    <col min="9246" max="9247" width="11.125" style="2" bestFit="1" customWidth="1"/>
    <col min="9248" max="9248" width="9" style="2"/>
    <col min="9249" max="9249" width="9.625" style="2" bestFit="1" customWidth="1"/>
    <col min="9250" max="9475" width="9" style="2"/>
    <col min="9476" max="9476" width="2.375" style="2" customWidth="1"/>
    <col min="9477" max="9477" width="13.25" style="2" bestFit="1" customWidth="1"/>
    <col min="9478" max="9478" width="11.125" style="2" bestFit="1" customWidth="1"/>
    <col min="9479" max="9479" width="9.625" style="2" bestFit="1" customWidth="1"/>
    <col min="9480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/>
    <col min="9484" max="9484" width="11.125" style="2" bestFit="1" customWidth="1"/>
    <col min="9485" max="9485" width="9" style="2"/>
    <col min="9486" max="9486" width="11.125" style="2" bestFit="1" customWidth="1"/>
    <col min="9487" max="9487" width="9" style="2"/>
    <col min="9488" max="9496" width="11.125" style="2" bestFit="1" customWidth="1"/>
    <col min="9497" max="9501" width="9" style="2"/>
    <col min="9502" max="9503" width="11.125" style="2" bestFit="1" customWidth="1"/>
    <col min="9504" max="9504" width="9" style="2"/>
    <col min="9505" max="9505" width="9.625" style="2" bestFit="1" customWidth="1"/>
    <col min="9506" max="9731" width="9" style="2"/>
    <col min="9732" max="9732" width="2.375" style="2" customWidth="1"/>
    <col min="9733" max="9733" width="13.25" style="2" bestFit="1" customWidth="1"/>
    <col min="9734" max="9734" width="11.125" style="2" bestFit="1" customWidth="1"/>
    <col min="9735" max="9735" width="9.625" style="2" bestFit="1" customWidth="1"/>
    <col min="9736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/>
    <col min="9740" max="9740" width="11.125" style="2" bestFit="1" customWidth="1"/>
    <col min="9741" max="9741" width="9" style="2"/>
    <col min="9742" max="9742" width="11.125" style="2" bestFit="1" customWidth="1"/>
    <col min="9743" max="9743" width="9" style="2"/>
    <col min="9744" max="9752" width="11.125" style="2" bestFit="1" customWidth="1"/>
    <col min="9753" max="9757" width="9" style="2"/>
    <col min="9758" max="9759" width="11.125" style="2" bestFit="1" customWidth="1"/>
    <col min="9760" max="9760" width="9" style="2"/>
    <col min="9761" max="9761" width="9.625" style="2" bestFit="1" customWidth="1"/>
    <col min="9762" max="9987" width="9" style="2"/>
    <col min="9988" max="9988" width="2.375" style="2" customWidth="1"/>
    <col min="9989" max="9989" width="13.25" style="2" bestFit="1" customWidth="1"/>
    <col min="9990" max="9990" width="11.125" style="2" bestFit="1" customWidth="1"/>
    <col min="9991" max="9991" width="9.625" style="2" bestFit="1" customWidth="1"/>
    <col min="9992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/>
    <col min="9996" max="9996" width="11.125" style="2" bestFit="1" customWidth="1"/>
    <col min="9997" max="9997" width="9" style="2"/>
    <col min="9998" max="9998" width="11.125" style="2" bestFit="1" customWidth="1"/>
    <col min="9999" max="9999" width="9" style="2"/>
    <col min="10000" max="10008" width="11.125" style="2" bestFit="1" customWidth="1"/>
    <col min="10009" max="10013" width="9" style="2"/>
    <col min="10014" max="10015" width="11.125" style="2" bestFit="1" customWidth="1"/>
    <col min="10016" max="10016" width="9" style="2"/>
    <col min="10017" max="10017" width="9.625" style="2" bestFit="1" customWidth="1"/>
    <col min="10018" max="10243" width="9" style="2"/>
    <col min="10244" max="10244" width="2.375" style="2" customWidth="1"/>
    <col min="10245" max="10245" width="13.25" style="2" bestFit="1" customWidth="1"/>
    <col min="10246" max="10246" width="11.125" style="2" bestFit="1" customWidth="1"/>
    <col min="10247" max="10247" width="9.625" style="2" bestFit="1" customWidth="1"/>
    <col min="10248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/>
    <col min="10252" max="10252" width="11.125" style="2" bestFit="1" customWidth="1"/>
    <col min="10253" max="10253" width="9" style="2"/>
    <col min="10254" max="10254" width="11.125" style="2" bestFit="1" customWidth="1"/>
    <col min="10255" max="10255" width="9" style="2"/>
    <col min="10256" max="10264" width="11.125" style="2" bestFit="1" customWidth="1"/>
    <col min="10265" max="10269" width="9" style="2"/>
    <col min="10270" max="10271" width="11.125" style="2" bestFit="1" customWidth="1"/>
    <col min="10272" max="10272" width="9" style="2"/>
    <col min="10273" max="10273" width="9.625" style="2" bestFit="1" customWidth="1"/>
    <col min="10274" max="10499" width="9" style="2"/>
    <col min="10500" max="10500" width="2.375" style="2" customWidth="1"/>
    <col min="10501" max="10501" width="13.25" style="2" bestFit="1" customWidth="1"/>
    <col min="10502" max="10502" width="11.125" style="2" bestFit="1" customWidth="1"/>
    <col min="10503" max="10503" width="9.625" style="2" bestFit="1" customWidth="1"/>
    <col min="10504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/>
    <col min="10508" max="10508" width="11.125" style="2" bestFit="1" customWidth="1"/>
    <col min="10509" max="10509" width="9" style="2"/>
    <col min="10510" max="10510" width="11.125" style="2" bestFit="1" customWidth="1"/>
    <col min="10511" max="10511" width="9" style="2"/>
    <col min="10512" max="10520" width="11.125" style="2" bestFit="1" customWidth="1"/>
    <col min="10521" max="10525" width="9" style="2"/>
    <col min="10526" max="10527" width="11.125" style="2" bestFit="1" customWidth="1"/>
    <col min="10528" max="10528" width="9" style="2"/>
    <col min="10529" max="10529" width="9.625" style="2" bestFit="1" customWidth="1"/>
    <col min="10530" max="10755" width="9" style="2"/>
    <col min="10756" max="10756" width="2.375" style="2" customWidth="1"/>
    <col min="10757" max="10757" width="13.25" style="2" bestFit="1" customWidth="1"/>
    <col min="10758" max="10758" width="11.125" style="2" bestFit="1" customWidth="1"/>
    <col min="10759" max="10759" width="9.625" style="2" bestFit="1" customWidth="1"/>
    <col min="10760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/>
    <col min="10764" max="10764" width="11.125" style="2" bestFit="1" customWidth="1"/>
    <col min="10765" max="10765" width="9" style="2"/>
    <col min="10766" max="10766" width="11.125" style="2" bestFit="1" customWidth="1"/>
    <col min="10767" max="10767" width="9" style="2"/>
    <col min="10768" max="10776" width="11.125" style="2" bestFit="1" customWidth="1"/>
    <col min="10777" max="10781" width="9" style="2"/>
    <col min="10782" max="10783" width="11.125" style="2" bestFit="1" customWidth="1"/>
    <col min="10784" max="10784" width="9" style="2"/>
    <col min="10785" max="10785" width="9.625" style="2" bestFit="1" customWidth="1"/>
    <col min="10786" max="11011" width="9" style="2"/>
    <col min="11012" max="11012" width="2.375" style="2" customWidth="1"/>
    <col min="11013" max="11013" width="13.25" style="2" bestFit="1" customWidth="1"/>
    <col min="11014" max="11014" width="11.125" style="2" bestFit="1" customWidth="1"/>
    <col min="11015" max="11015" width="9.625" style="2" bestFit="1" customWidth="1"/>
    <col min="11016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/>
    <col min="11020" max="11020" width="11.125" style="2" bestFit="1" customWidth="1"/>
    <col min="11021" max="11021" width="9" style="2"/>
    <col min="11022" max="11022" width="11.125" style="2" bestFit="1" customWidth="1"/>
    <col min="11023" max="11023" width="9" style="2"/>
    <col min="11024" max="11032" width="11.125" style="2" bestFit="1" customWidth="1"/>
    <col min="11033" max="11037" width="9" style="2"/>
    <col min="11038" max="11039" width="11.125" style="2" bestFit="1" customWidth="1"/>
    <col min="11040" max="11040" width="9" style="2"/>
    <col min="11041" max="11041" width="9.625" style="2" bestFit="1" customWidth="1"/>
    <col min="11042" max="11267" width="9" style="2"/>
    <col min="11268" max="11268" width="2.375" style="2" customWidth="1"/>
    <col min="11269" max="11269" width="13.25" style="2" bestFit="1" customWidth="1"/>
    <col min="11270" max="11270" width="11.125" style="2" bestFit="1" customWidth="1"/>
    <col min="11271" max="11271" width="9.625" style="2" bestFit="1" customWidth="1"/>
    <col min="11272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/>
    <col min="11276" max="11276" width="11.125" style="2" bestFit="1" customWidth="1"/>
    <col min="11277" max="11277" width="9" style="2"/>
    <col min="11278" max="11278" width="11.125" style="2" bestFit="1" customWidth="1"/>
    <col min="11279" max="11279" width="9" style="2"/>
    <col min="11280" max="11288" width="11.125" style="2" bestFit="1" customWidth="1"/>
    <col min="11289" max="11293" width="9" style="2"/>
    <col min="11294" max="11295" width="11.125" style="2" bestFit="1" customWidth="1"/>
    <col min="11296" max="11296" width="9" style="2"/>
    <col min="11297" max="11297" width="9.625" style="2" bestFit="1" customWidth="1"/>
    <col min="11298" max="11523" width="9" style="2"/>
    <col min="11524" max="11524" width="2.375" style="2" customWidth="1"/>
    <col min="11525" max="11525" width="13.25" style="2" bestFit="1" customWidth="1"/>
    <col min="11526" max="11526" width="11.125" style="2" bestFit="1" customWidth="1"/>
    <col min="11527" max="11527" width="9.625" style="2" bestFit="1" customWidth="1"/>
    <col min="11528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/>
    <col min="11532" max="11532" width="11.125" style="2" bestFit="1" customWidth="1"/>
    <col min="11533" max="11533" width="9" style="2"/>
    <col min="11534" max="11534" width="11.125" style="2" bestFit="1" customWidth="1"/>
    <col min="11535" max="11535" width="9" style="2"/>
    <col min="11536" max="11544" width="11.125" style="2" bestFit="1" customWidth="1"/>
    <col min="11545" max="11549" width="9" style="2"/>
    <col min="11550" max="11551" width="11.125" style="2" bestFit="1" customWidth="1"/>
    <col min="11552" max="11552" width="9" style="2"/>
    <col min="11553" max="11553" width="9.625" style="2" bestFit="1" customWidth="1"/>
    <col min="11554" max="11779" width="9" style="2"/>
    <col min="11780" max="11780" width="2.375" style="2" customWidth="1"/>
    <col min="11781" max="11781" width="13.25" style="2" bestFit="1" customWidth="1"/>
    <col min="11782" max="11782" width="11.125" style="2" bestFit="1" customWidth="1"/>
    <col min="11783" max="11783" width="9.625" style="2" bestFit="1" customWidth="1"/>
    <col min="11784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/>
    <col min="11788" max="11788" width="11.125" style="2" bestFit="1" customWidth="1"/>
    <col min="11789" max="11789" width="9" style="2"/>
    <col min="11790" max="11790" width="11.125" style="2" bestFit="1" customWidth="1"/>
    <col min="11791" max="11791" width="9" style="2"/>
    <col min="11792" max="11800" width="11.125" style="2" bestFit="1" customWidth="1"/>
    <col min="11801" max="11805" width="9" style="2"/>
    <col min="11806" max="11807" width="11.125" style="2" bestFit="1" customWidth="1"/>
    <col min="11808" max="11808" width="9" style="2"/>
    <col min="11809" max="11809" width="9.625" style="2" bestFit="1" customWidth="1"/>
    <col min="11810" max="12035" width="9" style="2"/>
    <col min="12036" max="12036" width="2.375" style="2" customWidth="1"/>
    <col min="12037" max="12037" width="13.25" style="2" bestFit="1" customWidth="1"/>
    <col min="12038" max="12038" width="11.125" style="2" bestFit="1" customWidth="1"/>
    <col min="12039" max="12039" width="9.625" style="2" bestFit="1" customWidth="1"/>
    <col min="12040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/>
    <col min="12044" max="12044" width="11.125" style="2" bestFit="1" customWidth="1"/>
    <col min="12045" max="12045" width="9" style="2"/>
    <col min="12046" max="12046" width="11.125" style="2" bestFit="1" customWidth="1"/>
    <col min="12047" max="12047" width="9" style="2"/>
    <col min="12048" max="12056" width="11.125" style="2" bestFit="1" customWidth="1"/>
    <col min="12057" max="12061" width="9" style="2"/>
    <col min="12062" max="12063" width="11.125" style="2" bestFit="1" customWidth="1"/>
    <col min="12064" max="12064" width="9" style="2"/>
    <col min="12065" max="12065" width="9.625" style="2" bestFit="1" customWidth="1"/>
    <col min="12066" max="12291" width="9" style="2"/>
    <col min="12292" max="12292" width="2.375" style="2" customWidth="1"/>
    <col min="12293" max="12293" width="13.25" style="2" bestFit="1" customWidth="1"/>
    <col min="12294" max="12294" width="11.125" style="2" bestFit="1" customWidth="1"/>
    <col min="12295" max="12295" width="9.625" style="2" bestFit="1" customWidth="1"/>
    <col min="12296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/>
    <col min="12300" max="12300" width="11.125" style="2" bestFit="1" customWidth="1"/>
    <col min="12301" max="12301" width="9" style="2"/>
    <col min="12302" max="12302" width="11.125" style="2" bestFit="1" customWidth="1"/>
    <col min="12303" max="12303" width="9" style="2"/>
    <col min="12304" max="12312" width="11.125" style="2" bestFit="1" customWidth="1"/>
    <col min="12313" max="12317" width="9" style="2"/>
    <col min="12318" max="12319" width="11.125" style="2" bestFit="1" customWidth="1"/>
    <col min="12320" max="12320" width="9" style="2"/>
    <col min="12321" max="12321" width="9.625" style="2" bestFit="1" customWidth="1"/>
    <col min="12322" max="12547" width="9" style="2"/>
    <col min="12548" max="12548" width="2.375" style="2" customWidth="1"/>
    <col min="12549" max="12549" width="13.25" style="2" bestFit="1" customWidth="1"/>
    <col min="12550" max="12550" width="11.125" style="2" bestFit="1" customWidth="1"/>
    <col min="12551" max="12551" width="9.625" style="2" bestFit="1" customWidth="1"/>
    <col min="12552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/>
    <col min="12556" max="12556" width="11.125" style="2" bestFit="1" customWidth="1"/>
    <col min="12557" max="12557" width="9" style="2"/>
    <col min="12558" max="12558" width="11.125" style="2" bestFit="1" customWidth="1"/>
    <col min="12559" max="12559" width="9" style="2"/>
    <col min="12560" max="12568" width="11.125" style="2" bestFit="1" customWidth="1"/>
    <col min="12569" max="12573" width="9" style="2"/>
    <col min="12574" max="12575" width="11.125" style="2" bestFit="1" customWidth="1"/>
    <col min="12576" max="12576" width="9" style="2"/>
    <col min="12577" max="12577" width="9.625" style="2" bestFit="1" customWidth="1"/>
    <col min="12578" max="12803" width="9" style="2"/>
    <col min="12804" max="12804" width="2.375" style="2" customWidth="1"/>
    <col min="12805" max="12805" width="13.25" style="2" bestFit="1" customWidth="1"/>
    <col min="12806" max="12806" width="11.125" style="2" bestFit="1" customWidth="1"/>
    <col min="12807" max="12807" width="9.625" style="2" bestFit="1" customWidth="1"/>
    <col min="12808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/>
    <col min="12812" max="12812" width="11.125" style="2" bestFit="1" customWidth="1"/>
    <col min="12813" max="12813" width="9" style="2"/>
    <col min="12814" max="12814" width="11.125" style="2" bestFit="1" customWidth="1"/>
    <col min="12815" max="12815" width="9" style="2"/>
    <col min="12816" max="12824" width="11.125" style="2" bestFit="1" customWidth="1"/>
    <col min="12825" max="12829" width="9" style="2"/>
    <col min="12830" max="12831" width="11.125" style="2" bestFit="1" customWidth="1"/>
    <col min="12832" max="12832" width="9" style="2"/>
    <col min="12833" max="12833" width="9.625" style="2" bestFit="1" customWidth="1"/>
    <col min="12834" max="13059" width="9" style="2"/>
    <col min="13060" max="13060" width="2.375" style="2" customWidth="1"/>
    <col min="13061" max="13061" width="13.25" style="2" bestFit="1" customWidth="1"/>
    <col min="13062" max="13062" width="11.125" style="2" bestFit="1" customWidth="1"/>
    <col min="13063" max="13063" width="9.625" style="2" bestFit="1" customWidth="1"/>
    <col min="13064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/>
    <col min="13068" max="13068" width="11.125" style="2" bestFit="1" customWidth="1"/>
    <col min="13069" max="13069" width="9" style="2"/>
    <col min="13070" max="13070" width="11.125" style="2" bestFit="1" customWidth="1"/>
    <col min="13071" max="13071" width="9" style="2"/>
    <col min="13072" max="13080" width="11.125" style="2" bestFit="1" customWidth="1"/>
    <col min="13081" max="13085" width="9" style="2"/>
    <col min="13086" max="13087" width="11.125" style="2" bestFit="1" customWidth="1"/>
    <col min="13088" max="13088" width="9" style="2"/>
    <col min="13089" max="13089" width="9.625" style="2" bestFit="1" customWidth="1"/>
    <col min="13090" max="13315" width="9" style="2"/>
    <col min="13316" max="13316" width="2.375" style="2" customWidth="1"/>
    <col min="13317" max="13317" width="13.25" style="2" bestFit="1" customWidth="1"/>
    <col min="13318" max="13318" width="11.125" style="2" bestFit="1" customWidth="1"/>
    <col min="13319" max="13319" width="9.625" style="2" bestFit="1" customWidth="1"/>
    <col min="13320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/>
    <col min="13324" max="13324" width="11.125" style="2" bestFit="1" customWidth="1"/>
    <col min="13325" max="13325" width="9" style="2"/>
    <col min="13326" max="13326" width="11.125" style="2" bestFit="1" customWidth="1"/>
    <col min="13327" max="13327" width="9" style="2"/>
    <col min="13328" max="13336" width="11.125" style="2" bestFit="1" customWidth="1"/>
    <col min="13337" max="13341" width="9" style="2"/>
    <col min="13342" max="13343" width="11.125" style="2" bestFit="1" customWidth="1"/>
    <col min="13344" max="13344" width="9" style="2"/>
    <col min="13345" max="13345" width="9.625" style="2" bestFit="1" customWidth="1"/>
    <col min="13346" max="13571" width="9" style="2"/>
    <col min="13572" max="13572" width="2.375" style="2" customWidth="1"/>
    <col min="13573" max="13573" width="13.25" style="2" bestFit="1" customWidth="1"/>
    <col min="13574" max="13574" width="11.125" style="2" bestFit="1" customWidth="1"/>
    <col min="13575" max="13575" width="9.625" style="2" bestFit="1" customWidth="1"/>
    <col min="13576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/>
    <col min="13580" max="13580" width="11.125" style="2" bestFit="1" customWidth="1"/>
    <col min="13581" max="13581" width="9" style="2"/>
    <col min="13582" max="13582" width="11.125" style="2" bestFit="1" customWidth="1"/>
    <col min="13583" max="13583" width="9" style="2"/>
    <col min="13584" max="13592" width="11.125" style="2" bestFit="1" customWidth="1"/>
    <col min="13593" max="13597" width="9" style="2"/>
    <col min="13598" max="13599" width="11.125" style="2" bestFit="1" customWidth="1"/>
    <col min="13600" max="13600" width="9" style="2"/>
    <col min="13601" max="13601" width="9.625" style="2" bestFit="1" customWidth="1"/>
    <col min="13602" max="13827" width="9" style="2"/>
    <col min="13828" max="13828" width="2.375" style="2" customWidth="1"/>
    <col min="13829" max="13829" width="13.25" style="2" bestFit="1" customWidth="1"/>
    <col min="13830" max="13830" width="11.125" style="2" bestFit="1" customWidth="1"/>
    <col min="13831" max="13831" width="9.625" style="2" bestFit="1" customWidth="1"/>
    <col min="13832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/>
    <col min="13836" max="13836" width="11.125" style="2" bestFit="1" customWidth="1"/>
    <col min="13837" max="13837" width="9" style="2"/>
    <col min="13838" max="13838" width="11.125" style="2" bestFit="1" customWidth="1"/>
    <col min="13839" max="13839" width="9" style="2"/>
    <col min="13840" max="13848" width="11.125" style="2" bestFit="1" customWidth="1"/>
    <col min="13849" max="13853" width="9" style="2"/>
    <col min="13854" max="13855" width="11.125" style="2" bestFit="1" customWidth="1"/>
    <col min="13856" max="13856" width="9" style="2"/>
    <col min="13857" max="13857" width="9.625" style="2" bestFit="1" customWidth="1"/>
    <col min="13858" max="14083" width="9" style="2"/>
    <col min="14084" max="14084" width="2.375" style="2" customWidth="1"/>
    <col min="14085" max="14085" width="13.25" style="2" bestFit="1" customWidth="1"/>
    <col min="14086" max="14086" width="11.125" style="2" bestFit="1" customWidth="1"/>
    <col min="14087" max="14087" width="9.625" style="2" bestFit="1" customWidth="1"/>
    <col min="14088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/>
    <col min="14092" max="14092" width="11.125" style="2" bestFit="1" customWidth="1"/>
    <col min="14093" max="14093" width="9" style="2"/>
    <col min="14094" max="14094" width="11.125" style="2" bestFit="1" customWidth="1"/>
    <col min="14095" max="14095" width="9" style="2"/>
    <col min="14096" max="14104" width="11.125" style="2" bestFit="1" customWidth="1"/>
    <col min="14105" max="14109" width="9" style="2"/>
    <col min="14110" max="14111" width="11.125" style="2" bestFit="1" customWidth="1"/>
    <col min="14112" max="14112" width="9" style="2"/>
    <col min="14113" max="14113" width="9.625" style="2" bestFit="1" customWidth="1"/>
    <col min="14114" max="14339" width="9" style="2"/>
    <col min="14340" max="14340" width="2.375" style="2" customWidth="1"/>
    <col min="14341" max="14341" width="13.25" style="2" bestFit="1" customWidth="1"/>
    <col min="14342" max="14342" width="11.125" style="2" bestFit="1" customWidth="1"/>
    <col min="14343" max="14343" width="9.625" style="2" bestFit="1" customWidth="1"/>
    <col min="14344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/>
    <col min="14348" max="14348" width="11.125" style="2" bestFit="1" customWidth="1"/>
    <col min="14349" max="14349" width="9" style="2"/>
    <col min="14350" max="14350" width="11.125" style="2" bestFit="1" customWidth="1"/>
    <col min="14351" max="14351" width="9" style="2"/>
    <col min="14352" max="14360" width="11.125" style="2" bestFit="1" customWidth="1"/>
    <col min="14361" max="14365" width="9" style="2"/>
    <col min="14366" max="14367" width="11.125" style="2" bestFit="1" customWidth="1"/>
    <col min="14368" max="14368" width="9" style="2"/>
    <col min="14369" max="14369" width="9.625" style="2" bestFit="1" customWidth="1"/>
    <col min="14370" max="14595" width="9" style="2"/>
    <col min="14596" max="14596" width="2.375" style="2" customWidth="1"/>
    <col min="14597" max="14597" width="13.25" style="2" bestFit="1" customWidth="1"/>
    <col min="14598" max="14598" width="11.125" style="2" bestFit="1" customWidth="1"/>
    <col min="14599" max="14599" width="9.625" style="2" bestFit="1" customWidth="1"/>
    <col min="14600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/>
    <col min="14604" max="14604" width="11.125" style="2" bestFit="1" customWidth="1"/>
    <col min="14605" max="14605" width="9" style="2"/>
    <col min="14606" max="14606" width="11.125" style="2" bestFit="1" customWidth="1"/>
    <col min="14607" max="14607" width="9" style="2"/>
    <col min="14608" max="14616" width="11.125" style="2" bestFit="1" customWidth="1"/>
    <col min="14617" max="14621" width="9" style="2"/>
    <col min="14622" max="14623" width="11.125" style="2" bestFit="1" customWidth="1"/>
    <col min="14624" max="14624" width="9" style="2"/>
    <col min="14625" max="14625" width="9.625" style="2" bestFit="1" customWidth="1"/>
    <col min="14626" max="14851" width="9" style="2"/>
    <col min="14852" max="14852" width="2.375" style="2" customWidth="1"/>
    <col min="14853" max="14853" width="13.25" style="2" bestFit="1" customWidth="1"/>
    <col min="14854" max="14854" width="11.125" style="2" bestFit="1" customWidth="1"/>
    <col min="14855" max="14855" width="9.625" style="2" bestFit="1" customWidth="1"/>
    <col min="14856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/>
    <col min="14860" max="14860" width="11.125" style="2" bestFit="1" customWidth="1"/>
    <col min="14861" max="14861" width="9" style="2"/>
    <col min="14862" max="14862" width="11.125" style="2" bestFit="1" customWidth="1"/>
    <col min="14863" max="14863" width="9" style="2"/>
    <col min="14864" max="14872" width="11.125" style="2" bestFit="1" customWidth="1"/>
    <col min="14873" max="14877" width="9" style="2"/>
    <col min="14878" max="14879" width="11.125" style="2" bestFit="1" customWidth="1"/>
    <col min="14880" max="14880" width="9" style="2"/>
    <col min="14881" max="14881" width="9.625" style="2" bestFit="1" customWidth="1"/>
    <col min="14882" max="15107" width="9" style="2"/>
    <col min="15108" max="15108" width="2.375" style="2" customWidth="1"/>
    <col min="15109" max="15109" width="13.25" style="2" bestFit="1" customWidth="1"/>
    <col min="15110" max="15110" width="11.125" style="2" bestFit="1" customWidth="1"/>
    <col min="15111" max="15111" width="9.625" style="2" bestFit="1" customWidth="1"/>
    <col min="15112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/>
    <col min="15116" max="15116" width="11.125" style="2" bestFit="1" customWidth="1"/>
    <col min="15117" max="15117" width="9" style="2"/>
    <col min="15118" max="15118" width="11.125" style="2" bestFit="1" customWidth="1"/>
    <col min="15119" max="15119" width="9" style="2"/>
    <col min="15120" max="15128" width="11.125" style="2" bestFit="1" customWidth="1"/>
    <col min="15129" max="15133" width="9" style="2"/>
    <col min="15134" max="15135" width="11.125" style="2" bestFit="1" customWidth="1"/>
    <col min="15136" max="15136" width="9" style="2"/>
    <col min="15137" max="15137" width="9.625" style="2" bestFit="1" customWidth="1"/>
    <col min="15138" max="15363" width="9" style="2"/>
    <col min="15364" max="15364" width="2.375" style="2" customWidth="1"/>
    <col min="15365" max="15365" width="13.25" style="2" bestFit="1" customWidth="1"/>
    <col min="15366" max="15366" width="11.125" style="2" bestFit="1" customWidth="1"/>
    <col min="15367" max="15367" width="9.625" style="2" bestFit="1" customWidth="1"/>
    <col min="15368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/>
    <col min="15372" max="15372" width="11.125" style="2" bestFit="1" customWidth="1"/>
    <col min="15373" max="15373" width="9" style="2"/>
    <col min="15374" max="15374" width="11.125" style="2" bestFit="1" customWidth="1"/>
    <col min="15375" max="15375" width="9" style="2"/>
    <col min="15376" max="15384" width="11.125" style="2" bestFit="1" customWidth="1"/>
    <col min="15385" max="15389" width="9" style="2"/>
    <col min="15390" max="15391" width="11.125" style="2" bestFit="1" customWidth="1"/>
    <col min="15392" max="15392" width="9" style="2"/>
    <col min="15393" max="15393" width="9.625" style="2" bestFit="1" customWidth="1"/>
    <col min="15394" max="15619" width="9" style="2"/>
    <col min="15620" max="15620" width="2.375" style="2" customWidth="1"/>
    <col min="15621" max="15621" width="13.25" style="2" bestFit="1" customWidth="1"/>
    <col min="15622" max="15622" width="11.125" style="2" bestFit="1" customWidth="1"/>
    <col min="15623" max="15623" width="9.625" style="2" bestFit="1" customWidth="1"/>
    <col min="15624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/>
    <col min="15628" max="15628" width="11.125" style="2" bestFit="1" customWidth="1"/>
    <col min="15629" max="15629" width="9" style="2"/>
    <col min="15630" max="15630" width="11.125" style="2" bestFit="1" customWidth="1"/>
    <col min="15631" max="15631" width="9" style="2"/>
    <col min="15632" max="15640" width="11.125" style="2" bestFit="1" customWidth="1"/>
    <col min="15641" max="15645" width="9" style="2"/>
    <col min="15646" max="15647" width="11.125" style="2" bestFit="1" customWidth="1"/>
    <col min="15648" max="15648" width="9" style="2"/>
    <col min="15649" max="15649" width="9.625" style="2" bestFit="1" customWidth="1"/>
    <col min="15650" max="15875" width="9" style="2"/>
    <col min="15876" max="15876" width="2.375" style="2" customWidth="1"/>
    <col min="15877" max="15877" width="13.25" style="2" bestFit="1" customWidth="1"/>
    <col min="15878" max="15878" width="11.125" style="2" bestFit="1" customWidth="1"/>
    <col min="15879" max="15879" width="9.625" style="2" bestFit="1" customWidth="1"/>
    <col min="15880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/>
    <col min="15884" max="15884" width="11.125" style="2" bestFit="1" customWidth="1"/>
    <col min="15885" max="15885" width="9" style="2"/>
    <col min="15886" max="15886" width="11.125" style="2" bestFit="1" customWidth="1"/>
    <col min="15887" max="15887" width="9" style="2"/>
    <col min="15888" max="15896" width="11.125" style="2" bestFit="1" customWidth="1"/>
    <col min="15897" max="15901" width="9" style="2"/>
    <col min="15902" max="15903" width="11.125" style="2" bestFit="1" customWidth="1"/>
    <col min="15904" max="15904" width="9" style="2"/>
    <col min="15905" max="15905" width="9.625" style="2" bestFit="1" customWidth="1"/>
    <col min="15906" max="16131" width="9" style="2"/>
    <col min="16132" max="16132" width="2.375" style="2" customWidth="1"/>
    <col min="16133" max="16133" width="13.25" style="2" bestFit="1" customWidth="1"/>
    <col min="16134" max="16134" width="11.125" style="2" bestFit="1" customWidth="1"/>
    <col min="16135" max="16135" width="9.625" style="2" bestFit="1" customWidth="1"/>
    <col min="16136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/>
    <col min="16140" max="16140" width="11.125" style="2" bestFit="1" customWidth="1"/>
    <col min="16141" max="16141" width="9" style="2"/>
    <col min="16142" max="16142" width="11.125" style="2" bestFit="1" customWidth="1"/>
    <col min="16143" max="16143" width="9" style="2"/>
    <col min="16144" max="16152" width="11.125" style="2" bestFit="1" customWidth="1"/>
    <col min="16153" max="16157" width="9" style="2"/>
    <col min="16158" max="16159" width="11.125" style="2" bestFit="1" customWidth="1"/>
    <col min="16160" max="16160" width="9" style="2"/>
    <col min="16161" max="16161" width="9.625" style="2" bestFit="1" customWidth="1"/>
    <col min="16162" max="16384" width="9" style="2"/>
  </cols>
  <sheetData>
    <row r="1" spans="1:33">
      <c r="A1" s="1" t="s">
        <v>0</v>
      </c>
    </row>
    <row r="2" spans="1:33">
      <c r="A2" s="1" t="s">
        <v>1</v>
      </c>
    </row>
    <row r="3" spans="1:33" ht="19.5" thickBot="1">
      <c r="A3" s="1" t="s">
        <v>115</v>
      </c>
    </row>
    <row r="4" spans="1:33">
      <c r="B4" s="3"/>
      <c r="C4" s="33" t="s">
        <v>3</v>
      </c>
      <c r="D4" s="4" t="s">
        <v>4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22" t="s">
        <v>116</v>
      </c>
      <c r="U4" s="4" t="s">
        <v>5</v>
      </c>
      <c r="V4" s="4" t="s">
        <v>6</v>
      </c>
      <c r="W4" s="4" t="s">
        <v>27</v>
      </c>
      <c r="X4" s="4" t="s">
        <v>28</v>
      </c>
      <c r="Y4" s="4" t="s">
        <v>23</v>
      </c>
      <c r="Z4" s="4" t="s">
        <v>24</v>
      </c>
      <c r="AA4" s="4" t="s">
        <v>25</v>
      </c>
      <c r="AB4" s="4" t="s">
        <v>26</v>
      </c>
      <c r="AC4" s="4" t="s">
        <v>29</v>
      </c>
      <c r="AD4" s="22" t="s">
        <v>116</v>
      </c>
      <c r="AE4" s="36" t="s">
        <v>7</v>
      </c>
      <c r="AF4" s="22" t="s">
        <v>116</v>
      </c>
      <c r="AG4" s="22" t="s">
        <v>120</v>
      </c>
    </row>
    <row r="5" spans="1:33" ht="19.5" thickBot="1">
      <c r="A5" s="38"/>
      <c r="B5" s="32" t="s">
        <v>30</v>
      </c>
      <c r="C5" s="34" t="s">
        <v>31</v>
      </c>
      <c r="D5" s="18" t="s">
        <v>32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  <c r="J5" s="18" t="s">
        <v>41</v>
      </c>
      <c r="K5" s="18" t="s">
        <v>42</v>
      </c>
      <c r="L5" s="18" t="s">
        <v>43</v>
      </c>
      <c r="M5" s="18" t="s">
        <v>44</v>
      </c>
      <c r="N5" s="18" t="s">
        <v>45</v>
      </c>
      <c r="O5" s="18" t="s">
        <v>46</v>
      </c>
      <c r="P5" s="18" t="s">
        <v>47</v>
      </c>
      <c r="Q5" s="18" t="s">
        <v>48</v>
      </c>
      <c r="R5" s="18" t="s">
        <v>49</v>
      </c>
      <c r="S5" s="18" t="s">
        <v>50</v>
      </c>
      <c r="T5" s="35" t="s">
        <v>117</v>
      </c>
      <c r="U5" s="18" t="s">
        <v>33</v>
      </c>
      <c r="V5" s="18" t="s">
        <v>34</v>
      </c>
      <c r="W5" s="18" t="s">
        <v>55</v>
      </c>
      <c r="X5" s="18" t="s">
        <v>56</v>
      </c>
      <c r="Y5" s="18" t="s">
        <v>51</v>
      </c>
      <c r="Z5" s="18" t="s">
        <v>52</v>
      </c>
      <c r="AA5" s="18" t="s">
        <v>53</v>
      </c>
      <c r="AB5" s="18" t="s">
        <v>54</v>
      </c>
      <c r="AC5" s="18" t="s">
        <v>57</v>
      </c>
      <c r="AD5" s="35" t="s">
        <v>118</v>
      </c>
      <c r="AE5" s="37" t="s">
        <v>35</v>
      </c>
      <c r="AF5" s="35" t="s">
        <v>119</v>
      </c>
      <c r="AG5" s="35" t="s">
        <v>121</v>
      </c>
    </row>
    <row r="6" spans="1:33">
      <c r="A6" s="1" t="s">
        <v>2</v>
      </c>
      <c r="B6" s="15" t="s">
        <v>58</v>
      </c>
      <c r="C6" s="16">
        <v>19</v>
      </c>
      <c r="D6" s="16">
        <v>15</v>
      </c>
      <c r="E6" s="16">
        <v>19</v>
      </c>
      <c r="F6" s="16">
        <v>20</v>
      </c>
      <c r="G6" s="16">
        <v>17</v>
      </c>
      <c r="H6" s="16">
        <v>20</v>
      </c>
      <c r="I6" s="16">
        <v>20</v>
      </c>
      <c r="J6" s="16">
        <v>19</v>
      </c>
      <c r="K6" s="16">
        <v>18</v>
      </c>
      <c r="L6" s="16">
        <v>20</v>
      </c>
      <c r="M6" s="16">
        <v>18</v>
      </c>
      <c r="N6" s="16">
        <v>18</v>
      </c>
      <c r="O6" s="16">
        <v>20</v>
      </c>
      <c r="P6" s="16">
        <v>18</v>
      </c>
      <c r="Q6" s="16">
        <v>20</v>
      </c>
      <c r="R6" s="16">
        <v>20</v>
      </c>
      <c r="S6" s="16">
        <v>21</v>
      </c>
      <c r="T6" s="17">
        <f>SUM(C6:S6)</f>
        <v>322</v>
      </c>
      <c r="U6" s="16">
        <v>20</v>
      </c>
      <c r="V6" s="16">
        <v>21</v>
      </c>
      <c r="W6" s="16">
        <v>13</v>
      </c>
      <c r="X6" s="16">
        <v>14</v>
      </c>
      <c r="Y6" s="16">
        <v>7</v>
      </c>
      <c r="Z6" s="16">
        <v>11</v>
      </c>
      <c r="AA6" s="16">
        <v>0</v>
      </c>
      <c r="AB6" s="16">
        <v>10</v>
      </c>
      <c r="AC6" s="16">
        <v>8</v>
      </c>
      <c r="AD6" s="17">
        <f>SUM(U6:AC6)</f>
        <v>104</v>
      </c>
      <c r="AE6" s="17">
        <v>21</v>
      </c>
      <c r="AF6" s="17">
        <f>SUM(AE6)</f>
        <v>21</v>
      </c>
      <c r="AG6" s="17">
        <f>SUM(AF6,AD6,T6)</f>
        <v>447</v>
      </c>
    </row>
    <row r="7" spans="1:33">
      <c r="A7" s="1" t="s">
        <v>2</v>
      </c>
      <c r="B7" s="5" t="s">
        <v>59</v>
      </c>
      <c r="C7" s="6">
        <v>3</v>
      </c>
      <c r="D7" s="6">
        <v>5</v>
      </c>
      <c r="E7" s="6">
        <v>3</v>
      </c>
      <c r="F7" s="6">
        <v>0</v>
      </c>
      <c r="G7" s="6">
        <v>3</v>
      </c>
      <c r="H7" s="6">
        <v>3</v>
      </c>
      <c r="I7" s="6">
        <v>4</v>
      </c>
      <c r="J7" s="6">
        <v>3</v>
      </c>
      <c r="K7" s="6">
        <v>1</v>
      </c>
      <c r="L7" s="6">
        <v>4</v>
      </c>
      <c r="M7" s="6">
        <v>4</v>
      </c>
      <c r="N7" s="6">
        <v>2</v>
      </c>
      <c r="O7" s="6">
        <v>4</v>
      </c>
      <c r="P7" s="6">
        <v>3</v>
      </c>
      <c r="Q7" s="6">
        <v>1</v>
      </c>
      <c r="R7" s="6">
        <v>2</v>
      </c>
      <c r="S7" s="6">
        <v>0</v>
      </c>
      <c r="T7" s="7">
        <f t="shared" ref="T7:T26" si="0">SUM(C7:S7)</f>
        <v>45</v>
      </c>
      <c r="U7" s="6">
        <v>0</v>
      </c>
      <c r="V7" s="6">
        <v>3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7">
        <f t="shared" ref="AD7:AD26" si="1">SUM(U7:AC7)</f>
        <v>3</v>
      </c>
      <c r="AE7" s="7">
        <v>0</v>
      </c>
      <c r="AF7" s="7">
        <f t="shared" ref="AF7:AF26" si="2">SUM(AE7)</f>
        <v>0</v>
      </c>
      <c r="AG7" s="7">
        <f t="shared" ref="AG7:AG26" si="3">SUM(AF7,AD7,T7)</f>
        <v>48</v>
      </c>
    </row>
    <row r="8" spans="1:33">
      <c r="A8" s="1" t="s">
        <v>2</v>
      </c>
      <c r="B8" s="5" t="s">
        <v>60</v>
      </c>
      <c r="C8" s="6">
        <v>4</v>
      </c>
      <c r="D8" s="6">
        <v>4</v>
      </c>
      <c r="E8" s="6">
        <v>1</v>
      </c>
      <c r="F8" s="6">
        <v>4</v>
      </c>
      <c r="G8" s="6">
        <v>2</v>
      </c>
      <c r="H8" s="6">
        <v>2</v>
      </c>
      <c r="I8" s="6">
        <v>2</v>
      </c>
      <c r="J8" s="6">
        <v>3</v>
      </c>
      <c r="K8" s="6">
        <v>4</v>
      </c>
      <c r="L8" s="6">
        <v>3</v>
      </c>
      <c r="M8" s="6">
        <v>3</v>
      </c>
      <c r="N8" s="6">
        <v>5</v>
      </c>
      <c r="O8" s="6">
        <v>3</v>
      </c>
      <c r="P8" s="6">
        <v>2</v>
      </c>
      <c r="Q8" s="6">
        <v>4</v>
      </c>
      <c r="R8" s="6">
        <v>2</v>
      </c>
      <c r="S8" s="6">
        <v>4</v>
      </c>
      <c r="T8" s="7">
        <f t="shared" si="0"/>
        <v>52</v>
      </c>
      <c r="U8" s="6">
        <v>0</v>
      </c>
      <c r="V8" s="6">
        <v>1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7">
        <f t="shared" si="1"/>
        <v>1</v>
      </c>
      <c r="AE8" s="7">
        <v>0</v>
      </c>
      <c r="AF8" s="7">
        <f t="shared" si="2"/>
        <v>0</v>
      </c>
      <c r="AG8" s="7">
        <f t="shared" si="3"/>
        <v>53</v>
      </c>
    </row>
    <row r="9" spans="1:33">
      <c r="A9" s="1" t="s">
        <v>2</v>
      </c>
      <c r="B9" s="5" t="s">
        <v>61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7">
        <f t="shared" si="0"/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7">
        <f t="shared" si="1"/>
        <v>0</v>
      </c>
      <c r="AE9" s="7">
        <v>0</v>
      </c>
      <c r="AF9" s="7">
        <f t="shared" si="2"/>
        <v>0</v>
      </c>
      <c r="AG9" s="7">
        <f t="shared" si="3"/>
        <v>0</v>
      </c>
    </row>
    <row r="10" spans="1:33">
      <c r="A10" s="1" t="s">
        <v>2</v>
      </c>
      <c r="B10" s="5" t="s">
        <v>62</v>
      </c>
      <c r="C10" s="6">
        <v>1</v>
      </c>
      <c r="D10" s="6">
        <v>4</v>
      </c>
      <c r="E10" s="6">
        <v>2</v>
      </c>
      <c r="F10" s="6">
        <v>1</v>
      </c>
      <c r="G10" s="6">
        <v>3</v>
      </c>
      <c r="H10" s="6">
        <v>1</v>
      </c>
      <c r="I10" s="6">
        <v>1</v>
      </c>
      <c r="J10" s="6">
        <v>2</v>
      </c>
      <c r="K10" s="6">
        <v>2</v>
      </c>
      <c r="L10" s="6">
        <v>1</v>
      </c>
      <c r="M10" s="6">
        <v>3</v>
      </c>
      <c r="N10" s="6">
        <v>3</v>
      </c>
      <c r="O10" s="6">
        <v>1</v>
      </c>
      <c r="P10" s="6">
        <v>3</v>
      </c>
      <c r="Q10" s="6">
        <v>1</v>
      </c>
      <c r="R10" s="6">
        <v>1</v>
      </c>
      <c r="S10" s="6">
        <v>0</v>
      </c>
      <c r="T10" s="7">
        <f t="shared" si="0"/>
        <v>30</v>
      </c>
      <c r="U10" s="6">
        <v>1</v>
      </c>
      <c r="V10" s="6">
        <v>0</v>
      </c>
      <c r="W10" s="6">
        <v>0</v>
      </c>
      <c r="X10" s="6">
        <v>0</v>
      </c>
      <c r="Y10" s="6">
        <v>0</v>
      </c>
      <c r="Z10" s="6">
        <v>1</v>
      </c>
      <c r="AA10" s="6">
        <v>1</v>
      </c>
      <c r="AB10" s="6">
        <v>0</v>
      </c>
      <c r="AC10" s="6">
        <v>0</v>
      </c>
      <c r="AD10" s="7">
        <f t="shared" si="1"/>
        <v>3</v>
      </c>
      <c r="AE10" s="7">
        <v>0</v>
      </c>
      <c r="AF10" s="7">
        <f t="shared" si="2"/>
        <v>0</v>
      </c>
      <c r="AG10" s="7">
        <f t="shared" si="3"/>
        <v>33</v>
      </c>
    </row>
    <row r="11" spans="1:33">
      <c r="A11" s="1" t="s">
        <v>2</v>
      </c>
      <c r="B11" s="5" t="s">
        <v>63</v>
      </c>
      <c r="C11" s="6">
        <v>1</v>
      </c>
      <c r="D11" s="6">
        <v>2</v>
      </c>
      <c r="E11" s="6">
        <v>0</v>
      </c>
      <c r="F11" s="6">
        <v>0</v>
      </c>
      <c r="G11" s="6">
        <v>1</v>
      </c>
      <c r="H11" s="6">
        <v>0</v>
      </c>
      <c r="I11" s="6">
        <v>0</v>
      </c>
      <c r="J11" s="6">
        <v>0</v>
      </c>
      <c r="K11" s="6">
        <v>1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7">
        <f t="shared" si="0"/>
        <v>5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7">
        <f t="shared" si="1"/>
        <v>0</v>
      </c>
      <c r="AE11" s="7">
        <v>0</v>
      </c>
      <c r="AF11" s="7">
        <f t="shared" si="2"/>
        <v>0</v>
      </c>
      <c r="AG11" s="7">
        <f t="shared" si="3"/>
        <v>5</v>
      </c>
    </row>
    <row r="12" spans="1:33">
      <c r="A12" s="1" t="s">
        <v>2</v>
      </c>
      <c r="B12" s="5" t="s">
        <v>64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7">
        <f t="shared" si="0"/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7">
        <f t="shared" si="1"/>
        <v>0</v>
      </c>
      <c r="AE12" s="7">
        <v>0</v>
      </c>
      <c r="AF12" s="7">
        <f t="shared" si="2"/>
        <v>0</v>
      </c>
      <c r="AG12" s="7">
        <f t="shared" si="3"/>
        <v>0</v>
      </c>
    </row>
    <row r="13" spans="1:33">
      <c r="A13" s="1" t="s">
        <v>2</v>
      </c>
      <c r="B13" s="5" t="s">
        <v>65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7">
        <f t="shared" si="0"/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7">
        <f t="shared" si="1"/>
        <v>0</v>
      </c>
      <c r="AE13" s="7">
        <v>0</v>
      </c>
      <c r="AF13" s="7">
        <f t="shared" si="2"/>
        <v>0</v>
      </c>
      <c r="AG13" s="7">
        <f t="shared" si="3"/>
        <v>0</v>
      </c>
    </row>
    <row r="14" spans="1:33">
      <c r="A14" s="1" t="s">
        <v>2</v>
      </c>
      <c r="B14" s="5" t="s">
        <v>66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9">
        <f t="shared" si="0"/>
        <v>0</v>
      </c>
      <c r="U14" s="8">
        <v>0</v>
      </c>
      <c r="V14" s="8">
        <v>0</v>
      </c>
      <c r="W14" s="8">
        <v>3.7083333333333335</v>
      </c>
      <c r="X14" s="8">
        <v>3.875</v>
      </c>
      <c r="Y14" s="8">
        <v>1.9583333333333335</v>
      </c>
      <c r="Z14" s="8">
        <v>3.25</v>
      </c>
      <c r="AA14" s="8">
        <v>0</v>
      </c>
      <c r="AB14" s="8">
        <v>2.9166666666666665</v>
      </c>
      <c r="AC14" s="8">
        <v>2.5</v>
      </c>
      <c r="AD14" s="9">
        <f t="shared" si="1"/>
        <v>18.208333333333336</v>
      </c>
      <c r="AE14" s="9">
        <v>0</v>
      </c>
      <c r="AF14" s="9">
        <f t="shared" si="2"/>
        <v>0</v>
      </c>
      <c r="AG14" s="9">
        <f t="shared" si="3"/>
        <v>18.208333333333336</v>
      </c>
    </row>
    <row r="15" spans="1:33">
      <c r="A15" s="1" t="s">
        <v>2</v>
      </c>
      <c r="B15" s="5" t="s">
        <v>67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9">
        <f t="shared" si="0"/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9">
        <f t="shared" si="1"/>
        <v>0</v>
      </c>
      <c r="AE15" s="9">
        <v>0</v>
      </c>
      <c r="AF15" s="9">
        <f t="shared" si="2"/>
        <v>0</v>
      </c>
      <c r="AG15" s="9">
        <f t="shared" si="3"/>
        <v>0</v>
      </c>
    </row>
    <row r="16" spans="1:33">
      <c r="A16" s="1" t="s">
        <v>2</v>
      </c>
      <c r="B16" s="5" t="s">
        <v>68</v>
      </c>
      <c r="C16" s="8">
        <v>1.4583333333333333</v>
      </c>
      <c r="D16" s="8">
        <v>2</v>
      </c>
      <c r="E16" s="8">
        <v>1.9583333333333335</v>
      </c>
      <c r="F16" s="8">
        <v>2.75</v>
      </c>
      <c r="G16" s="8">
        <v>1.9166666666666665</v>
      </c>
      <c r="H16" s="8">
        <v>3.75</v>
      </c>
      <c r="I16" s="8">
        <v>2.4166666666666665</v>
      </c>
      <c r="J16" s="8">
        <v>1.5833333333333335</v>
      </c>
      <c r="K16" s="8">
        <v>2.2083333333333335</v>
      </c>
      <c r="L16" s="8">
        <v>2.125</v>
      </c>
      <c r="M16" s="8">
        <v>1.625</v>
      </c>
      <c r="N16" s="8">
        <v>1.4583333333333333</v>
      </c>
      <c r="O16" s="8">
        <v>2.0833333333333335</v>
      </c>
      <c r="P16" s="8">
        <v>2.7083333333333335</v>
      </c>
      <c r="Q16" s="8">
        <v>2.7916666666666665</v>
      </c>
      <c r="R16" s="8">
        <v>1.3333333333333333</v>
      </c>
      <c r="S16" s="8">
        <v>2.1666666666666665</v>
      </c>
      <c r="T16" s="9">
        <f t="shared" si="0"/>
        <v>36.333333333333329</v>
      </c>
      <c r="U16" s="8">
        <v>0</v>
      </c>
      <c r="V16" s="8">
        <v>1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0.125</v>
      </c>
      <c r="AD16" s="9">
        <f t="shared" si="1"/>
        <v>1.125</v>
      </c>
      <c r="AE16" s="9">
        <v>0</v>
      </c>
      <c r="AF16" s="9">
        <f t="shared" si="2"/>
        <v>0</v>
      </c>
      <c r="AG16" s="9">
        <f t="shared" si="3"/>
        <v>37.458333333333329</v>
      </c>
    </row>
    <row r="17" spans="1:33">
      <c r="A17" s="1" t="s">
        <v>2</v>
      </c>
      <c r="B17" s="5" t="s">
        <v>69</v>
      </c>
      <c r="C17" s="8">
        <v>1</v>
      </c>
      <c r="D17" s="8">
        <v>1.75</v>
      </c>
      <c r="E17" s="8">
        <v>1.2916666666666667</v>
      </c>
      <c r="F17" s="8">
        <v>0</v>
      </c>
      <c r="G17" s="8">
        <v>1</v>
      </c>
      <c r="H17" s="8">
        <v>1.4166666666666667</v>
      </c>
      <c r="I17" s="8">
        <v>1.4166666666666667</v>
      </c>
      <c r="J17" s="8">
        <v>1</v>
      </c>
      <c r="K17" s="8">
        <v>0.5</v>
      </c>
      <c r="L17" s="8">
        <v>1.9166666666666665</v>
      </c>
      <c r="M17" s="8">
        <v>1.8333333333333335</v>
      </c>
      <c r="N17" s="8">
        <v>0.70833333333333337</v>
      </c>
      <c r="O17" s="8">
        <v>0.91666666666666663</v>
      </c>
      <c r="P17" s="8">
        <v>1.4166666666666667</v>
      </c>
      <c r="Q17" s="8">
        <v>0.375</v>
      </c>
      <c r="R17" s="8">
        <v>0.79166666666666663</v>
      </c>
      <c r="S17" s="8">
        <v>0</v>
      </c>
      <c r="T17" s="9">
        <f t="shared" si="0"/>
        <v>17.333333333333336</v>
      </c>
      <c r="U17" s="8">
        <v>0</v>
      </c>
      <c r="V17" s="8">
        <v>0.83333333333333337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9">
        <f t="shared" si="1"/>
        <v>0.83333333333333337</v>
      </c>
      <c r="AE17" s="9">
        <v>0</v>
      </c>
      <c r="AF17" s="9">
        <f t="shared" si="2"/>
        <v>0</v>
      </c>
      <c r="AG17" s="9">
        <f t="shared" si="3"/>
        <v>18.166666666666668</v>
      </c>
    </row>
    <row r="18" spans="1:33">
      <c r="A18" s="1" t="s">
        <v>2</v>
      </c>
      <c r="B18" s="5" t="s">
        <v>70</v>
      </c>
      <c r="C18" s="8">
        <v>1.4166666666666667</v>
      </c>
      <c r="D18" s="8">
        <v>1.2083333333333333</v>
      </c>
      <c r="E18" s="8">
        <v>0.375</v>
      </c>
      <c r="F18" s="8">
        <v>1.375</v>
      </c>
      <c r="G18" s="8">
        <v>0.79166666666666663</v>
      </c>
      <c r="H18" s="8">
        <v>0.58333333333333337</v>
      </c>
      <c r="I18" s="8">
        <v>0.5</v>
      </c>
      <c r="J18" s="8">
        <v>1.2916666666666667</v>
      </c>
      <c r="K18" s="8">
        <v>1.3333333333333333</v>
      </c>
      <c r="L18" s="8">
        <v>1.125</v>
      </c>
      <c r="M18" s="8">
        <v>1.25</v>
      </c>
      <c r="N18" s="8">
        <v>1.75</v>
      </c>
      <c r="O18" s="8">
        <v>1.125</v>
      </c>
      <c r="P18" s="8">
        <v>0.83333333333333337</v>
      </c>
      <c r="Q18" s="8">
        <v>1.4166666666666667</v>
      </c>
      <c r="R18" s="8">
        <v>0.70833333333333337</v>
      </c>
      <c r="S18" s="8">
        <v>1.5</v>
      </c>
      <c r="T18" s="9">
        <f t="shared" si="0"/>
        <v>18.583333333333332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9">
        <f t="shared" si="1"/>
        <v>0</v>
      </c>
      <c r="AE18" s="9">
        <v>0</v>
      </c>
      <c r="AF18" s="9">
        <f t="shared" si="2"/>
        <v>0</v>
      </c>
      <c r="AG18" s="9">
        <f t="shared" si="3"/>
        <v>18.583333333333332</v>
      </c>
    </row>
    <row r="19" spans="1:33">
      <c r="A19" s="1" t="s">
        <v>2</v>
      </c>
      <c r="B19" s="5" t="s">
        <v>71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9">
        <f t="shared" si="0"/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9">
        <f t="shared" si="1"/>
        <v>0</v>
      </c>
      <c r="AE19" s="9">
        <v>0</v>
      </c>
      <c r="AF19" s="9">
        <f t="shared" si="2"/>
        <v>0</v>
      </c>
      <c r="AG19" s="9">
        <f t="shared" si="3"/>
        <v>0</v>
      </c>
    </row>
    <row r="20" spans="1:33">
      <c r="A20" s="1" t="s">
        <v>2</v>
      </c>
      <c r="B20" s="5" t="s">
        <v>72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9">
        <f t="shared" si="0"/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9">
        <f t="shared" si="1"/>
        <v>0</v>
      </c>
      <c r="AE20" s="9">
        <v>0</v>
      </c>
      <c r="AF20" s="9">
        <f t="shared" si="2"/>
        <v>0</v>
      </c>
      <c r="AG20" s="9">
        <f t="shared" si="3"/>
        <v>0</v>
      </c>
    </row>
    <row r="21" spans="1:33">
      <c r="A21" s="1" t="s">
        <v>2</v>
      </c>
      <c r="B21" s="5" t="s">
        <v>73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9">
        <f t="shared" si="0"/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9">
        <f t="shared" si="1"/>
        <v>0</v>
      </c>
      <c r="AE21" s="9">
        <v>0</v>
      </c>
      <c r="AF21" s="9">
        <f t="shared" si="2"/>
        <v>0</v>
      </c>
      <c r="AG21" s="9">
        <f t="shared" si="3"/>
        <v>0</v>
      </c>
    </row>
    <row r="22" spans="1:33">
      <c r="A22" s="1" t="s">
        <v>2</v>
      </c>
      <c r="B22" s="5" t="s">
        <v>74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9">
        <f t="shared" si="0"/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9">
        <f t="shared" si="1"/>
        <v>0</v>
      </c>
      <c r="AE22" s="9">
        <v>0</v>
      </c>
      <c r="AF22" s="9">
        <f t="shared" si="2"/>
        <v>0</v>
      </c>
      <c r="AG22" s="9">
        <f t="shared" si="3"/>
        <v>0</v>
      </c>
    </row>
    <row r="23" spans="1:33">
      <c r="A23" s="1" t="s">
        <v>2</v>
      </c>
      <c r="B23" s="5" t="s">
        <v>75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9">
        <f t="shared" si="0"/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0.29166666666666669</v>
      </c>
      <c r="AA23" s="8">
        <v>0.29166666666666669</v>
      </c>
      <c r="AB23" s="8">
        <v>0</v>
      </c>
      <c r="AC23" s="8">
        <v>0</v>
      </c>
      <c r="AD23" s="9">
        <f t="shared" si="1"/>
        <v>0.58333333333333337</v>
      </c>
      <c r="AE23" s="9">
        <v>0</v>
      </c>
      <c r="AF23" s="9">
        <f t="shared" si="2"/>
        <v>0</v>
      </c>
      <c r="AG23" s="9">
        <f t="shared" si="3"/>
        <v>0.58333333333333337</v>
      </c>
    </row>
    <row r="24" spans="1:33">
      <c r="A24" s="1" t="s">
        <v>2</v>
      </c>
      <c r="B24" s="5" t="s">
        <v>76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9">
        <f t="shared" si="0"/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9">
        <f t="shared" si="1"/>
        <v>0</v>
      </c>
      <c r="AE24" s="9">
        <v>0</v>
      </c>
      <c r="AF24" s="9">
        <f t="shared" si="2"/>
        <v>0</v>
      </c>
      <c r="AG24" s="9">
        <f t="shared" si="3"/>
        <v>0</v>
      </c>
    </row>
    <row r="25" spans="1:33">
      <c r="A25" s="1" t="s">
        <v>2</v>
      </c>
      <c r="B25" s="5" t="s">
        <v>77</v>
      </c>
      <c r="C25" s="8">
        <v>0.45833333333333331</v>
      </c>
      <c r="D25" s="8">
        <v>0.20833333333333334</v>
      </c>
      <c r="E25" s="8">
        <v>0</v>
      </c>
      <c r="F25" s="8">
        <v>0.83333333333333337</v>
      </c>
      <c r="G25" s="8">
        <v>1.5416666666666665</v>
      </c>
      <c r="H25" s="8">
        <v>1.5</v>
      </c>
      <c r="I25" s="8">
        <v>0.16666666666666666</v>
      </c>
      <c r="J25" s="8">
        <v>1.7916666666666665</v>
      </c>
      <c r="K25" s="8">
        <v>8.3333333333333329E-2</v>
      </c>
      <c r="L25" s="8">
        <v>0.375</v>
      </c>
      <c r="M25" s="8">
        <v>0.5</v>
      </c>
      <c r="N25" s="8">
        <v>1.375</v>
      </c>
      <c r="O25" s="8">
        <v>0.16666666666666666</v>
      </c>
      <c r="P25" s="8">
        <v>1.5416666666666665</v>
      </c>
      <c r="Q25" s="8">
        <v>1.3333333333333333</v>
      </c>
      <c r="R25" s="8">
        <v>1.3333333333333333</v>
      </c>
      <c r="S25" s="8">
        <v>8.3333333333333329E-2</v>
      </c>
      <c r="T25" s="9">
        <f t="shared" si="0"/>
        <v>13.291666666666666</v>
      </c>
      <c r="U25" s="8">
        <v>0</v>
      </c>
      <c r="V25" s="8">
        <v>0</v>
      </c>
      <c r="W25" s="8">
        <v>0</v>
      </c>
      <c r="X25" s="8">
        <v>0</v>
      </c>
      <c r="Y25" s="8">
        <v>1.25</v>
      </c>
      <c r="Z25" s="8">
        <v>2.2916666666666665</v>
      </c>
      <c r="AA25" s="8">
        <v>0</v>
      </c>
      <c r="AB25" s="8">
        <v>2.0833333333333335</v>
      </c>
      <c r="AC25" s="8">
        <v>0.83333333333333337</v>
      </c>
      <c r="AD25" s="9">
        <f t="shared" si="1"/>
        <v>6.458333333333333</v>
      </c>
      <c r="AE25" s="9">
        <v>4.1666666666666664E-2</v>
      </c>
      <c r="AF25" s="9">
        <f t="shared" si="2"/>
        <v>4.1666666666666664E-2</v>
      </c>
      <c r="AG25" s="9">
        <f t="shared" si="3"/>
        <v>19.791666666666664</v>
      </c>
    </row>
    <row r="26" spans="1:33" ht="19.5" thickBot="1">
      <c r="A26" s="1" t="s">
        <v>2</v>
      </c>
      <c r="B26" s="19" t="s">
        <v>78</v>
      </c>
      <c r="C26" s="20">
        <v>32</v>
      </c>
      <c r="D26" s="20">
        <v>35</v>
      </c>
      <c r="E26" s="20">
        <v>37</v>
      </c>
      <c r="F26" s="20">
        <v>39</v>
      </c>
      <c r="G26" s="20">
        <v>31</v>
      </c>
      <c r="H26" s="20">
        <v>34</v>
      </c>
      <c r="I26" s="20">
        <v>38</v>
      </c>
      <c r="J26" s="20">
        <v>28</v>
      </c>
      <c r="K26" s="20">
        <v>27</v>
      </c>
      <c r="L26" s="20">
        <v>34</v>
      </c>
      <c r="M26" s="20">
        <v>10</v>
      </c>
      <c r="N26" s="20">
        <v>16</v>
      </c>
      <c r="O26" s="20">
        <v>25</v>
      </c>
      <c r="P26" s="20">
        <v>15</v>
      </c>
      <c r="Q26" s="20">
        <v>18</v>
      </c>
      <c r="R26" s="20">
        <v>15</v>
      </c>
      <c r="S26" s="20">
        <v>14</v>
      </c>
      <c r="T26" s="21">
        <f t="shared" si="0"/>
        <v>448</v>
      </c>
      <c r="U26" s="20">
        <v>38</v>
      </c>
      <c r="V26" s="20">
        <v>40</v>
      </c>
      <c r="W26" s="20">
        <v>21</v>
      </c>
      <c r="X26" s="20">
        <v>20</v>
      </c>
      <c r="Y26" s="20">
        <v>22</v>
      </c>
      <c r="Z26" s="20">
        <v>7</v>
      </c>
      <c r="AA26" s="20">
        <v>5</v>
      </c>
      <c r="AB26" s="20">
        <v>4</v>
      </c>
      <c r="AC26" s="20">
        <v>3</v>
      </c>
      <c r="AD26" s="21">
        <f t="shared" si="1"/>
        <v>160</v>
      </c>
      <c r="AE26" s="21">
        <v>40</v>
      </c>
      <c r="AF26" s="21">
        <f t="shared" si="2"/>
        <v>40</v>
      </c>
      <c r="AG26" s="21">
        <f t="shared" si="3"/>
        <v>648</v>
      </c>
    </row>
    <row r="27" spans="1:33">
      <c r="A27" s="1" t="s">
        <v>2</v>
      </c>
      <c r="B27" s="22" t="s">
        <v>79</v>
      </c>
      <c r="C27" s="23">
        <v>182000</v>
      </c>
      <c r="D27" s="23">
        <v>187000</v>
      </c>
      <c r="E27" s="23">
        <v>192000</v>
      </c>
      <c r="F27" s="23">
        <v>192000</v>
      </c>
      <c r="G27" s="23">
        <v>192000</v>
      </c>
      <c r="H27" s="23">
        <v>187000</v>
      </c>
      <c r="I27" s="23">
        <v>172000</v>
      </c>
      <c r="J27" s="23">
        <v>172000</v>
      </c>
      <c r="K27" s="23">
        <v>172000</v>
      </c>
      <c r="L27" s="23">
        <v>177000</v>
      </c>
      <c r="M27" s="23">
        <v>170000</v>
      </c>
      <c r="N27" s="23">
        <v>175000</v>
      </c>
      <c r="O27" s="23">
        <v>170000</v>
      </c>
      <c r="P27" s="23">
        <v>175000</v>
      </c>
      <c r="Q27" s="23">
        <v>170000</v>
      </c>
      <c r="R27" s="23">
        <v>175000</v>
      </c>
      <c r="S27" s="23">
        <v>170000</v>
      </c>
      <c r="T27" s="24">
        <f>SUM(C27:S27)</f>
        <v>3030000</v>
      </c>
      <c r="U27" s="23">
        <v>485000</v>
      </c>
      <c r="V27" s="23">
        <v>270000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4">
        <f>SUM(U27:AC27)</f>
        <v>755000</v>
      </c>
      <c r="AE27" s="24">
        <v>375000</v>
      </c>
      <c r="AF27" s="24">
        <f>SUM(AE27)</f>
        <v>375000</v>
      </c>
      <c r="AG27" s="24">
        <f>SUM(T27,AD27,AF27)</f>
        <v>4160000</v>
      </c>
    </row>
    <row r="28" spans="1:33">
      <c r="A28" s="1" t="s">
        <v>2</v>
      </c>
      <c r="B28" s="5" t="s">
        <v>80</v>
      </c>
      <c r="C28" s="10">
        <v>0</v>
      </c>
      <c r="D28" s="10">
        <v>0</v>
      </c>
      <c r="E28" s="10">
        <v>20000</v>
      </c>
      <c r="F28" s="10">
        <v>5000</v>
      </c>
      <c r="G28" s="10">
        <v>5000</v>
      </c>
      <c r="H28" s="10">
        <v>5000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1">
        <f t="shared" ref="T28:T62" si="4">SUM(C28:S28)</f>
        <v>35000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1">
        <f t="shared" ref="AD28:AD62" si="5">SUM(U28:AC28)</f>
        <v>0</v>
      </c>
      <c r="AE28" s="11">
        <v>0</v>
      </c>
      <c r="AF28" s="11">
        <f t="shared" ref="AF28:AF62" si="6">SUM(AE28)</f>
        <v>0</v>
      </c>
      <c r="AG28" s="11">
        <f t="shared" ref="AG28:AG62" si="7">SUM(T28,AD28,AF28)</f>
        <v>35000</v>
      </c>
    </row>
    <row r="29" spans="1:33">
      <c r="A29" s="1" t="s">
        <v>2</v>
      </c>
      <c r="B29" s="5" t="s">
        <v>81</v>
      </c>
      <c r="C29" s="10">
        <v>0</v>
      </c>
      <c r="D29" s="10">
        <v>0</v>
      </c>
      <c r="E29" s="10">
        <v>3000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1">
        <f t="shared" si="4"/>
        <v>3000</v>
      </c>
      <c r="U29" s="10">
        <v>0</v>
      </c>
      <c r="V29" s="10">
        <v>3000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1">
        <f t="shared" si="5"/>
        <v>3000</v>
      </c>
      <c r="AE29" s="11">
        <v>0</v>
      </c>
      <c r="AF29" s="11">
        <f t="shared" si="6"/>
        <v>0</v>
      </c>
      <c r="AG29" s="11">
        <f t="shared" si="7"/>
        <v>6000</v>
      </c>
    </row>
    <row r="30" spans="1:33">
      <c r="A30" s="1" t="s">
        <v>2</v>
      </c>
      <c r="B30" s="5" t="s">
        <v>82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1">
        <f t="shared" si="4"/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1">
        <f t="shared" si="5"/>
        <v>0</v>
      </c>
      <c r="AE30" s="11">
        <v>0</v>
      </c>
      <c r="AF30" s="11">
        <f t="shared" si="6"/>
        <v>0</v>
      </c>
      <c r="AG30" s="11">
        <f t="shared" si="7"/>
        <v>0</v>
      </c>
    </row>
    <row r="31" spans="1:33">
      <c r="A31" s="1" t="s">
        <v>2</v>
      </c>
      <c r="B31" s="5" t="s">
        <v>83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1">
        <f t="shared" si="4"/>
        <v>0</v>
      </c>
      <c r="U31" s="10">
        <v>0</v>
      </c>
      <c r="V31" s="10">
        <v>0</v>
      </c>
      <c r="W31" s="10">
        <v>78765</v>
      </c>
      <c r="X31" s="10">
        <v>82305</v>
      </c>
      <c r="Y31" s="10">
        <v>39480</v>
      </c>
      <c r="Z31" s="10">
        <v>65520</v>
      </c>
      <c r="AA31" s="10">
        <v>0</v>
      </c>
      <c r="AB31" s="10">
        <v>58800</v>
      </c>
      <c r="AC31" s="10">
        <v>49800</v>
      </c>
      <c r="AD31" s="11">
        <f t="shared" si="5"/>
        <v>374670</v>
      </c>
      <c r="AE31" s="11">
        <v>0</v>
      </c>
      <c r="AF31" s="11">
        <f t="shared" si="6"/>
        <v>0</v>
      </c>
      <c r="AG31" s="11">
        <f t="shared" si="7"/>
        <v>374670</v>
      </c>
    </row>
    <row r="32" spans="1:33">
      <c r="A32" s="1" t="s">
        <v>2</v>
      </c>
      <c r="B32" s="5" t="s">
        <v>84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1">
        <f t="shared" si="4"/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1">
        <f t="shared" si="5"/>
        <v>0</v>
      </c>
      <c r="AE32" s="11">
        <v>0</v>
      </c>
      <c r="AF32" s="11">
        <f t="shared" si="6"/>
        <v>0</v>
      </c>
      <c r="AG32" s="11">
        <f t="shared" si="7"/>
        <v>0</v>
      </c>
    </row>
    <row r="33" spans="1:33">
      <c r="A33" s="1" t="s">
        <v>2</v>
      </c>
      <c r="B33" s="5" t="s">
        <v>85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1">
        <f t="shared" si="4"/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1">
        <f t="shared" si="5"/>
        <v>0</v>
      </c>
      <c r="AE33" s="11">
        <v>0</v>
      </c>
      <c r="AF33" s="11">
        <f t="shared" si="6"/>
        <v>0</v>
      </c>
      <c r="AG33" s="11">
        <f t="shared" si="7"/>
        <v>0</v>
      </c>
    </row>
    <row r="34" spans="1:33">
      <c r="A34" s="1" t="s">
        <v>2</v>
      </c>
      <c r="B34" s="5" t="s">
        <v>86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1">
        <f t="shared" si="4"/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5880</v>
      </c>
      <c r="AA34" s="10">
        <v>5880</v>
      </c>
      <c r="AB34" s="10">
        <v>0</v>
      </c>
      <c r="AC34" s="10">
        <v>0</v>
      </c>
      <c r="AD34" s="11">
        <f t="shared" si="5"/>
        <v>11760</v>
      </c>
      <c r="AE34" s="11">
        <v>0</v>
      </c>
      <c r="AF34" s="11">
        <f t="shared" si="6"/>
        <v>0</v>
      </c>
      <c r="AG34" s="11">
        <f t="shared" si="7"/>
        <v>11760</v>
      </c>
    </row>
    <row r="35" spans="1:33">
      <c r="A35" s="1" t="s">
        <v>2</v>
      </c>
      <c r="B35" s="5" t="s">
        <v>87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1">
        <f t="shared" si="4"/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1">
        <f t="shared" si="5"/>
        <v>0</v>
      </c>
      <c r="AE35" s="11">
        <v>0</v>
      </c>
      <c r="AF35" s="11">
        <f t="shared" si="6"/>
        <v>0</v>
      </c>
      <c r="AG35" s="11">
        <f t="shared" si="7"/>
        <v>0</v>
      </c>
    </row>
    <row r="36" spans="1:33">
      <c r="A36" s="1" t="s">
        <v>2</v>
      </c>
      <c r="B36" s="5" t="s">
        <v>68</v>
      </c>
      <c r="C36" s="10">
        <v>47705</v>
      </c>
      <c r="D36" s="10">
        <v>67200</v>
      </c>
      <c r="E36" s="10">
        <v>75623</v>
      </c>
      <c r="F36" s="10">
        <v>97350</v>
      </c>
      <c r="G36" s="10">
        <v>67850</v>
      </c>
      <c r="H36" s="10">
        <v>129420</v>
      </c>
      <c r="I36" s="10">
        <v>74704</v>
      </c>
      <c r="J36" s="10">
        <v>48944</v>
      </c>
      <c r="K36" s="10">
        <v>68264</v>
      </c>
      <c r="L36" s="10">
        <v>67575</v>
      </c>
      <c r="M36" s="10">
        <v>49647</v>
      </c>
      <c r="N36" s="10">
        <v>45850</v>
      </c>
      <c r="O36" s="10">
        <v>63650</v>
      </c>
      <c r="P36" s="10">
        <v>85150</v>
      </c>
      <c r="Q36" s="10">
        <v>85291</v>
      </c>
      <c r="R36" s="10">
        <v>41920</v>
      </c>
      <c r="S36" s="10">
        <v>66196</v>
      </c>
      <c r="T36" s="11">
        <f t="shared" si="4"/>
        <v>1182339</v>
      </c>
      <c r="U36" s="10">
        <v>0</v>
      </c>
      <c r="V36" s="10">
        <v>49056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3114</v>
      </c>
      <c r="AD36" s="11">
        <f t="shared" si="5"/>
        <v>52170</v>
      </c>
      <c r="AE36" s="11">
        <v>0</v>
      </c>
      <c r="AF36" s="11">
        <f t="shared" si="6"/>
        <v>0</v>
      </c>
      <c r="AG36" s="11">
        <f t="shared" si="7"/>
        <v>1234509</v>
      </c>
    </row>
    <row r="37" spans="1:33">
      <c r="A37" s="1" t="s">
        <v>2</v>
      </c>
      <c r="B37" s="5" t="s">
        <v>88</v>
      </c>
      <c r="C37" s="10">
        <v>35328</v>
      </c>
      <c r="D37" s="10">
        <v>63504</v>
      </c>
      <c r="E37" s="10">
        <v>53847</v>
      </c>
      <c r="F37" s="10">
        <v>0</v>
      </c>
      <c r="G37" s="10">
        <v>38232</v>
      </c>
      <c r="H37" s="10">
        <v>52802</v>
      </c>
      <c r="I37" s="10">
        <v>47294</v>
      </c>
      <c r="J37" s="10">
        <v>33384</v>
      </c>
      <c r="K37" s="10">
        <v>16692</v>
      </c>
      <c r="L37" s="10">
        <v>65826</v>
      </c>
      <c r="M37" s="10">
        <v>60456</v>
      </c>
      <c r="N37" s="10">
        <v>24055</v>
      </c>
      <c r="O37" s="10">
        <v>30228</v>
      </c>
      <c r="P37" s="10">
        <v>48110</v>
      </c>
      <c r="Q37" s="10">
        <v>12366</v>
      </c>
      <c r="R37" s="10">
        <v>26885</v>
      </c>
      <c r="S37" s="10">
        <v>0</v>
      </c>
      <c r="T37" s="11">
        <f t="shared" si="4"/>
        <v>609009</v>
      </c>
      <c r="U37" s="10">
        <v>0</v>
      </c>
      <c r="V37" s="10">
        <v>44140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1">
        <f t="shared" si="5"/>
        <v>44140</v>
      </c>
      <c r="AE37" s="11">
        <v>0</v>
      </c>
      <c r="AF37" s="11">
        <f t="shared" si="6"/>
        <v>0</v>
      </c>
      <c r="AG37" s="11">
        <f t="shared" si="7"/>
        <v>653149</v>
      </c>
    </row>
    <row r="38" spans="1:33">
      <c r="A38" s="1" t="s">
        <v>2</v>
      </c>
      <c r="B38" s="5" t="s">
        <v>89</v>
      </c>
      <c r="C38" s="10">
        <v>50048</v>
      </c>
      <c r="D38" s="10">
        <v>43848</v>
      </c>
      <c r="E38" s="10">
        <v>15633</v>
      </c>
      <c r="F38" s="10">
        <v>52569</v>
      </c>
      <c r="G38" s="10">
        <v>30267</v>
      </c>
      <c r="H38" s="10">
        <v>21742</v>
      </c>
      <c r="I38" s="10">
        <v>16692</v>
      </c>
      <c r="J38" s="10">
        <v>43121</v>
      </c>
      <c r="K38" s="10">
        <v>44512</v>
      </c>
      <c r="L38" s="10">
        <v>38637</v>
      </c>
      <c r="M38" s="10">
        <v>41220</v>
      </c>
      <c r="N38" s="10">
        <v>59430</v>
      </c>
      <c r="O38" s="10">
        <v>37098</v>
      </c>
      <c r="P38" s="10">
        <v>28300</v>
      </c>
      <c r="Q38" s="10">
        <v>46716</v>
      </c>
      <c r="R38" s="10">
        <v>24055</v>
      </c>
      <c r="S38" s="10">
        <v>49464</v>
      </c>
      <c r="T38" s="11">
        <f t="shared" si="4"/>
        <v>643352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1">
        <f t="shared" si="5"/>
        <v>0</v>
      </c>
      <c r="AE38" s="11">
        <v>0</v>
      </c>
      <c r="AF38" s="11">
        <f t="shared" si="6"/>
        <v>0</v>
      </c>
      <c r="AG38" s="11">
        <f t="shared" si="7"/>
        <v>643352</v>
      </c>
    </row>
    <row r="39" spans="1:33">
      <c r="A39" s="1" t="s">
        <v>2</v>
      </c>
      <c r="B39" s="5" t="s">
        <v>90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1">
        <f t="shared" si="4"/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1">
        <f t="shared" si="5"/>
        <v>0</v>
      </c>
      <c r="AE39" s="11">
        <v>0</v>
      </c>
      <c r="AF39" s="11">
        <f t="shared" si="6"/>
        <v>0</v>
      </c>
      <c r="AG39" s="11">
        <f t="shared" si="7"/>
        <v>0</v>
      </c>
    </row>
    <row r="40" spans="1:33">
      <c r="A40" s="1" t="s">
        <v>2</v>
      </c>
      <c r="B40" s="5" t="s">
        <v>73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1">
        <f t="shared" si="4"/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1">
        <f t="shared" si="5"/>
        <v>0</v>
      </c>
      <c r="AE40" s="11">
        <v>0</v>
      </c>
      <c r="AF40" s="11">
        <f t="shared" si="6"/>
        <v>0</v>
      </c>
      <c r="AG40" s="11">
        <f t="shared" si="7"/>
        <v>0</v>
      </c>
    </row>
    <row r="41" spans="1:33" ht="19.5" thickBot="1">
      <c r="A41" s="1" t="s">
        <v>2</v>
      </c>
      <c r="B41" s="19" t="s">
        <v>77</v>
      </c>
      <c r="C41" s="25">
        <v>3003</v>
      </c>
      <c r="D41" s="25">
        <v>1400</v>
      </c>
      <c r="E41" s="25">
        <v>0</v>
      </c>
      <c r="F41" s="25">
        <v>5900</v>
      </c>
      <c r="G41" s="25">
        <v>10915</v>
      </c>
      <c r="H41" s="25">
        <v>10368</v>
      </c>
      <c r="I41" s="25">
        <v>1032</v>
      </c>
      <c r="J41" s="25">
        <v>11094</v>
      </c>
      <c r="K41" s="25">
        <v>516</v>
      </c>
      <c r="L41" s="25">
        <v>2385</v>
      </c>
      <c r="M41" s="25">
        <v>3060</v>
      </c>
      <c r="N41" s="25">
        <v>8646</v>
      </c>
      <c r="O41" s="25">
        <v>1020</v>
      </c>
      <c r="P41" s="25">
        <v>9694</v>
      </c>
      <c r="Q41" s="25">
        <v>8160</v>
      </c>
      <c r="R41" s="25">
        <v>8384</v>
      </c>
      <c r="S41" s="25">
        <v>510</v>
      </c>
      <c r="T41" s="26">
        <f t="shared" si="4"/>
        <v>86087</v>
      </c>
      <c r="U41" s="25">
        <v>0</v>
      </c>
      <c r="V41" s="25">
        <v>0</v>
      </c>
      <c r="W41" s="25">
        <v>0</v>
      </c>
      <c r="X41" s="25">
        <v>0</v>
      </c>
      <c r="Y41" s="25">
        <v>6300</v>
      </c>
      <c r="Z41" s="25">
        <v>11550</v>
      </c>
      <c r="AA41" s="25">
        <v>0</v>
      </c>
      <c r="AB41" s="25">
        <v>10500</v>
      </c>
      <c r="AC41" s="25">
        <v>4160</v>
      </c>
      <c r="AD41" s="26">
        <f t="shared" si="5"/>
        <v>32510</v>
      </c>
      <c r="AE41" s="26">
        <v>562</v>
      </c>
      <c r="AF41" s="26">
        <f t="shared" si="6"/>
        <v>562</v>
      </c>
      <c r="AG41" s="26">
        <f t="shared" si="7"/>
        <v>119159</v>
      </c>
    </row>
    <row r="42" spans="1:33" ht="19.5" thickBot="1">
      <c r="A42" s="1" t="s">
        <v>2</v>
      </c>
      <c r="B42" s="29" t="s">
        <v>91</v>
      </c>
      <c r="C42" s="30">
        <v>318084</v>
      </c>
      <c r="D42" s="30">
        <v>362952</v>
      </c>
      <c r="E42" s="30">
        <v>360103</v>
      </c>
      <c r="F42" s="30">
        <v>352819</v>
      </c>
      <c r="G42" s="30">
        <v>344264</v>
      </c>
      <c r="H42" s="30">
        <v>406332</v>
      </c>
      <c r="I42" s="30">
        <v>311722</v>
      </c>
      <c r="J42" s="30">
        <v>308543</v>
      </c>
      <c r="K42" s="30">
        <v>301984</v>
      </c>
      <c r="L42" s="30">
        <v>351423</v>
      </c>
      <c r="M42" s="30">
        <v>324383</v>
      </c>
      <c r="N42" s="30">
        <v>312981</v>
      </c>
      <c r="O42" s="30">
        <v>301996</v>
      </c>
      <c r="P42" s="30">
        <v>346254</v>
      </c>
      <c r="Q42" s="30">
        <v>322533</v>
      </c>
      <c r="R42" s="30">
        <v>276244</v>
      </c>
      <c r="S42" s="30">
        <v>286170</v>
      </c>
      <c r="T42" s="31">
        <f t="shared" si="4"/>
        <v>5588787</v>
      </c>
      <c r="U42" s="30">
        <v>485000</v>
      </c>
      <c r="V42" s="30">
        <v>366196</v>
      </c>
      <c r="W42" s="30">
        <v>78765</v>
      </c>
      <c r="X42" s="30">
        <v>82305</v>
      </c>
      <c r="Y42" s="30">
        <v>45780</v>
      </c>
      <c r="Z42" s="30">
        <v>82950</v>
      </c>
      <c r="AA42" s="30">
        <v>5880</v>
      </c>
      <c r="AB42" s="30">
        <v>69300</v>
      </c>
      <c r="AC42" s="30">
        <v>57074</v>
      </c>
      <c r="AD42" s="31">
        <f t="shared" si="5"/>
        <v>1273250</v>
      </c>
      <c r="AE42" s="31">
        <v>375562</v>
      </c>
      <c r="AF42" s="31">
        <f t="shared" si="6"/>
        <v>375562</v>
      </c>
      <c r="AG42" s="31">
        <f t="shared" si="7"/>
        <v>7237599</v>
      </c>
    </row>
    <row r="43" spans="1:33">
      <c r="A43" s="1" t="s">
        <v>2</v>
      </c>
      <c r="B43" s="15" t="s">
        <v>92</v>
      </c>
      <c r="C43" s="27">
        <v>12088</v>
      </c>
      <c r="D43" s="27">
        <v>2790</v>
      </c>
      <c r="E43" s="27">
        <v>4812</v>
      </c>
      <c r="F43" s="27">
        <v>2790</v>
      </c>
      <c r="G43" s="27">
        <v>11763</v>
      </c>
      <c r="H43" s="27">
        <v>2325</v>
      </c>
      <c r="I43" s="27">
        <v>2418</v>
      </c>
      <c r="J43" s="27">
        <v>1163</v>
      </c>
      <c r="K43" s="27">
        <v>2674</v>
      </c>
      <c r="L43" s="27">
        <v>5022</v>
      </c>
      <c r="M43" s="27">
        <v>5812</v>
      </c>
      <c r="N43" s="27">
        <v>4069</v>
      </c>
      <c r="O43" s="27">
        <v>7532</v>
      </c>
      <c r="P43" s="27">
        <v>3208</v>
      </c>
      <c r="Q43" s="27">
        <v>5812</v>
      </c>
      <c r="R43" s="27">
        <v>9485</v>
      </c>
      <c r="S43" s="27">
        <v>10461</v>
      </c>
      <c r="T43" s="28">
        <f t="shared" si="4"/>
        <v>94224</v>
      </c>
      <c r="U43" s="27">
        <v>8020</v>
      </c>
      <c r="V43" s="27">
        <v>5231</v>
      </c>
      <c r="W43" s="27">
        <v>2418</v>
      </c>
      <c r="X43" s="27">
        <v>1628</v>
      </c>
      <c r="Y43" s="27">
        <v>2279</v>
      </c>
      <c r="Z43" s="27">
        <v>3069</v>
      </c>
      <c r="AA43" s="27">
        <v>0</v>
      </c>
      <c r="AB43" s="27">
        <v>3720</v>
      </c>
      <c r="AC43" s="27">
        <v>2418</v>
      </c>
      <c r="AD43" s="28">
        <f t="shared" si="5"/>
        <v>28783</v>
      </c>
      <c r="AE43" s="28">
        <v>7253</v>
      </c>
      <c r="AF43" s="28">
        <f t="shared" si="6"/>
        <v>7253</v>
      </c>
      <c r="AG43" s="28">
        <f t="shared" si="7"/>
        <v>130260</v>
      </c>
    </row>
    <row r="44" spans="1:33" ht="19.5" thickBot="1">
      <c r="A44" s="1" t="s">
        <v>2</v>
      </c>
      <c r="B44" s="19" t="s">
        <v>93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6">
        <f t="shared" si="4"/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6">
        <f t="shared" si="5"/>
        <v>0</v>
      </c>
      <c r="AE44" s="26">
        <v>0</v>
      </c>
      <c r="AF44" s="26">
        <f t="shared" si="6"/>
        <v>0</v>
      </c>
      <c r="AG44" s="26">
        <f t="shared" si="7"/>
        <v>0</v>
      </c>
    </row>
    <row r="45" spans="1:33" ht="19.5" thickBot="1">
      <c r="A45" s="1" t="s">
        <v>2</v>
      </c>
      <c r="B45" s="29" t="s">
        <v>94</v>
      </c>
      <c r="C45" s="30">
        <v>12088</v>
      </c>
      <c r="D45" s="30">
        <v>2790</v>
      </c>
      <c r="E45" s="30">
        <v>4812</v>
      </c>
      <c r="F45" s="30">
        <v>2790</v>
      </c>
      <c r="G45" s="30">
        <v>11763</v>
      </c>
      <c r="H45" s="30">
        <v>2325</v>
      </c>
      <c r="I45" s="30">
        <v>2418</v>
      </c>
      <c r="J45" s="30">
        <v>1163</v>
      </c>
      <c r="K45" s="30">
        <v>2674</v>
      </c>
      <c r="L45" s="30">
        <v>5022</v>
      </c>
      <c r="M45" s="30">
        <v>5812</v>
      </c>
      <c r="N45" s="30">
        <v>4069</v>
      </c>
      <c r="O45" s="30">
        <v>7532</v>
      </c>
      <c r="P45" s="30">
        <v>3208</v>
      </c>
      <c r="Q45" s="30">
        <v>5812</v>
      </c>
      <c r="R45" s="30">
        <v>9485</v>
      </c>
      <c r="S45" s="30">
        <v>10461</v>
      </c>
      <c r="T45" s="31">
        <f t="shared" si="4"/>
        <v>94224</v>
      </c>
      <c r="U45" s="30">
        <v>8020</v>
      </c>
      <c r="V45" s="30">
        <v>5231</v>
      </c>
      <c r="W45" s="30">
        <v>2418</v>
      </c>
      <c r="X45" s="30">
        <v>1628</v>
      </c>
      <c r="Y45" s="30">
        <v>2279</v>
      </c>
      <c r="Z45" s="30">
        <v>3069</v>
      </c>
      <c r="AA45" s="30">
        <v>0</v>
      </c>
      <c r="AB45" s="30">
        <v>3720</v>
      </c>
      <c r="AC45" s="30">
        <v>2418</v>
      </c>
      <c r="AD45" s="31">
        <f t="shared" si="5"/>
        <v>28783</v>
      </c>
      <c r="AE45" s="31">
        <v>7253</v>
      </c>
      <c r="AF45" s="31">
        <f t="shared" si="6"/>
        <v>7253</v>
      </c>
      <c r="AG45" s="31">
        <f t="shared" si="7"/>
        <v>130260</v>
      </c>
    </row>
    <row r="46" spans="1:33" ht="19.5" thickBot="1">
      <c r="A46" s="1" t="s">
        <v>2</v>
      </c>
      <c r="B46" s="29" t="s">
        <v>95</v>
      </c>
      <c r="C46" s="30">
        <v>330172</v>
      </c>
      <c r="D46" s="30">
        <v>365742</v>
      </c>
      <c r="E46" s="30">
        <v>364915</v>
      </c>
      <c r="F46" s="30">
        <v>355609</v>
      </c>
      <c r="G46" s="30">
        <v>356027</v>
      </c>
      <c r="H46" s="30">
        <v>408657</v>
      </c>
      <c r="I46" s="30">
        <v>314140</v>
      </c>
      <c r="J46" s="30">
        <v>309706</v>
      </c>
      <c r="K46" s="30">
        <v>304658</v>
      </c>
      <c r="L46" s="30">
        <v>356445</v>
      </c>
      <c r="M46" s="30">
        <v>330195</v>
      </c>
      <c r="N46" s="30">
        <v>317050</v>
      </c>
      <c r="O46" s="30">
        <v>309528</v>
      </c>
      <c r="P46" s="30">
        <v>349462</v>
      </c>
      <c r="Q46" s="30">
        <v>328345</v>
      </c>
      <c r="R46" s="30">
        <v>285729</v>
      </c>
      <c r="S46" s="30">
        <v>296631</v>
      </c>
      <c r="T46" s="31">
        <f t="shared" si="4"/>
        <v>5683011</v>
      </c>
      <c r="U46" s="30">
        <v>493020</v>
      </c>
      <c r="V46" s="30">
        <v>371427</v>
      </c>
      <c r="W46" s="30">
        <v>81183</v>
      </c>
      <c r="X46" s="30">
        <v>83933</v>
      </c>
      <c r="Y46" s="30">
        <v>48059</v>
      </c>
      <c r="Z46" s="30">
        <v>86019</v>
      </c>
      <c r="AA46" s="30">
        <v>5880</v>
      </c>
      <c r="AB46" s="30">
        <v>73020</v>
      </c>
      <c r="AC46" s="30">
        <v>59492</v>
      </c>
      <c r="AD46" s="31">
        <f t="shared" si="5"/>
        <v>1302033</v>
      </c>
      <c r="AE46" s="31">
        <v>382815</v>
      </c>
      <c r="AF46" s="31">
        <f t="shared" si="6"/>
        <v>382815</v>
      </c>
      <c r="AG46" s="31">
        <f t="shared" si="7"/>
        <v>7367859</v>
      </c>
    </row>
    <row r="47" spans="1:33">
      <c r="A47" s="1" t="s">
        <v>2</v>
      </c>
      <c r="B47" s="15" t="s">
        <v>96</v>
      </c>
      <c r="C47" s="27">
        <v>15300</v>
      </c>
      <c r="D47" s="27">
        <v>16320</v>
      </c>
      <c r="E47" s="27">
        <v>17340</v>
      </c>
      <c r="F47" s="27">
        <v>19380</v>
      </c>
      <c r="G47" s="27">
        <v>17340</v>
      </c>
      <c r="H47" s="27">
        <v>19380</v>
      </c>
      <c r="I47" s="27">
        <v>16320</v>
      </c>
      <c r="J47" s="27">
        <v>15300</v>
      </c>
      <c r="K47" s="27">
        <v>15300</v>
      </c>
      <c r="L47" s="27">
        <v>16320</v>
      </c>
      <c r="M47" s="27">
        <v>14280</v>
      </c>
      <c r="N47" s="27">
        <v>16320</v>
      </c>
      <c r="O47" s="27">
        <v>15300</v>
      </c>
      <c r="P47" s="27">
        <v>15300</v>
      </c>
      <c r="Q47" s="27">
        <v>16320</v>
      </c>
      <c r="R47" s="27">
        <v>12240</v>
      </c>
      <c r="S47" s="27">
        <v>13260</v>
      </c>
      <c r="T47" s="28">
        <f t="shared" si="4"/>
        <v>271320</v>
      </c>
      <c r="U47" s="27">
        <v>25500</v>
      </c>
      <c r="V47" s="27">
        <v>18360</v>
      </c>
      <c r="W47" s="27">
        <v>0</v>
      </c>
      <c r="X47" s="27">
        <v>0</v>
      </c>
      <c r="Y47" s="27">
        <v>0</v>
      </c>
      <c r="Z47" s="27">
        <v>0</v>
      </c>
      <c r="AA47" s="27">
        <v>0</v>
      </c>
      <c r="AB47" s="27">
        <v>0</v>
      </c>
      <c r="AC47" s="27">
        <v>0</v>
      </c>
      <c r="AD47" s="28">
        <f t="shared" si="5"/>
        <v>43860</v>
      </c>
      <c r="AE47" s="28">
        <v>18360</v>
      </c>
      <c r="AF47" s="28">
        <f t="shared" si="6"/>
        <v>18360</v>
      </c>
      <c r="AG47" s="28">
        <f t="shared" si="7"/>
        <v>333540</v>
      </c>
    </row>
    <row r="48" spans="1:33">
      <c r="A48" s="1" t="s">
        <v>2</v>
      </c>
      <c r="B48" s="5" t="s">
        <v>97</v>
      </c>
      <c r="C48" s="10">
        <v>2700</v>
      </c>
      <c r="D48" s="10">
        <v>2880</v>
      </c>
      <c r="E48" s="10">
        <v>3060</v>
      </c>
      <c r="F48" s="10">
        <v>3420</v>
      </c>
      <c r="G48" s="10">
        <v>3060</v>
      </c>
      <c r="H48" s="10">
        <v>3420</v>
      </c>
      <c r="I48" s="10">
        <v>2880</v>
      </c>
      <c r="J48" s="10">
        <v>2700</v>
      </c>
      <c r="K48" s="10">
        <v>2700</v>
      </c>
      <c r="L48" s="10">
        <v>2880</v>
      </c>
      <c r="M48" s="10">
        <v>2520</v>
      </c>
      <c r="N48" s="10">
        <v>0</v>
      </c>
      <c r="O48" s="10">
        <v>2700</v>
      </c>
      <c r="P48" s="10">
        <v>2700</v>
      </c>
      <c r="Q48" s="10">
        <v>2880</v>
      </c>
      <c r="R48" s="10">
        <v>2160</v>
      </c>
      <c r="S48" s="10">
        <v>2340</v>
      </c>
      <c r="T48" s="11">
        <f t="shared" si="4"/>
        <v>45000</v>
      </c>
      <c r="U48" s="10">
        <v>0</v>
      </c>
      <c r="V48" s="10">
        <v>3240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1">
        <f t="shared" si="5"/>
        <v>3240</v>
      </c>
      <c r="AE48" s="11">
        <v>3240</v>
      </c>
      <c r="AF48" s="11">
        <f t="shared" si="6"/>
        <v>3240</v>
      </c>
      <c r="AG48" s="11">
        <f t="shared" si="7"/>
        <v>51480</v>
      </c>
    </row>
    <row r="49" spans="1:33">
      <c r="A49" s="1" t="s">
        <v>2</v>
      </c>
      <c r="B49" s="5" t="s">
        <v>98</v>
      </c>
      <c r="C49" s="10">
        <v>27450</v>
      </c>
      <c r="D49" s="10">
        <v>29280</v>
      </c>
      <c r="E49" s="10">
        <v>31110</v>
      </c>
      <c r="F49" s="10">
        <v>34770</v>
      </c>
      <c r="G49" s="10">
        <v>31110</v>
      </c>
      <c r="H49" s="10">
        <v>34770</v>
      </c>
      <c r="I49" s="10">
        <v>29280</v>
      </c>
      <c r="J49" s="10">
        <v>27450</v>
      </c>
      <c r="K49" s="10">
        <v>27450</v>
      </c>
      <c r="L49" s="10">
        <v>29280</v>
      </c>
      <c r="M49" s="10">
        <v>25620</v>
      </c>
      <c r="N49" s="10">
        <v>29280</v>
      </c>
      <c r="O49" s="10">
        <v>27450</v>
      </c>
      <c r="P49" s="10">
        <v>27450</v>
      </c>
      <c r="Q49" s="10">
        <v>29280</v>
      </c>
      <c r="R49" s="10">
        <v>21960</v>
      </c>
      <c r="S49" s="10">
        <v>23790</v>
      </c>
      <c r="T49" s="11">
        <f t="shared" si="4"/>
        <v>486780</v>
      </c>
      <c r="U49" s="10">
        <v>45750</v>
      </c>
      <c r="V49" s="10">
        <v>32940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1">
        <f t="shared" si="5"/>
        <v>78690</v>
      </c>
      <c r="AE49" s="11">
        <v>32940</v>
      </c>
      <c r="AF49" s="11">
        <f t="shared" si="6"/>
        <v>32940</v>
      </c>
      <c r="AG49" s="11">
        <f t="shared" si="7"/>
        <v>598410</v>
      </c>
    </row>
    <row r="50" spans="1:33">
      <c r="A50" s="1" t="s">
        <v>2</v>
      </c>
      <c r="B50" s="5" t="s">
        <v>99</v>
      </c>
      <c r="C50" s="10">
        <v>991</v>
      </c>
      <c r="D50" s="10">
        <v>1097</v>
      </c>
      <c r="E50" s="10">
        <v>1095</v>
      </c>
      <c r="F50" s="10">
        <v>1067</v>
      </c>
      <c r="G50" s="10">
        <v>1068</v>
      </c>
      <c r="H50" s="10">
        <v>1226</v>
      </c>
      <c r="I50" s="10">
        <v>942</v>
      </c>
      <c r="J50" s="10">
        <v>929</v>
      </c>
      <c r="K50" s="10">
        <v>914</v>
      </c>
      <c r="L50" s="10">
        <v>1069</v>
      </c>
      <c r="M50" s="10">
        <v>991</v>
      </c>
      <c r="N50" s="10">
        <v>951</v>
      </c>
      <c r="O50" s="10">
        <v>929</v>
      </c>
      <c r="P50" s="10">
        <v>1048</v>
      </c>
      <c r="Q50" s="10">
        <v>985</v>
      </c>
      <c r="R50" s="10">
        <v>857</v>
      </c>
      <c r="S50" s="10">
        <v>890</v>
      </c>
      <c r="T50" s="11">
        <f t="shared" si="4"/>
        <v>17049</v>
      </c>
      <c r="U50" s="10">
        <v>1479</v>
      </c>
      <c r="V50" s="10">
        <v>1114</v>
      </c>
      <c r="W50" s="10">
        <v>244</v>
      </c>
      <c r="X50" s="10">
        <v>252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1">
        <f t="shared" si="5"/>
        <v>3089</v>
      </c>
      <c r="AE50" s="11">
        <v>1148</v>
      </c>
      <c r="AF50" s="11">
        <f t="shared" si="6"/>
        <v>1148</v>
      </c>
      <c r="AG50" s="11">
        <f t="shared" si="7"/>
        <v>21286</v>
      </c>
    </row>
    <row r="51" spans="1:33" ht="19.5" thickBot="1">
      <c r="A51" s="1" t="s">
        <v>2</v>
      </c>
      <c r="B51" s="19" t="s">
        <v>100</v>
      </c>
      <c r="C51" s="25">
        <v>0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6">
        <f t="shared" si="4"/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6">
        <f t="shared" si="5"/>
        <v>0</v>
      </c>
      <c r="AE51" s="26">
        <v>0</v>
      </c>
      <c r="AF51" s="26">
        <f t="shared" si="6"/>
        <v>0</v>
      </c>
      <c r="AG51" s="26">
        <f t="shared" si="7"/>
        <v>0</v>
      </c>
    </row>
    <row r="52" spans="1:33" ht="19.5" thickBot="1">
      <c r="A52" s="1" t="s">
        <v>2</v>
      </c>
      <c r="B52" s="29" t="s">
        <v>101</v>
      </c>
      <c r="C52" s="30">
        <v>46441</v>
      </c>
      <c r="D52" s="30">
        <v>49577</v>
      </c>
      <c r="E52" s="30">
        <v>52605</v>
      </c>
      <c r="F52" s="30">
        <v>58637</v>
      </c>
      <c r="G52" s="30">
        <v>52578</v>
      </c>
      <c r="H52" s="30">
        <v>58796</v>
      </c>
      <c r="I52" s="30">
        <v>49422</v>
      </c>
      <c r="J52" s="30">
        <v>46379</v>
      </c>
      <c r="K52" s="30">
        <v>46364</v>
      </c>
      <c r="L52" s="30">
        <v>49549</v>
      </c>
      <c r="M52" s="30">
        <v>43411</v>
      </c>
      <c r="N52" s="30">
        <v>46551</v>
      </c>
      <c r="O52" s="30">
        <v>46379</v>
      </c>
      <c r="P52" s="30">
        <v>46498</v>
      </c>
      <c r="Q52" s="30">
        <v>49465</v>
      </c>
      <c r="R52" s="30">
        <v>37217</v>
      </c>
      <c r="S52" s="30">
        <v>40280</v>
      </c>
      <c r="T52" s="31">
        <f t="shared" si="4"/>
        <v>820149</v>
      </c>
      <c r="U52" s="30">
        <v>72729</v>
      </c>
      <c r="V52" s="30">
        <v>55654</v>
      </c>
      <c r="W52" s="30">
        <v>244</v>
      </c>
      <c r="X52" s="30">
        <v>252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1">
        <f t="shared" si="5"/>
        <v>128879</v>
      </c>
      <c r="AE52" s="31">
        <v>55688</v>
      </c>
      <c r="AF52" s="31">
        <f t="shared" si="6"/>
        <v>55688</v>
      </c>
      <c r="AG52" s="31">
        <f t="shared" si="7"/>
        <v>1004716</v>
      </c>
    </row>
    <row r="53" spans="1:33">
      <c r="A53" s="1" t="s">
        <v>2</v>
      </c>
      <c r="B53" s="15" t="s">
        <v>102</v>
      </c>
      <c r="C53" s="27">
        <v>5710</v>
      </c>
      <c r="D53" s="27">
        <v>9470</v>
      </c>
      <c r="E53" s="27">
        <v>7030</v>
      </c>
      <c r="F53" s="27">
        <v>8130</v>
      </c>
      <c r="G53" s="27">
        <v>6420</v>
      </c>
      <c r="H53" s="27">
        <v>12260</v>
      </c>
      <c r="I53" s="27">
        <v>6990</v>
      </c>
      <c r="J53" s="27">
        <v>5370</v>
      </c>
      <c r="K53" s="27">
        <v>6750</v>
      </c>
      <c r="L53" s="27">
        <v>8530</v>
      </c>
      <c r="M53" s="27">
        <v>7660</v>
      </c>
      <c r="N53" s="27">
        <v>7140</v>
      </c>
      <c r="O53" s="27">
        <v>6750</v>
      </c>
      <c r="P53" s="27">
        <v>8360</v>
      </c>
      <c r="Q53" s="27">
        <v>2530</v>
      </c>
      <c r="R53" s="27">
        <v>6160</v>
      </c>
      <c r="S53" s="27">
        <v>6400</v>
      </c>
      <c r="T53" s="28">
        <f t="shared" si="4"/>
        <v>121660</v>
      </c>
      <c r="U53" s="27">
        <v>14320</v>
      </c>
      <c r="V53" s="27">
        <v>7150</v>
      </c>
      <c r="W53" s="27">
        <v>0</v>
      </c>
      <c r="X53" s="27">
        <v>0</v>
      </c>
      <c r="Y53" s="27">
        <v>0</v>
      </c>
      <c r="Z53" s="27">
        <v>0</v>
      </c>
      <c r="AA53" s="27">
        <v>0</v>
      </c>
      <c r="AB53" s="27">
        <v>0</v>
      </c>
      <c r="AC53" s="27">
        <v>0</v>
      </c>
      <c r="AD53" s="28">
        <f t="shared" si="5"/>
        <v>21470</v>
      </c>
      <c r="AE53" s="28">
        <v>10000</v>
      </c>
      <c r="AF53" s="28">
        <f t="shared" si="6"/>
        <v>10000</v>
      </c>
      <c r="AG53" s="28">
        <f t="shared" si="7"/>
        <v>153130</v>
      </c>
    </row>
    <row r="54" spans="1:33">
      <c r="A54" s="1" t="s">
        <v>2</v>
      </c>
      <c r="B54" s="5" t="s">
        <v>103</v>
      </c>
      <c r="C54" s="10">
        <v>1300</v>
      </c>
      <c r="D54" s="10">
        <v>1300</v>
      </c>
      <c r="E54" s="10">
        <v>1300</v>
      </c>
      <c r="F54" s="10">
        <v>0</v>
      </c>
      <c r="G54" s="10">
        <v>1300</v>
      </c>
      <c r="H54" s="10">
        <v>1300</v>
      </c>
      <c r="I54" s="10">
        <v>1300</v>
      </c>
      <c r="J54" s="10">
        <v>1300</v>
      </c>
      <c r="K54" s="10">
        <v>1300</v>
      </c>
      <c r="L54" s="10">
        <v>1300</v>
      </c>
      <c r="M54" s="10">
        <v>0</v>
      </c>
      <c r="N54" s="10">
        <v>0</v>
      </c>
      <c r="O54" s="10">
        <v>1300</v>
      </c>
      <c r="P54" s="10">
        <v>1300</v>
      </c>
      <c r="Q54" s="10">
        <v>1300</v>
      </c>
      <c r="R54" s="10">
        <v>0</v>
      </c>
      <c r="S54" s="10">
        <v>0</v>
      </c>
      <c r="T54" s="11">
        <f t="shared" si="4"/>
        <v>15600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1">
        <f t="shared" si="5"/>
        <v>0</v>
      </c>
      <c r="AE54" s="11">
        <v>0</v>
      </c>
      <c r="AF54" s="11">
        <f t="shared" si="6"/>
        <v>0</v>
      </c>
      <c r="AG54" s="11">
        <f t="shared" si="7"/>
        <v>15600</v>
      </c>
    </row>
    <row r="55" spans="1:33">
      <c r="A55" s="1" t="s">
        <v>2</v>
      </c>
      <c r="B55" s="5" t="s">
        <v>104</v>
      </c>
      <c r="C55" s="10">
        <v>8600</v>
      </c>
      <c r="D55" s="10">
        <v>14600</v>
      </c>
      <c r="E55" s="10">
        <v>13800</v>
      </c>
      <c r="F55" s="10">
        <v>16700</v>
      </c>
      <c r="G55" s="10">
        <v>15200</v>
      </c>
      <c r="H55" s="10">
        <v>17700</v>
      </c>
      <c r="I55" s="10">
        <v>13500</v>
      </c>
      <c r="J55" s="10">
        <v>9200</v>
      </c>
      <c r="K55" s="10">
        <v>13000</v>
      </c>
      <c r="L55" s="10">
        <v>13800</v>
      </c>
      <c r="M55" s="10">
        <v>10500</v>
      </c>
      <c r="N55" s="10">
        <v>13500</v>
      </c>
      <c r="O55" s="10">
        <v>12100</v>
      </c>
      <c r="P55" s="10">
        <v>14200</v>
      </c>
      <c r="Q55" s="10">
        <v>5600</v>
      </c>
      <c r="R55" s="10">
        <v>0</v>
      </c>
      <c r="S55" s="10">
        <v>0</v>
      </c>
      <c r="T55" s="11">
        <f t="shared" si="4"/>
        <v>192000</v>
      </c>
      <c r="U55" s="10">
        <v>35200</v>
      </c>
      <c r="V55" s="10">
        <v>14500</v>
      </c>
      <c r="W55" s="10">
        <v>600</v>
      </c>
      <c r="X55" s="10">
        <v>500</v>
      </c>
      <c r="Y55" s="10">
        <v>900</v>
      </c>
      <c r="Z55" s="10">
        <v>0</v>
      </c>
      <c r="AA55" s="10">
        <v>4100</v>
      </c>
      <c r="AB55" s="10">
        <v>0</v>
      </c>
      <c r="AC55" s="10">
        <v>0</v>
      </c>
      <c r="AD55" s="11">
        <f t="shared" si="5"/>
        <v>55800</v>
      </c>
      <c r="AE55" s="11">
        <v>16100</v>
      </c>
      <c r="AF55" s="11">
        <f t="shared" si="6"/>
        <v>16100</v>
      </c>
      <c r="AG55" s="11">
        <f t="shared" si="7"/>
        <v>263900</v>
      </c>
    </row>
    <row r="56" spans="1:33">
      <c r="A56" s="1" t="s">
        <v>2</v>
      </c>
      <c r="B56" s="5" t="s">
        <v>105</v>
      </c>
      <c r="C56" s="10">
        <v>0</v>
      </c>
      <c r="D56" s="10">
        <v>0</v>
      </c>
      <c r="E56" s="10">
        <v>0</v>
      </c>
      <c r="F56" s="10">
        <v>10000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1">
        <f t="shared" si="4"/>
        <v>10000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1">
        <f t="shared" si="5"/>
        <v>0</v>
      </c>
      <c r="AE56" s="11">
        <v>0</v>
      </c>
      <c r="AF56" s="11">
        <f t="shared" si="6"/>
        <v>0</v>
      </c>
      <c r="AG56" s="11">
        <f t="shared" si="7"/>
        <v>10000</v>
      </c>
    </row>
    <row r="57" spans="1:33" ht="19.5" thickBot="1">
      <c r="A57" s="1" t="s">
        <v>2</v>
      </c>
      <c r="B57" s="5" t="s">
        <v>106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1">
        <f t="shared" si="4"/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1">
        <f t="shared" si="5"/>
        <v>0</v>
      </c>
      <c r="AE57" s="11">
        <v>0</v>
      </c>
      <c r="AF57" s="11">
        <f t="shared" si="6"/>
        <v>0</v>
      </c>
      <c r="AG57" s="11">
        <f t="shared" si="7"/>
        <v>0</v>
      </c>
    </row>
    <row r="58" spans="1:33" ht="19.5" thickBot="1">
      <c r="A58" s="1" t="s">
        <v>2</v>
      </c>
      <c r="B58" s="29" t="s">
        <v>107</v>
      </c>
      <c r="C58" s="30">
        <v>62051</v>
      </c>
      <c r="D58" s="30">
        <v>74947</v>
      </c>
      <c r="E58" s="30">
        <v>74735</v>
      </c>
      <c r="F58" s="30">
        <v>93467</v>
      </c>
      <c r="G58" s="30">
        <v>75498</v>
      </c>
      <c r="H58" s="30">
        <v>90056</v>
      </c>
      <c r="I58" s="30">
        <v>71212</v>
      </c>
      <c r="J58" s="30">
        <v>62249</v>
      </c>
      <c r="K58" s="30">
        <v>67414</v>
      </c>
      <c r="L58" s="30">
        <v>73179</v>
      </c>
      <c r="M58" s="30">
        <v>61571</v>
      </c>
      <c r="N58" s="30">
        <v>67191</v>
      </c>
      <c r="O58" s="30">
        <v>66529</v>
      </c>
      <c r="P58" s="30">
        <v>70358</v>
      </c>
      <c r="Q58" s="30">
        <v>58895</v>
      </c>
      <c r="R58" s="30">
        <v>43377</v>
      </c>
      <c r="S58" s="30">
        <v>46680</v>
      </c>
      <c r="T58" s="31">
        <f t="shared" si="4"/>
        <v>1159409</v>
      </c>
      <c r="U58" s="30">
        <v>122249</v>
      </c>
      <c r="V58" s="30">
        <v>77304</v>
      </c>
      <c r="W58" s="30">
        <v>844</v>
      </c>
      <c r="X58" s="30">
        <v>752</v>
      </c>
      <c r="Y58" s="30">
        <v>900</v>
      </c>
      <c r="Z58" s="30">
        <v>0</v>
      </c>
      <c r="AA58" s="30">
        <v>4100</v>
      </c>
      <c r="AB58" s="30">
        <v>0</v>
      </c>
      <c r="AC58" s="30">
        <v>0</v>
      </c>
      <c r="AD58" s="31">
        <f t="shared" si="5"/>
        <v>206149</v>
      </c>
      <c r="AE58" s="31">
        <v>81788</v>
      </c>
      <c r="AF58" s="31">
        <f t="shared" si="6"/>
        <v>81788</v>
      </c>
      <c r="AG58" s="31">
        <f t="shared" si="7"/>
        <v>1447346</v>
      </c>
    </row>
    <row r="59" spans="1:33" ht="19.5" thickBot="1">
      <c r="A59" s="1" t="s">
        <v>2</v>
      </c>
      <c r="B59" s="29" t="s">
        <v>108</v>
      </c>
      <c r="C59" s="30">
        <v>271643</v>
      </c>
      <c r="D59" s="30">
        <v>313375</v>
      </c>
      <c r="E59" s="30">
        <v>307498</v>
      </c>
      <c r="F59" s="30">
        <v>294182</v>
      </c>
      <c r="G59" s="30">
        <v>291686</v>
      </c>
      <c r="H59" s="30">
        <v>347536</v>
      </c>
      <c r="I59" s="30">
        <v>262300</v>
      </c>
      <c r="J59" s="30">
        <v>262164</v>
      </c>
      <c r="K59" s="30">
        <v>255620</v>
      </c>
      <c r="L59" s="30">
        <v>301874</v>
      </c>
      <c r="M59" s="30">
        <v>280972</v>
      </c>
      <c r="N59" s="30">
        <v>266430</v>
      </c>
      <c r="O59" s="30">
        <v>255617</v>
      </c>
      <c r="P59" s="30">
        <v>299756</v>
      </c>
      <c r="Q59" s="30">
        <v>273068</v>
      </c>
      <c r="R59" s="30">
        <v>239027</v>
      </c>
      <c r="S59" s="30">
        <v>245890</v>
      </c>
      <c r="T59" s="31">
        <f t="shared" si="4"/>
        <v>4768638</v>
      </c>
      <c r="U59" s="30">
        <v>412271</v>
      </c>
      <c r="V59" s="30">
        <v>310542</v>
      </c>
      <c r="W59" s="30">
        <v>78521</v>
      </c>
      <c r="X59" s="30">
        <v>82053</v>
      </c>
      <c r="Y59" s="30">
        <v>45780</v>
      </c>
      <c r="Z59" s="30">
        <v>82950</v>
      </c>
      <c r="AA59" s="30">
        <v>5880</v>
      </c>
      <c r="AB59" s="30">
        <v>69300</v>
      </c>
      <c r="AC59" s="30">
        <v>57074</v>
      </c>
      <c r="AD59" s="31">
        <f t="shared" si="5"/>
        <v>1144371</v>
      </c>
      <c r="AE59" s="31">
        <v>319874</v>
      </c>
      <c r="AF59" s="31">
        <f t="shared" si="6"/>
        <v>319874</v>
      </c>
      <c r="AG59" s="31">
        <f t="shared" si="7"/>
        <v>6232883</v>
      </c>
    </row>
    <row r="60" spans="1:33" ht="19.5" thickBot="1">
      <c r="A60" s="1" t="s">
        <v>2</v>
      </c>
      <c r="B60" s="29" t="s">
        <v>109</v>
      </c>
      <c r="C60" s="30">
        <v>268121</v>
      </c>
      <c r="D60" s="30">
        <v>290795</v>
      </c>
      <c r="E60" s="30">
        <v>290180</v>
      </c>
      <c r="F60" s="30">
        <v>262142</v>
      </c>
      <c r="G60" s="30">
        <v>280529</v>
      </c>
      <c r="H60" s="30">
        <v>318601</v>
      </c>
      <c r="I60" s="30">
        <v>242928</v>
      </c>
      <c r="J60" s="30">
        <v>247457</v>
      </c>
      <c r="K60" s="30">
        <v>237244</v>
      </c>
      <c r="L60" s="30">
        <v>283266</v>
      </c>
      <c r="M60" s="30">
        <v>268624</v>
      </c>
      <c r="N60" s="30">
        <v>249859</v>
      </c>
      <c r="O60" s="30">
        <v>242999</v>
      </c>
      <c r="P60" s="30">
        <v>279104</v>
      </c>
      <c r="Q60" s="30">
        <v>269450</v>
      </c>
      <c r="R60" s="30">
        <v>242352</v>
      </c>
      <c r="S60" s="30">
        <v>249951</v>
      </c>
      <c r="T60" s="31">
        <f t="shared" si="4"/>
        <v>4523602</v>
      </c>
      <c r="U60" s="30">
        <v>370771</v>
      </c>
      <c r="V60" s="30">
        <v>294123</v>
      </c>
      <c r="W60" s="30">
        <v>80339</v>
      </c>
      <c r="X60" s="30">
        <v>83181</v>
      </c>
      <c r="Y60" s="30">
        <v>47159</v>
      </c>
      <c r="Z60" s="30">
        <v>86019</v>
      </c>
      <c r="AA60" s="30">
        <v>1780</v>
      </c>
      <c r="AB60" s="30">
        <v>73020</v>
      </c>
      <c r="AC60" s="30">
        <v>59492</v>
      </c>
      <c r="AD60" s="31">
        <f t="shared" si="5"/>
        <v>1095884</v>
      </c>
      <c r="AE60" s="31">
        <v>301027</v>
      </c>
      <c r="AF60" s="31">
        <f t="shared" si="6"/>
        <v>301027</v>
      </c>
      <c r="AG60" s="31">
        <f t="shared" si="7"/>
        <v>5920513</v>
      </c>
    </row>
    <row r="61" spans="1:33">
      <c r="A61" s="1" t="s">
        <v>2</v>
      </c>
      <c r="B61" s="15" t="s">
        <v>110</v>
      </c>
      <c r="C61" s="27">
        <v>0</v>
      </c>
      <c r="D61" s="27">
        <v>0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8">
        <f t="shared" si="4"/>
        <v>0</v>
      </c>
      <c r="U61" s="27">
        <v>0</v>
      </c>
      <c r="V61" s="27">
        <v>0</v>
      </c>
      <c r="W61" s="27">
        <v>0</v>
      </c>
      <c r="X61" s="27">
        <v>0</v>
      </c>
      <c r="Y61" s="27">
        <v>0</v>
      </c>
      <c r="Z61" s="27">
        <v>0</v>
      </c>
      <c r="AA61" s="27">
        <v>0</v>
      </c>
      <c r="AB61" s="27">
        <v>0</v>
      </c>
      <c r="AC61" s="27">
        <v>0</v>
      </c>
      <c r="AD61" s="28">
        <f t="shared" si="5"/>
        <v>0</v>
      </c>
      <c r="AE61" s="28">
        <v>0</v>
      </c>
      <c r="AF61" s="28">
        <f t="shared" si="6"/>
        <v>0</v>
      </c>
      <c r="AG61" s="28">
        <f t="shared" si="7"/>
        <v>0</v>
      </c>
    </row>
    <row r="62" spans="1:33">
      <c r="A62" s="1" t="s">
        <v>2</v>
      </c>
      <c r="B62" s="5" t="s">
        <v>111</v>
      </c>
      <c r="C62" s="10">
        <v>268121</v>
      </c>
      <c r="D62" s="10">
        <v>290795</v>
      </c>
      <c r="E62" s="10">
        <v>290180</v>
      </c>
      <c r="F62" s="10">
        <v>262142</v>
      </c>
      <c r="G62" s="10">
        <v>280529</v>
      </c>
      <c r="H62" s="10">
        <v>318601</v>
      </c>
      <c r="I62" s="10">
        <v>242928</v>
      </c>
      <c r="J62" s="10">
        <v>247457</v>
      </c>
      <c r="K62" s="10">
        <v>237244</v>
      </c>
      <c r="L62" s="10">
        <v>283266</v>
      </c>
      <c r="M62" s="10">
        <v>268624</v>
      </c>
      <c r="N62" s="10">
        <v>249859</v>
      </c>
      <c r="O62" s="10">
        <v>242999</v>
      </c>
      <c r="P62" s="10">
        <v>279104</v>
      </c>
      <c r="Q62" s="10">
        <v>269450</v>
      </c>
      <c r="R62" s="10">
        <v>242352</v>
      </c>
      <c r="S62" s="10">
        <v>249951</v>
      </c>
      <c r="T62" s="11">
        <f t="shared" si="4"/>
        <v>4523602</v>
      </c>
      <c r="U62" s="10">
        <v>370771</v>
      </c>
      <c r="V62" s="10">
        <v>294123</v>
      </c>
      <c r="W62" s="10">
        <v>80339</v>
      </c>
      <c r="X62" s="10">
        <v>83181</v>
      </c>
      <c r="Y62" s="10">
        <v>47159</v>
      </c>
      <c r="Z62" s="10">
        <v>86019</v>
      </c>
      <c r="AA62" s="10">
        <v>1780</v>
      </c>
      <c r="AB62" s="10">
        <v>73020</v>
      </c>
      <c r="AC62" s="10">
        <v>59492</v>
      </c>
      <c r="AD62" s="11">
        <f t="shared" si="5"/>
        <v>1095884</v>
      </c>
      <c r="AE62" s="11">
        <v>301027</v>
      </c>
      <c r="AF62" s="11">
        <f t="shared" si="6"/>
        <v>301027</v>
      </c>
      <c r="AG62" s="11">
        <f t="shared" si="7"/>
        <v>5920513</v>
      </c>
    </row>
    <row r="63" spans="1:33">
      <c r="A63" s="1" t="s">
        <v>2</v>
      </c>
      <c r="B63" s="5" t="s">
        <v>112</v>
      </c>
      <c r="C63" s="10">
        <v>1</v>
      </c>
      <c r="D63" s="10">
        <v>0</v>
      </c>
      <c r="E63" s="10">
        <v>1</v>
      </c>
      <c r="F63" s="10">
        <v>0</v>
      </c>
      <c r="G63" s="10">
        <v>1</v>
      </c>
      <c r="H63" s="10">
        <v>0</v>
      </c>
      <c r="I63" s="10">
        <v>0</v>
      </c>
      <c r="J63" s="10">
        <v>1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3</v>
      </c>
      <c r="R63" s="10">
        <v>0</v>
      </c>
      <c r="S63" s="10">
        <v>0</v>
      </c>
      <c r="T63" s="11"/>
      <c r="U63" s="10">
        <v>1</v>
      </c>
      <c r="V63" s="10">
        <v>1</v>
      </c>
      <c r="W63" s="10">
        <v>0</v>
      </c>
      <c r="X63" s="10">
        <v>0</v>
      </c>
      <c r="Y63" s="10">
        <v>0</v>
      </c>
      <c r="Z63" s="10">
        <v>1</v>
      </c>
      <c r="AA63" s="10">
        <v>1</v>
      </c>
      <c r="AB63" s="10">
        <v>1</v>
      </c>
      <c r="AC63" s="10">
        <v>1</v>
      </c>
      <c r="AD63" s="11"/>
      <c r="AE63" s="11">
        <v>0</v>
      </c>
      <c r="AF63" s="11"/>
      <c r="AG63" s="11"/>
    </row>
    <row r="64" spans="1:33" ht="19.5" thickBot="1">
      <c r="A64" s="1" t="s">
        <v>2</v>
      </c>
      <c r="B64" s="12" t="s">
        <v>113</v>
      </c>
      <c r="C64" s="13" t="s">
        <v>114</v>
      </c>
      <c r="D64" s="13" t="s">
        <v>114</v>
      </c>
      <c r="E64" s="13" t="s">
        <v>114</v>
      </c>
      <c r="F64" s="13" t="s">
        <v>114</v>
      </c>
      <c r="G64" s="13" t="s">
        <v>114</v>
      </c>
      <c r="H64" s="13" t="s">
        <v>114</v>
      </c>
      <c r="I64" s="13" t="s">
        <v>114</v>
      </c>
      <c r="J64" s="13" t="s">
        <v>114</v>
      </c>
      <c r="K64" s="13" t="s">
        <v>114</v>
      </c>
      <c r="L64" s="13" t="s">
        <v>114</v>
      </c>
      <c r="M64" s="13" t="s">
        <v>114</v>
      </c>
      <c r="N64" s="13" t="s">
        <v>114</v>
      </c>
      <c r="O64" s="13" t="s">
        <v>114</v>
      </c>
      <c r="P64" s="13" t="s">
        <v>114</v>
      </c>
      <c r="Q64" s="13" t="s">
        <v>114</v>
      </c>
      <c r="R64" s="13" t="s">
        <v>114</v>
      </c>
      <c r="S64" s="13" t="s">
        <v>114</v>
      </c>
      <c r="T64" s="13"/>
      <c r="U64" s="13" t="s">
        <v>114</v>
      </c>
      <c r="V64" s="13" t="s">
        <v>114</v>
      </c>
      <c r="W64" s="13" t="s">
        <v>114</v>
      </c>
      <c r="X64" s="13" t="s">
        <v>114</v>
      </c>
      <c r="Y64" s="13" t="s">
        <v>114</v>
      </c>
      <c r="Z64" s="13" t="s">
        <v>114</v>
      </c>
      <c r="AA64" s="13" t="s">
        <v>114</v>
      </c>
      <c r="AB64" s="13" t="s">
        <v>114</v>
      </c>
      <c r="AC64" s="13" t="s">
        <v>114</v>
      </c>
      <c r="AD64" s="14"/>
      <c r="AE64" s="14" t="s">
        <v>114</v>
      </c>
      <c r="AF64" s="14"/>
      <c r="AG64" s="14"/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3E0EE-7324-4074-AA24-47AA56F850AF}">
  <sheetPr>
    <pageSetUpPr fitToPage="1"/>
  </sheetPr>
  <dimension ref="A1:T64"/>
  <sheetViews>
    <sheetView showZeros="0" workbookViewId="0">
      <selection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20" width="10.625" style="2" customWidth="1"/>
    <col min="21" max="246" width="9" style="2"/>
    <col min="247" max="247" width="2.375" style="2" customWidth="1"/>
    <col min="248" max="248" width="13.25" style="2" bestFit="1" customWidth="1"/>
    <col min="249" max="249" width="11.125" style="2" bestFit="1" customWidth="1"/>
    <col min="250" max="250" width="9.625" style="2" bestFit="1" customWidth="1"/>
    <col min="251" max="251" width="11.125" style="2" bestFit="1" customWidth="1"/>
    <col min="252" max="252" width="13.25" style="2" bestFit="1" customWidth="1"/>
    <col min="253" max="253" width="11.125" style="2" bestFit="1" customWidth="1"/>
    <col min="254" max="254" width="9" style="2"/>
    <col min="255" max="255" width="11.125" style="2" bestFit="1" customWidth="1"/>
    <col min="256" max="256" width="9" style="2"/>
    <col min="257" max="257" width="11.125" style="2" bestFit="1" customWidth="1"/>
    <col min="258" max="258" width="9" style="2"/>
    <col min="259" max="267" width="11.125" style="2" bestFit="1" customWidth="1"/>
    <col min="268" max="272" width="9" style="2"/>
    <col min="273" max="274" width="11.125" style="2" bestFit="1" customWidth="1"/>
    <col min="275" max="275" width="9" style="2"/>
    <col min="276" max="276" width="9.625" style="2" bestFit="1" customWidth="1"/>
    <col min="277" max="502" width="9" style="2"/>
    <col min="503" max="503" width="2.375" style="2" customWidth="1"/>
    <col min="504" max="504" width="13.25" style="2" bestFit="1" customWidth="1"/>
    <col min="505" max="505" width="11.125" style="2" bestFit="1" customWidth="1"/>
    <col min="506" max="506" width="9.625" style="2" bestFit="1" customWidth="1"/>
    <col min="507" max="507" width="11.125" style="2" bestFit="1" customWidth="1"/>
    <col min="508" max="508" width="13.25" style="2" bestFit="1" customWidth="1"/>
    <col min="509" max="509" width="11.125" style="2" bestFit="1" customWidth="1"/>
    <col min="510" max="510" width="9" style="2"/>
    <col min="511" max="511" width="11.125" style="2" bestFit="1" customWidth="1"/>
    <col min="512" max="512" width="9" style="2"/>
    <col min="513" max="513" width="11.125" style="2" bestFit="1" customWidth="1"/>
    <col min="514" max="514" width="9" style="2"/>
    <col min="515" max="523" width="11.125" style="2" bestFit="1" customWidth="1"/>
    <col min="524" max="528" width="9" style="2"/>
    <col min="529" max="530" width="11.125" style="2" bestFit="1" customWidth="1"/>
    <col min="531" max="531" width="9" style="2"/>
    <col min="532" max="532" width="9.625" style="2" bestFit="1" customWidth="1"/>
    <col min="533" max="758" width="9" style="2"/>
    <col min="759" max="759" width="2.375" style="2" customWidth="1"/>
    <col min="760" max="760" width="13.25" style="2" bestFit="1" customWidth="1"/>
    <col min="761" max="761" width="11.125" style="2" bestFit="1" customWidth="1"/>
    <col min="762" max="762" width="9.625" style="2" bestFit="1" customWidth="1"/>
    <col min="763" max="763" width="11.125" style="2" bestFit="1" customWidth="1"/>
    <col min="764" max="764" width="13.25" style="2" bestFit="1" customWidth="1"/>
    <col min="765" max="765" width="11.125" style="2" bestFit="1" customWidth="1"/>
    <col min="766" max="766" width="9" style="2"/>
    <col min="767" max="767" width="11.125" style="2" bestFit="1" customWidth="1"/>
    <col min="768" max="768" width="9" style="2"/>
    <col min="769" max="769" width="11.125" style="2" bestFit="1" customWidth="1"/>
    <col min="770" max="770" width="9" style="2"/>
    <col min="771" max="779" width="11.125" style="2" bestFit="1" customWidth="1"/>
    <col min="780" max="784" width="9" style="2"/>
    <col min="785" max="786" width="11.125" style="2" bestFit="1" customWidth="1"/>
    <col min="787" max="787" width="9" style="2"/>
    <col min="788" max="788" width="9.625" style="2" bestFit="1" customWidth="1"/>
    <col min="789" max="1014" width="9" style="2"/>
    <col min="1015" max="1015" width="2.375" style="2" customWidth="1"/>
    <col min="1016" max="1016" width="13.25" style="2" bestFit="1" customWidth="1"/>
    <col min="1017" max="1017" width="11.125" style="2" bestFit="1" customWidth="1"/>
    <col min="1018" max="1018" width="9.625" style="2" bestFit="1" customWidth="1"/>
    <col min="1019" max="1019" width="11.125" style="2" bestFit="1" customWidth="1"/>
    <col min="1020" max="1020" width="13.25" style="2" bestFit="1" customWidth="1"/>
    <col min="1021" max="1021" width="11.125" style="2" bestFit="1" customWidth="1"/>
    <col min="1022" max="1022" width="9" style="2"/>
    <col min="1023" max="1023" width="11.125" style="2" bestFit="1" customWidth="1"/>
    <col min="1024" max="1024" width="9" style="2"/>
    <col min="1025" max="1025" width="11.125" style="2" bestFit="1" customWidth="1"/>
    <col min="1026" max="1026" width="9" style="2"/>
    <col min="1027" max="1035" width="11.125" style="2" bestFit="1" customWidth="1"/>
    <col min="1036" max="1040" width="9" style="2"/>
    <col min="1041" max="1042" width="11.125" style="2" bestFit="1" customWidth="1"/>
    <col min="1043" max="1043" width="9" style="2"/>
    <col min="1044" max="1044" width="9.625" style="2" bestFit="1" customWidth="1"/>
    <col min="1045" max="1270" width="9" style="2"/>
    <col min="1271" max="1271" width="2.375" style="2" customWidth="1"/>
    <col min="1272" max="1272" width="13.25" style="2" bestFit="1" customWidth="1"/>
    <col min="1273" max="1273" width="11.125" style="2" bestFit="1" customWidth="1"/>
    <col min="1274" max="1274" width="9.625" style="2" bestFit="1" customWidth="1"/>
    <col min="1275" max="1275" width="11.125" style="2" bestFit="1" customWidth="1"/>
    <col min="1276" max="1276" width="13.25" style="2" bestFit="1" customWidth="1"/>
    <col min="1277" max="1277" width="11.125" style="2" bestFit="1" customWidth="1"/>
    <col min="1278" max="1278" width="9" style="2"/>
    <col min="1279" max="1279" width="11.125" style="2" bestFit="1" customWidth="1"/>
    <col min="1280" max="1280" width="9" style="2"/>
    <col min="1281" max="1281" width="11.125" style="2" bestFit="1" customWidth="1"/>
    <col min="1282" max="1282" width="9" style="2"/>
    <col min="1283" max="1291" width="11.125" style="2" bestFit="1" customWidth="1"/>
    <col min="1292" max="1296" width="9" style="2"/>
    <col min="1297" max="1298" width="11.125" style="2" bestFit="1" customWidth="1"/>
    <col min="1299" max="1299" width="9" style="2"/>
    <col min="1300" max="1300" width="9.625" style="2" bestFit="1" customWidth="1"/>
    <col min="1301" max="1526" width="9" style="2"/>
    <col min="1527" max="1527" width="2.375" style="2" customWidth="1"/>
    <col min="1528" max="1528" width="13.25" style="2" bestFit="1" customWidth="1"/>
    <col min="1529" max="1529" width="11.125" style="2" bestFit="1" customWidth="1"/>
    <col min="1530" max="1530" width="9.625" style="2" bestFit="1" customWidth="1"/>
    <col min="1531" max="1531" width="11.125" style="2" bestFit="1" customWidth="1"/>
    <col min="1532" max="1532" width="13.25" style="2" bestFit="1" customWidth="1"/>
    <col min="1533" max="1533" width="11.125" style="2" bestFit="1" customWidth="1"/>
    <col min="1534" max="1534" width="9" style="2"/>
    <col min="1535" max="1535" width="11.125" style="2" bestFit="1" customWidth="1"/>
    <col min="1536" max="1536" width="9" style="2"/>
    <col min="1537" max="1537" width="11.125" style="2" bestFit="1" customWidth="1"/>
    <col min="1538" max="1538" width="9" style="2"/>
    <col min="1539" max="1547" width="11.125" style="2" bestFit="1" customWidth="1"/>
    <col min="1548" max="1552" width="9" style="2"/>
    <col min="1553" max="1554" width="11.125" style="2" bestFit="1" customWidth="1"/>
    <col min="1555" max="1555" width="9" style="2"/>
    <col min="1556" max="1556" width="9.625" style="2" bestFit="1" customWidth="1"/>
    <col min="1557" max="1782" width="9" style="2"/>
    <col min="1783" max="1783" width="2.375" style="2" customWidth="1"/>
    <col min="1784" max="1784" width="13.25" style="2" bestFit="1" customWidth="1"/>
    <col min="1785" max="1785" width="11.125" style="2" bestFit="1" customWidth="1"/>
    <col min="1786" max="1786" width="9.625" style="2" bestFit="1" customWidth="1"/>
    <col min="1787" max="1787" width="11.125" style="2" bestFit="1" customWidth="1"/>
    <col min="1788" max="1788" width="13.25" style="2" bestFit="1" customWidth="1"/>
    <col min="1789" max="1789" width="11.125" style="2" bestFit="1" customWidth="1"/>
    <col min="1790" max="1790" width="9" style="2"/>
    <col min="1791" max="1791" width="11.125" style="2" bestFit="1" customWidth="1"/>
    <col min="1792" max="1792" width="9" style="2"/>
    <col min="1793" max="1793" width="11.125" style="2" bestFit="1" customWidth="1"/>
    <col min="1794" max="1794" width="9" style="2"/>
    <col min="1795" max="1803" width="11.125" style="2" bestFit="1" customWidth="1"/>
    <col min="1804" max="1808" width="9" style="2"/>
    <col min="1809" max="1810" width="11.125" style="2" bestFit="1" customWidth="1"/>
    <col min="1811" max="1811" width="9" style="2"/>
    <col min="1812" max="1812" width="9.625" style="2" bestFit="1" customWidth="1"/>
    <col min="1813" max="2038" width="9" style="2"/>
    <col min="2039" max="2039" width="2.375" style="2" customWidth="1"/>
    <col min="2040" max="2040" width="13.25" style="2" bestFit="1" customWidth="1"/>
    <col min="2041" max="2041" width="11.125" style="2" bestFit="1" customWidth="1"/>
    <col min="2042" max="2042" width="9.625" style="2" bestFit="1" customWidth="1"/>
    <col min="2043" max="2043" width="11.125" style="2" bestFit="1" customWidth="1"/>
    <col min="2044" max="2044" width="13.25" style="2" bestFit="1" customWidth="1"/>
    <col min="2045" max="2045" width="11.125" style="2" bestFit="1" customWidth="1"/>
    <col min="2046" max="2046" width="9" style="2"/>
    <col min="2047" max="2047" width="11.125" style="2" bestFit="1" customWidth="1"/>
    <col min="2048" max="2048" width="9" style="2"/>
    <col min="2049" max="2049" width="11.125" style="2" bestFit="1" customWidth="1"/>
    <col min="2050" max="2050" width="9" style="2"/>
    <col min="2051" max="2059" width="11.125" style="2" bestFit="1" customWidth="1"/>
    <col min="2060" max="2064" width="9" style="2"/>
    <col min="2065" max="2066" width="11.125" style="2" bestFit="1" customWidth="1"/>
    <col min="2067" max="2067" width="9" style="2"/>
    <col min="2068" max="2068" width="9.625" style="2" bestFit="1" customWidth="1"/>
    <col min="2069" max="2294" width="9" style="2"/>
    <col min="2295" max="2295" width="2.375" style="2" customWidth="1"/>
    <col min="2296" max="2296" width="13.25" style="2" bestFit="1" customWidth="1"/>
    <col min="2297" max="2297" width="11.125" style="2" bestFit="1" customWidth="1"/>
    <col min="2298" max="2298" width="9.625" style="2" bestFit="1" customWidth="1"/>
    <col min="2299" max="2299" width="11.125" style="2" bestFit="1" customWidth="1"/>
    <col min="2300" max="2300" width="13.25" style="2" bestFit="1" customWidth="1"/>
    <col min="2301" max="2301" width="11.125" style="2" bestFit="1" customWidth="1"/>
    <col min="2302" max="2302" width="9" style="2"/>
    <col min="2303" max="2303" width="11.125" style="2" bestFit="1" customWidth="1"/>
    <col min="2304" max="2304" width="9" style="2"/>
    <col min="2305" max="2305" width="11.125" style="2" bestFit="1" customWidth="1"/>
    <col min="2306" max="2306" width="9" style="2"/>
    <col min="2307" max="2315" width="11.125" style="2" bestFit="1" customWidth="1"/>
    <col min="2316" max="2320" width="9" style="2"/>
    <col min="2321" max="2322" width="11.125" style="2" bestFit="1" customWidth="1"/>
    <col min="2323" max="2323" width="9" style="2"/>
    <col min="2324" max="2324" width="9.625" style="2" bestFit="1" customWidth="1"/>
    <col min="2325" max="2550" width="9" style="2"/>
    <col min="2551" max="2551" width="2.375" style="2" customWidth="1"/>
    <col min="2552" max="2552" width="13.25" style="2" bestFit="1" customWidth="1"/>
    <col min="2553" max="2553" width="11.125" style="2" bestFit="1" customWidth="1"/>
    <col min="2554" max="2554" width="9.625" style="2" bestFit="1" customWidth="1"/>
    <col min="2555" max="2555" width="11.125" style="2" bestFit="1" customWidth="1"/>
    <col min="2556" max="2556" width="13.25" style="2" bestFit="1" customWidth="1"/>
    <col min="2557" max="2557" width="11.125" style="2" bestFit="1" customWidth="1"/>
    <col min="2558" max="2558" width="9" style="2"/>
    <col min="2559" max="2559" width="11.125" style="2" bestFit="1" customWidth="1"/>
    <col min="2560" max="2560" width="9" style="2"/>
    <col min="2561" max="2561" width="11.125" style="2" bestFit="1" customWidth="1"/>
    <col min="2562" max="2562" width="9" style="2"/>
    <col min="2563" max="2571" width="11.125" style="2" bestFit="1" customWidth="1"/>
    <col min="2572" max="2576" width="9" style="2"/>
    <col min="2577" max="2578" width="11.125" style="2" bestFit="1" customWidth="1"/>
    <col min="2579" max="2579" width="9" style="2"/>
    <col min="2580" max="2580" width="9.625" style="2" bestFit="1" customWidth="1"/>
    <col min="2581" max="2806" width="9" style="2"/>
    <col min="2807" max="2807" width="2.375" style="2" customWidth="1"/>
    <col min="2808" max="2808" width="13.25" style="2" bestFit="1" customWidth="1"/>
    <col min="2809" max="2809" width="11.125" style="2" bestFit="1" customWidth="1"/>
    <col min="2810" max="2810" width="9.625" style="2" bestFit="1" customWidth="1"/>
    <col min="2811" max="2811" width="11.125" style="2" bestFit="1" customWidth="1"/>
    <col min="2812" max="2812" width="13.25" style="2" bestFit="1" customWidth="1"/>
    <col min="2813" max="2813" width="11.125" style="2" bestFit="1" customWidth="1"/>
    <col min="2814" max="2814" width="9" style="2"/>
    <col min="2815" max="2815" width="11.125" style="2" bestFit="1" customWidth="1"/>
    <col min="2816" max="2816" width="9" style="2"/>
    <col min="2817" max="2817" width="11.125" style="2" bestFit="1" customWidth="1"/>
    <col min="2818" max="2818" width="9" style="2"/>
    <col min="2819" max="2827" width="11.125" style="2" bestFit="1" customWidth="1"/>
    <col min="2828" max="2832" width="9" style="2"/>
    <col min="2833" max="2834" width="11.125" style="2" bestFit="1" customWidth="1"/>
    <col min="2835" max="2835" width="9" style="2"/>
    <col min="2836" max="2836" width="9.625" style="2" bestFit="1" customWidth="1"/>
    <col min="2837" max="3062" width="9" style="2"/>
    <col min="3063" max="3063" width="2.375" style="2" customWidth="1"/>
    <col min="3064" max="3064" width="13.25" style="2" bestFit="1" customWidth="1"/>
    <col min="3065" max="3065" width="11.125" style="2" bestFit="1" customWidth="1"/>
    <col min="3066" max="3066" width="9.625" style="2" bestFit="1" customWidth="1"/>
    <col min="3067" max="3067" width="11.125" style="2" bestFit="1" customWidth="1"/>
    <col min="3068" max="3068" width="13.25" style="2" bestFit="1" customWidth="1"/>
    <col min="3069" max="3069" width="11.125" style="2" bestFit="1" customWidth="1"/>
    <col min="3070" max="3070" width="9" style="2"/>
    <col min="3071" max="3071" width="11.125" style="2" bestFit="1" customWidth="1"/>
    <col min="3072" max="3072" width="9" style="2"/>
    <col min="3073" max="3073" width="11.125" style="2" bestFit="1" customWidth="1"/>
    <col min="3074" max="3074" width="9" style="2"/>
    <col min="3075" max="3083" width="11.125" style="2" bestFit="1" customWidth="1"/>
    <col min="3084" max="3088" width="9" style="2"/>
    <col min="3089" max="3090" width="11.125" style="2" bestFit="1" customWidth="1"/>
    <col min="3091" max="3091" width="9" style="2"/>
    <col min="3092" max="3092" width="9.625" style="2" bestFit="1" customWidth="1"/>
    <col min="3093" max="3318" width="9" style="2"/>
    <col min="3319" max="3319" width="2.375" style="2" customWidth="1"/>
    <col min="3320" max="3320" width="13.25" style="2" bestFit="1" customWidth="1"/>
    <col min="3321" max="3321" width="11.125" style="2" bestFit="1" customWidth="1"/>
    <col min="3322" max="3322" width="9.625" style="2" bestFit="1" customWidth="1"/>
    <col min="3323" max="3323" width="11.125" style="2" bestFit="1" customWidth="1"/>
    <col min="3324" max="3324" width="13.25" style="2" bestFit="1" customWidth="1"/>
    <col min="3325" max="3325" width="11.125" style="2" bestFit="1" customWidth="1"/>
    <col min="3326" max="3326" width="9" style="2"/>
    <col min="3327" max="3327" width="11.125" style="2" bestFit="1" customWidth="1"/>
    <col min="3328" max="3328" width="9" style="2"/>
    <col min="3329" max="3329" width="11.125" style="2" bestFit="1" customWidth="1"/>
    <col min="3330" max="3330" width="9" style="2"/>
    <col min="3331" max="3339" width="11.125" style="2" bestFit="1" customWidth="1"/>
    <col min="3340" max="3344" width="9" style="2"/>
    <col min="3345" max="3346" width="11.125" style="2" bestFit="1" customWidth="1"/>
    <col min="3347" max="3347" width="9" style="2"/>
    <col min="3348" max="3348" width="9.625" style="2" bestFit="1" customWidth="1"/>
    <col min="3349" max="3574" width="9" style="2"/>
    <col min="3575" max="3575" width="2.375" style="2" customWidth="1"/>
    <col min="3576" max="3576" width="13.25" style="2" bestFit="1" customWidth="1"/>
    <col min="3577" max="3577" width="11.125" style="2" bestFit="1" customWidth="1"/>
    <col min="3578" max="3578" width="9.625" style="2" bestFit="1" customWidth="1"/>
    <col min="3579" max="3579" width="11.125" style="2" bestFit="1" customWidth="1"/>
    <col min="3580" max="3580" width="13.25" style="2" bestFit="1" customWidth="1"/>
    <col min="3581" max="3581" width="11.125" style="2" bestFit="1" customWidth="1"/>
    <col min="3582" max="3582" width="9" style="2"/>
    <col min="3583" max="3583" width="11.125" style="2" bestFit="1" customWidth="1"/>
    <col min="3584" max="3584" width="9" style="2"/>
    <col min="3585" max="3585" width="11.125" style="2" bestFit="1" customWidth="1"/>
    <col min="3586" max="3586" width="9" style="2"/>
    <col min="3587" max="3595" width="11.125" style="2" bestFit="1" customWidth="1"/>
    <col min="3596" max="3600" width="9" style="2"/>
    <col min="3601" max="3602" width="11.125" style="2" bestFit="1" customWidth="1"/>
    <col min="3603" max="3603" width="9" style="2"/>
    <col min="3604" max="3604" width="9.625" style="2" bestFit="1" customWidth="1"/>
    <col min="3605" max="3830" width="9" style="2"/>
    <col min="3831" max="3831" width="2.375" style="2" customWidth="1"/>
    <col min="3832" max="3832" width="13.25" style="2" bestFit="1" customWidth="1"/>
    <col min="3833" max="3833" width="11.125" style="2" bestFit="1" customWidth="1"/>
    <col min="3834" max="3834" width="9.625" style="2" bestFit="1" customWidth="1"/>
    <col min="3835" max="3835" width="11.125" style="2" bestFit="1" customWidth="1"/>
    <col min="3836" max="3836" width="13.25" style="2" bestFit="1" customWidth="1"/>
    <col min="3837" max="3837" width="11.125" style="2" bestFit="1" customWidth="1"/>
    <col min="3838" max="3838" width="9" style="2"/>
    <col min="3839" max="3839" width="11.125" style="2" bestFit="1" customWidth="1"/>
    <col min="3840" max="3840" width="9" style="2"/>
    <col min="3841" max="3841" width="11.125" style="2" bestFit="1" customWidth="1"/>
    <col min="3842" max="3842" width="9" style="2"/>
    <col min="3843" max="3851" width="11.125" style="2" bestFit="1" customWidth="1"/>
    <col min="3852" max="3856" width="9" style="2"/>
    <col min="3857" max="3858" width="11.125" style="2" bestFit="1" customWidth="1"/>
    <col min="3859" max="3859" width="9" style="2"/>
    <col min="3860" max="3860" width="9.625" style="2" bestFit="1" customWidth="1"/>
    <col min="3861" max="4086" width="9" style="2"/>
    <col min="4087" max="4087" width="2.375" style="2" customWidth="1"/>
    <col min="4088" max="4088" width="13.25" style="2" bestFit="1" customWidth="1"/>
    <col min="4089" max="4089" width="11.125" style="2" bestFit="1" customWidth="1"/>
    <col min="4090" max="4090" width="9.625" style="2" bestFit="1" customWidth="1"/>
    <col min="4091" max="4091" width="11.125" style="2" bestFit="1" customWidth="1"/>
    <col min="4092" max="4092" width="13.25" style="2" bestFit="1" customWidth="1"/>
    <col min="4093" max="4093" width="11.125" style="2" bestFit="1" customWidth="1"/>
    <col min="4094" max="4094" width="9" style="2"/>
    <col min="4095" max="4095" width="11.125" style="2" bestFit="1" customWidth="1"/>
    <col min="4096" max="4096" width="9" style="2"/>
    <col min="4097" max="4097" width="11.125" style="2" bestFit="1" customWidth="1"/>
    <col min="4098" max="4098" width="9" style="2"/>
    <col min="4099" max="4107" width="11.125" style="2" bestFit="1" customWidth="1"/>
    <col min="4108" max="4112" width="9" style="2"/>
    <col min="4113" max="4114" width="11.125" style="2" bestFit="1" customWidth="1"/>
    <col min="4115" max="4115" width="9" style="2"/>
    <col min="4116" max="4116" width="9.625" style="2" bestFit="1" customWidth="1"/>
    <col min="4117" max="4342" width="9" style="2"/>
    <col min="4343" max="4343" width="2.375" style="2" customWidth="1"/>
    <col min="4344" max="4344" width="13.25" style="2" bestFit="1" customWidth="1"/>
    <col min="4345" max="4345" width="11.125" style="2" bestFit="1" customWidth="1"/>
    <col min="4346" max="4346" width="9.625" style="2" bestFit="1" customWidth="1"/>
    <col min="4347" max="4347" width="11.125" style="2" bestFit="1" customWidth="1"/>
    <col min="4348" max="4348" width="13.25" style="2" bestFit="1" customWidth="1"/>
    <col min="4349" max="4349" width="11.125" style="2" bestFit="1" customWidth="1"/>
    <col min="4350" max="4350" width="9" style="2"/>
    <col min="4351" max="4351" width="11.125" style="2" bestFit="1" customWidth="1"/>
    <col min="4352" max="4352" width="9" style="2"/>
    <col min="4353" max="4353" width="11.125" style="2" bestFit="1" customWidth="1"/>
    <col min="4354" max="4354" width="9" style="2"/>
    <col min="4355" max="4363" width="11.125" style="2" bestFit="1" customWidth="1"/>
    <col min="4364" max="4368" width="9" style="2"/>
    <col min="4369" max="4370" width="11.125" style="2" bestFit="1" customWidth="1"/>
    <col min="4371" max="4371" width="9" style="2"/>
    <col min="4372" max="4372" width="9.625" style="2" bestFit="1" customWidth="1"/>
    <col min="4373" max="4598" width="9" style="2"/>
    <col min="4599" max="4599" width="2.375" style="2" customWidth="1"/>
    <col min="4600" max="4600" width="13.25" style="2" bestFit="1" customWidth="1"/>
    <col min="4601" max="4601" width="11.125" style="2" bestFit="1" customWidth="1"/>
    <col min="4602" max="4602" width="9.625" style="2" bestFit="1" customWidth="1"/>
    <col min="4603" max="4603" width="11.125" style="2" bestFit="1" customWidth="1"/>
    <col min="4604" max="4604" width="13.25" style="2" bestFit="1" customWidth="1"/>
    <col min="4605" max="4605" width="11.125" style="2" bestFit="1" customWidth="1"/>
    <col min="4606" max="4606" width="9" style="2"/>
    <col min="4607" max="4607" width="11.125" style="2" bestFit="1" customWidth="1"/>
    <col min="4608" max="4608" width="9" style="2"/>
    <col min="4609" max="4609" width="11.125" style="2" bestFit="1" customWidth="1"/>
    <col min="4610" max="4610" width="9" style="2"/>
    <col min="4611" max="4619" width="11.125" style="2" bestFit="1" customWidth="1"/>
    <col min="4620" max="4624" width="9" style="2"/>
    <col min="4625" max="4626" width="11.125" style="2" bestFit="1" customWidth="1"/>
    <col min="4627" max="4627" width="9" style="2"/>
    <col min="4628" max="4628" width="9.625" style="2" bestFit="1" customWidth="1"/>
    <col min="4629" max="4854" width="9" style="2"/>
    <col min="4855" max="4855" width="2.375" style="2" customWidth="1"/>
    <col min="4856" max="4856" width="13.25" style="2" bestFit="1" customWidth="1"/>
    <col min="4857" max="4857" width="11.125" style="2" bestFit="1" customWidth="1"/>
    <col min="4858" max="4858" width="9.625" style="2" bestFit="1" customWidth="1"/>
    <col min="4859" max="4859" width="11.125" style="2" bestFit="1" customWidth="1"/>
    <col min="4860" max="4860" width="13.25" style="2" bestFit="1" customWidth="1"/>
    <col min="4861" max="4861" width="11.125" style="2" bestFit="1" customWidth="1"/>
    <col min="4862" max="4862" width="9" style="2"/>
    <col min="4863" max="4863" width="11.125" style="2" bestFit="1" customWidth="1"/>
    <col min="4864" max="4864" width="9" style="2"/>
    <col min="4865" max="4865" width="11.125" style="2" bestFit="1" customWidth="1"/>
    <col min="4866" max="4866" width="9" style="2"/>
    <col min="4867" max="4875" width="11.125" style="2" bestFit="1" customWidth="1"/>
    <col min="4876" max="4880" width="9" style="2"/>
    <col min="4881" max="4882" width="11.125" style="2" bestFit="1" customWidth="1"/>
    <col min="4883" max="4883" width="9" style="2"/>
    <col min="4884" max="4884" width="9.625" style="2" bestFit="1" customWidth="1"/>
    <col min="4885" max="5110" width="9" style="2"/>
    <col min="5111" max="5111" width="2.375" style="2" customWidth="1"/>
    <col min="5112" max="5112" width="13.25" style="2" bestFit="1" customWidth="1"/>
    <col min="5113" max="5113" width="11.125" style="2" bestFit="1" customWidth="1"/>
    <col min="5114" max="5114" width="9.625" style="2" bestFit="1" customWidth="1"/>
    <col min="5115" max="5115" width="11.125" style="2" bestFit="1" customWidth="1"/>
    <col min="5116" max="5116" width="13.25" style="2" bestFit="1" customWidth="1"/>
    <col min="5117" max="5117" width="11.125" style="2" bestFit="1" customWidth="1"/>
    <col min="5118" max="5118" width="9" style="2"/>
    <col min="5119" max="5119" width="11.125" style="2" bestFit="1" customWidth="1"/>
    <col min="5120" max="5120" width="9" style="2"/>
    <col min="5121" max="5121" width="11.125" style="2" bestFit="1" customWidth="1"/>
    <col min="5122" max="5122" width="9" style="2"/>
    <col min="5123" max="5131" width="11.125" style="2" bestFit="1" customWidth="1"/>
    <col min="5132" max="5136" width="9" style="2"/>
    <col min="5137" max="5138" width="11.125" style="2" bestFit="1" customWidth="1"/>
    <col min="5139" max="5139" width="9" style="2"/>
    <col min="5140" max="5140" width="9.625" style="2" bestFit="1" customWidth="1"/>
    <col min="5141" max="5366" width="9" style="2"/>
    <col min="5367" max="5367" width="2.375" style="2" customWidth="1"/>
    <col min="5368" max="5368" width="13.25" style="2" bestFit="1" customWidth="1"/>
    <col min="5369" max="5369" width="11.125" style="2" bestFit="1" customWidth="1"/>
    <col min="5370" max="5370" width="9.625" style="2" bestFit="1" customWidth="1"/>
    <col min="5371" max="5371" width="11.125" style="2" bestFit="1" customWidth="1"/>
    <col min="5372" max="5372" width="13.25" style="2" bestFit="1" customWidth="1"/>
    <col min="5373" max="5373" width="11.125" style="2" bestFit="1" customWidth="1"/>
    <col min="5374" max="5374" width="9" style="2"/>
    <col min="5375" max="5375" width="11.125" style="2" bestFit="1" customWidth="1"/>
    <col min="5376" max="5376" width="9" style="2"/>
    <col min="5377" max="5377" width="11.125" style="2" bestFit="1" customWidth="1"/>
    <col min="5378" max="5378" width="9" style="2"/>
    <col min="5379" max="5387" width="11.125" style="2" bestFit="1" customWidth="1"/>
    <col min="5388" max="5392" width="9" style="2"/>
    <col min="5393" max="5394" width="11.125" style="2" bestFit="1" customWidth="1"/>
    <col min="5395" max="5395" width="9" style="2"/>
    <col min="5396" max="5396" width="9.625" style="2" bestFit="1" customWidth="1"/>
    <col min="5397" max="5622" width="9" style="2"/>
    <col min="5623" max="5623" width="2.375" style="2" customWidth="1"/>
    <col min="5624" max="5624" width="13.25" style="2" bestFit="1" customWidth="1"/>
    <col min="5625" max="5625" width="11.125" style="2" bestFit="1" customWidth="1"/>
    <col min="5626" max="5626" width="9.625" style="2" bestFit="1" customWidth="1"/>
    <col min="5627" max="5627" width="11.125" style="2" bestFit="1" customWidth="1"/>
    <col min="5628" max="5628" width="13.25" style="2" bestFit="1" customWidth="1"/>
    <col min="5629" max="5629" width="11.125" style="2" bestFit="1" customWidth="1"/>
    <col min="5630" max="5630" width="9" style="2"/>
    <col min="5631" max="5631" width="11.125" style="2" bestFit="1" customWidth="1"/>
    <col min="5632" max="5632" width="9" style="2"/>
    <col min="5633" max="5633" width="11.125" style="2" bestFit="1" customWidth="1"/>
    <col min="5634" max="5634" width="9" style="2"/>
    <col min="5635" max="5643" width="11.125" style="2" bestFit="1" customWidth="1"/>
    <col min="5644" max="5648" width="9" style="2"/>
    <col min="5649" max="5650" width="11.125" style="2" bestFit="1" customWidth="1"/>
    <col min="5651" max="5651" width="9" style="2"/>
    <col min="5652" max="5652" width="9.625" style="2" bestFit="1" customWidth="1"/>
    <col min="5653" max="5878" width="9" style="2"/>
    <col min="5879" max="5879" width="2.375" style="2" customWidth="1"/>
    <col min="5880" max="5880" width="13.25" style="2" bestFit="1" customWidth="1"/>
    <col min="5881" max="5881" width="11.125" style="2" bestFit="1" customWidth="1"/>
    <col min="5882" max="5882" width="9.625" style="2" bestFit="1" customWidth="1"/>
    <col min="5883" max="5883" width="11.125" style="2" bestFit="1" customWidth="1"/>
    <col min="5884" max="5884" width="13.25" style="2" bestFit="1" customWidth="1"/>
    <col min="5885" max="5885" width="11.125" style="2" bestFit="1" customWidth="1"/>
    <col min="5886" max="5886" width="9" style="2"/>
    <col min="5887" max="5887" width="11.125" style="2" bestFit="1" customWidth="1"/>
    <col min="5888" max="5888" width="9" style="2"/>
    <col min="5889" max="5889" width="11.125" style="2" bestFit="1" customWidth="1"/>
    <col min="5890" max="5890" width="9" style="2"/>
    <col min="5891" max="5899" width="11.125" style="2" bestFit="1" customWidth="1"/>
    <col min="5900" max="5904" width="9" style="2"/>
    <col min="5905" max="5906" width="11.125" style="2" bestFit="1" customWidth="1"/>
    <col min="5907" max="5907" width="9" style="2"/>
    <col min="5908" max="5908" width="9.625" style="2" bestFit="1" customWidth="1"/>
    <col min="5909" max="6134" width="9" style="2"/>
    <col min="6135" max="6135" width="2.375" style="2" customWidth="1"/>
    <col min="6136" max="6136" width="13.25" style="2" bestFit="1" customWidth="1"/>
    <col min="6137" max="6137" width="11.125" style="2" bestFit="1" customWidth="1"/>
    <col min="6138" max="6138" width="9.625" style="2" bestFit="1" customWidth="1"/>
    <col min="6139" max="6139" width="11.125" style="2" bestFit="1" customWidth="1"/>
    <col min="6140" max="6140" width="13.25" style="2" bestFit="1" customWidth="1"/>
    <col min="6141" max="6141" width="11.125" style="2" bestFit="1" customWidth="1"/>
    <col min="6142" max="6142" width="9" style="2"/>
    <col min="6143" max="6143" width="11.125" style="2" bestFit="1" customWidth="1"/>
    <col min="6144" max="6144" width="9" style="2"/>
    <col min="6145" max="6145" width="11.125" style="2" bestFit="1" customWidth="1"/>
    <col min="6146" max="6146" width="9" style="2"/>
    <col min="6147" max="6155" width="11.125" style="2" bestFit="1" customWidth="1"/>
    <col min="6156" max="6160" width="9" style="2"/>
    <col min="6161" max="6162" width="11.125" style="2" bestFit="1" customWidth="1"/>
    <col min="6163" max="6163" width="9" style="2"/>
    <col min="6164" max="6164" width="9.625" style="2" bestFit="1" customWidth="1"/>
    <col min="6165" max="6390" width="9" style="2"/>
    <col min="6391" max="6391" width="2.375" style="2" customWidth="1"/>
    <col min="6392" max="6392" width="13.25" style="2" bestFit="1" customWidth="1"/>
    <col min="6393" max="6393" width="11.125" style="2" bestFit="1" customWidth="1"/>
    <col min="6394" max="6394" width="9.625" style="2" bestFit="1" customWidth="1"/>
    <col min="6395" max="6395" width="11.125" style="2" bestFit="1" customWidth="1"/>
    <col min="6396" max="6396" width="13.25" style="2" bestFit="1" customWidth="1"/>
    <col min="6397" max="6397" width="11.125" style="2" bestFit="1" customWidth="1"/>
    <col min="6398" max="6398" width="9" style="2"/>
    <col min="6399" max="6399" width="11.125" style="2" bestFit="1" customWidth="1"/>
    <col min="6400" max="6400" width="9" style="2"/>
    <col min="6401" max="6401" width="11.125" style="2" bestFit="1" customWidth="1"/>
    <col min="6402" max="6402" width="9" style="2"/>
    <col min="6403" max="6411" width="11.125" style="2" bestFit="1" customWidth="1"/>
    <col min="6412" max="6416" width="9" style="2"/>
    <col min="6417" max="6418" width="11.125" style="2" bestFit="1" customWidth="1"/>
    <col min="6419" max="6419" width="9" style="2"/>
    <col min="6420" max="6420" width="9.625" style="2" bestFit="1" customWidth="1"/>
    <col min="6421" max="6646" width="9" style="2"/>
    <col min="6647" max="6647" width="2.375" style="2" customWidth="1"/>
    <col min="6648" max="6648" width="13.25" style="2" bestFit="1" customWidth="1"/>
    <col min="6649" max="6649" width="11.125" style="2" bestFit="1" customWidth="1"/>
    <col min="6650" max="6650" width="9.625" style="2" bestFit="1" customWidth="1"/>
    <col min="6651" max="6651" width="11.125" style="2" bestFit="1" customWidth="1"/>
    <col min="6652" max="6652" width="13.25" style="2" bestFit="1" customWidth="1"/>
    <col min="6653" max="6653" width="11.125" style="2" bestFit="1" customWidth="1"/>
    <col min="6654" max="6654" width="9" style="2"/>
    <col min="6655" max="6655" width="11.125" style="2" bestFit="1" customWidth="1"/>
    <col min="6656" max="6656" width="9" style="2"/>
    <col min="6657" max="6657" width="11.125" style="2" bestFit="1" customWidth="1"/>
    <col min="6658" max="6658" width="9" style="2"/>
    <col min="6659" max="6667" width="11.125" style="2" bestFit="1" customWidth="1"/>
    <col min="6668" max="6672" width="9" style="2"/>
    <col min="6673" max="6674" width="11.125" style="2" bestFit="1" customWidth="1"/>
    <col min="6675" max="6675" width="9" style="2"/>
    <col min="6676" max="6676" width="9.625" style="2" bestFit="1" customWidth="1"/>
    <col min="6677" max="6902" width="9" style="2"/>
    <col min="6903" max="6903" width="2.375" style="2" customWidth="1"/>
    <col min="6904" max="6904" width="13.25" style="2" bestFit="1" customWidth="1"/>
    <col min="6905" max="6905" width="11.125" style="2" bestFit="1" customWidth="1"/>
    <col min="6906" max="6906" width="9.625" style="2" bestFit="1" customWidth="1"/>
    <col min="6907" max="6907" width="11.125" style="2" bestFit="1" customWidth="1"/>
    <col min="6908" max="6908" width="13.25" style="2" bestFit="1" customWidth="1"/>
    <col min="6909" max="6909" width="11.125" style="2" bestFit="1" customWidth="1"/>
    <col min="6910" max="6910" width="9" style="2"/>
    <col min="6911" max="6911" width="11.125" style="2" bestFit="1" customWidth="1"/>
    <col min="6912" max="6912" width="9" style="2"/>
    <col min="6913" max="6913" width="11.125" style="2" bestFit="1" customWidth="1"/>
    <col min="6914" max="6914" width="9" style="2"/>
    <col min="6915" max="6923" width="11.125" style="2" bestFit="1" customWidth="1"/>
    <col min="6924" max="6928" width="9" style="2"/>
    <col min="6929" max="6930" width="11.125" style="2" bestFit="1" customWidth="1"/>
    <col min="6931" max="6931" width="9" style="2"/>
    <col min="6932" max="6932" width="9.625" style="2" bestFit="1" customWidth="1"/>
    <col min="6933" max="7158" width="9" style="2"/>
    <col min="7159" max="7159" width="2.375" style="2" customWidth="1"/>
    <col min="7160" max="7160" width="13.25" style="2" bestFit="1" customWidth="1"/>
    <col min="7161" max="7161" width="11.125" style="2" bestFit="1" customWidth="1"/>
    <col min="7162" max="7162" width="9.625" style="2" bestFit="1" customWidth="1"/>
    <col min="7163" max="7163" width="11.125" style="2" bestFit="1" customWidth="1"/>
    <col min="7164" max="7164" width="13.25" style="2" bestFit="1" customWidth="1"/>
    <col min="7165" max="7165" width="11.125" style="2" bestFit="1" customWidth="1"/>
    <col min="7166" max="7166" width="9" style="2"/>
    <col min="7167" max="7167" width="11.125" style="2" bestFit="1" customWidth="1"/>
    <col min="7168" max="7168" width="9" style="2"/>
    <col min="7169" max="7169" width="11.125" style="2" bestFit="1" customWidth="1"/>
    <col min="7170" max="7170" width="9" style="2"/>
    <col min="7171" max="7179" width="11.125" style="2" bestFit="1" customWidth="1"/>
    <col min="7180" max="7184" width="9" style="2"/>
    <col min="7185" max="7186" width="11.125" style="2" bestFit="1" customWidth="1"/>
    <col min="7187" max="7187" width="9" style="2"/>
    <col min="7188" max="7188" width="9.625" style="2" bestFit="1" customWidth="1"/>
    <col min="7189" max="7414" width="9" style="2"/>
    <col min="7415" max="7415" width="2.375" style="2" customWidth="1"/>
    <col min="7416" max="7416" width="13.25" style="2" bestFit="1" customWidth="1"/>
    <col min="7417" max="7417" width="11.125" style="2" bestFit="1" customWidth="1"/>
    <col min="7418" max="7418" width="9.625" style="2" bestFit="1" customWidth="1"/>
    <col min="7419" max="7419" width="11.125" style="2" bestFit="1" customWidth="1"/>
    <col min="7420" max="7420" width="13.25" style="2" bestFit="1" customWidth="1"/>
    <col min="7421" max="7421" width="11.125" style="2" bestFit="1" customWidth="1"/>
    <col min="7422" max="7422" width="9" style="2"/>
    <col min="7423" max="7423" width="11.125" style="2" bestFit="1" customWidth="1"/>
    <col min="7424" max="7424" width="9" style="2"/>
    <col min="7425" max="7425" width="11.125" style="2" bestFit="1" customWidth="1"/>
    <col min="7426" max="7426" width="9" style="2"/>
    <col min="7427" max="7435" width="11.125" style="2" bestFit="1" customWidth="1"/>
    <col min="7436" max="7440" width="9" style="2"/>
    <col min="7441" max="7442" width="11.125" style="2" bestFit="1" customWidth="1"/>
    <col min="7443" max="7443" width="9" style="2"/>
    <col min="7444" max="7444" width="9.625" style="2" bestFit="1" customWidth="1"/>
    <col min="7445" max="7670" width="9" style="2"/>
    <col min="7671" max="7671" width="2.375" style="2" customWidth="1"/>
    <col min="7672" max="7672" width="13.25" style="2" bestFit="1" customWidth="1"/>
    <col min="7673" max="7673" width="11.125" style="2" bestFit="1" customWidth="1"/>
    <col min="7674" max="7674" width="9.625" style="2" bestFit="1" customWidth="1"/>
    <col min="7675" max="7675" width="11.125" style="2" bestFit="1" customWidth="1"/>
    <col min="7676" max="7676" width="13.25" style="2" bestFit="1" customWidth="1"/>
    <col min="7677" max="7677" width="11.125" style="2" bestFit="1" customWidth="1"/>
    <col min="7678" max="7678" width="9" style="2"/>
    <col min="7679" max="7679" width="11.125" style="2" bestFit="1" customWidth="1"/>
    <col min="7680" max="7680" width="9" style="2"/>
    <col min="7681" max="7681" width="11.125" style="2" bestFit="1" customWidth="1"/>
    <col min="7682" max="7682" width="9" style="2"/>
    <col min="7683" max="7691" width="11.125" style="2" bestFit="1" customWidth="1"/>
    <col min="7692" max="7696" width="9" style="2"/>
    <col min="7697" max="7698" width="11.125" style="2" bestFit="1" customWidth="1"/>
    <col min="7699" max="7699" width="9" style="2"/>
    <col min="7700" max="7700" width="9.625" style="2" bestFit="1" customWidth="1"/>
    <col min="7701" max="7926" width="9" style="2"/>
    <col min="7927" max="7927" width="2.375" style="2" customWidth="1"/>
    <col min="7928" max="7928" width="13.25" style="2" bestFit="1" customWidth="1"/>
    <col min="7929" max="7929" width="11.125" style="2" bestFit="1" customWidth="1"/>
    <col min="7930" max="7930" width="9.625" style="2" bestFit="1" customWidth="1"/>
    <col min="7931" max="7931" width="11.125" style="2" bestFit="1" customWidth="1"/>
    <col min="7932" max="7932" width="13.25" style="2" bestFit="1" customWidth="1"/>
    <col min="7933" max="7933" width="11.125" style="2" bestFit="1" customWidth="1"/>
    <col min="7934" max="7934" width="9" style="2"/>
    <col min="7935" max="7935" width="11.125" style="2" bestFit="1" customWidth="1"/>
    <col min="7936" max="7936" width="9" style="2"/>
    <col min="7937" max="7937" width="11.125" style="2" bestFit="1" customWidth="1"/>
    <col min="7938" max="7938" width="9" style="2"/>
    <col min="7939" max="7947" width="11.125" style="2" bestFit="1" customWidth="1"/>
    <col min="7948" max="7952" width="9" style="2"/>
    <col min="7953" max="7954" width="11.125" style="2" bestFit="1" customWidth="1"/>
    <col min="7955" max="7955" width="9" style="2"/>
    <col min="7956" max="7956" width="9.625" style="2" bestFit="1" customWidth="1"/>
    <col min="7957" max="8182" width="9" style="2"/>
    <col min="8183" max="8183" width="2.375" style="2" customWidth="1"/>
    <col min="8184" max="8184" width="13.25" style="2" bestFit="1" customWidth="1"/>
    <col min="8185" max="8185" width="11.125" style="2" bestFit="1" customWidth="1"/>
    <col min="8186" max="8186" width="9.625" style="2" bestFit="1" customWidth="1"/>
    <col min="8187" max="8187" width="11.125" style="2" bestFit="1" customWidth="1"/>
    <col min="8188" max="8188" width="13.25" style="2" bestFit="1" customWidth="1"/>
    <col min="8189" max="8189" width="11.125" style="2" bestFit="1" customWidth="1"/>
    <col min="8190" max="8190" width="9" style="2"/>
    <col min="8191" max="8191" width="11.125" style="2" bestFit="1" customWidth="1"/>
    <col min="8192" max="8192" width="9" style="2"/>
    <col min="8193" max="8193" width="11.125" style="2" bestFit="1" customWidth="1"/>
    <col min="8194" max="8194" width="9" style="2"/>
    <col min="8195" max="8203" width="11.125" style="2" bestFit="1" customWidth="1"/>
    <col min="8204" max="8208" width="9" style="2"/>
    <col min="8209" max="8210" width="11.125" style="2" bestFit="1" customWidth="1"/>
    <col min="8211" max="8211" width="9" style="2"/>
    <col min="8212" max="8212" width="9.625" style="2" bestFit="1" customWidth="1"/>
    <col min="8213" max="8438" width="9" style="2"/>
    <col min="8439" max="8439" width="2.375" style="2" customWidth="1"/>
    <col min="8440" max="8440" width="13.25" style="2" bestFit="1" customWidth="1"/>
    <col min="8441" max="8441" width="11.125" style="2" bestFit="1" customWidth="1"/>
    <col min="8442" max="8442" width="9.625" style="2" bestFit="1" customWidth="1"/>
    <col min="8443" max="8443" width="11.125" style="2" bestFit="1" customWidth="1"/>
    <col min="8444" max="8444" width="13.25" style="2" bestFit="1" customWidth="1"/>
    <col min="8445" max="8445" width="11.125" style="2" bestFit="1" customWidth="1"/>
    <col min="8446" max="8446" width="9" style="2"/>
    <col min="8447" max="8447" width="11.125" style="2" bestFit="1" customWidth="1"/>
    <col min="8448" max="8448" width="9" style="2"/>
    <col min="8449" max="8449" width="11.125" style="2" bestFit="1" customWidth="1"/>
    <col min="8450" max="8450" width="9" style="2"/>
    <col min="8451" max="8459" width="11.125" style="2" bestFit="1" customWidth="1"/>
    <col min="8460" max="8464" width="9" style="2"/>
    <col min="8465" max="8466" width="11.125" style="2" bestFit="1" customWidth="1"/>
    <col min="8467" max="8467" width="9" style="2"/>
    <col min="8468" max="8468" width="9.625" style="2" bestFit="1" customWidth="1"/>
    <col min="8469" max="8694" width="9" style="2"/>
    <col min="8695" max="8695" width="2.375" style="2" customWidth="1"/>
    <col min="8696" max="8696" width="13.25" style="2" bestFit="1" customWidth="1"/>
    <col min="8697" max="8697" width="11.125" style="2" bestFit="1" customWidth="1"/>
    <col min="8698" max="8698" width="9.625" style="2" bestFit="1" customWidth="1"/>
    <col min="8699" max="8699" width="11.125" style="2" bestFit="1" customWidth="1"/>
    <col min="8700" max="8700" width="13.25" style="2" bestFit="1" customWidth="1"/>
    <col min="8701" max="8701" width="11.125" style="2" bestFit="1" customWidth="1"/>
    <col min="8702" max="8702" width="9" style="2"/>
    <col min="8703" max="8703" width="11.125" style="2" bestFit="1" customWidth="1"/>
    <col min="8704" max="8704" width="9" style="2"/>
    <col min="8705" max="8705" width="11.125" style="2" bestFit="1" customWidth="1"/>
    <col min="8706" max="8706" width="9" style="2"/>
    <col min="8707" max="8715" width="11.125" style="2" bestFit="1" customWidth="1"/>
    <col min="8716" max="8720" width="9" style="2"/>
    <col min="8721" max="8722" width="11.125" style="2" bestFit="1" customWidth="1"/>
    <col min="8723" max="8723" width="9" style="2"/>
    <col min="8724" max="8724" width="9.625" style="2" bestFit="1" customWidth="1"/>
    <col min="8725" max="8950" width="9" style="2"/>
    <col min="8951" max="8951" width="2.375" style="2" customWidth="1"/>
    <col min="8952" max="8952" width="13.25" style="2" bestFit="1" customWidth="1"/>
    <col min="8953" max="8953" width="11.125" style="2" bestFit="1" customWidth="1"/>
    <col min="8954" max="8954" width="9.625" style="2" bestFit="1" customWidth="1"/>
    <col min="8955" max="8955" width="11.125" style="2" bestFit="1" customWidth="1"/>
    <col min="8956" max="8956" width="13.25" style="2" bestFit="1" customWidth="1"/>
    <col min="8957" max="8957" width="11.125" style="2" bestFit="1" customWidth="1"/>
    <col min="8958" max="8958" width="9" style="2"/>
    <col min="8959" max="8959" width="11.125" style="2" bestFit="1" customWidth="1"/>
    <col min="8960" max="8960" width="9" style="2"/>
    <col min="8961" max="8961" width="11.125" style="2" bestFit="1" customWidth="1"/>
    <col min="8962" max="8962" width="9" style="2"/>
    <col min="8963" max="8971" width="11.125" style="2" bestFit="1" customWidth="1"/>
    <col min="8972" max="8976" width="9" style="2"/>
    <col min="8977" max="8978" width="11.125" style="2" bestFit="1" customWidth="1"/>
    <col min="8979" max="8979" width="9" style="2"/>
    <col min="8980" max="8980" width="9.625" style="2" bestFit="1" customWidth="1"/>
    <col min="8981" max="9206" width="9" style="2"/>
    <col min="9207" max="9207" width="2.375" style="2" customWidth="1"/>
    <col min="9208" max="9208" width="13.25" style="2" bestFit="1" customWidth="1"/>
    <col min="9209" max="9209" width="11.125" style="2" bestFit="1" customWidth="1"/>
    <col min="9210" max="9210" width="9.625" style="2" bestFit="1" customWidth="1"/>
    <col min="9211" max="9211" width="11.125" style="2" bestFit="1" customWidth="1"/>
    <col min="9212" max="9212" width="13.25" style="2" bestFit="1" customWidth="1"/>
    <col min="9213" max="9213" width="11.125" style="2" bestFit="1" customWidth="1"/>
    <col min="9214" max="9214" width="9" style="2"/>
    <col min="9215" max="9215" width="11.125" style="2" bestFit="1" customWidth="1"/>
    <col min="9216" max="9216" width="9" style="2"/>
    <col min="9217" max="9217" width="11.125" style="2" bestFit="1" customWidth="1"/>
    <col min="9218" max="9218" width="9" style="2"/>
    <col min="9219" max="9227" width="11.125" style="2" bestFit="1" customWidth="1"/>
    <col min="9228" max="9232" width="9" style="2"/>
    <col min="9233" max="9234" width="11.125" style="2" bestFit="1" customWidth="1"/>
    <col min="9235" max="9235" width="9" style="2"/>
    <col min="9236" max="9236" width="9.625" style="2" bestFit="1" customWidth="1"/>
    <col min="9237" max="9462" width="9" style="2"/>
    <col min="9463" max="9463" width="2.375" style="2" customWidth="1"/>
    <col min="9464" max="9464" width="13.25" style="2" bestFit="1" customWidth="1"/>
    <col min="9465" max="9465" width="11.125" style="2" bestFit="1" customWidth="1"/>
    <col min="9466" max="9466" width="9.625" style="2" bestFit="1" customWidth="1"/>
    <col min="9467" max="9467" width="11.125" style="2" bestFit="1" customWidth="1"/>
    <col min="9468" max="9468" width="13.25" style="2" bestFit="1" customWidth="1"/>
    <col min="9469" max="9469" width="11.125" style="2" bestFit="1" customWidth="1"/>
    <col min="9470" max="9470" width="9" style="2"/>
    <col min="9471" max="9471" width="11.125" style="2" bestFit="1" customWidth="1"/>
    <col min="9472" max="9472" width="9" style="2"/>
    <col min="9473" max="9473" width="11.125" style="2" bestFit="1" customWidth="1"/>
    <col min="9474" max="9474" width="9" style="2"/>
    <col min="9475" max="9483" width="11.125" style="2" bestFit="1" customWidth="1"/>
    <col min="9484" max="9488" width="9" style="2"/>
    <col min="9489" max="9490" width="11.125" style="2" bestFit="1" customWidth="1"/>
    <col min="9491" max="9491" width="9" style="2"/>
    <col min="9492" max="9492" width="9.625" style="2" bestFit="1" customWidth="1"/>
    <col min="9493" max="9718" width="9" style="2"/>
    <col min="9719" max="9719" width="2.375" style="2" customWidth="1"/>
    <col min="9720" max="9720" width="13.25" style="2" bestFit="1" customWidth="1"/>
    <col min="9721" max="9721" width="11.125" style="2" bestFit="1" customWidth="1"/>
    <col min="9722" max="9722" width="9.625" style="2" bestFit="1" customWidth="1"/>
    <col min="9723" max="9723" width="11.125" style="2" bestFit="1" customWidth="1"/>
    <col min="9724" max="9724" width="13.25" style="2" bestFit="1" customWidth="1"/>
    <col min="9725" max="9725" width="11.125" style="2" bestFit="1" customWidth="1"/>
    <col min="9726" max="9726" width="9" style="2"/>
    <col min="9727" max="9727" width="11.125" style="2" bestFit="1" customWidth="1"/>
    <col min="9728" max="9728" width="9" style="2"/>
    <col min="9729" max="9729" width="11.125" style="2" bestFit="1" customWidth="1"/>
    <col min="9730" max="9730" width="9" style="2"/>
    <col min="9731" max="9739" width="11.125" style="2" bestFit="1" customWidth="1"/>
    <col min="9740" max="9744" width="9" style="2"/>
    <col min="9745" max="9746" width="11.125" style="2" bestFit="1" customWidth="1"/>
    <col min="9747" max="9747" width="9" style="2"/>
    <col min="9748" max="9748" width="9.625" style="2" bestFit="1" customWidth="1"/>
    <col min="9749" max="9974" width="9" style="2"/>
    <col min="9975" max="9975" width="2.375" style="2" customWidth="1"/>
    <col min="9976" max="9976" width="13.25" style="2" bestFit="1" customWidth="1"/>
    <col min="9977" max="9977" width="11.125" style="2" bestFit="1" customWidth="1"/>
    <col min="9978" max="9978" width="9.625" style="2" bestFit="1" customWidth="1"/>
    <col min="9979" max="9979" width="11.125" style="2" bestFit="1" customWidth="1"/>
    <col min="9980" max="9980" width="13.25" style="2" bestFit="1" customWidth="1"/>
    <col min="9981" max="9981" width="11.125" style="2" bestFit="1" customWidth="1"/>
    <col min="9982" max="9982" width="9" style="2"/>
    <col min="9983" max="9983" width="11.125" style="2" bestFit="1" customWidth="1"/>
    <col min="9984" max="9984" width="9" style="2"/>
    <col min="9985" max="9985" width="11.125" style="2" bestFit="1" customWidth="1"/>
    <col min="9986" max="9986" width="9" style="2"/>
    <col min="9987" max="9995" width="11.125" style="2" bestFit="1" customWidth="1"/>
    <col min="9996" max="10000" width="9" style="2"/>
    <col min="10001" max="10002" width="11.125" style="2" bestFit="1" customWidth="1"/>
    <col min="10003" max="10003" width="9" style="2"/>
    <col min="10004" max="10004" width="9.625" style="2" bestFit="1" customWidth="1"/>
    <col min="10005" max="10230" width="9" style="2"/>
    <col min="10231" max="10231" width="2.375" style="2" customWidth="1"/>
    <col min="10232" max="10232" width="13.25" style="2" bestFit="1" customWidth="1"/>
    <col min="10233" max="10233" width="11.125" style="2" bestFit="1" customWidth="1"/>
    <col min="10234" max="10234" width="9.625" style="2" bestFit="1" customWidth="1"/>
    <col min="10235" max="10235" width="11.125" style="2" bestFit="1" customWidth="1"/>
    <col min="10236" max="10236" width="13.25" style="2" bestFit="1" customWidth="1"/>
    <col min="10237" max="10237" width="11.125" style="2" bestFit="1" customWidth="1"/>
    <col min="10238" max="10238" width="9" style="2"/>
    <col min="10239" max="10239" width="11.125" style="2" bestFit="1" customWidth="1"/>
    <col min="10240" max="10240" width="9" style="2"/>
    <col min="10241" max="10241" width="11.125" style="2" bestFit="1" customWidth="1"/>
    <col min="10242" max="10242" width="9" style="2"/>
    <col min="10243" max="10251" width="11.125" style="2" bestFit="1" customWidth="1"/>
    <col min="10252" max="10256" width="9" style="2"/>
    <col min="10257" max="10258" width="11.125" style="2" bestFit="1" customWidth="1"/>
    <col min="10259" max="10259" width="9" style="2"/>
    <col min="10260" max="10260" width="9.625" style="2" bestFit="1" customWidth="1"/>
    <col min="10261" max="10486" width="9" style="2"/>
    <col min="10487" max="10487" width="2.375" style="2" customWidth="1"/>
    <col min="10488" max="10488" width="13.25" style="2" bestFit="1" customWidth="1"/>
    <col min="10489" max="10489" width="11.125" style="2" bestFit="1" customWidth="1"/>
    <col min="10490" max="10490" width="9.625" style="2" bestFit="1" customWidth="1"/>
    <col min="10491" max="10491" width="11.125" style="2" bestFit="1" customWidth="1"/>
    <col min="10492" max="10492" width="13.25" style="2" bestFit="1" customWidth="1"/>
    <col min="10493" max="10493" width="11.125" style="2" bestFit="1" customWidth="1"/>
    <col min="10494" max="10494" width="9" style="2"/>
    <col min="10495" max="10495" width="11.125" style="2" bestFit="1" customWidth="1"/>
    <col min="10496" max="10496" width="9" style="2"/>
    <col min="10497" max="10497" width="11.125" style="2" bestFit="1" customWidth="1"/>
    <col min="10498" max="10498" width="9" style="2"/>
    <col min="10499" max="10507" width="11.125" style="2" bestFit="1" customWidth="1"/>
    <col min="10508" max="10512" width="9" style="2"/>
    <col min="10513" max="10514" width="11.125" style="2" bestFit="1" customWidth="1"/>
    <col min="10515" max="10515" width="9" style="2"/>
    <col min="10516" max="10516" width="9.625" style="2" bestFit="1" customWidth="1"/>
    <col min="10517" max="10742" width="9" style="2"/>
    <col min="10743" max="10743" width="2.375" style="2" customWidth="1"/>
    <col min="10744" max="10744" width="13.25" style="2" bestFit="1" customWidth="1"/>
    <col min="10745" max="10745" width="11.125" style="2" bestFit="1" customWidth="1"/>
    <col min="10746" max="10746" width="9.625" style="2" bestFit="1" customWidth="1"/>
    <col min="10747" max="10747" width="11.125" style="2" bestFit="1" customWidth="1"/>
    <col min="10748" max="10748" width="13.25" style="2" bestFit="1" customWidth="1"/>
    <col min="10749" max="10749" width="11.125" style="2" bestFit="1" customWidth="1"/>
    <col min="10750" max="10750" width="9" style="2"/>
    <col min="10751" max="10751" width="11.125" style="2" bestFit="1" customWidth="1"/>
    <col min="10752" max="10752" width="9" style="2"/>
    <col min="10753" max="10753" width="11.125" style="2" bestFit="1" customWidth="1"/>
    <col min="10754" max="10754" width="9" style="2"/>
    <col min="10755" max="10763" width="11.125" style="2" bestFit="1" customWidth="1"/>
    <col min="10764" max="10768" width="9" style="2"/>
    <col min="10769" max="10770" width="11.125" style="2" bestFit="1" customWidth="1"/>
    <col min="10771" max="10771" width="9" style="2"/>
    <col min="10772" max="10772" width="9.625" style="2" bestFit="1" customWidth="1"/>
    <col min="10773" max="10998" width="9" style="2"/>
    <col min="10999" max="10999" width="2.375" style="2" customWidth="1"/>
    <col min="11000" max="11000" width="13.25" style="2" bestFit="1" customWidth="1"/>
    <col min="11001" max="11001" width="11.125" style="2" bestFit="1" customWidth="1"/>
    <col min="11002" max="11002" width="9.625" style="2" bestFit="1" customWidth="1"/>
    <col min="11003" max="11003" width="11.125" style="2" bestFit="1" customWidth="1"/>
    <col min="11004" max="11004" width="13.25" style="2" bestFit="1" customWidth="1"/>
    <col min="11005" max="11005" width="11.125" style="2" bestFit="1" customWidth="1"/>
    <col min="11006" max="11006" width="9" style="2"/>
    <col min="11007" max="11007" width="11.125" style="2" bestFit="1" customWidth="1"/>
    <col min="11008" max="11008" width="9" style="2"/>
    <col min="11009" max="11009" width="11.125" style="2" bestFit="1" customWidth="1"/>
    <col min="11010" max="11010" width="9" style="2"/>
    <col min="11011" max="11019" width="11.125" style="2" bestFit="1" customWidth="1"/>
    <col min="11020" max="11024" width="9" style="2"/>
    <col min="11025" max="11026" width="11.125" style="2" bestFit="1" customWidth="1"/>
    <col min="11027" max="11027" width="9" style="2"/>
    <col min="11028" max="11028" width="9.625" style="2" bestFit="1" customWidth="1"/>
    <col min="11029" max="11254" width="9" style="2"/>
    <col min="11255" max="11255" width="2.375" style="2" customWidth="1"/>
    <col min="11256" max="11256" width="13.25" style="2" bestFit="1" customWidth="1"/>
    <col min="11257" max="11257" width="11.125" style="2" bestFit="1" customWidth="1"/>
    <col min="11258" max="11258" width="9.625" style="2" bestFit="1" customWidth="1"/>
    <col min="11259" max="11259" width="11.125" style="2" bestFit="1" customWidth="1"/>
    <col min="11260" max="11260" width="13.25" style="2" bestFit="1" customWidth="1"/>
    <col min="11261" max="11261" width="11.125" style="2" bestFit="1" customWidth="1"/>
    <col min="11262" max="11262" width="9" style="2"/>
    <col min="11263" max="11263" width="11.125" style="2" bestFit="1" customWidth="1"/>
    <col min="11264" max="11264" width="9" style="2"/>
    <col min="11265" max="11265" width="11.125" style="2" bestFit="1" customWidth="1"/>
    <col min="11266" max="11266" width="9" style="2"/>
    <col min="11267" max="11275" width="11.125" style="2" bestFit="1" customWidth="1"/>
    <col min="11276" max="11280" width="9" style="2"/>
    <col min="11281" max="11282" width="11.125" style="2" bestFit="1" customWidth="1"/>
    <col min="11283" max="11283" width="9" style="2"/>
    <col min="11284" max="11284" width="9.625" style="2" bestFit="1" customWidth="1"/>
    <col min="11285" max="11510" width="9" style="2"/>
    <col min="11511" max="11511" width="2.375" style="2" customWidth="1"/>
    <col min="11512" max="11512" width="13.25" style="2" bestFit="1" customWidth="1"/>
    <col min="11513" max="11513" width="11.125" style="2" bestFit="1" customWidth="1"/>
    <col min="11514" max="11514" width="9.625" style="2" bestFit="1" customWidth="1"/>
    <col min="11515" max="11515" width="11.125" style="2" bestFit="1" customWidth="1"/>
    <col min="11516" max="11516" width="13.25" style="2" bestFit="1" customWidth="1"/>
    <col min="11517" max="11517" width="11.125" style="2" bestFit="1" customWidth="1"/>
    <col min="11518" max="11518" width="9" style="2"/>
    <col min="11519" max="11519" width="11.125" style="2" bestFit="1" customWidth="1"/>
    <col min="11520" max="11520" width="9" style="2"/>
    <col min="11521" max="11521" width="11.125" style="2" bestFit="1" customWidth="1"/>
    <col min="11522" max="11522" width="9" style="2"/>
    <col min="11523" max="11531" width="11.125" style="2" bestFit="1" customWidth="1"/>
    <col min="11532" max="11536" width="9" style="2"/>
    <col min="11537" max="11538" width="11.125" style="2" bestFit="1" customWidth="1"/>
    <col min="11539" max="11539" width="9" style="2"/>
    <col min="11540" max="11540" width="9.625" style="2" bestFit="1" customWidth="1"/>
    <col min="11541" max="11766" width="9" style="2"/>
    <col min="11767" max="11767" width="2.375" style="2" customWidth="1"/>
    <col min="11768" max="11768" width="13.25" style="2" bestFit="1" customWidth="1"/>
    <col min="11769" max="11769" width="11.125" style="2" bestFit="1" customWidth="1"/>
    <col min="11770" max="11770" width="9.625" style="2" bestFit="1" customWidth="1"/>
    <col min="11771" max="11771" width="11.125" style="2" bestFit="1" customWidth="1"/>
    <col min="11772" max="11772" width="13.25" style="2" bestFit="1" customWidth="1"/>
    <col min="11773" max="11773" width="11.125" style="2" bestFit="1" customWidth="1"/>
    <col min="11774" max="11774" width="9" style="2"/>
    <col min="11775" max="11775" width="11.125" style="2" bestFit="1" customWidth="1"/>
    <col min="11776" max="11776" width="9" style="2"/>
    <col min="11777" max="11777" width="11.125" style="2" bestFit="1" customWidth="1"/>
    <col min="11778" max="11778" width="9" style="2"/>
    <col min="11779" max="11787" width="11.125" style="2" bestFit="1" customWidth="1"/>
    <col min="11788" max="11792" width="9" style="2"/>
    <col min="11793" max="11794" width="11.125" style="2" bestFit="1" customWidth="1"/>
    <col min="11795" max="11795" width="9" style="2"/>
    <col min="11796" max="11796" width="9.625" style="2" bestFit="1" customWidth="1"/>
    <col min="11797" max="12022" width="9" style="2"/>
    <col min="12023" max="12023" width="2.375" style="2" customWidth="1"/>
    <col min="12024" max="12024" width="13.25" style="2" bestFit="1" customWidth="1"/>
    <col min="12025" max="12025" width="11.125" style="2" bestFit="1" customWidth="1"/>
    <col min="12026" max="12026" width="9.625" style="2" bestFit="1" customWidth="1"/>
    <col min="12027" max="12027" width="11.125" style="2" bestFit="1" customWidth="1"/>
    <col min="12028" max="12028" width="13.25" style="2" bestFit="1" customWidth="1"/>
    <col min="12029" max="12029" width="11.125" style="2" bestFit="1" customWidth="1"/>
    <col min="12030" max="12030" width="9" style="2"/>
    <col min="12031" max="12031" width="11.125" style="2" bestFit="1" customWidth="1"/>
    <col min="12032" max="12032" width="9" style="2"/>
    <col min="12033" max="12033" width="11.125" style="2" bestFit="1" customWidth="1"/>
    <col min="12034" max="12034" width="9" style="2"/>
    <col min="12035" max="12043" width="11.125" style="2" bestFit="1" customWidth="1"/>
    <col min="12044" max="12048" width="9" style="2"/>
    <col min="12049" max="12050" width="11.125" style="2" bestFit="1" customWidth="1"/>
    <col min="12051" max="12051" width="9" style="2"/>
    <col min="12052" max="12052" width="9.625" style="2" bestFit="1" customWidth="1"/>
    <col min="12053" max="12278" width="9" style="2"/>
    <col min="12279" max="12279" width="2.375" style="2" customWidth="1"/>
    <col min="12280" max="12280" width="13.25" style="2" bestFit="1" customWidth="1"/>
    <col min="12281" max="12281" width="11.125" style="2" bestFit="1" customWidth="1"/>
    <col min="12282" max="12282" width="9.625" style="2" bestFit="1" customWidth="1"/>
    <col min="12283" max="12283" width="11.125" style="2" bestFit="1" customWidth="1"/>
    <col min="12284" max="12284" width="13.25" style="2" bestFit="1" customWidth="1"/>
    <col min="12285" max="12285" width="11.125" style="2" bestFit="1" customWidth="1"/>
    <col min="12286" max="12286" width="9" style="2"/>
    <col min="12287" max="12287" width="11.125" style="2" bestFit="1" customWidth="1"/>
    <col min="12288" max="12288" width="9" style="2"/>
    <col min="12289" max="12289" width="11.125" style="2" bestFit="1" customWidth="1"/>
    <col min="12290" max="12290" width="9" style="2"/>
    <col min="12291" max="12299" width="11.125" style="2" bestFit="1" customWidth="1"/>
    <col min="12300" max="12304" width="9" style="2"/>
    <col min="12305" max="12306" width="11.125" style="2" bestFit="1" customWidth="1"/>
    <col min="12307" max="12307" width="9" style="2"/>
    <col min="12308" max="12308" width="9.625" style="2" bestFit="1" customWidth="1"/>
    <col min="12309" max="12534" width="9" style="2"/>
    <col min="12535" max="12535" width="2.375" style="2" customWidth="1"/>
    <col min="12536" max="12536" width="13.25" style="2" bestFit="1" customWidth="1"/>
    <col min="12537" max="12537" width="11.125" style="2" bestFit="1" customWidth="1"/>
    <col min="12538" max="12538" width="9.625" style="2" bestFit="1" customWidth="1"/>
    <col min="12539" max="12539" width="11.125" style="2" bestFit="1" customWidth="1"/>
    <col min="12540" max="12540" width="13.25" style="2" bestFit="1" customWidth="1"/>
    <col min="12541" max="12541" width="11.125" style="2" bestFit="1" customWidth="1"/>
    <col min="12542" max="12542" width="9" style="2"/>
    <col min="12543" max="12543" width="11.125" style="2" bestFit="1" customWidth="1"/>
    <col min="12544" max="12544" width="9" style="2"/>
    <col min="12545" max="12545" width="11.125" style="2" bestFit="1" customWidth="1"/>
    <col min="12546" max="12546" width="9" style="2"/>
    <col min="12547" max="12555" width="11.125" style="2" bestFit="1" customWidth="1"/>
    <col min="12556" max="12560" width="9" style="2"/>
    <col min="12561" max="12562" width="11.125" style="2" bestFit="1" customWidth="1"/>
    <col min="12563" max="12563" width="9" style="2"/>
    <col min="12564" max="12564" width="9.625" style="2" bestFit="1" customWidth="1"/>
    <col min="12565" max="12790" width="9" style="2"/>
    <col min="12791" max="12791" width="2.375" style="2" customWidth="1"/>
    <col min="12792" max="12792" width="13.25" style="2" bestFit="1" customWidth="1"/>
    <col min="12793" max="12793" width="11.125" style="2" bestFit="1" customWidth="1"/>
    <col min="12794" max="12794" width="9.625" style="2" bestFit="1" customWidth="1"/>
    <col min="12795" max="12795" width="11.125" style="2" bestFit="1" customWidth="1"/>
    <col min="12796" max="12796" width="13.25" style="2" bestFit="1" customWidth="1"/>
    <col min="12797" max="12797" width="11.125" style="2" bestFit="1" customWidth="1"/>
    <col min="12798" max="12798" width="9" style="2"/>
    <col min="12799" max="12799" width="11.125" style="2" bestFit="1" customWidth="1"/>
    <col min="12800" max="12800" width="9" style="2"/>
    <col min="12801" max="12801" width="11.125" style="2" bestFit="1" customWidth="1"/>
    <col min="12802" max="12802" width="9" style="2"/>
    <col min="12803" max="12811" width="11.125" style="2" bestFit="1" customWidth="1"/>
    <col min="12812" max="12816" width="9" style="2"/>
    <col min="12817" max="12818" width="11.125" style="2" bestFit="1" customWidth="1"/>
    <col min="12819" max="12819" width="9" style="2"/>
    <col min="12820" max="12820" width="9.625" style="2" bestFit="1" customWidth="1"/>
    <col min="12821" max="13046" width="9" style="2"/>
    <col min="13047" max="13047" width="2.375" style="2" customWidth="1"/>
    <col min="13048" max="13048" width="13.25" style="2" bestFit="1" customWidth="1"/>
    <col min="13049" max="13049" width="11.125" style="2" bestFit="1" customWidth="1"/>
    <col min="13050" max="13050" width="9.625" style="2" bestFit="1" customWidth="1"/>
    <col min="13051" max="13051" width="11.125" style="2" bestFit="1" customWidth="1"/>
    <col min="13052" max="13052" width="13.25" style="2" bestFit="1" customWidth="1"/>
    <col min="13053" max="13053" width="11.125" style="2" bestFit="1" customWidth="1"/>
    <col min="13054" max="13054" width="9" style="2"/>
    <col min="13055" max="13055" width="11.125" style="2" bestFit="1" customWidth="1"/>
    <col min="13056" max="13056" width="9" style="2"/>
    <col min="13057" max="13057" width="11.125" style="2" bestFit="1" customWidth="1"/>
    <col min="13058" max="13058" width="9" style="2"/>
    <col min="13059" max="13067" width="11.125" style="2" bestFit="1" customWidth="1"/>
    <col min="13068" max="13072" width="9" style="2"/>
    <col min="13073" max="13074" width="11.125" style="2" bestFit="1" customWidth="1"/>
    <col min="13075" max="13075" width="9" style="2"/>
    <col min="13076" max="13076" width="9.625" style="2" bestFit="1" customWidth="1"/>
    <col min="13077" max="13302" width="9" style="2"/>
    <col min="13303" max="13303" width="2.375" style="2" customWidth="1"/>
    <col min="13304" max="13304" width="13.25" style="2" bestFit="1" customWidth="1"/>
    <col min="13305" max="13305" width="11.125" style="2" bestFit="1" customWidth="1"/>
    <col min="13306" max="13306" width="9.625" style="2" bestFit="1" customWidth="1"/>
    <col min="13307" max="13307" width="11.125" style="2" bestFit="1" customWidth="1"/>
    <col min="13308" max="13308" width="13.25" style="2" bestFit="1" customWidth="1"/>
    <col min="13309" max="13309" width="11.125" style="2" bestFit="1" customWidth="1"/>
    <col min="13310" max="13310" width="9" style="2"/>
    <col min="13311" max="13311" width="11.125" style="2" bestFit="1" customWidth="1"/>
    <col min="13312" max="13312" width="9" style="2"/>
    <col min="13313" max="13313" width="11.125" style="2" bestFit="1" customWidth="1"/>
    <col min="13314" max="13314" width="9" style="2"/>
    <col min="13315" max="13323" width="11.125" style="2" bestFit="1" customWidth="1"/>
    <col min="13324" max="13328" width="9" style="2"/>
    <col min="13329" max="13330" width="11.125" style="2" bestFit="1" customWidth="1"/>
    <col min="13331" max="13331" width="9" style="2"/>
    <col min="13332" max="13332" width="9.625" style="2" bestFit="1" customWidth="1"/>
    <col min="13333" max="13558" width="9" style="2"/>
    <col min="13559" max="13559" width="2.375" style="2" customWidth="1"/>
    <col min="13560" max="13560" width="13.25" style="2" bestFit="1" customWidth="1"/>
    <col min="13561" max="13561" width="11.125" style="2" bestFit="1" customWidth="1"/>
    <col min="13562" max="13562" width="9.625" style="2" bestFit="1" customWidth="1"/>
    <col min="13563" max="13563" width="11.125" style="2" bestFit="1" customWidth="1"/>
    <col min="13564" max="13564" width="13.25" style="2" bestFit="1" customWidth="1"/>
    <col min="13565" max="13565" width="11.125" style="2" bestFit="1" customWidth="1"/>
    <col min="13566" max="13566" width="9" style="2"/>
    <col min="13567" max="13567" width="11.125" style="2" bestFit="1" customWidth="1"/>
    <col min="13568" max="13568" width="9" style="2"/>
    <col min="13569" max="13569" width="11.125" style="2" bestFit="1" customWidth="1"/>
    <col min="13570" max="13570" width="9" style="2"/>
    <col min="13571" max="13579" width="11.125" style="2" bestFit="1" customWidth="1"/>
    <col min="13580" max="13584" width="9" style="2"/>
    <col min="13585" max="13586" width="11.125" style="2" bestFit="1" customWidth="1"/>
    <col min="13587" max="13587" width="9" style="2"/>
    <col min="13588" max="13588" width="9.625" style="2" bestFit="1" customWidth="1"/>
    <col min="13589" max="13814" width="9" style="2"/>
    <col min="13815" max="13815" width="2.375" style="2" customWidth="1"/>
    <col min="13816" max="13816" width="13.25" style="2" bestFit="1" customWidth="1"/>
    <col min="13817" max="13817" width="11.125" style="2" bestFit="1" customWidth="1"/>
    <col min="13818" max="13818" width="9.625" style="2" bestFit="1" customWidth="1"/>
    <col min="13819" max="13819" width="11.125" style="2" bestFit="1" customWidth="1"/>
    <col min="13820" max="13820" width="13.25" style="2" bestFit="1" customWidth="1"/>
    <col min="13821" max="13821" width="11.125" style="2" bestFit="1" customWidth="1"/>
    <col min="13822" max="13822" width="9" style="2"/>
    <col min="13823" max="13823" width="11.125" style="2" bestFit="1" customWidth="1"/>
    <col min="13824" max="13824" width="9" style="2"/>
    <col min="13825" max="13825" width="11.125" style="2" bestFit="1" customWidth="1"/>
    <col min="13826" max="13826" width="9" style="2"/>
    <col min="13827" max="13835" width="11.125" style="2" bestFit="1" customWidth="1"/>
    <col min="13836" max="13840" width="9" style="2"/>
    <col min="13841" max="13842" width="11.125" style="2" bestFit="1" customWidth="1"/>
    <col min="13843" max="13843" width="9" style="2"/>
    <col min="13844" max="13844" width="9.625" style="2" bestFit="1" customWidth="1"/>
    <col min="13845" max="14070" width="9" style="2"/>
    <col min="14071" max="14071" width="2.375" style="2" customWidth="1"/>
    <col min="14072" max="14072" width="13.25" style="2" bestFit="1" customWidth="1"/>
    <col min="14073" max="14073" width="11.125" style="2" bestFit="1" customWidth="1"/>
    <col min="14074" max="14074" width="9.625" style="2" bestFit="1" customWidth="1"/>
    <col min="14075" max="14075" width="11.125" style="2" bestFit="1" customWidth="1"/>
    <col min="14076" max="14076" width="13.25" style="2" bestFit="1" customWidth="1"/>
    <col min="14077" max="14077" width="11.125" style="2" bestFit="1" customWidth="1"/>
    <col min="14078" max="14078" width="9" style="2"/>
    <col min="14079" max="14079" width="11.125" style="2" bestFit="1" customWidth="1"/>
    <col min="14080" max="14080" width="9" style="2"/>
    <col min="14081" max="14081" width="11.125" style="2" bestFit="1" customWidth="1"/>
    <col min="14082" max="14082" width="9" style="2"/>
    <col min="14083" max="14091" width="11.125" style="2" bestFit="1" customWidth="1"/>
    <col min="14092" max="14096" width="9" style="2"/>
    <col min="14097" max="14098" width="11.125" style="2" bestFit="1" customWidth="1"/>
    <col min="14099" max="14099" width="9" style="2"/>
    <col min="14100" max="14100" width="9.625" style="2" bestFit="1" customWidth="1"/>
    <col min="14101" max="14326" width="9" style="2"/>
    <col min="14327" max="14327" width="2.375" style="2" customWidth="1"/>
    <col min="14328" max="14328" width="13.25" style="2" bestFit="1" customWidth="1"/>
    <col min="14329" max="14329" width="11.125" style="2" bestFit="1" customWidth="1"/>
    <col min="14330" max="14330" width="9.625" style="2" bestFit="1" customWidth="1"/>
    <col min="14331" max="14331" width="11.125" style="2" bestFit="1" customWidth="1"/>
    <col min="14332" max="14332" width="13.25" style="2" bestFit="1" customWidth="1"/>
    <col min="14333" max="14333" width="11.125" style="2" bestFit="1" customWidth="1"/>
    <col min="14334" max="14334" width="9" style="2"/>
    <col min="14335" max="14335" width="11.125" style="2" bestFit="1" customWidth="1"/>
    <col min="14336" max="14336" width="9" style="2"/>
    <col min="14337" max="14337" width="11.125" style="2" bestFit="1" customWidth="1"/>
    <col min="14338" max="14338" width="9" style="2"/>
    <col min="14339" max="14347" width="11.125" style="2" bestFit="1" customWidth="1"/>
    <col min="14348" max="14352" width="9" style="2"/>
    <col min="14353" max="14354" width="11.125" style="2" bestFit="1" customWidth="1"/>
    <col min="14355" max="14355" width="9" style="2"/>
    <col min="14356" max="14356" width="9.625" style="2" bestFit="1" customWidth="1"/>
    <col min="14357" max="14582" width="9" style="2"/>
    <col min="14583" max="14583" width="2.375" style="2" customWidth="1"/>
    <col min="14584" max="14584" width="13.25" style="2" bestFit="1" customWidth="1"/>
    <col min="14585" max="14585" width="11.125" style="2" bestFit="1" customWidth="1"/>
    <col min="14586" max="14586" width="9.625" style="2" bestFit="1" customWidth="1"/>
    <col min="14587" max="14587" width="11.125" style="2" bestFit="1" customWidth="1"/>
    <col min="14588" max="14588" width="13.25" style="2" bestFit="1" customWidth="1"/>
    <col min="14589" max="14589" width="11.125" style="2" bestFit="1" customWidth="1"/>
    <col min="14590" max="14590" width="9" style="2"/>
    <col min="14591" max="14591" width="11.125" style="2" bestFit="1" customWidth="1"/>
    <col min="14592" max="14592" width="9" style="2"/>
    <col min="14593" max="14593" width="11.125" style="2" bestFit="1" customWidth="1"/>
    <col min="14594" max="14594" width="9" style="2"/>
    <col min="14595" max="14603" width="11.125" style="2" bestFit="1" customWidth="1"/>
    <col min="14604" max="14608" width="9" style="2"/>
    <col min="14609" max="14610" width="11.125" style="2" bestFit="1" customWidth="1"/>
    <col min="14611" max="14611" width="9" style="2"/>
    <col min="14612" max="14612" width="9.625" style="2" bestFit="1" customWidth="1"/>
    <col min="14613" max="14838" width="9" style="2"/>
    <col min="14839" max="14839" width="2.375" style="2" customWidth="1"/>
    <col min="14840" max="14840" width="13.25" style="2" bestFit="1" customWidth="1"/>
    <col min="14841" max="14841" width="11.125" style="2" bestFit="1" customWidth="1"/>
    <col min="14842" max="14842" width="9.625" style="2" bestFit="1" customWidth="1"/>
    <col min="14843" max="14843" width="11.125" style="2" bestFit="1" customWidth="1"/>
    <col min="14844" max="14844" width="13.25" style="2" bestFit="1" customWidth="1"/>
    <col min="14845" max="14845" width="11.125" style="2" bestFit="1" customWidth="1"/>
    <col min="14846" max="14846" width="9" style="2"/>
    <col min="14847" max="14847" width="11.125" style="2" bestFit="1" customWidth="1"/>
    <col min="14848" max="14848" width="9" style="2"/>
    <col min="14849" max="14849" width="11.125" style="2" bestFit="1" customWidth="1"/>
    <col min="14850" max="14850" width="9" style="2"/>
    <col min="14851" max="14859" width="11.125" style="2" bestFit="1" customWidth="1"/>
    <col min="14860" max="14864" width="9" style="2"/>
    <col min="14865" max="14866" width="11.125" style="2" bestFit="1" customWidth="1"/>
    <col min="14867" max="14867" width="9" style="2"/>
    <col min="14868" max="14868" width="9.625" style="2" bestFit="1" customWidth="1"/>
    <col min="14869" max="15094" width="9" style="2"/>
    <col min="15095" max="15095" width="2.375" style="2" customWidth="1"/>
    <col min="15096" max="15096" width="13.25" style="2" bestFit="1" customWidth="1"/>
    <col min="15097" max="15097" width="11.125" style="2" bestFit="1" customWidth="1"/>
    <col min="15098" max="15098" width="9.625" style="2" bestFit="1" customWidth="1"/>
    <col min="15099" max="15099" width="11.125" style="2" bestFit="1" customWidth="1"/>
    <col min="15100" max="15100" width="13.25" style="2" bestFit="1" customWidth="1"/>
    <col min="15101" max="15101" width="11.125" style="2" bestFit="1" customWidth="1"/>
    <col min="15102" max="15102" width="9" style="2"/>
    <col min="15103" max="15103" width="11.125" style="2" bestFit="1" customWidth="1"/>
    <col min="15104" max="15104" width="9" style="2"/>
    <col min="15105" max="15105" width="11.125" style="2" bestFit="1" customWidth="1"/>
    <col min="15106" max="15106" width="9" style="2"/>
    <col min="15107" max="15115" width="11.125" style="2" bestFit="1" customWidth="1"/>
    <col min="15116" max="15120" width="9" style="2"/>
    <col min="15121" max="15122" width="11.125" style="2" bestFit="1" customWidth="1"/>
    <col min="15123" max="15123" width="9" style="2"/>
    <col min="15124" max="15124" width="9.625" style="2" bestFit="1" customWidth="1"/>
    <col min="15125" max="15350" width="9" style="2"/>
    <col min="15351" max="15351" width="2.375" style="2" customWidth="1"/>
    <col min="15352" max="15352" width="13.25" style="2" bestFit="1" customWidth="1"/>
    <col min="15353" max="15353" width="11.125" style="2" bestFit="1" customWidth="1"/>
    <col min="15354" max="15354" width="9.625" style="2" bestFit="1" customWidth="1"/>
    <col min="15355" max="15355" width="11.125" style="2" bestFit="1" customWidth="1"/>
    <col min="15356" max="15356" width="13.25" style="2" bestFit="1" customWidth="1"/>
    <col min="15357" max="15357" width="11.125" style="2" bestFit="1" customWidth="1"/>
    <col min="15358" max="15358" width="9" style="2"/>
    <col min="15359" max="15359" width="11.125" style="2" bestFit="1" customWidth="1"/>
    <col min="15360" max="15360" width="9" style="2"/>
    <col min="15361" max="15361" width="11.125" style="2" bestFit="1" customWidth="1"/>
    <col min="15362" max="15362" width="9" style="2"/>
    <col min="15363" max="15371" width="11.125" style="2" bestFit="1" customWidth="1"/>
    <col min="15372" max="15376" width="9" style="2"/>
    <col min="15377" max="15378" width="11.125" style="2" bestFit="1" customWidth="1"/>
    <col min="15379" max="15379" width="9" style="2"/>
    <col min="15380" max="15380" width="9.625" style="2" bestFit="1" customWidth="1"/>
    <col min="15381" max="15606" width="9" style="2"/>
    <col min="15607" max="15607" width="2.375" style="2" customWidth="1"/>
    <col min="15608" max="15608" width="13.25" style="2" bestFit="1" customWidth="1"/>
    <col min="15609" max="15609" width="11.125" style="2" bestFit="1" customWidth="1"/>
    <col min="15610" max="15610" width="9.625" style="2" bestFit="1" customWidth="1"/>
    <col min="15611" max="15611" width="11.125" style="2" bestFit="1" customWidth="1"/>
    <col min="15612" max="15612" width="13.25" style="2" bestFit="1" customWidth="1"/>
    <col min="15613" max="15613" width="11.125" style="2" bestFit="1" customWidth="1"/>
    <col min="15614" max="15614" width="9" style="2"/>
    <col min="15615" max="15615" width="11.125" style="2" bestFit="1" customWidth="1"/>
    <col min="15616" max="15616" width="9" style="2"/>
    <col min="15617" max="15617" width="11.125" style="2" bestFit="1" customWidth="1"/>
    <col min="15618" max="15618" width="9" style="2"/>
    <col min="15619" max="15627" width="11.125" style="2" bestFit="1" customWidth="1"/>
    <col min="15628" max="15632" width="9" style="2"/>
    <col min="15633" max="15634" width="11.125" style="2" bestFit="1" customWidth="1"/>
    <col min="15635" max="15635" width="9" style="2"/>
    <col min="15636" max="15636" width="9.625" style="2" bestFit="1" customWidth="1"/>
    <col min="15637" max="15862" width="9" style="2"/>
    <col min="15863" max="15863" width="2.375" style="2" customWidth="1"/>
    <col min="15864" max="15864" width="13.25" style="2" bestFit="1" customWidth="1"/>
    <col min="15865" max="15865" width="11.125" style="2" bestFit="1" customWidth="1"/>
    <col min="15866" max="15866" width="9.625" style="2" bestFit="1" customWidth="1"/>
    <col min="15867" max="15867" width="11.125" style="2" bestFit="1" customWidth="1"/>
    <col min="15868" max="15868" width="13.25" style="2" bestFit="1" customWidth="1"/>
    <col min="15869" max="15869" width="11.125" style="2" bestFit="1" customWidth="1"/>
    <col min="15870" max="15870" width="9" style="2"/>
    <col min="15871" max="15871" width="11.125" style="2" bestFit="1" customWidth="1"/>
    <col min="15872" max="15872" width="9" style="2"/>
    <col min="15873" max="15873" width="11.125" style="2" bestFit="1" customWidth="1"/>
    <col min="15874" max="15874" width="9" style="2"/>
    <col min="15875" max="15883" width="11.125" style="2" bestFit="1" customWidth="1"/>
    <col min="15884" max="15888" width="9" style="2"/>
    <col min="15889" max="15890" width="11.125" style="2" bestFit="1" customWidth="1"/>
    <col min="15891" max="15891" width="9" style="2"/>
    <col min="15892" max="15892" width="9.625" style="2" bestFit="1" customWidth="1"/>
    <col min="15893" max="16118" width="9" style="2"/>
    <col min="16119" max="16119" width="2.375" style="2" customWidth="1"/>
    <col min="16120" max="16120" width="13.25" style="2" bestFit="1" customWidth="1"/>
    <col min="16121" max="16121" width="11.125" style="2" bestFit="1" customWidth="1"/>
    <col min="16122" max="16122" width="9.625" style="2" bestFit="1" customWidth="1"/>
    <col min="16123" max="16123" width="11.125" style="2" bestFit="1" customWidth="1"/>
    <col min="16124" max="16124" width="13.25" style="2" bestFit="1" customWidth="1"/>
    <col min="16125" max="16125" width="11.125" style="2" bestFit="1" customWidth="1"/>
    <col min="16126" max="16126" width="9" style="2"/>
    <col min="16127" max="16127" width="11.125" style="2" bestFit="1" customWidth="1"/>
    <col min="16128" max="16128" width="9" style="2"/>
    <col min="16129" max="16129" width="11.125" style="2" bestFit="1" customWidth="1"/>
    <col min="16130" max="16130" width="9" style="2"/>
    <col min="16131" max="16139" width="11.125" style="2" bestFit="1" customWidth="1"/>
    <col min="16140" max="16144" width="9" style="2"/>
    <col min="16145" max="16146" width="11.125" style="2" bestFit="1" customWidth="1"/>
    <col min="16147" max="16147" width="9" style="2"/>
    <col min="16148" max="16148" width="9.625" style="2" bestFit="1" customWidth="1"/>
    <col min="16149" max="16384" width="9" style="2"/>
  </cols>
  <sheetData>
    <row r="1" spans="1:20">
      <c r="A1" s="1" t="s">
        <v>0</v>
      </c>
    </row>
    <row r="2" spans="1:20">
      <c r="A2" s="1" t="s">
        <v>1</v>
      </c>
    </row>
    <row r="3" spans="1:20" ht="19.5" thickBot="1">
      <c r="A3" s="1" t="s">
        <v>115</v>
      </c>
    </row>
    <row r="4" spans="1:20">
      <c r="B4" s="3"/>
      <c r="C4" s="43" t="s">
        <v>3</v>
      </c>
      <c r="D4" s="44" t="s">
        <v>4</v>
      </c>
      <c r="E4" s="44" t="s">
        <v>8</v>
      </c>
      <c r="F4" s="44" t="s">
        <v>9</v>
      </c>
      <c r="G4" s="44" t="s">
        <v>10</v>
      </c>
      <c r="H4" s="44" t="s">
        <v>11</v>
      </c>
      <c r="I4" s="44" t="s">
        <v>12</v>
      </c>
      <c r="J4" s="44" t="s">
        <v>13</v>
      </c>
      <c r="K4" s="44" t="s">
        <v>14</v>
      </c>
      <c r="L4" s="44" t="s">
        <v>15</v>
      </c>
      <c r="M4" s="44" t="s">
        <v>16</v>
      </c>
      <c r="N4" s="44" t="s">
        <v>17</v>
      </c>
      <c r="O4" s="44" t="s">
        <v>18</v>
      </c>
      <c r="P4" s="44" t="s">
        <v>19</v>
      </c>
      <c r="Q4" s="44" t="s">
        <v>20</v>
      </c>
      <c r="R4" s="44" t="s">
        <v>21</v>
      </c>
      <c r="S4" s="4" t="s">
        <v>22</v>
      </c>
      <c r="T4" s="22" t="s">
        <v>116</v>
      </c>
    </row>
    <row r="5" spans="1:20" ht="19.5" thickBot="1">
      <c r="A5" s="38"/>
      <c r="B5" s="32" t="s">
        <v>30</v>
      </c>
      <c r="C5" s="45" t="s">
        <v>31</v>
      </c>
      <c r="D5" s="46" t="s">
        <v>32</v>
      </c>
      <c r="E5" s="46" t="s">
        <v>36</v>
      </c>
      <c r="F5" s="46" t="s">
        <v>37</v>
      </c>
      <c r="G5" s="46" t="s">
        <v>38</v>
      </c>
      <c r="H5" s="46" t="s">
        <v>39</v>
      </c>
      <c r="I5" s="46" t="s">
        <v>40</v>
      </c>
      <c r="J5" s="46" t="s">
        <v>41</v>
      </c>
      <c r="K5" s="46" t="s">
        <v>42</v>
      </c>
      <c r="L5" s="46" t="s">
        <v>43</v>
      </c>
      <c r="M5" s="46" t="s">
        <v>44</v>
      </c>
      <c r="N5" s="46" t="s">
        <v>45</v>
      </c>
      <c r="O5" s="46" t="s">
        <v>46</v>
      </c>
      <c r="P5" s="46" t="s">
        <v>47</v>
      </c>
      <c r="Q5" s="46" t="s">
        <v>48</v>
      </c>
      <c r="R5" s="46" t="s">
        <v>49</v>
      </c>
      <c r="S5" s="18" t="s">
        <v>50</v>
      </c>
      <c r="T5" s="35" t="s">
        <v>117</v>
      </c>
    </row>
    <row r="6" spans="1:20">
      <c r="A6" s="1" t="s">
        <v>2</v>
      </c>
      <c r="B6" s="15" t="s">
        <v>58</v>
      </c>
      <c r="C6" s="47">
        <v>19</v>
      </c>
      <c r="D6" s="48">
        <v>15</v>
      </c>
      <c r="E6" s="48">
        <v>19</v>
      </c>
      <c r="F6" s="48">
        <v>20</v>
      </c>
      <c r="G6" s="48">
        <v>17</v>
      </c>
      <c r="H6" s="48">
        <v>20</v>
      </c>
      <c r="I6" s="48">
        <v>20</v>
      </c>
      <c r="J6" s="48">
        <v>19</v>
      </c>
      <c r="K6" s="48">
        <v>18</v>
      </c>
      <c r="L6" s="48">
        <v>20</v>
      </c>
      <c r="M6" s="48">
        <v>18</v>
      </c>
      <c r="N6" s="48">
        <v>18</v>
      </c>
      <c r="O6" s="48">
        <v>20</v>
      </c>
      <c r="P6" s="48">
        <v>18</v>
      </c>
      <c r="Q6" s="48">
        <v>20</v>
      </c>
      <c r="R6" s="48">
        <v>20</v>
      </c>
      <c r="S6" s="16">
        <v>21</v>
      </c>
      <c r="T6" s="17">
        <f>SUM(C6:S6)</f>
        <v>322</v>
      </c>
    </row>
    <row r="7" spans="1:20">
      <c r="A7" s="1" t="s">
        <v>2</v>
      </c>
      <c r="B7" s="5" t="s">
        <v>59</v>
      </c>
      <c r="C7" s="49">
        <v>3</v>
      </c>
      <c r="D7" s="50">
        <v>5</v>
      </c>
      <c r="E7" s="50">
        <v>3</v>
      </c>
      <c r="F7" s="50">
        <v>0</v>
      </c>
      <c r="G7" s="50">
        <v>3</v>
      </c>
      <c r="H7" s="50">
        <v>3</v>
      </c>
      <c r="I7" s="50">
        <v>4</v>
      </c>
      <c r="J7" s="50">
        <v>3</v>
      </c>
      <c r="K7" s="50">
        <v>1</v>
      </c>
      <c r="L7" s="50">
        <v>4</v>
      </c>
      <c r="M7" s="50">
        <v>4</v>
      </c>
      <c r="N7" s="50">
        <v>2</v>
      </c>
      <c r="O7" s="50">
        <v>4</v>
      </c>
      <c r="P7" s="50">
        <v>3</v>
      </c>
      <c r="Q7" s="50">
        <v>1</v>
      </c>
      <c r="R7" s="50">
        <v>2</v>
      </c>
      <c r="S7" s="6">
        <v>0</v>
      </c>
      <c r="T7" s="7">
        <f t="shared" ref="T7:T26" si="0">SUM(C7:S7)</f>
        <v>45</v>
      </c>
    </row>
    <row r="8" spans="1:20">
      <c r="A8" s="1" t="s">
        <v>2</v>
      </c>
      <c r="B8" s="5" t="s">
        <v>60</v>
      </c>
      <c r="C8" s="49">
        <v>4</v>
      </c>
      <c r="D8" s="50">
        <v>4</v>
      </c>
      <c r="E8" s="50">
        <v>1</v>
      </c>
      <c r="F8" s="50">
        <v>4</v>
      </c>
      <c r="G8" s="50">
        <v>2</v>
      </c>
      <c r="H8" s="50">
        <v>2</v>
      </c>
      <c r="I8" s="50">
        <v>2</v>
      </c>
      <c r="J8" s="50">
        <v>3</v>
      </c>
      <c r="K8" s="50">
        <v>4</v>
      </c>
      <c r="L8" s="50">
        <v>3</v>
      </c>
      <c r="M8" s="50">
        <v>3</v>
      </c>
      <c r="N8" s="50">
        <v>5</v>
      </c>
      <c r="O8" s="50">
        <v>3</v>
      </c>
      <c r="P8" s="50">
        <v>2</v>
      </c>
      <c r="Q8" s="50">
        <v>4</v>
      </c>
      <c r="R8" s="50">
        <v>2</v>
      </c>
      <c r="S8" s="6">
        <v>4</v>
      </c>
      <c r="T8" s="7">
        <f t="shared" si="0"/>
        <v>52</v>
      </c>
    </row>
    <row r="9" spans="1:20">
      <c r="A9" s="1" t="s">
        <v>2</v>
      </c>
      <c r="B9" s="5" t="s">
        <v>61</v>
      </c>
      <c r="C9" s="49">
        <v>0</v>
      </c>
      <c r="D9" s="50">
        <v>0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6">
        <v>0</v>
      </c>
      <c r="T9" s="7">
        <f t="shared" si="0"/>
        <v>0</v>
      </c>
    </row>
    <row r="10" spans="1:20">
      <c r="A10" s="1" t="s">
        <v>2</v>
      </c>
      <c r="B10" s="5" t="s">
        <v>62</v>
      </c>
      <c r="C10" s="49">
        <v>1</v>
      </c>
      <c r="D10" s="50">
        <v>4</v>
      </c>
      <c r="E10" s="50">
        <v>2</v>
      </c>
      <c r="F10" s="50">
        <v>1</v>
      </c>
      <c r="G10" s="50">
        <v>3</v>
      </c>
      <c r="H10" s="50">
        <v>1</v>
      </c>
      <c r="I10" s="50">
        <v>1</v>
      </c>
      <c r="J10" s="50">
        <v>2</v>
      </c>
      <c r="K10" s="50">
        <v>2</v>
      </c>
      <c r="L10" s="50">
        <v>1</v>
      </c>
      <c r="M10" s="50">
        <v>3</v>
      </c>
      <c r="N10" s="50">
        <v>3</v>
      </c>
      <c r="O10" s="50">
        <v>1</v>
      </c>
      <c r="P10" s="50">
        <v>3</v>
      </c>
      <c r="Q10" s="50">
        <v>1</v>
      </c>
      <c r="R10" s="50">
        <v>1</v>
      </c>
      <c r="S10" s="6">
        <v>0</v>
      </c>
      <c r="T10" s="7">
        <f t="shared" si="0"/>
        <v>30</v>
      </c>
    </row>
    <row r="11" spans="1:20">
      <c r="A11" s="1" t="s">
        <v>2</v>
      </c>
      <c r="B11" s="5" t="s">
        <v>63</v>
      </c>
      <c r="C11" s="49">
        <v>1</v>
      </c>
      <c r="D11" s="50">
        <v>2</v>
      </c>
      <c r="E11" s="50">
        <v>0</v>
      </c>
      <c r="F11" s="50">
        <v>0</v>
      </c>
      <c r="G11" s="50">
        <v>1</v>
      </c>
      <c r="H11" s="50">
        <v>0</v>
      </c>
      <c r="I11" s="50">
        <v>0</v>
      </c>
      <c r="J11" s="50">
        <v>0</v>
      </c>
      <c r="K11" s="50">
        <v>1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6">
        <v>0</v>
      </c>
      <c r="T11" s="7">
        <f t="shared" si="0"/>
        <v>5</v>
      </c>
    </row>
    <row r="12" spans="1:20">
      <c r="A12" s="1" t="s">
        <v>2</v>
      </c>
      <c r="B12" s="5" t="s">
        <v>64</v>
      </c>
      <c r="C12" s="49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6">
        <v>0</v>
      </c>
      <c r="T12" s="7">
        <f t="shared" si="0"/>
        <v>0</v>
      </c>
    </row>
    <row r="13" spans="1:20">
      <c r="A13" s="1" t="s">
        <v>2</v>
      </c>
      <c r="B13" s="5" t="s">
        <v>65</v>
      </c>
      <c r="C13" s="49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6">
        <v>0</v>
      </c>
      <c r="T13" s="7">
        <f t="shared" si="0"/>
        <v>0</v>
      </c>
    </row>
    <row r="14" spans="1:20">
      <c r="A14" s="1" t="s">
        <v>2</v>
      </c>
      <c r="B14" s="5" t="s">
        <v>66</v>
      </c>
      <c r="C14" s="51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8">
        <v>0</v>
      </c>
      <c r="T14" s="9">
        <f t="shared" si="0"/>
        <v>0</v>
      </c>
    </row>
    <row r="15" spans="1:20">
      <c r="A15" s="1" t="s">
        <v>2</v>
      </c>
      <c r="B15" s="5" t="s">
        <v>67</v>
      </c>
      <c r="C15" s="51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8">
        <v>0</v>
      </c>
      <c r="T15" s="9">
        <f t="shared" si="0"/>
        <v>0</v>
      </c>
    </row>
    <row r="16" spans="1:20">
      <c r="A16" s="1" t="s">
        <v>2</v>
      </c>
      <c r="B16" s="5" t="s">
        <v>68</v>
      </c>
      <c r="C16" s="51">
        <v>1.4583333333333333</v>
      </c>
      <c r="D16" s="52">
        <v>2</v>
      </c>
      <c r="E16" s="52">
        <v>1.9583333333333335</v>
      </c>
      <c r="F16" s="52">
        <v>2.75</v>
      </c>
      <c r="G16" s="52">
        <v>1.9166666666666665</v>
      </c>
      <c r="H16" s="52">
        <v>3.75</v>
      </c>
      <c r="I16" s="52">
        <v>2.4166666666666665</v>
      </c>
      <c r="J16" s="52">
        <v>1.5833333333333335</v>
      </c>
      <c r="K16" s="52">
        <v>2.2083333333333335</v>
      </c>
      <c r="L16" s="52">
        <v>2.125</v>
      </c>
      <c r="M16" s="52">
        <v>1.625</v>
      </c>
      <c r="N16" s="52">
        <v>1.4583333333333333</v>
      </c>
      <c r="O16" s="52">
        <v>2.0833333333333335</v>
      </c>
      <c r="P16" s="52">
        <v>2.7083333333333335</v>
      </c>
      <c r="Q16" s="52">
        <v>2.7916666666666665</v>
      </c>
      <c r="R16" s="52">
        <v>1.3333333333333333</v>
      </c>
      <c r="S16" s="8">
        <v>2.1666666666666665</v>
      </c>
      <c r="T16" s="9">
        <f t="shared" si="0"/>
        <v>36.333333333333329</v>
      </c>
    </row>
    <row r="17" spans="1:20">
      <c r="A17" s="1" t="s">
        <v>2</v>
      </c>
      <c r="B17" s="5" t="s">
        <v>69</v>
      </c>
      <c r="C17" s="51">
        <v>1</v>
      </c>
      <c r="D17" s="52">
        <v>1.75</v>
      </c>
      <c r="E17" s="52">
        <v>1.2916666666666667</v>
      </c>
      <c r="F17" s="52">
        <v>0</v>
      </c>
      <c r="G17" s="52">
        <v>1</v>
      </c>
      <c r="H17" s="52">
        <v>1.4166666666666667</v>
      </c>
      <c r="I17" s="52">
        <v>1.4166666666666667</v>
      </c>
      <c r="J17" s="52">
        <v>1</v>
      </c>
      <c r="K17" s="52">
        <v>0.5</v>
      </c>
      <c r="L17" s="52">
        <v>1.9166666666666665</v>
      </c>
      <c r="M17" s="52">
        <v>1.8333333333333335</v>
      </c>
      <c r="N17" s="52">
        <v>0.70833333333333337</v>
      </c>
      <c r="O17" s="52">
        <v>0.91666666666666663</v>
      </c>
      <c r="P17" s="52">
        <v>1.4166666666666667</v>
      </c>
      <c r="Q17" s="52">
        <v>0.375</v>
      </c>
      <c r="R17" s="52">
        <v>0.79166666666666663</v>
      </c>
      <c r="S17" s="8">
        <v>0</v>
      </c>
      <c r="T17" s="9">
        <f t="shared" si="0"/>
        <v>17.333333333333336</v>
      </c>
    </row>
    <row r="18" spans="1:20">
      <c r="A18" s="1" t="s">
        <v>2</v>
      </c>
      <c r="B18" s="5" t="s">
        <v>70</v>
      </c>
      <c r="C18" s="51">
        <v>1.4166666666666667</v>
      </c>
      <c r="D18" s="52">
        <v>1.2083333333333333</v>
      </c>
      <c r="E18" s="52">
        <v>0.375</v>
      </c>
      <c r="F18" s="52">
        <v>1.375</v>
      </c>
      <c r="G18" s="52">
        <v>0.79166666666666663</v>
      </c>
      <c r="H18" s="52">
        <v>0.58333333333333337</v>
      </c>
      <c r="I18" s="52">
        <v>0.5</v>
      </c>
      <c r="J18" s="52">
        <v>1.2916666666666667</v>
      </c>
      <c r="K18" s="52">
        <v>1.3333333333333333</v>
      </c>
      <c r="L18" s="52">
        <v>1.125</v>
      </c>
      <c r="M18" s="52">
        <v>1.25</v>
      </c>
      <c r="N18" s="52">
        <v>1.75</v>
      </c>
      <c r="O18" s="52">
        <v>1.125</v>
      </c>
      <c r="P18" s="52">
        <v>0.83333333333333337</v>
      </c>
      <c r="Q18" s="52">
        <v>1.4166666666666667</v>
      </c>
      <c r="R18" s="52">
        <v>0.70833333333333337</v>
      </c>
      <c r="S18" s="8">
        <v>1.5</v>
      </c>
      <c r="T18" s="9">
        <f t="shared" si="0"/>
        <v>18.583333333333332</v>
      </c>
    </row>
    <row r="19" spans="1:20">
      <c r="A19" s="1" t="s">
        <v>2</v>
      </c>
      <c r="B19" s="5" t="s">
        <v>71</v>
      </c>
      <c r="C19" s="51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2">
        <v>0</v>
      </c>
      <c r="R19" s="52">
        <v>0</v>
      </c>
      <c r="S19" s="8">
        <v>0</v>
      </c>
      <c r="T19" s="9">
        <f t="shared" si="0"/>
        <v>0</v>
      </c>
    </row>
    <row r="20" spans="1:20">
      <c r="A20" s="1" t="s">
        <v>2</v>
      </c>
      <c r="B20" s="5" t="s">
        <v>72</v>
      </c>
      <c r="C20" s="51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8">
        <v>0</v>
      </c>
      <c r="T20" s="9">
        <f t="shared" si="0"/>
        <v>0</v>
      </c>
    </row>
    <row r="21" spans="1:20">
      <c r="A21" s="1" t="s">
        <v>2</v>
      </c>
      <c r="B21" s="5" t="s">
        <v>73</v>
      </c>
      <c r="C21" s="51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8">
        <v>0</v>
      </c>
      <c r="T21" s="9">
        <f t="shared" si="0"/>
        <v>0</v>
      </c>
    </row>
    <row r="22" spans="1:20">
      <c r="A22" s="1" t="s">
        <v>2</v>
      </c>
      <c r="B22" s="5" t="s">
        <v>74</v>
      </c>
      <c r="C22" s="51">
        <v>0</v>
      </c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  <c r="Q22" s="52">
        <v>0</v>
      </c>
      <c r="R22" s="52">
        <v>0</v>
      </c>
      <c r="S22" s="8">
        <v>0</v>
      </c>
      <c r="T22" s="9">
        <f t="shared" si="0"/>
        <v>0</v>
      </c>
    </row>
    <row r="23" spans="1:20">
      <c r="A23" s="1" t="s">
        <v>2</v>
      </c>
      <c r="B23" s="5" t="s">
        <v>75</v>
      </c>
      <c r="C23" s="51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8">
        <v>0</v>
      </c>
      <c r="T23" s="9">
        <f t="shared" si="0"/>
        <v>0</v>
      </c>
    </row>
    <row r="24" spans="1:20">
      <c r="A24" s="1" t="s">
        <v>2</v>
      </c>
      <c r="B24" s="5" t="s">
        <v>76</v>
      </c>
      <c r="C24" s="51">
        <v>0</v>
      </c>
      <c r="D24" s="52">
        <v>0</v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  <c r="Q24" s="52">
        <v>0</v>
      </c>
      <c r="R24" s="52">
        <v>0</v>
      </c>
      <c r="S24" s="8">
        <v>0</v>
      </c>
      <c r="T24" s="9">
        <f t="shared" si="0"/>
        <v>0</v>
      </c>
    </row>
    <row r="25" spans="1:20">
      <c r="A25" s="1" t="s">
        <v>2</v>
      </c>
      <c r="B25" s="5" t="s">
        <v>77</v>
      </c>
      <c r="C25" s="51">
        <v>0.45833333333333331</v>
      </c>
      <c r="D25" s="52">
        <v>0.20833333333333334</v>
      </c>
      <c r="E25" s="52">
        <v>0</v>
      </c>
      <c r="F25" s="52">
        <v>0.83333333333333337</v>
      </c>
      <c r="G25" s="52">
        <v>1.5416666666666665</v>
      </c>
      <c r="H25" s="52">
        <v>1.5</v>
      </c>
      <c r="I25" s="52">
        <v>0.16666666666666666</v>
      </c>
      <c r="J25" s="52">
        <v>1.7916666666666665</v>
      </c>
      <c r="K25" s="52">
        <v>8.3333333333333329E-2</v>
      </c>
      <c r="L25" s="52">
        <v>0.375</v>
      </c>
      <c r="M25" s="52">
        <v>0.5</v>
      </c>
      <c r="N25" s="52">
        <v>1.375</v>
      </c>
      <c r="O25" s="52">
        <v>0.16666666666666666</v>
      </c>
      <c r="P25" s="52">
        <v>1.5416666666666665</v>
      </c>
      <c r="Q25" s="52">
        <v>1.3333333333333333</v>
      </c>
      <c r="R25" s="52">
        <v>1.3333333333333333</v>
      </c>
      <c r="S25" s="8">
        <v>8.3333333333333329E-2</v>
      </c>
      <c r="T25" s="9">
        <f t="shared" si="0"/>
        <v>13.291666666666666</v>
      </c>
    </row>
    <row r="26" spans="1:20" ht="19.5" thickBot="1">
      <c r="A26" s="1" t="s">
        <v>2</v>
      </c>
      <c r="B26" s="19" t="s">
        <v>78</v>
      </c>
      <c r="C26" s="53">
        <v>32</v>
      </c>
      <c r="D26" s="54">
        <v>35</v>
      </c>
      <c r="E26" s="54">
        <v>37</v>
      </c>
      <c r="F26" s="54">
        <v>39</v>
      </c>
      <c r="G26" s="54">
        <v>31</v>
      </c>
      <c r="H26" s="54">
        <v>34</v>
      </c>
      <c r="I26" s="54">
        <v>38</v>
      </c>
      <c r="J26" s="54">
        <v>28</v>
      </c>
      <c r="K26" s="54">
        <v>27</v>
      </c>
      <c r="L26" s="54">
        <v>34</v>
      </c>
      <c r="M26" s="54">
        <v>10</v>
      </c>
      <c r="N26" s="54">
        <v>16</v>
      </c>
      <c r="O26" s="54">
        <v>25</v>
      </c>
      <c r="P26" s="54">
        <v>15</v>
      </c>
      <c r="Q26" s="54">
        <v>18</v>
      </c>
      <c r="R26" s="54">
        <v>15</v>
      </c>
      <c r="S26" s="20">
        <v>14</v>
      </c>
      <c r="T26" s="21">
        <f t="shared" si="0"/>
        <v>448</v>
      </c>
    </row>
    <row r="27" spans="1:20">
      <c r="A27" s="1" t="s">
        <v>2</v>
      </c>
      <c r="B27" s="22" t="s">
        <v>79</v>
      </c>
      <c r="C27" s="55">
        <v>182000</v>
      </c>
      <c r="D27" s="56">
        <v>187000</v>
      </c>
      <c r="E27" s="56">
        <v>192000</v>
      </c>
      <c r="F27" s="56">
        <v>192000</v>
      </c>
      <c r="G27" s="56">
        <v>192000</v>
      </c>
      <c r="H27" s="56">
        <v>187000</v>
      </c>
      <c r="I27" s="56">
        <v>172000</v>
      </c>
      <c r="J27" s="56">
        <v>172000</v>
      </c>
      <c r="K27" s="56">
        <v>172000</v>
      </c>
      <c r="L27" s="56">
        <v>177000</v>
      </c>
      <c r="M27" s="56">
        <v>170000</v>
      </c>
      <c r="N27" s="56">
        <v>175000</v>
      </c>
      <c r="O27" s="56">
        <v>170000</v>
      </c>
      <c r="P27" s="56">
        <v>175000</v>
      </c>
      <c r="Q27" s="56">
        <v>170000</v>
      </c>
      <c r="R27" s="56">
        <v>175000</v>
      </c>
      <c r="S27" s="23">
        <v>170000</v>
      </c>
      <c r="T27" s="24">
        <f>SUM(C27:S27)</f>
        <v>3030000</v>
      </c>
    </row>
    <row r="28" spans="1:20">
      <c r="A28" s="1" t="s">
        <v>2</v>
      </c>
      <c r="B28" s="5" t="s">
        <v>80</v>
      </c>
      <c r="C28" s="57">
        <v>0</v>
      </c>
      <c r="D28" s="58">
        <v>0</v>
      </c>
      <c r="E28" s="58">
        <v>20000</v>
      </c>
      <c r="F28" s="58">
        <v>5000</v>
      </c>
      <c r="G28" s="58">
        <v>5000</v>
      </c>
      <c r="H28" s="58">
        <v>5000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10">
        <v>0</v>
      </c>
      <c r="T28" s="11">
        <f t="shared" ref="T28:T62" si="1">SUM(C28:S28)</f>
        <v>35000</v>
      </c>
    </row>
    <row r="29" spans="1:20">
      <c r="A29" s="1" t="s">
        <v>2</v>
      </c>
      <c r="B29" s="5" t="s">
        <v>81</v>
      </c>
      <c r="C29" s="57">
        <v>0</v>
      </c>
      <c r="D29" s="58">
        <v>0</v>
      </c>
      <c r="E29" s="58">
        <v>3000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10">
        <v>0</v>
      </c>
      <c r="T29" s="11">
        <f t="shared" si="1"/>
        <v>3000</v>
      </c>
    </row>
    <row r="30" spans="1:20">
      <c r="A30" s="1" t="s">
        <v>2</v>
      </c>
      <c r="B30" s="5" t="s">
        <v>82</v>
      </c>
      <c r="C30" s="57">
        <v>0</v>
      </c>
      <c r="D30" s="58">
        <v>0</v>
      </c>
      <c r="E30" s="58">
        <v>0</v>
      </c>
      <c r="F30" s="58">
        <v>0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10">
        <v>0</v>
      </c>
      <c r="T30" s="11">
        <f t="shared" si="1"/>
        <v>0</v>
      </c>
    </row>
    <row r="31" spans="1:20">
      <c r="A31" s="1" t="s">
        <v>2</v>
      </c>
      <c r="B31" s="5" t="s">
        <v>83</v>
      </c>
      <c r="C31" s="57">
        <v>0</v>
      </c>
      <c r="D31" s="58">
        <v>0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10">
        <v>0</v>
      </c>
      <c r="T31" s="11">
        <f t="shared" si="1"/>
        <v>0</v>
      </c>
    </row>
    <row r="32" spans="1:20">
      <c r="A32" s="1" t="s">
        <v>2</v>
      </c>
      <c r="B32" s="5" t="s">
        <v>84</v>
      </c>
      <c r="C32" s="57">
        <v>0</v>
      </c>
      <c r="D32" s="58">
        <v>0</v>
      </c>
      <c r="E32" s="58">
        <v>0</v>
      </c>
      <c r="F32" s="58">
        <v>0</v>
      </c>
      <c r="G32" s="58">
        <v>0</v>
      </c>
      <c r="H32" s="58">
        <v>0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10">
        <v>0</v>
      </c>
      <c r="T32" s="11">
        <f t="shared" si="1"/>
        <v>0</v>
      </c>
    </row>
    <row r="33" spans="1:20">
      <c r="A33" s="1" t="s">
        <v>2</v>
      </c>
      <c r="B33" s="5" t="s">
        <v>85</v>
      </c>
      <c r="C33" s="57">
        <v>0</v>
      </c>
      <c r="D33" s="58">
        <v>0</v>
      </c>
      <c r="E33" s="58">
        <v>0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10">
        <v>0</v>
      </c>
      <c r="T33" s="11">
        <f t="shared" si="1"/>
        <v>0</v>
      </c>
    </row>
    <row r="34" spans="1:20">
      <c r="A34" s="1" t="s">
        <v>2</v>
      </c>
      <c r="B34" s="5" t="s">
        <v>86</v>
      </c>
      <c r="C34" s="57">
        <v>0</v>
      </c>
      <c r="D34" s="58">
        <v>0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10">
        <v>0</v>
      </c>
      <c r="T34" s="11">
        <f t="shared" si="1"/>
        <v>0</v>
      </c>
    </row>
    <row r="35" spans="1:20">
      <c r="A35" s="1" t="s">
        <v>2</v>
      </c>
      <c r="B35" s="5" t="s">
        <v>87</v>
      </c>
      <c r="C35" s="57">
        <v>0</v>
      </c>
      <c r="D35" s="58">
        <v>0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10">
        <v>0</v>
      </c>
      <c r="T35" s="11">
        <f t="shared" si="1"/>
        <v>0</v>
      </c>
    </row>
    <row r="36" spans="1:20">
      <c r="A36" s="1" t="s">
        <v>2</v>
      </c>
      <c r="B36" s="5" t="s">
        <v>68</v>
      </c>
      <c r="C36" s="57">
        <v>47705</v>
      </c>
      <c r="D36" s="58">
        <v>67200</v>
      </c>
      <c r="E36" s="58">
        <v>75623</v>
      </c>
      <c r="F36" s="58">
        <v>97350</v>
      </c>
      <c r="G36" s="58">
        <v>67850</v>
      </c>
      <c r="H36" s="58">
        <v>129420</v>
      </c>
      <c r="I36" s="58">
        <v>74704</v>
      </c>
      <c r="J36" s="58">
        <v>48944</v>
      </c>
      <c r="K36" s="58">
        <v>68264</v>
      </c>
      <c r="L36" s="58">
        <v>67575</v>
      </c>
      <c r="M36" s="58">
        <v>49647</v>
      </c>
      <c r="N36" s="58">
        <v>45850</v>
      </c>
      <c r="O36" s="58">
        <v>63650</v>
      </c>
      <c r="P36" s="58">
        <v>85150</v>
      </c>
      <c r="Q36" s="58">
        <v>85291</v>
      </c>
      <c r="R36" s="58">
        <v>41920</v>
      </c>
      <c r="S36" s="10">
        <v>66196</v>
      </c>
      <c r="T36" s="11">
        <f t="shared" si="1"/>
        <v>1182339</v>
      </c>
    </row>
    <row r="37" spans="1:20">
      <c r="A37" s="1" t="s">
        <v>2</v>
      </c>
      <c r="B37" s="5" t="s">
        <v>88</v>
      </c>
      <c r="C37" s="57">
        <v>35328</v>
      </c>
      <c r="D37" s="58">
        <v>63504</v>
      </c>
      <c r="E37" s="58">
        <v>53847</v>
      </c>
      <c r="F37" s="58">
        <v>0</v>
      </c>
      <c r="G37" s="58">
        <v>38232</v>
      </c>
      <c r="H37" s="58">
        <v>52802</v>
      </c>
      <c r="I37" s="58">
        <v>47294</v>
      </c>
      <c r="J37" s="58">
        <v>33384</v>
      </c>
      <c r="K37" s="58">
        <v>16692</v>
      </c>
      <c r="L37" s="58">
        <v>65826</v>
      </c>
      <c r="M37" s="58">
        <v>60456</v>
      </c>
      <c r="N37" s="58">
        <v>24055</v>
      </c>
      <c r="O37" s="58">
        <v>30228</v>
      </c>
      <c r="P37" s="58">
        <v>48110</v>
      </c>
      <c r="Q37" s="58">
        <v>12366</v>
      </c>
      <c r="R37" s="58">
        <v>26885</v>
      </c>
      <c r="S37" s="10">
        <v>0</v>
      </c>
      <c r="T37" s="11">
        <f t="shared" si="1"/>
        <v>609009</v>
      </c>
    </row>
    <row r="38" spans="1:20">
      <c r="A38" s="1" t="s">
        <v>2</v>
      </c>
      <c r="B38" s="5" t="s">
        <v>89</v>
      </c>
      <c r="C38" s="57">
        <v>50048</v>
      </c>
      <c r="D38" s="58">
        <v>43848</v>
      </c>
      <c r="E38" s="58">
        <v>15633</v>
      </c>
      <c r="F38" s="58">
        <v>52569</v>
      </c>
      <c r="G38" s="58">
        <v>30267</v>
      </c>
      <c r="H38" s="58">
        <v>21742</v>
      </c>
      <c r="I38" s="58">
        <v>16692</v>
      </c>
      <c r="J38" s="58">
        <v>43121</v>
      </c>
      <c r="K38" s="58">
        <v>44512</v>
      </c>
      <c r="L38" s="58">
        <v>38637</v>
      </c>
      <c r="M38" s="58">
        <v>41220</v>
      </c>
      <c r="N38" s="58">
        <v>59430</v>
      </c>
      <c r="O38" s="58">
        <v>37098</v>
      </c>
      <c r="P38" s="58">
        <v>28300</v>
      </c>
      <c r="Q38" s="58">
        <v>46716</v>
      </c>
      <c r="R38" s="58">
        <v>24055</v>
      </c>
      <c r="S38" s="10">
        <v>49464</v>
      </c>
      <c r="T38" s="11">
        <f t="shared" si="1"/>
        <v>643352</v>
      </c>
    </row>
    <row r="39" spans="1:20">
      <c r="A39" s="1" t="s">
        <v>2</v>
      </c>
      <c r="B39" s="5" t="s">
        <v>90</v>
      </c>
      <c r="C39" s="57">
        <v>0</v>
      </c>
      <c r="D39" s="58">
        <v>0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10">
        <v>0</v>
      </c>
      <c r="T39" s="11">
        <f t="shared" si="1"/>
        <v>0</v>
      </c>
    </row>
    <row r="40" spans="1:20">
      <c r="A40" s="1" t="s">
        <v>2</v>
      </c>
      <c r="B40" s="5" t="s">
        <v>73</v>
      </c>
      <c r="C40" s="57">
        <v>0</v>
      </c>
      <c r="D40" s="58">
        <v>0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  <c r="K40" s="58">
        <v>0</v>
      </c>
      <c r="L40" s="58">
        <v>0</v>
      </c>
      <c r="M40" s="58">
        <v>0</v>
      </c>
      <c r="N40" s="58">
        <v>0</v>
      </c>
      <c r="O40" s="58">
        <v>0</v>
      </c>
      <c r="P40" s="58">
        <v>0</v>
      </c>
      <c r="Q40" s="58">
        <v>0</v>
      </c>
      <c r="R40" s="58">
        <v>0</v>
      </c>
      <c r="S40" s="10">
        <v>0</v>
      </c>
      <c r="T40" s="11">
        <f t="shared" si="1"/>
        <v>0</v>
      </c>
    </row>
    <row r="41" spans="1:20" ht="19.5" thickBot="1">
      <c r="A41" s="1" t="s">
        <v>2</v>
      </c>
      <c r="B41" s="19" t="s">
        <v>77</v>
      </c>
      <c r="C41" s="59">
        <v>3003</v>
      </c>
      <c r="D41" s="60">
        <v>1400</v>
      </c>
      <c r="E41" s="60">
        <v>0</v>
      </c>
      <c r="F41" s="60">
        <v>5900</v>
      </c>
      <c r="G41" s="60">
        <v>10915</v>
      </c>
      <c r="H41" s="60">
        <v>10368</v>
      </c>
      <c r="I41" s="60">
        <v>1032</v>
      </c>
      <c r="J41" s="60">
        <v>11094</v>
      </c>
      <c r="K41" s="60">
        <v>516</v>
      </c>
      <c r="L41" s="60">
        <v>2385</v>
      </c>
      <c r="M41" s="60">
        <v>3060</v>
      </c>
      <c r="N41" s="60">
        <v>8646</v>
      </c>
      <c r="O41" s="60">
        <v>1020</v>
      </c>
      <c r="P41" s="60">
        <v>9694</v>
      </c>
      <c r="Q41" s="60">
        <v>8160</v>
      </c>
      <c r="R41" s="60">
        <v>8384</v>
      </c>
      <c r="S41" s="25">
        <v>510</v>
      </c>
      <c r="T41" s="26">
        <f t="shared" si="1"/>
        <v>86087</v>
      </c>
    </row>
    <row r="42" spans="1:20" ht="19.5" thickBot="1">
      <c r="A42" s="1" t="s">
        <v>2</v>
      </c>
      <c r="B42" s="29" t="s">
        <v>91</v>
      </c>
      <c r="C42" s="61">
        <v>318084</v>
      </c>
      <c r="D42" s="62">
        <v>362952</v>
      </c>
      <c r="E42" s="62">
        <v>360103</v>
      </c>
      <c r="F42" s="62">
        <v>352819</v>
      </c>
      <c r="G42" s="62">
        <v>344264</v>
      </c>
      <c r="H42" s="62">
        <v>406332</v>
      </c>
      <c r="I42" s="62">
        <v>311722</v>
      </c>
      <c r="J42" s="62">
        <v>308543</v>
      </c>
      <c r="K42" s="62">
        <v>301984</v>
      </c>
      <c r="L42" s="62">
        <v>351423</v>
      </c>
      <c r="M42" s="62">
        <v>324383</v>
      </c>
      <c r="N42" s="62">
        <v>312981</v>
      </c>
      <c r="O42" s="62">
        <v>301996</v>
      </c>
      <c r="P42" s="62">
        <v>346254</v>
      </c>
      <c r="Q42" s="62">
        <v>322533</v>
      </c>
      <c r="R42" s="62">
        <v>276244</v>
      </c>
      <c r="S42" s="30">
        <v>286170</v>
      </c>
      <c r="T42" s="31">
        <f t="shared" si="1"/>
        <v>5588787</v>
      </c>
    </row>
    <row r="43" spans="1:20">
      <c r="A43" s="1" t="s">
        <v>2</v>
      </c>
      <c r="B43" s="15" t="s">
        <v>92</v>
      </c>
      <c r="C43" s="63">
        <v>12088</v>
      </c>
      <c r="D43" s="64">
        <v>2790</v>
      </c>
      <c r="E43" s="64">
        <v>4812</v>
      </c>
      <c r="F43" s="64">
        <v>2790</v>
      </c>
      <c r="G43" s="64">
        <v>11763</v>
      </c>
      <c r="H43" s="64">
        <v>2325</v>
      </c>
      <c r="I43" s="64">
        <v>2418</v>
      </c>
      <c r="J43" s="64">
        <v>1163</v>
      </c>
      <c r="K43" s="64">
        <v>2674</v>
      </c>
      <c r="L43" s="64">
        <v>5022</v>
      </c>
      <c r="M43" s="64">
        <v>5812</v>
      </c>
      <c r="N43" s="64">
        <v>4069</v>
      </c>
      <c r="O43" s="64">
        <v>7532</v>
      </c>
      <c r="P43" s="64">
        <v>3208</v>
      </c>
      <c r="Q43" s="64">
        <v>5812</v>
      </c>
      <c r="R43" s="64">
        <v>9485</v>
      </c>
      <c r="S43" s="27">
        <v>10461</v>
      </c>
      <c r="T43" s="28">
        <f t="shared" si="1"/>
        <v>94224</v>
      </c>
    </row>
    <row r="44" spans="1:20" ht="19.5" thickBot="1">
      <c r="A44" s="1" t="s">
        <v>2</v>
      </c>
      <c r="B44" s="19" t="s">
        <v>93</v>
      </c>
      <c r="C44" s="59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60">
        <v>0</v>
      </c>
      <c r="N44" s="60">
        <v>0</v>
      </c>
      <c r="O44" s="60">
        <v>0</v>
      </c>
      <c r="P44" s="60">
        <v>0</v>
      </c>
      <c r="Q44" s="60">
        <v>0</v>
      </c>
      <c r="R44" s="60">
        <v>0</v>
      </c>
      <c r="S44" s="25">
        <v>0</v>
      </c>
      <c r="T44" s="26">
        <f t="shared" si="1"/>
        <v>0</v>
      </c>
    </row>
    <row r="45" spans="1:20" ht="19.5" thickBot="1">
      <c r="A45" s="1" t="s">
        <v>2</v>
      </c>
      <c r="B45" s="29" t="s">
        <v>94</v>
      </c>
      <c r="C45" s="61">
        <v>12088</v>
      </c>
      <c r="D45" s="62">
        <v>2790</v>
      </c>
      <c r="E45" s="62">
        <v>4812</v>
      </c>
      <c r="F45" s="62">
        <v>2790</v>
      </c>
      <c r="G45" s="62">
        <v>11763</v>
      </c>
      <c r="H45" s="62">
        <v>2325</v>
      </c>
      <c r="I45" s="62">
        <v>2418</v>
      </c>
      <c r="J45" s="62">
        <v>1163</v>
      </c>
      <c r="K45" s="62">
        <v>2674</v>
      </c>
      <c r="L45" s="62">
        <v>5022</v>
      </c>
      <c r="M45" s="62">
        <v>5812</v>
      </c>
      <c r="N45" s="62">
        <v>4069</v>
      </c>
      <c r="O45" s="62">
        <v>7532</v>
      </c>
      <c r="P45" s="62">
        <v>3208</v>
      </c>
      <c r="Q45" s="62">
        <v>5812</v>
      </c>
      <c r="R45" s="62">
        <v>9485</v>
      </c>
      <c r="S45" s="30">
        <v>10461</v>
      </c>
      <c r="T45" s="31">
        <f t="shared" si="1"/>
        <v>94224</v>
      </c>
    </row>
    <row r="46" spans="1:20" ht="19.5" thickBot="1">
      <c r="A46" s="1" t="s">
        <v>2</v>
      </c>
      <c r="B46" s="29" t="s">
        <v>95</v>
      </c>
      <c r="C46" s="61">
        <v>330172</v>
      </c>
      <c r="D46" s="62">
        <v>365742</v>
      </c>
      <c r="E46" s="62">
        <v>364915</v>
      </c>
      <c r="F46" s="62">
        <v>355609</v>
      </c>
      <c r="G46" s="62">
        <v>356027</v>
      </c>
      <c r="H46" s="62">
        <v>408657</v>
      </c>
      <c r="I46" s="62">
        <v>314140</v>
      </c>
      <c r="J46" s="62">
        <v>309706</v>
      </c>
      <c r="K46" s="62">
        <v>304658</v>
      </c>
      <c r="L46" s="62">
        <v>356445</v>
      </c>
      <c r="M46" s="62">
        <v>330195</v>
      </c>
      <c r="N46" s="62">
        <v>317050</v>
      </c>
      <c r="O46" s="62">
        <v>309528</v>
      </c>
      <c r="P46" s="62">
        <v>349462</v>
      </c>
      <c r="Q46" s="62">
        <v>328345</v>
      </c>
      <c r="R46" s="62">
        <v>285729</v>
      </c>
      <c r="S46" s="30">
        <v>296631</v>
      </c>
      <c r="T46" s="31">
        <f t="shared" si="1"/>
        <v>5683011</v>
      </c>
    </row>
    <row r="47" spans="1:20">
      <c r="A47" s="1" t="s">
        <v>2</v>
      </c>
      <c r="B47" s="15" t="s">
        <v>96</v>
      </c>
      <c r="C47" s="63">
        <v>15300</v>
      </c>
      <c r="D47" s="64">
        <v>16320</v>
      </c>
      <c r="E47" s="64">
        <v>17340</v>
      </c>
      <c r="F47" s="64">
        <v>19380</v>
      </c>
      <c r="G47" s="64">
        <v>17340</v>
      </c>
      <c r="H47" s="64">
        <v>19380</v>
      </c>
      <c r="I47" s="64">
        <v>16320</v>
      </c>
      <c r="J47" s="64">
        <v>15300</v>
      </c>
      <c r="K47" s="64">
        <v>15300</v>
      </c>
      <c r="L47" s="64">
        <v>16320</v>
      </c>
      <c r="M47" s="64">
        <v>14280</v>
      </c>
      <c r="N47" s="64">
        <v>16320</v>
      </c>
      <c r="O47" s="64">
        <v>15300</v>
      </c>
      <c r="P47" s="64">
        <v>15300</v>
      </c>
      <c r="Q47" s="64">
        <v>16320</v>
      </c>
      <c r="R47" s="64">
        <v>12240</v>
      </c>
      <c r="S47" s="27">
        <v>13260</v>
      </c>
      <c r="T47" s="28">
        <f t="shared" si="1"/>
        <v>271320</v>
      </c>
    </row>
    <row r="48" spans="1:20">
      <c r="A48" s="1" t="s">
        <v>2</v>
      </c>
      <c r="B48" s="5" t="s">
        <v>97</v>
      </c>
      <c r="C48" s="57">
        <v>2700</v>
      </c>
      <c r="D48" s="58">
        <v>2880</v>
      </c>
      <c r="E48" s="58">
        <v>3060</v>
      </c>
      <c r="F48" s="58">
        <v>3420</v>
      </c>
      <c r="G48" s="58">
        <v>3060</v>
      </c>
      <c r="H48" s="58">
        <v>3420</v>
      </c>
      <c r="I48" s="58">
        <v>2880</v>
      </c>
      <c r="J48" s="58">
        <v>2700</v>
      </c>
      <c r="K48" s="58">
        <v>2700</v>
      </c>
      <c r="L48" s="58">
        <v>2880</v>
      </c>
      <c r="M48" s="58">
        <v>2520</v>
      </c>
      <c r="N48" s="58">
        <v>0</v>
      </c>
      <c r="O48" s="58">
        <v>2700</v>
      </c>
      <c r="P48" s="58">
        <v>2700</v>
      </c>
      <c r="Q48" s="58">
        <v>2880</v>
      </c>
      <c r="R48" s="58">
        <v>2160</v>
      </c>
      <c r="S48" s="10">
        <v>2340</v>
      </c>
      <c r="T48" s="11">
        <f t="shared" si="1"/>
        <v>45000</v>
      </c>
    </row>
    <row r="49" spans="1:20">
      <c r="A49" s="1" t="s">
        <v>2</v>
      </c>
      <c r="B49" s="5" t="s">
        <v>98</v>
      </c>
      <c r="C49" s="57">
        <v>27450</v>
      </c>
      <c r="D49" s="58">
        <v>29280</v>
      </c>
      <c r="E49" s="58">
        <v>31110</v>
      </c>
      <c r="F49" s="58">
        <v>34770</v>
      </c>
      <c r="G49" s="58">
        <v>31110</v>
      </c>
      <c r="H49" s="58">
        <v>34770</v>
      </c>
      <c r="I49" s="58">
        <v>29280</v>
      </c>
      <c r="J49" s="58">
        <v>27450</v>
      </c>
      <c r="K49" s="58">
        <v>27450</v>
      </c>
      <c r="L49" s="58">
        <v>29280</v>
      </c>
      <c r="M49" s="58">
        <v>25620</v>
      </c>
      <c r="N49" s="58">
        <v>29280</v>
      </c>
      <c r="O49" s="58">
        <v>27450</v>
      </c>
      <c r="P49" s="58">
        <v>27450</v>
      </c>
      <c r="Q49" s="58">
        <v>29280</v>
      </c>
      <c r="R49" s="58">
        <v>21960</v>
      </c>
      <c r="S49" s="10">
        <v>23790</v>
      </c>
      <c r="T49" s="11">
        <f t="shared" si="1"/>
        <v>486780</v>
      </c>
    </row>
    <row r="50" spans="1:20">
      <c r="A50" s="1" t="s">
        <v>2</v>
      </c>
      <c r="B50" s="5" t="s">
        <v>99</v>
      </c>
      <c r="C50" s="57">
        <v>991</v>
      </c>
      <c r="D50" s="58">
        <v>1097</v>
      </c>
      <c r="E50" s="58">
        <v>1095</v>
      </c>
      <c r="F50" s="58">
        <v>1067</v>
      </c>
      <c r="G50" s="58">
        <v>1068</v>
      </c>
      <c r="H50" s="58">
        <v>1226</v>
      </c>
      <c r="I50" s="58">
        <v>942</v>
      </c>
      <c r="J50" s="58">
        <v>929</v>
      </c>
      <c r="K50" s="58">
        <v>914</v>
      </c>
      <c r="L50" s="58">
        <v>1069</v>
      </c>
      <c r="M50" s="58">
        <v>991</v>
      </c>
      <c r="N50" s="58">
        <v>951</v>
      </c>
      <c r="O50" s="58">
        <v>929</v>
      </c>
      <c r="P50" s="58">
        <v>1048</v>
      </c>
      <c r="Q50" s="58">
        <v>985</v>
      </c>
      <c r="R50" s="58">
        <v>857</v>
      </c>
      <c r="S50" s="10">
        <v>890</v>
      </c>
      <c r="T50" s="11">
        <f t="shared" si="1"/>
        <v>17049</v>
      </c>
    </row>
    <row r="51" spans="1:20" ht="19.5" thickBot="1">
      <c r="A51" s="1" t="s">
        <v>2</v>
      </c>
      <c r="B51" s="19" t="s">
        <v>100</v>
      </c>
      <c r="C51" s="59">
        <v>0</v>
      </c>
      <c r="D51" s="60">
        <v>0</v>
      </c>
      <c r="E51" s="60">
        <v>0</v>
      </c>
      <c r="F51" s="60">
        <v>0</v>
      </c>
      <c r="G51" s="60">
        <v>0</v>
      </c>
      <c r="H51" s="60">
        <v>0</v>
      </c>
      <c r="I51" s="60">
        <v>0</v>
      </c>
      <c r="J51" s="60">
        <v>0</v>
      </c>
      <c r="K51" s="60">
        <v>0</v>
      </c>
      <c r="L51" s="60">
        <v>0</v>
      </c>
      <c r="M51" s="60">
        <v>0</v>
      </c>
      <c r="N51" s="60">
        <v>0</v>
      </c>
      <c r="O51" s="60">
        <v>0</v>
      </c>
      <c r="P51" s="60">
        <v>0</v>
      </c>
      <c r="Q51" s="60">
        <v>0</v>
      </c>
      <c r="R51" s="60">
        <v>0</v>
      </c>
      <c r="S51" s="25">
        <v>0</v>
      </c>
      <c r="T51" s="26">
        <f t="shared" si="1"/>
        <v>0</v>
      </c>
    </row>
    <row r="52" spans="1:20" ht="19.5" thickBot="1">
      <c r="A52" s="1" t="s">
        <v>2</v>
      </c>
      <c r="B52" s="29" t="s">
        <v>101</v>
      </c>
      <c r="C52" s="61">
        <v>46441</v>
      </c>
      <c r="D52" s="62">
        <v>49577</v>
      </c>
      <c r="E52" s="62">
        <v>52605</v>
      </c>
      <c r="F52" s="62">
        <v>58637</v>
      </c>
      <c r="G52" s="62">
        <v>52578</v>
      </c>
      <c r="H52" s="62">
        <v>58796</v>
      </c>
      <c r="I52" s="62">
        <v>49422</v>
      </c>
      <c r="J52" s="62">
        <v>46379</v>
      </c>
      <c r="K52" s="62">
        <v>46364</v>
      </c>
      <c r="L52" s="62">
        <v>49549</v>
      </c>
      <c r="M52" s="62">
        <v>43411</v>
      </c>
      <c r="N52" s="62">
        <v>46551</v>
      </c>
      <c r="O52" s="62">
        <v>46379</v>
      </c>
      <c r="P52" s="62">
        <v>46498</v>
      </c>
      <c r="Q52" s="62">
        <v>49465</v>
      </c>
      <c r="R52" s="62">
        <v>37217</v>
      </c>
      <c r="S52" s="30">
        <v>40280</v>
      </c>
      <c r="T52" s="31">
        <f t="shared" si="1"/>
        <v>820149</v>
      </c>
    </row>
    <row r="53" spans="1:20">
      <c r="A53" s="1" t="s">
        <v>2</v>
      </c>
      <c r="B53" s="15" t="s">
        <v>102</v>
      </c>
      <c r="C53" s="63">
        <v>5710</v>
      </c>
      <c r="D53" s="64">
        <v>9470</v>
      </c>
      <c r="E53" s="64">
        <v>7030</v>
      </c>
      <c r="F53" s="64">
        <v>8130</v>
      </c>
      <c r="G53" s="64">
        <v>6420</v>
      </c>
      <c r="H53" s="64">
        <v>12260</v>
      </c>
      <c r="I53" s="64">
        <v>6990</v>
      </c>
      <c r="J53" s="64">
        <v>5370</v>
      </c>
      <c r="K53" s="64">
        <v>6750</v>
      </c>
      <c r="L53" s="64">
        <v>8530</v>
      </c>
      <c r="M53" s="64">
        <v>7660</v>
      </c>
      <c r="N53" s="64">
        <v>7140</v>
      </c>
      <c r="O53" s="64">
        <v>6750</v>
      </c>
      <c r="P53" s="64">
        <v>8360</v>
      </c>
      <c r="Q53" s="64">
        <v>2530</v>
      </c>
      <c r="R53" s="64">
        <v>6160</v>
      </c>
      <c r="S53" s="27">
        <v>6400</v>
      </c>
      <c r="T53" s="28">
        <f t="shared" si="1"/>
        <v>121660</v>
      </c>
    </row>
    <row r="54" spans="1:20">
      <c r="A54" s="1" t="s">
        <v>2</v>
      </c>
      <c r="B54" s="5" t="s">
        <v>103</v>
      </c>
      <c r="C54" s="57">
        <v>1300</v>
      </c>
      <c r="D54" s="58">
        <v>1300</v>
      </c>
      <c r="E54" s="58">
        <v>1300</v>
      </c>
      <c r="F54" s="58">
        <v>0</v>
      </c>
      <c r="G54" s="58">
        <v>1300</v>
      </c>
      <c r="H54" s="58">
        <v>1300</v>
      </c>
      <c r="I54" s="58">
        <v>1300</v>
      </c>
      <c r="J54" s="58">
        <v>1300</v>
      </c>
      <c r="K54" s="58">
        <v>1300</v>
      </c>
      <c r="L54" s="58">
        <v>1300</v>
      </c>
      <c r="M54" s="58">
        <v>0</v>
      </c>
      <c r="N54" s="58">
        <v>0</v>
      </c>
      <c r="O54" s="58">
        <v>1300</v>
      </c>
      <c r="P54" s="58">
        <v>1300</v>
      </c>
      <c r="Q54" s="58">
        <v>1300</v>
      </c>
      <c r="R54" s="58">
        <v>0</v>
      </c>
      <c r="S54" s="10">
        <v>0</v>
      </c>
      <c r="T54" s="11">
        <f t="shared" si="1"/>
        <v>15600</v>
      </c>
    </row>
    <row r="55" spans="1:20">
      <c r="A55" s="1" t="s">
        <v>2</v>
      </c>
      <c r="B55" s="5" t="s">
        <v>104</v>
      </c>
      <c r="C55" s="57">
        <v>8600</v>
      </c>
      <c r="D55" s="58">
        <v>14600</v>
      </c>
      <c r="E55" s="58">
        <v>13800</v>
      </c>
      <c r="F55" s="58">
        <v>16700</v>
      </c>
      <c r="G55" s="58">
        <v>15200</v>
      </c>
      <c r="H55" s="58">
        <v>17700</v>
      </c>
      <c r="I55" s="58">
        <v>13500</v>
      </c>
      <c r="J55" s="58">
        <v>9200</v>
      </c>
      <c r="K55" s="58">
        <v>13000</v>
      </c>
      <c r="L55" s="58">
        <v>13800</v>
      </c>
      <c r="M55" s="58">
        <v>10500</v>
      </c>
      <c r="N55" s="58">
        <v>13500</v>
      </c>
      <c r="O55" s="58">
        <v>12100</v>
      </c>
      <c r="P55" s="58">
        <v>14200</v>
      </c>
      <c r="Q55" s="58">
        <v>5600</v>
      </c>
      <c r="R55" s="58">
        <v>0</v>
      </c>
      <c r="S55" s="10">
        <v>0</v>
      </c>
      <c r="T55" s="11">
        <f t="shared" si="1"/>
        <v>192000</v>
      </c>
    </row>
    <row r="56" spans="1:20">
      <c r="A56" s="1" t="s">
        <v>2</v>
      </c>
      <c r="B56" s="5" t="s">
        <v>105</v>
      </c>
      <c r="C56" s="57">
        <v>0</v>
      </c>
      <c r="D56" s="58">
        <v>0</v>
      </c>
      <c r="E56" s="58">
        <v>0</v>
      </c>
      <c r="F56" s="58">
        <v>10000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10">
        <v>0</v>
      </c>
      <c r="T56" s="11">
        <f t="shared" si="1"/>
        <v>10000</v>
      </c>
    </row>
    <row r="57" spans="1:20" ht="19.5" thickBot="1">
      <c r="A57" s="1" t="s">
        <v>2</v>
      </c>
      <c r="B57" s="5" t="s">
        <v>106</v>
      </c>
      <c r="C57" s="57">
        <v>0</v>
      </c>
      <c r="D57" s="58">
        <v>0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10">
        <v>0</v>
      </c>
      <c r="T57" s="11">
        <f t="shared" si="1"/>
        <v>0</v>
      </c>
    </row>
    <row r="58" spans="1:20" ht="19.5" thickBot="1">
      <c r="A58" s="1" t="s">
        <v>2</v>
      </c>
      <c r="B58" s="29" t="s">
        <v>107</v>
      </c>
      <c r="C58" s="61">
        <v>62051</v>
      </c>
      <c r="D58" s="62">
        <v>74947</v>
      </c>
      <c r="E58" s="62">
        <v>74735</v>
      </c>
      <c r="F58" s="62">
        <v>93467</v>
      </c>
      <c r="G58" s="62">
        <v>75498</v>
      </c>
      <c r="H58" s="62">
        <v>90056</v>
      </c>
      <c r="I58" s="62">
        <v>71212</v>
      </c>
      <c r="J58" s="62">
        <v>62249</v>
      </c>
      <c r="K58" s="62">
        <v>67414</v>
      </c>
      <c r="L58" s="62">
        <v>73179</v>
      </c>
      <c r="M58" s="62">
        <v>61571</v>
      </c>
      <c r="N58" s="62">
        <v>67191</v>
      </c>
      <c r="O58" s="62">
        <v>66529</v>
      </c>
      <c r="P58" s="62">
        <v>70358</v>
      </c>
      <c r="Q58" s="62">
        <v>58895</v>
      </c>
      <c r="R58" s="62">
        <v>43377</v>
      </c>
      <c r="S58" s="30">
        <v>46680</v>
      </c>
      <c r="T58" s="31">
        <f t="shared" si="1"/>
        <v>1159409</v>
      </c>
    </row>
    <row r="59" spans="1:20" ht="19.5" thickBot="1">
      <c r="A59" s="1" t="s">
        <v>2</v>
      </c>
      <c r="B59" s="29" t="s">
        <v>108</v>
      </c>
      <c r="C59" s="61">
        <v>271643</v>
      </c>
      <c r="D59" s="62">
        <v>313375</v>
      </c>
      <c r="E59" s="62">
        <v>307498</v>
      </c>
      <c r="F59" s="62">
        <v>294182</v>
      </c>
      <c r="G59" s="62">
        <v>291686</v>
      </c>
      <c r="H59" s="62">
        <v>347536</v>
      </c>
      <c r="I59" s="62">
        <v>262300</v>
      </c>
      <c r="J59" s="62">
        <v>262164</v>
      </c>
      <c r="K59" s="62">
        <v>255620</v>
      </c>
      <c r="L59" s="62">
        <v>301874</v>
      </c>
      <c r="M59" s="62">
        <v>280972</v>
      </c>
      <c r="N59" s="62">
        <v>266430</v>
      </c>
      <c r="O59" s="62">
        <v>255617</v>
      </c>
      <c r="P59" s="62">
        <v>299756</v>
      </c>
      <c r="Q59" s="62">
        <v>273068</v>
      </c>
      <c r="R59" s="62">
        <v>239027</v>
      </c>
      <c r="S59" s="30">
        <v>245890</v>
      </c>
      <c r="T59" s="31">
        <f t="shared" si="1"/>
        <v>4768638</v>
      </c>
    </row>
    <row r="60" spans="1:20" ht="19.5" thickBot="1">
      <c r="A60" s="1" t="s">
        <v>2</v>
      </c>
      <c r="B60" s="29" t="s">
        <v>109</v>
      </c>
      <c r="C60" s="61">
        <v>268121</v>
      </c>
      <c r="D60" s="62">
        <v>290795</v>
      </c>
      <c r="E60" s="62">
        <v>290180</v>
      </c>
      <c r="F60" s="62">
        <v>262142</v>
      </c>
      <c r="G60" s="62">
        <v>280529</v>
      </c>
      <c r="H60" s="62">
        <v>318601</v>
      </c>
      <c r="I60" s="62">
        <v>242928</v>
      </c>
      <c r="J60" s="62">
        <v>247457</v>
      </c>
      <c r="K60" s="62">
        <v>237244</v>
      </c>
      <c r="L60" s="62">
        <v>283266</v>
      </c>
      <c r="M60" s="62">
        <v>268624</v>
      </c>
      <c r="N60" s="62">
        <v>249859</v>
      </c>
      <c r="O60" s="62">
        <v>242999</v>
      </c>
      <c r="P60" s="62">
        <v>279104</v>
      </c>
      <c r="Q60" s="62">
        <v>269450</v>
      </c>
      <c r="R60" s="62">
        <v>242352</v>
      </c>
      <c r="S60" s="30">
        <v>249951</v>
      </c>
      <c r="T60" s="31">
        <f t="shared" si="1"/>
        <v>4523602</v>
      </c>
    </row>
    <row r="61" spans="1:20">
      <c r="A61" s="1" t="s">
        <v>2</v>
      </c>
      <c r="B61" s="15" t="s">
        <v>110</v>
      </c>
      <c r="C61" s="63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27">
        <v>0</v>
      </c>
      <c r="T61" s="39">
        <f t="shared" si="1"/>
        <v>0</v>
      </c>
    </row>
    <row r="62" spans="1:20">
      <c r="A62" s="1" t="s">
        <v>2</v>
      </c>
      <c r="B62" s="5" t="s">
        <v>111</v>
      </c>
      <c r="C62" s="57">
        <v>268121</v>
      </c>
      <c r="D62" s="58">
        <v>290795</v>
      </c>
      <c r="E62" s="58">
        <v>290180</v>
      </c>
      <c r="F62" s="58">
        <v>262142</v>
      </c>
      <c r="G62" s="58">
        <v>280529</v>
      </c>
      <c r="H62" s="58">
        <v>318601</v>
      </c>
      <c r="I62" s="58">
        <v>242928</v>
      </c>
      <c r="J62" s="58">
        <v>247457</v>
      </c>
      <c r="K62" s="58">
        <v>237244</v>
      </c>
      <c r="L62" s="58">
        <v>283266</v>
      </c>
      <c r="M62" s="58">
        <v>268624</v>
      </c>
      <c r="N62" s="58">
        <v>249859</v>
      </c>
      <c r="O62" s="58">
        <v>242999</v>
      </c>
      <c r="P62" s="58">
        <v>279104</v>
      </c>
      <c r="Q62" s="58">
        <v>269450</v>
      </c>
      <c r="R62" s="58">
        <v>242352</v>
      </c>
      <c r="S62" s="10">
        <v>249951</v>
      </c>
      <c r="T62" s="11">
        <f t="shared" si="1"/>
        <v>4523602</v>
      </c>
    </row>
    <row r="63" spans="1:20">
      <c r="A63" s="1" t="s">
        <v>2</v>
      </c>
      <c r="B63" s="5" t="s">
        <v>112</v>
      </c>
      <c r="C63" s="57">
        <v>1</v>
      </c>
      <c r="D63" s="58">
        <v>0</v>
      </c>
      <c r="E63" s="58">
        <v>1</v>
      </c>
      <c r="F63" s="58">
        <v>0</v>
      </c>
      <c r="G63" s="58">
        <v>1</v>
      </c>
      <c r="H63" s="58">
        <v>0</v>
      </c>
      <c r="I63" s="58">
        <v>0</v>
      </c>
      <c r="J63" s="58">
        <v>1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3</v>
      </c>
      <c r="R63" s="58">
        <v>0</v>
      </c>
      <c r="S63" s="10">
        <v>0</v>
      </c>
      <c r="T63" s="11"/>
    </row>
    <row r="64" spans="1:20" ht="19.5" thickBot="1">
      <c r="A64" s="1" t="s">
        <v>2</v>
      </c>
      <c r="B64" s="12" t="s">
        <v>113</v>
      </c>
      <c r="C64" s="65" t="s">
        <v>114</v>
      </c>
      <c r="D64" s="66" t="s">
        <v>114</v>
      </c>
      <c r="E64" s="66" t="s">
        <v>114</v>
      </c>
      <c r="F64" s="66" t="s">
        <v>114</v>
      </c>
      <c r="G64" s="66" t="s">
        <v>114</v>
      </c>
      <c r="H64" s="66" t="s">
        <v>114</v>
      </c>
      <c r="I64" s="66" t="s">
        <v>114</v>
      </c>
      <c r="J64" s="66" t="s">
        <v>114</v>
      </c>
      <c r="K64" s="66" t="s">
        <v>114</v>
      </c>
      <c r="L64" s="66" t="s">
        <v>114</v>
      </c>
      <c r="M64" s="66" t="s">
        <v>114</v>
      </c>
      <c r="N64" s="66" t="s">
        <v>114</v>
      </c>
      <c r="O64" s="66" t="s">
        <v>114</v>
      </c>
      <c r="P64" s="66" t="s">
        <v>114</v>
      </c>
      <c r="Q64" s="66" t="s">
        <v>114</v>
      </c>
      <c r="R64" s="66" t="s">
        <v>114</v>
      </c>
      <c r="S64" s="13" t="s">
        <v>114</v>
      </c>
      <c r="T64" s="40"/>
    </row>
  </sheetData>
  <phoneticPr fontId="3"/>
  <pageMargins left="0.31496062992125984" right="0.31496062992125984" top="0.35433070866141736" bottom="0.35433070866141736" header="0.31496062992125984" footer="0.31496062992125984"/>
  <pageSetup paperSize="9" scale="45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1E23-D1AA-454F-9F54-BF71FF03DABF}">
  <sheetPr>
    <pageSetUpPr fitToPage="1"/>
  </sheetPr>
  <dimension ref="A1:O64"/>
  <sheetViews>
    <sheetView showZeros="0" tabSelected="1" workbookViewId="0">
      <selection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5" width="10" style="2" customWidth="1"/>
    <col min="16" max="240" width="9" style="2"/>
    <col min="241" max="241" width="2.375" style="2" customWidth="1"/>
    <col min="242" max="242" width="13.25" style="2" bestFit="1" customWidth="1"/>
    <col min="243" max="243" width="11.125" style="2" bestFit="1" customWidth="1"/>
    <col min="244" max="244" width="9.625" style="2" bestFit="1" customWidth="1"/>
    <col min="245" max="245" width="11.125" style="2" bestFit="1" customWidth="1"/>
    <col min="246" max="246" width="13.25" style="2" bestFit="1" customWidth="1"/>
    <col min="247" max="247" width="11.125" style="2" bestFit="1" customWidth="1"/>
    <col min="248" max="248" width="9" style="2"/>
    <col min="249" max="249" width="11.125" style="2" bestFit="1" customWidth="1"/>
    <col min="250" max="250" width="9" style="2"/>
    <col min="251" max="251" width="11.125" style="2" bestFit="1" customWidth="1"/>
    <col min="252" max="252" width="9" style="2"/>
    <col min="253" max="261" width="11.125" style="2" bestFit="1" customWidth="1"/>
    <col min="262" max="266" width="9" style="2"/>
    <col min="267" max="268" width="11.125" style="2" bestFit="1" customWidth="1"/>
    <col min="269" max="269" width="9" style="2"/>
    <col min="270" max="270" width="9.625" style="2" bestFit="1" customWidth="1"/>
    <col min="271" max="496" width="9" style="2"/>
    <col min="497" max="497" width="2.375" style="2" customWidth="1"/>
    <col min="498" max="498" width="13.25" style="2" bestFit="1" customWidth="1"/>
    <col min="499" max="499" width="11.125" style="2" bestFit="1" customWidth="1"/>
    <col min="500" max="500" width="9.625" style="2" bestFit="1" customWidth="1"/>
    <col min="501" max="501" width="11.125" style="2" bestFit="1" customWidth="1"/>
    <col min="502" max="502" width="13.25" style="2" bestFit="1" customWidth="1"/>
    <col min="503" max="503" width="11.125" style="2" bestFit="1" customWidth="1"/>
    <col min="504" max="504" width="9" style="2"/>
    <col min="505" max="505" width="11.125" style="2" bestFit="1" customWidth="1"/>
    <col min="506" max="506" width="9" style="2"/>
    <col min="507" max="507" width="11.125" style="2" bestFit="1" customWidth="1"/>
    <col min="508" max="508" width="9" style="2"/>
    <col min="509" max="517" width="11.125" style="2" bestFit="1" customWidth="1"/>
    <col min="518" max="522" width="9" style="2"/>
    <col min="523" max="524" width="11.125" style="2" bestFit="1" customWidth="1"/>
    <col min="525" max="525" width="9" style="2"/>
    <col min="526" max="526" width="9.625" style="2" bestFit="1" customWidth="1"/>
    <col min="527" max="752" width="9" style="2"/>
    <col min="753" max="753" width="2.375" style="2" customWidth="1"/>
    <col min="754" max="754" width="13.25" style="2" bestFit="1" customWidth="1"/>
    <col min="755" max="755" width="11.125" style="2" bestFit="1" customWidth="1"/>
    <col min="756" max="756" width="9.625" style="2" bestFit="1" customWidth="1"/>
    <col min="757" max="757" width="11.125" style="2" bestFit="1" customWidth="1"/>
    <col min="758" max="758" width="13.25" style="2" bestFit="1" customWidth="1"/>
    <col min="759" max="759" width="11.125" style="2" bestFit="1" customWidth="1"/>
    <col min="760" max="760" width="9" style="2"/>
    <col min="761" max="761" width="11.125" style="2" bestFit="1" customWidth="1"/>
    <col min="762" max="762" width="9" style="2"/>
    <col min="763" max="763" width="11.125" style="2" bestFit="1" customWidth="1"/>
    <col min="764" max="764" width="9" style="2"/>
    <col min="765" max="773" width="11.125" style="2" bestFit="1" customWidth="1"/>
    <col min="774" max="778" width="9" style="2"/>
    <col min="779" max="780" width="11.125" style="2" bestFit="1" customWidth="1"/>
    <col min="781" max="781" width="9" style="2"/>
    <col min="782" max="782" width="9.625" style="2" bestFit="1" customWidth="1"/>
    <col min="783" max="1008" width="9" style="2"/>
    <col min="1009" max="1009" width="2.375" style="2" customWidth="1"/>
    <col min="1010" max="1010" width="13.25" style="2" bestFit="1" customWidth="1"/>
    <col min="1011" max="1011" width="11.125" style="2" bestFit="1" customWidth="1"/>
    <col min="1012" max="1012" width="9.625" style="2" bestFit="1" customWidth="1"/>
    <col min="1013" max="1013" width="11.125" style="2" bestFit="1" customWidth="1"/>
    <col min="1014" max="1014" width="13.25" style="2" bestFit="1" customWidth="1"/>
    <col min="1015" max="1015" width="11.125" style="2" bestFit="1" customWidth="1"/>
    <col min="1016" max="1016" width="9" style="2"/>
    <col min="1017" max="1017" width="11.125" style="2" bestFit="1" customWidth="1"/>
    <col min="1018" max="1018" width="9" style="2"/>
    <col min="1019" max="1019" width="11.125" style="2" bestFit="1" customWidth="1"/>
    <col min="1020" max="1020" width="9" style="2"/>
    <col min="1021" max="1029" width="11.125" style="2" bestFit="1" customWidth="1"/>
    <col min="1030" max="1034" width="9" style="2"/>
    <col min="1035" max="1036" width="11.125" style="2" bestFit="1" customWidth="1"/>
    <col min="1037" max="1037" width="9" style="2"/>
    <col min="1038" max="1038" width="9.625" style="2" bestFit="1" customWidth="1"/>
    <col min="1039" max="1264" width="9" style="2"/>
    <col min="1265" max="1265" width="2.375" style="2" customWidth="1"/>
    <col min="1266" max="1266" width="13.25" style="2" bestFit="1" customWidth="1"/>
    <col min="1267" max="1267" width="11.125" style="2" bestFit="1" customWidth="1"/>
    <col min="1268" max="1268" width="9.625" style="2" bestFit="1" customWidth="1"/>
    <col min="1269" max="1269" width="11.125" style="2" bestFit="1" customWidth="1"/>
    <col min="1270" max="1270" width="13.25" style="2" bestFit="1" customWidth="1"/>
    <col min="1271" max="1271" width="11.125" style="2" bestFit="1" customWidth="1"/>
    <col min="1272" max="1272" width="9" style="2"/>
    <col min="1273" max="1273" width="11.125" style="2" bestFit="1" customWidth="1"/>
    <col min="1274" max="1274" width="9" style="2"/>
    <col min="1275" max="1275" width="11.125" style="2" bestFit="1" customWidth="1"/>
    <col min="1276" max="1276" width="9" style="2"/>
    <col min="1277" max="1285" width="11.125" style="2" bestFit="1" customWidth="1"/>
    <col min="1286" max="1290" width="9" style="2"/>
    <col min="1291" max="1292" width="11.125" style="2" bestFit="1" customWidth="1"/>
    <col min="1293" max="1293" width="9" style="2"/>
    <col min="1294" max="1294" width="9.625" style="2" bestFit="1" customWidth="1"/>
    <col min="1295" max="1520" width="9" style="2"/>
    <col min="1521" max="1521" width="2.375" style="2" customWidth="1"/>
    <col min="1522" max="1522" width="13.25" style="2" bestFit="1" customWidth="1"/>
    <col min="1523" max="1523" width="11.125" style="2" bestFit="1" customWidth="1"/>
    <col min="1524" max="1524" width="9.625" style="2" bestFit="1" customWidth="1"/>
    <col min="1525" max="1525" width="11.125" style="2" bestFit="1" customWidth="1"/>
    <col min="1526" max="1526" width="13.25" style="2" bestFit="1" customWidth="1"/>
    <col min="1527" max="1527" width="11.125" style="2" bestFit="1" customWidth="1"/>
    <col min="1528" max="1528" width="9" style="2"/>
    <col min="1529" max="1529" width="11.125" style="2" bestFit="1" customWidth="1"/>
    <col min="1530" max="1530" width="9" style="2"/>
    <col min="1531" max="1531" width="11.125" style="2" bestFit="1" customWidth="1"/>
    <col min="1532" max="1532" width="9" style="2"/>
    <col min="1533" max="1541" width="11.125" style="2" bestFit="1" customWidth="1"/>
    <col min="1542" max="1546" width="9" style="2"/>
    <col min="1547" max="1548" width="11.125" style="2" bestFit="1" customWidth="1"/>
    <col min="1549" max="1549" width="9" style="2"/>
    <col min="1550" max="1550" width="9.625" style="2" bestFit="1" customWidth="1"/>
    <col min="1551" max="1776" width="9" style="2"/>
    <col min="1777" max="1777" width="2.375" style="2" customWidth="1"/>
    <col min="1778" max="1778" width="13.25" style="2" bestFit="1" customWidth="1"/>
    <col min="1779" max="1779" width="11.125" style="2" bestFit="1" customWidth="1"/>
    <col min="1780" max="1780" width="9.625" style="2" bestFit="1" customWidth="1"/>
    <col min="1781" max="1781" width="11.125" style="2" bestFit="1" customWidth="1"/>
    <col min="1782" max="1782" width="13.25" style="2" bestFit="1" customWidth="1"/>
    <col min="1783" max="1783" width="11.125" style="2" bestFit="1" customWidth="1"/>
    <col min="1784" max="1784" width="9" style="2"/>
    <col min="1785" max="1785" width="11.125" style="2" bestFit="1" customWidth="1"/>
    <col min="1786" max="1786" width="9" style="2"/>
    <col min="1787" max="1787" width="11.125" style="2" bestFit="1" customWidth="1"/>
    <col min="1788" max="1788" width="9" style="2"/>
    <col min="1789" max="1797" width="11.125" style="2" bestFit="1" customWidth="1"/>
    <col min="1798" max="1802" width="9" style="2"/>
    <col min="1803" max="1804" width="11.125" style="2" bestFit="1" customWidth="1"/>
    <col min="1805" max="1805" width="9" style="2"/>
    <col min="1806" max="1806" width="9.625" style="2" bestFit="1" customWidth="1"/>
    <col min="1807" max="2032" width="9" style="2"/>
    <col min="2033" max="2033" width="2.375" style="2" customWidth="1"/>
    <col min="2034" max="2034" width="13.25" style="2" bestFit="1" customWidth="1"/>
    <col min="2035" max="2035" width="11.125" style="2" bestFit="1" customWidth="1"/>
    <col min="2036" max="2036" width="9.625" style="2" bestFit="1" customWidth="1"/>
    <col min="2037" max="2037" width="11.125" style="2" bestFit="1" customWidth="1"/>
    <col min="2038" max="2038" width="13.25" style="2" bestFit="1" customWidth="1"/>
    <col min="2039" max="2039" width="11.125" style="2" bestFit="1" customWidth="1"/>
    <col min="2040" max="2040" width="9" style="2"/>
    <col min="2041" max="2041" width="11.125" style="2" bestFit="1" customWidth="1"/>
    <col min="2042" max="2042" width="9" style="2"/>
    <col min="2043" max="2043" width="11.125" style="2" bestFit="1" customWidth="1"/>
    <col min="2044" max="2044" width="9" style="2"/>
    <col min="2045" max="2053" width="11.125" style="2" bestFit="1" customWidth="1"/>
    <col min="2054" max="2058" width="9" style="2"/>
    <col min="2059" max="2060" width="11.125" style="2" bestFit="1" customWidth="1"/>
    <col min="2061" max="2061" width="9" style="2"/>
    <col min="2062" max="2062" width="9.625" style="2" bestFit="1" customWidth="1"/>
    <col min="2063" max="2288" width="9" style="2"/>
    <col min="2289" max="2289" width="2.375" style="2" customWidth="1"/>
    <col min="2290" max="2290" width="13.25" style="2" bestFit="1" customWidth="1"/>
    <col min="2291" max="2291" width="11.125" style="2" bestFit="1" customWidth="1"/>
    <col min="2292" max="2292" width="9.625" style="2" bestFit="1" customWidth="1"/>
    <col min="2293" max="2293" width="11.125" style="2" bestFit="1" customWidth="1"/>
    <col min="2294" max="2294" width="13.25" style="2" bestFit="1" customWidth="1"/>
    <col min="2295" max="2295" width="11.125" style="2" bestFit="1" customWidth="1"/>
    <col min="2296" max="2296" width="9" style="2"/>
    <col min="2297" max="2297" width="11.125" style="2" bestFit="1" customWidth="1"/>
    <col min="2298" max="2298" width="9" style="2"/>
    <col min="2299" max="2299" width="11.125" style="2" bestFit="1" customWidth="1"/>
    <col min="2300" max="2300" width="9" style="2"/>
    <col min="2301" max="2309" width="11.125" style="2" bestFit="1" customWidth="1"/>
    <col min="2310" max="2314" width="9" style="2"/>
    <col min="2315" max="2316" width="11.125" style="2" bestFit="1" customWidth="1"/>
    <col min="2317" max="2317" width="9" style="2"/>
    <col min="2318" max="2318" width="9.625" style="2" bestFit="1" customWidth="1"/>
    <col min="2319" max="2544" width="9" style="2"/>
    <col min="2545" max="2545" width="2.375" style="2" customWidth="1"/>
    <col min="2546" max="2546" width="13.25" style="2" bestFit="1" customWidth="1"/>
    <col min="2547" max="2547" width="11.125" style="2" bestFit="1" customWidth="1"/>
    <col min="2548" max="2548" width="9.625" style="2" bestFit="1" customWidth="1"/>
    <col min="2549" max="2549" width="11.125" style="2" bestFit="1" customWidth="1"/>
    <col min="2550" max="2550" width="13.25" style="2" bestFit="1" customWidth="1"/>
    <col min="2551" max="2551" width="11.125" style="2" bestFit="1" customWidth="1"/>
    <col min="2552" max="2552" width="9" style="2"/>
    <col min="2553" max="2553" width="11.125" style="2" bestFit="1" customWidth="1"/>
    <col min="2554" max="2554" width="9" style="2"/>
    <col min="2555" max="2555" width="11.125" style="2" bestFit="1" customWidth="1"/>
    <col min="2556" max="2556" width="9" style="2"/>
    <col min="2557" max="2565" width="11.125" style="2" bestFit="1" customWidth="1"/>
    <col min="2566" max="2570" width="9" style="2"/>
    <col min="2571" max="2572" width="11.125" style="2" bestFit="1" customWidth="1"/>
    <col min="2573" max="2573" width="9" style="2"/>
    <col min="2574" max="2574" width="9.625" style="2" bestFit="1" customWidth="1"/>
    <col min="2575" max="2800" width="9" style="2"/>
    <col min="2801" max="2801" width="2.375" style="2" customWidth="1"/>
    <col min="2802" max="2802" width="13.25" style="2" bestFit="1" customWidth="1"/>
    <col min="2803" max="2803" width="11.125" style="2" bestFit="1" customWidth="1"/>
    <col min="2804" max="2804" width="9.625" style="2" bestFit="1" customWidth="1"/>
    <col min="2805" max="2805" width="11.125" style="2" bestFit="1" customWidth="1"/>
    <col min="2806" max="2806" width="13.25" style="2" bestFit="1" customWidth="1"/>
    <col min="2807" max="2807" width="11.125" style="2" bestFit="1" customWidth="1"/>
    <col min="2808" max="2808" width="9" style="2"/>
    <col min="2809" max="2809" width="11.125" style="2" bestFit="1" customWidth="1"/>
    <col min="2810" max="2810" width="9" style="2"/>
    <col min="2811" max="2811" width="11.125" style="2" bestFit="1" customWidth="1"/>
    <col min="2812" max="2812" width="9" style="2"/>
    <col min="2813" max="2821" width="11.125" style="2" bestFit="1" customWidth="1"/>
    <col min="2822" max="2826" width="9" style="2"/>
    <col min="2827" max="2828" width="11.125" style="2" bestFit="1" customWidth="1"/>
    <col min="2829" max="2829" width="9" style="2"/>
    <col min="2830" max="2830" width="9.625" style="2" bestFit="1" customWidth="1"/>
    <col min="2831" max="3056" width="9" style="2"/>
    <col min="3057" max="3057" width="2.375" style="2" customWidth="1"/>
    <col min="3058" max="3058" width="13.25" style="2" bestFit="1" customWidth="1"/>
    <col min="3059" max="3059" width="11.125" style="2" bestFit="1" customWidth="1"/>
    <col min="3060" max="3060" width="9.625" style="2" bestFit="1" customWidth="1"/>
    <col min="3061" max="3061" width="11.125" style="2" bestFit="1" customWidth="1"/>
    <col min="3062" max="3062" width="13.25" style="2" bestFit="1" customWidth="1"/>
    <col min="3063" max="3063" width="11.125" style="2" bestFit="1" customWidth="1"/>
    <col min="3064" max="3064" width="9" style="2"/>
    <col min="3065" max="3065" width="11.125" style="2" bestFit="1" customWidth="1"/>
    <col min="3066" max="3066" width="9" style="2"/>
    <col min="3067" max="3067" width="11.125" style="2" bestFit="1" customWidth="1"/>
    <col min="3068" max="3068" width="9" style="2"/>
    <col min="3069" max="3077" width="11.125" style="2" bestFit="1" customWidth="1"/>
    <col min="3078" max="3082" width="9" style="2"/>
    <col min="3083" max="3084" width="11.125" style="2" bestFit="1" customWidth="1"/>
    <col min="3085" max="3085" width="9" style="2"/>
    <col min="3086" max="3086" width="9.625" style="2" bestFit="1" customWidth="1"/>
    <col min="3087" max="3312" width="9" style="2"/>
    <col min="3313" max="3313" width="2.375" style="2" customWidth="1"/>
    <col min="3314" max="3314" width="13.25" style="2" bestFit="1" customWidth="1"/>
    <col min="3315" max="3315" width="11.125" style="2" bestFit="1" customWidth="1"/>
    <col min="3316" max="3316" width="9.625" style="2" bestFit="1" customWidth="1"/>
    <col min="3317" max="3317" width="11.125" style="2" bestFit="1" customWidth="1"/>
    <col min="3318" max="3318" width="13.25" style="2" bestFit="1" customWidth="1"/>
    <col min="3319" max="3319" width="11.125" style="2" bestFit="1" customWidth="1"/>
    <col min="3320" max="3320" width="9" style="2"/>
    <col min="3321" max="3321" width="11.125" style="2" bestFit="1" customWidth="1"/>
    <col min="3322" max="3322" width="9" style="2"/>
    <col min="3323" max="3323" width="11.125" style="2" bestFit="1" customWidth="1"/>
    <col min="3324" max="3324" width="9" style="2"/>
    <col min="3325" max="3333" width="11.125" style="2" bestFit="1" customWidth="1"/>
    <col min="3334" max="3338" width="9" style="2"/>
    <col min="3339" max="3340" width="11.125" style="2" bestFit="1" customWidth="1"/>
    <col min="3341" max="3341" width="9" style="2"/>
    <col min="3342" max="3342" width="9.625" style="2" bestFit="1" customWidth="1"/>
    <col min="3343" max="3568" width="9" style="2"/>
    <col min="3569" max="3569" width="2.375" style="2" customWidth="1"/>
    <col min="3570" max="3570" width="13.25" style="2" bestFit="1" customWidth="1"/>
    <col min="3571" max="3571" width="11.125" style="2" bestFit="1" customWidth="1"/>
    <col min="3572" max="3572" width="9.625" style="2" bestFit="1" customWidth="1"/>
    <col min="3573" max="3573" width="11.125" style="2" bestFit="1" customWidth="1"/>
    <col min="3574" max="3574" width="13.25" style="2" bestFit="1" customWidth="1"/>
    <col min="3575" max="3575" width="11.125" style="2" bestFit="1" customWidth="1"/>
    <col min="3576" max="3576" width="9" style="2"/>
    <col min="3577" max="3577" width="11.125" style="2" bestFit="1" customWidth="1"/>
    <col min="3578" max="3578" width="9" style="2"/>
    <col min="3579" max="3579" width="11.125" style="2" bestFit="1" customWidth="1"/>
    <col min="3580" max="3580" width="9" style="2"/>
    <col min="3581" max="3589" width="11.125" style="2" bestFit="1" customWidth="1"/>
    <col min="3590" max="3594" width="9" style="2"/>
    <col min="3595" max="3596" width="11.125" style="2" bestFit="1" customWidth="1"/>
    <col min="3597" max="3597" width="9" style="2"/>
    <col min="3598" max="3598" width="9.625" style="2" bestFit="1" customWidth="1"/>
    <col min="3599" max="3824" width="9" style="2"/>
    <col min="3825" max="3825" width="2.375" style="2" customWidth="1"/>
    <col min="3826" max="3826" width="13.25" style="2" bestFit="1" customWidth="1"/>
    <col min="3827" max="3827" width="11.125" style="2" bestFit="1" customWidth="1"/>
    <col min="3828" max="3828" width="9.625" style="2" bestFit="1" customWidth="1"/>
    <col min="3829" max="3829" width="11.125" style="2" bestFit="1" customWidth="1"/>
    <col min="3830" max="3830" width="13.25" style="2" bestFit="1" customWidth="1"/>
    <col min="3831" max="3831" width="11.125" style="2" bestFit="1" customWidth="1"/>
    <col min="3832" max="3832" width="9" style="2"/>
    <col min="3833" max="3833" width="11.125" style="2" bestFit="1" customWidth="1"/>
    <col min="3834" max="3834" width="9" style="2"/>
    <col min="3835" max="3835" width="11.125" style="2" bestFit="1" customWidth="1"/>
    <col min="3836" max="3836" width="9" style="2"/>
    <col min="3837" max="3845" width="11.125" style="2" bestFit="1" customWidth="1"/>
    <col min="3846" max="3850" width="9" style="2"/>
    <col min="3851" max="3852" width="11.125" style="2" bestFit="1" customWidth="1"/>
    <col min="3853" max="3853" width="9" style="2"/>
    <col min="3854" max="3854" width="9.625" style="2" bestFit="1" customWidth="1"/>
    <col min="3855" max="4080" width="9" style="2"/>
    <col min="4081" max="4081" width="2.375" style="2" customWidth="1"/>
    <col min="4082" max="4082" width="13.25" style="2" bestFit="1" customWidth="1"/>
    <col min="4083" max="4083" width="11.125" style="2" bestFit="1" customWidth="1"/>
    <col min="4084" max="4084" width="9.625" style="2" bestFit="1" customWidth="1"/>
    <col min="4085" max="4085" width="11.125" style="2" bestFit="1" customWidth="1"/>
    <col min="4086" max="4086" width="13.25" style="2" bestFit="1" customWidth="1"/>
    <col min="4087" max="4087" width="11.125" style="2" bestFit="1" customWidth="1"/>
    <col min="4088" max="4088" width="9" style="2"/>
    <col min="4089" max="4089" width="11.125" style="2" bestFit="1" customWidth="1"/>
    <col min="4090" max="4090" width="9" style="2"/>
    <col min="4091" max="4091" width="11.125" style="2" bestFit="1" customWidth="1"/>
    <col min="4092" max="4092" width="9" style="2"/>
    <col min="4093" max="4101" width="11.125" style="2" bestFit="1" customWidth="1"/>
    <col min="4102" max="4106" width="9" style="2"/>
    <col min="4107" max="4108" width="11.125" style="2" bestFit="1" customWidth="1"/>
    <col min="4109" max="4109" width="9" style="2"/>
    <col min="4110" max="4110" width="9.625" style="2" bestFit="1" customWidth="1"/>
    <col min="4111" max="4336" width="9" style="2"/>
    <col min="4337" max="4337" width="2.375" style="2" customWidth="1"/>
    <col min="4338" max="4338" width="13.25" style="2" bestFit="1" customWidth="1"/>
    <col min="4339" max="4339" width="11.125" style="2" bestFit="1" customWidth="1"/>
    <col min="4340" max="4340" width="9.625" style="2" bestFit="1" customWidth="1"/>
    <col min="4341" max="4341" width="11.125" style="2" bestFit="1" customWidth="1"/>
    <col min="4342" max="4342" width="13.25" style="2" bestFit="1" customWidth="1"/>
    <col min="4343" max="4343" width="11.125" style="2" bestFit="1" customWidth="1"/>
    <col min="4344" max="4344" width="9" style="2"/>
    <col min="4345" max="4345" width="11.125" style="2" bestFit="1" customWidth="1"/>
    <col min="4346" max="4346" width="9" style="2"/>
    <col min="4347" max="4347" width="11.125" style="2" bestFit="1" customWidth="1"/>
    <col min="4348" max="4348" width="9" style="2"/>
    <col min="4349" max="4357" width="11.125" style="2" bestFit="1" customWidth="1"/>
    <col min="4358" max="4362" width="9" style="2"/>
    <col min="4363" max="4364" width="11.125" style="2" bestFit="1" customWidth="1"/>
    <col min="4365" max="4365" width="9" style="2"/>
    <col min="4366" max="4366" width="9.625" style="2" bestFit="1" customWidth="1"/>
    <col min="4367" max="4592" width="9" style="2"/>
    <col min="4593" max="4593" width="2.375" style="2" customWidth="1"/>
    <col min="4594" max="4594" width="13.25" style="2" bestFit="1" customWidth="1"/>
    <col min="4595" max="4595" width="11.125" style="2" bestFit="1" customWidth="1"/>
    <col min="4596" max="4596" width="9.625" style="2" bestFit="1" customWidth="1"/>
    <col min="4597" max="4597" width="11.125" style="2" bestFit="1" customWidth="1"/>
    <col min="4598" max="4598" width="13.25" style="2" bestFit="1" customWidth="1"/>
    <col min="4599" max="4599" width="11.125" style="2" bestFit="1" customWidth="1"/>
    <col min="4600" max="4600" width="9" style="2"/>
    <col min="4601" max="4601" width="11.125" style="2" bestFit="1" customWidth="1"/>
    <col min="4602" max="4602" width="9" style="2"/>
    <col min="4603" max="4603" width="11.125" style="2" bestFit="1" customWidth="1"/>
    <col min="4604" max="4604" width="9" style="2"/>
    <col min="4605" max="4613" width="11.125" style="2" bestFit="1" customWidth="1"/>
    <col min="4614" max="4618" width="9" style="2"/>
    <col min="4619" max="4620" width="11.125" style="2" bestFit="1" customWidth="1"/>
    <col min="4621" max="4621" width="9" style="2"/>
    <col min="4622" max="4622" width="9.625" style="2" bestFit="1" customWidth="1"/>
    <col min="4623" max="4848" width="9" style="2"/>
    <col min="4849" max="4849" width="2.375" style="2" customWidth="1"/>
    <col min="4850" max="4850" width="13.25" style="2" bestFit="1" customWidth="1"/>
    <col min="4851" max="4851" width="11.125" style="2" bestFit="1" customWidth="1"/>
    <col min="4852" max="4852" width="9.625" style="2" bestFit="1" customWidth="1"/>
    <col min="4853" max="4853" width="11.125" style="2" bestFit="1" customWidth="1"/>
    <col min="4854" max="4854" width="13.25" style="2" bestFit="1" customWidth="1"/>
    <col min="4855" max="4855" width="11.125" style="2" bestFit="1" customWidth="1"/>
    <col min="4856" max="4856" width="9" style="2"/>
    <col min="4857" max="4857" width="11.125" style="2" bestFit="1" customWidth="1"/>
    <col min="4858" max="4858" width="9" style="2"/>
    <col min="4859" max="4859" width="11.125" style="2" bestFit="1" customWidth="1"/>
    <col min="4860" max="4860" width="9" style="2"/>
    <col min="4861" max="4869" width="11.125" style="2" bestFit="1" customWidth="1"/>
    <col min="4870" max="4874" width="9" style="2"/>
    <col min="4875" max="4876" width="11.125" style="2" bestFit="1" customWidth="1"/>
    <col min="4877" max="4877" width="9" style="2"/>
    <col min="4878" max="4878" width="9.625" style="2" bestFit="1" customWidth="1"/>
    <col min="4879" max="5104" width="9" style="2"/>
    <col min="5105" max="5105" width="2.375" style="2" customWidth="1"/>
    <col min="5106" max="5106" width="13.25" style="2" bestFit="1" customWidth="1"/>
    <col min="5107" max="5107" width="11.125" style="2" bestFit="1" customWidth="1"/>
    <col min="5108" max="5108" width="9.625" style="2" bestFit="1" customWidth="1"/>
    <col min="5109" max="5109" width="11.125" style="2" bestFit="1" customWidth="1"/>
    <col min="5110" max="5110" width="13.25" style="2" bestFit="1" customWidth="1"/>
    <col min="5111" max="5111" width="11.125" style="2" bestFit="1" customWidth="1"/>
    <col min="5112" max="5112" width="9" style="2"/>
    <col min="5113" max="5113" width="11.125" style="2" bestFit="1" customWidth="1"/>
    <col min="5114" max="5114" width="9" style="2"/>
    <col min="5115" max="5115" width="11.125" style="2" bestFit="1" customWidth="1"/>
    <col min="5116" max="5116" width="9" style="2"/>
    <col min="5117" max="5125" width="11.125" style="2" bestFit="1" customWidth="1"/>
    <col min="5126" max="5130" width="9" style="2"/>
    <col min="5131" max="5132" width="11.125" style="2" bestFit="1" customWidth="1"/>
    <col min="5133" max="5133" width="9" style="2"/>
    <col min="5134" max="5134" width="9.625" style="2" bestFit="1" customWidth="1"/>
    <col min="5135" max="5360" width="9" style="2"/>
    <col min="5361" max="5361" width="2.375" style="2" customWidth="1"/>
    <col min="5362" max="5362" width="13.25" style="2" bestFit="1" customWidth="1"/>
    <col min="5363" max="5363" width="11.125" style="2" bestFit="1" customWidth="1"/>
    <col min="5364" max="5364" width="9.625" style="2" bestFit="1" customWidth="1"/>
    <col min="5365" max="5365" width="11.125" style="2" bestFit="1" customWidth="1"/>
    <col min="5366" max="5366" width="13.25" style="2" bestFit="1" customWidth="1"/>
    <col min="5367" max="5367" width="11.125" style="2" bestFit="1" customWidth="1"/>
    <col min="5368" max="5368" width="9" style="2"/>
    <col min="5369" max="5369" width="11.125" style="2" bestFit="1" customWidth="1"/>
    <col min="5370" max="5370" width="9" style="2"/>
    <col min="5371" max="5371" width="11.125" style="2" bestFit="1" customWidth="1"/>
    <col min="5372" max="5372" width="9" style="2"/>
    <col min="5373" max="5381" width="11.125" style="2" bestFit="1" customWidth="1"/>
    <col min="5382" max="5386" width="9" style="2"/>
    <col min="5387" max="5388" width="11.125" style="2" bestFit="1" customWidth="1"/>
    <col min="5389" max="5389" width="9" style="2"/>
    <col min="5390" max="5390" width="9.625" style="2" bestFit="1" customWidth="1"/>
    <col min="5391" max="5616" width="9" style="2"/>
    <col min="5617" max="5617" width="2.375" style="2" customWidth="1"/>
    <col min="5618" max="5618" width="13.25" style="2" bestFit="1" customWidth="1"/>
    <col min="5619" max="5619" width="11.125" style="2" bestFit="1" customWidth="1"/>
    <col min="5620" max="5620" width="9.625" style="2" bestFit="1" customWidth="1"/>
    <col min="5621" max="5621" width="11.125" style="2" bestFit="1" customWidth="1"/>
    <col min="5622" max="5622" width="13.25" style="2" bestFit="1" customWidth="1"/>
    <col min="5623" max="5623" width="11.125" style="2" bestFit="1" customWidth="1"/>
    <col min="5624" max="5624" width="9" style="2"/>
    <col min="5625" max="5625" width="11.125" style="2" bestFit="1" customWidth="1"/>
    <col min="5626" max="5626" width="9" style="2"/>
    <col min="5627" max="5627" width="11.125" style="2" bestFit="1" customWidth="1"/>
    <col min="5628" max="5628" width="9" style="2"/>
    <col min="5629" max="5637" width="11.125" style="2" bestFit="1" customWidth="1"/>
    <col min="5638" max="5642" width="9" style="2"/>
    <col min="5643" max="5644" width="11.125" style="2" bestFit="1" customWidth="1"/>
    <col min="5645" max="5645" width="9" style="2"/>
    <col min="5646" max="5646" width="9.625" style="2" bestFit="1" customWidth="1"/>
    <col min="5647" max="5872" width="9" style="2"/>
    <col min="5873" max="5873" width="2.375" style="2" customWidth="1"/>
    <col min="5874" max="5874" width="13.25" style="2" bestFit="1" customWidth="1"/>
    <col min="5875" max="5875" width="11.125" style="2" bestFit="1" customWidth="1"/>
    <col min="5876" max="5876" width="9.625" style="2" bestFit="1" customWidth="1"/>
    <col min="5877" max="5877" width="11.125" style="2" bestFit="1" customWidth="1"/>
    <col min="5878" max="5878" width="13.25" style="2" bestFit="1" customWidth="1"/>
    <col min="5879" max="5879" width="11.125" style="2" bestFit="1" customWidth="1"/>
    <col min="5880" max="5880" width="9" style="2"/>
    <col min="5881" max="5881" width="11.125" style="2" bestFit="1" customWidth="1"/>
    <col min="5882" max="5882" width="9" style="2"/>
    <col min="5883" max="5883" width="11.125" style="2" bestFit="1" customWidth="1"/>
    <col min="5884" max="5884" width="9" style="2"/>
    <col min="5885" max="5893" width="11.125" style="2" bestFit="1" customWidth="1"/>
    <col min="5894" max="5898" width="9" style="2"/>
    <col min="5899" max="5900" width="11.125" style="2" bestFit="1" customWidth="1"/>
    <col min="5901" max="5901" width="9" style="2"/>
    <col min="5902" max="5902" width="9.625" style="2" bestFit="1" customWidth="1"/>
    <col min="5903" max="6128" width="9" style="2"/>
    <col min="6129" max="6129" width="2.375" style="2" customWidth="1"/>
    <col min="6130" max="6130" width="13.25" style="2" bestFit="1" customWidth="1"/>
    <col min="6131" max="6131" width="11.125" style="2" bestFit="1" customWidth="1"/>
    <col min="6132" max="6132" width="9.625" style="2" bestFit="1" customWidth="1"/>
    <col min="6133" max="6133" width="11.125" style="2" bestFit="1" customWidth="1"/>
    <col min="6134" max="6134" width="13.25" style="2" bestFit="1" customWidth="1"/>
    <col min="6135" max="6135" width="11.125" style="2" bestFit="1" customWidth="1"/>
    <col min="6136" max="6136" width="9" style="2"/>
    <col min="6137" max="6137" width="11.125" style="2" bestFit="1" customWidth="1"/>
    <col min="6138" max="6138" width="9" style="2"/>
    <col min="6139" max="6139" width="11.125" style="2" bestFit="1" customWidth="1"/>
    <col min="6140" max="6140" width="9" style="2"/>
    <col min="6141" max="6149" width="11.125" style="2" bestFit="1" customWidth="1"/>
    <col min="6150" max="6154" width="9" style="2"/>
    <col min="6155" max="6156" width="11.125" style="2" bestFit="1" customWidth="1"/>
    <col min="6157" max="6157" width="9" style="2"/>
    <col min="6158" max="6158" width="9.625" style="2" bestFit="1" customWidth="1"/>
    <col min="6159" max="6384" width="9" style="2"/>
    <col min="6385" max="6385" width="2.375" style="2" customWidth="1"/>
    <col min="6386" max="6386" width="13.25" style="2" bestFit="1" customWidth="1"/>
    <col min="6387" max="6387" width="11.125" style="2" bestFit="1" customWidth="1"/>
    <col min="6388" max="6388" width="9.625" style="2" bestFit="1" customWidth="1"/>
    <col min="6389" max="6389" width="11.125" style="2" bestFit="1" customWidth="1"/>
    <col min="6390" max="6390" width="13.25" style="2" bestFit="1" customWidth="1"/>
    <col min="6391" max="6391" width="11.125" style="2" bestFit="1" customWidth="1"/>
    <col min="6392" max="6392" width="9" style="2"/>
    <col min="6393" max="6393" width="11.125" style="2" bestFit="1" customWidth="1"/>
    <col min="6394" max="6394" width="9" style="2"/>
    <col min="6395" max="6395" width="11.125" style="2" bestFit="1" customWidth="1"/>
    <col min="6396" max="6396" width="9" style="2"/>
    <col min="6397" max="6405" width="11.125" style="2" bestFit="1" customWidth="1"/>
    <col min="6406" max="6410" width="9" style="2"/>
    <col min="6411" max="6412" width="11.125" style="2" bestFit="1" customWidth="1"/>
    <col min="6413" max="6413" width="9" style="2"/>
    <col min="6414" max="6414" width="9.625" style="2" bestFit="1" customWidth="1"/>
    <col min="6415" max="6640" width="9" style="2"/>
    <col min="6641" max="6641" width="2.375" style="2" customWidth="1"/>
    <col min="6642" max="6642" width="13.25" style="2" bestFit="1" customWidth="1"/>
    <col min="6643" max="6643" width="11.125" style="2" bestFit="1" customWidth="1"/>
    <col min="6644" max="6644" width="9.625" style="2" bestFit="1" customWidth="1"/>
    <col min="6645" max="6645" width="11.125" style="2" bestFit="1" customWidth="1"/>
    <col min="6646" max="6646" width="13.25" style="2" bestFit="1" customWidth="1"/>
    <col min="6647" max="6647" width="11.125" style="2" bestFit="1" customWidth="1"/>
    <col min="6648" max="6648" width="9" style="2"/>
    <col min="6649" max="6649" width="11.125" style="2" bestFit="1" customWidth="1"/>
    <col min="6650" max="6650" width="9" style="2"/>
    <col min="6651" max="6651" width="11.125" style="2" bestFit="1" customWidth="1"/>
    <col min="6652" max="6652" width="9" style="2"/>
    <col min="6653" max="6661" width="11.125" style="2" bestFit="1" customWidth="1"/>
    <col min="6662" max="6666" width="9" style="2"/>
    <col min="6667" max="6668" width="11.125" style="2" bestFit="1" customWidth="1"/>
    <col min="6669" max="6669" width="9" style="2"/>
    <col min="6670" max="6670" width="9.625" style="2" bestFit="1" customWidth="1"/>
    <col min="6671" max="6896" width="9" style="2"/>
    <col min="6897" max="6897" width="2.375" style="2" customWidth="1"/>
    <col min="6898" max="6898" width="13.25" style="2" bestFit="1" customWidth="1"/>
    <col min="6899" max="6899" width="11.125" style="2" bestFit="1" customWidth="1"/>
    <col min="6900" max="6900" width="9.625" style="2" bestFit="1" customWidth="1"/>
    <col min="6901" max="6901" width="11.125" style="2" bestFit="1" customWidth="1"/>
    <col min="6902" max="6902" width="13.25" style="2" bestFit="1" customWidth="1"/>
    <col min="6903" max="6903" width="11.125" style="2" bestFit="1" customWidth="1"/>
    <col min="6904" max="6904" width="9" style="2"/>
    <col min="6905" max="6905" width="11.125" style="2" bestFit="1" customWidth="1"/>
    <col min="6906" max="6906" width="9" style="2"/>
    <col min="6907" max="6907" width="11.125" style="2" bestFit="1" customWidth="1"/>
    <col min="6908" max="6908" width="9" style="2"/>
    <col min="6909" max="6917" width="11.125" style="2" bestFit="1" customWidth="1"/>
    <col min="6918" max="6922" width="9" style="2"/>
    <col min="6923" max="6924" width="11.125" style="2" bestFit="1" customWidth="1"/>
    <col min="6925" max="6925" width="9" style="2"/>
    <col min="6926" max="6926" width="9.625" style="2" bestFit="1" customWidth="1"/>
    <col min="6927" max="7152" width="9" style="2"/>
    <col min="7153" max="7153" width="2.375" style="2" customWidth="1"/>
    <col min="7154" max="7154" width="13.25" style="2" bestFit="1" customWidth="1"/>
    <col min="7155" max="7155" width="11.125" style="2" bestFit="1" customWidth="1"/>
    <col min="7156" max="7156" width="9.625" style="2" bestFit="1" customWidth="1"/>
    <col min="7157" max="7157" width="11.125" style="2" bestFit="1" customWidth="1"/>
    <col min="7158" max="7158" width="13.25" style="2" bestFit="1" customWidth="1"/>
    <col min="7159" max="7159" width="11.125" style="2" bestFit="1" customWidth="1"/>
    <col min="7160" max="7160" width="9" style="2"/>
    <col min="7161" max="7161" width="11.125" style="2" bestFit="1" customWidth="1"/>
    <col min="7162" max="7162" width="9" style="2"/>
    <col min="7163" max="7163" width="11.125" style="2" bestFit="1" customWidth="1"/>
    <col min="7164" max="7164" width="9" style="2"/>
    <col min="7165" max="7173" width="11.125" style="2" bestFit="1" customWidth="1"/>
    <col min="7174" max="7178" width="9" style="2"/>
    <col min="7179" max="7180" width="11.125" style="2" bestFit="1" customWidth="1"/>
    <col min="7181" max="7181" width="9" style="2"/>
    <col min="7182" max="7182" width="9.625" style="2" bestFit="1" customWidth="1"/>
    <col min="7183" max="7408" width="9" style="2"/>
    <col min="7409" max="7409" width="2.375" style="2" customWidth="1"/>
    <col min="7410" max="7410" width="13.25" style="2" bestFit="1" customWidth="1"/>
    <col min="7411" max="7411" width="11.125" style="2" bestFit="1" customWidth="1"/>
    <col min="7412" max="7412" width="9.625" style="2" bestFit="1" customWidth="1"/>
    <col min="7413" max="7413" width="11.125" style="2" bestFit="1" customWidth="1"/>
    <col min="7414" max="7414" width="13.25" style="2" bestFit="1" customWidth="1"/>
    <col min="7415" max="7415" width="11.125" style="2" bestFit="1" customWidth="1"/>
    <col min="7416" max="7416" width="9" style="2"/>
    <col min="7417" max="7417" width="11.125" style="2" bestFit="1" customWidth="1"/>
    <col min="7418" max="7418" width="9" style="2"/>
    <col min="7419" max="7419" width="11.125" style="2" bestFit="1" customWidth="1"/>
    <col min="7420" max="7420" width="9" style="2"/>
    <col min="7421" max="7429" width="11.125" style="2" bestFit="1" customWidth="1"/>
    <col min="7430" max="7434" width="9" style="2"/>
    <col min="7435" max="7436" width="11.125" style="2" bestFit="1" customWidth="1"/>
    <col min="7437" max="7437" width="9" style="2"/>
    <col min="7438" max="7438" width="9.625" style="2" bestFit="1" customWidth="1"/>
    <col min="7439" max="7664" width="9" style="2"/>
    <col min="7665" max="7665" width="2.375" style="2" customWidth="1"/>
    <col min="7666" max="7666" width="13.25" style="2" bestFit="1" customWidth="1"/>
    <col min="7667" max="7667" width="11.125" style="2" bestFit="1" customWidth="1"/>
    <col min="7668" max="7668" width="9.625" style="2" bestFit="1" customWidth="1"/>
    <col min="7669" max="7669" width="11.125" style="2" bestFit="1" customWidth="1"/>
    <col min="7670" max="7670" width="13.25" style="2" bestFit="1" customWidth="1"/>
    <col min="7671" max="7671" width="11.125" style="2" bestFit="1" customWidth="1"/>
    <col min="7672" max="7672" width="9" style="2"/>
    <col min="7673" max="7673" width="11.125" style="2" bestFit="1" customWidth="1"/>
    <col min="7674" max="7674" width="9" style="2"/>
    <col min="7675" max="7675" width="11.125" style="2" bestFit="1" customWidth="1"/>
    <col min="7676" max="7676" width="9" style="2"/>
    <col min="7677" max="7685" width="11.125" style="2" bestFit="1" customWidth="1"/>
    <col min="7686" max="7690" width="9" style="2"/>
    <col min="7691" max="7692" width="11.125" style="2" bestFit="1" customWidth="1"/>
    <col min="7693" max="7693" width="9" style="2"/>
    <col min="7694" max="7694" width="9.625" style="2" bestFit="1" customWidth="1"/>
    <col min="7695" max="7920" width="9" style="2"/>
    <col min="7921" max="7921" width="2.375" style="2" customWidth="1"/>
    <col min="7922" max="7922" width="13.25" style="2" bestFit="1" customWidth="1"/>
    <col min="7923" max="7923" width="11.125" style="2" bestFit="1" customWidth="1"/>
    <col min="7924" max="7924" width="9.625" style="2" bestFit="1" customWidth="1"/>
    <col min="7925" max="7925" width="11.125" style="2" bestFit="1" customWidth="1"/>
    <col min="7926" max="7926" width="13.25" style="2" bestFit="1" customWidth="1"/>
    <col min="7927" max="7927" width="11.125" style="2" bestFit="1" customWidth="1"/>
    <col min="7928" max="7928" width="9" style="2"/>
    <col min="7929" max="7929" width="11.125" style="2" bestFit="1" customWidth="1"/>
    <col min="7930" max="7930" width="9" style="2"/>
    <col min="7931" max="7931" width="11.125" style="2" bestFit="1" customWidth="1"/>
    <col min="7932" max="7932" width="9" style="2"/>
    <col min="7933" max="7941" width="11.125" style="2" bestFit="1" customWidth="1"/>
    <col min="7942" max="7946" width="9" style="2"/>
    <col min="7947" max="7948" width="11.125" style="2" bestFit="1" customWidth="1"/>
    <col min="7949" max="7949" width="9" style="2"/>
    <col min="7950" max="7950" width="9.625" style="2" bestFit="1" customWidth="1"/>
    <col min="7951" max="8176" width="9" style="2"/>
    <col min="8177" max="8177" width="2.375" style="2" customWidth="1"/>
    <col min="8178" max="8178" width="13.25" style="2" bestFit="1" customWidth="1"/>
    <col min="8179" max="8179" width="11.125" style="2" bestFit="1" customWidth="1"/>
    <col min="8180" max="8180" width="9.625" style="2" bestFit="1" customWidth="1"/>
    <col min="8181" max="8181" width="11.125" style="2" bestFit="1" customWidth="1"/>
    <col min="8182" max="8182" width="13.25" style="2" bestFit="1" customWidth="1"/>
    <col min="8183" max="8183" width="11.125" style="2" bestFit="1" customWidth="1"/>
    <col min="8184" max="8184" width="9" style="2"/>
    <col min="8185" max="8185" width="11.125" style="2" bestFit="1" customWidth="1"/>
    <col min="8186" max="8186" width="9" style="2"/>
    <col min="8187" max="8187" width="11.125" style="2" bestFit="1" customWidth="1"/>
    <col min="8188" max="8188" width="9" style="2"/>
    <col min="8189" max="8197" width="11.125" style="2" bestFit="1" customWidth="1"/>
    <col min="8198" max="8202" width="9" style="2"/>
    <col min="8203" max="8204" width="11.125" style="2" bestFit="1" customWidth="1"/>
    <col min="8205" max="8205" width="9" style="2"/>
    <col min="8206" max="8206" width="9.625" style="2" bestFit="1" customWidth="1"/>
    <col min="8207" max="8432" width="9" style="2"/>
    <col min="8433" max="8433" width="2.375" style="2" customWidth="1"/>
    <col min="8434" max="8434" width="13.25" style="2" bestFit="1" customWidth="1"/>
    <col min="8435" max="8435" width="11.125" style="2" bestFit="1" customWidth="1"/>
    <col min="8436" max="8436" width="9.625" style="2" bestFit="1" customWidth="1"/>
    <col min="8437" max="8437" width="11.125" style="2" bestFit="1" customWidth="1"/>
    <col min="8438" max="8438" width="13.25" style="2" bestFit="1" customWidth="1"/>
    <col min="8439" max="8439" width="11.125" style="2" bestFit="1" customWidth="1"/>
    <col min="8440" max="8440" width="9" style="2"/>
    <col min="8441" max="8441" width="11.125" style="2" bestFit="1" customWidth="1"/>
    <col min="8442" max="8442" width="9" style="2"/>
    <col min="8443" max="8443" width="11.125" style="2" bestFit="1" customWidth="1"/>
    <col min="8444" max="8444" width="9" style="2"/>
    <col min="8445" max="8453" width="11.125" style="2" bestFit="1" customWidth="1"/>
    <col min="8454" max="8458" width="9" style="2"/>
    <col min="8459" max="8460" width="11.125" style="2" bestFit="1" customWidth="1"/>
    <col min="8461" max="8461" width="9" style="2"/>
    <col min="8462" max="8462" width="9.625" style="2" bestFit="1" customWidth="1"/>
    <col min="8463" max="8688" width="9" style="2"/>
    <col min="8689" max="8689" width="2.375" style="2" customWidth="1"/>
    <col min="8690" max="8690" width="13.25" style="2" bestFit="1" customWidth="1"/>
    <col min="8691" max="8691" width="11.125" style="2" bestFit="1" customWidth="1"/>
    <col min="8692" max="8692" width="9.625" style="2" bestFit="1" customWidth="1"/>
    <col min="8693" max="8693" width="11.125" style="2" bestFit="1" customWidth="1"/>
    <col min="8694" max="8694" width="13.25" style="2" bestFit="1" customWidth="1"/>
    <col min="8695" max="8695" width="11.125" style="2" bestFit="1" customWidth="1"/>
    <col min="8696" max="8696" width="9" style="2"/>
    <col min="8697" max="8697" width="11.125" style="2" bestFit="1" customWidth="1"/>
    <col min="8698" max="8698" width="9" style="2"/>
    <col min="8699" max="8699" width="11.125" style="2" bestFit="1" customWidth="1"/>
    <col min="8700" max="8700" width="9" style="2"/>
    <col min="8701" max="8709" width="11.125" style="2" bestFit="1" customWidth="1"/>
    <col min="8710" max="8714" width="9" style="2"/>
    <col min="8715" max="8716" width="11.125" style="2" bestFit="1" customWidth="1"/>
    <col min="8717" max="8717" width="9" style="2"/>
    <col min="8718" max="8718" width="9.625" style="2" bestFit="1" customWidth="1"/>
    <col min="8719" max="8944" width="9" style="2"/>
    <col min="8945" max="8945" width="2.375" style="2" customWidth="1"/>
    <col min="8946" max="8946" width="13.25" style="2" bestFit="1" customWidth="1"/>
    <col min="8947" max="8947" width="11.125" style="2" bestFit="1" customWidth="1"/>
    <col min="8948" max="8948" width="9.625" style="2" bestFit="1" customWidth="1"/>
    <col min="8949" max="8949" width="11.125" style="2" bestFit="1" customWidth="1"/>
    <col min="8950" max="8950" width="13.25" style="2" bestFit="1" customWidth="1"/>
    <col min="8951" max="8951" width="11.125" style="2" bestFit="1" customWidth="1"/>
    <col min="8952" max="8952" width="9" style="2"/>
    <col min="8953" max="8953" width="11.125" style="2" bestFit="1" customWidth="1"/>
    <col min="8954" max="8954" width="9" style="2"/>
    <col min="8955" max="8955" width="11.125" style="2" bestFit="1" customWidth="1"/>
    <col min="8956" max="8956" width="9" style="2"/>
    <col min="8957" max="8965" width="11.125" style="2" bestFit="1" customWidth="1"/>
    <col min="8966" max="8970" width="9" style="2"/>
    <col min="8971" max="8972" width="11.125" style="2" bestFit="1" customWidth="1"/>
    <col min="8973" max="8973" width="9" style="2"/>
    <col min="8974" max="8974" width="9.625" style="2" bestFit="1" customWidth="1"/>
    <col min="8975" max="9200" width="9" style="2"/>
    <col min="9201" max="9201" width="2.375" style="2" customWidth="1"/>
    <col min="9202" max="9202" width="13.25" style="2" bestFit="1" customWidth="1"/>
    <col min="9203" max="9203" width="11.125" style="2" bestFit="1" customWidth="1"/>
    <col min="9204" max="9204" width="9.625" style="2" bestFit="1" customWidth="1"/>
    <col min="9205" max="9205" width="11.125" style="2" bestFit="1" customWidth="1"/>
    <col min="9206" max="9206" width="13.25" style="2" bestFit="1" customWidth="1"/>
    <col min="9207" max="9207" width="11.125" style="2" bestFit="1" customWidth="1"/>
    <col min="9208" max="9208" width="9" style="2"/>
    <col min="9209" max="9209" width="11.125" style="2" bestFit="1" customWidth="1"/>
    <col min="9210" max="9210" width="9" style="2"/>
    <col min="9211" max="9211" width="11.125" style="2" bestFit="1" customWidth="1"/>
    <col min="9212" max="9212" width="9" style="2"/>
    <col min="9213" max="9221" width="11.125" style="2" bestFit="1" customWidth="1"/>
    <col min="9222" max="9226" width="9" style="2"/>
    <col min="9227" max="9228" width="11.125" style="2" bestFit="1" customWidth="1"/>
    <col min="9229" max="9229" width="9" style="2"/>
    <col min="9230" max="9230" width="9.625" style="2" bestFit="1" customWidth="1"/>
    <col min="9231" max="9456" width="9" style="2"/>
    <col min="9457" max="9457" width="2.375" style="2" customWidth="1"/>
    <col min="9458" max="9458" width="13.25" style="2" bestFit="1" customWidth="1"/>
    <col min="9459" max="9459" width="11.125" style="2" bestFit="1" customWidth="1"/>
    <col min="9460" max="9460" width="9.625" style="2" bestFit="1" customWidth="1"/>
    <col min="9461" max="9461" width="11.125" style="2" bestFit="1" customWidth="1"/>
    <col min="9462" max="9462" width="13.25" style="2" bestFit="1" customWidth="1"/>
    <col min="9463" max="9463" width="11.125" style="2" bestFit="1" customWidth="1"/>
    <col min="9464" max="9464" width="9" style="2"/>
    <col min="9465" max="9465" width="11.125" style="2" bestFit="1" customWidth="1"/>
    <col min="9466" max="9466" width="9" style="2"/>
    <col min="9467" max="9467" width="11.125" style="2" bestFit="1" customWidth="1"/>
    <col min="9468" max="9468" width="9" style="2"/>
    <col min="9469" max="9477" width="11.125" style="2" bestFit="1" customWidth="1"/>
    <col min="9478" max="9482" width="9" style="2"/>
    <col min="9483" max="9484" width="11.125" style="2" bestFit="1" customWidth="1"/>
    <col min="9485" max="9485" width="9" style="2"/>
    <col min="9486" max="9486" width="9.625" style="2" bestFit="1" customWidth="1"/>
    <col min="9487" max="9712" width="9" style="2"/>
    <col min="9713" max="9713" width="2.375" style="2" customWidth="1"/>
    <col min="9714" max="9714" width="13.25" style="2" bestFit="1" customWidth="1"/>
    <col min="9715" max="9715" width="11.125" style="2" bestFit="1" customWidth="1"/>
    <col min="9716" max="9716" width="9.625" style="2" bestFit="1" customWidth="1"/>
    <col min="9717" max="9717" width="11.125" style="2" bestFit="1" customWidth="1"/>
    <col min="9718" max="9718" width="13.25" style="2" bestFit="1" customWidth="1"/>
    <col min="9719" max="9719" width="11.125" style="2" bestFit="1" customWidth="1"/>
    <col min="9720" max="9720" width="9" style="2"/>
    <col min="9721" max="9721" width="11.125" style="2" bestFit="1" customWidth="1"/>
    <col min="9722" max="9722" width="9" style="2"/>
    <col min="9723" max="9723" width="11.125" style="2" bestFit="1" customWidth="1"/>
    <col min="9724" max="9724" width="9" style="2"/>
    <col min="9725" max="9733" width="11.125" style="2" bestFit="1" customWidth="1"/>
    <col min="9734" max="9738" width="9" style="2"/>
    <col min="9739" max="9740" width="11.125" style="2" bestFit="1" customWidth="1"/>
    <col min="9741" max="9741" width="9" style="2"/>
    <col min="9742" max="9742" width="9.625" style="2" bestFit="1" customWidth="1"/>
    <col min="9743" max="9968" width="9" style="2"/>
    <col min="9969" max="9969" width="2.375" style="2" customWidth="1"/>
    <col min="9970" max="9970" width="13.25" style="2" bestFit="1" customWidth="1"/>
    <col min="9971" max="9971" width="11.125" style="2" bestFit="1" customWidth="1"/>
    <col min="9972" max="9972" width="9.625" style="2" bestFit="1" customWidth="1"/>
    <col min="9973" max="9973" width="11.125" style="2" bestFit="1" customWidth="1"/>
    <col min="9974" max="9974" width="13.25" style="2" bestFit="1" customWidth="1"/>
    <col min="9975" max="9975" width="11.125" style="2" bestFit="1" customWidth="1"/>
    <col min="9976" max="9976" width="9" style="2"/>
    <col min="9977" max="9977" width="11.125" style="2" bestFit="1" customWidth="1"/>
    <col min="9978" max="9978" width="9" style="2"/>
    <col min="9979" max="9979" width="11.125" style="2" bestFit="1" customWidth="1"/>
    <col min="9980" max="9980" width="9" style="2"/>
    <col min="9981" max="9989" width="11.125" style="2" bestFit="1" customWidth="1"/>
    <col min="9990" max="9994" width="9" style="2"/>
    <col min="9995" max="9996" width="11.125" style="2" bestFit="1" customWidth="1"/>
    <col min="9997" max="9997" width="9" style="2"/>
    <col min="9998" max="9998" width="9.625" style="2" bestFit="1" customWidth="1"/>
    <col min="9999" max="10224" width="9" style="2"/>
    <col min="10225" max="10225" width="2.375" style="2" customWidth="1"/>
    <col min="10226" max="10226" width="13.25" style="2" bestFit="1" customWidth="1"/>
    <col min="10227" max="10227" width="11.125" style="2" bestFit="1" customWidth="1"/>
    <col min="10228" max="10228" width="9.625" style="2" bestFit="1" customWidth="1"/>
    <col min="10229" max="10229" width="11.125" style="2" bestFit="1" customWidth="1"/>
    <col min="10230" max="10230" width="13.25" style="2" bestFit="1" customWidth="1"/>
    <col min="10231" max="10231" width="11.125" style="2" bestFit="1" customWidth="1"/>
    <col min="10232" max="10232" width="9" style="2"/>
    <col min="10233" max="10233" width="11.125" style="2" bestFit="1" customWidth="1"/>
    <col min="10234" max="10234" width="9" style="2"/>
    <col min="10235" max="10235" width="11.125" style="2" bestFit="1" customWidth="1"/>
    <col min="10236" max="10236" width="9" style="2"/>
    <col min="10237" max="10245" width="11.125" style="2" bestFit="1" customWidth="1"/>
    <col min="10246" max="10250" width="9" style="2"/>
    <col min="10251" max="10252" width="11.125" style="2" bestFit="1" customWidth="1"/>
    <col min="10253" max="10253" width="9" style="2"/>
    <col min="10254" max="10254" width="9.625" style="2" bestFit="1" customWidth="1"/>
    <col min="10255" max="10480" width="9" style="2"/>
    <col min="10481" max="10481" width="2.375" style="2" customWidth="1"/>
    <col min="10482" max="10482" width="13.25" style="2" bestFit="1" customWidth="1"/>
    <col min="10483" max="10483" width="11.125" style="2" bestFit="1" customWidth="1"/>
    <col min="10484" max="10484" width="9.625" style="2" bestFit="1" customWidth="1"/>
    <col min="10485" max="10485" width="11.125" style="2" bestFit="1" customWidth="1"/>
    <col min="10486" max="10486" width="13.25" style="2" bestFit="1" customWidth="1"/>
    <col min="10487" max="10487" width="11.125" style="2" bestFit="1" customWidth="1"/>
    <col min="10488" max="10488" width="9" style="2"/>
    <col min="10489" max="10489" width="11.125" style="2" bestFit="1" customWidth="1"/>
    <col min="10490" max="10490" width="9" style="2"/>
    <col min="10491" max="10491" width="11.125" style="2" bestFit="1" customWidth="1"/>
    <col min="10492" max="10492" width="9" style="2"/>
    <col min="10493" max="10501" width="11.125" style="2" bestFit="1" customWidth="1"/>
    <col min="10502" max="10506" width="9" style="2"/>
    <col min="10507" max="10508" width="11.125" style="2" bestFit="1" customWidth="1"/>
    <col min="10509" max="10509" width="9" style="2"/>
    <col min="10510" max="10510" width="9.625" style="2" bestFit="1" customWidth="1"/>
    <col min="10511" max="10736" width="9" style="2"/>
    <col min="10737" max="10737" width="2.375" style="2" customWidth="1"/>
    <col min="10738" max="10738" width="13.25" style="2" bestFit="1" customWidth="1"/>
    <col min="10739" max="10739" width="11.125" style="2" bestFit="1" customWidth="1"/>
    <col min="10740" max="10740" width="9.625" style="2" bestFit="1" customWidth="1"/>
    <col min="10741" max="10741" width="11.125" style="2" bestFit="1" customWidth="1"/>
    <col min="10742" max="10742" width="13.25" style="2" bestFit="1" customWidth="1"/>
    <col min="10743" max="10743" width="11.125" style="2" bestFit="1" customWidth="1"/>
    <col min="10744" max="10744" width="9" style="2"/>
    <col min="10745" max="10745" width="11.125" style="2" bestFit="1" customWidth="1"/>
    <col min="10746" max="10746" width="9" style="2"/>
    <col min="10747" max="10747" width="11.125" style="2" bestFit="1" customWidth="1"/>
    <col min="10748" max="10748" width="9" style="2"/>
    <col min="10749" max="10757" width="11.125" style="2" bestFit="1" customWidth="1"/>
    <col min="10758" max="10762" width="9" style="2"/>
    <col min="10763" max="10764" width="11.125" style="2" bestFit="1" customWidth="1"/>
    <col min="10765" max="10765" width="9" style="2"/>
    <col min="10766" max="10766" width="9.625" style="2" bestFit="1" customWidth="1"/>
    <col min="10767" max="10992" width="9" style="2"/>
    <col min="10993" max="10993" width="2.375" style="2" customWidth="1"/>
    <col min="10994" max="10994" width="13.25" style="2" bestFit="1" customWidth="1"/>
    <col min="10995" max="10995" width="11.125" style="2" bestFit="1" customWidth="1"/>
    <col min="10996" max="10996" width="9.625" style="2" bestFit="1" customWidth="1"/>
    <col min="10997" max="10997" width="11.125" style="2" bestFit="1" customWidth="1"/>
    <col min="10998" max="10998" width="13.25" style="2" bestFit="1" customWidth="1"/>
    <col min="10999" max="10999" width="11.125" style="2" bestFit="1" customWidth="1"/>
    <col min="11000" max="11000" width="9" style="2"/>
    <col min="11001" max="11001" width="11.125" style="2" bestFit="1" customWidth="1"/>
    <col min="11002" max="11002" width="9" style="2"/>
    <col min="11003" max="11003" width="11.125" style="2" bestFit="1" customWidth="1"/>
    <col min="11004" max="11004" width="9" style="2"/>
    <col min="11005" max="11013" width="11.125" style="2" bestFit="1" customWidth="1"/>
    <col min="11014" max="11018" width="9" style="2"/>
    <col min="11019" max="11020" width="11.125" style="2" bestFit="1" customWidth="1"/>
    <col min="11021" max="11021" width="9" style="2"/>
    <col min="11022" max="11022" width="9.625" style="2" bestFit="1" customWidth="1"/>
    <col min="11023" max="11248" width="9" style="2"/>
    <col min="11249" max="11249" width="2.375" style="2" customWidth="1"/>
    <col min="11250" max="11250" width="13.25" style="2" bestFit="1" customWidth="1"/>
    <col min="11251" max="11251" width="11.125" style="2" bestFit="1" customWidth="1"/>
    <col min="11252" max="11252" width="9.625" style="2" bestFit="1" customWidth="1"/>
    <col min="11253" max="11253" width="11.125" style="2" bestFit="1" customWidth="1"/>
    <col min="11254" max="11254" width="13.25" style="2" bestFit="1" customWidth="1"/>
    <col min="11255" max="11255" width="11.125" style="2" bestFit="1" customWidth="1"/>
    <col min="11256" max="11256" width="9" style="2"/>
    <col min="11257" max="11257" width="11.125" style="2" bestFit="1" customWidth="1"/>
    <col min="11258" max="11258" width="9" style="2"/>
    <col min="11259" max="11259" width="11.125" style="2" bestFit="1" customWidth="1"/>
    <col min="11260" max="11260" width="9" style="2"/>
    <col min="11261" max="11269" width="11.125" style="2" bestFit="1" customWidth="1"/>
    <col min="11270" max="11274" width="9" style="2"/>
    <col min="11275" max="11276" width="11.125" style="2" bestFit="1" customWidth="1"/>
    <col min="11277" max="11277" width="9" style="2"/>
    <col min="11278" max="11278" width="9.625" style="2" bestFit="1" customWidth="1"/>
    <col min="11279" max="11504" width="9" style="2"/>
    <col min="11505" max="11505" width="2.375" style="2" customWidth="1"/>
    <col min="11506" max="11506" width="13.25" style="2" bestFit="1" customWidth="1"/>
    <col min="11507" max="11507" width="11.125" style="2" bestFit="1" customWidth="1"/>
    <col min="11508" max="11508" width="9.625" style="2" bestFit="1" customWidth="1"/>
    <col min="11509" max="11509" width="11.125" style="2" bestFit="1" customWidth="1"/>
    <col min="11510" max="11510" width="13.25" style="2" bestFit="1" customWidth="1"/>
    <col min="11511" max="11511" width="11.125" style="2" bestFit="1" customWidth="1"/>
    <col min="11512" max="11512" width="9" style="2"/>
    <col min="11513" max="11513" width="11.125" style="2" bestFit="1" customWidth="1"/>
    <col min="11514" max="11514" width="9" style="2"/>
    <col min="11515" max="11515" width="11.125" style="2" bestFit="1" customWidth="1"/>
    <col min="11516" max="11516" width="9" style="2"/>
    <col min="11517" max="11525" width="11.125" style="2" bestFit="1" customWidth="1"/>
    <col min="11526" max="11530" width="9" style="2"/>
    <col min="11531" max="11532" width="11.125" style="2" bestFit="1" customWidth="1"/>
    <col min="11533" max="11533" width="9" style="2"/>
    <col min="11534" max="11534" width="9.625" style="2" bestFit="1" customWidth="1"/>
    <col min="11535" max="11760" width="9" style="2"/>
    <col min="11761" max="11761" width="2.375" style="2" customWidth="1"/>
    <col min="11762" max="11762" width="13.25" style="2" bestFit="1" customWidth="1"/>
    <col min="11763" max="11763" width="11.125" style="2" bestFit="1" customWidth="1"/>
    <col min="11764" max="11764" width="9.625" style="2" bestFit="1" customWidth="1"/>
    <col min="11765" max="11765" width="11.125" style="2" bestFit="1" customWidth="1"/>
    <col min="11766" max="11766" width="13.25" style="2" bestFit="1" customWidth="1"/>
    <col min="11767" max="11767" width="11.125" style="2" bestFit="1" customWidth="1"/>
    <col min="11768" max="11768" width="9" style="2"/>
    <col min="11769" max="11769" width="11.125" style="2" bestFit="1" customWidth="1"/>
    <col min="11770" max="11770" width="9" style="2"/>
    <col min="11771" max="11771" width="11.125" style="2" bestFit="1" customWidth="1"/>
    <col min="11772" max="11772" width="9" style="2"/>
    <col min="11773" max="11781" width="11.125" style="2" bestFit="1" customWidth="1"/>
    <col min="11782" max="11786" width="9" style="2"/>
    <col min="11787" max="11788" width="11.125" style="2" bestFit="1" customWidth="1"/>
    <col min="11789" max="11789" width="9" style="2"/>
    <col min="11790" max="11790" width="9.625" style="2" bestFit="1" customWidth="1"/>
    <col min="11791" max="12016" width="9" style="2"/>
    <col min="12017" max="12017" width="2.375" style="2" customWidth="1"/>
    <col min="12018" max="12018" width="13.25" style="2" bestFit="1" customWidth="1"/>
    <col min="12019" max="12019" width="11.125" style="2" bestFit="1" customWidth="1"/>
    <col min="12020" max="12020" width="9.625" style="2" bestFit="1" customWidth="1"/>
    <col min="12021" max="12021" width="11.125" style="2" bestFit="1" customWidth="1"/>
    <col min="12022" max="12022" width="13.25" style="2" bestFit="1" customWidth="1"/>
    <col min="12023" max="12023" width="11.125" style="2" bestFit="1" customWidth="1"/>
    <col min="12024" max="12024" width="9" style="2"/>
    <col min="12025" max="12025" width="11.125" style="2" bestFit="1" customWidth="1"/>
    <col min="12026" max="12026" width="9" style="2"/>
    <col min="12027" max="12027" width="11.125" style="2" bestFit="1" customWidth="1"/>
    <col min="12028" max="12028" width="9" style="2"/>
    <col min="12029" max="12037" width="11.125" style="2" bestFit="1" customWidth="1"/>
    <col min="12038" max="12042" width="9" style="2"/>
    <col min="12043" max="12044" width="11.125" style="2" bestFit="1" customWidth="1"/>
    <col min="12045" max="12045" width="9" style="2"/>
    <col min="12046" max="12046" width="9.625" style="2" bestFit="1" customWidth="1"/>
    <col min="12047" max="12272" width="9" style="2"/>
    <col min="12273" max="12273" width="2.375" style="2" customWidth="1"/>
    <col min="12274" max="12274" width="13.25" style="2" bestFit="1" customWidth="1"/>
    <col min="12275" max="12275" width="11.125" style="2" bestFit="1" customWidth="1"/>
    <col min="12276" max="12276" width="9.625" style="2" bestFit="1" customWidth="1"/>
    <col min="12277" max="12277" width="11.125" style="2" bestFit="1" customWidth="1"/>
    <col min="12278" max="12278" width="13.25" style="2" bestFit="1" customWidth="1"/>
    <col min="12279" max="12279" width="11.125" style="2" bestFit="1" customWidth="1"/>
    <col min="12280" max="12280" width="9" style="2"/>
    <col min="12281" max="12281" width="11.125" style="2" bestFit="1" customWidth="1"/>
    <col min="12282" max="12282" width="9" style="2"/>
    <col min="12283" max="12283" width="11.125" style="2" bestFit="1" customWidth="1"/>
    <col min="12284" max="12284" width="9" style="2"/>
    <col min="12285" max="12293" width="11.125" style="2" bestFit="1" customWidth="1"/>
    <col min="12294" max="12298" width="9" style="2"/>
    <col min="12299" max="12300" width="11.125" style="2" bestFit="1" customWidth="1"/>
    <col min="12301" max="12301" width="9" style="2"/>
    <col min="12302" max="12302" width="9.625" style="2" bestFit="1" customWidth="1"/>
    <col min="12303" max="12528" width="9" style="2"/>
    <col min="12529" max="12529" width="2.375" style="2" customWidth="1"/>
    <col min="12530" max="12530" width="13.25" style="2" bestFit="1" customWidth="1"/>
    <col min="12531" max="12531" width="11.125" style="2" bestFit="1" customWidth="1"/>
    <col min="12532" max="12532" width="9.625" style="2" bestFit="1" customWidth="1"/>
    <col min="12533" max="12533" width="11.125" style="2" bestFit="1" customWidth="1"/>
    <col min="12534" max="12534" width="13.25" style="2" bestFit="1" customWidth="1"/>
    <col min="12535" max="12535" width="11.125" style="2" bestFit="1" customWidth="1"/>
    <col min="12536" max="12536" width="9" style="2"/>
    <col min="12537" max="12537" width="11.125" style="2" bestFit="1" customWidth="1"/>
    <col min="12538" max="12538" width="9" style="2"/>
    <col min="12539" max="12539" width="11.125" style="2" bestFit="1" customWidth="1"/>
    <col min="12540" max="12540" width="9" style="2"/>
    <col min="12541" max="12549" width="11.125" style="2" bestFit="1" customWidth="1"/>
    <col min="12550" max="12554" width="9" style="2"/>
    <col min="12555" max="12556" width="11.125" style="2" bestFit="1" customWidth="1"/>
    <col min="12557" max="12557" width="9" style="2"/>
    <col min="12558" max="12558" width="9.625" style="2" bestFit="1" customWidth="1"/>
    <col min="12559" max="12784" width="9" style="2"/>
    <col min="12785" max="12785" width="2.375" style="2" customWidth="1"/>
    <col min="12786" max="12786" width="13.25" style="2" bestFit="1" customWidth="1"/>
    <col min="12787" max="12787" width="11.125" style="2" bestFit="1" customWidth="1"/>
    <col min="12788" max="12788" width="9.625" style="2" bestFit="1" customWidth="1"/>
    <col min="12789" max="12789" width="11.125" style="2" bestFit="1" customWidth="1"/>
    <col min="12790" max="12790" width="13.25" style="2" bestFit="1" customWidth="1"/>
    <col min="12791" max="12791" width="11.125" style="2" bestFit="1" customWidth="1"/>
    <col min="12792" max="12792" width="9" style="2"/>
    <col min="12793" max="12793" width="11.125" style="2" bestFit="1" customWidth="1"/>
    <col min="12794" max="12794" width="9" style="2"/>
    <col min="12795" max="12795" width="11.125" style="2" bestFit="1" customWidth="1"/>
    <col min="12796" max="12796" width="9" style="2"/>
    <col min="12797" max="12805" width="11.125" style="2" bestFit="1" customWidth="1"/>
    <col min="12806" max="12810" width="9" style="2"/>
    <col min="12811" max="12812" width="11.125" style="2" bestFit="1" customWidth="1"/>
    <col min="12813" max="12813" width="9" style="2"/>
    <col min="12814" max="12814" width="9.625" style="2" bestFit="1" customWidth="1"/>
    <col min="12815" max="13040" width="9" style="2"/>
    <col min="13041" max="13041" width="2.375" style="2" customWidth="1"/>
    <col min="13042" max="13042" width="13.25" style="2" bestFit="1" customWidth="1"/>
    <col min="13043" max="13043" width="11.125" style="2" bestFit="1" customWidth="1"/>
    <col min="13044" max="13044" width="9.625" style="2" bestFit="1" customWidth="1"/>
    <col min="13045" max="13045" width="11.125" style="2" bestFit="1" customWidth="1"/>
    <col min="13046" max="13046" width="13.25" style="2" bestFit="1" customWidth="1"/>
    <col min="13047" max="13047" width="11.125" style="2" bestFit="1" customWidth="1"/>
    <col min="13048" max="13048" width="9" style="2"/>
    <col min="13049" max="13049" width="11.125" style="2" bestFit="1" customWidth="1"/>
    <col min="13050" max="13050" width="9" style="2"/>
    <col min="13051" max="13051" width="11.125" style="2" bestFit="1" customWidth="1"/>
    <col min="13052" max="13052" width="9" style="2"/>
    <col min="13053" max="13061" width="11.125" style="2" bestFit="1" customWidth="1"/>
    <col min="13062" max="13066" width="9" style="2"/>
    <col min="13067" max="13068" width="11.125" style="2" bestFit="1" customWidth="1"/>
    <col min="13069" max="13069" width="9" style="2"/>
    <col min="13070" max="13070" width="9.625" style="2" bestFit="1" customWidth="1"/>
    <col min="13071" max="13296" width="9" style="2"/>
    <col min="13297" max="13297" width="2.375" style="2" customWidth="1"/>
    <col min="13298" max="13298" width="13.25" style="2" bestFit="1" customWidth="1"/>
    <col min="13299" max="13299" width="11.125" style="2" bestFit="1" customWidth="1"/>
    <col min="13300" max="13300" width="9.625" style="2" bestFit="1" customWidth="1"/>
    <col min="13301" max="13301" width="11.125" style="2" bestFit="1" customWidth="1"/>
    <col min="13302" max="13302" width="13.25" style="2" bestFit="1" customWidth="1"/>
    <col min="13303" max="13303" width="11.125" style="2" bestFit="1" customWidth="1"/>
    <col min="13304" max="13304" width="9" style="2"/>
    <col min="13305" max="13305" width="11.125" style="2" bestFit="1" customWidth="1"/>
    <col min="13306" max="13306" width="9" style="2"/>
    <col min="13307" max="13307" width="11.125" style="2" bestFit="1" customWidth="1"/>
    <col min="13308" max="13308" width="9" style="2"/>
    <col min="13309" max="13317" width="11.125" style="2" bestFit="1" customWidth="1"/>
    <col min="13318" max="13322" width="9" style="2"/>
    <col min="13323" max="13324" width="11.125" style="2" bestFit="1" customWidth="1"/>
    <col min="13325" max="13325" width="9" style="2"/>
    <col min="13326" max="13326" width="9.625" style="2" bestFit="1" customWidth="1"/>
    <col min="13327" max="13552" width="9" style="2"/>
    <col min="13553" max="13553" width="2.375" style="2" customWidth="1"/>
    <col min="13554" max="13554" width="13.25" style="2" bestFit="1" customWidth="1"/>
    <col min="13555" max="13555" width="11.125" style="2" bestFit="1" customWidth="1"/>
    <col min="13556" max="13556" width="9.625" style="2" bestFit="1" customWidth="1"/>
    <col min="13557" max="13557" width="11.125" style="2" bestFit="1" customWidth="1"/>
    <col min="13558" max="13558" width="13.25" style="2" bestFit="1" customWidth="1"/>
    <col min="13559" max="13559" width="11.125" style="2" bestFit="1" customWidth="1"/>
    <col min="13560" max="13560" width="9" style="2"/>
    <col min="13561" max="13561" width="11.125" style="2" bestFit="1" customWidth="1"/>
    <col min="13562" max="13562" width="9" style="2"/>
    <col min="13563" max="13563" width="11.125" style="2" bestFit="1" customWidth="1"/>
    <col min="13564" max="13564" width="9" style="2"/>
    <col min="13565" max="13573" width="11.125" style="2" bestFit="1" customWidth="1"/>
    <col min="13574" max="13578" width="9" style="2"/>
    <col min="13579" max="13580" width="11.125" style="2" bestFit="1" customWidth="1"/>
    <col min="13581" max="13581" width="9" style="2"/>
    <col min="13582" max="13582" width="9.625" style="2" bestFit="1" customWidth="1"/>
    <col min="13583" max="13808" width="9" style="2"/>
    <col min="13809" max="13809" width="2.375" style="2" customWidth="1"/>
    <col min="13810" max="13810" width="13.25" style="2" bestFit="1" customWidth="1"/>
    <col min="13811" max="13811" width="11.125" style="2" bestFit="1" customWidth="1"/>
    <col min="13812" max="13812" width="9.625" style="2" bestFit="1" customWidth="1"/>
    <col min="13813" max="13813" width="11.125" style="2" bestFit="1" customWidth="1"/>
    <col min="13814" max="13814" width="13.25" style="2" bestFit="1" customWidth="1"/>
    <col min="13815" max="13815" width="11.125" style="2" bestFit="1" customWidth="1"/>
    <col min="13816" max="13816" width="9" style="2"/>
    <col min="13817" max="13817" width="11.125" style="2" bestFit="1" customWidth="1"/>
    <col min="13818" max="13818" width="9" style="2"/>
    <col min="13819" max="13819" width="11.125" style="2" bestFit="1" customWidth="1"/>
    <col min="13820" max="13820" width="9" style="2"/>
    <col min="13821" max="13829" width="11.125" style="2" bestFit="1" customWidth="1"/>
    <col min="13830" max="13834" width="9" style="2"/>
    <col min="13835" max="13836" width="11.125" style="2" bestFit="1" customWidth="1"/>
    <col min="13837" max="13837" width="9" style="2"/>
    <col min="13838" max="13838" width="9.625" style="2" bestFit="1" customWidth="1"/>
    <col min="13839" max="14064" width="9" style="2"/>
    <col min="14065" max="14065" width="2.375" style="2" customWidth="1"/>
    <col min="14066" max="14066" width="13.25" style="2" bestFit="1" customWidth="1"/>
    <col min="14067" max="14067" width="11.125" style="2" bestFit="1" customWidth="1"/>
    <col min="14068" max="14068" width="9.625" style="2" bestFit="1" customWidth="1"/>
    <col min="14069" max="14069" width="11.125" style="2" bestFit="1" customWidth="1"/>
    <col min="14070" max="14070" width="13.25" style="2" bestFit="1" customWidth="1"/>
    <col min="14071" max="14071" width="11.125" style="2" bestFit="1" customWidth="1"/>
    <col min="14072" max="14072" width="9" style="2"/>
    <col min="14073" max="14073" width="11.125" style="2" bestFit="1" customWidth="1"/>
    <col min="14074" max="14074" width="9" style="2"/>
    <col min="14075" max="14075" width="11.125" style="2" bestFit="1" customWidth="1"/>
    <col min="14076" max="14076" width="9" style="2"/>
    <col min="14077" max="14085" width="11.125" style="2" bestFit="1" customWidth="1"/>
    <col min="14086" max="14090" width="9" style="2"/>
    <col min="14091" max="14092" width="11.125" style="2" bestFit="1" customWidth="1"/>
    <col min="14093" max="14093" width="9" style="2"/>
    <col min="14094" max="14094" width="9.625" style="2" bestFit="1" customWidth="1"/>
    <col min="14095" max="14320" width="9" style="2"/>
    <col min="14321" max="14321" width="2.375" style="2" customWidth="1"/>
    <col min="14322" max="14322" width="13.25" style="2" bestFit="1" customWidth="1"/>
    <col min="14323" max="14323" width="11.125" style="2" bestFit="1" customWidth="1"/>
    <col min="14324" max="14324" width="9.625" style="2" bestFit="1" customWidth="1"/>
    <col min="14325" max="14325" width="11.125" style="2" bestFit="1" customWidth="1"/>
    <col min="14326" max="14326" width="13.25" style="2" bestFit="1" customWidth="1"/>
    <col min="14327" max="14327" width="11.125" style="2" bestFit="1" customWidth="1"/>
    <col min="14328" max="14328" width="9" style="2"/>
    <col min="14329" max="14329" width="11.125" style="2" bestFit="1" customWidth="1"/>
    <col min="14330" max="14330" width="9" style="2"/>
    <col min="14331" max="14331" width="11.125" style="2" bestFit="1" customWidth="1"/>
    <col min="14332" max="14332" width="9" style="2"/>
    <col min="14333" max="14341" width="11.125" style="2" bestFit="1" customWidth="1"/>
    <col min="14342" max="14346" width="9" style="2"/>
    <col min="14347" max="14348" width="11.125" style="2" bestFit="1" customWidth="1"/>
    <col min="14349" max="14349" width="9" style="2"/>
    <col min="14350" max="14350" width="9.625" style="2" bestFit="1" customWidth="1"/>
    <col min="14351" max="14576" width="9" style="2"/>
    <col min="14577" max="14577" width="2.375" style="2" customWidth="1"/>
    <col min="14578" max="14578" width="13.25" style="2" bestFit="1" customWidth="1"/>
    <col min="14579" max="14579" width="11.125" style="2" bestFit="1" customWidth="1"/>
    <col min="14580" max="14580" width="9.625" style="2" bestFit="1" customWidth="1"/>
    <col min="14581" max="14581" width="11.125" style="2" bestFit="1" customWidth="1"/>
    <col min="14582" max="14582" width="13.25" style="2" bestFit="1" customWidth="1"/>
    <col min="14583" max="14583" width="11.125" style="2" bestFit="1" customWidth="1"/>
    <col min="14584" max="14584" width="9" style="2"/>
    <col min="14585" max="14585" width="11.125" style="2" bestFit="1" customWidth="1"/>
    <col min="14586" max="14586" width="9" style="2"/>
    <col min="14587" max="14587" width="11.125" style="2" bestFit="1" customWidth="1"/>
    <col min="14588" max="14588" width="9" style="2"/>
    <col min="14589" max="14597" width="11.125" style="2" bestFit="1" customWidth="1"/>
    <col min="14598" max="14602" width="9" style="2"/>
    <col min="14603" max="14604" width="11.125" style="2" bestFit="1" customWidth="1"/>
    <col min="14605" max="14605" width="9" style="2"/>
    <col min="14606" max="14606" width="9.625" style="2" bestFit="1" customWidth="1"/>
    <col min="14607" max="14832" width="9" style="2"/>
    <col min="14833" max="14833" width="2.375" style="2" customWidth="1"/>
    <col min="14834" max="14834" width="13.25" style="2" bestFit="1" customWidth="1"/>
    <col min="14835" max="14835" width="11.125" style="2" bestFit="1" customWidth="1"/>
    <col min="14836" max="14836" width="9.625" style="2" bestFit="1" customWidth="1"/>
    <col min="14837" max="14837" width="11.125" style="2" bestFit="1" customWidth="1"/>
    <col min="14838" max="14838" width="13.25" style="2" bestFit="1" customWidth="1"/>
    <col min="14839" max="14839" width="11.125" style="2" bestFit="1" customWidth="1"/>
    <col min="14840" max="14840" width="9" style="2"/>
    <col min="14841" max="14841" width="11.125" style="2" bestFit="1" customWidth="1"/>
    <col min="14842" max="14842" width="9" style="2"/>
    <col min="14843" max="14843" width="11.125" style="2" bestFit="1" customWidth="1"/>
    <col min="14844" max="14844" width="9" style="2"/>
    <col min="14845" max="14853" width="11.125" style="2" bestFit="1" customWidth="1"/>
    <col min="14854" max="14858" width="9" style="2"/>
    <col min="14859" max="14860" width="11.125" style="2" bestFit="1" customWidth="1"/>
    <col min="14861" max="14861" width="9" style="2"/>
    <col min="14862" max="14862" width="9.625" style="2" bestFit="1" customWidth="1"/>
    <col min="14863" max="15088" width="9" style="2"/>
    <col min="15089" max="15089" width="2.375" style="2" customWidth="1"/>
    <col min="15090" max="15090" width="13.25" style="2" bestFit="1" customWidth="1"/>
    <col min="15091" max="15091" width="11.125" style="2" bestFit="1" customWidth="1"/>
    <col min="15092" max="15092" width="9.625" style="2" bestFit="1" customWidth="1"/>
    <col min="15093" max="15093" width="11.125" style="2" bestFit="1" customWidth="1"/>
    <col min="15094" max="15094" width="13.25" style="2" bestFit="1" customWidth="1"/>
    <col min="15095" max="15095" width="11.125" style="2" bestFit="1" customWidth="1"/>
    <col min="15096" max="15096" width="9" style="2"/>
    <col min="15097" max="15097" width="11.125" style="2" bestFit="1" customWidth="1"/>
    <col min="15098" max="15098" width="9" style="2"/>
    <col min="15099" max="15099" width="11.125" style="2" bestFit="1" customWidth="1"/>
    <col min="15100" max="15100" width="9" style="2"/>
    <col min="15101" max="15109" width="11.125" style="2" bestFit="1" customWidth="1"/>
    <col min="15110" max="15114" width="9" style="2"/>
    <col min="15115" max="15116" width="11.125" style="2" bestFit="1" customWidth="1"/>
    <col min="15117" max="15117" width="9" style="2"/>
    <col min="15118" max="15118" width="9.625" style="2" bestFit="1" customWidth="1"/>
    <col min="15119" max="15344" width="9" style="2"/>
    <col min="15345" max="15345" width="2.375" style="2" customWidth="1"/>
    <col min="15346" max="15346" width="13.25" style="2" bestFit="1" customWidth="1"/>
    <col min="15347" max="15347" width="11.125" style="2" bestFit="1" customWidth="1"/>
    <col min="15348" max="15348" width="9.625" style="2" bestFit="1" customWidth="1"/>
    <col min="15349" max="15349" width="11.125" style="2" bestFit="1" customWidth="1"/>
    <col min="15350" max="15350" width="13.25" style="2" bestFit="1" customWidth="1"/>
    <col min="15351" max="15351" width="11.125" style="2" bestFit="1" customWidth="1"/>
    <col min="15352" max="15352" width="9" style="2"/>
    <col min="15353" max="15353" width="11.125" style="2" bestFit="1" customWidth="1"/>
    <col min="15354" max="15354" width="9" style="2"/>
    <col min="15355" max="15355" width="11.125" style="2" bestFit="1" customWidth="1"/>
    <col min="15356" max="15356" width="9" style="2"/>
    <col min="15357" max="15365" width="11.125" style="2" bestFit="1" customWidth="1"/>
    <col min="15366" max="15370" width="9" style="2"/>
    <col min="15371" max="15372" width="11.125" style="2" bestFit="1" customWidth="1"/>
    <col min="15373" max="15373" width="9" style="2"/>
    <col min="15374" max="15374" width="9.625" style="2" bestFit="1" customWidth="1"/>
    <col min="15375" max="15600" width="9" style="2"/>
    <col min="15601" max="15601" width="2.375" style="2" customWidth="1"/>
    <col min="15602" max="15602" width="13.25" style="2" bestFit="1" customWidth="1"/>
    <col min="15603" max="15603" width="11.125" style="2" bestFit="1" customWidth="1"/>
    <col min="15604" max="15604" width="9.625" style="2" bestFit="1" customWidth="1"/>
    <col min="15605" max="15605" width="11.125" style="2" bestFit="1" customWidth="1"/>
    <col min="15606" max="15606" width="13.25" style="2" bestFit="1" customWidth="1"/>
    <col min="15607" max="15607" width="11.125" style="2" bestFit="1" customWidth="1"/>
    <col min="15608" max="15608" width="9" style="2"/>
    <col min="15609" max="15609" width="11.125" style="2" bestFit="1" customWidth="1"/>
    <col min="15610" max="15610" width="9" style="2"/>
    <col min="15611" max="15611" width="11.125" style="2" bestFit="1" customWidth="1"/>
    <col min="15612" max="15612" width="9" style="2"/>
    <col min="15613" max="15621" width="11.125" style="2" bestFit="1" customWidth="1"/>
    <col min="15622" max="15626" width="9" style="2"/>
    <col min="15627" max="15628" width="11.125" style="2" bestFit="1" customWidth="1"/>
    <col min="15629" max="15629" width="9" style="2"/>
    <col min="15630" max="15630" width="9.625" style="2" bestFit="1" customWidth="1"/>
    <col min="15631" max="15856" width="9" style="2"/>
    <col min="15857" max="15857" width="2.375" style="2" customWidth="1"/>
    <col min="15858" max="15858" width="13.25" style="2" bestFit="1" customWidth="1"/>
    <col min="15859" max="15859" width="11.125" style="2" bestFit="1" customWidth="1"/>
    <col min="15860" max="15860" width="9.625" style="2" bestFit="1" customWidth="1"/>
    <col min="15861" max="15861" width="11.125" style="2" bestFit="1" customWidth="1"/>
    <col min="15862" max="15862" width="13.25" style="2" bestFit="1" customWidth="1"/>
    <col min="15863" max="15863" width="11.125" style="2" bestFit="1" customWidth="1"/>
    <col min="15864" max="15864" width="9" style="2"/>
    <col min="15865" max="15865" width="11.125" style="2" bestFit="1" customWidth="1"/>
    <col min="15866" max="15866" width="9" style="2"/>
    <col min="15867" max="15867" width="11.125" style="2" bestFit="1" customWidth="1"/>
    <col min="15868" max="15868" width="9" style="2"/>
    <col min="15869" max="15877" width="11.125" style="2" bestFit="1" customWidth="1"/>
    <col min="15878" max="15882" width="9" style="2"/>
    <col min="15883" max="15884" width="11.125" style="2" bestFit="1" customWidth="1"/>
    <col min="15885" max="15885" width="9" style="2"/>
    <col min="15886" max="15886" width="9.625" style="2" bestFit="1" customWidth="1"/>
    <col min="15887" max="16112" width="9" style="2"/>
    <col min="16113" max="16113" width="2.375" style="2" customWidth="1"/>
    <col min="16114" max="16114" width="13.25" style="2" bestFit="1" customWidth="1"/>
    <col min="16115" max="16115" width="11.125" style="2" bestFit="1" customWidth="1"/>
    <col min="16116" max="16116" width="9.625" style="2" bestFit="1" customWidth="1"/>
    <col min="16117" max="16117" width="11.125" style="2" bestFit="1" customWidth="1"/>
    <col min="16118" max="16118" width="13.25" style="2" bestFit="1" customWidth="1"/>
    <col min="16119" max="16119" width="11.125" style="2" bestFit="1" customWidth="1"/>
    <col min="16120" max="16120" width="9" style="2"/>
    <col min="16121" max="16121" width="11.125" style="2" bestFit="1" customWidth="1"/>
    <col min="16122" max="16122" width="9" style="2"/>
    <col min="16123" max="16123" width="11.125" style="2" bestFit="1" customWidth="1"/>
    <col min="16124" max="16124" width="9" style="2"/>
    <col min="16125" max="16133" width="11.125" style="2" bestFit="1" customWidth="1"/>
    <col min="16134" max="16138" width="9" style="2"/>
    <col min="16139" max="16140" width="11.125" style="2" bestFit="1" customWidth="1"/>
    <col min="16141" max="16141" width="9" style="2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115</v>
      </c>
    </row>
    <row r="4" spans="1:15">
      <c r="B4" s="41"/>
      <c r="C4" s="43" t="s">
        <v>5</v>
      </c>
      <c r="D4" s="44" t="s">
        <v>6</v>
      </c>
      <c r="E4" s="44" t="s">
        <v>27</v>
      </c>
      <c r="F4" s="44" t="s">
        <v>28</v>
      </c>
      <c r="G4" s="44" t="s">
        <v>23</v>
      </c>
      <c r="H4" s="44" t="s">
        <v>24</v>
      </c>
      <c r="I4" s="44" t="s">
        <v>25</v>
      </c>
      <c r="J4" s="44" t="s">
        <v>26</v>
      </c>
      <c r="K4" s="4" t="s">
        <v>29</v>
      </c>
      <c r="L4" s="22" t="s">
        <v>116</v>
      </c>
      <c r="M4" s="36" t="s">
        <v>7</v>
      </c>
      <c r="N4" s="22" t="s">
        <v>116</v>
      </c>
      <c r="O4" s="22" t="s">
        <v>120</v>
      </c>
    </row>
    <row r="5" spans="1:15" ht="19.5" thickBot="1">
      <c r="A5" s="38"/>
      <c r="B5" s="42" t="s">
        <v>30</v>
      </c>
      <c r="C5" s="45" t="s">
        <v>33</v>
      </c>
      <c r="D5" s="46" t="s">
        <v>34</v>
      </c>
      <c r="E5" s="46" t="s">
        <v>55</v>
      </c>
      <c r="F5" s="46" t="s">
        <v>56</v>
      </c>
      <c r="G5" s="46" t="s">
        <v>51</v>
      </c>
      <c r="H5" s="46" t="s">
        <v>52</v>
      </c>
      <c r="I5" s="46" t="s">
        <v>53</v>
      </c>
      <c r="J5" s="46" t="s">
        <v>54</v>
      </c>
      <c r="K5" s="18" t="s">
        <v>57</v>
      </c>
      <c r="L5" s="35" t="s">
        <v>118</v>
      </c>
      <c r="M5" s="37" t="s">
        <v>35</v>
      </c>
      <c r="N5" s="35" t="s">
        <v>119</v>
      </c>
      <c r="O5" s="35" t="s">
        <v>121</v>
      </c>
    </row>
    <row r="6" spans="1:15">
      <c r="A6" s="1" t="s">
        <v>2</v>
      </c>
      <c r="B6" s="15" t="s">
        <v>58</v>
      </c>
      <c r="C6" s="47">
        <v>20</v>
      </c>
      <c r="D6" s="48">
        <v>21</v>
      </c>
      <c r="E6" s="48">
        <v>13</v>
      </c>
      <c r="F6" s="48">
        <v>14</v>
      </c>
      <c r="G6" s="48">
        <v>7</v>
      </c>
      <c r="H6" s="48">
        <v>11</v>
      </c>
      <c r="I6" s="48">
        <v>0</v>
      </c>
      <c r="J6" s="48">
        <v>10</v>
      </c>
      <c r="K6" s="16">
        <v>8</v>
      </c>
      <c r="L6" s="17">
        <f>SUM(C6:K6)</f>
        <v>104</v>
      </c>
      <c r="M6" s="17">
        <v>21</v>
      </c>
      <c r="N6" s="17">
        <f>SUM(M6)</f>
        <v>21</v>
      </c>
      <c r="O6" s="17">
        <v>447</v>
      </c>
    </row>
    <row r="7" spans="1:15">
      <c r="A7" s="1" t="s">
        <v>2</v>
      </c>
      <c r="B7" s="5" t="s">
        <v>59</v>
      </c>
      <c r="C7" s="49">
        <v>0</v>
      </c>
      <c r="D7" s="50">
        <v>3</v>
      </c>
      <c r="E7" s="50">
        <v>0</v>
      </c>
      <c r="F7" s="50">
        <v>0</v>
      </c>
      <c r="G7" s="50">
        <v>0</v>
      </c>
      <c r="H7" s="50">
        <v>0</v>
      </c>
      <c r="I7" s="50">
        <v>0</v>
      </c>
      <c r="J7" s="50">
        <v>0</v>
      </c>
      <c r="K7" s="6">
        <v>0</v>
      </c>
      <c r="L7" s="7">
        <f t="shared" ref="L7:L26" si="0">SUM(C7:K7)</f>
        <v>3</v>
      </c>
      <c r="M7" s="7">
        <v>0</v>
      </c>
      <c r="N7" s="7">
        <f t="shared" ref="N7:N26" si="1">SUM(M7)</f>
        <v>0</v>
      </c>
      <c r="O7" s="7">
        <v>48</v>
      </c>
    </row>
    <row r="8" spans="1:15">
      <c r="A8" s="1" t="s">
        <v>2</v>
      </c>
      <c r="B8" s="5" t="s">
        <v>60</v>
      </c>
      <c r="C8" s="49">
        <v>0</v>
      </c>
      <c r="D8" s="50">
        <v>1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6">
        <v>0</v>
      </c>
      <c r="L8" s="7">
        <f t="shared" si="0"/>
        <v>1</v>
      </c>
      <c r="M8" s="7">
        <v>0</v>
      </c>
      <c r="N8" s="7">
        <f t="shared" si="1"/>
        <v>0</v>
      </c>
      <c r="O8" s="7">
        <v>53</v>
      </c>
    </row>
    <row r="9" spans="1:15">
      <c r="A9" s="1" t="s">
        <v>2</v>
      </c>
      <c r="B9" s="5" t="s">
        <v>61</v>
      </c>
      <c r="C9" s="49">
        <v>0</v>
      </c>
      <c r="D9" s="50">
        <v>0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6">
        <v>0</v>
      </c>
      <c r="L9" s="7">
        <f t="shared" si="0"/>
        <v>0</v>
      </c>
      <c r="M9" s="7">
        <v>0</v>
      </c>
      <c r="N9" s="7">
        <f t="shared" si="1"/>
        <v>0</v>
      </c>
      <c r="O9" s="7">
        <v>0</v>
      </c>
    </row>
    <row r="10" spans="1:15">
      <c r="A10" s="1" t="s">
        <v>2</v>
      </c>
      <c r="B10" s="5" t="s">
        <v>62</v>
      </c>
      <c r="C10" s="49">
        <v>1</v>
      </c>
      <c r="D10" s="50">
        <v>0</v>
      </c>
      <c r="E10" s="50">
        <v>0</v>
      </c>
      <c r="F10" s="50">
        <v>0</v>
      </c>
      <c r="G10" s="50">
        <v>0</v>
      </c>
      <c r="H10" s="50">
        <v>1</v>
      </c>
      <c r="I10" s="50">
        <v>1</v>
      </c>
      <c r="J10" s="50">
        <v>0</v>
      </c>
      <c r="K10" s="6">
        <v>0</v>
      </c>
      <c r="L10" s="7">
        <f t="shared" si="0"/>
        <v>3</v>
      </c>
      <c r="M10" s="7">
        <v>0</v>
      </c>
      <c r="N10" s="7">
        <f t="shared" si="1"/>
        <v>0</v>
      </c>
      <c r="O10" s="7">
        <v>33</v>
      </c>
    </row>
    <row r="11" spans="1:15">
      <c r="A11" s="1" t="s">
        <v>2</v>
      </c>
      <c r="B11" s="5" t="s">
        <v>63</v>
      </c>
      <c r="C11" s="49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6">
        <v>0</v>
      </c>
      <c r="L11" s="7">
        <f t="shared" si="0"/>
        <v>0</v>
      </c>
      <c r="M11" s="7">
        <v>0</v>
      </c>
      <c r="N11" s="7">
        <f t="shared" si="1"/>
        <v>0</v>
      </c>
      <c r="O11" s="7">
        <v>5</v>
      </c>
    </row>
    <row r="12" spans="1:15">
      <c r="A12" s="1" t="s">
        <v>2</v>
      </c>
      <c r="B12" s="5" t="s">
        <v>64</v>
      </c>
      <c r="C12" s="49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6">
        <v>0</v>
      </c>
      <c r="L12" s="7">
        <f t="shared" si="0"/>
        <v>0</v>
      </c>
      <c r="M12" s="7">
        <v>0</v>
      </c>
      <c r="N12" s="7">
        <f t="shared" si="1"/>
        <v>0</v>
      </c>
      <c r="O12" s="7">
        <v>0</v>
      </c>
    </row>
    <row r="13" spans="1:15">
      <c r="A13" s="1" t="s">
        <v>2</v>
      </c>
      <c r="B13" s="5" t="s">
        <v>65</v>
      </c>
      <c r="C13" s="49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6">
        <v>0</v>
      </c>
      <c r="L13" s="7">
        <f t="shared" si="0"/>
        <v>0</v>
      </c>
      <c r="M13" s="7">
        <v>0</v>
      </c>
      <c r="N13" s="7">
        <f t="shared" si="1"/>
        <v>0</v>
      </c>
      <c r="O13" s="7">
        <v>0</v>
      </c>
    </row>
    <row r="14" spans="1:15">
      <c r="A14" s="1" t="s">
        <v>2</v>
      </c>
      <c r="B14" s="5" t="s">
        <v>66</v>
      </c>
      <c r="C14" s="51">
        <v>0</v>
      </c>
      <c r="D14" s="52">
        <v>0</v>
      </c>
      <c r="E14" s="52">
        <v>3.7083333333333335</v>
      </c>
      <c r="F14" s="52">
        <v>3.875</v>
      </c>
      <c r="G14" s="52">
        <v>1.9583333333333335</v>
      </c>
      <c r="H14" s="52">
        <v>3.25</v>
      </c>
      <c r="I14" s="52">
        <v>0</v>
      </c>
      <c r="J14" s="52">
        <v>2.9166666666666665</v>
      </c>
      <c r="K14" s="8">
        <v>2.5</v>
      </c>
      <c r="L14" s="9">
        <f t="shared" si="0"/>
        <v>18.208333333333336</v>
      </c>
      <c r="M14" s="9">
        <v>0</v>
      </c>
      <c r="N14" s="9">
        <f t="shared" si="1"/>
        <v>0</v>
      </c>
      <c r="O14" s="9">
        <v>18.208333333333336</v>
      </c>
    </row>
    <row r="15" spans="1:15">
      <c r="A15" s="1" t="s">
        <v>2</v>
      </c>
      <c r="B15" s="5" t="s">
        <v>67</v>
      </c>
      <c r="C15" s="51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8">
        <v>0</v>
      </c>
      <c r="L15" s="9">
        <f t="shared" si="0"/>
        <v>0</v>
      </c>
      <c r="M15" s="9">
        <v>0</v>
      </c>
      <c r="N15" s="9">
        <f t="shared" si="1"/>
        <v>0</v>
      </c>
      <c r="O15" s="9">
        <v>0</v>
      </c>
    </row>
    <row r="16" spans="1:15">
      <c r="A16" s="1" t="s">
        <v>2</v>
      </c>
      <c r="B16" s="5" t="s">
        <v>68</v>
      </c>
      <c r="C16" s="51">
        <v>0</v>
      </c>
      <c r="D16" s="52">
        <v>1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8">
        <v>0.125</v>
      </c>
      <c r="L16" s="9">
        <f t="shared" si="0"/>
        <v>1.125</v>
      </c>
      <c r="M16" s="9">
        <v>0</v>
      </c>
      <c r="N16" s="9">
        <f t="shared" si="1"/>
        <v>0</v>
      </c>
      <c r="O16" s="9">
        <v>37.458333333333329</v>
      </c>
    </row>
    <row r="17" spans="1:15">
      <c r="A17" s="1" t="s">
        <v>2</v>
      </c>
      <c r="B17" s="5" t="s">
        <v>69</v>
      </c>
      <c r="C17" s="51">
        <v>0</v>
      </c>
      <c r="D17" s="52">
        <v>0.83333333333333337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8">
        <v>0</v>
      </c>
      <c r="L17" s="9">
        <f t="shared" si="0"/>
        <v>0.83333333333333337</v>
      </c>
      <c r="M17" s="9">
        <v>0</v>
      </c>
      <c r="N17" s="9">
        <f t="shared" si="1"/>
        <v>0</v>
      </c>
      <c r="O17" s="9">
        <v>18.166666666666668</v>
      </c>
    </row>
    <row r="18" spans="1:15">
      <c r="A18" s="1" t="s">
        <v>2</v>
      </c>
      <c r="B18" s="5" t="s">
        <v>70</v>
      </c>
      <c r="C18" s="51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8">
        <v>0</v>
      </c>
      <c r="L18" s="9">
        <f t="shared" si="0"/>
        <v>0</v>
      </c>
      <c r="M18" s="9">
        <v>0</v>
      </c>
      <c r="N18" s="9">
        <f t="shared" si="1"/>
        <v>0</v>
      </c>
      <c r="O18" s="9">
        <v>18.583333333333332</v>
      </c>
    </row>
    <row r="19" spans="1:15">
      <c r="A19" s="1" t="s">
        <v>2</v>
      </c>
      <c r="B19" s="5" t="s">
        <v>71</v>
      </c>
      <c r="C19" s="51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8">
        <v>0</v>
      </c>
      <c r="L19" s="9">
        <f t="shared" si="0"/>
        <v>0</v>
      </c>
      <c r="M19" s="9">
        <v>0</v>
      </c>
      <c r="N19" s="9">
        <f t="shared" si="1"/>
        <v>0</v>
      </c>
      <c r="O19" s="9">
        <v>0</v>
      </c>
    </row>
    <row r="20" spans="1:15">
      <c r="A20" s="1" t="s">
        <v>2</v>
      </c>
      <c r="B20" s="5" t="s">
        <v>72</v>
      </c>
      <c r="C20" s="51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8">
        <v>0</v>
      </c>
      <c r="L20" s="9">
        <f t="shared" si="0"/>
        <v>0</v>
      </c>
      <c r="M20" s="9">
        <v>0</v>
      </c>
      <c r="N20" s="9">
        <f t="shared" si="1"/>
        <v>0</v>
      </c>
      <c r="O20" s="9">
        <v>0</v>
      </c>
    </row>
    <row r="21" spans="1:15">
      <c r="A21" s="1" t="s">
        <v>2</v>
      </c>
      <c r="B21" s="5" t="s">
        <v>73</v>
      </c>
      <c r="C21" s="51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8">
        <v>0</v>
      </c>
      <c r="L21" s="9">
        <f t="shared" si="0"/>
        <v>0</v>
      </c>
      <c r="M21" s="9">
        <v>0</v>
      </c>
      <c r="N21" s="9">
        <f t="shared" si="1"/>
        <v>0</v>
      </c>
      <c r="O21" s="9">
        <v>0</v>
      </c>
    </row>
    <row r="22" spans="1:15">
      <c r="A22" s="1" t="s">
        <v>2</v>
      </c>
      <c r="B22" s="5" t="s">
        <v>74</v>
      </c>
      <c r="C22" s="51">
        <v>0</v>
      </c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8">
        <v>0</v>
      </c>
      <c r="L22" s="9">
        <f t="shared" si="0"/>
        <v>0</v>
      </c>
      <c r="M22" s="9">
        <v>0</v>
      </c>
      <c r="N22" s="9">
        <f t="shared" si="1"/>
        <v>0</v>
      </c>
      <c r="O22" s="9">
        <v>0</v>
      </c>
    </row>
    <row r="23" spans="1:15">
      <c r="A23" s="1" t="s">
        <v>2</v>
      </c>
      <c r="B23" s="5" t="s">
        <v>75</v>
      </c>
      <c r="C23" s="51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0.29166666666666669</v>
      </c>
      <c r="I23" s="52">
        <v>0.29166666666666669</v>
      </c>
      <c r="J23" s="52">
        <v>0</v>
      </c>
      <c r="K23" s="8">
        <v>0</v>
      </c>
      <c r="L23" s="9">
        <f t="shared" si="0"/>
        <v>0.58333333333333337</v>
      </c>
      <c r="M23" s="9">
        <v>0</v>
      </c>
      <c r="N23" s="9">
        <f t="shared" si="1"/>
        <v>0</v>
      </c>
      <c r="O23" s="9">
        <v>0.58333333333333337</v>
      </c>
    </row>
    <row r="24" spans="1:15">
      <c r="A24" s="1" t="s">
        <v>2</v>
      </c>
      <c r="B24" s="5" t="s">
        <v>76</v>
      </c>
      <c r="C24" s="51">
        <v>0</v>
      </c>
      <c r="D24" s="52">
        <v>0</v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8">
        <v>0</v>
      </c>
      <c r="L24" s="9">
        <f t="shared" si="0"/>
        <v>0</v>
      </c>
      <c r="M24" s="9">
        <v>0</v>
      </c>
      <c r="N24" s="9">
        <f t="shared" si="1"/>
        <v>0</v>
      </c>
      <c r="O24" s="9">
        <v>0</v>
      </c>
    </row>
    <row r="25" spans="1:15">
      <c r="A25" s="1" t="s">
        <v>2</v>
      </c>
      <c r="B25" s="5" t="s">
        <v>77</v>
      </c>
      <c r="C25" s="51">
        <v>0</v>
      </c>
      <c r="D25" s="52">
        <v>0</v>
      </c>
      <c r="E25" s="52">
        <v>0</v>
      </c>
      <c r="F25" s="52">
        <v>0</v>
      </c>
      <c r="G25" s="52">
        <v>1.25</v>
      </c>
      <c r="H25" s="52">
        <v>2.2916666666666665</v>
      </c>
      <c r="I25" s="52">
        <v>0</v>
      </c>
      <c r="J25" s="52">
        <v>2.0833333333333335</v>
      </c>
      <c r="K25" s="8">
        <v>0.83333333333333337</v>
      </c>
      <c r="L25" s="9">
        <f t="shared" si="0"/>
        <v>6.458333333333333</v>
      </c>
      <c r="M25" s="9">
        <v>4.1666666666666664E-2</v>
      </c>
      <c r="N25" s="9">
        <f t="shared" si="1"/>
        <v>4.1666666666666664E-2</v>
      </c>
      <c r="O25" s="9">
        <v>19.791666666666664</v>
      </c>
    </row>
    <row r="26" spans="1:15" ht="19.5" thickBot="1">
      <c r="A26" s="1" t="s">
        <v>2</v>
      </c>
      <c r="B26" s="19" t="s">
        <v>78</v>
      </c>
      <c r="C26" s="53">
        <v>38</v>
      </c>
      <c r="D26" s="54">
        <v>40</v>
      </c>
      <c r="E26" s="54">
        <v>21</v>
      </c>
      <c r="F26" s="54">
        <v>20</v>
      </c>
      <c r="G26" s="54">
        <v>22</v>
      </c>
      <c r="H26" s="54">
        <v>7</v>
      </c>
      <c r="I26" s="54">
        <v>5</v>
      </c>
      <c r="J26" s="54">
        <v>4</v>
      </c>
      <c r="K26" s="20">
        <v>3</v>
      </c>
      <c r="L26" s="21">
        <f t="shared" si="0"/>
        <v>160</v>
      </c>
      <c r="M26" s="21">
        <v>40</v>
      </c>
      <c r="N26" s="21">
        <f t="shared" si="1"/>
        <v>40</v>
      </c>
      <c r="O26" s="21">
        <v>648</v>
      </c>
    </row>
    <row r="27" spans="1:15">
      <c r="A27" s="1" t="s">
        <v>2</v>
      </c>
      <c r="B27" s="22" t="s">
        <v>79</v>
      </c>
      <c r="C27" s="55">
        <v>485000</v>
      </c>
      <c r="D27" s="56">
        <v>270000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6">
        <v>0</v>
      </c>
      <c r="K27" s="23">
        <v>0</v>
      </c>
      <c r="L27" s="24">
        <f>SUM(C27:K27)</f>
        <v>755000</v>
      </c>
      <c r="M27" s="24">
        <v>375000</v>
      </c>
      <c r="N27" s="24">
        <f>SUM(M27)</f>
        <v>375000</v>
      </c>
      <c r="O27" s="24">
        <v>4160000</v>
      </c>
    </row>
    <row r="28" spans="1:15">
      <c r="A28" s="1" t="s">
        <v>2</v>
      </c>
      <c r="B28" s="5" t="s">
        <v>80</v>
      </c>
      <c r="C28" s="57">
        <v>0</v>
      </c>
      <c r="D28" s="58">
        <v>0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10">
        <v>0</v>
      </c>
      <c r="L28" s="11">
        <f t="shared" ref="L28:L62" si="2">SUM(C28:K28)</f>
        <v>0</v>
      </c>
      <c r="M28" s="11">
        <v>0</v>
      </c>
      <c r="N28" s="11">
        <f t="shared" ref="N28:N62" si="3">SUM(M28)</f>
        <v>0</v>
      </c>
      <c r="O28" s="11">
        <v>35000</v>
      </c>
    </row>
    <row r="29" spans="1:15">
      <c r="A29" s="1" t="s">
        <v>2</v>
      </c>
      <c r="B29" s="5" t="s">
        <v>81</v>
      </c>
      <c r="C29" s="57">
        <v>0</v>
      </c>
      <c r="D29" s="58">
        <v>3000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10">
        <v>0</v>
      </c>
      <c r="L29" s="11">
        <f t="shared" si="2"/>
        <v>3000</v>
      </c>
      <c r="M29" s="11">
        <v>0</v>
      </c>
      <c r="N29" s="11">
        <f t="shared" si="3"/>
        <v>0</v>
      </c>
      <c r="O29" s="11">
        <v>6000</v>
      </c>
    </row>
    <row r="30" spans="1:15">
      <c r="A30" s="1" t="s">
        <v>2</v>
      </c>
      <c r="B30" s="5" t="s">
        <v>82</v>
      </c>
      <c r="C30" s="57">
        <v>0</v>
      </c>
      <c r="D30" s="58">
        <v>0</v>
      </c>
      <c r="E30" s="58">
        <v>0</v>
      </c>
      <c r="F30" s="58">
        <v>0</v>
      </c>
      <c r="G30" s="58">
        <v>0</v>
      </c>
      <c r="H30" s="58">
        <v>0</v>
      </c>
      <c r="I30" s="58">
        <v>0</v>
      </c>
      <c r="J30" s="58">
        <v>0</v>
      </c>
      <c r="K30" s="10">
        <v>0</v>
      </c>
      <c r="L30" s="11">
        <f t="shared" si="2"/>
        <v>0</v>
      </c>
      <c r="M30" s="11">
        <v>0</v>
      </c>
      <c r="N30" s="11">
        <f t="shared" si="3"/>
        <v>0</v>
      </c>
      <c r="O30" s="11">
        <v>0</v>
      </c>
    </row>
    <row r="31" spans="1:15">
      <c r="A31" s="1" t="s">
        <v>2</v>
      </c>
      <c r="B31" s="5" t="s">
        <v>83</v>
      </c>
      <c r="C31" s="57">
        <v>0</v>
      </c>
      <c r="D31" s="58">
        <v>0</v>
      </c>
      <c r="E31" s="58">
        <v>78765</v>
      </c>
      <c r="F31" s="58">
        <v>82305</v>
      </c>
      <c r="G31" s="58">
        <v>39480</v>
      </c>
      <c r="H31" s="58">
        <v>65520</v>
      </c>
      <c r="I31" s="58">
        <v>0</v>
      </c>
      <c r="J31" s="58">
        <v>58800</v>
      </c>
      <c r="K31" s="10">
        <v>49800</v>
      </c>
      <c r="L31" s="11">
        <f t="shared" si="2"/>
        <v>374670</v>
      </c>
      <c r="M31" s="11">
        <v>0</v>
      </c>
      <c r="N31" s="11">
        <f t="shared" si="3"/>
        <v>0</v>
      </c>
      <c r="O31" s="11">
        <v>374670</v>
      </c>
    </row>
    <row r="32" spans="1:15">
      <c r="A32" s="1" t="s">
        <v>2</v>
      </c>
      <c r="B32" s="5" t="s">
        <v>84</v>
      </c>
      <c r="C32" s="57">
        <v>0</v>
      </c>
      <c r="D32" s="58">
        <v>0</v>
      </c>
      <c r="E32" s="58">
        <v>0</v>
      </c>
      <c r="F32" s="58">
        <v>0</v>
      </c>
      <c r="G32" s="58">
        <v>0</v>
      </c>
      <c r="H32" s="58">
        <v>0</v>
      </c>
      <c r="I32" s="58">
        <v>0</v>
      </c>
      <c r="J32" s="58">
        <v>0</v>
      </c>
      <c r="K32" s="10">
        <v>0</v>
      </c>
      <c r="L32" s="11">
        <f t="shared" si="2"/>
        <v>0</v>
      </c>
      <c r="M32" s="11">
        <v>0</v>
      </c>
      <c r="N32" s="11">
        <f t="shared" si="3"/>
        <v>0</v>
      </c>
      <c r="O32" s="11">
        <v>0</v>
      </c>
    </row>
    <row r="33" spans="1:15">
      <c r="A33" s="1" t="s">
        <v>2</v>
      </c>
      <c r="B33" s="5" t="s">
        <v>85</v>
      </c>
      <c r="C33" s="57">
        <v>0</v>
      </c>
      <c r="D33" s="58">
        <v>0</v>
      </c>
      <c r="E33" s="58">
        <v>0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10">
        <v>0</v>
      </c>
      <c r="L33" s="11">
        <f t="shared" si="2"/>
        <v>0</v>
      </c>
      <c r="M33" s="11">
        <v>0</v>
      </c>
      <c r="N33" s="11">
        <f t="shared" si="3"/>
        <v>0</v>
      </c>
      <c r="O33" s="11">
        <v>0</v>
      </c>
    </row>
    <row r="34" spans="1:15">
      <c r="A34" s="1" t="s">
        <v>2</v>
      </c>
      <c r="B34" s="5" t="s">
        <v>86</v>
      </c>
      <c r="C34" s="57">
        <v>0</v>
      </c>
      <c r="D34" s="58">
        <v>0</v>
      </c>
      <c r="E34" s="58">
        <v>0</v>
      </c>
      <c r="F34" s="58">
        <v>0</v>
      </c>
      <c r="G34" s="58">
        <v>0</v>
      </c>
      <c r="H34" s="58">
        <v>5880</v>
      </c>
      <c r="I34" s="58">
        <v>5880</v>
      </c>
      <c r="J34" s="58">
        <v>0</v>
      </c>
      <c r="K34" s="10">
        <v>0</v>
      </c>
      <c r="L34" s="11">
        <f t="shared" si="2"/>
        <v>11760</v>
      </c>
      <c r="M34" s="11">
        <v>0</v>
      </c>
      <c r="N34" s="11">
        <f t="shared" si="3"/>
        <v>0</v>
      </c>
      <c r="O34" s="11">
        <v>11760</v>
      </c>
    </row>
    <row r="35" spans="1:15">
      <c r="A35" s="1" t="s">
        <v>2</v>
      </c>
      <c r="B35" s="5" t="s">
        <v>87</v>
      </c>
      <c r="C35" s="57">
        <v>0</v>
      </c>
      <c r="D35" s="58">
        <v>0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10">
        <v>0</v>
      </c>
      <c r="L35" s="11">
        <f t="shared" si="2"/>
        <v>0</v>
      </c>
      <c r="M35" s="11">
        <v>0</v>
      </c>
      <c r="N35" s="11">
        <f t="shared" si="3"/>
        <v>0</v>
      </c>
      <c r="O35" s="11">
        <v>0</v>
      </c>
    </row>
    <row r="36" spans="1:15">
      <c r="A36" s="1" t="s">
        <v>2</v>
      </c>
      <c r="B36" s="5" t="s">
        <v>68</v>
      </c>
      <c r="C36" s="57">
        <v>0</v>
      </c>
      <c r="D36" s="58">
        <v>49056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10">
        <v>3114</v>
      </c>
      <c r="L36" s="11">
        <f t="shared" si="2"/>
        <v>52170</v>
      </c>
      <c r="M36" s="11">
        <v>0</v>
      </c>
      <c r="N36" s="11">
        <f t="shared" si="3"/>
        <v>0</v>
      </c>
      <c r="O36" s="11">
        <v>1234509</v>
      </c>
    </row>
    <row r="37" spans="1:15">
      <c r="A37" s="1" t="s">
        <v>2</v>
      </c>
      <c r="B37" s="5" t="s">
        <v>88</v>
      </c>
      <c r="C37" s="57">
        <v>0</v>
      </c>
      <c r="D37" s="58">
        <v>44140</v>
      </c>
      <c r="E37" s="58">
        <v>0</v>
      </c>
      <c r="F37" s="58">
        <v>0</v>
      </c>
      <c r="G37" s="58">
        <v>0</v>
      </c>
      <c r="H37" s="58">
        <v>0</v>
      </c>
      <c r="I37" s="58">
        <v>0</v>
      </c>
      <c r="J37" s="58">
        <v>0</v>
      </c>
      <c r="K37" s="10">
        <v>0</v>
      </c>
      <c r="L37" s="11">
        <f t="shared" si="2"/>
        <v>44140</v>
      </c>
      <c r="M37" s="11">
        <v>0</v>
      </c>
      <c r="N37" s="11">
        <f t="shared" si="3"/>
        <v>0</v>
      </c>
      <c r="O37" s="11">
        <v>653149</v>
      </c>
    </row>
    <row r="38" spans="1:15">
      <c r="A38" s="1" t="s">
        <v>2</v>
      </c>
      <c r="B38" s="5" t="s">
        <v>89</v>
      </c>
      <c r="C38" s="57">
        <v>0</v>
      </c>
      <c r="D38" s="58">
        <v>0</v>
      </c>
      <c r="E38" s="58">
        <v>0</v>
      </c>
      <c r="F38" s="58">
        <v>0</v>
      </c>
      <c r="G38" s="58">
        <v>0</v>
      </c>
      <c r="H38" s="58">
        <v>0</v>
      </c>
      <c r="I38" s="58">
        <v>0</v>
      </c>
      <c r="J38" s="58">
        <v>0</v>
      </c>
      <c r="K38" s="10">
        <v>0</v>
      </c>
      <c r="L38" s="11">
        <f t="shared" si="2"/>
        <v>0</v>
      </c>
      <c r="M38" s="11">
        <v>0</v>
      </c>
      <c r="N38" s="11">
        <f t="shared" si="3"/>
        <v>0</v>
      </c>
      <c r="O38" s="11">
        <v>643352</v>
      </c>
    </row>
    <row r="39" spans="1:15">
      <c r="A39" s="1" t="s">
        <v>2</v>
      </c>
      <c r="B39" s="5" t="s">
        <v>90</v>
      </c>
      <c r="C39" s="57">
        <v>0</v>
      </c>
      <c r="D39" s="58">
        <v>0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10">
        <v>0</v>
      </c>
      <c r="L39" s="11">
        <f t="shared" si="2"/>
        <v>0</v>
      </c>
      <c r="M39" s="11">
        <v>0</v>
      </c>
      <c r="N39" s="11">
        <f t="shared" si="3"/>
        <v>0</v>
      </c>
      <c r="O39" s="11">
        <v>0</v>
      </c>
    </row>
    <row r="40" spans="1:15">
      <c r="A40" s="1" t="s">
        <v>2</v>
      </c>
      <c r="B40" s="5" t="s">
        <v>73</v>
      </c>
      <c r="C40" s="57">
        <v>0</v>
      </c>
      <c r="D40" s="58">
        <v>0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  <c r="K40" s="10">
        <v>0</v>
      </c>
      <c r="L40" s="11">
        <f t="shared" si="2"/>
        <v>0</v>
      </c>
      <c r="M40" s="11">
        <v>0</v>
      </c>
      <c r="N40" s="11">
        <f t="shared" si="3"/>
        <v>0</v>
      </c>
      <c r="O40" s="11">
        <v>0</v>
      </c>
    </row>
    <row r="41" spans="1:15" ht="19.5" thickBot="1">
      <c r="A41" s="1" t="s">
        <v>2</v>
      </c>
      <c r="B41" s="19" t="s">
        <v>77</v>
      </c>
      <c r="C41" s="59">
        <v>0</v>
      </c>
      <c r="D41" s="60">
        <v>0</v>
      </c>
      <c r="E41" s="60">
        <v>0</v>
      </c>
      <c r="F41" s="60">
        <v>0</v>
      </c>
      <c r="G41" s="60">
        <v>6300</v>
      </c>
      <c r="H41" s="60">
        <v>11550</v>
      </c>
      <c r="I41" s="60">
        <v>0</v>
      </c>
      <c r="J41" s="60">
        <v>10500</v>
      </c>
      <c r="K41" s="25">
        <v>4160</v>
      </c>
      <c r="L41" s="26">
        <f t="shared" si="2"/>
        <v>32510</v>
      </c>
      <c r="M41" s="26">
        <v>562</v>
      </c>
      <c r="N41" s="26">
        <f t="shared" si="3"/>
        <v>562</v>
      </c>
      <c r="O41" s="26">
        <v>119159</v>
      </c>
    </row>
    <row r="42" spans="1:15" ht="19.5" thickBot="1">
      <c r="A42" s="1" t="s">
        <v>2</v>
      </c>
      <c r="B42" s="29" t="s">
        <v>91</v>
      </c>
      <c r="C42" s="61">
        <v>485000</v>
      </c>
      <c r="D42" s="62">
        <v>366196</v>
      </c>
      <c r="E42" s="62">
        <v>78765</v>
      </c>
      <c r="F42" s="62">
        <v>82305</v>
      </c>
      <c r="G42" s="62">
        <v>45780</v>
      </c>
      <c r="H42" s="62">
        <v>82950</v>
      </c>
      <c r="I42" s="62">
        <v>5880</v>
      </c>
      <c r="J42" s="62">
        <v>69300</v>
      </c>
      <c r="K42" s="30">
        <v>57074</v>
      </c>
      <c r="L42" s="31">
        <f t="shared" si="2"/>
        <v>1273250</v>
      </c>
      <c r="M42" s="31">
        <v>375562</v>
      </c>
      <c r="N42" s="31">
        <f t="shared" si="3"/>
        <v>375562</v>
      </c>
      <c r="O42" s="31">
        <v>7237599</v>
      </c>
    </row>
    <row r="43" spans="1:15">
      <c r="A43" s="1" t="s">
        <v>2</v>
      </c>
      <c r="B43" s="15" t="s">
        <v>92</v>
      </c>
      <c r="C43" s="63">
        <v>8020</v>
      </c>
      <c r="D43" s="64">
        <v>5231</v>
      </c>
      <c r="E43" s="64">
        <v>2418</v>
      </c>
      <c r="F43" s="64">
        <v>1628</v>
      </c>
      <c r="G43" s="64">
        <v>2279</v>
      </c>
      <c r="H43" s="64">
        <v>3069</v>
      </c>
      <c r="I43" s="64">
        <v>0</v>
      </c>
      <c r="J43" s="64">
        <v>3720</v>
      </c>
      <c r="K43" s="27">
        <v>2418</v>
      </c>
      <c r="L43" s="28">
        <f t="shared" si="2"/>
        <v>28783</v>
      </c>
      <c r="M43" s="28">
        <v>7253</v>
      </c>
      <c r="N43" s="28">
        <f t="shared" si="3"/>
        <v>7253</v>
      </c>
      <c r="O43" s="28">
        <v>130260</v>
      </c>
    </row>
    <row r="44" spans="1:15" ht="19.5" thickBot="1">
      <c r="A44" s="1" t="s">
        <v>2</v>
      </c>
      <c r="B44" s="19" t="s">
        <v>93</v>
      </c>
      <c r="C44" s="59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25">
        <v>0</v>
      </c>
      <c r="L44" s="26">
        <f t="shared" si="2"/>
        <v>0</v>
      </c>
      <c r="M44" s="26">
        <v>0</v>
      </c>
      <c r="N44" s="26">
        <f t="shared" si="3"/>
        <v>0</v>
      </c>
      <c r="O44" s="26">
        <v>0</v>
      </c>
    </row>
    <row r="45" spans="1:15" ht="19.5" thickBot="1">
      <c r="A45" s="1" t="s">
        <v>2</v>
      </c>
      <c r="B45" s="29" t="s">
        <v>94</v>
      </c>
      <c r="C45" s="61">
        <v>8020</v>
      </c>
      <c r="D45" s="62">
        <v>5231</v>
      </c>
      <c r="E45" s="62">
        <v>2418</v>
      </c>
      <c r="F45" s="62">
        <v>1628</v>
      </c>
      <c r="G45" s="62">
        <v>2279</v>
      </c>
      <c r="H45" s="62">
        <v>3069</v>
      </c>
      <c r="I45" s="62">
        <v>0</v>
      </c>
      <c r="J45" s="62">
        <v>3720</v>
      </c>
      <c r="K45" s="30">
        <v>2418</v>
      </c>
      <c r="L45" s="31">
        <f t="shared" si="2"/>
        <v>28783</v>
      </c>
      <c r="M45" s="31">
        <v>7253</v>
      </c>
      <c r="N45" s="31">
        <f t="shared" si="3"/>
        <v>7253</v>
      </c>
      <c r="O45" s="31">
        <v>130260</v>
      </c>
    </row>
    <row r="46" spans="1:15" ht="19.5" thickBot="1">
      <c r="A46" s="1" t="s">
        <v>2</v>
      </c>
      <c r="B46" s="29" t="s">
        <v>95</v>
      </c>
      <c r="C46" s="61">
        <v>493020</v>
      </c>
      <c r="D46" s="62">
        <v>371427</v>
      </c>
      <c r="E46" s="62">
        <v>81183</v>
      </c>
      <c r="F46" s="62">
        <v>83933</v>
      </c>
      <c r="G46" s="62">
        <v>48059</v>
      </c>
      <c r="H46" s="62">
        <v>86019</v>
      </c>
      <c r="I46" s="62">
        <v>5880</v>
      </c>
      <c r="J46" s="62">
        <v>73020</v>
      </c>
      <c r="K46" s="30">
        <v>59492</v>
      </c>
      <c r="L46" s="31">
        <f t="shared" si="2"/>
        <v>1302033</v>
      </c>
      <c r="M46" s="31">
        <v>382815</v>
      </c>
      <c r="N46" s="31">
        <f t="shared" si="3"/>
        <v>382815</v>
      </c>
      <c r="O46" s="31">
        <v>7367859</v>
      </c>
    </row>
    <row r="47" spans="1:15">
      <c r="A47" s="1" t="s">
        <v>2</v>
      </c>
      <c r="B47" s="15" t="s">
        <v>96</v>
      </c>
      <c r="C47" s="63">
        <v>25500</v>
      </c>
      <c r="D47" s="64">
        <v>18360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27">
        <v>0</v>
      </c>
      <c r="L47" s="28">
        <f t="shared" si="2"/>
        <v>43860</v>
      </c>
      <c r="M47" s="28">
        <v>18360</v>
      </c>
      <c r="N47" s="28">
        <f t="shared" si="3"/>
        <v>18360</v>
      </c>
      <c r="O47" s="28">
        <v>333540</v>
      </c>
    </row>
    <row r="48" spans="1:15">
      <c r="A48" s="1" t="s">
        <v>2</v>
      </c>
      <c r="B48" s="5" t="s">
        <v>97</v>
      </c>
      <c r="C48" s="57">
        <v>0</v>
      </c>
      <c r="D48" s="58">
        <v>3240</v>
      </c>
      <c r="E48" s="58">
        <v>0</v>
      </c>
      <c r="F48" s="58">
        <v>0</v>
      </c>
      <c r="G48" s="58">
        <v>0</v>
      </c>
      <c r="H48" s="58">
        <v>0</v>
      </c>
      <c r="I48" s="58">
        <v>0</v>
      </c>
      <c r="J48" s="58">
        <v>0</v>
      </c>
      <c r="K48" s="10">
        <v>0</v>
      </c>
      <c r="L48" s="11">
        <f t="shared" si="2"/>
        <v>3240</v>
      </c>
      <c r="M48" s="11">
        <v>3240</v>
      </c>
      <c r="N48" s="11">
        <f t="shared" si="3"/>
        <v>3240</v>
      </c>
      <c r="O48" s="11">
        <v>51480</v>
      </c>
    </row>
    <row r="49" spans="1:15">
      <c r="A49" s="1" t="s">
        <v>2</v>
      </c>
      <c r="B49" s="5" t="s">
        <v>98</v>
      </c>
      <c r="C49" s="57">
        <v>45750</v>
      </c>
      <c r="D49" s="58">
        <v>32940</v>
      </c>
      <c r="E49" s="58">
        <v>0</v>
      </c>
      <c r="F49" s="58">
        <v>0</v>
      </c>
      <c r="G49" s="58">
        <v>0</v>
      </c>
      <c r="H49" s="58">
        <v>0</v>
      </c>
      <c r="I49" s="58">
        <v>0</v>
      </c>
      <c r="J49" s="58">
        <v>0</v>
      </c>
      <c r="K49" s="10">
        <v>0</v>
      </c>
      <c r="L49" s="11">
        <f t="shared" si="2"/>
        <v>78690</v>
      </c>
      <c r="M49" s="11">
        <v>32940</v>
      </c>
      <c r="N49" s="11">
        <f t="shared" si="3"/>
        <v>32940</v>
      </c>
      <c r="O49" s="11">
        <v>598410</v>
      </c>
    </row>
    <row r="50" spans="1:15">
      <c r="A50" s="1" t="s">
        <v>2</v>
      </c>
      <c r="B50" s="5" t="s">
        <v>99</v>
      </c>
      <c r="C50" s="57">
        <v>1479</v>
      </c>
      <c r="D50" s="58">
        <v>1114</v>
      </c>
      <c r="E50" s="58">
        <v>244</v>
      </c>
      <c r="F50" s="58">
        <v>252</v>
      </c>
      <c r="G50" s="58">
        <v>0</v>
      </c>
      <c r="H50" s="58">
        <v>0</v>
      </c>
      <c r="I50" s="58">
        <v>0</v>
      </c>
      <c r="J50" s="58">
        <v>0</v>
      </c>
      <c r="K50" s="10">
        <v>0</v>
      </c>
      <c r="L50" s="11">
        <f t="shared" si="2"/>
        <v>3089</v>
      </c>
      <c r="M50" s="11">
        <v>1148</v>
      </c>
      <c r="N50" s="11">
        <f t="shared" si="3"/>
        <v>1148</v>
      </c>
      <c r="O50" s="11">
        <v>21286</v>
      </c>
    </row>
    <row r="51" spans="1:15" ht="19.5" thickBot="1">
      <c r="A51" s="1" t="s">
        <v>2</v>
      </c>
      <c r="B51" s="19" t="s">
        <v>100</v>
      </c>
      <c r="C51" s="59">
        <v>0</v>
      </c>
      <c r="D51" s="60">
        <v>0</v>
      </c>
      <c r="E51" s="60">
        <v>0</v>
      </c>
      <c r="F51" s="60">
        <v>0</v>
      </c>
      <c r="G51" s="60">
        <v>0</v>
      </c>
      <c r="H51" s="60">
        <v>0</v>
      </c>
      <c r="I51" s="60">
        <v>0</v>
      </c>
      <c r="J51" s="60">
        <v>0</v>
      </c>
      <c r="K51" s="25">
        <v>0</v>
      </c>
      <c r="L51" s="26">
        <f t="shared" si="2"/>
        <v>0</v>
      </c>
      <c r="M51" s="26">
        <v>0</v>
      </c>
      <c r="N51" s="26">
        <f t="shared" si="3"/>
        <v>0</v>
      </c>
      <c r="O51" s="26">
        <v>0</v>
      </c>
    </row>
    <row r="52" spans="1:15" ht="19.5" thickBot="1">
      <c r="A52" s="1" t="s">
        <v>2</v>
      </c>
      <c r="B52" s="29" t="s">
        <v>101</v>
      </c>
      <c r="C52" s="61">
        <v>72729</v>
      </c>
      <c r="D52" s="62">
        <v>55654</v>
      </c>
      <c r="E52" s="62">
        <v>244</v>
      </c>
      <c r="F52" s="62">
        <v>252</v>
      </c>
      <c r="G52" s="62">
        <v>0</v>
      </c>
      <c r="H52" s="62">
        <v>0</v>
      </c>
      <c r="I52" s="62">
        <v>0</v>
      </c>
      <c r="J52" s="62">
        <v>0</v>
      </c>
      <c r="K52" s="30">
        <v>0</v>
      </c>
      <c r="L52" s="31">
        <f t="shared" si="2"/>
        <v>128879</v>
      </c>
      <c r="M52" s="31">
        <v>55688</v>
      </c>
      <c r="N52" s="31">
        <f t="shared" si="3"/>
        <v>55688</v>
      </c>
      <c r="O52" s="31">
        <v>1004716</v>
      </c>
    </row>
    <row r="53" spans="1:15">
      <c r="A53" s="1" t="s">
        <v>2</v>
      </c>
      <c r="B53" s="15" t="s">
        <v>102</v>
      </c>
      <c r="C53" s="63">
        <v>14320</v>
      </c>
      <c r="D53" s="64">
        <v>7150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27">
        <v>0</v>
      </c>
      <c r="L53" s="28">
        <f t="shared" si="2"/>
        <v>21470</v>
      </c>
      <c r="M53" s="28">
        <v>10000</v>
      </c>
      <c r="N53" s="28">
        <f t="shared" si="3"/>
        <v>10000</v>
      </c>
      <c r="O53" s="28">
        <v>153130</v>
      </c>
    </row>
    <row r="54" spans="1:15">
      <c r="A54" s="1" t="s">
        <v>2</v>
      </c>
      <c r="B54" s="5" t="s">
        <v>103</v>
      </c>
      <c r="C54" s="57">
        <v>0</v>
      </c>
      <c r="D54" s="58">
        <v>0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10">
        <v>0</v>
      </c>
      <c r="L54" s="11">
        <f t="shared" si="2"/>
        <v>0</v>
      </c>
      <c r="M54" s="11">
        <v>0</v>
      </c>
      <c r="N54" s="11">
        <f t="shared" si="3"/>
        <v>0</v>
      </c>
      <c r="O54" s="11">
        <v>15600</v>
      </c>
    </row>
    <row r="55" spans="1:15">
      <c r="A55" s="1" t="s">
        <v>2</v>
      </c>
      <c r="B55" s="5" t="s">
        <v>104</v>
      </c>
      <c r="C55" s="57">
        <v>35200</v>
      </c>
      <c r="D55" s="58">
        <v>14500</v>
      </c>
      <c r="E55" s="58">
        <v>600</v>
      </c>
      <c r="F55" s="58">
        <v>500</v>
      </c>
      <c r="G55" s="58">
        <v>900</v>
      </c>
      <c r="H55" s="58">
        <v>0</v>
      </c>
      <c r="I55" s="58">
        <v>4100</v>
      </c>
      <c r="J55" s="58">
        <v>0</v>
      </c>
      <c r="K55" s="10">
        <v>0</v>
      </c>
      <c r="L55" s="11">
        <f t="shared" si="2"/>
        <v>55800</v>
      </c>
      <c r="M55" s="11">
        <v>16100</v>
      </c>
      <c r="N55" s="11">
        <f t="shared" si="3"/>
        <v>16100</v>
      </c>
      <c r="O55" s="11">
        <v>263900</v>
      </c>
    </row>
    <row r="56" spans="1:15">
      <c r="A56" s="1" t="s">
        <v>2</v>
      </c>
      <c r="B56" s="5" t="s">
        <v>105</v>
      </c>
      <c r="C56" s="57">
        <v>0</v>
      </c>
      <c r="D56" s="58">
        <v>0</v>
      </c>
      <c r="E56" s="58">
        <v>0</v>
      </c>
      <c r="F56" s="58">
        <v>0</v>
      </c>
      <c r="G56" s="58">
        <v>0</v>
      </c>
      <c r="H56" s="58">
        <v>0</v>
      </c>
      <c r="I56" s="58">
        <v>0</v>
      </c>
      <c r="J56" s="58">
        <v>0</v>
      </c>
      <c r="K56" s="10">
        <v>0</v>
      </c>
      <c r="L56" s="11">
        <f t="shared" si="2"/>
        <v>0</v>
      </c>
      <c r="M56" s="11">
        <v>0</v>
      </c>
      <c r="N56" s="11">
        <f t="shared" si="3"/>
        <v>0</v>
      </c>
      <c r="O56" s="11">
        <v>10000</v>
      </c>
    </row>
    <row r="57" spans="1:15" ht="19.5" thickBot="1">
      <c r="A57" s="1" t="s">
        <v>2</v>
      </c>
      <c r="B57" s="5" t="s">
        <v>106</v>
      </c>
      <c r="C57" s="57">
        <v>0</v>
      </c>
      <c r="D57" s="58">
        <v>0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10">
        <v>0</v>
      </c>
      <c r="L57" s="11">
        <f t="shared" si="2"/>
        <v>0</v>
      </c>
      <c r="M57" s="11">
        <v>0</v>
      </c>
      <c r="N57" s="11">
        <f t="shared" si="3"/>
        <v>0</v>
      </c>
      <c r="O57" s="11">
        <v>0</v>
      </c>
    </row>
    <row r="58" spans="1:15" ht="19.5" thickBot="1">
      <c r="A58" s="1" t="s">
        <v>2</v>
      </c>
      <c r="B58" s="29" t="s">
        <v>107</v>
      </c>
      <c r="C58" s="61">
        <v>122249</v>
      </c>
      <c r="D58" s="62">
        <v>77304</v>
      </c>
      <c r="E58" s="62">
        <v>844</v>
      </c>
      <c r="F58" s="62">
        <v>752</v>
      </c>
      <c r="G58" s="62">
        <v>900</v>
      </c>
      <c r="H58" s="62">
        <v>0</v>
      </c>
      <c r="I58" s="62">
        <v>4100</v>
      </c>
      <c r="J58" s="62">
        <v>0</v>
      </c>
      <c r="K58" s="30">
        <v>0</v>
      </c>
      <c r="L58" s="31">
        <f t="shared" si="2"/>
        <v>206149</v>
      </c>
      <c r="M58" s="31">
        <v>81788</v>
      </c>
      <c r="N58" s="31">
        <f t="shared" si="3"/>
        <v>81788</v>
      </c>
      <c r="O58" s="31">
        <v>1447346</v>
      </c>
    </row>
    <row r="59" spans="1:15" ht="19.5" thickBot="1">
      <c r="A59" s="1" t="s">
        <v>2</v>
      </c>
      <c r="B59" s="29" t="s">
        <v>108</v>
      </c>
      <c r="C59" s="61">
        <v>412271</v>
      </c>
      <c r="D59" s="62">
        <v>310542</v>
      </c>
      <c r="E59" s="62">
        <v>78521</v>
      </c>
      <c r="F59" s="62">
        <v>82053</v>
      </c>
      <c r="G59" s="62">
        <v>45780</v>
      </c>
      <c r="H59" s="62">
        <v>82950</v>
      </c>
      <c r="I59" s="62">
        <v>5880</v>
      </c>
      <c r="J59" s="62">
        <v>69300</v>
      </c>
      <c r="K59" s="30">
        <v>57074</v>
      </c>
      <c r="L59" s="31">
        <f t="shared" si="2"/>
        <v>1144371</v>
      </c>
      <c r="M59" s="31">
        <v>319874</v>
      </c>
      <c r="N59" s="31">
        <f t="shared" si="3"/>
        <v>319874</v>
      </c>
      <c r="O59" s="31">
        <v>6232883</v>
      </c>
    </row>
    <row r="60" spans="1:15" ht="19.5" thickBot="1">
      <c r="A60" s="1" t="s">
        <v>2</v>
      </c>
      <c r="B60" s="29" t="s">
        <v>109</v>
      </c>
      <c r="C60" s="61">
        <v>370771</v>
      </c>
      <c r="D60" s="62">
        <v>294123</v>
      </c>
      <c r="E60" s="62">
        <v>80339</v>
      </c>
      <c r="F60" s="62">
        <v>83181</v>
      </c>
      <c r="G60" s="62">
        <v>47159</v>
      </c>
      <c r="H60" s="62">
        <v>86019</v>
      </c>
      <c r="I60" s="62">
        <v>1780</v>
      </c>
      <c r="J60" s="62">
        <v>73020</v>
      </c>
      <c r="K60" s="30">
        <v>59492</v>
      </c>
      <c r="L60" s="31">
        <f t="shared" si="2"/>
        <v>1095884</v>
      </c>
      <c r="M60" s="31">
        <v>301027</v>
      </c>
      <c r="N60" s="31">
        <f t="shared" si="3"/>
        <v>301027</v>
      </c>
      <c r="O60" s="31">
        <v>5920513</v>
      </c>
    </row>
    <row r="61" spans="1:15">
      <c r="A61" s="1" t="s">
        <v>2</v>
      </c>
      <c r="B61" s="15" t="s">
        <v>110</v>
      </c>
      <c r="C61" s="63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27">
        <v>0</v>
      </c>
      <c r="L61" s="28">
        <f t="shared" si="2"/>
        <v>0</v>
      </c>
      <c r="M61" s="28">
        <v>0</v>
      </c>
      <c r="N61" s="28">
        <f t="shared" si="3"/>
        <v>0</v>
      </c>
      <c r="O61" s="28">
        <v>0</v>
      </c>
    </row>
    <row r="62" spans="1:15">
      <c r="A62" s="1" t="s">
        <v>2</v>
      </c>
      <c r="B62" s="5" t="s">
        <v>111</v>
      </c>
      <c r="C62" s="57">
        <v>370771</v>
      </c>
      <c r="D62" s="58">
        <v>294123</v>
      </c>
      <c r="E62" s="58">
        <v>80339</v>
      </c>
      <c r="F62" s="58">
        <v>83181</v>
      </c>
      <c r="G62" s="58">
        <v>47159</v>
      </c>
      <c r="H62" s="58">
        <v>86019</v>
      </c>
      <c r="I62" s="58">
        <v>1780</v>
      </c>
      <c r="J62" s="58">
        <v>73020</v>
      </c>
      <c r="K62" s="10">
        <v>59492</v>
      </c>
      <c r="L62" s="11">
        <f t="shared" si="2"/>
        <v>1095884</v>
      </c>
      <c r="M62" s="11">
        <v>301027</v>
      </c>
      <c r="N62" s="11">
        <f t="shared" si="3"/>
        <v>301027</v>
      </c>
      <c r="O62" s="11">
        <v>5920513</v>
      </c>
    </row>
    <row r="63" spans="1:15">
      <c r="A63" s="1" t="s">
        <v>2</v>
      </c>
      <c r="B63" s="5" t="s">
        <v>112</v>
      </c>
      <c r="C63" s="57">
        <v>1</v>
      </c>
      <c r="D63" s="58">
        <v>1</v>
      </c>
      <c r="E63" s="58">
        <v>0</v>
      </c>
      <c r="F63" s="58">
        <v>0</v>
      </c>
      <c r="G63" s="58">
        <v>0</v>
      </c>
      <c r="H63" s="58">
        <v>1</v>
      </c>
      <c r="I63" s="58">
        <v>1</v>
      </c>
      <c r="J63" s="58">
        <v>1</v>
      </c>
      <c r="K63" s="10">
        <v>1</v>
      </c>
      <c r="L63" s="11"/>
      <c r="M63" s="11">
        <v>0</v>
      </c>
      <c r="N63" s="11"/>
      <c r="O63" s="11"/>
    </row>
    <row r="64" spans="1:15" ht="19.5" thickBot="1">
      <c r="A64" s="1" t="s">
        <v>2</v>
      </c>
      <c r="B64" s="12" t="s">
        <v>113</v>
      </c>
      <c r="C64" s="65" t="s">
        <v>114</v>
      </c>
      <c r="D64" s="66" t="s">
        <v>114</v>
      </c>
      <c r="E64" s="66" t="s">
        <v>114</v>
      </c>
      <c r="F64" s="66" t="s">
        <v>114</v>
      </c>
      <c r="G64" s="66" t="s">
        <v>114</v>
      </c>
      <c r="H64" s="66" t="s">
        <v>114</v>
      </c>
      <c r="I64" s="66" t="s">
        <v>114</v>
      </c>
      <c r="J64" s="66" t="s">
        <v>114</v>
      </c>
      <c r="K64" s="13" t="s">
        <v>114</v>
      </c>
      <c r="L64" s="14"/>
      <c r="M64" s="14" t="s">
        <v>114</v>
      </c>
      <c r="N64" s="14"/>
      <c r="O64" s="14"/>
    </row>
  </sheetData>
  <phoneticPr fontId="3"/>
  <pageMargins left="0.31496062992125984" right="0.31496062992125984" top="0.35433070866141736" bottom="0.35433070866141736" header="0.31496062992125984" footer="0.31496062992125984"/>
  <pageSetup paperSize="9" scale="4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2021年 7月度給与 (3)</vt:lpstr>
      <vt:lpstr>2021年 7月度給与 (4)</vt:lpstr>
      <vt:lpstr>2021年 7月度給与 (5)</vt:lpstr>
      <vt:lpstr>'2021年 7月度給与 (4)'!Print_Area</vt:lpstr>
      <vt:lpstr>'2021年 7月度給与 (5)'!Print_Area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2021-08-10T05:15:14Z</cp:lastPrinted>
  <dcterms:created xsi:type="dcterms:W3CDTF">2021-08-10T01:39:56Z</dcterms:created>
  <dcterms:modified xsi:type="dcterms:W3CDTF">2021-08-10T06:31:11Z</dcterms:modified>
</cp:coreProperties>
</file>