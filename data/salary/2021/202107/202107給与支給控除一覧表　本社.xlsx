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7\"/>
    </mc:Choice>
  </mc:AlternateContent>
  <xr:revisionPtr revIDLastSave="0" documentId="13_ncr:1_{5E4C9A00-6508-43D1-A90E-3D66578EDD2D}" xr6:coauthVersionLast="47" xr6:coauthVersionMax="47" xr10:uidLastSave="{00000000-0000-0000-0000-000000000000}"/>
  <bookViews>
    <workbookView xWindow="-120" yWindow="-120" windowWidth="20730" windowHeight="11160" xr2:uid="{44C50ECF-B520-4CCB-B9B3-84CFD887B623}"/>
  </bookViews>
  <sheets>
    <sheet name="2021年 7月度給与 (2)" sheetId="3" r:id="rId1"/>
  </sheets>
  <definedNames>
    <definedName name="_xlnm.Print_Area" localSheetId="0">'2021年 7月度給与 (2)'!$A$1:$M$59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3" l="1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5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J26" i="3"/>
  <c r="M26" i="3" s="1"/>
  <c r="J27" i="3"/>
  <c r="M27" i="3" s="1"/>
  <c r="J28" i="3"/>
  <c r="J29" i="3"/>
  <c r="J30" i="3"/>
  <c r="M30" i="3" s="1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25" i="3"/>
  <c r="M25" i="3" s="1"/>
  <c r="J24" i="3"/>
  <c r="J22" i="3"/>
  <c r="J14" i="3"/>
  <c r="J10" i="3"/>
  <c r="J6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31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L6" i="3"/>
  <c r="F6" i="3"/>
  <c r="M55" i="3" l="1"/>
  <c r="M49" i="3"/>
  <c r="M41" i="3"/>
  <c r="M33" i="3"/>
  <c r="M54" i="3"/>
  <c r="M48" i="3"/>
  <c r="M44" i="3"/>
  <c r="M40" i="3"/>
  <c r="M36" i="3"/>
  <c r="M52" i="3"/>
  <c r="M45" i="3"/>
  <c r="M37" i="3"/>
  <c r="M20" i="3"/>
  <c r="M16" i="3"/>
  <c r="M12" i="3"/>
  <c r="M8" i="3"/>
  <c r="M57" i="3"/>
  <c r="M53" i="3"/>
  <c r="M51" i="3"/>
  <c r="M47" i="3"/>
  <c r="M43" i="3"/>
  <c r="M39" i="3"/>
  <c r="M35" i="3"/>
  <c r="M29" i="3"/>
  <c r="M31" i="3"/>
  <c r="M32" i="3"/>
  <c r="M22" i="3"/>
  <c r="M15" i="3"/>
  <c r="M11" i="3"/>
  <c r="M19" i="3"/>
  <c r="M7" i="3"/>
  <c r="M24" i="3"/>
  <c r="M18" i="3"/>
  <c r="M14" i="3"/>
  <c r="M10" i="3"/>
  <c r="M56" i="3"/>
  <c r="M50" i="3"/>
  <c r="M46" i="3"/>
  <c r="M42" i="3"/>
  <c r="M38" i="3"/>
  <c r="M34" i="3"/>
  <c r="M28" i="3"/>
  <c r="M23" i="3"/>
  <c r="M21" i="3"/>
  <c r="M17" i="3"/>
  <c r="M13" i="3"/>
  <c r="M9" i="3"/>
  <c r="M6" i="3"/>
</calcChain>
</file>

<file path=xl/sharedStrings.xml><?xml version="1.0" encoding="utf-8"?>
<sst xmlns="http://schemas.openxmlformats.org/spreadsheetml/2006/main" count="141" uniqueCount="77">
  <si>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</si>
  <si>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</si>
  <si>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</si>
  <si>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</si>
  <si>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</si>
  <si>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</si>
  <si>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</si>
  <si>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</si>
  <si>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</si>
  <si>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</si>
  <si>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</si>
  <si>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</si>
  <si>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</si>
  <si>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</si>
  <si>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</si>
  <si>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</si>
  <si>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高田智幸</t>
    <phoneticPr fontId="4"/>
  </si>
  <si>
    <t>渋谷晶子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</si>
  <si>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</si>
  <si>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</si>
  <si>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</si>
  <si>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</si>
  <si>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</si>
  <si>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</si>
  <si>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</si>
  <si>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</si>
  <si>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</si>
  <si>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</si>
  <si>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</si>
  <si>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</si>
  <si>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</si>
  <si>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</si>
  <si>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</si>
  <si>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</si>
  <si>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</si>
  <si>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</si>
  <si>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</si>
  <si>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</si>
  <si>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</si>
  <si>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</si>
  <si>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</si>
  <si>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</si>
  <si>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</si>
  <si>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</si>
  <si>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</si>
  <si>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有給休暇</t>
    <phoneticPr fontId="4"/>
  </si>
  <si>
    <t>法定休日残業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</si>
  <si>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</si>
  <si>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</si>
  <si>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</si>
  <si>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</si>
  <si>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</si>
  <si>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</si>
  <si>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</si>
  <si>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</si>
  <si>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</si>
  <si>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</si>
  <si>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</si>
  <si>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</si>
  <si>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</si>
  <si>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</si>
  <si>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</si>
  <si>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</si>
  <si>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</si>
  <si>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</si>
  <si>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</si>
  <si>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</si>
  <si>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</si>
  <si>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</si>
  <si>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</si>
  <si>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</si>
  <si>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</si>
  <si>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 7月度給与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</si>
  <si>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</si>
  <si>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</si>
  <si>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4"/>
  </si>
  <si>
    <t>1名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</si>
</sst>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2" fontId="2" fillId="0" borderId="3" xfId="1" applyNumberFormat="1" applyFont="1" applyBorder="1"/>
    <xf numFmtId="176" fontId="2" fillId="0" borderId="3" xfId="1" applyNumberFormat="1" applyFont="1" applyBorder="1"/>
    <xf numFmtId="3" fontId="2" fillId="0" borderId="3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4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18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5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1" xfId="1" applyNumberFormat="1" applyFont="1" applyBorder="1"/>
    <xf numFmtId="0" fontId="2" fillId="0" borderId="26" xfId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3" xfId="1" applyNumberFormat="1" applyFont="1" applyBorder="1"/>
    <xf numFmtId="3" fontId="2" fillId="0" borderId="29" xfId="1" applyNumberFormat="1" applyFont="1" applyBorder="1"/>
    <xf numFmtId="49" fontId="2" fillId="0" borderId="34" xfId="1" applyNumberFormat="1" applyFont="1" applyBorder="1"/>
    <xf numFmtId="0" fontId="2" fillId="0" borderId="35" xfId="1" applyFont="1" applyBorder="1"/>
    <xf numFmtId="49" fontId="2" fillId="0" borderId="8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0" fontId="2" fillId="0" borderId="18" xfId="1" applyFont="1" applyBorder="1"/>
    <xf numFmtId="0" fontId="2" fillId="0" borderId="4" xfId="1" applyFont="1" applyBorder="1" applyAlignment="1">
      <alignment horizontal="right"/>
    </xf>
  </cellXfs>
  <cellStyles count="2">
    <cellStyle name="標準" xfId="0" builtinId="0"/>
    <cellStyle name="標準 2" xfId="1" xr:uid="{8E1F47B4-76DA-4E73-9D2E-D54B205EF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7558-7503-47E8-ADB1-D82AFE1A4B53}">
  <sheetPr>
    <pageSetUpPr fitToPage="1"/>
  </sheetPr>
  <dimension ref="A1:M59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0.25" style="2" customWidth="1"/>
    <col min="1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5" width="9" style="2"/>
    <col min="266" max="266" width="11.125" style="2" bestFit="1" customWidth="1"/>
    <col min="267" max="268" width="9" style="2"/>
    <col min="269" max="269" width="9.625" style="2" bestFit="1" customWidth="1"/>
    <col min="27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1" width="9" style="2"/>
    <col min="522" max="522" width="11.125" style="2" bestFit="1" customWidth="1"/>
    <col min="523" max="524" width="9" style="2"/>
    <col min="525" max="525" width="9.625" style="2" bestFit="1" customWidth="1"/>
    <col min="52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7" width="9" style="2"/>
    <col min="778" max="778" width="11.125" style="2" bestFit="1" customWidth="1"/>
    <col min="779" max="780" width="9" style="2"/>
    <col min="781" max="781" width="9.625" style="2" bestFit="1" customWidth="1"/>
    <col min="78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3" width="9" style="2"/>
    <col min="1034" max="1034" width="11.125" style="2" bestFit="1" customWidth="1"/>
    <col min="1035" max="1036" width="9" style="2"/>
    <col min="1037" max="1037" width="9.625" style="2" bestFit="1" customWidth="1"/>
    <col min="103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9" width="9" style="2"/>
    <col min="1290" max="1290" width="11.125" style="2" bestFit="1" customWidth="1"/>
    <col min="1291" max="1292" width="9" style="2"/>
    <col min="1293" max="1293" width="9.625" style="2" bestFit="1" customWidth="1"/>
    <col min="129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5" width="9" style="2"/>
    <col min="1546" max="1546" width="11.125" style="2" bestFit="1" customWidth="1"/>
    <col min="1547" max="1548" width="9" style="2"/>
    <col min="1549" max="1549" width="9.625" style="2" bestFit="1" customWidth="1"/>
    <col min="155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1" width="9" style="2"/>
    <col min="1802" max="1802" width="11.125" style="2" bestFit="1" customWidth="1"/>
    <col min="1803" max="1804" width="9" style="2"/>
    <col min="1805" max="1805" width="9.625" style="2" bestFit="1" customWidth="1"/>
    <col min="180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7" width="9" style="2"/>
    <col min="2058" max="2058" width="11.125" style="2" bestFit="1" customWidth="1"/>
    <col min="2059" max="2060" width="9" style="2"/>
    <col min="2061" max="2061" width="9.625" style="2" bestFit="1" customWidth="1"/>
    <col min="206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3" width="9" style="2"/>
    <col min="2314" max="2314" width="11.125" style="2" bestFit="1" customWidth="1"/>
    <col min="2315" max="2316" width="9" style="2"/>
    <col min="2317" max="2317" width="9.625" style="2" bestFit="1" customWidth="1"/>
    <col min="231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9" width="9" style="2"/>
    <col min="2570" max="2570" width="11.125" style="2" bestFit="1" customWidth="1"/>
    <col min="2571" max="2572" width="9" style="2"/>
    <col min="2573" max="2573" width="9.625" style="2" bestFit="1" customWidth="1"/>
    <col min="257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5" width="9" style="2"/>
    <col min="2826" max="2826" width="11.125" style="2" bestFit="1" customWidth="1"/>
    <col min="2827" max="2828" width="9" style="2"/>
    <col min="2829" max="2829" width="9.625" style="2" bestFit="1" customWidth="1"/>
    <col min="283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1" width="9" style="2"/>
    <col min="3082" max="3082" width="11.125" style="2" bestFit="1" customWidth="1"/>
    <col min="3083" max="3084" width="9" style="2"/>
    <col min="3085" max="3085" width="9.625" style="2" bestFit="1" customWidth="1"/>
    <col min="308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7" width="9" style="2"/>
    <col min="3338" max="3338" width="11.125" style="2" bestFit="1" customWidth="1"/>
    <col min="3339" max="3340" width="9" style="2"/>
    <col min="3341" max="3341" width="9.625" style="2" bestFit="1" customWidth="1"/>
    <col min="334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3" width="9" style="2"/>
    <col min="3594" max="3594" width="11.125" style="2" bestFit="1" customWidth="1"/>
    <col min="3595" max="3596" width="9" style="2"/>
    <col min="3597" max="3597" width="9.625" style="2" bestFit="1" customWidth="1"/>
    <col min="359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9" width="9" style="2"/>
    <col min="3850" max="3850" width="11.125" style="2" bestFit="1" customWidth="1"/>
    <col min="3851" max="3852" width="9" style="2"/>
    <col min="3853" max="3853" width="9.625" style="2" bestFit="1" customWidth="1"/>
    <col min="385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5" width="9" style="2"/>
    <col min="4106" max="4106" width="11.125" style="2" bestFit="1" customWidth="1"/>
    <col min="4107" max="4108" width="9" style="2"/>
    <col min="4109" max="4109" width="9.625" style="2" bestFit="1" customWidth="1"/>
    <col min="411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1" width="9" style="2"/>
    <col min="4362" max="4362" width="11.125" style="2" bestFit="1" customWidth="1"/>
    <col min="4363" max="4364" width="9" style="2"/>
    <col min="4365" max="4365" width="9.625" style="2" bestFit="1" customWidth="1"/>
    <col min="436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7" width="9" style="2"/>
    <col min="4618" max="4618" width="11.125" style="2" bestFit="1" customWidth="1"/>
    <col min="4619" max="4620" width="9" style="2"/>
    <col min="4621" max="4621" width="9.625" style="2" bestFit="1" customWidth="1"/>
    <col min="462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3" width="9" style="2"/>
    <col min="4874" max="4874" width="11.125" style="2" bestFit="1" customWidth="1"/>
    <col min="4875" max="4876" width="9" style="2"/>
    <col min="4877" max="4877" width="9.625" style="2" bestFit="1" customWidth="1"/>
    <col min="487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9" width="9" style="2"/>
    <col min="5130" max="5130" width="11.125" style="2" bestFit="1" customWidth="1"/>
    <col min="5131" max="5132" width="9" style="2"/>
    <col min="5133" max="5133" width="9.625" style="2" bestFit="1" customWidth="1"/>
    <col min="513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5" width="9" style="2"/>
    <col min="5386" max="5386" width="11.125" style="2" bestFit="1" customWidth="1"/>
    <col min="5387" max="5388" width="9" style="2"/>
    <col min="5389" max="5389" width="9.625" style="2" bestFit="1" customWidth="1"/>
    <col min="539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1" width="9" style="2"/>
    <col min="5642" max="5642" width="11.125" style="2" bestFit="1" customWidth="1"/>
    <col min="5643" max="5644" width="9" style="2"/>
    <col min="5645" max="5645" width="9.625" style="2" bestFit="1" customWidth="1"/>
    <col min="564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7" width="9" style="2"/>
    <col min="5898" max="5898" width="11.125" style="2" bestFit="1" customWidth="1"/>
    <col min="5899" max="5900" width="9" style="2"/>
    <col min="5901" max="5901" width="9.625" style="2" bestFit="1" customWidth="1"/>
    <col min="590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3" width="9" style="2"/>
    <col min="6154" max="6154" width="11.125" style="2" bestFit="1" customWidth="1"/>
    <col min="6155" max="6156" width="9" style="2"/>
    <col min="6157" max="6157" width="9.625" style="2" bestFit="1" customWidth="1"/>
    <col min="615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9" width="9" style="2"/>
    <col min="6410" max="6410" width="11.125" style="2" bestFit="1" customWidth="1"/>
    <col min="6411" max="6412" width="9" style="2"/>
    <col min="6413" max="6413" width="9.625" style="2" bestFit="1" customWidth="1"/>
    <col min="641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5" width="9" style="2"/>
    <col min="6666" max="6666" width="11.125" style="2" bestFit="1" customWidth="1"/>
    <col min="6667" max="6668" width="9" style="2"/>
    <col min="6669" max="6669" width="9.625" style="2" bestFit="1" customWidth="1"/>
    <col min="667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1" width="9" style="2"/>
    <col min="6922" max="6922" width="11.125" style="2" bestFit="1" customWidth="1"/>
    <col min="6923" max="6924" width="9" style="2"/>
    <col min="6925" max="6925" width="9.625" style="2" bestFit="1" customWidth="1"/>
    <col min="692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7" width="9" style="2"/>
    <col min="7178" max="7178" width="11.125" style="2" bestFit="1" customWidth="1"/>
    <col min="7179" max="7180" width="9" style="2"/>
    <col min="7181" max="7181" width="9.625" style="2" bestFit="1" customWidth="1"/>
    <col min="718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3" width="9" style="2"/>
    <col min="7434" max="7434" width="11.125" style="2" bestFit="1" customWidth="1"/>
    <col min="7435" max="7436" width="9" style="2"/>
    <col min="7437" max="7437" width="9.625" style="2" bestFit="1" customWidth="1"/>
    <col min="743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9" width="9" style="2"/>
    <col min="7690" max="7690" width="11.125" style="2" bestFit="1" customWidth="1"/>
    <col min="7691" max="7692" width="9" style="2"/>
    <col min="7693" max="7693" width="9.625" style="2" bestFit="1" customWidth="1"/>
    <col min="769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5" width="9" style="2"/>
    <col min="7946" max="7946" width="11.125" style="2" bestFit="1" customWidth="1"/>
    <col min="7947" max="7948" width="9" style="2"/>
    <col min="7949" max="7949" width="9.625" style="2" bestFit="1" customWidth="1"/>
    <col min="795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1" width="9" style="2"/>
    <col min="8202" max="8202" width="11.125" style="2" bestFit="1" customWidth="1"/>
    <col min="8203" max="8204" width="9" style="2"/>
    <col min="8205" max="8205" width="9.625" style="2" bestFit="1" customWidth="1"/>
    <col min="820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7" width="9" style="2"/>
    <col min="8458" max="8458" width="11.125" style="2" bestFit="1" customWidth="1"/>
    <col min="8459" max="8460" width="9" style="2"/>
    <col min="8461" max="8461" width="9.625" style="2" bestFit="1" customWidth="1"/>
    <col min="846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3" width="9" style="2"/>
    <col min="8714" max="8714" width="11.125" style="2" bestFit="1" customWidth="1"/>
    <col min="8715" max="8716" width="9" style="2"/>
    <col min="8717" max="8717" width="9.625" style="2" bestFit="1" customWidth="1"/>
    <col min="871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9" width="9" style="2"/>
    <col min="8970" max="8970" width="11.125" style="2" bestFit="1" customWidth="1"/>
    <col min="8971" max="8972" width="9" style="2"/>
    <col min="8973" max="8973" width="9.625" style="2" bestFit="1" customWidth="1"/>
    <col min="897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5" width="9" style="2"/>
    <col min="9226" max="9226" width="11.125" style="2" bestFit="1" customWidth="1"/>
    <col min="9227" max="9228" width="9" style="2"/>
    <col min="9229" max="9229" width="9.625" style="2" bestFit="1" customWidth="1"/>
    <col min="923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1" width="9" style="2"/>
    <col min="9482" max="9482" width="11.125" style="2" bestFit="1" customWidth="1"/>
    <col min="9483" max="9484" width="9" style="2"/>
    <col min="9485" max="9485" width="9.625" style="2" bestFit="1" customWidth="1"/>
    <col min="948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7" width="9" style="2"/>
    <col min="9738" max="9738" width="11.125" style="2" bestFit="1" customWidth="1"/>
    <col min="9739" max="9740" width="9" style="2"/>
    <col min="9741" max="9741" width="9.625" style="2" bestFit="1" customWidth="1"/>
    <col min="974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3" width="9" style="2"/>
    <col min="9994" max="9994" width="11.125" style="2" bestFit="1" customWidth="1"/>
    <col min="9995" max="9996" width="9" style="2"/>
    <col min="9997" max="9997" width="9.625" style="2" bestFit="1" customWidth="1"/>
    <col min="999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9" width="9" style="2"/>
    <col min="10250" max="10250" width="11.125" style="2" bestFit="1" customWidth="1"/>
    <col min="10251" max="10252" width="9" style="2"/>
    <col min="10253" max="10253" width="9.625" style="2" bestFit="1" customWidth="1"/>
    <col min="1025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5" width="9" style="2"/>
    <col min="10506" max="10506" width="11.125" style="2" bestFit="1" customWidth="1"/>
    <col min="10507" max="10508" width="9" style="2"/>
    <col min="10509" max="10509" width="9.625" style="2" bestFit="1" customWidth="1"/>
    <col min="1051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1" width="9" style="2"/>
    <col min="10762" max="10762" width="11.125" style="2" bestFit="1" customWidth="1"/>
    <col min="10763" max="10764" width="9" style="2"/>
    <col min="10765" max="10765" width="9.625" style="2" bestFit="1" customWidth="1"/>
    <col min="1076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7" width="9" style="2"/>
    <col min="11018" max="11018" width="11.125" style="2" bestFit="1" customWidth="1"/>
    <col min="11019" max="11020" width="9" style="2"/>
    <col min="11021" max="11021" width="9.625" style="2" bestFit="1" customWidth="1"/>
    <col min="1102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3" width="9" style="2"/>
    <col min="11274" max="11274" width="11.125" style="2" bestFit="1" customWidth="1"/>
    <col min="11275" max="11276" width="9" style="2"/>
    <col min="11277" max="11277" width="9.625" style="2" bestFit="1" customWidth="1"/>
    <col min="1127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9" width="9" style="2"/>
    <col min="11530" max="11530" width="11.125" style="2" bestFit="1" customWidth="1"/>
    <col min="11531" max="11532" width="9" style="2"/>
    <col min="11533" max="11533" width="9.625" style="2" bestFit="1" customWidth="1"/>
    <col min="1153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5" width="9" style="2"/>
    <col min="11786" max="11786" width="11.125" style="2" bestFit="1" customWidth="1"/>
    <col min="11787" max="11788" width="9" style="2"/>
    <col min="11789" max="11789" width="9.625" style="2" bestFit="1" customWidth="1"/>
    <col min="1179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1" width="9" style="2"/>
    <col min="12042" max="12042" width="11.125" style="2" bestFit="1" customWidth="1"/>
    <col min="12043" max="12044" width="9" style="2"/>
    <col min="12045" max="12045" width="9.625" style="2" bestFit="1" customWidth="1"/>
    <col min="1204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7" width="9" style="2"/>
    <col min="12298" max="12298" width="11.125" style="2" bestFit="1" customWidth="1"/>
    <col min="12299" max="12300" width="9" style="2"/>
    <col min="12301" max="12301" width="9.625" style="2" bestFit="1" customWidth="1"/>
    <col min="1230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3" width="9" style="2"/>
    <col min="12554" max="12554" width="11.125" style="2" bestFit="1" customWidth="1"/>
    <col min="12555" max="12556" width="9" style="2"/>
    <col min="12557" max="12557" width="9.625" style="2" bestFit="1" customWidth="1"/>
    <col min="1255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9" width="9" style="2"/>
    <col min="12810" max="12810" width="11.125" style="2" bestFit="1" customWidth="1"/>
    <col min="12811" max="12812" width="9" style="2"/>
    <col min="12813" max="12813" width="9.625" style="2" bestFit="1" customWidth="1"/>
    <col min="1281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5" width="9" style="2"/>
    <col min="13066" max="13066" width="11.125" style="2" bestFit="1" customWidth="1"/>
    <col min="13067" max="13068" width="9" style="2"/>
    <col min="13069" max="13069" width="9.625" style="2" bestFit="1" customWidth="1"/>
    <col min="1307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1" width="9" style="2"/>
    <col min="13322" max="13322" width="11.125" style="2" bestFit="1" customWidth="1"/>
    <col min="13323" max="13324" width="9" style="2"/>
    <col min="13325" max="13325" width="9.625" style="2" bestFit="1" customWidth="1"/>
    <col min="1332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7" width="9" style="2"/>
    <col min="13578" max="13578" width="11.125" style="2" bestFit="1" customWidth="1"/>
    <col min="13579" max="13580" width="9" style="2"/>
    <col min="13581" max="13581" width="9.625" style="2" bestFit="1" customWidth="1"/>
    <col min="1358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3" width="9" style="2"/>
    <col min="13834" max="13834" width="11.125" style="2" bestFit="1" customWidth="1"/>
    <col min="13835" max="13836" width="9" style="2"/>
    <col min="13837" max="13837" width="9.625" style="2" bestFit="1" customWidth="1"/>
    <col min="1383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9" width="9" style="2"/>
    <col min="14090" max="14090" width="11.125" style="2" bestFit="1" customWidth="1"/>
    <col min="14091" max="14092" width="9" style="2"/>
    <col min="14093" max="14093" width="9.625" style="2" bestFit="1" customWidth="1"/>
    <col min="1409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5" width="9" style="2"/>
    <col min="14346" max="14346" width="11.125" style="2" bestFit="1" customWidth="1"/>
    <col min="14347" max="14348" width="9" style="2"/>
    <col min="14349" max="14349" width="9.625" style="2" bestFit="1" customWidth="1"/>
    <col min="1435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1" width="9" style="2"/>
    <col min="14602" max="14602" width="11.125" style="2" bestFit="1" customWidth="1"/>
    <col min="14603" max="14604" width="9" style="2"/>
    <col min="14605" max="14605" width="9.625" style="2" bestFit="1" customWidth="1"/>
    <col min="1460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7" width="9" style="2"/>
    <col min="14858" max="14858" width="11.125" style="2" bestFit="1" customWidth="1"/>
    <col min="14859" max="14860" width="9" style="2"/>
    <col min="14861" max="14861" width="9.625" style="2" bestFit="1" customWidth="1"/>
    <col min="1486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3" width="9" style="2"/>
    <col min="15114" max="15114" width="11.125" style="2" bestFit="1" customWidth="1"/>
    <col min="15115" max="15116" width="9" style="2"/>
    <col min="15117" max="15117" width="9.625" style="2" bestFit="1" customWidth="1"/>
    <col min="1511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9" width="9" style="2"/>
    <col min="15370" max="15370" width="11.125" style="2" bestFit="1" customWidth="1"/>
    <col min="15371" max="15372" width="9" style="2"/>
    <col min="15373" max="15373" width="9.625" style="2" bestFit="1" customWidth="1"/>
    <col min="1537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5" width="9" style="2"/>
    <col min="15626" max="15626" width="11.125" style="2" bestFit="1" customWidth="1"/>
    <col min="15627" max="15628" width="9" style="2"/>
    <col min="15629" max="15629" width="9.625" style="2" bestFit="1" customWidth="1"/>
    <col min="1563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1" width="9" style="2"/>
    <col min="15882" max="15882" width="11.125" style="2" bestFit="1" customWidth="1"/>
    <col min="15883" max="15884" width="9" style="2"/>
    <col min="15885" max="15885" width="9.625" style="2" bestFit="1" customWidth="1"/>
    <col min="1588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7" width="9" style="2"/>
    <col min="16138" max="16138" width="11.125" style="2" bestFit="1" customWidth="1"/>
    <col min="16139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72</v>
      </c>
    </row>
    <row r="4" spans="1:13">
      <c r="B4" s="3"/>
      <c r="C4" s="53" t="s">
        <v>3</v>
      </c>
      <c r="D4" s="12" t="s">
        <v>4</v>
      </c>
      <c r="E4" s="66" t="s">
        <v>5</v>
      </c>
      <c r="F4" s="34" t="s">
        <v>73</v>
      </c>
      <c r="G4" s="68" t="s">
        <v>6</v>
      </c>
      <c r="H4" s="12" t="s">
        <v>7</v>
      </c>
      <c r="I4" s="66" t="s">
        <v>9</v>
      </c>
      <c r="J4" s="34" t="s">
        <v>73</v>
      </c>
      <c r="K4" s="71" t="s">
        <v>8</v>
      </c>
      <c r="L4" s="34" t="s">
        <v>73</v>
      </c>
      <c r="M4" s="73" t="s">
        <v>18</v>
      </c>
    </row>
    <row r="5" spans="1:13" ht="19.5" thickBot="1">
      <c r="A5" s="65"/>
      <c r="B5" s="52" t="s">
        <v>10</v>
      </c>
      <c r="C5" s="54" t="s">
        <v>11</v>
      </c>
      <c r="D5" s="13" t="s">
        <v>12</v>
      </c>
      <c r="E5" s="67" t="s">
        <v>13</v>
      </c>
      <c r="F5" s="70" t="s">
        <v>74</v>
      </c>
      <c r="G5" s="69" t="s">
        <v>14</v>
      </c>
      <c r="H5" s="13" t="s">
        <v>15</v>
      </c>
      <c r="I5" s="67" t="s">
        <v>17</v>
      </c>
      <c r="J5" s="70" t="s">
        <v>74</v>
      </c>
      <c r="K5" s="72" t="s">
        <v>16</v>
      </c>
      <c r="L5" s="70" t="s">
        <v>76</v>
      </c>
      <c r="M5" s="74" t="s">
        <v>75</v>
      </c>
    </row>
    <row r="6" spans="1:13">
      <c r="A6" s="1" t="s">
        <v>2</v>
      </c>
      <c r="B6" s="10" t="s">
        <v>19</v>
      </c>
      <c r="C6" s="14">
        <v>20</v>
      </c>
      <c r="D6" s="15">
        <v>0</v>
      </c>
      <c r="E6" s="16">
        <v>0</v>
      </c>
      <c r="F6" s="11">
        <f>SUM(C6:E6)</f>
        <v>20</v>
      </c>
      <c r="G6" s="14">
        <v>20</v>
      </c>
      <c r="H6" s="15">
        <v>20</v>
      </c>
      <c r="I6" s="16">
        <v>17</v>
      </c>
      <c r="J6" s="11">
        <f>SUM(G6:I6)</f>
        <v>57</v>
      </c>
      <c r="K6" s="55">
        <v>19</v>
      </c>
      <c r="L6" s="11">
        <f>SUM(K6)</f>
        <v>19</v>
      </c>
      <c r="M6" s="11">
        <f>SUM(L6,J6,F6)</f>
        <v>96</v>
      </c>
    </row>
    <row r="7" spans="1:13">
      <c r="A7" s="1" t="s">
        <v>2</v>
      </c>
      <c r="B7" s="4" t="s">
        <v>20</v>
      </c>
      <c r="C7" s="17">
        <v>0</v>
      </c>
      <c r="D7" s="18">
        <v>0</v>
      </c>
      <c r="E7" s="19">
        <v>0</v>
      </c>
      <c r="F7" s="11">
        <f t="shared" ref="F7:F24" si="0">SUM(C7:E7)</f>
        <v>0</v>
      </c>
      <c r="G7" s="17">
        <v>0</v>
      </c>
      <c r="H7" s="18">
        <v>0</v>
      </c>
      <c r="I7" s="19">
        <v>0</v>
      </c>
      <c r="J7" s="5"/>
      <c r="K7" s="56">
        <v>1</v>
      </c>
      <c r="L7" s="11">
        <f t="shared" ref="L7:L24" si="1">SUM(K7)</f>
        <v>1</v>
      </c>
      <c r="M7" s="11">
        <f t="shared" ref="M7:M24" si="2">SUM(L7,J7,F7)</f>
        <v>1</v>
      </c>
    </row>
    <row r="8" spans="1:13">
      <c r="A8" s="1" t="s">
        <v>2</v>
      </c>
      <c r="B8" s="4" t="s">
        <v>21</v>
      </c>
      <c r="C8" s="17">
        <v>0</v>
      </c>
      <c r="D8" s="18">
        <v>0</v>
      </c>
      <c r="E8" s="19">
        <v>0</v>
      </c>
      <c r="F8" s="11">
        <f t="shared" si="0"/>
        <v>0</v>
      </c>
      <c r="G8" s="17">
        <v>0</v>
      </c>
      <c r="H8" s="18">
        <v>0</v>
      </c>
      <c r="I8" s="19">
        <v>0</v>
      </c>
      <c r="J8" s="5"/>
      <c r="K8" s="56">
        <v>0</v>
      </c>
      <c r="L8" s="11">
        <f t="shared" si="1"/>
        <v>0</v>
      </c>
      <c r="M8" s="11">
        <f t="shared" si="2"/>
        <v>0</v>
      </c>
    </row>
    <row r="9" spans="1:13">
      <c r="A9" s="1" t="s">
        <v>2</v>
      </c>
      <c r="B9" s="4" t="s">
        <v>22</v>
      </c>
      <c r="C9" s="17">
        <v>0</v>
      </c>
      <c r="D9" s="18">
        <v>0</v>
      </c>
      <c r="E9" s="19">
        <v>0</v>
      </c>
      <c r="F9" s="11">
        <f t="shared" si="0"/>
        <v>0</v>
      </c>
      <c r="G9" s="17">
        <v>0</v>
      </c>
      <c r="H9" s="18">
        <v>0</v>
      </c>
      <c r="I9" s="19">
        <v>0</v>
      </c>
      <c r="J9" s="5"/>
      <c r="K9" s="56">
        <v>0</v>
      </c>
      <c r="L9" s="11">
        <f t="shared" si="1"/>
        <v>0</v>
      </c>
      <c r="M9" s="11">
        <f t="shared" si="2"/>
        <v>0</v>
      </c>
    </row>
    <row r="10" spans="1:13">
      <c r="A10" s="1" t="s">
        <v>2</v>
      </c>
      <c r="B10" s="4" t="s">
        <v>23</v>
      </c>
      <c r="C10" s="17">
        <v>0</v>
      </c>
      <c r="D10" s="18">
        <v>0</v>
      </c>
      <c r="E10" s="19">
        <v>0</v>
      </c>
      <c r="F10" s="11">
        <f t="shared" si="0"/>
        <v>0</v>
      </c>
      <c r="G10" s="17">
        <v>0</v>
      </c>
      <c r="H10" s="18">
        <v>0</v>
      </c>
      <c r="I10" s="19">
        <v>1</v>
      </c>
      <c r="J10" s="5">
        <f>SUM(G10:I10)</f>
        <v>1</v>
      </c>
      <c r="K10" s="56">
        <v>1</v>
      </c>
      <c r="L10" s="11">
        <f t="shared" si="1"/>
        <v>1</v>
      </c>
      <c r="M10" s="11">
        <f t="shared" si="2"/>
        <v>2</v>
      </c>
    </row>
    <row r="11" spans="1:13">
      <c r="A11" s="1" t="s">
        <v>2</v>
      </c>
      <c r="B11" s="4" t="s">
        <v>24</v>
      </c>
      <c r="C11" s="17">
        <v>0</v>
      </c>
      <c r="D11" s="18">
        <v>0</v>
      </c>
      <c r="E11" s="19">
        <v>0</v>
      </c>
      <c r="F11" s="11">
        <f t="shared" si="0"/>
        <v>0</v>
      </c>
      <c r="G11" s="17">
        <v>0</v>
      </c>
      <c r="H11" s="18">
        <v>0</v>
      </c>
      <c r="I11" s="19">
        <v>0</v>
      </c>
      <c r="J11" s="5"/>
      <c r="K11" s="56">
        <v>0</v>
      </c>
      <c r="L11" s="11">
        <f t="shared" si="1"/>
        <v>0</v>
      </c>
      <c r="M11" s="11">
        <f t="shared" si="2"/>
        <v>0</v>
      </c>
    </row>
    <row r="12" spans="1:13">
      <c r="A12" s="1" t="s">
        <v>2</v>
      </c>
      <c r="B12" s="4" t="s">
        <v>25</v>
      </c>
      <c r="C12" s="17">
        <v>0</v>
      </c>
      <c r="D12" s="18">
        <v>0</v>
      </c>
      <c r="E12" s="19">
        <v>0</v>
      </c>
      <c r="F12" s="11">
        <f t="shared" si="0"/>
        <v>0</v>
      </c>
      <c r="G12" s="17">
        <v>0</v>
      </c>
      <c r="H12" s="18">
        <v>0</v>
      </c>
      <c r="I12" s="19">
        <v>0</v>
      </c>
      <c r="J12" s="5"/>
      <c r="K12" s="56">
        <v>0</v>
      </c>
      <c r="L12" s="11">
        <f t="shared" si="1"/>
        <v>0</v>
      </c>
      <c r="M12" s="11">
        <f t="shared" si="2"/>
        <v>0</v>
      </c>
    </row>
    <row r="13" spans="1:13">
      <c r="A13" s="1" t="s">
        <v>2</v>
      </c>
      <c r="B13" s="4" t="s">
        <v>26</v>
      </c>
      <c r="C13" s="17">
        <v>0</v>
      </c>
      <c r="D13" s="18">
        <v>0</v>
      </c>
      <c r="E13" s="19">
        <v>0</v>
      </c>
      <c r="F13" s="11">
        <f t="shared" si="0"/>
        <v>0</v>
      </c>
      <c r="G13" s="17">
        <v>0</v>
      </c>
      <c r="H13" s="18">
        <v>0</v>
      </c>
      <c r="I13" s="19">
        <v>0</v>
      </c>
      <c r="J13" s="5"/>
      <c r="K13" s="56">
        <v>0</v>
      </c>
      <c r="L13" s="11">
        <f t="shared" si="1"/>
        <v>0</v>
      </c>
      <c r="M13" s="11">
        <f t="shared" si="2"/>
        <v>0</v>
      </c>
    </row>
    <row r="14" spans="1:13">
      <c r="A14" s="1" t="s">
        <v>2</v>
      </c>
      <c r="B14" s="4" t="s">
        <v>27</v>
      </c>
      <c r="C14" s="20">
        <v>0</v>
      </c>
      <c r="D14" s="21">
        <v>0</v>
      </c>
      <c r="E14" s="22">
        <v>0</v>
      </c>
      <c r="F14" s="11">
        <f t="shared" si="0"/>
        <v>0</v>
      </c>
      <c r="G14" s="20">
        <v>0</v>
      </c>
      <c r="H14" s="21">
        <v>0</v>
      </c>
      <c r="I14" s="22">
        <v>3.5833333333333335</v>
      </c>
      <c r="J14" s="6">
        <f>SUM(G14:I14)</f>
        <v>3.5833333333333335</v>
      </c>
      <c r="K14" s="57">
        <v>0</v>
      </c>
      <c r="L14" s="11">
        <f t="shared" si="1"/>
        <v>0</v>
      </c>
      <c r="M14" s="6">
        <f t="shared" si="2"/>
        <v>3.5833333333333335</v>
      </c>
    </row>
    <row r="15" spans="1:13">
      <c r="A15" s="1" t="s">
        <v>2</v>
      </c>
      <c r="B15" s="4" t="s">
        <v>28</v>
      </c>
      <c r="C15" s="20">
        <v>0</v>
      </c>
      <c r="D15" s="21">
        <v>0</v>
      </c>
      <c r="E15" s="22">
        <v>0</v>
      </c>
      <c r="F15" s="11">
        <f t="shared" si="0"/>
        <v>0</v>
      </c>
      <c r="G15" s="20">
        <v>0</v>
      </c>
      <c r="H15" s="21">
        <v>0</v>
      </c>
      <c r="I15" s="22">
        <v>0</v>
      </c>
      <c r="J15" s="6"/>
      <c r="K15" s="57">
        <v>0</v>
      </c>
      <c r="L15" s="11">
        <f t="shared" si="1"/>
        <v>0</v>
      </c>
      <c r="M15" s="11">
        <f t="shared" si="2"/>
        <v>0</v>
      </c>
    </row>
    <row r="16" spans="1:13">
      <c r="A16" s="1" t="s">
        <v>2</v>
      </c>
      <c r="B16" s="4" t="s">
        <v>29</v>
      </c>
      <c r="C16" s="20">
        <v>0</v>
      </c>
      <c r="D16" s="21">
        <v>0</v>
      </c>
      <c r="E16" s="22">
        <v>0</v>
      </c>
      <c r="F16" s="11">
        <f t="shared" si="0"/>
        <v>0</v>
      </c>
      <c r="G16" s="20">
        <v>0</v>
      </c>
      <c r="H16" s="21">
        <v>0</v>
      </c>
      <c r="I16" s="22">
        <v>0</v>
      </c>
      <c r="J16" s="6"/>
      <c r="K16" s="57">
        <v>0.5</v>
      </c>
      <c r="L16" s="6">
        <f t="shared" si="1"/>
        <v>0.5</v>
      </c>
      <c r="M16" s="6">
        <f t="shared" si="2"/>
        <v>0.5</v>
      </c>
    </row>
    <row r="17" spans="1:13">
      <c r="A17" s="1" t="s">
        <v>2</v>
      </c>
      <c r="B17" s="4" t="s">
        <v>30</v>
      </c>
      <c r="C17" s="20">
        <v>0</v>
      </c>
      <c r="D17" s="21">
        <v>0</v>
      </c>
      <c r="E17" s="22">
        <v>0</v>
      </c>
      <c r="F17" s="11">
        <f t="shared" si="0"/>
        <v>0</v>
      </c>
      <c r="G17" s="20">
        <v>0</v>
      </c>
      <c r="H17" s="21">
        <v>0</v>
      </c>
      <c r="I17" s="22">
        <v>0</v>
      </c>
      <c r="J17" s="6"/>
      <c r="K17" s="57">
        <v>0.29166666666666669</v>
      </c>
      <c r="L17" s="6">
        <f t="shared" si="1"/>
        <v>0.29166666666666669</v>
      </c>
      <c r="M17" s="6">
        <f t="shared" si="2"/>
        <v>0.29166666666666669</v>
      </c>
    </row>
    <row r="18" spans="1:13">
      <c r="A18" s="1" t="s">
        <v>2</v>
      </c>
      <c r="B18" s="4" t="s">
        <v>31</v>
      </c>
      <c r="C18" s="20">
        <v>0</v>
      </c>
      <c r="D18" s="21">
        <v>0</v>
      </c>
      <c r="E18" s="22">
        <v>0</v>
      </c>
      <c r="F18" s="11">
        <f t="shared" si="0"/>
        <v>0</v>
      </c>
      <c r="G18" s="20">
        <v>0</v>
      </c>
      <c r="H18" s="21">
        <v>0</v>
      </c>
      <c r="I18" s="22">
        <v>0</v>
      </c>
      <c r="J18" s="6"/>
      <c r="K18" s="57">
        <v>0</v>
      </c>
      <c r="L18" s="11">
        <f t="shared" si="1"/>
        <v>0</v>
      </c>
      <c r="M18" s="11">
        <f t="shared" si="2"/>
        <v>0</v>
      </c>
    </row>
    <row r="19" spans="1:13">
      <c r="A19" s="1" t="s">
        <v>2</v>
      </c>
      <c r="B19" s="4" t="s">
        <v>32</v>
      </c>
      <c r="C19" s="20">
        <v>0</v>
      </c>
      <c r="D19" s="21">
        <v>0</v>
      </c>
      <c r="E19" s="22">
        <v>0</v>
      </c>
      <c r="F19" s="11">
        <f t="shared" si="0"/>
        <v>0</v>
      </c>
      <c r="G19" s="20">
        <v>0</v>
      </c>
      <c r="H19" s="21">
        <v>0</v>
      </c>
      <c r="I19" s="22">
        <v>0</v>
      </c>
      <c r="J19" s="6"/>
      <c r="K19" s="57">
        <v>0</v>
      </c>
      <c r="L19" s="11">
        <f t="shared" si="1"/>
        <v>0</v>
      </c>
      <c r="M19" s="11">
        <f t="shared" si="2"/>
        <v>0</v>
      </c>
    </row>
    <row r="20" spans="1:13">
      <c r="A20" s="1" t="s">
        <v>2</v>
      </c>
      <c r="B20" s="4" t="s">
        <v>33</v>
      </c>
      <c r="C20" s="20">
        <v>0</v>
      </c>
      <c r="D20" s="21">
        <v>0</v>
      </c>
      <c r="E20" s="22">
        <v>0</v>
      </c>
      <c r="F20" s="11">
        <f t="shared" si="0"/>
        <v>0</v>
      </c>
      <c r="G20" s="20">
        <v>0</v>
      </c>
      <c r="H20" s="21">
        <v>0</v>
      </c>
      <c r="I20" s="22">
        <v>0</v>
      </c>
      <c r="J20" s="6"/>
      <c r="K20" s="57">
        <v>0</v>
      </c>
      <c r="L20" s="11">
        <f t="shared" si="1"/>
        <v>0</v>
      </c>
      <c r="M20" s="11">
        <f t="shared" si="2"/>
        <v>0</v>
      </c>
    </row>
    <row r="21" spans="1:13">
      <c r="A21" s="1" t="s">
        <v>2</v>
      </c>
      <c r="B21" s="4" t="s">
        <v>34</v>
      </c>
      <c r="C21" s="20">
        <v>0</v>
      </c>
      <c r="D21" s="21">
        <v>0</v>
      </c>
      <c r="E21" s="22">
        <v>0</v>
      </c>
      <c r="F21" s="11">
        <f t="shared" si="0"/>
        <v>0</v>
      </c>
      <c r="G21" s="20">
        <v>0</v>
      </c>
      <c r="H21" s="21">
        <v>0</v>
      </c>
      <c r="I21" s="22">
        <v>0</v>
      </c>
      <c r="J21" s="6"/>
      <c r="K21" s="57">
        <v>0.58333333333333337</v>
      </c>
      <c r="L21" s="6">
        <f t="shared" si="1"/>
        <v>0.58333333333333337</v>
      </c>
      <c r="M21" s="6">
        <f t="shared" si="2"/>
        <v>0.58333333333333337</v>
      </c>
    </row>
    <row r="22" spans="1:13">
      <c r="A22" s="1" t="s">
        <v>2</v>
      </c>
      <c r="B22" s="4" t="s">
        <v>35</v>
      </c>
      <c r="C22" s="20">
        <v>0</v>
      </c>
      <c r="D22" s="21">
        <v>0</v>
      </c>
      <c r="E22" s="22">
        <v>0</v>
      </c>
      <c r="F22" s="11">
        <f t="shared" si="0"/>
        <v>0</v>
      </c>
      <c r="G22" s="20">
        <v>0</v>
      </c>
      <c r="H22" s="21">
        <v>0</v>
      </c>
      <c r="I22" s="22">
        <v>0.20833333333333334</v>
      </c>
      <c r="J22" s="6">
        <f>SUM(G22:I22)</f>
        <v>0.20833333333333334</v>
      </c>
      <c r="K22" s="57">
        <v>0</v>
      </c>
      <c r="L22" s="11">
        <f t="shared" si="1"/>
        <v>0</v>
      </c>
      <c r="M22" s="6">
        <f t="shared" si="2"/>
        <v>0.20833333333333334</v>
      </c>
    </row>
    <row r="23" spans="1:13">
      <c r="A23" s="1" t="s">
        <v>2</v>
      </c>
      <c r="B23" s="4" t="s">
        <v>36</v>
      </c>
      <c r="C23" s="20">
        <v>0</v>
      </c>
      <c r="D23" s="21">
        <v>0</v>
      </c>
      <c r="E23" s="22">
        <v>0</v>
      </c>
      <c r="F23" s="11">
        <f t="shared" si="0"/>
        <v>0</v>
      </c>
      <c r="G23" s="20">
        <v>0</v>
      </c>
      <c r="H23" s="21">
        <v>0</v>
      </c>
      <c r="I23" s="22">
        <v>0</v>
      </c>
      <c r="J23" s="6"/>
      <c r="K23" s="57">
        <v>0</v>
      </c>
      <c r="L23" s="11">
        <f t="shared" si="1"/>
        <v>0</v>
      </c>
      <c r="M23" s="11">
        <f t="shared" si="2"/>
        <v>0</v>
      </c>
    </row>
    <row r="24" spans="1:13" ht="19.5" thickBot="1">
      <c r="A24" s="1" t="s">
        <v>2</v>
      </c>
      <c r="B24" s="29" t="s">
        <v>37</v>
      </c>
      <c r="C24" s="30">
        <v>0</v>
      </c>
      <c r="D24" s="31">
        <v>0</v>
      </c>
      <c r="E24" s="32">
        <v>0</v>
      </c>
      <c r="F24" s="11">
        <f t="shared" si="0"/>
        <v>0</v>
      </c>
      <c r="G24" s="30">
        <v>24</v>
      </c>
      <c r="H24" s="31">
        <v>34</v>
      </c>
      <c r="I24" s="32">
        <v>36</v>
      </c>
      <c r="J24" s="33">
        <f>SUM(G24:I24)</f>
        <v>94</v>
      </c>
      <c r="K24" s="58">
        <v>19.5</v>
      </c>
      <c r="L24" s="11">
        <f t="shared" si="1"/>
        <v>19.5</v>
      </c>
      <c r="M24" s="11">
        <f t="shared" si="2"/>
        <v>113.5</v>
      </c>
    </row>
    <row r="25" spans="1:13">
      <c r="A25" s="1" t="s">
        <v>2</v>
      </c>
      <c r="B25" s="34" t="s">
        <v>38</v>
      </c>
      <c r="C25" s="35">
        <v>0</v>
      </c>
      <c r="D25" s="36">
        <v>0</v>
      </c>
      <c r="E25" s="37">
        <v>0</v>
      </c>
      <c r="F25" s="38"/>
      <c r="G25" s="35">
        <v>375000</v>
      </c>
      <c r="H25" s="36">
        <v>355000</v>
      </c>
      <c r="I25" s="37">
        <v>0</v>
      </c>
      <c r="J25" s="38">
        <f>SUM(G25:I25)</f>
        <v>730000</v>
      </c>
      <c r="K25" s="59">
        <v>220000</v>
      </c>
      <c r="L25" s="38">
        <f>SUM(K25)</f>
        <v>220000</v>
      </c>
      <c r="M25" s="38">
        <f>SUM(F25,J25,L25)</f>
        <v>950000</v>
      </c>
    </row>
    <row r="26" spans="1:13">
      <c r="A26" s="1" t="s">
        <v>2</v>
      </c>
      <c r="B26" s="4" t="s">
        <v>39</v>
      </c>
      <c r="C26" s="23">
        <v>0</v>
      </c>
      <c r="D26" s="24">
        <v>0</v>
      </c>
      <c r="E26" s="25">
        <v>0</v>
      </c>
      <c r="F26" s="7"/>
      <c r="G26" s="23">
        <v>0</v>
      </c>
      <c r="H26" s="24">
        <v>0</v>
      </c>
      <c r="I26" s="25">
        <v>0</v>
      </c>
      <c r="J26" s="7">
        <f t="shared" ref="J26:J57" si="3">SUM(G26:I26)</f>
        <v>0</v>
      </c>
      <c r="K26" s="60">
        <v>5000</v>
      </c>
      <c r="L26" s="7">
        <f t="shared" ref="L26:L57" si="4">SUM(K26)</f>
        <v>5000</v>
      </c>
      <c r="M26" s="7">
        <f t="shared" ref="M26:M57" si="5">SUM(F26,J26,L26)</f>
        <v>5000</v>
      </c>
    </row>
    <row r="27" spans="1:13">
      <c r="A27" s="1" t="s">
        <v>2</v>
      </c>
      <c r="B27" s="4" t="s">
        <v>40</v>
      </c>
      <c r="C27" s="23">
        <v>0</v>
      </c>
      <c r="D27" s="24">
        <v>0</v>
      </c>
      <c r="E27" s="25">
        <v>0</v>
      </c>
      <c r="F27" s="7"/>
      <c r="G27" s="23">
        <v>0</v>
      </c>
      <c r="H27" s="24">
        <v>0</v>
      </c>
      <c r="I27" s="25">
        <v>0</v>
      </c>
      <c r="J27" s="7">
        <f t="shared" si="3"/>
        <v>0</v>
      </c>
      <c r="K27" s="60">
        <v>6000</v>
      </c>
      <c r="L27" s="7">
        <f t="shared" si="4"/>
        <v>6000</v>
      </c>
      <c r="M27" s="7">
        <f t="shared" si="5"/>
        <v>6000</v>
      </c>
    </row>
    <row r="28" spans="1:13">
      <c r="A28" s="1" t="s">
        <v>2</v>
      </c>
      <c r="B28" s="4" t="s">
        <v>41</v>
      </c>
      <c r="C28" s="23">
        <v>0</v>
      </c>
      <c r="D28" s="24">
        <v>0</v>
      </c>
      <c r="E28" s="25">
        <v>0</v>
      </c>
      <c r="F28" s="7"/>
      <c r="G28" s="23">
        <v>50000</v>
      </c>
      <c r="H28" s="24">
        <v>50000</v>
      </c>
      <c r="I28" s="25">
        <v>0</v>
      </c>
      <c r="J28" s="7">
        <f t="shared" si="3"/>
        <v>100000</v>
      </c>
      <c r="K28" s="60">
        <v>50000</v>
      </c>
      <c r="L28" s="7">
        <f t="shared" si="4"/>
        <v>50000</v>
      </c>
      <c r="M28" s="7">
        <f t="shared" si="5"/>
        <v>150000</v>
      </c>
    </row>
    <row r="29" spans="1:13">
      <c r="A29" s="1" t="s">
        <v>2</v>
      </c>
      <c r="B29" s="4" t="s">
        <v>42</v>
      </c>
      <c r="C29" s="23">
        <v>0</v>
      </c>
      <c r="D29" s="24">
        <v>0</v>
      </c>
      <c r="E29" s="25">
        <v>0</v>
      </c>
      <c r="F29" s="7"/>
      <c r="G29" s="23">
        <v>0</v>
      </c>
      <c r="H29" s="24">
        <v>0</v>
      </c>
      <c r="I29" s="25">
        <v>0</v>
      </c>
      <c r="J29" s="7">
        <f t="shared" si="3"/>
        <v>0</v>
      </c>
      <c r="K29" s="60">
        <v>0</v>
      </c>
      <c r="L29" s="7">
        <f t="shared" si="4"/>
        <v>0</v>
      </c>
      <c r="M29" s="7">
        <f t="shared" si="5"/>
        <v>0</v>
      </c>
    </row>
    <row r="30" spans="1:13">
      <c r="A30" s="1" t="s">
        <v>2</v>
      </c>
      <c r="B30" s="4" t="s">
        <v>43</v>
      </c>
      <c r="C30" s="23">
        <v>0</v>
      </c>
      <c r="D30" s="24">
        <v>0</v>
      </c>
      <c r="E30" s="25">
        <v>0</v>
      </c>
      <c r="F30" s="7"/>
      <c r="G30" s="23">
        <v>0</v>
      </c>
      <c r="H30" s="24">
        <v>0</v>
      </c>
      <c r="I30" s="25">
        <v>98040</v>
      </c>
      <c r="J30" s="7">
        <f t="shared" si="3"/>
        <v>98040</v>
      </c>
      <c r="K30" s="60">
        <v>0</v>
      </c>
      <c r="L30" s="7">
        <f t="shared" si="4"/>
        <v>0</v>
      </c>
      <c r="M30" s="7">
        <f t="shared" si="5"/>
        <v>98040</v>
      </c>
    </row>
    <row r="31" spans="1:13">
      <c r="A31" s="1" t="s">
        <v>2</v>
      </c>
      <c r="B31" s="4" t="s">
        <v>44</v>
      </c>
      <c r="C31" s="23">
        <v>1315000</v>
      </c>
      <c r="D31" s="24">
        <v>250000</v>
      </c>
      <c r="E31" s="25">
        <v>100000</v>
      </c>
      <c r="F31" s="7">
        <f>SUM(C31:E31)</f>
        <v>1665000</v>
      </c>
      <c r="G31" s="23">
        <v>0</v>
      </c>
      <c r="H31" s="24">
        <v>0</v>
      </c>
      <c r="I31" s="25">
        <v>0</v>
      </c>
      <c r="J31" s="7">
        <f t="shared" si="3"/>
        <v>0</v>
      </c>
      <c r="K31" s="60">
        <v>0</v>
      </c>
      <c r="L31" s="7">
        <f t="shared" si="4"/>
        <v>0</v>
      </c>
      <c r="M31" s="7">
        <f t="shared" si="5"/>
        <v>1665000</v>
      </c>
    </row>
    <row r="32" spans="1:13">
      <c r="A32" s="1" t="s">
        <v>2</v>
      </c>
      <c r="B32" s="4" t="s">
        <v>45</v>
      </c>
      <c r="C32" s="23">
        <v>0</v>
      </c>
      <c r="D32" s="24">
        <v>0</v>
      </c>
      <c r="E32" s="25">
        <v>0</v>
      </c>
      <c r="F32" s="7">
        <f t="shared" ref="F32:F57" si="6">SUM(C32:E32)</f>
        <v>0</v>
      </c>
      <c r="G32" s="23">
        <v>0</v>
      </c>
      <c r="H32" s="24">
        <v>0</v>
      </c>
      <c r="I32" s="25">
        <v>5700</v>
      </c>
      <c r="J32" s="7">
        <f t="shared" si="3"/>
        <v>5700</v>
      </c>
      <c r="K32" s="60">
        <v>0</v>
      </c>
      <c r="L32" s="7">
        <f t="shared" si="4"/>
        <v>0</v>
      </c>
      <c r="M32" s="7">
        <f t="shared" si="5"/>
        <v>5700</v>
      </c>
    </row>
    <row r="33" spans="1:13">
      <c r="A33" s="1" t="s">
        <v>2</v>
      </c>
      <c r="B33" s="4" t="s">
        <v>29</v>
      </c>
      <c r="C33" s="23">
        <v>0</v>
      </c>
      <c r="D33" s="24">
        <v>0</v>
      </c>
      <c r="E33" s="25">
        <v>0</v>
      </c>
      <c r="F33" s="7">
        <f t="shared" si="6"/>
        <v>0</v>
      </c>
      <c r="G33" s="23">
        <v>0</v>
      </c>
      <c r="H33" s="24">
        <v>0</v>
      </c>
      <c r="I33" s="25">
        <v>0</v>
      </c>
      <c r="J33" s="7">
        <f t="shared" si="3"/>
        <v>0</v>
      </c>
      <c r="K33" s="60">
        <v>29892</v>
      </c>
      <c r="L33" s="7">
        <f t="shared" si="4"/>
        <v>29892</v>
      </c>
      <c r="M33" s="7">
        <f t="shared" si="5"/>
        <v>29892</v>
      </c>
    </row>
    <row r="34" spans="1:13">
      <c r="A34" s="1" t="s">
        <v>2</v>
      </c>
      <c r="B34" s="4" t="s">
        <v>46</v>
      </c>
      <c r="C34" s="23">
        <v>0</v>
      </c>
      <c r="D34" s="24">
        <v>0</v>
      </c>
      <c r="E34" s="25">
        <v>0</v>
      </c>
      <c r="F34" s="7">
        <f t="shared" si="6"/>
        <v>0</v>
      </c>
      <c r="G34" s="23">
        <v>0</v>
      </c>
      <c r="H34" s="24">
        <v>0</v>
      </c>
      <c r="I34" s="25">
        <v>0</v>
      </c>
      <c r="J34" s="7">
        <f t="shared" si="3"/>
        <v>0</v>
      </c>
      <c r="K34" s="60">
        <v>18837</v>
      </c>
      <c r="L34" s="7">
        <f t="shared" si="4"/>
        <v>18837</v>
      </c>
      <c r="M34" s="7">
        <f t="shared" si="5"/>
        <v>18837</v>
      </c>
    </row>
    <row r="35" spans="1:13">
      <c r="A35" s="1" t="s">
        <v>2</v>
      </c>
      <c r="B35" s="4" t="s">
        <v>34</v>
      </c>
      <c r="C35" s="23">
        <v>0</v>
      </c>
      <c r="D35" s="24">
        <v>0</v>
      </c>
      <c r="E35" s="25">
        <v>0</v>
      </c>
      <c r="F35" s="7">
        <f t="shared" si="6"/>
        <v>0</v>
      </c>
      <c r="G35" s="23">
        <v>0</v>
      </c>
      <c r="H35" s="24">
        <v>0</v>
      </c>
      <c r="I35" s="25">
        <v>0</v>
      </c>
      <c r="J35" s="7">
        <f t="shared" si="3"/>
        <v>0</v>
      </c>
      <c r="K35" s="60">
        <v>27902</v>
      </c>
      <c r="L35" s="7">
        <f t="shared" si="4"/>
        <v>27902</v>
      </c>
      <c r="M35" s="7">
        <f t="shared" si="5"/>
        <v>27902</v>
      </c>
    </row>
    <row r="36" spans="1:13" ht="19.5" thickBot="1">
      <c r="A36" s="1" t="s">
        <v>2</v>
      </c>
      <c r="B36" s="29" t="s">
        <v>36</v>
      </c>
      <c r="C36" s="39">
        <v>0</v>
      </c>
      <c r="D36" s="40">
        <v>0</v>
      </c>
      <c r="E36" s="41">
        <v>0</v>
      </c>
      <c r="F36" s="42">
        <f t="shared" si="6"/>
        <v>0</v>
      </c>
      <c r="G36" s="39">
        <v>0</v>
      </c>
      <c r="H36" s="40">
        <v>0</v>
      </c>
      <c r="I36" s="41">
        <v>0</v>
      </c>
      <c r="J36" s="42">
        <f t="shared" si="3"/>
        <v>0</v>
      </c>
      <c r="K36" s="61">
        <v>0</v>
      </c>
      <c r="L36" s="42">
        <f t="shared" si="4"/>
        <v>0</v>
      </c>
      <c r="M36" s="42">
        <f t="shared" si="5"/>
        <v>0</v>
      </c>
    </row>
    <row r="37" spans="1:13" ht="19.5" thickBot="1">
      <c r="A37" s="1" t="s">
        <v>2</v>
      </c>
      <c r="B37" s="47" t="s">
        <v>47</v>
      </c>
      <c r="C37" s="48">
        <v>1315000</v>
      </c>
      <c r="D37" s="49">
        <v>250000</v>
      </c>
      <c r="E37" s="50">
        <v>100000</v>
      </c>
      <c r="F37" s="51">
        <f t="shared" si="6"/>
        <v>1665000</v>
      </c>
      <c r="G37" s="48">
        <v>425000</v>
      </c>
      <c r="H37" s="49">
        <v>405000</v>
      </c>
      <c r="I37" s="50">
        <v>103740</v>
      </c>
      <c r="J37" s="51">
        <f t="shared" si="3"/>
        <v>933740</v>
      </c>
      <c r="K37" s="62">
        <v>357631</v>
      </c>
      <c r="L37" s="51">
        <f t="shared" si="4"/>
        <v>357631</v>
      </c>
      <c r="M37" s="51">
        <f t="shared" si="5"/>
        <v>2956371</v>
      </c>
    </row>
    <row r="38" spans="1:13">
      <c r="A38" s="1" t="s">
        <v>2</v>
      </c>
      <c r="B38" s="10" t="s">
        <v>48</v>
      </c>
      <c r="C38" s="43">
        <v>0</v>
      </c>
      <c r="D38" s="44">
        <v>0</v>
      </c>
      <c r="E38" s="45">
        <v>0</v>
      </c>
      <c r="F38" s="46">
        <f t="shared" si="6"/>
        <v>0</v>
      </c>
      <c r="G38" s="43">
        <v>1795</v>
      </c>
      <c r="H38" s="44">
        <v>8800</v>
      </c>
      <c r="I38" s="45">
        <v>0</v>
      </c>
      <c r="J38" s="46">
        <f t="shared" si="3"/>
        <v>10595</v>
      </c>
      <c r="K38" s="63">
        <v>4348</v>
      </c>
      <c r="L38" s="46">
        <f t="shared" si="4"/>
        <v>4348</v>
      </c>
      <c r="M38" s="46">
        <f t="shared" si="5"/>
        <v>14943</v>
      </c>
    </row>
    <row r="39" spans="1:13" ht="19.5" thickBot="1">
      <c r="A39" s="1" t="s">
        <v>2</v>
      </c>
      <c r="B39" s="29" t="s">
        <v>49</v>
      </c>
      <c r="C39" s="39">
        <v>0</v>
      </c>
      <c r="D39" s="40">
        <v>0</v>
      </c>
      <c r="E39" s="41">
        <v>0</v>
      </c>
      <c r="F39" s="42">
        <f t="shared" si="6"/>
        <v>0</v>
      </c>
      <c r="G39" s="39">
        <v>0</v>
      </c>
      <c r="H39" s="40">
        <v>0</v>
      </c>
      <c r="I39" s="41">
        <v>0</v>
      </c>
      <c r="J39" s="42">
        <f t="shared" si="3"/>
        <v>0</v>
      </c>
      <c r="K39" s="61">
        <v>0</v>
      </c>
      <c r="L39" s="42">
        <f t="shared" si="4"/>
        <v>0</v>
      </c>
      <c r="M39" s="42">
        <f t="shared" si="5"/>
        <v>0</v>
      </c>
    </row>
    <row r="40" spans="1:13" ht="19.5" thickBot="1">
      <c r="A40" s="1" t="s">
        <v>2</v>
      </c>
      <c r="B40" s="47" t="s">
        <v>50</v>
      </c>
      <c r="C40" s="48">
        <v>0</v>
      </c>
      <c r="D40" s="49">
        <v>0</v>
      </c>
      <c r="E40" s="50">
        <v>0</v>
      </c>
      <c r="F40" s="51">
        <f t="shared" si="6"/>
        <v>0</v>
      </c>
      <c r="G40" s="48">
        <v>1795</v>
      </c>
      <c r="H40" s="49">
        <v>8800</v>
      </c>
      <c r="I40" s="50">
        <v>0</v>
      </c>
      <c r="J40" s="51">
        <f t="shared" si="3"/>
        <v>10595</v>
      </c>
      <c r="K40" s="62">
        <v>4348</v>
      </c>
      <c r="L40" s="51">
        <f t="shared" si="4"/>
        <v>4348</v>
      </c>
      <c r="M40" s="51">
        <f t="shared" si="5"/>
        <v>14943</v>
      </c>
    </row>
    <row r="41" spans="1:13" ht="19.5" thickBot="1">
      <c r="A41" s="1" t="s">
        <v>2</v>
      </c>
      <c r="B41" s="47" t="s">
        <v>51</v>
      </c>
      <c r="C41" s="48">
        <v>1315000</v>
      </c>
      <c r="D41" s="49">
        <v>250000</v>
      </c>
      <c r="E41" s="50">
        <v>100000</v>
      </c>
      <c r="F41" s="51">
        <f t="shared" si="6"/>
        <v>1665000</v>
      </c>
      <c r="G41" s="48">
        <v>426795</v>
      </c>
      <c r="H41" s="49">
        <v>413800</v>
      </c>
      <c r="I41" s="50">
        <v>103740</v>
      </c>
      <c r="J41" s="51">
        <f t="shared" si="3"/>
        <v>944335</v>
      </c>
      <c r="K41" s="62">
        <v>361979</v>
      </c>
      <c r="L41" s="51">
        <f t="shared" si="4"/>
        <v>361979</v>
      </c>
      <c r="M41" s="51">
        <f t="shared" si="5"/>
        <v>2971314</v>
      </c>
    </row>
    <row r="42" spans="1:13">
      <c r="A42" s="1" t="s">
        <v>2</v>
      </c>
      <c r="B42" s="10" t="s">
        <v>52</v>
      </c>
      <c r="C42" s="43">
        <v>70890</v>
      </c>
      <c r="D42" s="44">
        <v>0</v>
      </c>
      <c r="E42" s="45">
        <v>0</v>
      </c>
      <c r="F42" s="46">
        <f t="shared" si="6"/>
        <v>70890</v>
      </c>
      <c r="G42" s="43">
        <v>22440</v>
      </c>
      <c r="H42" s="44">
        <v>20910</v>
      </c>
      <c r="I42" s="45">
        <v>0</v>
      </c>
      <c r="J42" s="46">
        <f t="shared" si="3"/>
        <v>43350</v>
      </c>
      <c r="K42" s="63">
        <v>17340</v>
      </c>
      <c r="L42" s="46">
        <f t="shared" si="4"/>
        <v>17340</v>
      </c>
      <c r="M42" s="46">
        <f t="shared" si="5"/>
        <v>131580</v>
      </c>
    </row>
    <row r="43" spans="1:13">
      <c r="A43" s="1" t="s">
        <v>2</v>
      </c>
      <c r="B43" s="4" t="s">
        <v>53</v>
      </c>
      <c r="C43" s="23">
        <v>12510</v>
      </c>
      <c r="D43" s="24">
        <v>0</v>
      </c>
      <c r="E43" s="25">
        <v>0</v>
      </c>
      <c r="F43" s="7">
        <f t="shared" si="6"/>
        <v>12510</v>
      </c>
      <c r="G43" s="23">
        <v>3960</v>
      </c>
      <c r="H43" s="24">
        <v>3690</v>
      </c>
      <c r="I43" s="25">
        <v>0</v>
      </c>
      <c r="J43" s="7">
        <f t="shared" si="3"/>
        <v>7650</v>
      </c>
      <c r="K43" s="60">
        <v>3060</v>
      </c>
      <c r="L43" s="7">
        <f t="shared" si="4"/>
        <v>3060</v>
      </c>
      <c r="M43" s="7">
        <f t="shared" si="5"/>
        <v>23220</v>
      </c>
    </row>
    <row r="44" spans="1:13">
      <c r="A44" s="1" t="s">
        <v>2</v>
      </c>
      <c r="B44" s="4" t="s">
        <v>54</v>
      </c>
      <c r="C44" s="23">
        <v>59475</v>
      </c>
      <c r="D44" s="24">
        <v>0</v>
      </c>
      <c r="E44" s="25">
        <v>0</v>
      </c>
      <c r="F44" s="7">
        <f t="shared" si="6"/>
        <v>59475</v>
      </c>
      <c r="G44" s="23">
        <v>40260</v>
      </c>
      <c r="H44" s="24">
        <v>37515</v>
      </c>
      <c r="I44" s="25">
        <v>0</v>
      </c>
      <c r="J44" s="7">
        <f t="shared" si="3"/>
        <v>77775</v>
      </c>
      <c r="K44" s="60">
        <v>31110</v>
      </c>
      <c r="L44" s="7">
        <f t="shared" si="4"/>
        <v>31110</v>
      </c>
      <c r="M44" s="7">
        <f t="shared" si="5"/>
        <v>168360</v>
      </c>
    </row>
    <row r="45" spans="1:13">
      <c r="A45" s="1" t="s">
        <v>2</v>
      </c>
      <c r="B45" s="4" t="s">
        <v>55</v>
      </c>
      <c r="C45" s="23">
        <v>0</v>
      </c>
      <c r="D45" s="24">
        <v>0</v>
      </c>
      <c r="E45" s="25">
        <v>0</v>
      </c>
      <c r="F45" s="7">
        <f t="shared" si="6"/>
        <v>0</v>
      </c>
      <c r="G45" s="23">
        <v>1280</v>
      </c>
      <c r="H45" s="24">
        <v>1241</v>
      </c>
      <c r="I45" s="25">
        <v>311</v>
      </c>
      <c r="J45" s="7">
        <f t="shared" si="3"/>
        <v>2832</v>
      </c>
      <c r="K45" s="60">
        <v>1086</v>
      </c>
      <c r="L45" s="7">
        <f t="shared" si="4"/>
        <v>1086</v>
      </c>
      <c r="M45" s="7">
        <f t="shared" si="5"/>
        <v>3918</v>
      </c>
    </row>
    <row r="46" spans="1:13" ht="19.5" thickBot="1">
      <c r="A46" s="1" t="s">
        <v>2</v>
      </c>
      <c r="B46" s="29" t="s">
        <v>56</v>
      </c>
      <c r="C46" s="39">
        <v>0</v>
      </c>
      <c r="D46" s="40">
        <v>0</v>
      </c>
      <c r="E46" s="41">
        <v>0</v>
      </c>
      <c r="F46" s="42">
        <f t="shared" si="6"/>
        <v>0</v>
      </c>
      <c r="G46" s="39">
        <v>0</v>
      </c>
      <c r="H46" s="40">
        <v>0</v>
      </c>
      <c r="I46" s="41">
        <v>0</v>
      </c>
      <c r="J46" s="42">
        <f t="shared" si="3"/>
        <v>0</v>
      </c>
      <c r="K46" s="61">
        <v>0</v>
      </c>
      <c r="L46" s="42">
        <f t="shared" si="4"/>
        <v>0</v>
      </c>
      <c r="M46" s="42">
        <f t="shared" si="5"/>
        <v>0</v>
      </c>
    </row>
    <row r="47" spans="1:13" ht="19.5" thickBot="1">
      <c r="A47" s="1" t="s">
        <v>2</v>
      </c>
      <c r="B47" s="47" t="s">
        <v>57</v>
      </c>
      <c r="C47" s="48">
        <v>142875</v>
      </c>
      <c r="D47" s="49">
        <v>0</v>
      </c>
      <c r="E47" s="50">
        <v>0</v>
      </c>
      <c r="F47" s="51">
        <f t="shared" si="6"/>
        <v>142875</v>
      </c>
      <c r="G47" s="48">
        <v>67940</v>
      </c>
      <c r="H47" s="49">
        <v>63356</v>
      </c>
      <c r="I47" s="50">
        <v>311</v>
      </c>
      <c r="J47" s="51">
        <f t="shared" si="3"/>
        <v>131607</v>
      </c>
      <c r="K47" s="62">
        <v>52596</v>
      </c>
      <c r="L47" s="51">
        <f t="shared" si="4"/>
        <v>52596</v>
      </c>
      <c r="M47" s="51">
        <f t="shared" si="5"/>
        <v>327078</v>
      </c>
    </row>
    <row r="48" spans="1:13">
      <c r="A48" s="1" t="s">
        <v>2</v>
      </c>
      <c r="B48" s="10" t="s">
        <v>58</v>
      </c>
      <c r="C48" s="43">
        <v>185340</v>
      </c>
      <c r="D48" s="44">
        <v>36400</v>
      </c>
      <c r="E48" s="45">
        <v>720</v>
      </c>
      <c r="F48" s="46">
        <f t="shared" si="6"/>
        <v>222460</v>
      </c>
      <c r="G48" s="43">
        <v>13040</v>
      </c>
      <c r="H48" s="44">
        <v>11780</v>
      </c>
      <c r="I48" s="45">
        <v>900</v>
      </c>
      <c r="J48" s="46">
        <f t="shared" si="3"/>
        <v>25720</v>
      </c>
      <c r="K48" s="63">
        <v>8790</v>
      </c>
      <c r="L48" s="46">
        <f t="shared" si="4"/>
        <v>8790</v>
      </c>
      <c r="M48" s="46">
        <f t="shared" si="5"/>
        <v>256970</v>
      </c>
    </row>
    <row r="49" spans="1:13">
      <c r="A49" s="1" t="s">
        <v>2</v>
      </c>
      <c r="B49" s="4" t="s">
        <v>59</v>
      </c>
      <c r="C49" s="23">
        <v>0</v>
      </c>
      <c r="D49" s="24">
        <v>0</v>
      </c>
      <c r="E49" s="25">
        <v>0</v>
      </c>
      <c r="F49" s="7">
        <f t="shared" si="6"/>
        <v>0</v>
      </c>
      <c r="G49" s="23">
        <v>0</v>
      </c>
      <c r="H49" s="24">
        <v>0</v>
      </c>
      <c r="I49" s="25">
        <v>0</v>
      </c>
      <c r="J49" s="7">
        <f t="shared" si="3"/>
        <v>0</v>
      </c>
      <c r="K49" s="60">
        <v>0</v>
      </c>
      <c r="L49" s="7">
        <f t="shared" si="4"/>
        <v>0</v>
      </c>
      <c r="M49" s="7">
        <f t="shared" si="5"/>
        <v>0</v>
      </c>
    </row>
    <row r="50" spans="1:13">
      <c r="A50" s="1" t="s">
        <v>2</v>
      </c>
      <c r="B50" s="4" t="s">
        <v>60</v>
      </c>
      <c r="C50" s="23">
        <v>96300</v>
      </c>
      <c r="D50" s="24">
        <v>0</v>
      </c>
      <c r="E50" s="25">
        <v>900</v>
      </c>
      <c r="F50" s="7">
        <f t="shared" si="6"/>
        <v>97200</v>
      </c>
      <c r="G50" s="23">
        <v>19700</v>
      </c>
      <c r="H50" s="24">
        <v>18200</v>
      </c>
      <c r="I50" s="25">
        <v>2500</v>
      </c>
      <c r="J50" s="7">
        <f t="shared" si="3"/>
        <v>40400</v>
      </c>
      <c r="K50" s="60">
        <v>15600</v>
      </c>
      <c r="L50" s="7">
        <f t="shared" si="4"/>
        <v>15600</v>
      </c>
      <c r="M50" s="7">
        <f t="shared" si="5"/>
        <v>153200</v>
      </c>
    </row>
    <row r="51" spans="1:13">
      <c r="A51" s="1" t="s">
        <v>2</v>
      </c>
      <c r="B51" s="4" t="s">
        <v>61</v>
      </c>
      <c r="C51" s="23">
        <v>32000</v>
      </c>
      <c r="D51" s="24">
        <v>0</v>
      </c>
      <c r="E51" s="25">
        <v>0</v>
      </c>
      <c r="F51" s="7">
        <f t="shared" si="6"/>
        <v>32000</v>
      </c>
      <c r="G51" s="23">
        <v>0</v>
      </c>
      <c r="H51" s="24">
        <v>0</v>
      </c>
      <c r="I51" s="25">
        <v>0</v>
      </c>
      <c r="J51" s="7">
        <f t="shared" si="3"/>
        <v>0</v>
      </c>
      <c r="K51" s="60">
        <v>0</v>
      </c>
      <c r="L51" s="7">
        <f t="shared" si="4"/>
        <v>0</v>
      </c>
      <c r="M51" s="7">
        <f t="shared" si="5"/>
        <v>32000</v>
      </c>
    </row>
    <row r="52" spans="1:13" ht="19.5" thickBot="1">
      <c r="A52" s="1" t="s">
        <v>2</v>
      </c>
      <c r="B52" s="4" t="s">
        <v>62</v>
      </c>
      <c r="C52" s="23">
        <v>0</v>
      </c>
      <c r="D52" s="24">
        <v>0</v>
      </c>
      <c r="E52" s="25">
        <v>0</v>
      </c>
      <c r="F52" s="7">
        <f t="shared" si="6"/>
        <v>0</v>
      </c>
      <c r="G52" s="23">
        <v>0</v>
      </c>
      <c r="H52" s="24">
        <v>0</v>
      </c>
      <c r="I52" s="25">
        <v>0</v>
      </c>
      <c r="J52" s="7">
        <f t="shared" si="3"/>
        <v>0</v>
      </c>
      <c r="K52" s="60">
        <v>0</v>
      </c>
      <c r="L52" s="7">
        <f t="shared" si="4"/>
        <v>0</v>
      </c>
      <c r="M52" s="7">
        <f t="shared" si="5"/>
        <v>0</v>
      </c>
    </row>
    <row r="53" spans="1:13" ht="19.5" thickBot="1">
      <c r="A53" s="1" t="s">
        <v>2</v>
      </c>
      <c r="B53" s="47" t="s">
        <v>63</v>
      </c>
      <c r="C53" s="48">
        <v>456515</v>
      </c>
      <c r="D53" s="49">
        <v>36400</v>
      </c>
      <c r="E53" s="50">
        <v>1620</v>
      </c>
      <c r="F53" s="51">
        <f t="shared" si="6"/>
        <v>494535</v>
      </c>
      <c r="G53" s="48">
        <v>100680</v>
      </c>
      <c r="H53" s="49">
        <v>93336</v>
      </c>
      <c r="I53" s="50">
        <v>3711</v>
      </c>
      <c r="J53" s="51">
        <f t="shared" si="3"/>
        <v>197727</v>
      </c>
      <c r="K53" s="62">
        <v>76986</v>
      </c>
      <c r="L53" s="51">
        <f t="shared" si="4"/>
        <v>76986</v>
      </c>
      <c r="M53" s="51">
        <f t="shared" si="5"/>
        <v>769248</v>
      </c>
    </row>
    <row r="54" spans="1:13" ht="19.5" thickBot="1">
      <c r="A54" s="1" t="s">
        <v>2</v>
      </c>
      <c r="B54" s="47" t="s">
        <v>64</v>
      </c>
      <c r="C54" s="48">
        <v>1172125</v>
      </c>
      <c r="D54" s="49">
        <v>250000</v>
      </c>
      <c r="E54" s="50">
        <v>100000</v>
      </c>
      <c r="F54" s="51">
        <f t="shared" si="6"/>
        <v>1522125</v>
      </c>
      <c r="G54" s="48">
        <v>357060</v>
      </c>
      <c r="H54" s="49">
        <v>341644</v>
      </c>
      <c r="I54" s="50">
        <v>103429</v>
      </c>
      <c r="J54" s="51">
        <f t="shared" si="3"/>
        <v>802133</v>
      </c>
      <c r="K54" s="62">
        <v>305035</v>
      </c>
      <c r="L54" s="51">
        <f t="shared" si="4"/>
        <v>305035</v>
      </c>
      <c r="M54" s="51">
        <f t="shared" si="5"/>
        <v>2629293</v>
      </c>
    </row>
    <row r="55" spans="1:13" ht="19.5" thickBot="1">
      <c r="A55" s="1" t="s">
        <v>2</v>
      </c>
      <c r="B55" s="47" t="s">
        <v>65</v>
      </c>
      <c r="C55" s="48">
        <v>858485</v>
      </c>
      <c r="D55" s="49">
        <v>213600</v>
      </c>
      <c r="E55" s="50">
        <v>98380</v>
      </c>
      <c r="F55" s="51">
        <f t="shared" si="6"/>
        <v>1170465</v>
      </c>
      <c r="G55" s="48">
        <v>326115</v>
      </c>
      <c r="H55" s="49">
        <v>320464</v>
      </c>
      <c r="I55" s="50">
        <v>100029</v>
      </c>
      <c r="J55" s="51">
        <f t="shared" si="3"/>
        <v>746608</v>
      </c>
      <c r="K55" s="62">
        <v>284993</v>
      </c>
      <c r="L55" s="51">
        <f t="shared" si="4"/>
        <v>284993</v>
      </c>
      <c r="M55" s="51">
        <f t="shared" si="5"/>
        <v>2202066</v>
      </c>
    </row>
    <row r="56" spans="1:13">
      <c r="A56" s="1" t="s">
        <v>2</v>
      </c>
      <c r="B56" s="10" t="s">
        <v>66</v>
      </c>
      <c r="C56" s="43">
        <v>0</v>
      </c>
      <c r="D56" s="44">
        <v>0</v>
      </c>
      <c r="E56" s="45">
        <v>0</v>
      </c>
      <c r="F56" s="46">
        <f t="shared" si="6"/>
        <v>0</v>
      </c>
      <c r="G56" s="43">
        <v>0</v>
      </c>
      <c r="H56" s="44">
        <v>0</v>
      </c>
      <c r="I56" s="45">
        <v>0</v>
      </c>
      <c r="J56" s="46">
        <f t="shared" si="3"/>
        <v>0</v>
      </c>
      <c r="K56" s="63">
        <v>0</v>
      </c>
      <c r="L56" s="46">
        <f t="shared" si="4"/>
        <v>0</v>
      </c>
      <c r="M56" s="46">
        <f t="shared" si="5"/>
        <v>0</v>
      </c>
    </row>
    <row r="57" spans="1:13">
      <c r="A57" s="1" t="s">
        <v>2</v>
      </c>
      <c r="B57" s="4" t="s">
        <v>67</v>
      </c>
      <c r="C57" s="23">
        <v>858485</v>
      </c>
      <c r="D57" s="24">
        <v>213600</v>
      </c>
      <c r="E57" s="25">
        <v>98380</v>
      </c>
      <c r="F57" s="7">
        <f t="shared" si="6"/>
        <v>1170465</v>
      </c>
      <c r="G57" s="23">
        <v>326115</v>
      </c>
      <c r="H57" s="24">
        <v>320464</v>
      </c>
      <c r="I57" s="25">
        <v>100029</v>
      </c>
      <c r="J57" s="7">
        <f t="shared" si="3"/>
        <v>746608</v>
      </c>
      <c r="K57" s="60">
        <v>284993</v>
      </c>
      <c r="L57" s="7">
        <f t="shared" si="4"/>
        <v>284993</v>
      </c>
      <c r="M57" s="7">
        <f t="shared" si="5"/>
        <v>2202066</v>
      </c>
    </row>
    <row r="58" spans="1:13">
      <c r="A58" s="1" t="s">
        <v>2</v>
      </c>
      <c r="B58" s="4" t="s">
        <v>68</v>
      </c>
      <c r="C58" s="23">
        <v>1</v>
      </c>
      <c r="D58" s="24">
        <v>0</v>
      </c>
      <c r="E58" s="25">
        <v>0</v>
      </c>
      <c r="F58" s="7"/>
      <c r="G58" s="23">
        <v>0</v>
      </c>
      <c r="H58" s="24">
        <v>0</v>
      </c>
      <c r="I58" s="25">
        <v>0</v>
      </c>
      <c r="J58" s="7"/>
      <c r="K58" s="60">
        <v>0</v>
      </c>
      <c r="L58" s="7"/>
      <c r="M58" s="7"/>
    </row>
    <row r="59" spans="1:13" ht="19.5" thickBot="1">
      <c r="A59" s="1" t="s">
        <v>2</v>
      </c>
      <c r="B59" s="8" t="s">
        <v>69</v>
      </c>
      <c r="C59" s="26" t="s">
        <v>70</v>
      </c>
      <c r="D59" s="27" t="s">
        <v>71</v>
      </c>
      <c r="E59" s="28" t="s">
        <v>70</v>
      </c>
      <c r="F59" s="9"/>
      <c r="G59" s="26" t="s">
        <v>70</v>
      </c>
      <c r="H59" s="27" t="s">
        <v>70</v>
      </c>
      <c r="I59" s="28" t="s">
        <v>70</v>
      </c>
      <c r="J59" s="9"/>
      <c r="K59" s="64" t="s">
        <v>70</v>
      </c>
      <c r="L59" s="9"/>
      <c r="M59" s="9"/>
    </row>
  </sheetData>
  <phoneticPr fontId="4"/>
  <pageMargins left="0.31496062992125984" right="0.31496062992125984" top="0.35433070866141736" bottom="0.35433070866141736" header="0.31496062992125984" footer="0.31496062992125984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7月度給与 (2)</vt:lpstr>
      <vt:lpstr>'2021年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2021-08-12T01:02:40Z</cp:lastPrinted>
  <dcterms:created xsi:type="dcterms:W3CDTF">2021-08-10T01:32:10Z</dcterms:created>
  <dcterms:modified xsi:type="dcterms:W3CDTF">2021-08-12T01:04:03Z</dcterms:modified>
</cp:coreProperties>
</file>