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7\"/>
    </mc:Choice>
  </mc:AlternateContent>
  <xr:revisionPtr revIDLastSave="0" documentId="13_ncr:1_{BAAE7386-CAFC-4444-B77D-6AD97EB382EA}" xr6:coauthVersionLast="47" xr6:coauthVersionMax="47" xr10:uidLastSave="{00000000-0000-0000-0000-000000000000}"/>
  <bookViews>
    <workbookView xWindow="-120" yWindow="-120" windowWidth="20730" windowHeight="11160" activeTab="1" xr2:uid="{D111F83A-5F8C-49D2-BC7E-C73171FC5475}"/>
  </bookViews>
  <sheets>
    <sheet name="2021年 7月度給与 (2)" sheetId="3" r:id="rId1"/>
    <sheet name="2021年 7月度給与 (助成金)" sheetId="5" r:id="rId2"/>
  </sheets>
  <definedNames>
    <definedName name="_xlnm.Print_Area" localSheetId="0">'2021年 7月度給与 (2)'!$A$1:$M$60</definedName>
    <definedName name="_xlnm.Print_Area" localSheetId="1">'2021年 7月度給与 (助成金)'!$A$1:$M$60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8" i="5" l="1"/>
  <c r="E58" i="5"/>
  <c r="M58" i="5" s="1"/>
  <c r="M57" i="5"/>
  <c r="L57" i="5"/>
  <c r="E57" i="5"/>
  <c r="L56" i="5"/>
  <c r="M56" i="5" s="1"/>
  <c r="E56" i="5"/>
  <c r="L55" i="5"/>
  <c r="E55" i="5"/>
  <c r="M55" i="5" s="1"/>
  <c r="L54" i="5"/>
  <c r="E54" i="5"/>
  <c r="M54" i="5" s="1"/>
  <c r="M53" i="5"/>
  <c r="L53" i="5"/>
  <c r="E53" i="5"/>
  <c r="L52" i="5"/>
  <c r="M52" i="5" s="1"/>
  <c r="E52" i="5"/>
  <c r="L51" i="5"/>
  <c r="E51" i="5"/>
  <c r="M51" i="5" s="1"/>
  <c r="L50" i="5"/>
  <c r="E50" i="5"/>
  <c r="M50" i="5" s="1"/>
  <c r="M49" i="5"/>
  <c r="L49" i="5"/>
  <c r="E49" i="5"/>
  <c r="L48" i="5"/>
  <c r="M48" i="5" s="1"/>
  <c r="E48" i="5"/>
  <c r="L47" i="5"/>
  <c r="E47" i="5"/>
  <c r="M47" i="5" s="1"/>
  <c r="L46" i="5"/>
  <c r="E46" i="5"/>
  <c r="M46" i="5" s="1"/>
  <c r="M45" i="5"/>
  <c r="L45" i="5"/>
  <c r="E45" i="5"/>
  <c r="L44" i="5"/>
  <c r="M44" i="5" s="1"/>
  <c r="E44" i="5"/>
  <c r="L43" i="5"/>
  <c r="E43" i="5"/>
  <c r="M43" i="5" s="1"/>
  <c r="L42" i="5"/>
  <c r="E42" i="5"/>
  <c r="M42" i="5" s="1"/>
  <c r="M41" i="5"/>
  <c r="L41" i="5"/>
  <c r="E41" i="5"/>
  <c r="L40" i="5"/>
  <c r="M40" i="5" s="1"/>
  <c r="E40" i="5"/>
  <c r="L39" i="5"/>
  <c r="E39" i="5"/>
  <c r="M39" i="5" s="1"/>
  <c r="L38" i="5"/>
  <c r="E38" i="5"/>
  <c r="M38" i="5" s="1"/>
  <c r="M37" i="5"/>
  <c r="L37" i="5"/>
  <c r="E37" i="5"/>
  <c r="L36" i="5"/>
  <c r="M36" i="5" s="1"/>
  <c r="E36" i="5"/>
  <c r="L35" i="5"/>
  <c r="E35" i="5"/>
  <c r="M35" i="5" s="1"/>
  <c r="L34" i="5"/>
  <c r="E34" i="5"/>
  <c r="M34" i="5" s="1"/>
  <c r="M33" i="5"/>
  <c r="L33" i="5"/>
  <c r="E33" i="5"/>
  <c r="L32" i="5"/>
  <c r="M32" i="5" s="1"/>
  <c r="E32" i="5"/>
  <c r="L31" i="5"/>
  <c r="E31" i="5"/>
  <c r="M31" i="5" s="1"/>
  <c r="L30" i="5"/>
  <c r="E30" i="5"/>
  <c r="M30" i="5" s="1"/>
  <c r="M29" i="5"/>
  <c r="L29" i="5"/>
  <c r="E29" i="5"/>
  <c r="L28" i="5"/>
  <c r="M28" i="5" s="1"/>
  <c r="E28" i="5"/>
  <c r="L27" i="5"/>
  <c r="E27" i="5"/>
  <c r="M27" i="5" s="1"/>
  <c r="L26" i="5"/>
  <c r="E26" i="5"/>
  <c r="M26" i="5" s="1"/>
  <c r="M25" i="5"/>
  <c r="L25" i="5"/>
  <c r="E25" i="5"/>
  <c r="L24" i="5"/>
  <c r="M24" i="5" s="1"/>
  <c r="E24" i="5"/>
  <c r="L23" i="5"/>
  <c r="E23" i="5"/>
  <c r="M23" i="5" s="1"/>
  <c r="L22" i="5"/>
  <c r="E22" i="5"/>
  <c r="M22" i="5" s="1"/>
  <c r="M21" i="5"/>
  <c r="L21" i="5"/>
  <c r="E21" i="5"/>
  <c r="L20" i="5"/>
  <c r="M20" i="5" s="1"/>
  <c r="E20" i="5"/>
  <c r="L19" i="5"/>
  <c r="M19" i="5" s="1"/>
  <c r="E19" i="5"/>
  <c r="L18" i="5"/>
  <c r="M18" i="5" s="1"/>
  <c r="E18" i="5"/>
  <c r="M17" i="5"/>
  <c r="L17" i="5"/>
  <c r="E17" i="5"/>
  <c r="L16" i="5"/>
  <c r="M16" i="5" s="1"/>
  <c r="E16" i="5"/>
  <c r="L15" i="5"/>
  <c r="M15" i="5" s="1"/>
  <c r="E15" i="5"/>
  <c r="L14" i="5"/>
  <c r="M14" i="5" s="1"/>
  <c r="E14" i="5"/>
  <c r="M13" i="5"/>
  <c r="L13" i="5"/>
  <c r="E13" i="5"/>
  <c r="L12" i="5"/>
  <c r="M12" i="5" s="1"/>
  <c r="E12" i="5"/>
  <c r="L11" i="5"/>
  <c r="M11" i="5" s="1"/>
  <c r="E11" i="5"/>
  <c r="L10" i="5"/>
  <c r="M10" i="5" s="1"/>
  <c r="E10" i="5"/>
  <c r="M9" i="5"/>
  <c r="L9" i="5"/>
  <c r="E9" i="5"/>
  <c r="L8" i="5"/>
  <c r="M8" i="5" s="1"/>
  <c r="E8" i="5"/>
  <c r="L7" i="5"/>
  <c r="M7" i="5" s="1"/>
  <c r="E7" i="5"/>
  <c r="L6" i="5"/>
  <c r="M6" i="5" s="1"/>
  <c r="E6" i="5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21" i="3"/>
  <c r="L7" i="3"/>
  <c r="L8" i="3"/>
  <c r="L9" i="3"/>
  <c r="L10" i="3"/>
  <c r="M10" i="3" s="1"/>
  <c r="L11" i="3"/>
  <c r="L12" i="3"/>
  <c r="L13" i="3"/>
  <c r="L14" i="3"/>
  <c r="M14" i="3" s="1"/>
  <c r="L15" i="3"/>
  <c r="L16" i="3"/>
  <c r="L17" i="3"/>
  <c r="L18" i="3"/>
  <c r="M18" i="3" s="1"/>
  <c r="L19" i="3"/>
  <c r="L20" i="3"/>
  <c r="M7" i="3"/>
  <c r="M8" i="3"/>
  <c r="M9" i="3"/>
  <c r="M11" i="3"/>
  <c r="M12" i="3"/>
  <c r="M13" i="3"/>
  <c r="M15" i="3"/>
  <c r="M16" i="3"/>
  <c r="M17" i="3"/>
  <c r="M19" i="3"/>
  <c r="M20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21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L6" i="3"/>
  <c r="E6" i="3"/>
  <c r="M6" i="3" l="1"/>
</calcChain>
</file>

<file path=xl/sharedStrings.xml><?xml version="1.0" encoding="utf-8"?>
<sst xmlns="http://schemas.openxmlformats.org/spreadsheetml/2006/main" count="288" uniqueCount="80">
  <si>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</si>
  <si>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</si>
  <si>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</si>
  <si>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</si>
  <si>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</si>
  <si>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</si>
  <si>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</si>
  <si>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</si>
  <si>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</si>
  <si>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</si>
  <si>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</si>
  <si>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</si>
  <si>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</si>
  <si>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</si>
  <si>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</si>
  <si>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</si>
  <si>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銅谷和久</t>
    <phoneticPr fontId="4"/>
  </si>
  <si>
    <t>土屋勝三</t>
    <phoneticPr fontId="4"/>
  </si>
  <si>
    <t>本間裕康</t>
    <phoneticPr fontId="4"/>
  </si>
  <si>
    <t>新治泰子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</si>
  <si>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</si>
  <si>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</si>
  <si>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</si>
  <si>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</si>
  <si>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</si>
  <si>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</si>
  <si>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</si>
  <si>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</si>
  <si>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</si>
  <si>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</si>
  <si>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</si>
  <si>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</si>
  <si>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</si>
  <si>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</si>
  <si>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</si>
  <si>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</si>
  <si>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</si>
  <si>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</si>
  <si>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</si>
  <si>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</si>
  <si>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</si>
  <si>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</si>
  <si>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調整加算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</si>
  <si>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</si>
  <si>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</si>
  <si>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</si>
  <si>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</si>
  <si>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</si>
  <si>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</si>
  <si>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</si>
  <si>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</si>
  <si>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</si>
  <si>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</si>
  <si>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</si>
  <si>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</si>
  <si>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</si>
  <si>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</si>
  <si>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</si>
  <si>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</si>
  <si>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</si>
  <si>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</si>
  <si>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</si>
  <si>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</si>
  <si>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</si>
  <si>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</si>
  <si>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</si>
  <si>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</si>
  <si>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</si>
  <si>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</si>
  <si>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</si>
  <si>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</si>
  <si>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</si>
  <si>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</si>
  <si>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</si>
  <si>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</si>
  <si>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</si>
  <si>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</si>
  <si>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</si>
  <si>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合計</t>
    <rPh sb="0" eb="2">
      <t>ゴウケイ</t>
    </rPh>
    <phoneticPr fontId="3"/>
  </si>
  <si>
    <t>8名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</si>
</sst>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2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176" fontId="2" fillId="0" borderId="18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5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34" xfId="1" applyFont="1" applyBorder="1" applyAlignment="1">
      <alignment horizontal="left"/>
    </xf>
    <xf numFmtId="0" fontId="2" fillId="0" borderId="35" xfId="1" applyFont="1" applyBorder="1" applyAlignment="1">
      <alignment horizontal="right"/>
    </xf>
    <xf numFmtId="2" fontId="2" fillId="0" borderId="36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27" xfId="1" applyNumberFormat="1" applyFont="1" applyBorder="1"/>
    <xf numFmtId="49" fontId="2" fillId="0" borderId="35" xfId="1" applyNumberFormat="1" applyFont="1" applyBorder="1"/>
    <xf numFmtId="0" fontId="2" fillId="0" borderId="39" xfId="1" applyFont="1" applyBorder="1"/>
    <xf numFmtId="49" fontId="2" fillId="2" borderId="4" xfId="1" applyNumberFormat="1" applyFont="1" applyFill="1" applyBorder="1" applyAlignment="1">
      <alignment horizontal="left"/>
    </xf>
    <xf numFmtId="3" fontId="2" fillId="2" borderId="17" xfId="1" applyNumberFormat="1" applyFont="1" applyFill="1" applyBorder="1"/>
    <xf numFmtId="3" fontId="2" fillId="2" borderId="18" xfId="1" applyNumberFormat="1" applyFont="1" applyFill="1" applyBorder="1"/>
    <xf numFmtId="3" fontId="2" fillId="2" borderId="16" xfId="1" applyNumberFormat="1" applyFont="1" applyFill="1" applyBorder="1"/>
    <xf numFmtId="3" fontId="2" fillId="2" borderId="31" xfId="1" applyNumberFormat="1" applyFont="1" applyFill="1" applyBorder="1"/>
    <xf numFmtId="3" fontId="2" fillId="2" borderId="37" xfId="1" applyNumberFormat="1" applyFont="1" applyFill="1" applyBorder="1"/>
  </cellXfs>
  <cellStyles count="2">
    <cellStyle name="標準" xfId="0" builtinId="0"/>
    <cellStyle name="標準 2" xfId="1" xr:uid="{647D5B66-7105-4F93-83A0-638A95F32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7FC4-C29D-43FB-8B20-08D03A1B5DDC}">
  <sheetPr>
    <pageSetUpPr fitToPage="1"/>
  </sheetPr>
  <dimension ref="A1:M60"/>
  <sheetViews>
    <sheetView showZeros="0" workbookViewId="0">
      <selection activeCell="O22" sqref="O22"/>
    </sheetView>
  </sheetViews>
  <sheetFormatPr defaultRowHeight="18.75"/>
  <cols>
    <col min="1" max="1" width="2.375" style="2" customWidth="1"/>
    <col min="2" max="2" width="13.25" style="2" bestFit="1" customWidth="1"/>
    <col min="3" max="13" width="9.87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74</v>
      </c>
    </row>
    <row r="4" spans="1:13">
      <c r="B4" s="3"/>
      <c r="C4" s="10" t="s">
        <v>5</v>
      </c>
      <c r="D4" s="11" t="s">
        <v>10</v>
      </c>
      <c r="E4" s="45" t="s">
        <v>75</v>
      </c>
      <c r="F4" s="9" t="s">
        <v>3</v>
      </c>
      <c r="G4" s="10" t="s">
        <v>4</v>
      </c>
      <c r="H4" s="10" t="s">
        <v>6</v>
      </c>
      <c r="I4" s="10" t="s">
        <v>7</v>
      </c>
      <c r="J4" s="10" t="s">
        <v>8</v>
      </c>
      <c r="K4" s="47" t="s">
        <v>9</v>
      </c>
      <c r="L4" s="58" t="s">
        <v>75</v>
      </c>
      <c r="M4" s="58" t="s">
        <v>78</v>
      </c>
    </row>
    <row r="5" spans="1:13" ht="19.5" thickBot="1">
      <c r="A5" s="68"/>
      <c r="B5" s="4" t="s">
        <v>11</v>
      </c>
      <c r="C5" s="13" t="s">
        <v>14</v>
      </c>
      <c r="D5" s="14" t="s">
        <v>19</v>
      </c>
      <c r="E5" s="46" t="s">
        <v>76</v>
      </c>
      <c r="F5" s="12" t="s">
        <v>12</v>
      </c>
      <c r="G5" s="13" t="s">
        <v>13</v>
      </c>
      <c r="H5" s="13" t="s">
        <v>15</v>
      </c>
      <c r="I5" s="13" t="s">
        <v>16</v>
      </c>
      <c r="J5" s="13" t="s">
        <v>17</v>
      </c>
      <c r="K5" s="48" t="s">
        <v>18</v>
      </c>
      <c r="L5" s="59" t="s">
        <v>77</v>
      </c>
      <c r="M5" s="59" t="s">
        <v>79</v>
      </c>
    </row>
    <row r="6" spans="1:13">
      <c r="A6" s="1" t="s">
        <v>2</v>
      </c>
      <c r="B6" s="5" t="s">
        <v>20</v>
      </c>
      <c r="C6" s="16">
        <v>21</v>
      </c>
      <c r="D6" s="17">
        <v>10</v>
      </c>
      <c r="E6" s="8">
        <f>SUM(C6:D6)</f>
        <v>31</v>
      </c>
      <c r="F6" s="15">
        <v>20</v>
      </c>
      <c r="G6" s="16">
        <v>20</v>
      </c>
      <c r="H6" s="16">
        <v>18</v>
      </c>
      <c r="I6" s="16">
        <v>20</v>
      </c>
      <c r="J6" s="16">
        <v>19</v>
      </c>
      <c r="K6" s="49">
        <v>20</v>
      </c>
      <c r="L6" s="60">
        <f>SUM(F6:K6)</f>
        <v>117</v>
      </c>
      <c r="M6" s="60">
        <f>SUM(L6,E6)</f>
        <v>148</v>
      </c>
    </row>
    <row r="7" spans="1:13">
      <c r="A7" s="1" t="s">
        <v>2</v>
      </c>
      <c r="B7" s="6" t="s">
        <v>21</v>
      </c>
      <c r="C7" s="19">
        <v>0</v>
      </c>
      <c r="D7" s="20">
        <v>0</v>
      </c>
      <c r="E7" s="8">
        <f t="shared" ref="E7:E20" si="0">SUM(C7:D7)</f>
        <v>0</v>
      </c>
      <c r="F7" s="18">
        <v>1</v>
      </c>
      <c r="G7" s="19">
        <v>2</v>
      </c>
      <c r="H7" s="19">
        <v>0</v>
      </c>
      <c r="I7" s="19">
        <v>1</v>
      </c>
      <c r="J7" s="19">
        <v>4</v>
      </c>
      <c r="K7" s="50">
        <v>3</v>
      </c>
      <c r="L7" s="60">
        <f t="shared" ref="L7:L20" si="1">SUM(F7:K7)</f>
        <v>11</v>
      </c>
      <c r="M7" s="60">
        <f t="shared" ref="M7:M20" si="2">SUM(L7,E7)</f>
        <v>11</v>
      </c>
    </row>
    <row r="8" spans="1:13">
      <c r="A8" s="1" t="s">
        <v>2</v>
      </c>
      <c r="B8" s="6" t="s">
        <v>22</v>
      </c>
      <c r="C8" s="19">
        <v>0</v>
      </c>
      <c r="D8" s="20">
        <v>0</v>
      </c>
      <c r="E8" s="8">
        <f t="shared" si="0"/>
        <v>0</v>
      </c>
      <c r="F8" s="18">
        <v>1</v>
      </c>
      <c r="G8" s="19">
        <v>1</v>
      </c>
      <c r="H8" s="19">
        <v>0</v>
      </c>
      <c r="I8" s="19">
        <v>1</v>
      </c>
      <c r="J8" s="19">
        <v>2</v>
      </c>
      <c r="K8" s="50">
        <v>1</v>
      </c>
      <c r="L8" s="60">
        <f t="shared" si="1"/>
        <v>6</v>
      </c>
      <c r="M8" s="60">
        <f t="shared" si="2"/>
        <v>6</v>
      </c>
    </row>
    <row r="9" spans="1:13">
      <c r="A9" s="1" t="s">
        <v>2</v>
      </c>
      <c r="B9" s="6" t="s">
        <v>23</v>
      </c>
      <c r="C9" s="19">
        <v>0</v>
      </c>
      <c r="D9" s="20">
        <v>0</v>
      </c>
      <c r="E9" s="8">
        <f t="shared" si="0"/>
        <v>0</v>
      </c>
      <c r="F9" s="18">
        <v>0</v>
      </c>
      <c r="G9" s="19">
        <v>0</v>
      </c>
      <c r="H9" s="19">
        <v>0</v>
      </c>
      <c r="I9" s="19">
        <v>0</v>
      </c>
      <c r="J9" s="19">
        <v>0</v>
      </c>
      <c r="K9" s="50">
        <v>0</v>
      </c>
      <c r="L9" s="60">
        <f t="shared" si="1"/>
        <v>0</v>
      </c>
      <c r="M9" s="60">
        <f t="shared" si="2"/>
        <v>0</v>
      </c>
    </row>
    <row r="10" spans="1:13">
      <c r="A10" s="1" t="s">
        <v>2</v>
      </c>
      <c r="B10" s="6" t="s">
        <v>24</v>
      </c>
      <c r="C10" s="19">
        <v>0</v>
      </c>
      <c r="D10" s="20">
        <v>0</v>
      </c>
      <c r="E10" s="8">
        <f t="shared" si="0"/>
        <v>0</v>
      </c>
      <c r="F10" s="18">
        <v>0</v>
      </c>
      <c r="G10" s="19">
        <v>0</v>
      </c>
      <c r="H10" s="19">
        <v>2</v>
      </c>
      <c r="I10" s="19">
        <v>0</v>
      </c>
      <c r="J10" s="19">
        <v>2</v>
      </c>
      <c r="K10" s="50">
        <v>1</v>
      </c>
      <c r="L10" s="60">
        <f t="shared" si="1"/>
        <v>5</v>
      </c>
      <c r="M10" s="60">
        <f t="shared" si="2"/>
        <v>5</v>
      </c>
    </row>
    <row r="11" spans="1:13">
      <c r="A11" s="1" t="s">
        <v>2</v>
      </c>
      <c r="B11" s="6" t="s">
        <v>25</v>
      </c>
      <c r="C11" s="19">
        <v>0</v>
      </c>
      <c r="D11" s="20">
        <v>0</v>
      </c>
      <c r="E11" s="8">
        <f t="shared" si="0"/>
        <v>0</v>
      </c>
      <c r="F11" s="18">
        <v>0</v>
      </c>
      <c r="G11" s="19">
        <v>0</v>
      </c>
      <c r="H11" s="19">
        <v>0</v>
      </c>
      <c r="I11" s="19">
        <v>0</v>
      </c>
      <c r="J11" s="19">
        <v>0</v>
      </c>
      <c r="K11" s="50">
        <v>0</v>
      </c>
      <c r="L11" s="60">
        <f t="shared" si="1"/>
        <v>0</v>
      </c>
      <c r="M11" s="60">
        <f t="shared" si="2"/>
        <v>0</v>
      </c>
    </row>
    <row r="12" spans="1:13">
      <c r="A12" s="1" t="s">
        <v>2</v>
      </c>
      <c r="B12" s="6" t="s">
        <v>26</v>
      </c>
      <c r="C12" s="19">
        <v>0</v>
      </c>
      <c r="D12" s="20">
        <v>0</v>
      </c>
      <c r="E12" s="8">
        <f t="shared" si="0"/>
        <v>0</v>
      </c>
      <c r="F12" s="18">
        <v>1</v>
      </c>
      <c r="G12" s="19">
        <v>1</v>
      </c>
      <c r="H12" s="19">
        <v>1</v>
      </c>
      <c r="I12" s="19">
        <v>1</v>
      </c>
      <c r="J12" s="19">
        <v>0</v>
      </c>
      <c r="K12" s="50">
        <v>0</v>
      </c>
      <c r="L12" s="60">
        <f t="shared" si="1"/>
        <v>4</v>
      </c>
      <c r="M12" s="60">
        <f t="shared" si="2"/>
        <v>4</v>
      </c>
    </row>
    <row r="13" spans="1:13">
      <c r="A13" s="1" t="s">
        <v>2</v>
      </c>
      <c r="B13" s="6" t="s">
        <v>27</v>
      </c>
      <c r="C13" s="19">
        <v>0</v>
      </c>
      <c r="D13" s="20">
        <v>2</v>
      </c>
      <c r="E13" s="8">
        <f t="shared" si="0"/>
        <v>2</v>
      </c>
      <c r="F13" s="18">
        <v>1</v>
      </c>
      <c r="G13" s="19">
        <v>1</v>
      </c>
      <c r="H13" s="19">
        <v>1</v>
      </c>
      <c r="I13" s="19">
        <v>1</v>
      </c>
      <c r="J13" s="19">
        <v>0</v>
      </c>
      <c r="K13" s="50">
        <v>0</v>
      </c>
      <c r="L13" s="60">
        <f t="shared" si="1"/>
        <v>4</v>
      </c>
      <c r="M13" s="60">
        <f t="shared" si="2"/>
        <v>6</v>
      </c>
    </row>
    <row r="14" spans="1:13">
      <c r="A14" s="1" t="s">
        <v>2</v>
      </c>
      <c r="B14" s="6" t="s">
        <v>28</v>
      </c>
      <c r="C14" s="22">
        <v>0</v>
      </c>
      <c r="D14" s="23">
        <v>2.9166666666666665</v>
      </c>
      <c r="E14" s="23">
        <f t="shared" si="0"/>
        <v>2.9166666666666665</v>
      </c>
      <c r="F14" s="21">
        <v>0</v>
      </c>
      <c r="G14" s="22">
        <v>0</v>
      </c>
      <c r="H14" s="22">
        <v>0</v>
      </c>
      <c r="I14" s="22">
        <v>0</v>
      </c>
      <c r="J14" s="22">
        <v>0</v>
      </c>
      <c r="K14" s="51">
        <v>0</v>
      </c>
      <c r="L14" s="60">
        <f t="shared" si="1"/>
        <v>0</v>
      </c>
      <c r="M14" s="61">
        <f t="shared" si="2"/>
        <v>2.9166666666666665</v>
      </c>
    </row>
    <row r="15" spans="1:13">
      <c r="A15" s="1" t="s">
        <v>2</v>
      </c>
      <c r="B15" s="6" t="s">
        <v>29</v>
      </c>
      <c r="C15" s="22">
        <v>0</v>
      </c>
      <c r="D15" s="23">
        <v>0</v>
      </c>
      <c r="E15" s="8">
        <f t="shared" si="0"/>
        <v>0</v>
      </c>
      <c r="F15" s="21">
        <v>0</v>
      </c>
      <c r="G15" s="22">
        <v>0</v>
      </c>
      <c r="H15" s="22">
        <v>0</v>
      </c>
      <c r="I15" s="22">
        <v>0</v>
      </c>
      <c r="J15" s="22">
        <v>0</v>
      </c>
      <c r="K15" s="51">
        <v>0</v>
      </c>
      <c r="L15" s="60">
        <f t="shared" si="1"/>
        <v>0</v>
      </c>
      <c r="M15" s="60">
        <f t="shared" si="2"/>
        <v>0</v>
      </c>
    </row>
    <row r="16" spans="1:13">
      <c r="A16" s="1" t="s">
        <v>2</v>
      </c>
      <c r="B16" s="6" t="s">
        <v>30</v>
      </c>
      <c r="C16" s="22">
        <v>0</v>
      </c>
      <c r="D16" s="23">
        <v>0</v>
      </c>
      <c r="E16" s="8">
        <f t="shared" si="0"/>
        <v>0</v>
      </c>
      <c r="F16" s="21">
        <v>1.875</v>
      </c>
      <c r="G16" s="22">
        <v>1.7083333333333335</v>
      </c>
      <c r="H16" s="22">
        <v>0.5</v>
      </c>
      <c r="I16" s="22">
        <v>1.7083333333333335</v>
      </c>
      <c r="J16" s="22">
        <v>1.2083333333333333</v>
      </c>
      <c r="K16" s="51">
        <v>1.5</v>
      </c>
      <c r="L16" s="61">
        <f t="shared" si="1"/>
        <v>8.5</v>
      </c>
      <c r="M16" s="60">
        <f t="shared" si="2"/>
        <v>8.5</v>
      </c>
    </row>
    <row r="17" spans="1:13">
      <c r="A17" s="1" t="s">
        <v>2</v>
      </c>
      <c r="B17" s="6" t="s">
        <v>31</v>
      </c>
      <c r="C17" s="22">
        <v>0</v>
      </c>
      <c r="D17" s="23">
        <v>0</v>
      </c>
      <c r="E17" s="8">
        <f t="shared" si="0"/>
        <v>0</v>
      </c>
      <c r="F17" s="21">
        <v>0.25</v>
      </c>
      <c r="G17" s="22">
        <v>0.70833333333333337</v>
      </c>
      <c r="H17" s="22">
        <v>0</v>
      </c>
      <c r="I17" s="22">
        <v>0.20833333333333334</v>
      </c>
      <c r="J17" s="22">
        <v>1.125</v>
      </c>
      <c r="K17" s="51">
        <v>1</v>
      </c>
      <c r="L17" s="61">
        <f t="shared" si="1"/>
        <v>3.291666666666667</v>
      </c>
      <c r="M17" s="60">
        <f t="shared" si="2"/>
        <v>3.291666666666667</v>
      </c>
    </row>
    <row r="18" spans="1:13">
      <c r="A18" s="1" t="s">
        <v>2</v>
      </c>
      <c r="B18" s="6" t="s">
        <v>32</v>
      </c>
      <c r="C18" s="22">
        <v>0</v>
      </c>
      <c r="D18" s="23">
        <v>0</v>
      </c>
      <c r="E18" s="8">
        <f t="shared" si="0"/>
        <v>0</v>
      </c>
      <c r="F18" s="21">
        <v>0.20833333333333334</v>
      </c>
      <c r="G18" s="22">
        <v>0.45833333333333331</v>
      </c>
      <c r="H18" s="22">
        <v>0</v>
      </c>
      <c r="I18" s="22">
        <v>0.45833333333333331</v>
      </c>
      <c r="J18" s="22">
        <v>0.75</v>
      </c>
      <c r="K18" s="51">
        <v>0.45833333333333331</v>
      </c>
      <c r="L18" s="61">
        <f t="shared" si="1"/>
        <v>2.3333333333333335</v>
      </c>
      <c r="M18" s="60">
        <f t="shared" si="2"/>
        <v>2.3333333333333335</v>
      </c>
    </row>
    <row r="19" spans="1:13">
      <c r="A19" s="1" t="s">
        <v>2</v>
      </c>
      <c r="B19" s="6" t="s">
        <v>34</v>
      </c>
      <c r="C19" s="22">
        <v>4.1666666666666664E-2</v>
      </c>
      <c r="D19" s="23">
        <v>0</v>
      </c>
      <c r="E19" s="22">
        <f t="shared" si="0"/>
        <v>4.1666666666666664E-2</v>
      </c>
      <c r="F19" s="21">
        <v>0.58333333333333337</v>
      </c>
      <c r="G19" s="22">
        <v>0.58333333333333337</v>
      </c>
      <c r="H19" s="22">
        <v>4.1666666666666664E-2</v>
      </c>
      <c r="I19" s="22">
        <v>0.83333333333333337</v>
      </c>
      <c r="J19" s="22">
        <v>0.33333333333333331</v>
      </c>
      <c r="K19" s="51">
        <v>0.29166666666666669</v>
      </c>
      <c r="L19" s="61">
        <f t="shared" si="1"/>
        <v>2.666666666666667</v>
      </c>
      <c r="M19" s="61">
        <f t="shared" si="2"/>
        <v>2.7083333333333335</v>
      </c>
    </row>
    <row r="20" spans="1:13" ht="19.5" thickBot="1">
      <c r="A20" s="1" t="s">
        <v>2</v>
      </c>
      <c r="B20" s="7" t="s">
        <v>35</v>
      </c>
      <c r="C20" s="34">
        <v>40</v>
      </c>
      <c r="D20" s="35">
        <v>20</v>
      </c>
      <c r="E20" s="36">
        <f t="shared" si="0"/>
        <v>60</v>
      </c>
      <c r="F20" s="33">
        <v>40</v>
      </c>
      <c r="G20" s="34">
        <v>40</v>
      </c>
      <c r="H20" s="34">
        <v>35</v>
      </c>
      <c r="I20" s="34">
        <v>30</v>
      </c>
      <c r="J20" s="34">
        <v>28</v>
      </c>
      <c r="K20" s="52">
        <v>29</v>
      </c>
      <c r="L20" s="62">
        <f t="shared" si="1"/>
        <v>202</v>
      </c>
      <c r="M20" s="62">
        <f t="shared" si="2"/>
        <v>262</v>
      </c>
    </row>
    <row r="21" spans="1:13">
      <c r="A21" s="1" t="s">
        <v>2</v>
      </c>
      <c r="B21" s="5" t="s">
        <v>36</v>
      </c>
      <c r="C21" s="31">
        <v>355000</v>
      </c>
      <c r="D21" s="32">
        <v>0</v>
      </c>
      <c r="E21" s="32">
        <f>SUM(C21:D21)</f>
        <v>355000</v>
      </c>
      <c r="F21" s="30">
        <v>177000</v>
      </c>
      <c r="G21" s="31">
        <v>192000</v>
      </c>
      <c r="H21" s="31">
        <v>177000</v>
      </c>
      <c r="I21" s="31">
        <v>175000</v>
      </c>
      <c r="J21" s="31">
        <v>177000</v>
      </c>
      <c r="K21" s="53">
        <v>165000</v>
      </c>
      <c r="L21" s="63">
        <f>SUM(F21:K21)</f>
        <v>1063000</v>
      </c>
      <c r="M21" s="63">
        <f>SUM(E21,L21)</f>
        <v>1418000</v>
      </c>
    </row>
    <row r="22" spans="1:13">
      <c r="A22" s="1" t="s">
        <v>2</v>
      </c>
      <c r="B22" s="6" t="s">
        <v>37</v>
      </c>
      <c r="C22" s="25">
        <v>0</v>
      </c>
      <c r="D22" s="26">
        <v>0</v>
      </c>
      <c r="E22" s="26">
        <f t="shared" ref="E22:E58" si="3">SUM(C22:D22)</f>
        <v>0</v>
      </c>
      <c r="F22" s="24">
        <v>0</v>
      </c>
      <c r="G22" s="25">
        <v>5000</v>
      </c>
      <c r="H22" s="25">
        <v>0</v>
      </c>
      <c r="I22" s="25">
        <v>0</v>
      </c>
      <c r="J22" s="25">
        <v>0</v>
      </c>
      <c r="K22" s="54">
        <v>0</v>
      </c>
      <c r="L22" s="64">
        <f t="shared" ref="L22:L58" si="4">SUM(F22:K22)</f>
        <v>5000</v>
      </c>
      <c r="M22" s="64">
        <f t="shared" ref="M22:M58" si="5">SUM(E22,L22)</f>
        <v>5000</v>
      </c>
    </row>
    <row r="23" spans="1:13">
      <c r="A23" s="1" t="s">
        <v>2</v>
      </c>
      <c r="B23" s="6" t="s">
        <v>38</v>
      </c>
      <c r="C23" s="25">
        <v>0</v>
      </c>
      <c r="D23" s="26">
        <v>0</v>
      </c>
      <c r="E23" s="26">
        <f t="shared" si="3"/>
        <v>0</v>
      </c>
      <c r="F23" s="24">
        <v>6000</v>
      </c>
      <c r="G23" s="25">
        <v>0</v>
      </c>
      <c r="H23" s="25">
        <v>3000</v>
      </c>
      <c r="I23" s="25">
        <v>0</v>
      </c>
      <c r="J23" s="25">
        <v>0</v>
      </c>
      <c r="K23" s="54">
        <v>0</v>
      </c>
      <c r="L23" s="64">
        <f t="shared" si="4"/>
        <v>9000</v>
      </c>
      <c r="M23" s="64">
        <f t="shared" si="5"/>
        <v>9000</v>
      </c>
    </row>
    <row r="24" spans="1:13">
      <c r="A24" s="1" t="s">
        <v>2</v>
      </c>
      <c r="B24" s="6" t="s">
        <v>39</v>
      </c>
      <c r="C24" s="25">
        <v>50000</v>
      </c>
      <c r="D24" s="26">
        <v>0</v>
      </c>
      <c r="E24" s="26">
        <f t="shared" si="3"/>
        <v>50000</v>
      </c>
      <c r="F24" s="24">
        <v>50000</v>
      </c>
      <c r="G24" s="25">
        <v>50000</v>
      </c>
      <c r="H24" s="25">
        <v>50000</v>
      </c>
      <c r="I24" s="25">
        <v>50000</v>
      </c>
      <c r="J24" s="25">
        <v>50000</v>
      </c>
      <c r="K24" s="54">
        <v>50000</v>
      </c>
      <c r="L24" s="64">
        <f t="shared" si="4"/>
        <v>300000</v>
      </c>
      <c r="M24" s="64">
        <f t="shared" si="5"/>
        <v>350000</v>
      </c>
    </row>
    <row r="25" spans="1:13">
      <c r="A25" s="1" t="s">
        <v>2</v>
      </c>
      <c r="B25" s="6" t="s">
        <v>40</v>
      </c>
      <c r="C25" s="25">
        <v>0</v>
      </c>
      <c r="D25" s="26">
        <v>0</v>
      </c>
      <c r="E25" s="26">
        <f t="shared" si="3"/>
        <v>0</v>
      </c>
      <c r="F25" s="24">
        <v>0</v>
      </c>
      <c r="G25" s="25">
        <v>0</v>
      </c>
      <c r="H25" s="25">
        <v>0</v>
      </c>
      <c r="I25" s="25">
        <v>0</v>
      </c>
      <c r="J25" s="25">
        <v>0</v>
      </c>
      <c r="K25" s="54">
        <v>0</v>
      </c>
      <c r="L25" s="64">
        <f t="shared" si="4"/>
        <v>0</v>
      </c>
      <c r="M25" s="64">
        <f t="shared" si="5"/>
        <v>0</v>
      </c>
    </row>
    <row r="26" spans="1:13">
      <c r="A26" s="1" t="s">
        <v>2</v>
      </c>
      <c r="B26" s="6" t="s">
        <v>41</v>
      </c>
      <c r="C26" s="25">
        <v>0</v>
      </c>
      <c r="D26" s="26">
        <v>77350</v>
      </c>
      <c r="E26" s="26">
        <f t="shared" si="3"/>
        <v>77350</v>
      </c>
      <c r="F26" s="24">
        <v>0</v>
      </c>
      <c r="G26" s="25">
        <v>0</v>
      </c>
      <c r="H26" s="25">
        <v>0</v>
      </c>
      <c r="I26" s="25">
        <v>0</v>
      </c>
      <c r="J26" s="25">
        <v>0</v>
      </c>
      <c r="K26" s="54">
        <v>0</v>
      </c>
      <c r="L26" s="64">
        <f t="shared" si="4"/>
        <v>0</v>
      </c>
      <c r="M26" s="64">
        <f t="shared" si="5"/>
        <v>77350</v>
      </c>
    </row>
    <row r="27" spans="1:13">
      <c r="A27" s="1" t="s">
        <v>2</v>
      </c>
      <c r="B27" s="6" t="s">
        <v>42</v>
      </c>
      <c r="C27" s="25">
        <v>0</v>
      </c>
      <c r="D27" s="26">
        <v>0</v>
      </c>
      <c r="E27" s="26">
        <f t="shared" si="3"/>
        <v>0</v>
      </c>
      <c r="F27" s="24">
        <v>30500</v>
      </c>
      <c r="G27" s="25">
        <v>10500</v>
      </c>
      <c r="H27" s="25">
        <v>13500</v>
      </c>
      <c r="I27" s="25">
        <v>15000</v>
      </c>
      <c r="J27" s="25">
        <v>13000</v>
      </c>
      <c r="K27" s="54">
        <v>15000</v>
      </c>
      <c r="L27" s="64">
        <f t="shared" si="4"/>
        <v>97500</v>
      </c>
      <c r="M27" s="64">
        <f t="shared" si="5"/>
        <v>97500</v>
      </c>
    </row>
    <row r="28" spans="1:13">
      <c r="A28" s="1" t="s">
        <v>2</v>
      </c>
      <c r="B28" s="6" t="s">
        <v>43</v>
      </c>
      <c r="C28" s="25">
        <v>0</v>
      </c>
      <c r="D28" s="26">
        <v>0</v>
      </c>
      <c r="E28" s="26">
        <f t="shared" si="3"/>
        <v>0</v>
      </c>
      <c r="F28" s="24">
        <v>-12607</v>
      </c>
      <c r="G28" s="25">
        <v>-12320</v>
      </c>
      <c r="H28" s="25">
        <v>-11650</v>
      </c>
      <c r="I28" s="25">
        <v>-11483</v>
      </c>
      <c r="J28" s="25">
        <v>0</v>
      </c>
      <c r="K28" s="54">
        <v>0</v>
      </c>
      <c r="L28" s="64">
        <f t="shared" si="4"/>
        <v>-48060</v>
      </c>
      <c r="M28" s="64">
        <f t="shared" si="5"/>
        <v>-48060</v>
      </c>
    </row>
    <row r="29" spans="1:13">
      <c r="A29" s="1" t="s">
        <v>2</v>
      </c>
      <c r="B29" s="6" t="s">
        <v>44</v>
      </c>
      <c r="C29" s="25">
        <v>0</v>
      </c>
      <c r="D29" s="26">
        <v>0</v>
      </c>
      <c r="E29" s="26">
        <f t="shared" si="3"/>
        <v>0</v>
      </c>
      <c r="F29" s="24">
        <v>0</v>
      </c>
      <c r="G29" s="25">
        <v>0</v>
      </c>
      <c r="H29" s="25">
        <v>0</v>
      </c>
      <c r="I29" s="25">
        <v>0</v>
      </c>
      <c r="J29" s="25">
        <v>0</v>
      </c>
      <c r="K29" s="54">
        <v>0</v>
      </c>
      <c r="L29" s="64">
        <f t="shared" si="4"/>
        <v>0</v>
      </c>
      <c r="M29" s="64">
        <f t="shared" si="5"/>
        <v>0</v>
      </c>
    </row>
    <row r="30" spans="1:13">
      <c r="A30" s="1" t="s">
        <v>2</v>
      </c>
      <c r="B30" s="6" t="s">
        <v>30</v>
      </c>
      <c r="C30" s="25">
        <v>0</v>
      </c>
      <c r="D30" s="26">
        <v>0</v>
      </c>
      <c r="E30" s="26">
        <f t="shared" si="3"/>
        <v>0</v>
      </c>
      <c r="F30" s="24">
        <v>88785</v>
      </c>
      <c r="G30" s="25">
        <v>79048</v>
      </c>
      <c r="H30" s="25">
        <v>21876</v>
      </c>
      <c r="I30" s="25">
        <v>73636</v>
      </c>
      <c r="J30" s="25">
        <v>52084</v>
      </c>
      <c r="K30" s="54">
        <v>61956</v>
      </c>
      <c r="L30" s="64">
        <f t="shared" si="4"/>
        <v>377385</v>
      </c>
      <c r="M30" s="64">
        <f t="shared" si="5"/>
        <v>377385</v>
      </c>
    </row>
    <row r="31" spans="1:13">
      <c r="A31" s="1" t="s">
        <v>2</v>
      </c>
      <c r="B31" s="6" t="s">
        <v>45</v>
      </c>
      <c r="C31" s="25">
        <v>0</v>
      </c>
      <c r="D31" s="26">
        <v>0</v>
      </c>
      <c r="E31" s="26">
        <f t="shared" si="3"/>
        <v>0</v>
      </c>
      <c r="F31" s="24">
        <v>12780</v>
      </c>
      <c r="G31" s="25">
        <v>35394</v>
      </c>
      <c r="H31" s="25">
        <v>0</v>
      </c>
      <c r="I31" s="25">
        <v>9700</v>
      </c>
      <c r="J31" s="25">
        <v>52380</v>
      </c>
      <c r="K31" s="54">
        <v>44616</v>
      </c>
      <c r="L31" s="64">
        <f t="shared" si="4"/>
        <v>154870</v>
      </c>
      <c r="M31" s="64">
        <f t="shared" si="5"/>
        <v>154870</v>
      </c>
    </row>
    <row r="32" spans="1:13">
      <c r="A32" s="1" t="s">
        <v>2</v>
      </c>
      <c r="B32" s="6" t="s">
        <v>46</v>
      </c>
      <c r="C32" s="25">
        <v>0</v>
      </c>
      <c r="D32" s="26">
        <v>0</v>
      </c>
      <c r="E32" s="26">
        <f t="shared" si="3"/>
        <v>0</v>
      </c>
      <c r="F32" s="24">
        <v>10650</v>
      </c>
      <c r="G32" s="25">
        <v>22902</v>
      </c>
      <c r="H32" s="25">
        <v>0</v>
      </c>
      <c r="I32" s="25">
        <v>21340</v>
      </c>
      <c r="J32" s="25">
        <v>34920</v>
      </c>
      <c r="K32" s="54">
        <v>20449</v>
      </c>
      <c r="L32" s="64">
        <f t="shared" si="4"/>
        <v>110261</v>
      </c>
      <c r="M32" s="64">
        <f t="shared" si="5"/>
        <v>110261</v>
      </c>
    </row>
    <row r="33" spans="1:13">
      <c r="A33" s="1" t="s">
        <v>2</v>
      </c>
      <c r="B33" s="6" t="s">
        <v>47</v>
      </c>
      <c r="C33" s="25">
        <v>0</v>
      </c>
      <c r="D33" s="26">
        <v>0</v>
      </c>
      <c r="E33" s="26">
        <f t="shared" si="3"/>
        <v>0</v>
      </c>
      <c r="F33" s="24">
        <v>0</v>
      </c>
      <c r="G33" s="25">
        <v>0</v>
      </c>
      <c r="H33" s="25">
        <v>0</v>
      </c>
      <c r="I33" s="25">
        <v>0</v>
      </c>
      <c r="J33" s="25">
        <v>0</v>
      </c>
      <c r="K33" s="54">
        <v>0</v>
      </c>
      <c r="L33" s="64">
        <f t="shared" si="4"/>
        <v>0</v>
      </c>
      <c r="M33" s="64">
        <f t="shared" si="5"/>
        <v>0</v>
      </c>
    </row>
    <row r="34" spans="1:13">
      <c r="A34" s="1" t="s">
        <v>2</v>
      </c>
      <c r="B34" s="6" t="s">
        <v>48</v>
      </c>
      <c r="C34" s="25">
        <v>0</v>
      </c>
      <c r="D34" s="26">
        <v>0</v>
      </c>
      <c r="E34" s="26">
        <f t="shared" si="3"/>
        <v>0</v>
      </c>
      <c r="F34" s="24">
        <v>0</v>
      </c>
      <c r="G34" s="25">
        <v>0</v>
      </c>
      <c r="H34" s="25">
        <v>0</v>
      </c>
      <c r="I34" s="25">
        <v>0</v>
      </c>
      <c r="J34" s="25">
        <v>0</v>
      </c>
      <c r="K34" s="54">
        <v>0</v>
      </c>
      <c r="L34" s="64">
        <f t="shared" si="4"/>
        <v>0</v>
      </c>
      <c r="M34" s="64">
        <f t="shared" si="5"/>
        <v>0</v>
      </c>
    </row>
    <row r="35" spans="1:13">
      <c r="A35" s="1" t="s">
        <v>2</v>
      </c>
      <c r="B35" s="6" t="s">
        <v>49</v>
      </c>
      <c r="C35" s="25">
        <v>0</v>
      </c>
      <c r="D35" s="26">
        <v>15470</v>
      </c>
      <c r="E35" s="26">
        <f t="shared" si="3"/>
        <v>15470</v>
      </c>
      <c r="F35" s="24">
        <v>12607</v>
      </c>
      <c r="G35" s="25">
        <v>12320</v>
      </c>
      <c r="H35" s="25">
        <v>11650</v>
      </c>
      <c r="I35" s="25">
        <v>11483</v>
      </c>
      <c r="J35" s="25">
        <v>0</v>
      </c>
      <c r="K35" s="54">
        <v>0</v>
      </c>
      <c r="L35" s="64">
        <f t="shared" si="4"/>
        <v>48060</v>
      </c>
      <c r="M35" s="64">
        <f t="shared" si="5"/>
        <v>63530</v>
      </c>
    </row>
    <row r="36" spans="1:13">
      <c r="A36" s="1" t="s">
        <v>2</v>
      </c>
      <c r="B36" s="6" t="s">
        <v>33</v>
      </c>
      <c r="C36" s="25">
        <v>0</v>
      </c>
      <c r="D36" s="26">
        <v>0</v>
      </c>
      <c r="E36" s="26">
        <f t="shared" si="3"/>
        <v>0</v>
      </c>
      <c r="F36" s="24">
        <v>0</v>
      </c>
      <c r="G36" s="25">
        <v>0</v>
      </c>
      <c r="H36" s="25">
        <v>0</v>
      </c>
      <c r="I36" s="25">
        <v>0</v>
      </c>
      <c r="J36" s="25">
        <v>0</v>
      </c>
      <c r="K36" s="54">
        <v>0</v>
      </c>
      <c r="L36" s="64">
        <f t="shared" si="4"/>
        <v>0</v>
      </c>
      <c r="M36" s="64">
        <f t="shared" si="5"/>
        <v>0</v>
      </c>
    </row>
    <row r="37" spans="1:13" ht="19.5" thickBot="1">
      <c r="A37" s="1" t="s">
        <v>2</v>
      </c>
      <c r="B37" s="37" t="s">
        <v>34</v>
      </c>
      <c r="C37" s="39">
        <v>606</v>
      </c>
      <c r="D37" s="40">
        <v>0</v>
      </c>
      <c r="E37" s="40">
        <f t="shared" si="3"/>
        <v>606</v>
      </c>
      <c r="F37" s="38">
        <v>5530</v>
      </c>
      <c r="G37" s="39">
        <v>5404</v>
      </c>
      <c r="H37" s="39">
        <v>365</v>
      </c>
      <c r="I37" s="39">
        <v>7180</v>
      </c>
      <c r="J37" s="39">
        <v>2872</v>
      </c>
      <c r="K37" s="55">
        <v>2408</v>
      </c>
      <c r="L37" s="65">
        <f t="shared" si="4"/>
        <v>23759</v>
      </c>
      <c r="M37" s="65">
        <f t="shared" si="5"/>
        <v>24365</v>
      </c>
    </row>
    <row r="38" spans="1:13" ht="19.5" thickBot="1">
      <c r="A38" s="1" t="s">
        <v>2</v>
      </c>
      <c r="B38" s="41" t="s">
        <v>50</v>
      </c>
      <c r="C38" s="43">
        <v>405606</v>
      </c>
      <c r="D38" s="44">
        <v>92820</v>
      </c>
      <c r="E38" s="44">
        <f t="shared" si="3"/>
        <v>498426</v>
      </c>
      <c r="F38" s="42">
        <v>381245</v>
      </c>
      <c r="G38" s="43">
        <v>400248</v>
      </c>
      <c r="H38" s="43">
        <v>265741</v>
      </c>
      <c r="I38" s="43">
        <v>351856</v>
      </c>
      <c r="J38" s="43">
        <v>382256</v>
      </c>
      <c r="K38" s="56">
        <v>359429</v>
      </c>
      <c r="L38" s="66">
        <f t="shared" si="4"/>
        <v>2140775</v>
      </c>
      <c r="M38" s="66">
        <f t="shared" si="5"/>
        <v>2639201</v>
      </c>
    </row>
    <row r="39" spans="1:13">
      <c r="A39" s="1" t="s">
        <v>2</v>
      </c>
      <c r="B39" s="5" t="s">
        <v>51</v>
      </c>
      <c r="C39" s="31">
        <v>10531</v>
      </c>
      <c r="D39" s="32">
        <v>2880</v>
      </c>
      <c r="E39" s="32">
        <f t="shared" si="3"/>
        <v>13411</v>
      </c>
      <c r="F39" s="30">
        <v>5310</v>
      </c>
      <c r="G39" s="31">
        <v>4827</v>
      </c>
      <c r="H39" s="31">
        <v>6461</v>
      </c>
      <c r="I39" s="31">
        <v>4442</v>
      </c>
      <c r="J39" s="31">
        <v>3840</v>
      </c>
      <c r="K39" s="53">
        <v>5266</v>
      </c>
      <c r="L39" s="63">
        <f t="shared" si="4"/>
        <v>30146</v>
      </c>
      <c r="M39" s="63">
        <f t="shared" si="5"/>
        <v>43557</v>
      </c>
    </row>
    <row r="40" spans="1:13" ht="19.5" thickBot="1">
      <c r="A40" s="1" t="s">
        <v>2</v>
      </c>
      <c r="B40" s="37" t="s">
        <v>52</v>
      </c>
      <c r="C40" s="39">
        <v>0</v>
      </c>
      <c r="D40" s="40">
        <v>0</v>
      </c>
      <c r="E40" s="40">
        <f t="shared" si="3"/>
        <v>0</v>
      </c>
      <c r="F40" s="38">
        <v>0</v>
      </c>
      <c r="G40" s="39">
        <v>0</v>
      </c>
      <c r="H40" s="39">
        <v>0</v>
      </c>
      <c r="I40" s="39">
        <v>0</v>
      </c>
      <c r="J40" s="39">
        <v>0</v>
      </c>
      <c r="K40" s="55">
        <v>0</v>
      </c>
      <c r="L40" s="65">
        <f t="shared" si="4"/>
        <v>0</v>
      </c>
      <c r="M40" s="65">
        <f t="shared" si="5"/>
        <v>0</v>
      </c>
    </row>
    <row r="41" spans="1:13" ht="19.5" thickBot="1">
      <c r="A41" s="1" t="s">
        <v>2</v>
      </c>
      <c r="B41" s="41" t="s">
        <v>53</v>
      </c>
      <c r="C41" s="43">
        <v>10531</v>
      </c>
      <c r="D41" s="44">
        <v>2880</v>
      </c>
      <c r="E41" s="44">
        <f t="shared" si="3"/>
        <v>13411</v>
      </c>
      <c r="F41" s="42">
        <v>5310</v>
      </c>
      <c r="G41" s="43">
        <v>4827</v>
      </c>
      <c r="H41" s="43">
        <v>6461</v>
      </c>
      <c r="I41" s="43">
        <v>4442</v>
      </c>
      <c r="J41" s="43">
        <v>3840</v>
      </c>
      <c r="K41" s="56">
        <v>5266</v>
      </c>
      <c r="L41" s="66">
        <f t="shared" si="4"/>
        <v>30146</v>
      </c>
      <c r="M41" s="66">
        <f t="shared" si="5"/>
        <v>43557</v>
      </c>
    </row>
    <row r="42" spans="1:13" ht="19.5" thickBot="1">
      <c r="A42" s="1" t="s">
        <v>2</v>
      </c>
      <c r="B42" s="41" t="s">
        <v>54</v>
      </c>
      <c r="C42" s="43">
        <v>416137</v>
      </c>
      <c r="D42" s="44">
        <v>95700</v>
      </c>
      <c r="E42" s="44">
        <f t="shared" si="3"/>
        <v>511837</v>
      </c>
      <c r="F42" s="42">
        <v>386555</v>
      </c>
      <c r="G42" s="43">
        <v>405075</v>
      </c>
      <c r="H42" s="43">
        <v>272202</v>
      </c>
      <c r="I42" s="43">
        <v>356298</v>
      </c>
      <c r="J42" s="43">
        <v>386096</v>
      </c>
      <c r="K42" s="56">
        <v>364695</v>
      </c>
      <c r="L42" s="66">
        <f t="shared" si="4"/>
        <v>2170921</v>
      </c>
      <c r="M42" s="66">
        <f t="shared" si="5"/>
        <v>2682758</v>
      </c>
    </row>
    <row r="43" spans="1:13">
      <c r="A43" s="1" t="s">
        <v>2</v>
      </c>
      <c r="B43" s="5" t="s">
        <v>55</v>
      </c>
      <c r="C43" s="31">
        <v>20910</v>
      </c>
      <c r="D43" s="32">
        <v>0</v>
      </c>
      <c r="E43" s="32">
        <f t="shared" si="3"/>
        <v>20910</v>
      </c>
      <c r="F43" s="30">
        <v>20910</v>
      </c>
      <c r="G43" s="31">
        <v>19380</v>
      </c>
      <c r="H43" s="31">
        <v>18360</v>
      </c>
      <c r="I43" s="31">
        <v>18360</v>
      </c>
      <c r="J43" s="31">
        <v>19380</v>
      </c>
      <c r="K43" s="53">
        <v>19380</v>
      </c>
      <c r="L43" s="63">
        <f t="shared" si="4"/>
        <v>115770</v>
      </c>
      <c r="M43" s="63">
        <f t="shared" si="5"/>
        <v>136680</v>
      </c>
    </row>
    <row r="44" spans="1:13">
      <c r="A44" s="1" t="s">
        <v>2</v>
      </c>
      <c r="B44" s="6" t="s">
        <v>56</v>
      </c>
      <c r="C44" s="25">
        <v>3690</v>
      </c>
      <c r="D44" s="26">
        <v>0</v>
      </c>
      <c r="E44" s="26">
        <f t="shared" si="3"/>
        <v>3690</v>
      </c>
      <c r="F44" s="24">
        <v>3690</v>
      </c>
      <c r="G44" s="25">
        <v>3420</v>
      </c>
      <c r="H44" s="25">
        <v>3240</v>
      </c>
      <c r="I44" s="25">
        <v>3240</v>
      </c>
      <c r="J44" s="25">
        <v>3420</v>
      </c>
      <c r="K44" s="54">
        <v>3420</v>
      </c>
      <c r="L44" s="64">
        <f t="shared" si="4"/>
        <v>20430</v>
      </c>
      <c r="M44" s="64">
        <f t="shared" si="5"/>
        <v>24120</v>
      </c>
    </row>
    <row r="45" spans="1:13">
      <c r="A45" s="1" t="s">
        <v>2</v>
      </c>
      <c r="B45" s="6" t="s">
        <v>57</v>
      </c>
      <c r="C45" s="25">
        <v>37515</v>
      </c>
      <c r="D45" s="26">
        <v>0</v>
      </c>
      <c r="E45" s="26">
        <f t="shared" si="3"/>
        <v>37515</v>
      </c>
      <c r="F45" s="24">
        <v>37515</v>
      </c>
      <c r="G45" s="25">
        <v>34770</v>
      </c>
      <c r="H45" s="25">
        <v>32940</v>
      </c>
      <c r="I45" s="25">
        <v>32940</v>
      </c>
      <c r="J45" s="25">
        <v>34770</v>
      </c>
      <c r="K45" s="54">
        <v>34770</v>
      </c>
      <c r="L45" s="64">
        <f t="shared" si="4"/>
        <v>207705</v>
      </c>
      <c r="M45" s="64">
        <f t="shared" si="5"/>
        <v>245220</v>
      </c>
    </row>
    <row r="46" spans="1:13">
      <c r="A46" s="1" t="s">
        <v>2</v>
      </c>
      <c r="B46" s="6" t="s">
        <v>58</v>
      </c>
      <c r="C46" s="25">
        <v>1248</v>
      </c>
      <c r="D46" s="26">
        <v>287</v>
      </c>
      <c r="E46" s="26">
        <f t="shared" si="3"/>
        <v>1535</v>
      </c>
      <c r="F46" s="24">
        <v>1160</v>
      </c>
      <c r="G46" s="25">
        <v>1215</v>
      </c>
      <c r="H46" s="25">
        <v>817</v>
      </c>
      <c r="I46" s="25">
        <v>1069</v>
      </c>
      <c r="J46" s="25">
        <v>1158</v>
      </c>
      <c r="K46" s="54">
        <v>1094</v>
      </c>
      <c r="L46" s="64">
        <f t="shared" si="4"/>
        <v>6513</v>
      </c>
      <c r="M46" s="64">
        <f t="shared" si="5"/>
        <v>8048</v>
      </c>
    </row>
    <row r="47" spans="1:13" ht="19.5" thickBot="1">
      <c r="A47" s="1" t="s">
        <v>2</v>
      </c>
      <c r="B47" s="37" t="s">
        <v>59</v>
      </c>
      <c r="C47" s="39">
        <v>0</v>
      </c>
      <c r="D47" s="40">
        <v>0</v>
      </c>
      <c r="E47" s="40">
        <f t="shared" si="3"/>
        <v>0</v>
      </c>
      <c r="F47" s="38">
        <v>0</v>
      </c>
      <c r="G47" s="39">
        <v>0</v>
      </c>
      <c r="H47" s="39">
        <v>0</v>
      </c>
      <c r="I47" s="39">
        <v>0</v>
      </c>
      <c r="J47" s="39">
        <v>0</v>
      </c>
      <c r="K47" s="55">
        <v>0</v>
      </c>
      <c r="L47" s="65">
        <f t="shared" si="4"/>
        <v>0</v>
      </c>
      <c r="M47" s="65">
        <f t="shared" si="5"/>
        <v>0</v>
      </c>
    </row>
    <row r="48" spans="1:13" ht="19.5" thickBot="1">
      <c r="A48" s="1" t="s">
        <v>2</v>
      </c>
      <c r="B48" s="41" t="s">
        <v>60</v>
      </c>
      <c r="C48" s="43">
        <v>63363</v>
      </c>
      <c r="D48" s="44">
        <v>287</v>
      </c>
      <c r="E48" s="44">
        <f t="shared" si="3"/>
        <v>63650</v>
      </c>
      <c r="F48" s="42">
        <v>63275</v>
      </c>
      <c r="G48" s="43">
        <v>58785</v>
      </c>
      <c r="H48" s="43">
        <v>55357</v>
      </c>
      <c r="I48" s="43">
        <v>55609</v>
      </c>
      <c r="J48" s="43">
        <v>58728</v>
      </c>
      <c r="K48" s="56">
        <v>58664</v>
      </c>
      <c r="L48" s="66">
        <f t="shared" si="4"/>
        <v>350418</v>
      </c>
      <c r="M48" s="66">
        <f t="shared" si="5"/>
        <v>414068</v>
      </c>
    </row>
    <row r="49" spans="1:13">
      <c r="A49" s="1" t="s">
        <v>2</v>
      </c>
      <c r="B49" s="5" t="s">
        <v>61</v>
      </c>
      <c r="C49" s="31">
        <v>8600</v>
      </c>
      <c r="D49" s="32">
        <v>340</v>
      </c>
      <c r="E49" s="32">
        <f t="shared" si="3"/>
        <v>8940</v>
      </c>
      <c r="F49" s="30">
        <v>7460</v>
      </c>
      <c r="G49" s="31">
        <v>11770</v>
      </c>
      <c r="H49" s="31">
        <v>3520</v>
      </c>
      <c r="I49" s="31">
        <v>6590</v>
      </c>
      <c r="J49" s="31">
        <v>10300</v>
      </c>
      <c r="K49" s="53">
        <v>8440</v>
      </c>
      <c r="L49" s="63">
        <f t="shared" si="4"/>
        <v>48080</v>
      </c>
      <c r="M49" s="63">
        <f t="shared" si="5"/>
        <v>57020</v>
      </c>
    </row>
    <row r="50" spans="1:13">
      <c r="A50" s="1" t="s">
        <v>2</v>
      </c>
      <c r="B50" s="6" t="s">
        <v>62</v>
      </c>
      <c r="C50" s="25">
        <v>0</v>
      </c>
      <c r="D50" s="26">
        <v>0</v>
      </c>
      <c r="E50" s="26">
        <f t="shared" si="3"/>
        <v>0</v>
      </c>
      <c r="F50" s="24">
        <v>0</v>
      </c>
      <c r="G50" s="25">
        <v>0</v>
      </c>
      <c r="H50" s="25">
        <v>0</v>
      </c>
      <c r="I50" s="25">
        <v>0</v>
      </c>
      <c r="J50" s="25">
        <v>0</v>
      </c>
      <c r="K50" s="54">
        <v>0</v>
      </c>
      <c r="L50" s="64">
        <f t="shared" si="4"/>
        <v>0</v>
      </c>
      <c r="M50" s="64">
        <f t="shared" si="5"/>
        <v>0</v>
      </c>
    </row>
    <row r="51" spans="1:13">
      <c r="A51" s="1" t="s">
        <v>2</v>
      </c>
      <c r="B51" s="6" t="s">
        <v>63</v>
      </c>
      <c r="C51" s="25">
        <v>25500</v>
      </c>
      <c r="D51" s="26">
        <v>900</v>
      </c>
      <c r="E51" s="26">
        <f t="shared" si="3"/>
        <v>26400</v>
      </c>
      <c r="F51" s="24">
        <v>14800</v>
      </c>
      <c r="G51" s="25">
        <v>17200</v>
      </c>
      <c r="H51" s="25">
        <v>0</v>
      </c>
      <c r="I51" s="25">
        <v>5800</v>
      </c>
      <c r="J51" s="25">
        <v>18000</v>
      </c>
      <c r="K51" s="54">
        <v>2100</v>
      </c>
      <c r="L51" s="64">
        <f t="shared" si="4"/>
        <v>57900</v>
      </c>
      <c r="M51" s="64">
        <f t="shared" si="5"/>
        <v>84300</v>
      </c>
    </row>
    <row r="52" spans="1:13">
      <c r="A52" s="1" t="s">
        <v>2</v>
      </c>
      <c r="B52" s="6" t="s">
        <v>64</v>
      </c>
      <c r="C52" s="25">
        <v>0</v>
      </c>
      <c r="D52" s="26">
        <v>0</v>
      </c>
      <c r="E52" s="26">
        <f t="shared" si="3"/>
        <v>0</v>
      </c>
      <c r="F52" s="24">
        <v>0</v>
      </c>
      <c r="G52" s="25">
        <v>0</v>
      </c>
      <c r="H52" s="25">
        <v>0</v>
      </c>
      <c r="I52" s="25">
        <v>0</v>
      </c>
      <c r="J52" s="25">
        <v>0</v>
      </c>
      <c r="K52" s="54">
        <v>6000</v>
      </c>
      <c r="L52" s="64">
        <f t="shared" si="4"/>
        <v>6000</v>
      </c>
      <c r="M52" s="64">
        <f t="shared" si="5"/>
        <v>6000</v>
      </c>
    </row>
    <row r="53" spans="1:13" ht="19.5" thickBot="1">
      <c r="A53" s="1" t="s">
        <v>2</v>
      </c>
      <c r="B53" s="6" t="s">
        <v>65</v>
      </c>
      <c r="C53" s="25">
        <v>0</v>
      </c>
      <c r="D53" s="26">
        <v>0</v>
      </c>
      <c r="E53" s="26">
        <f t="shared" si="3"/>
        <v>0</v>
      </c>
      <c r="F53" s="24">
        <v>0</v>
      </c>
      <c r="G53" s="25">
        <v>0</v>
      </c>
      <c r="H53" s="25">
        <v>0</v>
      </c>
      <c r="I53" s="25">
        <v>0</v>
      </c>
      <c r="J53" s="25">
        <v>0</v>
      </c>
      <c r="K53" s="54">
        <v>0</v>
      </c>
      <c r="L53" s="64">
        <f t="shared" si="4"/>
        <v>0</v>
      </c>
      <c r="M53" s="64">
        <f t="shared" si="5"/>
        <v>0</v>
      </c>
    </row>
    <row r="54" spans="1:13" ht="19.5" thickBot="1">
      <c r="A54" s="1" t="s">
        <v>2</v>
      </c>
      <c r="B54" s="41" t="s">
        <v>66</v>
      </c>
      <c r="C54" s="43">
        <v>97463</v>
      </c>
      <c r="D54" s="44">
        <v>1527</v>
      </c>
      <c r="E54" s="44">
        <f t="shared" si="3"/>
        <v>98990</v>
      </c>
      <c r="F54" s="42">
        <v>85535</v>
      </c>
      <c r="G54" s="43">
        <v>87755</v>
      </c>
      <c r="H54" s="43">
        <v>58877</v>
      </c>
      <c r="I54" s="43">
        <v>67999</v>
      </c>
      <c r="J54" s="43">
        <v>87028</v>
      </c>
      <c r="K54" s="56">
        <v>75204</v>
      </c>
      <c r="L54" s="66">
        <f t="shared" si="4"/>
        <v>462398</v>
      </c>
      <c r="M54" s="66">
        <f t="shared" si="5"/>
        <v>561388</v>
      </c>
    </row>
    <row r="55" spans="1:13" ht="19.5" thickBot="1">
      <c r="A55" s="1" t="s">
        <v>2</v>
      </c>
      <c r="B55" s="41" t="s">
        <v>67</v>
      </c>
      <c r="C55" s="43">
        <v>342243</v>
      </c>
      <c r="D55" s="44">
        <v>92533</v>
      </c>
      <c r="E55" s="44">
        <f t="shared" si="3"/>
        <v>434776</v>
      </c>
      <c r="F55" s="42">
        <v>317970</v>
      </c>
      <c r="G55" s="43">
        <v>341463</v>
      </c>
      <c r="H55" s="43">
        <v>210384</v>
      </c>
      <c r="I55" s="43">
        <v>296247</v>
      </c>
      <c r="J55" s="43">
        <v>323528</v>
      </c>
      <c r="K55" s="56">
        <v>300765</v>
      </c>
      <c r="L55" s="66">
        <f t="shared" si="4"/>
        <v>1790357</v>
      </c>
      <c r="M55" s="66">
        <f t="shared" si="5"/>
        <v>2225133</v>
      </c>
    </row>
    <row r="56" spans="1:13" ht="19.5" thickBot="1">
      <c r="A56" s="1" t="s">
        <v>2</v>
      </c>
      <c r="B56" s="41" t="s">
        <v>68</v>
      </c>
      <c r="C56" s="43">
        <v>318674</v>
      </c>
      <c r="D56" s="44">
        <v>94173</v>
      </c>
      <c r="E56" s="44">
        <f t="shared" si="3"/>
        <v>412847</v>
      </c>
      <c r="F56" s="42">
        <v>301020</v>
      </c>
      <c r="G56" s="43">
        <v>317320</v>
      </c>
      <c r="H56" s="43">
        <v>213325</v>
      </c>
      <c r="I56" s="43">
        <v>288299</v>
      </c>
      <c r="J56" s="43">
        <v>299068</v>
      </c>
      <c r="K56" s="56">
        <v>289491</v>
      </c>
      <c r="L56" s="66">
        <f t="shared" si="4"/>
        <v>1708523</v>
      </c>
      <c r="M56" s="66">
        <f t="shared" si="5"/>
        <v>2121370</v>
      </c>
    </row>
    <row r="57" spans="1:13">
      <c r="A57" s="1" t="s">
        <v>2</v>
      </c>
      <c r="B57" s="5" t="s">
        <v>69</v>
      </c>
      <c r="C57" s="31">
        <v>0</v>
      </c>
      <c r="D57" s="32">
        <v>0</v>
      </c>
      <c r="E57" s="32">
        <f t="shared" si="3"/>
        <v>0</v>
      </c>
      <c r="F57" s="30">
        <v>0</v>
      </c>
      <c r="G57" s="31">
        <v>0</v>
      </c>
      <c r="H57" s="31">
        <v>0</v>
      </c>
      <c r="I57" s="31">
        <v>0</v>
      </c>
      <c r="J57" s="31">
        <v>0</v>
      </c>
      <c r="K57" s="53">
        <v>0</v>
      </c>
      <c r="L57" s="63">
        <f t="shared" si="4"/>
        <v>0</v>
      </c>
      <c r="M57" s="63">
        <f t="shared" si="5"/>
        <v>0</v>
      </c>
    </row>
    <row r="58" spans="1:13">
      <c r="A58" s="1" t="s">
        <v>2</v>
      </c>
      <c r="B58" s="6" t="s">
        <v>70</v>
      </c>
      <c r="C58" s="25">
        <v>318674</v>
      </c>
      <c r="D58" s="26">
        <v>94173</v>
      </c>
      <c r="E58" s="26">
        <f t="shared" si="3"/>
        <v>412847</v>
      </c>
      <c r="F58" s="24">
        <v>301020</v>
      </c>
      <c r="G58" s="25">
        <v>317320</v>
      </c>
      <c r="H58" s="25">
        <v>213325</v>
      </c>
      <c r="I58" s="25">
        <v>288299</v>
      </c>
      <c r="J58" s="25">
        <v>299068</v>
      </c>
      <c r="K58" s="54">
        <v>289491</v>
      </c>
      <c r="L58" s="64">
        <f t="shared" si="4"/>
        <v>1708523</v>
      </c>
      <c r="M58" s="64">
        <f t="shared" si="5"/>
        <v>2121370</v>
      </c>
    </row>
    <row r="59" spans="1:13">
      <c r="A59" s="1" t="s">
        <v>2</v>
      </c>
      <c r="B59" s="6" t="s">
        <v>71</v>
      </c>
      <c r="C59" s="25">
        <v>1</v>
      </c>
      <c r="D59" s="26">
        <v>0</v>
      </c>
      <c r="E59" s="26"/>
      <c r="F59" s="24">
        <v>1</v>
      </c>
      <c r="G59" s="25">
        <v>0</v>
      </c>
      <c r="H59" s="25">
        <v>1</v>
      </c>
      <c r="I59" s="25">
        <v>1</v>
      </c>
      <c r="J59" s="25">
        <v>0</v>
      </c>
      <c r="K59" s="54">
        <v>0</v>
      </c>
      <c r="L59" s="64"/>
      <c r="M59" s="64"/>
    </row>
    <row r="60" spans="1:13" ht="19.5" thickBot="1">
      <c r="A60" s="1" t="s">
        <v>2</v>
      </c>
      <c r="B60" s="7" t="s">
        <v>72</v>
      </c>
      <c r="C60" s="28" t="s">
        <v>73</v>
      </c>
      <c r="D60" s="29" t="s">
        <v>73</v>
      </c>
      <c r="E60" s="7"/>
      <c r="F60" s="27" t="s">
        <v>73</v>
      </c>
      <c r="G60" s="28" t="s">
        <v>73</v>
      </c>
      <c r="H60" s="28" t="s">
        <v>73</v>
      </c>
      <c r="I60" s="28" t="s">
        <v>73</v>
      </c>
      <c r="J60" s="28" t="s">
        <v>73</v>
      </c>
      <c r="K60" s="57" t="s">
        <v>73</v>
      </c>
      <c r="L60" s="67"/>
      <c r="M60" s="67"/>
    </row>
  </sheetData>
  <phoneticPr fontId="3"/>
  <pageMargins left="0.31496062992125984" right="0.31496062992125984" top="0.15748031496062992" bottom="0.15748031496062992" header="0.31496062992125984" footer="0.31496062992125984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D73F-786D-4706-BEDA-ED717D28CA55}">
  <sheetPr>
    <pageSetUpPr fitToPage="1"/>
  </sheetPr>
  <dimension ref="A1:M60"/>
  <sheetViews>
    <sheetView showZeros="0" tabSelected="1" topLeftCell="A4" workbookViewId="0">
      <selection activeCell="K10" sqref="K10"/>
    </sheetView>
  </sheetViews>
  <sheetFormatPr defaultRowHeight="18.75"/>
  <cols>
    <col min="1" max="1" width="2.375" style="2" customWidth="1"/>
    <col min="2" max="2" width="13.25" style="2" bestFit="1" customWidth="1"/>
    <col min="3" max="13" width="9.87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74</v>
      </c>
    </row>
    <row r="4" spans="1:13">
      <c r="B4" s="3"/>
      <c r="C4" s="10" t="s">
        <v>5</v>
      </c>
      <c r="D4" s="11" t="s">
        <v>10</v>
      </c>
      <c r="E4" s="45" t="s">
        <v>75</v>
      </c>
      <c r="F4" s="9" t="s">
        <v>3</v>
      </c>
      <c r="G4" s="10" t="s">
        <v>4</v>
      </c>
      <c r="H4" s="10" t="s">
        <v>6</v>
      </c>
      <c r="I4" s="10" t="s">
        <v>7</v>
      </c>
      <c r="J4" s="10" t="s">
        <v>8</v>
      </c>
      <c r="K4" s="47" t="s">
        <v>9</v>
      </c>
      <c r="L4" s="58" t="s">
        <v>75</v>
      </c>
      <c r="M4" s="58" t="s">
        <v>78</v>
      </c>
    </row>
    <row r="5" spans="1:13" ht="19.5" thickBot="1">
      <c r="A5" s="68"/>
      <c r="B5" s="4" t="s">
        <v>11</v>
      </c>
      <c r="C5" s="13" t="s">
        <v>14</v>
      </c>
      <c r="D5" s="14" t="s">
        <v>19</v>
      </c>
      <c r="E5" s="46" t="s">
        <v>76</v>
      </c>
      <c r="F5" s="12" t="s">
        <v>12</v>
      </c>
      <c r="G5" s="13" t="s">
        <v>13</v>
      </c>
      <c r="H5" s="13" t="s">
        <v>15</v>
      </c>
      <c r="I5" s="13" t="s">
        <v>16</v>
      </c>
      <c r="J5" s="13" t="s">
        <v>17</v>
      </c>
      <c r="K5" s="48" t="s">
        <v>18</v>
      </c>
      <c r="L5" s="59" t="s">
        <v>77</v>
      </c>
      <c r="M5" s="59" t="s">
        <v>79</v>
      </c>
    </row>
    <row r="6" spans="1:13">
      <c r="A6" s="1" t="s">
        <v>2</v>
      </c>
      <c r="B6" s="5" t="s">
        <v>20</v>
      </c>
      <c r="C6" s="16">
        <v>21</v>
      </c>
      <c r="D6" s="17">
        <v>10</v>
      </c>
      <c r="E6" s="8">
        <f>SUM(C6:D6)</f>
        <v>31</v>
      </c>
      <c r="F6" s="15">
        <v>20</v>
      </c>
      <c r="G6" s="16">
        <v>20</v>
      </c>
      <c r="H6" s="16">
        <v>18</v>
      </c>
      <c r="I6" s="16">
        <v>20</v>
      </c>
      <c r="J6" s="16">
        <v>19</v>
      </c>
      <c r="K6" s="49">
        <v>20</v>
      </c>
      <c r="L6" s="60">
        <f>SUM(F6:K6)</f>
        <v>117</v>
      </c>
      <c r="M6" s="60">
        <f>SUM(L6,E6)</f>
        <v>148</v>
      </c>
    </row>
    <row r="7" spans="1:13">
      <c r="A7" s="1" t="s">
        <v>2</v>
      </c>
      <c r="B7" s="6" t="s">
        <v>21</v>
      </c>
      <c r="C7" s="19">
        <v>0</v>
      </c>
      <c r="D7" s="20">
        <v>0</v>
      </c>
      <c r="E7" s="8">
        <f t="shared" ref="E7:E20" si="0">SUM(C7:D7)</f>
        <v>0</v>
      </c>
      <c r="F7" s="18">
        <v>1</v>
      </c>
      <c r="G7" s="19">
        <v>2</v>
      </c>
      <c r="H7" s="19">
        <v>0</v>
      </c>
      <c r="I7" s="19">
        <v>1</v>
      </c>
      <c r="J7" s="19">
        <v>4</v>
      </c>
      <c r="K7" s="50">
        <v>3</v>
      </c>
      <c r="L7" s="60">
        <f t="shared" ref="L7:L20" si="1">SUM(F7:K7)</f>
        <v>11</v>
      </c>
      <c r="M7" s="60">
        <f t="shared" ref="M7:M20" si="2">SUM(L7,E7)</f>
        <v>11</v>
      </c>
    </row>
    <row r="8" spans="1:13">
      <c r="A8" s="1" t="s">
        <v>2</v>
      </c>
      <c r="B8" s="6" t="s">
        <v>22</v>
      </c>
      <c r="C8" s="19">
        <v>0</v>
      </c>
      <c r="D8" s="20">
        <v>0</v>
      </c>
      <c r="E8" s="8">
        <f t="shared" si="0"/>
        <v>0</v>
      </c>
      <c r="F8" s="18">
        <v>1</v>
      </c>
      <c r="G8" s="19">
        <v>1</v>
      </c>
      <c r="H8" s="19">
        <v>0</v>
      </c>
      <c r="I8" s="19">
        <v>1</v>
      </c>
      <c r="J8" s="19">
        <v>2</v>
      </c>
      <c r="K8" s="50">
        <v>1</v>
      </c>
      <c r="L8" s="60">
        <f t="shared" si="1"/>
        <v>6</v>
      </c>
      <c r="M8" s="60">
        <f t="shared" si="2"/>
        <v>6</v>
      </c>
    </row>
    <row r="9" spans="1:13">
      <c r="A9" s="1" t="s">
        <v>2</v>
      </c>
      <c r="B9" s="6" t="s">
        <v>23</v>
      </c>
      <c r="C9" s="19">
        <v>0</v>
      </c>
      <c r="D9" s="20">
        <v>0</v>
      </c>
      <c r="E9" s="8">
        <f t="shared" si="0"/>
        <v>0</v>
      </c>
      <c r="F9" s="18">
        <v>0</v>
      </c>
      <c r="G9" s="19">
        <v>0</v>
      </c>
      <c r="H9" s="19">
        <v>0</v>
      </c>
      <c r="I9" s="19">
        <v>0</v>
      </c>
      <c r="J9" s="19">
        <v>0</v>
      </c>
      <c r="K9" s="50">
        <v>0</v>
      </c>
      <c r="L9" s="60">
        <f t="shared" si="1"/>
        <v>0</v>
      </c>
      <c r="M9" s="60">
        <f t="shared" si="2"/>
        <v>0</v>
      </c>
    </row>
    <row r="10" spans="1:13">
      <c r="A10" s="1" t="s">
        <v>2</v>
      </c>
      <c r="B10" s="6" t="s">
        <v>24</v>
      </c>
      <c r="C10" s="19">
        <v>0</v>
      </c>
      <c r="D10" s="20">
        <v>0</v>
      </c>
      <c r="E10" s="8">
        <f t="shared" si="0"/>
        <v>0</v>
      </c>
      <c r="F10" s="18">
        <v>0</v>
      </c>
      <c r="G10" s="19">
        <v>0</v>
      </c>
      <c r="H10" s="19">
        <v>2</v>
      </c>
      <c r="I10" s="19">
        <v>0</v>
      </c>
      <c r="J10" s="19">
        <v>2</v>
      </c>
      <c r="K10" s="50">
        <v>1</v>
      </c>
      <c r="L10" s="60">
        <f t="shared" si="1"/>
        <v>5</v>
      </c>
      <c r="M10" s="60">
        <f t="shared" si="2"/>
        <v>5</v>
      </c>
    </row>
    <row r="11" spans="1:13">
      <c r="A11" s="1" t="s">
        <v>2</v>
      </c>
      <c r="B11" s="6" t="s">
        <v>25</v>
      </c>
      <c r="C11" s="19">
        <v>0</v>
      </c>
      <c r="D11" s="20">
        <v>0</v>
      </c>
      <c r="E11" s="8">
        <f t="shared" si="0"/>
        <v>0</v>
      </c>
      <c r="F11" s="18">
        <v>0</v>
      </c>
      <c r="G11" s="19">
        <v>0</v>
      </c>
      <c r="H11" s="19">
        <v>0</v>
      </c>
      <c r="I11" s="19">
        <v>0</v>
      </c>
      <c r="J11" s="19">
        <v>0</v>
      </c>
      <c r="K11" s="50">
        <v>0</v>
      </c>
      <c r="L11" s="60">
        <f t="shared" si="1"/>
        <v>0</v>
      </c>
      <c r="M11" s="60">
        <f t="shared" si="2"/>
        <v>0</v>
      </c>
    </row>
    <row r="12" spans="1:13">
      <c r="A12" s="1" t="s">
        <v>2</v>
      </c>
      <c r="B12" s="6" t="s">
        <v>26</v>
      </c>
      <c r="C12" s="19">
        <v>0</v>
      </c>
      <c r="D12" s="20">
        <v>0</v>
      </c>
      <c r="E12" s="8">
        <f t="shared" si="0"/>
        <v>0</v>
      </c>
      <c r="F12" s="18">
        <v>1</v>
      </c>
      <c r="G12" s="19">
        <v>1</v>
      </c>
      <c r="H12" s="19">
        <v>1</v>
      </c>
      <c r="I12" s="19">
        <v>1</v>
      </c>
      <c r="J12" s="19">
        <v>0</v>
      </c>
      <c r="K12" s="50">
        <v>0</v>
      </c>
      <c r="L12" s="60">
        <f t="shared" si="1"/>
        <v>4</v>
      </c>
      <c r="M12" s="60">
        <f t="shared" si="2"/>
        <v>4</v>
      </c>
    </row>
    <row r="13" spans="1:13">
      <c r="A13" s="1" t="s">
        <v>2</v>
      </c>
      <c r="B13" s="6" t="s">
        <v>27</v>
      </c>
      <c r="C13" s="19">
        <v>0</v>
      </c>
      <c r="D13" s="20">
        <v>2</v>
      </c>
      <c r="E13" s="8">
        <f t="shared" si="0"/>
        <v>2</v>
      </c>
      <c r="F13" s="18"/>
      <c r="G13" s="19"/>
      <c r="H13" s="19"/>
      <c r="I13" s="19"/>
      <c r="J13" s="19"/>
      <c r="K13" s="50"/>
      <c r="L13" s="60">
        <f t="shared" si="1"/>
        <v>0</v>
      </c>
      <c r="M13" s="60">
        <f t="shared" si="2"/>
        <v>2</v>
      </c>
    </row>
    <row r="14" spans="1:13">
      <c r="A14" s="1" t="s">
        <v>2</v>
      </c>
      <c r="B14" s="6" t="s">
        <v>28</v>
      </c>
      <c r="C14" s="22">
        <v>0</v>
      </c>
      <c r="D14" s="23">
        <v>2.9166666666666665</v>
      </c>
      <c r="E14" s="23">
        <f t="shared" si="0"/>
        <v>2.9166666666666665</v>
      </c>
      <c r="F14" s="21">
        <v>0</v>
      </c>
      <c r="G14" s="22">
        <v>0</v>
      </c>
      <c r="H14" s="22">
        <v>0</v>
      </c>
      <c r="I14" s="22">
        <v>0</v>
      </c>
      <c r="J14" s="22">
        <v>0</v>
      </c>
      <c r="K14" s="51">
        <v>0</v>
      </c>
      <c r="L14" s="60">
        <f t="shared" si="1"/>
        <v>0</v>
      </c>
      <c r="M14" s="61">
        <f t="shared" si="2"/>
        <v>2.9166666666666665</v>
      </c>
    </row>
    <row r="15" spans="1:13">
      <c r="A15" s="1" t="s">
        <v>2</v>
      </c>
      <c r="B15" s="6" t="s">
        <v>29</v>
      </c>
      <c r="C15" s="22">
        <v>0</v>
      </c>
      <c r="D15" s="23">
        <v>0</v>
      </c>
      <c r="E15" s="8">
        <f t="shared" si="0"/>
        <v>0</v>
      </c>
      <c r="F15" s="21">
        <v>0</v>
      </c>
      <c r="G15" s="22">
        <v>0</v>
      </c>
      <c r="H15" s="22">
        <v>0</v>
      </c>
      <c r="I15" s="22">
        <v>0</v>
      </c>
      <c r="J15" s="22">
        <v>0</v>
      </c>
      <c r="K15" s="51">
        <v>0</v>
      </c>
      <c r="L15" s="60">
        <f t="shared" si="1"/>
        <v>0</v>
      </c>
      <c r="M15" s="60">
        <f t="shared" si="2"/>
        <v>0</v>
      </c>
    </row>
    <row r="16" spans="1:13">
      <c r="A16" s="1" t="s">
        <v>2</v>
      </c>
      <c r="B16" s="6" t="s">
        <v>30</v>
      </c>
      <c r="C16" s="22">
        <v>0</v>
      </c>
      <c r="D16" s="23">
        <v>0</v>
      </c>
      <c r="E16" s="8">
        <f t="shared" si="0"/>
        <v>0</v>
      </c>
      <c r="F16" s="21">
        <v>1.875</v>
      </c>
      <c r="G16" s="22">
        <v>1.7083333333333335</v>
      </c>
      <c r="H16" s="22">
        <v>0.5</v>
      </c>
      <c r="I16" s="22">
        <v>1.7083333333333335</v>
      </c>
      <c r="J16" s="22">
        <v>1.2083333333333333</v>
      </c>
      <c r="K16" s="51">
        <v>1.5</v>
      </c>
      <c r="L16" s="61">
        <f t="shared" si="1"/>
        <v>8.5</v>
      </c>
      <c r="M16" s="60">
        <f t="shared" si="2"/>
        <v>8.5</v>
      </c>
    </row>
    <row r="17" spans="1:13">
      <c r="A17" s="1" t="s">
        <v>2</v>
      </c>
      <c r="B17" s="6" t="s">
        <v>31</v>
      </c>
      <c r="C17" s="22">
        <v>0</v>
      </c>
      <c r="D17" s="23">
        <v>0</v>
      </c>
      <c r="E17" s="8">
        <f t="shared" si="0"/>
        <v>0</v>
      </c>
      <c r="F17" s="21">
        <v>0.25</v>
      </c>
      <c r="G17" s="22">
        <v>0.70833333333333337</v>
      </c>
      <c r="H17" s="22">
        <v>0</v>
      </c>
      <c r="I17" s="22">
        <v>0.20833333333333334</v>
      </c>
      <c r="J17" s="22">
        <v>1.125</v>
      </c>
      <c r="K17" s="51">
        <v>1</v>
      </c>
      <c r="L17" s="61">
        <f t="shared" si="1"/>
        <v>3.291666666666667</v>
      </c>
      <c r="M17" s="60">
        <f t="shared" si="2"/>
        <v>3.291666666666667</v>
      </c>
    </row>
    <row r="18" spans="1:13">
      <c r="A18" s="1" t="s">
        <v>2</v>
      </c>
      <c r="B18" s="6" t="s">
        <v>32</v>
      </c>
      <c r="C18" s="22">
        <v>0</v>
      </c>
      <c r="D18" s="23">
        <v>0</v>
      </c>
      <c r="E18" s="8">
        <f t="shared" si="0"/>
        <v>0</v>
      </c>
      <c r="F18" s="21">
        <v>0.20833333333333334</v>
      </c>
      <c r="G18" s="22">
        <v>0.45833333333333331</v>
      </c>
      <c r="H18" s="22">
        <v>0</v>
      </c>
      <c r="I18" s="22">
        <v>0.45833333333333331</v>
      </c>
      <c r="J18" s="22">
        <v>0.75</v>
      </c>
      <c r="K18" s="51">
        <v>0.45833333333333331</v>
      </c>
      <c r="L18" s="61">
        <f t="shared" si="1"/>
        <v>2.3333333333333335</v>
      </c>
      <c r="M18" s="60">
        <f t="shared" si="2"/>
        <v>2.3333333333333335</v>
      </c>
    </row>
    <row r="19" spans="1:13">
      <c r="A19" s="1" t="s">
        <v>2</v>
      </c>
      <c r="B19" s="6" t="s">
        <v>34</v>
      </c>
      <c r="C19" s="22">
        <v>4.1666666666666664E-2</v>
      </c>
      <c r="D19" s="23">
        <v>0</v>
      </c>
      <c r="E19" s="22">
        <f t="shared" si="0"/>
        <v>4.1666666666666664E-2</v>
      </c>
      <c r="F19" s="21">
        <v>0.58333333333333337</v>
      </c>
      <c r="G19" s="22">
        <v>0.58333333333333337</v>
      </c>
      <c r="H19" s="22">
        <v>4.1666666666666664E-2</v>
      </c>
      <c r="I19" s="22">
        <v>0.83333333333333337</v>
      </c>
      <c r="J19" s="22">
        <v>0.33333333333333331</v>
      </c>
      <c r="K19" s="51">
        <v>0.29166666666666669</v>
      </c>
      <c r="L19" s="61">
        <f t="shared" si="1"/>
        <v>2.666666666666667</v>
      </c>
      <c r="M19" s="61">
        <f t="shared" si="2"/>
        <v>2.7083333333333335</v>
      </c>
    </row>
    <row r="20" spans="1:13" ht="19.5" thickBot="1">
      <c r="A20" s="1" t="s">
        <v>2</v>
      </c>
      <c r="B20" s="7" t="s">
        <v>35</v>
      </c>
      <c r="C20" s="34">
        <v>40</v>
      </c>
      <c r="D20" s="35">
        <v>20</v>
      </c>
      <c r="E20" s="36">
        <f t="shared" si="0"/>
        <v>60</v>
      </c>
      <c r="F20" s="33">
        <v>40</v>
      </c>
      <c r="G20" s="34">
        <v>40</v>
      </c>
      <c r="H20" s="34">
        <v>35</v>
      </c>
      <c r="I20" s="34">
        <v>30</v>
      </c>
      <c r="J20" s="34">
        <v>28</v>
      </c>
      <c r="K20" s="52">
        <v>29</v>
      </c>
      <c r="L20" s="62">
        <f t="shared" si="1"/>
        <v>202</v>
      </c>
      <c r="M20" s="62">
        <f t="shared" si="2"/>
        <v>262</v>
      </c>
    </row>
    <row r="21" spans="1:13">
      <c r="A21" s="1" t="s">
        <v>2</v>
      </c>
      <c r="B21" s="5" t="s">
        <v>36</v>
      </c>
      <c r="C21" s="31">
        <v>355000</v>
      </c>
      <c r="D21" s="32">
        <v>0</v>
      </c>
      <c r="E21" s="32">
        <f>SUM(C21:D21)</f>
        <v>355000</v>
      </c>
      <c r="F21" s="30">
        <v>177000</v>
      </c>
      <c r="G21" s="31">
        <v>192000</v>
      </c>
      <c r="H21" s="31">
        <v>177000</v>
      </c>
      <c r="I21" s="31">
        <v>175000</v>
      </c>
      <c r="J21" s="31">
        <v>177000</v>
      </c>
      <c r="K21" s="53">
        <v>165000</v>
      </c>
      <c r="L21" s="63">
        <f>SUM(F21:K21)</f>
        <v>1063000</v>
      </c>
      <c r="M21" s="63">
        <f>SUM(E21,L21)</f>
        <v>1418000</v>
      </c>
    </row>
    <row r="22" spans="1:13">
      <c r="A22" s="1" t="s">
        <v>2</v>
      </c>
      <c r="B22" s="6" t="s">
        <v>37</v>
      </c>
      <c r="C22" s="25">
        <v>0</v>
      </c>
      <c r="D22" s="26">
        <v>0</v>
      </c>
      <c r="E22" s="26">
        <f t="shared" ref="E22:E58" si="3">SUM(C22:D22)</f>
        <v>0</v>
      </c>
      <c r="F22" s="24">
        <v>0</v>
      </c>
      <c r="G22" s="25">
        <v>5000</v>
      </c>
      <c r="H22" s="25">
        <v>0</v>
      </c>
      <c r="I22" s="25">
        <v>0</v>
      </c>
      <c r="J22" s="25">
        <v>0</v>
      </c>
      <c r="K22" s="54">
        <v>0</v>
      </c>
      <c r="L22" s="64">
        <f t="shared" ref="L22:L58" si="4">SUM(F22:K22)</f>
        <v>5000</v>
      </c>
      <c r="M22" s="64">
        <f t="shared" ref="M22:M58" si="5">SUM(E22,L22)</f>
        <v>5000</v>
      </c>
    </row>
    <row r="23" spans="1:13">
      <c r="A23" s="1" t="s">
        <v>2</v>
      </c>
      <c r="B23" s="6" t="s">
        <v>38</v>
      </c>
      <c r="C23" s="25">
        <v>0</v>
      </c>
      <c r="D23" s="26">
        <v>0</v>
      </c>
      <c r="E23" s="26">
        <f t="shared" si="3"/>
        <v>0</v>
      </c>
      <c r="F23" s="24">
        <v>6000</v>
      </c>
      <c r="G23" s="25">
        <v>0</v>
      </c>
      <c r="H23" s="25">
        <v>3000</v>
      </c>
      <c r="I23" s="25">
        <v>0</v>
      </c>
      <c r="J23" s="25">
        <v>0</v>
      </c>
      <c r="K23" s="54">
        <v>0</v>
      </c>
      <c r="L23" s="64">
        <f t="shared" si="4"/>
        <v>9000</v>
      </c>
      <c r="M23" s="64">
        <f t="shared" si="5"/>
        <v>9000</v>
      </c>
    </row>
    <row r="24" spans="1:13">
      <c r="A24" s="1" t="s">
        <v>2</v>
      </c>
      <c r="B24" s="6" t="s">
        <v>39</v>
      </c>
      <c r="C24" s="25">
        <v>50000</v>
      </c>
      <c r="D24" s="26">
        <v>0</v>
      </c>
      <c r="E24" s="26">
        <f t="shared" si="3"/>
        <v>50000</v>
      </c>
      <c r="F24" s="24">
        <v>50000</v>
      </c>
      <c r="G24" s="25">
        <v>50000</v>
      </c>
      <c r="H24" s="25">
        <v>50000</v>
      </c>
      <c r="I24" s="25">
        <v>50000</v>
      </c>
      <c r="J24" s="25">
        <v>50000</v>
      </c>
      <c r="K24" s="54">
        <v>50000</v>
      </c>
      <c r="L24" s="64">
        <f t="shared" si="4"/>
        <v>300000</v>
      </c>
      <c r="M24" s="64">
        <f t="shared" si="5"/>
        <v>350000</v>
      </c>
    </row>
    <row r="25" spans="1:13">
      <c r="A25" s="1" t="s">
        <v>2</v>
      </c>
      <c r="B25" s="6" t="s">
        <v>40</v>
      </c>
      <c r="C25" s="25">
        <v>0</v>
      </c>
      <c r="D25" s="26">
        <v>0</v>
      </c>
      <c r="E25" s="26">
        <f t="shared" si="3"/>
        <v>0</v>
      </c>
      <c r="F25" s="24">
        <v>0</v>
      </c>
      <c r="G25" s="25">
        <v>0</v>
      </c>
      <c r="H25" s="25">
        <v>0</v>
      </c>
      <c r="I25" s="25">
        <v>0</v>
      </c>
      <c r="J25" s="25">
        <v>0</v>
      </c>
      <c r="K25" s="54">
        <v>0</v>
      </c>
      <c r="L25" s="64">
        <f t="shared" si="4"/>
        <v>0</v>
      </c>
      <c r="M25" s="64">
        <f t="shared" si="5"/>
        <v>0</v>
      </c>
    </row>
    <row r="26" spans="1:13">
      <c r="A26" s="1" t="s">
        <v>2</v>
      </c>
      <c r="B26" s="6" t="s">
        <v>41</v>
      </c>
      <c r="C26" s="25">
        <v>0</v>
      </c>
      <c r="D26" s="26">
        <v>77350</v>
      </c>
      <c r="E26" s="26">
        <f t="shared" si="3"/>
        <v>77350</v>
      </c>
      <c r="F26" s="24">
        <v>0</v>
      </c>
      <c r="G26" s="25">
        <v>0</v>
      </c>
      <c r="H26" s="25">
        <v>0</v>
      </c>
      <c r="I26" s="25">
        <v>0</v>
      </c>
      <c r="J26" s="25">
        <v>0</v>
      </c>
      <c r="K26" s="54">
        <v>0</v>
      </c>
      <c r="L26" s="64">
        <f t="shared" si="4"/>
        <v>0</v>
      </c>
      <c r="M26" s="64">
        <f t="shared" si="5"/>
        <v>77350</v>
      </c>
    </row>
    <row r="27" spans="1:13">
      <c r="A27" s="1" t="s">
        <v>2</v>
      </c>
      <c r="B27" s="6" t="s">
        <v>42</v>
      </c>
      <c r="C27" s="25">
        <v>0</v>
      </c>
      <c r="D27" s="26">
        <v>0</v>
      </c>
      <c r="E27" s="26">
        <f t="shared" si="3"/>
        <v>0</v>
      </c>
      <c r="F27" s="24">
        <v>30500</v>
      </c>
      <c r="G27" s="25">
        <v>10500</v>
      </c>
      <c r="H27" s="25">
        <v>13500</v>
      </c>
      <c r="I27" s="25">
        <v>15000</v>
      </c>
      <c r="J27" s="25">
        <v>13000</v>
      </c>
      <c r="K27" s="54">
        <v>15000</v>
      </c>
      <c r="L27" s="64">
        <f t="shared" si="4"/>
        <v>97500</v>
      </c>
      <c r="M27" s="64">
        <f t="shared" si="5"/>
        <v>97500</v>
      </c>
    </row>
    <row r="28" spans="1:13">
      <c r="A28" s="1" t="s">
        <v>2</v>
      </c>
      <c r="B28" s="69" t="s">
        <v>43</v>
      </c>
      <c r="C28" s="70">
        <v>0</v>
      </c>
      <c r="D28" s="71">
        <v>0</v>
      </c>
      <c r="E28" s="71">
        <f t="shared" si="3"/>
        <v>0</v>
      </c>
      <c r="F28" s="72">
        <v>-12607</v>
      </c>
      <c r="G28" s="70">
        <v>-12320</v>
      </c>
      <c r="H28" s="70">
        <v>-11650</v>
      </c>
      <c r="I28" s="70">
        <v>-11483</v>
      </c>
      <c r="J28" s="70">
        <v>0</v>
      </c>
      <c r="K28" s="73">
        <v>0</v>
      </c>
      <c r="L28" s="74">
        <f t="shared" si="4"/>
        <v>-48060</v>
      </c>
      <c r="M28" s="74">
        <f t="shared" si="5"/>
        <v>-48060</v>
      </c>
    </row>
    <row r="29" spans="1:13">
      <c r="A29" s="1" t="s">
        <v>2</v>
      </c>
      <c r="B29" s="6" t="s">
        <v>44</v>
      </c>
      <c r="C29" s="25">
        <v>0</v>
      </c>
      <c r="D29" s="26">
        <v>0</v>
      </c>
      <c r="E29" s="26">
        <f t="shared" si="3"/>
        <v>0</v>
      </c>
      <c r="F29" s="24">
        <v>0</v>
      </c>
      <c r="G29" s="25">
        <v>0</v>
      </c>
      <c r="H29" s="25">
        <v>0</v>
      </c>
      <c r="I29" s="25">
        <v>0</v>
      </c>
      <c r="J29" s="25">
        <v>0</v>
      </c>
      <c r="K29" s="54">
        <v>0</v>
      </c>
      <c r="L29" s="64">
        <f t="shared" si="4"/>
        <v>0</v>
      </c>
      <c r="M29" s="64">
        <f t="shared" si="5"/>
        <v>0</v>
      </c>
    </row>
    <row r="30" spans="1:13">
      <c r="A30" s="1" t="s">
        <v>2</v>
      </c>
      <c r="B30" s="6" t="s">
        <v>30</v>
      </c>
      <c r="C30" s="25">
        <v>0</v>
      </c>
      <c r="D30" s="26">
        <v>0</v>
      </c>
      <c r="E30" s="26">
        <f t="shared" si="3"/>
        <v>0</v>
      </c>
      <c r="F30" s="24">
        <v>88785</v>
      </c>
      <c r="G30" s="25">
        <v>79048</v>
      </c>
      <c r="H30" s="25">
        <v>21876</v>
      </c>
      <c r="I30" s="25">
        <v>73636</v>
      </c>
      <c r="J30" s="25">
        <v>52084</v>
      </c>
      <c r="K30" s="54">
        <v>61956</v>
      </c>
      <c r="L30" s="64">
        <f t="shared" si="4"/>
        <v>377385</v>
      </c>
      <c r="M30" s="64">
        <f t="shared" si="5"/>
        <v>377385</v>
      </c>
    </row>
    <row r="31" spans="1:13">
      <c r="A31" s="1" t="s">
        <v>2</v>
      </c>
      <c r="B31" s="6" t="s">
        <v>45</v>
      </c>
      <c r="C31" s="25">
        <v>0</v>
      </c>
      <c r="D31" s="26">
        <v>0</v>
      </c>
      <c r="E31" s="26">
        <f t="shared" si="3"/>
        <v>0</v>
      </c>
      <c r="F31" s="24">
        <v>12780</v>
      </c>
      <c r="G31" s="25">
        <v>35394</v>
      </c>
      <c r="H31" s="25">
        <v>0</v>
      </c>
      <c r="I31" s="25">
        <v>9700</v>
      </c>
      <c r="J31" s="25">
        <v>52380</v>
      </c>
      <c r="K31" s="54">
        <v>44616</v>
      </c>
      <c r="L31" s="64">
        <f t="shared" si="4"/>
        <v>154870</v>
      </c>
      <c r="M31" s="64">
        <f t="shared" si="5"/>
        <v>154870</v>
      </c>
    </row>
    <row r="32" spans="1:13">
      <c r="A32" s="1" t="s">
        <v>2</v>
      </c>
      <c r="B32" s="6" t="s">
        <v>46</v>
      </c>
      <c r="C32" s="25">
        <v>0</v>
      </c>
      <c r="D32" s="26">
        <v>0</v>
      </c>
      <c r="E32" s="26">
        <f t="shared" si="3"/>
        <v>0</v>
      </c>
      <c r="F32" s="24">
        <v>10650</v>
      </c>
      <c r="G32" s="25">
        <v>22902</v>
      </c>
      <c r="H32" s="25">
        <v>0</v>
      </c>
      <c r="I32" s="25">
        <v>21340</v>
      </c>
      <c r="J32" s="25">
        <v>34920</v>
      </c>
      <c r="K32" s="54">
        <v>20449</v>
      </c>
      <c r="L32" s="64">
        <f t="shared" si="4"/>
        <v>110261</v>
      </c>
      <c r="M32" s="64">
        <f t="shared" si="5"/>
        <v>110261</v>
      </c>
    </row>
    <row r="33" spans="1:13">
      <c r="A33" s="1" t="s">
        <v>2</v>
      </c>
      <c r="B33" s="6" t="s">
        <v>47</v>
      </c>
      <c r="C33" s="25">
        <v>0</v>
      </c>
      <c r="D33" s="26">
        <v>0</v>
      </c>
      <c r="E33" s="26">
        <f t="shared" si="3"/>
        <v>0</v>
      </c>
      <c r="F33" s="24">
        <v>0</v>
      </c>
      <c r="G33" s="25">
        <v>0</v>
      </c>
      <c r="H33" s="25">
        <v>0</v>
      </c>
      <c r="I33" s="25">
        <v>0</v>
      </c>
      <c r="J33" s="25">
        <v>0</v>
      </c>
      <c r="K33" s="54">
        <v>0</v>
      </c>
      <c r="L33" s="64">
        <f t="shared" si="4"/>
        <v>0</v>
      </c>
      <c r="M33" s="64">
        <f t="shared" si="5"/>
        <v>0</v>
      </c>
    </row>
    <row r="34" spans="1:13">
      <c r="A34" s="1" t="s">
        <v>2</v>
      </c>
      <c r="B34" s="6" t="s">
        <v>48</v>
      </c>
      <c r="C34" s="25">
        <v>0</v>
      </c>
      <c r="D34" s="26">
        <v>0</v>
      </c>
      <c r="E34" s="26">
        <f t="shared" si="3"/>
        <v>0</v>
      </c>
      <c r="F34" s="24">
        <v>0</v>
      </c>
      <c r="G34" s="25">
        <v>0</v>
      </c>
      <c r="H34" s="25">
        <v>0</v>
      </c>
      <c r="I34" s="25">
        <v>0</v>
      </c>
      <c r="J34" s="25">
        <v>0</v>
      </c>
      <c r="K34" s="54">
        <v>0</v>
      </c>
      <c r="L34" s="64">
        <f t="shared" si="4"/>
        <v>0</v>
      </c>
      <c r="M34" s="64">
        <f t="shared" si="5"/>
        <v>0</v>
      </c>
    </row>
    <row r="35" spans="1:13">
      <c r="A35" s="1" t="s">
        <v>2</v>
      </c>
      <c r="B35" s="6" t="s">
        <v>49</v>
      </c>
      <c r="C35" s="25">
        <v>0</v>
      </c>
      <c r="D35" s="26">
        <v>15470</v>
      </c>
      <c r="E35" s="26">
        <f t="shared" si="3"/>
        <v>15470</v>
      </c>
      <c r="F35" s="72">
        <v>12607</v>
      </c>
      <c r="G35" s="70">
        <v>12320</v>
      </c>
      <c r="H35" s="70">
        <v>11650</v>
      </c>
      <c r="I35" s="70">
        <v>11483</v>
      </c>
      <c r="J35" s="70">
        <v>0</v>
      </c>
      <c r="K35" s="73">
        <v>0</v>
      </c>
      <c r="L35" s="74">
        <f t="shared" si="4"/>
        <v>48060</v>
      </c>
      <c r="M35" s="74">
        <f t="shared" si="5"/>
        <v>63530</v>
      </c>
    </row>
    <row r="36" spans="1:13">
      <c r="A36" s="1" t="s">
        <v>2</v>
      </c>
      <c r="B36" s="6" t="s">
        <v>33</v>
      </c>
      <c r="C36" s="25">
        <v>0</v>
      </c>
      <c r="D36" s="26">
        <v>0</v>
      </c>
      <c r="E36" s="26">
        <f t="shared" si="3"/>
        <v>0</v>
      </c>
      <c r="F36" s="24">
        <v>0</v>
      </c>
      <c r="G36" s="25">
        <v>0</v>
      </c>
      <c r="H36" s="25">
        <v>0</v>
      </c>
      <c r="I36" s="25">
        <v>0</v>
      </c>
      <c r="J36" s="25">
        <v>0</v>
      </c>
      <c r="K36" s="54">
        <v>0</v>
      </c>
      <c r="L36" s="64">
        <f t="shared" si="4"/>
        <v>0</v>
      </c>
      <c r="M36" s="64">
        <f t="shared" si="5"/>
        <v>0</v>
      </c>
    </row>
    <row r="37" spans="1:13" ht="19.5" thickBot="1">
      <c r="A37" s="1" t="s">
        <v>2</v>
      </c>
      <c r="B37" s="37" t="s">
        <v>34</v>
      </c>
      <c r="C37" s="39">
        <v>606</v>
      </c>
      <c r="D37" s="40">
        <v>0</v>
      </c>
      <c r="E37" s="40">
        <f t="shared" si="3"/>
        <v>606</v>
      </c>
      <c r="F37" s="38">
        <v>5530</v>
      </c>
      <c r="G37" s="39">
        <v>5404</v>
      </c>
      <c r="H37" s="39">
        <v>365</v>
      </c>
      <c r="I37" s="39">
        <v>7180</v>
      </c>
      <c r="J37" s="39">
        <v>2872</v>
      </c>
      <c r="K37" s="55">
        <v>2408</v>
      </c>
      <c r="L37" s="65">
        <f t="shared" si="4"/>
        <v>23759</v>
      </c>
      <c r="M37" s="65">
        <f t="shared" si="5"/>
        <v>24365</v>
      </c>
    </row>
    <row r="38" spans="1:13" ht="19.5" thickBot="1">
      <c r="A38" s="1" t="s">
        <v>2</v>
      </c>
      <c r="B38" s="41" t="s">
        <v>50</v>
      </c>
      <c r="C38" s="43">
        <v>405606</v>
      </c>
      <c r="D38" s="44">
        <v>92820</v>
      </c>
      <c r="E38" s="44">
        <f t="shared" si="3"/>
        <v>498426</v>
      </c>
      <c r="F38" s="42">
        <v>381245</v>
      </c>
      <c r="G38" s="43">
        <v>400248</v>
      </c>
      <c r="H38" s="43">
        <v>265741</v>
      </c>
      <c r="I38" s="43">
        <v>351856</v>
      </c>
      <c r="J38" s="43">
        <v>382256</v>
      </c>
      <c r="K38" s="56">
        <v>359429</v>
      </c>
      <c r="L38" s="66">
        <f t="shared" si="4"/>
        <v>2140775</v>
      </c>
      <c r="M38" s="66">
        <f t="shared" si="5"/>
        <v>2639201</v>
      </c>
    </row>
    <row r="39" spans="1:13">
      <c r="A39" s="1" t="s">
        <v>2</v>
      </c>
      <c r="B39" s="5" t="s">
        <v>51</v>
      </c>
      <c r="C39" s="31">
        <v>10531</v>
      </c>
      <c r="D39" s="32">
        <v>2880</v>
      </c>
      <c r="E39" s="32">
        <f t="shared" si="3"/>
        <v>13411</v>
      </c>
      <c r="F39" s="30">
        <v>5310</v>
      </c>
      <c r="G39" s="31">
        <v>4827</v>
      </c>
      <c r="H39" s="31">
        <v>6461</v>
      </c>
      <c r="I39" s="31">
        <v>4442</v>
      </c>
      <c r="J39" s="31">
        <v>3840</v>
      </c>
      <c r="K39" s="53">
        <v>5266</v>
      </c>
      <c r="L39" s="63">
        <f t="shared" si="4"/>
        <v>30146</v>
      </c>
      <c r="M39" s="63">
        <f t="shared" si="5"/>
        <v>43557</v>
      </c>
    </row>
    <row r="40" spans="1:13" ht="19.5" thickBot="1">
      <c r="A40" s="1" t="s">
        <v>2</v>
      </c>
      <c r="B40" s="37" t="s">
        <v>52</v>
      </c>
      <c r="C40" s="39">
        <v>0</v>
      </c>
      <c r="D40" s="40">
        <v>0</v>
      </c>
      <c r="E40" s="40">
        <f t="shared" si="3"/>
        <v>0</v>
      </c>
      <c r="F40" s="38">
        <v>0</v>
      </c>
      <c r="G40" s="39">
        <v>0</v>
      </c>
      <c r="H40" s="39">
        <v>0</v>
      </c>
      <c r="I40" s="39">
        <v>0</v>
      </c>
      <c r="J40" s="39">
        <v>0</v>
      </c>
      <c r="K40" s="55">
        <v>0</v>
      </c>
      <c r="L40" s="65">
        <f t="shared" si="4"/>
        <v>0</v>
      </c>
      <c r="M40" s="65">
        <f t="shared" si="5"/>
        <v>0</v>
      </c>
    </row>
    <row r="41" spans="1:13" ht="19.5" thickBot="1">
      <c r="A41" s="1" t="s">
        <v>2</v>
      </c>
      <c r="B41" s="41" t="s">
        <v>53</v>
      </c>
      <c r="C41" s="43">
        <v>10531</v>
      </c>
      <c r="D41" s="44">
        <v>2880</v>
      </c>
      <c r="E41" s="44">
        <f t="shared" si="3"/>
        <v>13411</v>
      </c>
      <c r="F41" s="42">
        <v>5310</v>
      </c>
      <c r="G41" s="43">
        <v>4827</v>
      </c>
      <c r="H41" s="43">
        <v>6461</v>
      </c>
      <c r="I41" s="43">
        <v>4442</v>
      </c>
      <c r="J41" s="43">
        <v>3840</v>
      </c>
      <c r="K41" s="56">
        <v>5266</v>
      </c>
      <c r="L41" s="66">
        <f t="shared" si="4"/>
        <v>30146</v>
      </c>
      <c r="M41" s="66">
        <f t="shared" si="5"/>
        <v>43557</v>
      </c>
    </row>
    <row r="42" spans="1:13" ht="19.5" thickBot="1">
      <c r="A42" s="1" t="s">
        <v>2</v>
      </c>
      <c r="B42" s="41" t="s">
        <v>54</v>
      </c>
      <c r="C42" s="43">
        <v>416137</v>
      </c>
      <c r="D42" s="44">
        <v>95700</v>
      </c>
      <c r="E42" s="44">
        <f t="shared" si="3"/>
        <v>511837</v>
      </c>
      <c r="F42" s="42">
        <v>386555</v>
      </c>
      <c r="G42" s="43">
        <v>405075</v>
      </c>
      <c r="H42" s="43">
        <v>272202</v>
      </c>
      <c r="I42" s="43">
        <v>356298</v>
      </c>
      <c r="J42" s="43">
        <v>386096</v>
      </c>
      <c r="K42" s="56">
        <v>364695</v>
      </c>
      <c r="L42" s="66">
        <f t="shared" si="4"/>
        <v>2170921</v>
      </c>
      <c r="M42" s="66">
        <f t="shared" si="5"/>
        <v>2682758</v>
      </c>
    </row>
    <row r="43" spans="1:13">
      <c r="A43" s="1" t="s">
        <v>2</v>
      </c>
      <c r="B43" s="5" t="s">
        <v>55</v>
      </c>
      <c r="C43" s="31">
        <v>20910</v>
      </c>
      <c r="D43" s="32">
        <v>0</v>
      </c>
      <c r="E43" s="32">
        <f t="shared" si="3"/>
        <v>20910</v>
      </c>
      <c r="F43" s="30">
        <v>20910</v>
      </c>
      <c r="G43" s="31">
        <v>19380</v>
      </c>
      <c r="H43" s="31">
        <v>18360</v>
      </c>
      <c r="I43" s="31">
        <v>18360</v>
      </c>
      <c r="J43" s="31">
        <v>19380</v>
      </c>
      <c r="K43" s="53">
        <v>19380</v>
      </c>
      <c r="L43" s="63">
        <f t="shared" si="4"/>
        <v>115770</v>
      </c>
      <c r="M43" s="63">
        <f t="shared" si="5"/>
        <v>136680</v>
      </c>
    </row>
    <row r="44" spans="1:13">
      <c r="A44" s="1" t="s">
        <v>2</v>
      </c>
      <c r="B44" s="6" t="s">
        <v>56</v>
      </c>
      <c r="C44" s="25">
        <v>3690</v>
      </c>
      <c r="D44" s="26">
        <v>0</v>
      </c>
      <c r="E44" s="26">
        <f t="shared" si="3"/>
        <v>3690</v>
      </c>
      <c r="F44" s="24">
        <v>3690</v>
      </c>
      <c r="G44" s="25">
        <v>3420</v>
      </c>
      <c r="H44" s="25">
        <v>3240</v>
      </c>
      <c r="I44" s="25">
        <v>3240</v>
      </c>
      <c r="J44" s="25">
        <v>3420</v>
      </c>
      <c r="K44" s="54">
        <v>3420</v>
      </c>
      <c r="L44" s="64">
        <f t="shared" si="4"/>
        <v>20430</v>
      </c>
      <c r="M44" s="64">
        <f t="shared" si="5"/>
        <v>24120</v>
      </c>
    </row>
    <row r="45" spans="1:13">
      <c r="A45" s="1" t="s">
        <v>2</v>
      </c>
      <c r="B45" s="6" t="s">
        <v>57</v>
      </c>
      <c r="C45" s="25">
        <v>37515</v>
      </c>
      <c r="D45" s="26">
        <v>0</v>
      </c>
      <c r="E45" s="26">
        <f t="shared" si="3"/>
        <v>37515</v>
      </c>
      <c r="F45" s="24">
        <v>37515</v>
      </c>
      <c r="G45" s="25">
        <v>34770</v>
      </c>
      <c r="H45" s="25">
        <v>32940</v>
      </c>
      <c r="I45" s="25">
        <v>32940</v>
      </c>
      <c r="J45" s="25">
        <v>34770</v>
      </c>
      <c r="K45" s="54">
        <v>34770</v>
      </c>
      <c r="L45" s="64">
        <f t="shared" si="4"/>
        <v>207705</v>
      </c>
      <c r="M45" s="64">
        <f t="shared" si="5"/>
        <v>245220</v>
      </c>
    </row>
    <row r="46" spans="1:13">
      <c r="A46" s="1" t="s">
        <v>2</v>
      </c>
      <c r="B46" s="6" t="s">
        <v>58</v>
      </c>
      <c r="C46" s="25">
        <v>1248</v>
      </c>
      <c r="D46" s="26">
        <v>287</v>
      </c>
      <c r="E46" s="26">
        <f t="shared" si="3"/>
        <v>1535</v>
      </c>
      <c r="F46" s="24">
        <v>1160</v>
      </c>
      <c r="G46" s="25">
        <v>1215</v>
      </c>
      <c r="H46" s="25">
        <v>817</v>
      </c>
      <c r="I46" s="25">
        <v>1069</v>
      </c>
      <c r="J46" s="25">
        <v>1158</v>
      </c>
      <c r="K46" s="54">
        <v>1094</v>
      </c>
      <c r="L46" s="64">
        <f t="shared" si="4"/>
        <v>6513</v>
      </c>
      <c r="M46" s="64">
        <f t="shared" si="5"/>
        <v>8048</v>
      </c>
    </row>
    <row r="47" spans="1:13" ht="19.5" thickBot="1">
      <c r="A47" s="1" t="s">
        <v>2</v>
      </c>
      <c r="B47" s="37" t="s">
        <v>59</v>
      </c>
      <c r="C47" s="39">
        <v>0</v>
      </c>
      <c r="D47" s="40">
        <v>0</v>
      </c>
      <c r="E47" s="40">
        <f t="shared" si="3"/>
        <v>0</v>
      </c>
      <c r="F47" s="38">
        <v>0</v>
      </c>
      <c r="G47" s="39">
        <v>0</v>
      </c>
      <c r="H47" s="39">
        <v>0</v>
      </c>
      <c r="I47" s="39">
        <v>0</v>
      </c>
      <c r="J47" s="39">
        <v>0</v>
      </c>
      <c r="K47" s="55">
        <v>0</v>
      </c>
      <c r="L47" s="65">
        <f t="shared" si="4"/>
        <v>0</v>
      </c>
      <c r="M47" s="65">
        <f t="shared" si="5"/>
        <v>0</v>
      </c>
    </row>
    <row r="48" spans="1:13" ht="19.5" thickBot="1">
      <c r="A48" s="1" t="s">
        <v>2</v>
      </c>
      <c r="B48" s="41" t="s">
        <v>60</v>
      </c>
      <c r="C48" s="43">
        <v>63363</v>
      </c>
      <c r="D48" s="44">
        <v>287</v>
      </c>
      <c r="E48" s="44">
        <f t="shared" si="3"/>
        <v>63650</v>
      </c>
      <c r="F48" s="42">
        <v>63275</v>
      </c>
      <c r="G48" s="43">
        <v>58785</v>
      </c>
      <c r="H48" s="43">
        <v>55357</v>
      </c>
      <c r="I48" s="43">
        <v>55609</v>
      </c>
      <c r="J48" s="43">
        <v>58728</v>
      </c>
      <c r="K48" s="56">
        <v>58664</v>
      </c>
      <c r="L48" s="66">
        <f t="shared" si="4"/>
        <v>350418</v>
      </c>
      <c r="M48" s="66">
        <f t="shared" si="5"/>
        <v>414068</v>
      </c>
    </row>
    <row r="49" spans="1:13">
      <c r="A49" s="1" t="s">
        <v>2</v>
      </c>
      <c r="B49" s="5" t="s">
        <v>61</v>
      </c>
      <c r="C49" s="31">
        <v>8600</v>
      </c>
      <c r="D49" s="32">
        <v>340</v>
      </c>
      <c r="E49" s="32">
        <f t="shared" si="3"/>
        <v>8940</v>
      </c>
      <c r="F49" s="30">
        <v>7460</v>
      </c>
      <c r="G49" s="31">
        <v>11770</v>
      </c>
      <c r="H49" s="31">
        <v>3520</v>
      </c>
      <c r="I49" s="31">
        <v>6590</v>
      </c>
      <c r="J49" s="31">
        <v>10300</v>
      </c>
      <c r="K49" s="53">
        <v>8440</v>
      </c>
      <c r="L49" s="63">
        <f t="shared" si="4"/>
        <v>48080</v>
      </c>
      <c r="M49" s="63">
        <f t="shared" si="5"/>
        <v>57020</v>
      </c>
    </row>
    <row r="50" spans="1:13">
      <c r="A50" s="1" t="s">
        <v>2</v>
      </c>
      <c r="B50" s="6" t="s">
        <v>62</v>
      </c>
      <c r="C50" s="25">
        <v>0</v>
      </c>
      <c r="D50" s="26">
        <v>0</v>
      </c>
      <c r="E50" s="26">
        <f t="shared" si="3"/>
        <v>0</v>
      </c>
      <c r="F50" s="24">
        <v>0</v>
      </c>
      <c r="G50" s="25">
        <v>0</v>
      </c>
      <c r="H50" s="25">
        <v>0</v>
      </c>
      <c r="I50" s="25">
        <v>0</v>
      </c>
      <c r="J50" s="25">
        <v>0</v>
      </c>
      <c r="K50" s="54">
        <v>0</v>
      </c>
      <c r="L50" s="64">
        <f t="shared" si="4"/>
        <v>0</v>
      </c>
      <c r="M50" s="64">
        <f t="shared" si="5"/>
        <v>0</v>
      </c>
    </row>
    <row r="51" spans="1:13">
      <c r="A51" s="1" t="s">
        <v>2</v>
      </c>
      <c r="B51" s="6" t="s">
        <v>63</v>
      </c>
      <c r="C51" s="25">
        <v>25500</v>
      </c>
      <c r="D51" s="26">
        <v>900</v>
      </c>
      <c r="E51" s="26">
        <f t="shared" si="3"/>
        <v>26400</v>
      </c>
      <c r="F51" s="24">
        <v>14800</v>
      </c>
      <c r="G51" s="25">
        <v>17200</v>
      </c>
      <c r="H51" s="25">
        <v>0</v>
      </c>
      <c r="I51" s="25">
        <v>5800</v>
      </c>
      <c r="J51" s="25">
        <v>18000</v>
      </c>
      <c r="K51" s="54">
        <v>2100</v>
      </c>
      <c r="L51" s="64">
        <f t="shared" si="4"/>
        <v>57900</v>
      </c>
      <c r="M51" s="64">
        <f t="shared" si="5"/>
        <v>84300</v>
      </c>
    </row>
    <row r="52" spans="1:13">
      <c r="A52" s="1" t="s">
        <v>2</v>
      </c>
      <c r="B52" s="6" t="s">
        <v>64</v>
      </c>
      <c r="C52" s="25">
        <v>0</v>
      </c>
      <c r="D52" s="26">
        <v>0</v>
      </c>
      <c r="E52" s="26">
        <f t="shared" si="3"/>
        <v>0</v>
      </c>
      <c r="F52" s="24">
        <v>0</v>
      </c>
      <c r="G52" s="25">
        <v>0</v>
      </c>
      <c r="H52" s="25">
        <v>0</v>
      </c>
      <c r="I52" s="25">
        <v>0</v>
      </c>
      <c r="J52" s="25">
        <v>0</v>
      </c>
      <c r="K52" s="54">
        <v>6000</v>
      </c>
      <c r="L52" s="64">
        <f t="shared" si="4"/>
        <v>6000</v>
      </c>
      <c r="M52" s="64">
        <f t="shared" si="5"/>
        <v>6000</v>
      </c>
    </row>
    <row r="53" spans="1:13" ht="19.5" thickBot="1">
      <c r="A53" s="1" t="s">
        <v>2</v>
      </c>
      <c r="B53" s="6" t="s">
        <v>65</v>
      </c>
      <c r="C53" s="25">
        <v>0</v>
      </c>
      <c r="D53" s="26">
        <v>0</v>
      </c>
      <c r="E53" s="26">
        <f t="shared" si="3"/>
        <v>0</v>
      </c>
      <c r="F53" s="24">
        <v>0</v>
      </c>
      <c r="G53" s="25">
        <v>0</v>
      </c>
      <c r="H53" s="25">
        <v>0</v>
      </c>
      <c r="I53" s="25">
        <v>0</v>
      </c>
      <c r="J53" s="25">
        <v>0</v>
      </c>
      <c r="K53" s="54">
        <v>0</v>
      </c>
      <c r="L53" s="64">
        <f t="shared" si="4"/>
        <v>0</v>
      </c>
      <c r="M53" s="64">
        <f t="shared" si="5"/>
        <v>0</v>
      </c>
    </row>
    <row r="54" spans="1:13" ht="19.5" thickBot="1">
      <c r="A54" s="1" t="s">
        <v>2</v>
      </c>
      <c r="B54" s="41" t="s">
        <v>66</v>
      </c>
      <c r="C54" s="43">
        <v>97463</v>
      </c>
      <c r="D54" s="44">
        <v>1527</v>
      </c>
      <c r="E54" s="44">
        <f t="shared" si="3"/>
        <v>98990</v>
      </c>
      <c r="F54" s="42">
        <v>85535</v>
      </c>
      <c r="G54" s="43">
        <v>87755</v>
      </c>
      <c r="H54" s="43">
        <v>58877</v>
      </c>
      <c r="I54" s="43">
        <v>67999</v>
      </c>
      <c r="J54" s="43">
        <v>87028</v>
      </c>
      <c r="K54" s="56">
        <v>75204</v>
      </c>
      <c r="L54" s="66">
        <f t="shared" si="4"/>
        <v>462398</v>
      </c>
      <c r="M54" s="66">
        <f t="shared" si="5"/>
        <v>561388</v>
      </c>
    </row>
    <row r="55" spans="1:13" ht="19.5" thickBot="1">
      <c r="A55" s="1" t="s">
        <v>2</v>
      </c>
      <c r="B55" s="41" t="s">
        <v>67</v>
      </c>
      <c r="C55" s="43">
        <v>342243</v>
      </c>
      <c r="D55" s="44">
        <v>92533</v>
      </c>
      <c r="E55" s="44">
        <f t="shared" si="3"/>
        <v>434776</v>
      </c>
      <c r="F55" s="42">
        <v>317970</v>
      </c>
      <c r="G55" s="43">
        <v>341463</v>
      </c>
      <c r="H55" s="43">
        <v>210384</v>
      </c>
      <c r="I55" s="43">
        <v>296247</v>
      </c>
      <c r="J55" s="43">
        <v>323528</v>
      </c>
      <c r="K55" s="56">
        <v>300765</v>
      </c>
      <c r="L55" s="66">
        <f t="shared" si="4"/>
        <v>1790357</v>
      </c>
      <c r="M55" s="66">
        <f t="shared" si="5"/>
        <v>2225133</v>
      </c>
    </row>
    <row r="56" spans="1:13" ht="19.5" thickBot="1">
      <c r="A56" s="1" t="s">
        <v>2</v>
      </c>
      <c r="B56" s="41" t="s">
        <v>68</v>
      </c>
      <c r="C56" s="43">
        <v>318674</v>
      </c>
      <c r="D56" s="44">
        <v>94173</v>
      </c>
      <c r="E56" s="44">
        <f t="shared" si="3"/>
        <v>412847</v>
      </c>
      <c r="F56" s="42">
        <v>301020</v>
      </c>
      <c r="G56" s="43">
        <v>317320</v>
      </c>
      <c r="H56" s="43">
        <v>213325</v>
      </c>
      <c r="I56" s="43">
        <v>288299</v>
      </c>
      <c r="J56" s="43">
        <v>299068</v>
      </c>
      <c r="K56" s="56">
        <v>289491</v>
      </c>
      <c r="L56" s="66">
        <f t="shared" si="4"/>
        <v>1708523</v>
      </c>
      <c r="M56" s="66">
        <f t="shared" si="5"/>
        <v>2121370</v>
      </c>
    </row>
    <row r="57" spans="1:13">
      <c r="A57" s="1" t="s">
        <v>2</v>
      </c>
      <c r="B57" s="5" t="s">
        <v>69</v>
      </c>
      <c r="C57" s="31">
        <v>0</v>
      </c>
      <c r="D57" s="32">
        <v>0</v>
      </c>
      <c r="E57" s="32">
        <f t="shared" si="3"/>
        <v>0</v>
      </c>
      <c r="F57" s="30">
        <v>0</v>
      </c>
      <c r="G57" s="31">
        <v>0</v>
      </c>
      <c r="H57" s="31">
        <v>0</v>
      </c>
      <c r="I57" s="31">
        <v>0</v>
      </c>
      <c r="J57" s="31">
        <v>0</v>
      </c>
      <c r="K57" s="53">
        <v>0</v>
      </c>
      <c r="L57" s="63">
        <f t="shared" si="4"/>
        <v>0</v>
      </c>
      <c r="M57" s="63">
        <f t="shared" si="5"/>
        <v>0</v>
      </c>
    </row>
    <row r="58" spans="1:13">
      <c r="A58" s="1" t="s">
        <v>2</v>
      </c>
      <c r="B58" s="6" t="s">
        <v>70</v>
      </c>
      <c r="C58" s="25">
        <v>318674</v>
      </c>
      <c r="D58" s="26">
        <v>94173</v>
      </c>
      <c r="E58" s="26">
        <f t="shared" si="3"/>
        <v>412847</v>
      </c>
      <c r="F58" s="24">
        <v>301020</v>
      </c>
      <c r="G58" s="25">
        <v>317320</v>
      </c>
      <c r="H58" s="25">
        <v>213325</v>
      </c>
      <c r="I58" s="25">
        <v>288299</v>
      </c>
      <c r="J58" s="25">
        <v>299068</v>
      </c>
      <c r="K58" s="54">
        <v>289491</v>
      </c>
      <c r="L58" s="64">
        <f t="shared" si="4"/>
        <v>1708523</v>
      </c>
      <c r="M58" s="64">
        <f t="shared" si="5"/>
        <v>2121370</v>
      </c>
    </row>
    <row r="59" spans="1:13">
      <c r="A59" s="1" t="s">
        <v>2</v>
      </c>
      <c r="B59" s="6" t="s">
        <v>71</v>
      </c>
      <c r="C59" s="25">
        <v>1</v>
      </c>
      <c r="D59" s="26">
        <v>0</v>
      </c>
      <c r="E59" s="26"/>
      <c r="F59" s="24">
        <v>1</v>
      </c>
      <c r="G59" s="25">
        <v>0</v>
      </c>
      <c r="H59" s="25">
        <v>1</v>
      </c>
      <c r="I59" s="25">
        <v>1</v>
      </c>
      <c r="J59" s="25">
        <v>0</v>
      </c>
      <c r="K59" s="54">
        <v>0</v>
      </c>
      <c r="L59" s="64"/>
      <c r="M59" s="64"/>
    </row>
    <row r="60" spans="1:13" ht="19.5" thickBot="1">
      <c r="A60" s="1" t="s">
        <v>2</v>
      </c>
      <c r="B60" s="7" t="s">
        <v>72</v>
      </c>
      <c r="C60" s="28" t="s">
        <v>73</v>
      </c>
      <c r="D60" s="29" t="s">
        <v>73</v>
      </c>
      <c r="E60" s="7"/>
      <c r="F60" s="27" t="s">
        <v>73</v>
      </c>
      <c r="G60" s="28" t="s">
        <v>73</v>
      </c>
      <c r="H60" s="28" t="s">
        <v>73</v>
      </c>
      <c r="I60" s="28" t="s">
        <v>73</v>
      </c>
      <c r="J60" s="28" t="s">
        <v>73</v>
      </c>
      <c r="K60" s="57" t="s">
        <v>73</v>
      </c>
      <c r="L60" s="67"/>
      <c r="M60" s="67"/>
    </row>
  </sheetData>
  <phoneticPr fontId="3"/>
  <pageMargins left="0.31496062992125984" right="0.31496062992125984" top="0.15748031496062992" bottom="0.15748031496062992" header="0.31496062992125984" footer="0.31496062992125984"/>
  <pageSetup paperSize="9" scale="5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2021年 7月度給与 (2)</vt:lpstr>
      <vt:lpstr>2021年 7月度給与 (助成金)</vt:lpstr>
      <vt:lpstr>'2021年 7月度給与 (2)'!Print_Area</vt:lpstr>
      <vt:lpstr>'2021年 7月度給与 (助成金)'!Print_Area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2021-08-12T01:02:11Z</cp:lastPrinted>
  <dcterms:created xsi:type="dcterms:W3CDTF">2021-08-10T01:49:03Z</dcterms:created>
  <dcterms:modified xsi:type="dcterms:W3CDTF">2021-09-13T08:03:30Z</dcterms:modified>
</cp:coreProperties>
</file>