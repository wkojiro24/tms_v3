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7\"/>
    </mc:Choice>
  </mc:AlternateContent>
  <xr:revisionPtr revIDLastSave="0" documentId="13_ncr:1_{3D5B6C7C-A28E-4AD6-BB56-8E3AED95FFAC}" xr6:coauthVersionLast="47" xr6:coauthVersionMax="47" xr10:uidLastSave="{00000000-0000-0000-0000-000000000000}"/>
  <bookViews>
    <workbookView xWindow="-120" yWindow="-120" windowWidth="20730" windowHeight="11160" xr2:uid="{0255B3C7-8B1D-49B0-8F9D-C423BD879D6F}"/>
  </bookViews>
  <sheets>
    <sheet name="2021年 7月度給与 (2)" sheetId="3" r:id="rId1"/>
  </sheets>
  <definedNames>
    <definedName name="_xlnm.Print_Area" localSheetId="0">'2021年 7月度給与 (2)'!$A$1:$O$58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3" l="1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22" i="3"/>
  <c r="N7" i="3"/>
  <c r="N8" i="3"/>
  <c r="O8" i="3" s="1"/>
  <c r="N9" i="3"/>
  <c r="O9" i="3" s="1"/>
  <c r="N10" i="3"/>
  <c r="O10" i="3" s="1"/>
  <c r="N11" i="3"/>
  <c r="N12" i="3"/>
  <c r="O12" i="3" s="1"/>
  <c r="N13" i="3"/>
  <c r="O13" i="3" s="1"/>
  <c r="N14" i="3"/>
  <c r="O14" i="3" s="1"/>
  <c r="N15" i="3"/>
  <c r="N16" i="3"/>
  <c r="O16" i="3" s="1"/>
  <c r="N17" i="3"/>
  <c r="O17" i="3" s="1"/>
  <c r="N18" i="3"/>
  <c r="O18" i="3" s="1"/>
  <c r="N19" i="3"/>
  <c r="N20" i="3"/>
  <c r="O20" i="3" s="1"/>
  <c r="N21" i="3"/>
  <c r="O21" i="3" s="1"/>
  <c r="F23" i="3"/>
  <c r="O23" i="3" s="1"/>
  <c r="F24" i="3"/>
  <c r="O24" i="3" s="1"/>
  <c r="F25" i="3"/>
  <c r="O25" i="3" s="1"/>
  <c r="F26" i="3"/>
  <c r="O26" i="3" s="1"/>
  <c r="F27" i="3"/>
  <c r="O27" i="3" s="1"/>
  <c r="F28" i="3"/>
  <c r="O28" i="3" s="1"/>
  <c r="F29" i="3"/>
  <c r="O29" i="3" s="1"/>
  <c r="F30" i="3"/>
  <c r="O30" i="3" s="1"/>
  <c r="F31" i="3"/>
  <c r="O31" i="3" s="1"/>
  <c r="F32" i="3"/>
  <c r="O32" i="3" s="1"/>
  <c r="F33" i="3"/>
  <c r="O33" i="3" s="1"/>
  <c r="F34" i="3"/>
  <c r="O34" i="3" s="1"/>
  <c r="F35" i="3"/>
  <c r="O35" i="3" s="1"/>
  <c r="F36" i="3"/>
  <c r="O36" i="3" s="1"/>
  <c r="F37" i="3"/>
  <c r="O37" i="3" s="1"/>
  <c r="F38" i="3"/>
  <c r="O38" i="3" s="1"/>
  <c r="F39" i="3"/>
  <c r="O39" i="3" s="1"/>
  <c r="F40" i="3"/>
  <c r="O40" i="3" s="1"/>
  <c r="F41" i="3"/>
  <c r="O41" i="3" s="1"/>
  <c r="F42" i="3"/>
  <c r="O42" i="3" s="1"/>
  <c r="F43" i="3"/>
  <c r="O43" i="3" s="1"/>
  <c r="F44" i="3"/>
  <c r="O44" i="3" s="1"/>
  <c r="F45" i="3"/>
  <c r="O45" i="3" s="1"/>
  <c r="F46" i="3"/>
  <c r="O46" i="3" s="1"/>
  <c r="F47" i="3"/>
  <c r="O47" i="3" s="1"/>
  <c r="F48" i="3"/>
  <c r="O48" i="3" s="1"/>
  <c r="F49" i="3"/>
  <c r="O49" i="3" s="1"/>
  <c r="F50" i="3"/>
  <c r="O50" i="3" s="1"/>
  <c r="F51" i="3"/>
  <c r="O51" i="3" s="1"/>
  <c r="F52" i="3"/>
  <c r="O52" i="3" s="1"/>
  <c r="F53" i="3"/>
  <c r="O53" i="3" s="1"/>
  <c r="F54" i="3"/>
  <c r="O54" i="3" s="1"/>
  <c r="F55" i="3"/>
  <c r="O55" i="3" s="1"/>
  <c r="F56" i="3"/>
  <c r="O56" i="3" s="1"/>
  <c r="F22" i="3"/>
  <c r="O22" i="3" s="1"/>
  <c r="F7" i="3"/>
  <c r="O7" i="3" s="1"/>
  <c r="F8" i="3"/>
  <c r="F9" i="3"/>
  <c r="F10" i="3"/>
  <c r="F11" i="3"/>
  <c r="O11" i="3" s="1"/>
  <c r="F12" i="3"/>
  <c r="F13" i="3"/>
  <c r="F14" i="3"/>
  <c r="F15" i="3"/>
  <c r="O15" i="3" s="1"/>
  <c r="F16" i="3"/>
  <c r="F17" i="3"/>
  <c r="F18" i="3"/>
  <c r="F19" i="3"/>
  <c r="O19" i="3" s="1"/>
  <c r="F20" i="3"/>
  <c r="F21" i="3"/>
  <c r="N6" i="3"/>
  <c r="F6" i="3"/>
  <c r="O6" i="3" l="1"/>
</calcChain>
</file>

<file path=xl/sharedStrings.xml><?xml version="1.0" encoding="utf-8"?>
<sst xmlns="http://schemas.openxmlformats.org/spreadsheetml/2006/main" count="146" uniqueCount="81">
  <si>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</si>
  <si>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</si>
  <si>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</si>
  <si>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</si>
  <si>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</si>
  <si>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</si>
  <si>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</si>
  <si>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</si>
  <si>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</si>
  <si>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1083</t>
    <phoneticPr fontId="4"/>
  </si>
  <si>
    <t>1084</t>
    <phoneticPr fontId="4"/>
  </si>
  <si>
    <t>1091</t>
    <phoneticPr fontId="4"/>
  </si>
  <si>
    <t>1093</t>
    <phoneticPr fontId="4"/>
  </si>
  <si>
    <t>項目名</t>
    <phoneticPr fontId="4"/>
  </si>
  <si>
    <t>佐藤守</t>
    <phoneticPr fontId="4"/>
  </si>
  <si>
    <t>高橋徹</t>
    <phoneticPr fontId="4"/>
  </si>
  <si>
    <t>高橋英晃</t>
    <phoneticPr fontId="4"/>
  </si>
  <si>
    <t>鈴木貴雄</t>
    <phoneticPr fontId="4"/>
  </si>
  <si>
    <t>井上隆良</t>
    <phoneticPr fontId="4"/>
  </si>
  <si>
    <t>佐藤ゆうこ</t>
    <phoneticPr fontId="4"/>
  </si>
  <si>
    <t>刈谷俊之</t>
    <phoneticPr fontId="4"/>
  </si>
  <si>
    <t>大沼幸夫</t>
    <phoneticPr fontId="4"/>
  </si>
  <si>
    <t>大野翼</t>
    <phoneticPr fontId="4"/>
  </si>
  <si>
    <t>佐藤禎尚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</si>
  <si>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</si>
  <si>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</si>
  <si>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</si>
  <si>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</si>
  <si>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</si>
  <si>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</si>
  <si>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</si>
  <si>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</si>
  <si>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</si>
  <si>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</si>
  <si>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</si>
  <si>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</si>
  <si>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</si>
  <si>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</si>
  <si>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</si>
  <si>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</si>
  <si>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</si>
  <si>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</si>
  <si>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</si>
  <si>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特別休暇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</si>
  <si>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</si>
  <si>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</si>
  <si>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</si>
  <si>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</si>
  <si>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</si>
  <si>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</si>
  <si>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</si>
  <si>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</si>
  <si>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</si>
  <si>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</si>
  <si>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</si>
  <si>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</si>
  <si>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</si>
  <si>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</si>
  <si>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</si>
  <si>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</si>
  <si>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</si>
  <si>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</si>
  <si>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</si>
  <si>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</si>
  <si>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</si>
  <si>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</si>
  <si>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税調整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</si>
  <si>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</si>
  <si>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</si>
  <si>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</si>
  <si>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</si>
  <si>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</si>
  <si>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</si>
  <si>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</si>
  <si>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</si>
  <si>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7月度給与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</si>
  <si>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</si>
  <si>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</si>
  <si>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合計</t>
    <rPh sb="0" eb="2">
      <t>ゴウケイ</t>
    </rPh>
    <phoneticPr fontId="3"/>
  </si>
  <si>
    <t>7名</t>
    <rPh sb="1" eb="2">
      <t>メイ</t>
    </rPh>
    <phoneticPr fontId="3"/>
  </si>
  <si>
    <t>10名</t>
    <rPh sb="2" eb="3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</si>
</sst>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2" fontId="2" fillId="0" borderId="3" xfId="1" applyNumberFormat="1" applyFont="1" applyBorder="1"/>
    <xf numFmtId="176" fontId="2" fillId="0" borderId="3" xfId="1" applyNumberFormat="1" applyFont="1" applyBorder="1"/>
    <xf numFmtId="3" fontId="2" fillId="0" borderId="3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4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5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49" fontId="2" fillId="0" borderId="18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18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5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1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right"/>
    </xf>
    <xf numFmtId="49" fontId="2" fillId="0" borderId="8" xfId="1" applyNumberFormat="1" applyFont="1" applyBorder="1" applyAlignment="1">
      <alignment horizontal="center"/>
    </xf>
    <xf numFmtId="0" fontId="2" fillId="0" borderId="27" xfId="1" applyFont="1" applyBorder="1"/>
  </cellXfs>
  <cellStyles count="2">
    <cellStyle name="標準" xfId="0" builtinId="0"/>
    <cellStyle name="標準 2" xfId="1" xr:uid="{57E34375-742E-46B8-9595-5A1A49E57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E920-ED2C-44CE-9AF6-FA131822EA68}">
  <sheetPr>
    <pageSetUpPr fitToPage="1"/>
  </sheetPr>
  <dimension ref="A1:O58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5" width="9.375" style="2" customWidth="1"/>
    <col min="16" max="258" width="9" style="2"/>
    <col min="259" max="259" width="2.375" style="2" customWidth="1"/>
    <col min="260" max="260" width="13.25" style="2" bestFit="1" customWidth="1"/>
    <col min="261" max="262" width="8" style="2" bestFit="1" customWidth="1"/>
    <col min="263" max="265" width="9" style="2"/>
    <col min="266" max="266" width="11.125" style="2" bestFit="1" customWidth="1"/>
    <col min="267" max="268" width="9" style="2"/>
    <col min="269" max="269" width="8" style="2" bestFit="1" customWidth="1"/>
    <col min="270" max="270" width="9" style="2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8" style="2" bestFit="1" customWidth="1"/>
    <col min="519" max="521" width="9" style="2"/>
    <col min="522" max="522" width="11.125" style="2" bestFit="1" customWidth="1"/>
    <col min="523" max="524" width="9" style="2"/>
    <col min="525" max="525" width="8" style="2" bestFit="1" customWidth="1"/>
    <col min="526" max="526" width="9" style="2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8" style="2" bestFit="1" customWidth="1"/>
    <col min="775" max="777" width="9" style="2"/>
    <col min="778" max="778" width="11.125" style="2" bestFit="1" customWidth="1"/>
    <col min="779" max="780" width="9" style="2"/>
    <col min="781" max="781" width="8" style="2" bestFit="1" customWidth="1"/>
    <col min="782" max="782" width="9" style="2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8" style="2" bestFit="1" customWidth="1"/>
    <col min="1031" max="1033" width="9" style="2"/>
    <col min="1034" max="1034" width="11.125" style="2" bestFit="1" customWidth="1"/>
    <col min="1035" max="1036" width="9" style="2"/>
    <col min="1037" max="1037" width="8" style="2" bestFit="1" customWidth="1"/>
    <col min="1038" max="1038" width="9" style="2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8" style="2" bestFit="1" customWidth="1"/>
    <col min="1287" max="1289" width="9" style="2"/>
    <col min="1290" max="1290" width="11.125" style="2" bestFit="1" customWidth="1"/>
    <col min="1291" max="1292" width="9" style="2"/>
    <col min="1293" max="1293" width="8" style="2" bestFit="1" customWidth="1"/>
    <col min="1294" max="1294" width="9" style="2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8" style="2" bestFit="1" customWidth="1"/>
    <col min="1543" max="1545" width="9" style="2"/>
    <col min="1546" max="1546" width="11.125" style="2" bestFit="1" customWidth="1"/>
    <col min="1547" max="1548" width="9" style="2"/>
    <col min="1549" max="1549" width="8" style="2" bestFit="1" customWidth="1"/>
    <col min="1550" max="1550" width="9" style="2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8" style="2" bestFit="1" customWidth="1"/>
    <col min="1799" max="1801" width="9" style="2"/>
    <col min="1802" max="1802" width="11.125" style="2" bestFit="1" customWidth="1"/>
    <col min="1803" max="1804" width="9" style="2"/>
    <col min="1805" max="1805" width="8" style="2" bestFit="1" customWidth="1"/>
    <col min="1806" max="1806" width="9" style="2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8" style="2" bestFit="1" customWidth="1"/>
    <col min="2055" max="2057" width="9" style="2"/>
    <col min="2058" max="2058" width="11.125" style="2" bestFit="1" customWidth="1"/>
    <col min="2059" max="2060" width="9" style="2"/>
    <col min="2061" max="2061" width="8" style="2" bestFit="1" customWidth="1"/>
    <col min="2062" max="2062" width="9" style="2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8" style="2" bestFit="1" customWidth="1"/>
    <col min="2311" max="2313" width="9" style="2"/>
    <col min="2314" max="2314" width="11.125" style="2" bestFit="1" customWidth="1"/>
    <col min="2315" max="2316" width="9" style="2"/>
    <col min="2317" max="2317" width="8" style="2" bestFit="1" customWidth="1"/>
    <col min="2318" max="2318" width="9" style="2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8" style="2" bestFit="1" customWidth="1"/>
    <col min="2567" max="2569" width="9" style="2"/>
    <col min="2570" max="2570" width="11.125" style="2" bestFit="1" customWidth="1"/>
    <col min="2571" max="2572" width="9" style="2"/>
    <col min="2573" max="2573" width="8" style="2" bestFit="1" customWidth="1"/>
    <col min="2574" max="2574" width="9" style="2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8" style="2" bestFit="1" customWidth="1"/>
    <col min="2823" max="2825" width="9" style="2"/>
    <col min="2826" max="2826" width="11.125" style="2" bestFit="1" customWidth="1"/>
    <col min="2827" max="2828" width="9" style="2"/>
    <col min="2829" max="2829" width="8" style="2" bestFit="1" customWidth="1"/>
    <col min="2830" max="2830" width="9" style="2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8" style="2" bestFit="1" customWidth="1"/>
    <col min="3079" max="3081" width="9" style="2"/>
    <col min="3082" max="3082" width="11.125" style="2" bestFit="1" customWidth="1"/>
    <col min="3083" max="3084" width="9" style="2"/>
    <col min="3085" max="3085" width="8" style="2" bestFit="1" customWidth="1"/>
    <col min="3086" max="3086" width="9" style="2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8" style="2" bestFit="1" customWidth="1"/>
    <col min="3335" max="3337" width="9" style="2"/>
    <col min="3338" max="3338" width="11.125" style="2" bestFit="1" customWidth="1"/>
    <col min="3339" max="3340" width="9" style="2"/>
    <col min="3341" max="3341" width="8" style="2" bestFit="1" customWidth="1"/>
    <col min="3342" max="3342" width="9" style="2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8" style="2" bestFit="1" customWidth="1"/>
    <col min="3591" max="3593" width="9" style="2"/>
    <col min="3594" max="3594" width="11.125" style="2" bestFit="1" customWidth="1"/>
    <col min="3595" max="3596" width="9" style="2"/>
    <col min="3597" max="3597" width="8" style="2" bestFit="1" customWidth="1"/>
    <col min="3598" max="3598" width="9" style="2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8" style="2" bestFit="1" customWidth="1"/>
    <col min="3847" max="3849" width="9" style="2"/>
    <col min="3850" max="3850" width="11.125" style="2" bestFit="1" customWidth="1"/>
    <col min="3851" max="3852" width="9" style="2"/>
    <col min="3853" max="3853" width="8" style="2" bestFit="1" customWidth="1"/>
    <col min="3854" max="3854" width="9" style="2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8" style="2" bestFit="1" customWidth="1"/>
    <col min="4103" max="4105" width="9" style="2"/>
    <col min="4106" max="4106" width="11.125" style="2" bestFit="1" customWidth="1"/>
    <col min="4107" max="4108" width="9" style="2"/>
    <col min="4109" max="4109" width="8" style="2" bestFit="1" customWidth="1"/>
    <col min="4110" max="4110" width="9" style="2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8" style="2" bestFit="1" customWidth="1"/>
    <col min="4359" max="4361" width="9" style="2"/>
    <col min="4362" max="4362" width="11.125" style="2" bestFit="1" customWidth="1"/>
    <col min="4363" max="4364" width="9" style="2"/>
    <col min="4365" max="4365" width="8" style="2" bestFit="1" customWidth="1"/>
    <col min="4366" max="4366" width="9" style="2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8" style="2" bestFit="1" customWidth="1"/>
    <col min="4615" max="4617" width="9" style="2"/>
    <col min="4618" max="4618" width="11.125" style="2" bestFit="1" customWidth="1"/>
    <col min="4619" max="4620" width="9" style="2"/>
    <col min="4621" max="4621" width="8" style="2" bestFit="1" customWidth="1"/>
    <col min="4622" max="4622" width="9" style="2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8" style="2" bestFit="1" customWidth="1"/>
    <col min="4871" max="4873" width="9" style="2"/>
    <col min="4874" max="4874" width="11.125" style="2" bestFit="1" customWidth="1"/>
    <col min="4875" max="4876" width="9" style="2"/>
    <col min="4877" max="4877" width="8" style="2" bestFit="1" customWidth="1"/>
    <col min="4878" max="4878" width="9" style="2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8" style="2" bestFit="1" customWidth="1"/>
    <col min="5127" max="5129" width="9" style="2"/>
    <col min="5130" max="5130" width="11.125" style="2" bestFit="1" customWidth="1"/>
    <col min="5131" max="5132" width="9" style="2"/>
    <col min="5133" max="5133" width="8" style="2" bestFit="1" customWidth="1"/>
    <col min="5134" max="5134" width="9" style="2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8" style="2" bestFit="1" customWidth="1"/>
    <col min="5383" max="5385" width="9" style="2"/>
    <col min="5386" max="5386" width="11.125" style="2" bestFit="1" customWidth="1"/>
    <col min="5387" max="5388" width="9" style="2"/>
    <col min="5389" max="5389" width="8" style="2" bestFit="1" customWidth="1"/>
    <col min="5390" max="5390" width="9" style="2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8" style="2" bestFit="1" customWidth="1"/>
    <col min="5639" max="5641" width="9" style="2"/>
    <col min="5642" max="5642" width="11.125" style="2" bestFit="1" customWidth="1"/>
    <col min="5643" max="5644" width="9" style="2"/>
    <col min="5645" max="5645" width="8" style="2" bestFit="1" customWidth="1"/>
    <col min="5646" max="5646" width="9" style="2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8" style="2" bestFit="1" customWidth="1"/>
    <col min="5895" max="5897" width="9" style="2"/>
    <col min="5898" max="5898" width="11.125" style="2" bestFit="1" customWidth="1"/>
    <col min="5899" max="5900" width="9" style="2"/>
    <col min="5901" max="5901" width="8" style="2" bestFit="1" customWidth="1"/>
    <col min="5902" max="5902" width="9" style="2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8" style="2" bestFit="1" customWidth="1"/>
    <col min="6151" max="6153" width="9" style="2"/>
    <col min="6154" max="6154" width="11.125" style="2" bestFit="1" customWidth="1"/>
    <col min="6155" max="6156" width="9" style="2"/>
    <col min="6157" max="6157" width="8" style="2" bestFit="1" customWidth="1"/>
    <col min="6158" max="6158" width="9" style="2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8" style="2" bestFit="1" customWidth="1"/>
    <col min="6407" max="6409" width="9" style="2"/>
    <col min="6410" max="6410" width="11.125" style="2" bestFit="1" customWidth="1"/>
    <col min="6411" max="6412" width="9" style="2"/>
    <col min="6413" max="6413" width="8" style="2" bestFit="1" customWidth="1"/>
    <col min="6414" max="6414" width="9" style="2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8" style="2" bestFit="1" customWidth="1"/>
    <col min="6663" max="6665" width="9" style="2"/>
    <col min="6666" max="6666" width="11.125" style="2" bestFit="1" customWidth="1"/>
    <col min="6667" max="6668" width="9" style="2"/>
    <col min="6669" max="6669" width="8" style="2" bestFit="1" customWidth="1"/>
    <col min="6670" max="6670" width="9" style="2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8" style="2" bestFit="1" customWidth="1"/>
    <col min="6919" max="6921" width="9" style="2"/>
    <col min="6922" max="6922" width="11.125" style="2" bestFit="1" customWidth="1"/>
    <col min="6923" max="6924" width="9" style="2"/>
    <col min="6925" max="6925" width="8" style="2" bestFit="1" customWidth="1"/>
    <col min="6926" max="6926" width="9" style="2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8" style="2" bestFit="1" customWidth="1"/>
    <col min="7175" max="7177" width="9" style="2"/>
    <col min="7178" max="7178" width="11.125" style="2" bestFit="1" customWidth="1"/>
    <col min="7179" max="7180" width="9" style="2"/>
    <col min="7181" max="7181" width="8" style="2" bestFit="1" customWidth="1"/>
    <col min="7182" max="7182" width="9" style="2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8" style="2" bestFit="1" customWidth="1"/>
    <col min="7431" max="7433" width="9" style="2"/>
    <col min="7434" max="7434" width="11.125" style="2" bestFit="1" customWidth="1"/>
    <col min="7435" max="7436" width="9" style="2"/>
    <col min="7437" max="7437" width="8" style="2" bestFit="1" customWidth="1"/>
    <col min="7438" max="7438" width="9" style="2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8" style="2" bestFit="1" customWidth="1"/>
    <col min="7687" max="7689" width="9" style="2"/>
    <col min="7690" max="7690" width="11.125" style="2" bestFit="1" customWidth="1"/>
    <col min="7691" max="7692" width="9" style="2"/>
    <col min="7693" max="7693" width="8" style="2" bestFit="1" customWidth="1"/>
    <col min="7694" max="7694" width="9" style="2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8" style="2" bestFit="1" customWidth="1"/>
    <col min="7943" max="7945" width="9" style="2"/>
    <col min="7946" max="7946" width="11.125" style="2" bestFit="1" customWidth="1"/>
    <col min="7947" max="7948" width="9" style="2"/>
    <col min="7949" max="7949" width="8" style="2" bestFit="1" customWidth="1"/>
    <col min="7950" max="7950" width="9" style="2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8" style="2" bestFit="1" customWidth="1"/>
    <col min="8199" max="8201" width="9" style="2"/>
    <col min="8202" max="8202" width="11.125" style="2" bestFit="1" customWidth="1"/>
    <col min="8203" max="8204" width="9" style="2"/>
    <col min="8205" max="8205" width="8" style="2" bestFit="1" customWidth="1"/>
    <col min="8206" max="8206" width="9" style="2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8" style="2" bestFit="1" customWidth="1"/>
    <col min="8455" max="8457" width="9" style="2"/>
    <col min="8458" max="8458" width="11.125" style="2" bestFit="1" customWidth="1"/>
    <col min="8459" max="8460" width="9" style="2"/>
    <col min="8461" max="8461" width="8" style="2" bestFit="1" customWidth="1"/>
    <col min="8462" max="8462" width="9" style="2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8" style="2" bestFit="1" customWidth="1"/>
    <col min="8711" max="8713" width="9" style="2"/>
    <col min="8714" max="8714" width="11.125" style="2" bestFit="1" customWidth="1"/>
    <col min="8715" max="8716" width="9" style="2"/>
    <col min="8717" max="8717" width="8" style="2" bestFit="1" customWidth="1"/>
    <col min="8718" max="8718" width="9" style="2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8" style="2" bestFit="1" customWidth="1"/>
    <col min="8967" max="8969" width="9" style="2"/>
    <col min="8970" max="8970" width="11.125" style="2" bestFit="1" customWidth="1"/>
    <col min="8971" max="8972" width="9" style="2"/>
    <col min="8973" max="8973" width="8" style="2" bestFit="1" customWidth="1"/>
    <col min="8974" max="8974" width="9" style="2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8" style="2" bestFit="1" customWidth="1"/>
    <col min="9223" max="9225" width="9" style="2"/>
    <col min="9226" max="9226" width="11.125" style="2" bestFit="1" customWidth="1"/>
    <col min="9227" max="9228" width="9" style="2"/>
    <col min="9229" max="9229" width="8" style="2" bestFit="1" customWidth="1"/>
    <col min="9230" max="9230" width="9" style="2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8" style="2" bestFit="1" customWidth="1"/>
    <col min="9479" max="9481" width="9" style="2"/>
    <col min="9482" max="9482" width="11.125" style="2" bestFit="1" customWidth="1"/>
    <col min="9483" max="9484" width="9" style="2"/>
    <col min="9485" max="9485" width="8" style="2" bestFit="1" customWidth="1"/>
    <col min="9486" max="9486" width="9" style="2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8" style="2" bestFit="1" customWidth="1"/>
    <col min="9735" max="9737" width="9" style="2"/>
    <col min="9738" max="9738" width="11.125" style="2" bestFit="1" customWidth="1"/>
    <col min="9739" max="9740" width="9" style="2"/>
    <col min="9741" max="9741" width="8" style="2" bestFit="1" customWidth="1"/>
    <col min="9742" max="9742" width="9" style="2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8" style="2" bestFit="1" customWidth="1"/>
    <col min="9991" max="9993" width="9" style="2"/>
    <col min="9994" max="9994" width="11.125" style="2" bestFit="1" customWidth="1"/>
    <col min="9995" max="9996" width="9" style="2"/>
    <col min="9997" max="9997" width="8" style="2" bestFit="1" customWidth="1"/>
    <col min="9998" max="9998" width="9" style="2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8" style="2" bestFit="1" customWidth="1"/>
    <col min="10247" max="10249" width="9" style="2"/>
    <col min="10250" max="10250" width="11.125" style="2" bestFit="1" customWidth="1"/>
    <col min="10251" max="10252" width="9" style="2"/>
    <col min="10253" max="10253" width="8" style="2" bestFit="1" customWidth="1"/>
    <col min="10254" max="10254" width="9" style="2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8" style="2" bestFit="1" customWidth="1"/>
    <col min="10503" max="10505" width="9" style="2"/>
    <col min="10506" max="10506" width="11.125" style="2" bestFit="1" customWidth="1"/>
    <col min="10507" max="10508" width="9" style="2"/>
    <col min="10509" max="10509" width="8" style="2" bestFit="1" customWidth="1"/>
    <col min="10510" max="10510" width="9" style="2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8" style="2" bestFit="1" customWidth="1"/>
    <col min="10759" max="10761" width="9" style="2"/>
    <col min="10762" max="10762" width="11.125" style="2" bestFit="1" customWidth="1"/>
    <col min="10763" max="10764" width="9" style="2"/>
    <col min="10765" max="10765" width="8" style="2" bestFit="1" customWidth="1"/>
    <col min="10766" max="10766" width="9" style="2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8" style="2" bestFit="1" customWidth="1"/>
    <col min="11015" max="11017" width="9" style="2"/>
    <col min="11018" max="11018" width="11.125" style="2" bestFit="1" customWidth="1"/>
    <col min="11019" max="11020" width="9" style="2"/>
    <col min="11021" max="11021" width="8" style="2" bestFit="1" customWidth="1"/>
    <col min="11022" max="11022" width="9" style="2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8" style="2" bestFit="1" customWidth="1"/>
    <col min="11271" max="11273" width="9" style="2"/>
    <col min="11274" max="11274" width="11.125" style="2" bestFit="1" customWidth="1"/>
    <col min="11275" max="11276" width="9" style="2"/>
    <col min="11277" max="11277" width="8" style="2" bestFit="1" customWidth="1"/>
    <col min="11278" max="11278" width="9" style="2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8" style="2" bestFit="1" customWidth="1"/>
    <col min="11527" max="11529" width="9" style="2"/>
    <col min="11530" max="11530" width="11.125" style="2" bestFit="1" customWidth="1"/>
    <col min="11531" max="11532" width="9" style="2"/>
    <col min="11533" max="11533" width="8" style="2" bestFit="1" customWidth="1"/>
    <col min="11534" max="11534" width="9" style="2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8" style="2" bestFit="1" customWidth="1"/>
    <col min="11783" max="11785" width="9" style="2"/>
    <col min="11786" max="11786" width="11.125" style="2" bestFit="1" customWidth="1"/>
    <col min="11787" max="11788" width="9" style="2"/>
    <col min="11789" max="11789" width="8" style="2" bestFit="1" customWidth="1"/>
    <col min="11790" max="11790" width="9" style="2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8" style="2" bestFit="1" customWidth="1"/>
    <col min="12039" max="12041" width="9" style="2"/>
    <col min="12042" max="12042" width="11.125" style="2" bestFit="1" customWidth="1"/>
    <col min="12043" max="12044" width="9" style="2"/>
    <col min="12045" max="12045" width="8" style="2" bestFit="1" customWidth="1"/>
    <col min="12046" max="12046" width="9" style="2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8" style="2" bestFit="1" customWidth="1"/>
    <col min="12295" max="12297" width="9" style="2"/>
    <col min="12298" max="12298" width="11.125" style="2" bestFit="1" customWidth="1"/>
    <col min="12299" max="12300" width="9" style="2"/>
    <col min="12301" max="12301" width="8" style="2" bestFit="1" customWidth="1"/>
    <col min="12302" max="12302" width="9" style="2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8" style="2" bestFit="1" customWidth="1"/>
    <col min="12551" max="12553" width="9" style="2"/>
    <col min="12554" max="12554" width="11.125" style="2" bestFit="1" customWidth="1"/>
    <col min="12555" max="12556" width="9" style="2"/>
    <col min="12557" max="12557" width="8" style="2" bestFit="1" customWidth="1"/>
    <col min="12558" max="12558" width="9" style="2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8" style="2" bestFit="1" customWidth="1"/>
    <col min="12807" max="12809" width="9" style="2"/>
    <col min="12810" max="12810" width="11.125" style="2" bestFit="1" customWidth="1"/>
    <col min="12811" max="12812" width="9" style="2"/>
    <col min="12813" max="12813" width="8" style="2" bestFit="1" customWidth="1"/>
    <col min="12814" max="12814" width="9" style="2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8" style="2" bestFit="1" customWidth="1"/>
    <col min="13063" max="13065" width="9" style="2"/>
    <col min="13066" max="13066" width="11.125" style="2" bestFit="1" customWidth="1"/>
    <col min="13067" max="13068" width="9" style="2"/>
    <col min="13069" max="13069" width="8" style="2" bestFit="1" customWidth="1"/>
    <col min="13070" max="13070" width="9" style="2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8" style="2" bestFit="1" customWidth="1"/>
    <col min="13319" max="13321" width="9" style="2"/>
    <col min="13322" max="13322" width="11.125" style="2" bestFit="1" customWidth="1"/>
    <col min="13323" max="13324" width="9" style="2"/>
    <col min="13325" max="13325" width="8" style="2" bestFit="1" customWidth="1"/>
    <col min="13326" max="13326" width="9" style="2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8" style="2" bestFit="1" customWidth="1"/>
    <col min="13575" max="13577" width="9" style="2"/>
    <col min="13578" max="13578" width="11.125" style="2" bestFit="1" customWidth="1"/>
    <col min="13579" max="13580" width="9" style="2"/>
    <col min="13581" max="13581" width="8" style="2" bestFit="1" customWidth="1"/>
    <col min="13582" max="13582" width="9" style="2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8" style="2" bestFit="1" customWidth="1"/>
    <col min="13831" max="13833" width="9" style="2"/>
    <col min="13834" max="13834" width="11.125" style="2" bestFit="1" customWidth="1"/>
    <col min="13835" max="13836" width="9" style="2"/>
    <col min="13837" max="13837" width="8" style="2" bestFit="1" customWidth="1"/>
    <col min="13838" max="13838" width="9" style="2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8" style="2" bestFit="1" customWidth="1"/>
    <col min="14087" max="14089" width="9" style="2"/>
    <col min="14090" max="14090" width="11.125" style="2" bestFit="1" customWidth="1"/>
    <col min="14091" max="14092" width="9" style="2"/>
    <col min="14093" max="14093" width="8" style="2" bestFit="1" customWidth="1"/>
    <col min="14094" max="14094" width="9" style="2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8" style="2" bestFit="1" customWidth="1"/>
    <col min="14343" max="14345" width="9" style="2"/>
    <col min="14346" max="14346" width="11.125" style="2" bestFit="1" customWidth="1"/>
    <col min="14347" max="14348" width="9" style="2"/>
    <col min="14349" max="14349" width="8" style="2" bestFit="1" customWidth="1"/>
    <col min="14350" max="14350" width="9" style="2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8" style="2" bestFit="1" customWidth="1"/>
    <col min="14599" max="14601" width="9" style="2"/>
    <col min="14602" max="14602" width="11.125" style="2" bestFit="1" customWidth="1"/>
    <col min="14603" max="14604" width="9" style="2"/>
    <col min="14605" max="14605" width="8" style="2" bestFit="1" customWidth="1"/>
    <col min="14606" max="14606" width="9" style="2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8" style="2" bestFit="1" customWidth="1"/>
    <col min="14855" max="14857" width="9" style="2"/>
    <col min="14858" max="14858" width="11.125" style="2" bestFit="1" customWidth="1"/>
    <col min="14859" max="14860" width="9" style="2"/>
    <col min="14861" max="14861" width="8" style="2" bestFit="1" customWidth="1"/>
    <col min="14862" max="14862" width="9" style="2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8" style="2" bestFit="1" customWidth="1"/>
    <col min="15111" max="15113" width="9" style="2"/>
    <col min="15114" max="15114" width="11.125" style="2" bestFit="1" customWidth="1"/>
    <col min="15115" max="15116" width="9" style="2"/>
    <col min="15117" max="15117" width="8" style="2" bestFit="1" customWidth="1"/>
    <col min="15118" max="15118" width="9" style="2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8" style="2" bestFit="1" customWidth="1"/>
    <col min="15367" max="15369" width="9" style="2"/>
    <col min="15370" max="15370" width="11.125" style="2" bestFit="1" customWidth="1"/>
    <col min="15371" max="15372" width="9" style="2"/>
    <col min="15373" max="15373" width="8" style="2" bestFit="1" customWidth="1"/>
    <col min="15374" max="15374" width="9" style="2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8" style="2" bestFit="1" customWidth="1"/>
    <col min="15623" max="15625" width="9" style="2"/>
    <col min="15626" max="15626" width="11.125" style="2" bestFit="1" customWidth="1"/>
    <col min="15627" max="15628" width="9" style="2"/>
    <col min="15629" max="15629" width="8" style="2" bestFit="1" customWidth="1"/>
    <col min="15630" max="15630" width="9" style="2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8" style="2" bestFit="1" customWidth="1"/>
    <col min="15879" max="15881" width="9" style="2"/>
    <col min="15882" max="15882" width="11.125" style="2" bestFit="1" customWidth="1"/>
    <col min="15883" max="15884" width="9" style="2"/>
    <col min="15885" max="15885" width="8" style="2" bestFit="1" customWidth="1"/>
    <col min="15886" max="15886" width="9" style="2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8" style="2" bestFit="1" customWidth="1"/>
    <col min="16135" max="16137" width="9" style="2"/>
    <col min="16138" max="16138" width="11.125" style="2" bestFit="1" customWidth="1"/>
    <col min="16139" max="16140" width="9" style="2"/>
    <col min="16141" max="16141" width="8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75</v>
      </c>
    </row>
    <row r="4" spans="1:15">
      <c r="B4" s="3"/>
      <c r="C4" s="13" t="s">
        <v>6</v>
      </c>
      <c r="D4" s="13" t="s">
        <v>12</v>
      </c>
      <c r="E4" s="56" t="s">
        <v>8</v>
      </c>
      <c r="F4" s="37" t="s">
        <v>76</v>
      </c>
      <c r="G4" s="55" t="s">
        <v>3</v>
      </c>
      <c r="H4" s="13" t="s">
        <v>4</v>
      </c>
      <c r="I4" s="13" t="s">
        <v>5</v>
      </c>
      <c r="J4" s="13" t="s">
        <v>7</v>
      </c>
      <c r="K4" s="13" t="s">
        <v>9</v>
      </c>
      <c r="L4" s="13" t="s">
        <v>10</v>
      </c>
      <c r="M4" s="58" t="s">
        <v>11</v>
      </c>
      <c r="N4" s="37" t="s">
        <v>76</v>
      </c>
      <c r="O4" s="37" t="s">
        <v>78</v>
      </c>
    </row>
    <row r="5" spans="1:15" ht="19.5" thickBot="1">
      <c r="A5" s="59"/>
      <c r="B5" s="12" t="s">
        <v>13</v>
      </c>
      <c r="C5" s="15" t="s">
        <v>17</v>
      </c>
      <c r="D5" s="16" t="s">
        <v>23</v>
      </c>
      <c r="E5" s="16" t="s">
        <v>19</v>
      </c>
      <c r="F5" s="57" t="s">
        <v>77</v>
      </c>
      <c r="G5" s="14" t="s">
        <v>14</v>
      </c>
      <c r="H5" s="15" t="s">
        <v>15</v>
      </c>
      <c r="I5" s="15" t="s">
        <v>16</v>
      </c>
      <c r="J5" s="15" t="s">
        <v>18</v>
      </c>
      <c r="K5" s="15" t="s">
        <v>20</v>
      </c>
      <c r="L5" s="15" t="s">
        <v>21</v>
      </c>
      <c r="M5" s="16" t="s">
        <v>22</v>
      </c>
      <c r="N5" s="57" t="s">
        <v>79</v>
      </c>
      <c r="O5" s="57" t="s">
        <v>80</v>
      </c>
    </row>
    <row r="6" spans="1:15">
      <c r="A6" s="1" t="s">
        <v>2</v>
      </c>
      <c r="B6" s="10" t="s">
        <v>24</v>
      </c>
      <c r="C6" s="18">
        <v>21</v>
      </c>
      <c r="D6" s="19">
        <v>21</v>
      </c>
      <c r="E6" s="19">
        <v>17</v>
      </c>
      <c r="F6" s="11">
        <f>SUM(C6:E6)</f>
        <v>59</v>
      </c>
      <c r="G6" s="17">
        <v>18</v>
      </c>
      <c r="H6" s="18">
        <v>16</v>
      </c>
      <c r="I6" s="18">
        <v>15</v>
      </c>
      <c r="J6" s="18">
        <v>20</v>
      </c>
      <c r="K6" s="18">
        <v>17</v>
      </c>
      <c r="L6" s="18">
        <v>21</v>
      </c>
      <c r="M6" s="19">
        <v>21</v>
      </c>
      <c r="N6" s="11">
        <f>SUM(G6:M6)</f>
        <v>128</v>
      </c>
      <c r="O6" s="11">
        <f>SUM(N6,F6)</f>
        <v>187</v>
      </c>
    </row>
    <row r="7" spans="1:15">
      <c r="A7" s="1" t="s">
        <v>2</v>
      </c>
      <c r="B7" s="4" t="s">
        <v>25</v>
      </c>
      <c r="C7" s="21">
        <v>0</v>
      </c>
      <c r="D7" s="22">
        <v>0</v>
      </c>
      <c r="E7" s="22">
        <v>1</v>
      </c>
      <c r="F7" s="5">
        <f t="shared" ref="F7:F21" si="0">SUM(C7:E7)</f>
        <v>1</v>
      </c>
      <c r="G7" s="20">
        <v>5</v>
      </c>
      <c r="H7" s="21">
        <v>3</v>
      </c>
      <c r="I7" s="21">
        <v>4</v>
      </c>
      <c r="J7" s="21">
        <v>3</v>
      </c>
      <c r="K7" s="21">
        <v>4</v>
      </c>
      <c r="L7" s="21">
        <v>2</v>
      </c>
      <c r="M7" s="22">
        <v>2</v>
      </c>
      <c r="N7" s="5">
        <f t="shared" ref="N7:N21" si="1">SUM(G7:M7)</f>
        <v>23</v>
      </c>
      <c r="O7" s="5">
        <f t="shared" ref="O7:O21" si="2">SUM(N7,F7)</f>
        <v>24</v>
      </c>
    </row>
    <row r="8" spans="1:15">
      <c r="A8" s="1" t="s">
        <v>2</v>
      </c>
      <c r="B8" s="4" t="s">
        <v>26</v>
      </c>
      <c r="C8" s="21">
        <v>0</v>
      </c>
      <c r="D8" s="22">
        <v>0</v>
      </c>
      <c r="E8" s="22">
        <v>2</v>
      </c>
      <c r="F8" s="5">
        <f t="shared" si="0"/>
        <v>2</v>
      </c>
      <c r="G8" s="20">
        <v>3</v>
      </c>
      <c r="H8" s="21">
        <v>4</v>
      </c>
      <c r="I8" s="21">
        <v>2</v>
      </c>
      <c r="J8" s="21">
        <v>2</v>
      </c>
      <c r="K8" s="21">
        <v>3</v>
      </c>
      <c r="L8" s="21">
        <v>2</v>
      </c>
      <c r="M8" s="22">
        <v>3</v>
      </c>
      <c r="N8" s="5">
        <f t="shared" si="1"/>
        <v>19</v>
      </c>
      <c r="O8" s="5">
        <f t="shared" si="2"/>
        <v>21</v>
      </c>
    </row>
    <row r="9" spans="1:15">
      <c r="A9" s="1" t="s">
        <v>2</v>
      </c>
      <c r="B9" s="4" t="s">
        <v>27</v>
      </c>
      <c r="C9" s="21">
        <v>0</v>
      </c>
      <c r="D9" s="22">
        <v>0</v>
      </c>
      <c r="E9" s="22">
        <v>1</v>
      </c>
      <c r="F9" s="5">
        <f t="shared" si="0"/>
        <v>1</v>
      </c>
      <c r="G9" s="20">
        <v>0</v>
      </c>
      <c r="H9" s="21">
        <v>1</v>
      </c>
      <c r="I9" s="21">
        <v>3</v>
      </c>
      <c r="J9" s="21">
        <v>0</v>
      </c>
      <c r="K9" s="21">
        <v>1</v>
      </c>
      <c r="L9" s="21">
        <v>0</v>
      </c>
      <c r="M9" s="22">
        <v>0</v>
      </c>
      <c r="N9" s="5">
        <f t="shared" si="1"/>
        <v>5</v>
      </c>
      <c r="O9" s="5">
        <f t="shared" si="2"/>
        <v>6</v>
      </c>
    </row>
    <row r="10" spans="1:15">
      <c r="A10" s="1" t="s">
        <v>2</v>
      </c>
      <c r="B10" s="4" t="s">
        <v>28</v>
      </c>
      <c r="C10" s="21">
        <v>0.5</v>
      </c>
      <c r="D10" s="22">
        <v>0.5</v>
      </c>
      <c r="E10" s="22">
        <v>3</v>
      </c>
      <c r="F10" s="5">
        <f t="shared" si="0"/>
        <v>4</v>
      </c>
      <c r="G10" s="20">
        <v>3</v>
      </c>
      <c r="H10" s="21">
        <v>4</v>
      </c>
      <c r="I10" s="21">
        <v>3</v>
      </c>
      <c r="J10" s="21">
        <v>1</v>
      </c>
      <c r="K10" s="21">
        <v>2</v>
      </c>
      <c r="L10" s="21">
        <v>0</v>
      </c>
      <c r="M10" s="22">
        <v>0</v>
      </c>
      <c r="N10" s="5">
        <f t="shared" si="1"/>
        <v>13</v>
      </c>
      <c r="O10" s="5">
        <f t="shared" si="2"/>
        <v>17</v>
      </c>
    </row>
    <row r="11" spans="1:15">
      <c r="A11" s="1" t="s">
        <v>2</v>
      </c>
      <c r="B11" s="4" t="s">
        <v>29</v>
      </c>
      <c r="C11" s="21">
        <v>0</v>
      </c>
      <c r="D11" s="22">
        <v>0</v>
      </c>
      <c r="E11" s="22">
        <v>0</v>
      </c>
      <c r="F11" s="5">
        <f t="shared" si="0"/>
        <v>0</v>
      </c>
      <c r="G11" s="20">
        <v>0</v>
      </c>
      <c r="H11" s="21">
        <v>0</v>
      </c>
      <c r="I11" s="21">
        <v>0</v>
      </c>
      <c r="J11" s="21">
        <v>0</v>
      </c>
      <c r="K11" s="21">
        <v>1</v>
      </c>
      <c r="L11" s="21">
        <v>0</v>
      </c>
      <c r="M11" s="22">
        <v>0</v>
      </c>
      <c r="N11" s="5">
        <f t="shared" si="1"/>
        <v>1</v>
      </c>
      <c r="O11" s="5">
        <f t="shared" si="2"/>
        <v>1</v>
      </c>
    </row>
    <row r="12" spans="1:15">
      <c r="A12" s="1" t="s">
        <v>2</v>
      </c>
      <c r="B12" s="4" t="s">
        <v>30</v>
      </c>
      <c r="C12" s="21">
        <v>0</v>
      </c>
      <c r="D12" s="22">
        <v>0</v>
      </c>
      <c r="E12" s="22">
        <v>0</v>
      </c>
      <c r="F12" s="5">
        <f t="shared" si="0"/>
        <v>0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2">
        <v>0</v>
      </c>
      <c r="N12" s="5">
        <f t="shared" si="1"/>
        <v>0</v>
      </c>
      <c r="O12" s="5">
        <f t="shared" si="2"/>
        <v>0</v>
      </c>
    </row>
    <row r="13" spans="1:15">
      <c r="A13" s="1" t="s">
        <v>2</v>
      </c>
      <c r="B13" s="4" t="s">
        <v>31</v>
      </c>
      <c r="C13" s="21">
        <v>0</v>
      </c>
      <c r="D13" s="22">
        <v>0</v>
      </c>
      <c r="E13" s="22">
        <v>0</v>
      </c>
      <c r="F13" s="5">
        <f t="shared" si="0"/>
        <v>0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2">
        <v>0</v>
      </c>
      <c r="N13" s="5">
        <f t="shared" si="1"/>
        <v>0</v>
      </c>
      <c r="O13" s="5">
        <f t="shared" si="2"/>
        <v>0</v>
      </c>
    </row>
    <row r="14" spans="1:15">
      <c r="A14" s="1" t="s">
        <v>2</v>
      </c>
      <c r="B14" s="4" t="s">
        <v>32</v>
      </c>
      <c r="C14" s="24">
        <v>0</v>
      </c>
      <c r="D14" s="25">
        <v>0</v>
      </c>
      <c r="E14" s="25">
        <v>0</v>
      </c>
      <c r="F14" s="6">
        <f t="shared" si="0"/>
        <v>0</v>
      </c>
      <c r="G14" s="23">
        <v>1.75</v>
      </c>
      <c r="H14" s="24">
        <v>0.625</v>
      </c>
      <c r="I14" s="24">
        <v>0.83333333333333337</v>
      </c>
      <c r="J14" s="24">
        <v>1.75</v>
      </c>
      <c r="K14" s="24">
        <v>1.8333333333333335</v>
      </c>
      <c r="L14" s="24">
        <v>2.0833333333333335</v>
      </c>
      <c r="M14" s="25">
        <v>1.8333333333333335</v>
      </c>
      <c r="N14" s="6">
        <f t="shared" si="1"/>
        <v>10.708333333333336</v>
      </c>
      <c r="O14" s="6">
        <f t="shared" si="2"/>
        <v>10.708333333333336</v>
      </c>
    </row>
    <row r="15" spans="1:15">
      <c r="A15" s="1" t="s">
        <v>2</v>
      </c>
      <c r="B15" s="4" t="s">
        <v>33</v>
      </c>
      <c r="C15" s="24">
        <v>0</v>
      </c>
      <c r="D15" s="25">
        <v>0</v>
      </c>
      <c r="E15" s="25">
        <v>0.29166666666666669</v>
      </c>
      <c r="F15" s="6">
        <f t="shared" si="0"/>
        <v>0.29166666666666669</v>
      </c>
      <c r="G15" s="23">
        <v>1.9166666666666665</v>
      </c>
      <c r="H15" s="24">
        <v>1</v>
      </c>
      <c r="I15" s="24">
        <v>0.75</v>
      </c>
      <c r="J15" s="24">
        <v>1.125</v>
      </c>
      <c r="K15" s="24">
        <v>1.2083333333333333</v>
      </c>
      <c r="L15" s="24">
        <v>0.70833333333333337</v>
      </c>
      <c r="M15" s="25">
        <v>1</v>
      </c>
      <c r="N15" s="6">
        <f t="shared" si="1"/>
        <v>7.7083333333333321</v>
      </c>
      <c r="O15" s="6">
        <f t="shared" si="2"/>
        <v>7.9999999999999991</v>
      </c>
    </row>
    <row r="16" spans="1:15">
      <c r="A16" s="1" t="s">
        <v>2</v>
      </c>
      <c r="B16" s="4" t="s">
        <v>34</v>
      </c>
      <c r="C16" s="24">
        <v>0</v>
      </c>
      <c r="D16" s="25">
        <v>0</v>
      </c>
      <c r="E16" s="25">
        <v>0.25</v>
      </c>
      <c r="F16" s="6">
        <f t="shared" si="0"/>
        <v>0.25</v>
      </c>
      <c r="G16" s="23">
        <v>0.91666666666666663</v>
      </c>
      <c r="H16" s="24">
        <v>1.0416666666666667</v>
      </c>
      <c r="I16" s="24">
        <v>0.375</v>
      </c>
      <c r="J16" s="24">
        <v>0.625</v>
      </c>
      <c r="K16" s="24">
        <v>0.83333333333333337</v>
      </c>
      <c r="L16" s="24">
        <v>0.66666666666666663</v>
      </c>
      <c r="M16" s="25">
        <v>1.125</v>
      </c>
      <c r="N16" s="6">
        <f t="shared" si="1"/>
        <v>5.5833333333333339</v>
      </c>
      <c r="O16" s="6">
        <f t="shared" si="2"/>
        <v>5.8333333333333339</v>
      </c>
    </row>
    <row r="17" spans="1:15">
      <c r="A17" s="1" t="s">
        <v>2</v>
      </c>
      <c r="B17" s="4" t="s">
        <v>35</v>
      </c>
      <c r="C17" s="24">
        <v>0</v>
      </c>
      <c r="D17" s="25">
        <v>0</v>
      </c>
      <c r="E17" s="25">
        <v>0</v>
      </c>
      <c r="F17" s="6">
        <f t="shared" si="0"/>
        <v>0</v>
      </c>
      <c r="G17" s="23">
        <v>0</v>
      </c>
      <c r="H17" s="24">
        <v>0</v>
      </c>
      <c r="I17" s="24">
        <v>0.70833333333333337</v>
      </c>
      <c r="J17" s="24">
        <v>0</v>
      </c>
      <c r="K17" s="24">
        <v>0</v>
      </c>
      <c r="L17" s="24">
        <v>0</v>
      </c>
      <c r="M17" s="25">
        <v>0</v>
      </c>
      <c r="N17" s="6">
        <f t="shared" si="1"/>
        <v>0.70833333333333337</v>
      </c>
      <c r="O17" s="6">
        <f t="shared" si="2"/>
        <v>0.70833333333333337</v>
      </c>
    </row>
    <row r="18" spans="1:15">
      <c r="A18" s="1" t="s">
        <v>2</v>
      </c>
      <c r="B18" s="4" t="s">
        <v>36</v>
      </c>
      <c r="C18" s="24">
        <v>0</v>
      </c>
      <c r="D18" s="25">
        <v>0</v>
      </c>
      <c r="E18" s="25">
        <v>0.125</v>
      </c>
      <c r="F18" s="6">
        <f t="shared" si="0"/>
        <v>0.125</v>
      </c>
      <c r="G18" s="23">
        <v>0</v>
      </c>
      <c r="H18" s="24">
        <v>0.33333333333333331</v>
      </c>
      <c r="I18" s="24">
        <v>0.375</v>
      </c>
      <c r="J18" s="24">
        <v>0</v>
      </c>
      <c r="K18" s="24">
        <v>0.25</v>
      </c>
      <c r="L18" s="24">
        <v>0</v>
      </c>
      <c r="M18" s="25">
        <v>0</v>
      </c>
      <c r="N18" s="6">
        <f t="shared" si="1"/>
        <v>0.95833333333333326</v>
      </c>
      <c r="O18" s="6">
        <f t="shared" si="2"/>
        <v>1.0833333333333333</v>
      </c>
    </row>
    <row r="19" spans="1:15">
      <c r="A19" s="1" t="s">
        <v>2</v>
      </c>
      <c r="B19" s="4" t="s">
        <v>37</v>
      </c>
      <c r="C19" s="24">
        <v>0</v>
      </c>
      <c r="D19" s="25">
        <v>0</v>
      </c>
      <c r="E19" s="25">
        <v>4.1666666666666664E-2</v>
      </c>
      <c r="F19" s="6">
        <f t="shared" si="0"/>
        <v>4.1666666666666664E-2</v>
      </c>
      <c r="G19" s="23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5">
        <v>0</v>
      </c>
      <c r="N19" s="6">
        <f t="shared" si="1"/>
        <v>0</v>
      </c>
      <c r="O19" s="6">
        <f t="shared" si="2"/>
        <v>4.1666666666666664E-2</v>
      </c>
    </row>
    <row r="20" spans="1:15">
      <c r="A20" s="1" t="s">
        <v>2</v>
      </c>
      <c r="B20" s="4" t="s">
        <v>38</v>
      </c>
      <c r="C20" s="24">
        <v>0</v>
      </c>
      <c r="D20" s="25">
        <v>0</v>
      </c>
      <c r="E20" s="25">
        <v>0</v>
      </c>
      <c r="F20" s="6">
        <f t="shared" si="0"/>
        <v>0</v>
      </c>
      <c r="G20" s="23">
        <v>1</v>
      </c>
      <c r="H20" s="24">
        <v>3.4166666666666665</v>
      </c>
      <c r="I20" s="24">
        <v>2.25</v>
      </c>
      <c r="J20" s="24">
        <v>0.54166666666666663</v>
      </c>
      <c r="K20" s="24">
        <v>1.3333333333333333</v>
      </c>
      <c r="L20" s="24">
        <v>0.875</v>
      </c>
      <c r="M20" s="25">
        <v>1.0416666666666667</v>
      </c>
      <c r="N20" s="6">
        <f t="shared" si="1"/>
        <v>10.458333333333332</v>
      </c>
      <c r="O20" s="6">
        <f t="shared" si="2"/>
        <v>10.458333333333332</v>
      </c>
    </row>
    <row r="21" spans="1:15" ht="19.5" thickBot="1">
      <c r="A21" s="1" t="s">
        <v>2</v>
      </c>
      <c r="B21" s="32" t="s">
        <v>39</v>
      </c>
      <c r="C21" s="34">
        <v>37.5</v>
      </c>
      <c r="D21" s="35">
        <v>14</v>
      </c>
      <c r="E21" s="35">
        <v>17</v>
      </c>
      <c r="F21" s="36">
        <f t="shared" si="0"/>
        <v>68.5</v>
      </c>
      <c r="G21" s="33">
        <v>31</v>
      </c>
      <c r="H21" s="34">
        <v>28</v>
      </c>
      <c r="I21" s="34">
        <v>31</v>
      </c>
      <c r="J21" s="34">
        <v>36</v>
      </c>
      <c r="K21" s="34">
        <v>9</v>
      </c>
      <c r="L21" s="34">
        <v>21</v>
      </c>
      <c r="M21" s="35">
        <v>16</v>
      </c>
      <c r="N21" s="36">
        <f t="shared" si="1"/>
        <v>172</v>
      </c>
      <c r="O21" s="36">
        <f t="shared" si="2"/>
        <v>240.5</v>
      </c>
    </row>
    <row r="22" spans="1:15">
      <c r="A22" s="1" t="s">
        <v>2</v>
      </c>
      <c r="B22" s="37" t="s">
        <v>40</v>
      </c>
      <c r="C22" s="39">
        <v>335000</v>
      </c>
      <c r="D22" s="40">
        <v>335000</v>
      </c>
      <c r="E22" s="40">
        <v>170000</v>
      </c>
      <c r="F22" s="41">
        <f>SUM(C22:E22)</f>
        <v>840000</v>
      </c>
      <c r="G22" s="38">
        <v>182000</v>
      </c>
      <c r="H22" s="39">
        <v>177000</v>
      </c>
      <c r="I22" s="39">
        <v>177000</v>
      </c>
      <c r="J22" s="39">
        <v>182000</v>
      </c>
      <c r="K22" s="39">
        <v>170000</v>
      </c>
      <c r="L22" s="39">
        <v>170000</v>
      </c>
      <c r="M22" s="40">
        <v>170000</v>
      </c>
      <c r="N22" s="41">
        <f>SUM(G22:M22)</f>
        <v>1228000</v>
      </c>
      <c r="O22" s="41">
        <f>SUM(F22,N22)</f>
        <v>2068000</v>
      </c>
    </row>
    <row r="23" spans="1:15">
      <c r="A23" s="1" t="s">
        <v>2</v>
      </c>
      <c r="B23" s="4" t="s">
        <v>41</v>
      </c>
      <c r="C23" s="27">
        <v>0</v>
      </c>
      <c r="D23" s="28">
        <v>0</v>
      </c>
      <c r="E23" s="28">
        <v>0</v>
      </c>
      <c r="F23" s="7">
        <f t="shared" ref="F23:F56" si="3">SUM(C23:E23)</f>
        <v>0</v>
      </c>
      <c r="G23" s="26">
        <v>5000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8">
        <v>0</v>
      </c>
      <c r="N23" s="7">
        <f t="shared" ref="N23:N56" si="4">SUM(G23:M23)</f>
        <v>5000</v>
      </c>
      <c r="O23" s="7">
        <f t="shared" ref="O23:O56" si="5">SUM(F23,N23)</f>
        <v>5000</v>
      </c>
    </row>
    <row r="24" spans="1:15">
      <c r="A24" s="1" t="s">
        <v>2</v>
      </c>
      <c r="B24" s="4" t="s">
        <v>42</v>
      </c>
      <c r="C24" s="27">
        <v>0</v>
      </c>
      <c r="D24" s="28">
        <v>0</v>
      </c>
      <c r="E24" s="28">
        <v>0</v>
      </c>
      <c r="F24" s="7">
        <f t="shared" si="3"/>
        <v>0</v>
      </c>
      <c r="G24" s="26">
        <v>3000</v>
      </c>
      <c r="H24" s="27">
        <v>10000</v>
      </c>
      <c r="I24" s="27">
        <v>0</v>
      </c>
      <c r="J24" s="27">
        <v>0</v>
      </c>
      <c r="K24" s="27">
        <v>0</v>
      </c>
      <c r="L24" s="27">
        <v>0</v>
      </c>
      <c r="M24" s="28">
        <v>0</v>
      </c>
      <c r="N24" s="7">
        <f t="shared" si="4"/>
        <v>13000</v>
      </c>
      <c r="O24" s="7">
        <f t="shared" si="5"/>
        <v>13000</v>
      </c>
    </row>
    <row r="25" spans="1:15">
      <c r="A25" s="1" t="s">
        <v>2</v>
      </c>
      <c r="B25" s="4" t="s">
        <v>43</v>
      </c>
      <c r="C25" s="27">
        <v>0</v>
      </c>
      <c r="D25" s="28">
        <v>0</v>
      </c>
      <c r="E25" s="28">
        <v>0</v>
      </c>
      <c r="F25" s="7">
        <f t="shared" si="3"/>
        <v>0</v>
      </c>
      <c r="G25" s="26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8">
        <v>0</v>
      </c>
      <c r="N25" s="7">
        <f t="shared" si="4"/>
        <v>0</v>
      </c>
      <c r="O25" s="7">
        <f t="shared" si="5"/>
        <v>0</v>
      </c>
    </row>
    <row r="26" spans="1:15">
      <c r="A26" s="1" t="s">
        <v>2</v>
      </c>
      <c r="B26" s="4" t="s">
        <v>44</v>
      </c>
      <c r="C26" s="27">
        <v>0</v>
      </c>
      <c r="D26" s="28">
        <v>0</v>
      </c>
      <c r="E26" s="28">
        <v>0</v>
      </c>
      <c r="F26" s="7">
        <f t="shared" si="3"/>
        <v>0</v>
      </c>
      <c r="G26" s="26">
        <v>0</v>
      </c>
      <c r="H26" s="27">
        <v>12600</v>
      </c>
      <c r="I26" s="27">
        <v>0</v>
      </c>
      <c r="J26" s="27">
        <v>0</v>
      </c>
      <c r="K26" s="27">
        <v>0</v>
      </c>
      <c r="L26" s="27">
        <v>0</v>
      </c>
      <c r="M26" s="28">
        <v>0</v>
      </c>
      <c r="N26" s="7">
        <f t="shared" si="4"/>
        <v>12600</v>
      </c>
      <c r="O26" s="7">
        <f t="shared" si="5"/>
        <v>12600</v>
      </c>
    </row>
    <row r="27" spans="1:15">
      <c r="A27" s="1" t="s">
        <v>2</v>
      </c>
      <c r="B27" s="4" t="s">
        <v>45</v>
      </c>
      <c r="C27" s="27">
        <v>0</v>
      </c>
      <c r="D27" s="28">
        <v>0</v>
      </c>
      <c r="E27" s="28">
        <v>0</v>
      </c>
      <c r="F27" s="7">
        <f t="shared" si="3"/>
        <v>0</v>
      </c>
      <c r="G27" s="26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8">
        <v>0</v>
      </c>
      <c r="N27" s="7">
        <f t="shared" si="4"/>
        <v>0</v>
      </c>
      <c r="O27" s="7">
        <f t="shared" si="5"/>
        <v>0</v>
      </c>
    </row>
    <row r="28" spans="1:15">
      <c r="A28" s="1" t="s">
        <v>2</v>
      </c>
      <c r="B28" s="4" t="s">
        <v>32</v>
      </c>
      <c r="C28" s="27">
        <v>0</v>
      </c>
      <c r="D28" s="28">
        <v>0</v>
      </c>
      <c r="E28" s="28">
        <v>0</v>
      </c>
      <c r="F28" s="7">
        <f t="shared" si="3"/>
        <v>0</v>
      </c>
      <c r="G28" s="26">
        <v>59766</v>
      </c>
      <c r="H28" s="27">
        <v>22410</v>
      </c>
      <c r="I28" s="27">
        <v>26500</v>
      </c>
      <c r="J28" s="27">
        <v>57246</v>
      </c>
      <c r="K28" s="27">
        <v>56012</v>
      </c>
      <c r="L28" s="27">
        <v>63650</v>
      </c>
      <c r="M28" s="28">
        <v>56012</v>
      </c>
      <c r="N28" s="7">
        <f t="shared" si="4"/>
        <v>341596</v>
      </c>
      <c r="O28" s="7">
        <f t="shared" si="5"/>
        <v>341596</v>
      </c>
    </row>
    <row r="29" spans="1:15">
      <c r="A29" s="1" t="s">
        <v>2</v>
      </c>
      <c r="B29" s="4" t="s">
        <v>46</v>
      </c>
      <c r="C29" s="27">
        <v>0</v>
      </c>
      <c r="D29" s="28">
        <v>0</v>
      </c>
      <c r="E29" s="28">
        <v>10997</v>
      </c>
      <c r="F29" s="7">
        <f t="shared" si="3"/>
        <v>10997</v>
      </c>
      <c r="G29" s="26">
        <v>70656</v>
      </c>
      <c r="H29" s="27">
        <v>38712</v>
      </c>
      <c r="I29" s="27">
        <v>25758</v>
      </c>
      <c r="J29" s="27">
        <v>39744</v>
      </c>
      <c r="K29" s="27">
        <v>39846</v>
      </c>
      <c r="L29" s="27">
        <v>23358</v>
      </c>
      <c r="M29" s="28">
        <v>32976</v>
      </c>
      <c r="N29" s="7">
        <f t="shared" si="4"/>
        <v>271050</v>
      </c>
      <c r="O29" s="7">
        <f t="shared" si="5"/>
        <v>282047</v>
      </c>
    </row>
    <row r="30" spans="1:15">
      <c r="A30" s="1" t="s">
        <v>2</v>
      </c>
      <c r="B30" s="4" t="s">
        <v>47</v>
      </c>
      <c r="C30" s="27">
        <v>0</v>
      </c>
      <c r="D30" s="28">
        <v>0</v>
      </c>
      <c r="E30" s="28">
        <v>9426</v>
      </c>
      <c r="F30" s="7">
        <f t="shared" si="3"/>
        <v>9426</v>
      </c>
      <c r="G30" s="26">
        <v>33792</v>
      </c>
      <c r="H30" s="27">
        <v>40325</v>
      </c>
      <c r="I30" s="27">
        <v>12879</v>
      </c>
      <c r="J30" s="27">
        <v>22080</v>
      </c>
      <c r="K30" s="27">
        <v>27480</v>
      </c>
      <c r="L30" s="27">
        <v>21984</v>
      </c>
      <c r="M30" s="28">
        <v>37098</v>
      </c>
      <c r="N30" s="7">
        <f t="shared" si="4"/>
        <v>195638</v>
      </c>
      <c r="O30" s="7">
        <f t="shared" si="5"/>
        <v>205064</v>
      </c>
    </row>
    <row r="31" spans="1:15">
      <c r="A31" s="1" t="s">
        <v>2</v>
      </c>
      <c r="B31" s="4" t="s">
        <v>48</v>
      </c>
      <c r="C31" s="27">
        <v>0</v>
      </c>
      <c r="D31" s="28">
        <v>0</v>
      </c>
      <c r="E31" s="28">
        <v>0</v>
      </c>
      <c r="F31" s="7">
        <f t="shared" si="3"/>
        <v>0</v>
      </c>
      <c r="G31" s="26">
        <v>0</v>
      </c>
      <c r="H31" s="27">
        <v>0</v>
      </c>
      <c r="I31" s="27">
        <v>6307</v>
      </c>
      <c r="J31" s="27">
        <v>0</v>
      </c>
      <c r="K31" s="27">
        <v>0</v>
      </c>
      <c r="L31" s="27">
        <v>0</v>
      </c>
      <c r="M31" s="28">
        <v>0</v>
      </c>
      <c r="N31" s="7">
        <f t="shared" si="4"/>
        <v>6307</v>
      </c>
      <c r="O31" s="7">
        <f t="shared" si="5"/>
        <v>6307</v>
      </c>
    </row>
    <row r="32" spans="1:15">
      <c r="A32" s="1" t="s">
        <v>2</v>
      </c>
      <c r="B32" s="4" t="s">
        <v>49</v>
      </c>
      <c r="C32" s="27">
        <v>0</v>
      </c>
      <c r="D32" s="28">
        <v>0</v>
      </c>
      <c r="E32" s="28">
        <v>1221</v>
      </c>
      <c r="F32" s="7">
        <f t="shared" si="3"/>
        <v>1221</v>
      </c>
      <c r="G32" s="26">
        <v>0</v>
      </c>
      <c r="H32" s="27">
        <v>3344</v>
      </c>
      <c r="I32" s="27">
        <v>3339</v>
      </c>
      <c r="J32" s="27">
        <v>0</v>
      </c>
      <c r="K32" s="27">
        <v>2136</v>
      </c>
      <c r="L32" s="27">
        <v>0</v>
      </c>
      <c r="M32" s="28">
        <v>0</v>
      </c>
      <c r="N32" s="7">
        <f t="shared" si="4"/>
        <v>8819</v>
      </c>
      <c r="O32" s="7">
        <f t="shared" si="5"/>
        <v>10040</v>
      </c>
    </row>
    <row r="33" spans="1:15">
      <c r="A33" s="1" t="s">
        <v>2</v>
      </c>
      <c r="B33" s="4" t="s">
        <v>50</v>
      </c>
      <c r="C33" s="27">
        <v>0</v>
      </c>
      <c r="D33" s="28">
        <v>0</v>
      </c>
      <c r="E33" s="28">
        <v>0</v>
      </c>
      <c r="F33" s="7">
        <f t="shared" si="3"/>
        <v>0</v>
      </c>
      <c r="G33" s="26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8">
        <v>0</v>
      </c>
      <c r="N33" s="7">
        <f t="shared" si="4"/>
        <v>0</v>
      </c>
      <c r="O33" s="7">
        <f t="shared" si="5"/>
        <v>0</v>
      </c>
    </row>
    <row r="34" spans="1:15">
      <c r="A34" s="1" t="s">
        <v>2</v>
      </c>
      <c r="B34" s="4" t="s">
        <v>37</v>
      </c>
      <c r="C34" s="27">
        <v>0</v>
      </c>
      <c r="D34" s="28">
        <v>0</v>
      </c>
      <c r="E34" s="28">
        <v>1164</v>
      </c>
      <c r="F34" s="7">
        <f t="shared" si="3"/>
        <v>1164</v>
      </c>
      <c r="G34" s="26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8">
        <v>0</v>
      </c>
      <c r="N34" s="7">
        <f t="shared" si="4"/>
        <v>0</v>
      </c>
      <c r="O34" s="7">
        <f t="shared" si="5"/>
        <v>1164</v>
      </c>
    </row>
    <row r="35" spans="1:15" ht="19.5" thickBot="1">
      <c r="A35" s="1" t="s">
        <v>2</v>
      </c>
      <c r="B35" s="32" t="s">
        <v>38</v>
      </c>
      <c r="C35" s="43">
        <v>0</v>
      </c>
      <c r="D35" s="44">
        <v>0</v>
      </c>
      <c r="E35" s="44">
        <v>0</v>
      </c>
      <c r="F35" s="45">
        <f t="shared" si="3"/>
        <v>0</v>
      </c>
      <c r="G35" s="42">
        <v>6840</v>
      </c>
      <c r="H35" s="43">
        <v>24518</v>
      </c>
      <c r="I35" s="43">
        <v>14310</v>
      </c>
      <c r="J35" s="43">
        <v>3549</v>
      </c>
      <c r="K35" s="43">
        <v>8160</v>
      </c>
      <c r="L35" s="43">
        <v>5355</v>
      </c>
      <c r="M35" s="44">
        <v>6375</v>
      </c>
      <c r="N35" s="45">
        <f t="shared" si="4"/>
        <v>69107</v>
      </c>
      <c r="O35" s="45">
        <f t="shared" si="5"/>
        <v>69107</v>
      </c>
    </row>
    <row r="36" spans="1:15" ht="19.5" thickBot="1">
      <c r="A36" s="1" t="s">
        <v>2</v>
      </c>
      <c r="B36" s="50" t="s">
        <v>51</v>
      </c>
      <c r="C36" s="52">
        <v>335000</v>
      </c>
      <c r="D36" s="53">
        <v>335000</v>
      </c>
      <c r="E36" s="53">
        <v>192808</v>
      </c>
      <c r="F36" s="54">
        <f t="shared" si="3"/>
        <v>862808</v>
      </c>
      <c r="G36" s="51">
        <v>361054</v>
      </c>
      <c r="H36" s="52">
        <v>328909</v>
      </c>
      <c r="I36" s="52">
        <v>266093</v>
      </c>
      <c r="J36" s="52">
        <v>304619</v>
      </c>
      <c r="K36" s="52">
        <v>303634</v>
      </c>
      <c r="L36" s="52">
        <v>284347</v>
      </c>
      <c r="M36" s="53">
        <v>302461</v>
      </c>
      <c r="N36" s="54">
        <f t="shared" si="4"/>
        <v>2151117</v>
      </c>
      <c r="O36" s="54">
        <f t="shared" si="5"/>
        <v>3013925</v>
      </c>
    </row>
    <row r="37" spans="1:15">
      <c r="A37" s="1" t="s">
        <v>2</v>
      </c>
      <c r="B37" s="10" t="s">
        <v>52</v>
      </c>
      <c r="C37" s="47">
        <v>7360</v>
      </c>
      <c r="D37" s="48">
        <v>16668</v>
      </c>
      <c r="E37" s="48">
        <v>453</v>
      </c>
      <c r="F37" s="49">
        <f t="shared" si="3"/>
        <v>24481</v>
      </c>
      <c r="G37" s="46">
        <v>8832</v>
      </c>
      <c r="H37" s="47">
        <v>2084</v>
      </c>
      <c r="I37" s="47">
        <v>1903</v>
      </c>
      <c r="J37" s="47">
        <v>11890</v>
      </c>
      <c r="K37" s="47">
        <v>1631</v>
      </c>
      <c r="L37" s="47">
        <v>5096</v>
      </c>
      <c r="M37" s="48">
        <v>1767</v>
      </c>
      <c r="N37" s="49">
        <f t="shared" si="4"/>
        <v>33203</v>
      </c>
      <c r="O37" s="49">
        <f t="shared" si="5"/>
        <v>57684</v>
      </c>
    </row>
    <row r="38" spans="1:15" ht="19.5" thickBot="1">
      <c r="A38" s="1" t="s">
        <v>2</v>
      </c>
      <c r="B38" s="32" t="s">
        <v>53</v>
      </c>
      <c r="C38" s="43">
        <v>0</v>
      </c>
      <c r="D38" s="44">
        <v>0</v>
      </c>
      <c r="E38" s="44">
        <v>0</v>
      </c>
      <c r="F38" s="45">
        <f t="shared" si="3"/>
        <v>0</v>
      </c>
      <c r="G38" s="42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4">
        <v>0</v>
      </c>
      <c r="N38" s="45">
        <f t="shared" si="4"/>
        <v>0</v>
      </c>
      <c r="O38" s="45">
        <f t="shared" si="5"/>
        <v>0</v>
      </c>
    </row>
    <row r="39" spans="1:15" ht="19.5" thickBot="1">
      <c r="A39" s="1" t="s">
        <v>2</v>
      </c>
      <c r="B39" s="50" t="s">
        <v>54</v>
      </c>
      <c r="C39" s="52">
        <v>7360</v>
      </c>
      <c r="D39" s="53">
        <v>16668</v>
      </c>
      <c r="E39" s="53">
        <v>453</v>
      </c>
      <c r="F39" s="54">
        <f t="shared" si="3"/>
        <v>24481</v>
      </c>
      <c r="G39" s="51">
        <v>8832</v>
      </c>
      <c r="H39" s="52">
        <v>2084</v>
      </c>
      <c r="I39" s="52">
        <v>1903</v>
      </c>
      <c r="J39" s="52">
        <v>11890</v>
      </c>
      <c r="K39" s="52">
        <v>1631</v>
      </c>
      <c r="L39" s="52">
        <v>5096</v>
      </c>
      <c r="M39" s="53">
        <v>1767</v>
      </c>
      <c r="N39" s="54">
        <f t="shared" si="4"/>
        <v>33203</v>
      </c>
      <c r="O39" s="54">
        <f t="shared" si="5"/>
        <v>57684</v>
      </c>
    </row>
    <row r="40" spans="1:15" ht="19.5" thickBot="1">
      <c r="A40" s="1" t="s">
        <v>2</v>
      </c>
      <c r="B40" s="50" t="s">
        <v>55</v>
      </c>
      <c r="C40" s="52">
        <v>342360</v>
      </c>
      <c r="D40" s="53">
        <v>351668</v>
      </c>
      <c r="E40" s="53">
        <v>193261</v>
      </c>
      <c r="F40" s="54">
        <f t="shared" si="3"/>
        <v>887289</v>
      </c>
      <c r="G40" s="51">
        <v>369886</v>
      </c>
      <c r="H40" s="52">
        <v>330993</v>
      </c>
      <c r="I40" s="52">
        <v>267996</v>
      </c>
      <c r="J40" s="52">
        <v>316509</v>
      </c>
      <c r="K40" s="52">
        <v>305265</v>
      </c>
      <c r="L40" s="52">
        <v>289443</v>
      </c>
      <c r="M40" s="53">
        <v>304228</v>
      </c>
      <c r="N40" s="54">
        <f t="shared" si="4"/>
        <v>2184320</v>
      </c>
      <c r="O40" s="54">
        <f t="shared" si="5"/>
        <v>3071609</v>
      </c>
    </row>
    <row r="41" spans="1:15">
      <c r="A41" s="1" t="s">
        <v>2</v>
      </c>
      <c r="B41" s="10" t="s">
        <v>56</v>
      </c>
      <c r="C41" s="47">
        <v>17340</v>
      </c>
      <c r="D41" s="48">
        <v>17340</v>
      </c>
      <c r="E41" s="48">
        <v>8670</v>
      </c>
      <c r="F41" s="49">
        <f t="shared" si="3"/>
        <v>43350</v>
      </c>
      <c r="G41" s="46">
        <v>18360</v>
      </c>
      <c r="H41" s="47">
        <v>15300</v>
      </c>
      <c r="I41" s="47">
        <v>14280</v>
      </c>
      <c r="J41" s="47">
        <v>16320</v>
      </c>
      <c r="K41" s="47">
        <v>14280</v>
      </c>
      <c r="L41" s="47">
        <v>14280</v>
      </c>
      <c r="M41" s="48">
        <v>13260</v>
      </c>
      <c r="N41" s="49">
        <f t="shared" si="4"/>
        <v>106080</v>
      </c>
      <c r="O41" s="49">
        <f t="shared" si="5"/>
        <v>149430</v>
      </c>
    </row>
    <row r="42" spans="1:15">
      <c r="A42" s="1" t="s">
        <v>2</v>
      </c>
      <c r="B42" s="4" t="s">
        <v>57</v>
      </c>
      <c r="C42" s="27">
        <v>3060</v>
      </c>
      <c r="D42" s="28">
        <v>3060</v>
      </c>
      <c r="E42" s="28">
        <v>0</v>
      </c>
      <c r="F42" s="7">
        <f t="shared" si="3"/>
        <v>6120</v>
      </c>
      <c r="G42" s="26">
        <v>3240</v>
      </c>
      <c r="H42" s="27">
        <v>2700</v>
      </c>
      <c r="I42" s="27">
        <v>2520</v>
      </c>
      <c r="J42" s="27">
        <v>2880</v>
      </c>
      <c r="K42" s="27">
        <v>2520</v>
      </c>
      <c r="L42" s="27">
        <v>2520</v>
      </c>
      <c r="M42" s="28">
        <v>0</v>
      </c>
      <c r="N42" s="7">
        <f t="shared" si="4"/>
        <v>16380</v>
      </c>
      <c r="O42" s="7">
        <f t="shared" si="5"/>
        <v>22500</v>
      </c>
    </row>
    <row r="43" spans="1:15">
      <c r="A43" s="1" t="s">
        <v>2</v>
      </c>
      <c r="B43" s="4" t="s">
        <v>58</v>
      </c>
      <c r="C43" s="27">
        <v>31110</v>
      </c>
      <c r="D43" s="28">
        <v>31110</v>
      </c>
      <c r="E43" s="28">
        <v>15555</v>
      </c>
      <c r="F43" s="7">
        <f t="shared" si="3"/>
        <v>77775</v>
      </c>
      <c r="G43" s="26">
        <v>32940</v>
      </c>
      <c r="H43" s="27">
        <v>27450</v>
      </c>
      <c r="I43" s="27">
        <v>25620</v>
      </c>
      <c r="J43" s="27">
        <v>29280</v>
      </c>
      <c r="K43" s="27">
        <v>25620</v>
      </c>
      <c r="L43" s="27">
        <v>25620</v>
      </c>
      <c r="M43" s="28">
        <v>23790</v>
      </c>
      <c r="N43" s="7">
        <f t="shared" si="4"/>
        <v>190320</v>
      </c>
      <c r="O43" s="7">
        <f t="shared" si="5"/>
        <v>268095</v>
      </c>
    </row>
    <row r="44" spans="1:15">
      <c r="A44" s="1" t="s">
        <v>2</v>
      </c>
      <c r="B44" s="4" t="s">
        <v>59</v>
      </c>
      <c r="C44" s="27">
        <v>1027</v>
      </c>
      <c r="D44" s="28">
        <v>1055</v>
      </c>
      <c r="E44" s="28">
        <v>580</v>
      </c>
      <c r="F44" s="7">
        <f t="shared" si="3"/>
        <v>2662</v>
      </c>
      <c r="G44" s="26">
        <v>1110</v>
      </c>
      <c r="H44" s="27">
        <v>993</v>
      </c>
      <c r="I44" s="27">
        <v>804</v>
      </c>
      <c r="J44" s="27">
        <v>950</v>
      </c>
      <c r="K44" s="27">
        <v>916</v>
      </c>
      <c r="L44" s="27">
        <v>868</v>
      </c>
      <c r="M44" s="28">
        <v>913</v>
      </c>
      <c r="N44" s="7">
        <f t="shared" si="4"/>
        <v>6554</v>
      </c>
      <c r="O44" s="7">
        <f t="shared" si="5"/>
        <v>9216</v>
      </c>
    </row>
    <row r="45" spans="1:15" ht="19.5" thickBot="1">
      <c r="A45" s="1" t="s">
        <v>2</v>
      </c>
      <c r="B45" s="32" t="s">
        <v>60</v>
      </c>
      <c r="C45" s="43">
        <v>0</v>
      </c>
      <c r="D45" s="44">
        <v>0</v>
      </c>
      <c r="E45" s="44">
        <v>0</v>
      </c>
      <c r="F45" s="45">
        <f t="shared" si="3"/>
        <v>0</v>
      </c>
      <c r="G45" s="42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4">
        <v>0</v>
      </c>
      <c r="N45" s="45">
        <f t="shared" si="4"/>
        <v>0</v>
      </c>
      <c r="O45" s="45">
        <f t="shared" si="5"/>
        <v>0</v>
      </c>
    </row>
    <row r="46" spans="1:15" ht="19.5" thickBot="1">
      <c r="A46" s="1" t="s">
        <v>2</v>
      </c>
      <c r="B46" s="50" t="s">
        <v>61</v>
      </c>
      <c r="C46" s="52">
        <v>52537</v>
      </c>
      <c r="D46" s="53">
        <v>52565</v>
      </c>
      <c r="E46" s="53">
        <v>24805</v>
      </c>
      <c r="F46" s="54">
        <f t="shared" si="3"/>
        <v>129907</v>
      </c>
      <c r="G46" s="51">
        <v>55650</v>
      </c>
      <c r="H46" s="52">
        <v>46443</v>
      </c>
      <c r="I46" s="52">
        <v>43224</v>
      </c>
      <c r="J46" s="52">
        <v>49430</v>
      </c>
      <c r="K46" s="52">
        <v>43336</v>
      </c>
      <c r="L46" s="52">
        <v>43288</v>
      </c>
      <c r="M46" s="53">
        <v>37963</v>
      </c>
      <c r="N46" s="54">
        <f t="shared" si="4"/>
        <v>319334</v>
      </c>
      <c r="O46" s="54">
        <f t="shared" si="5"/>
        <v>449241</v>
      </c>
    </row>
    <row r="47" spans="1:15">
      <c r="A47" s="1" t="s">
        <v>2</v>
      </c>
      <c r="B47" s="10" t="s">
        <v>62</v>
      </c>
      <c r="C47" s="47">
        <v>7710</v>
      </c>
      <c r="D47" s="48">
        <v>7710</v>
      </c>
      <c r="E47" s="48">
        <v>3620</v>
      </c>
      <c r="F47" s="49">
        <f t="shared" si="3"/>
        <v>19040</v>
      </c>
      <c r="G47" s="46">
        <v>5330</v>
      </c>
      <c r="H47" s="47">
        <v>6090</v>
      </c>
      <c r="I47" s="47">
        <v>5580</v>
      </c>
      <c r="J47" s="47">
        <v>6740</v>
      </c>
      <c r="K47" s="47">
        <v>6920</v>
      </c>
      <c r="L47" s="47">
        <v>4620</v>
      </c>
      <c r="M47" s="48">
        <v>5450</v>
      </c>
      <c r="N47" s="49">
        <f t="shared" si="4"/>
        <v>40730</v>
      </c>
      <c r="O47" s="49">
        <f t="shared" si="5"/>
        <v>59770</v>
      </c>
    </row>
    <row r="48" spans="1:15">
      <c r="A48" s="1" t="s">
        <v>2</v>
      </c>
      <c r="B48" s="4" t="s">
        <v>63</v>
      </c>
      <c r="C48" s="27">
        <v>0</v>
      </c>
      <c r="D48" s="28">
        <v>0</v>
      </c>
      <c r="E48" s="28">
        <v>0</v>
      </c>
      <c r="F48" s="7">
        <f t="shared" si="3"/>
        <v>0</v>
      </c>
      <c r="G48" s="26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8">
        <v>0</v>
      </c>
      <c r="N48" s="7">
        <f t="shared" si="4"/>
        <v>0</v>
      </c>
      <c r="O48" s="7">
        <f t="shared" si="5"/>
        <v>0</v>
      </c>
    </row>
    <row r="49" spans="1:15">
      <c r="A49" s="1" t="s">
        <v>2</v>
      </c>
      <c r="B49" s="4" t="s">
        <v>64</v>
      </c>
      <c r="C49" s="27">
        <v>6900</v>
      </c>
      <c r="D49" s="28">
        <v>7600</v>
      </c>
      <c r="E49" s="28">
        <v>1100</v>
      </c>
      <c r="F49" s="7">
        <f t="shared" si="3"/>
        <v>15600</v>
      </c>
      <c r="G49" s="26">
        <v>11100</v>
      </c>
      <c r="H49" s="27">
        <v>8000</v>
      </c>
      <c r="I49" s="27">
        <v>13100</v>
      </c>
      <c r="J49" s="27">
        <v>14100</v>
      </c>
      <c r="K49" s="27">
        <v>8700</v>
      </c>
      <c r="L49" s="27">
        <v>10300</v>
      </c>
      <c r="M49" s="28">
        <v>1300</v>
      </c>
      <c r="N49" s="7">
        <f t="shared" si="4"/>
        <v>66600</v>
      </c>
      <c r="O49" s="7">
        <f t="shared" si="5"/>
        <v>82200</v>
      </c>
    </row>
    <row r="50" spans="1:15">
      <c r="A50" s="1" t="s">
        <v>2</v>
      </c>
      <c r="B50" s="4" t="s">
        <v>65</v>
      </c>
      <c r="C50" s="27">
        <v>0</v>
      </c>
      <c r="D50" s="28">
        <v>0</v>
      </c>
      <c r="E50" s="28">
        <v>0</v>
      </c>
      <c r="F50" s="7">
        <f t="shared" si="3"/>
        <v>0</v>
      </c>
      <c r="G50" s="26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8">
        <v>0</v>
      </c>
      <c r="N50" s="7">
        <f t="shared" si="4"/>
        <v>0</v>
      </c>
      <c r="O50" s="7">
        <f t="shared" si="5"/>
        <v>0</v>
      </c>
    </row>
    <row r="51" spans="1:15" ht="19.5" thickBot="1">
      <c r="A51" s="1" t="s">
        <v>2</v>
      </c>
      <c r="B51" s="4" t="s">
        <v>66</v>
      </c>
      <c r="C51" s="27">
        <v>0</v>
      </c>
      <c r="D51" s="28">
        <v>0</v>
      </c>
      <c r="E51" s="28">
        <v>0</v>
      </c>
      <c r="F51" s="7">
        <f t="shared" si="3"/>
        <v>0</v>
      </c>
      <c r="G51" s="26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8">
        <v>0</v>
      </c>
      <c r="N51" s="7">
        <f t="shared" si="4"/>
        <v>0</v>
      </c>
      <c r="O51" s="7">
        <f t="shared" si="5"/>
        <v>0</v>
      </c>
    </row>
    <row r="52" spans="1:15" ht="19.5" thickBot="1">
      <c r="A52" s="1" t="s">
        <v>2</v>
      </c>
      <c r="B52" s="50" t="s">
        <v>67</v>
      </c>
      <c r="C52" s="52">
        <v>67147</v>
      </c>
      <c r="D52" s="53">
        <v>67875</v>
      </c>
      <c r="E52" s="53">
        <v>29525</v>
      </c>
      <c r="F52" s="54">
        <f t="shared" si="3"/>
        <v>164547</v>
      </c>
      <c r="G52" s="51">
        <v>72080</v>
      </c>
      <c r="H52" s="52">
        <v>60533</v>
      </c>
      <c r="I52" s="52">
        <v>61904</v>
      </c>
      <c r="J52" s="52">
        <v>70270</v>
      </c>
      <c r="K52" s="52">
        <v>58956</v>
      </c>
      <c r="L52" s="52">
        <v>58208</v>
      </c>
      <c r="M52" s="53">
        <v>44713</v>
      </c>
      <c r="N52" s="54">
        <f t="shared" si="4"/>
        <v>426664</v>
      </c>
      <c r="O52" s="54">
        <f t="shared" si="5"/>
        <v>591211</v>
      </c>
    </row>
    <row r="53" spans="1:15" ht="19.5" thickBot="1">
      <c r="A53" s="1" t="s">
        <v>2</v>
      </c>
      <c r="B53" s="50" t="s">
        <v>68</v>
      </c>
      <c r="C53" s="52">
        <v>282463</v>
      </c>
      <c r="D53" s="53">
        <v>282435</v>
      </c>
      <c r="E53" s="53">
        <v>168003</v>
      </c>
      <c r="F53" s="54">
        <f t="shared" si="3"/>
        <v>732901</v>
      </c>
      <c r="G53" s="51">
        <v>305404</v>
      </c>
      <c r="H53" s="52">
        <v>282466</v>
      </c>
      <c r="I53" s="52">
        <v>222869</v>
      </c>
      <c r="J53" s="52">
        <v>255189</v>
      </c>
      <c r="K53" s="52">
        <v>260298</v>
      </c>
      <c r="L53" s="52">
        <v>241059</v>
      </c>
      <c r="M53" s="53">
        <v>264498</v>
      </c>
      <c r="N53" s="54">
        <f t="shared" si="4"/>
        <v>1831783</v>
      </c>
      <c r="O53" s="54">
        <f t="shared" si="5"/>
        <v>2564684</v>
      </c>
    </row>
    <row r="54" spans="1:15" ht="19.5" thickBot="1">
      <c r="A54" s="1" t="s">
        <v>2</v>
      </c>
      <c r="B54" s="50" t="s">
        <v>69</v>
      </c>
      <c r="C54" s="52">
        <v>275213</v>
      </c>
      <c r="D54" s="53">
        <v>283793</v>
      </c>
      <c r="E54" s="53">
        <v>163736</v>
      </c>
      <c r="F54" s="54">
        <f t="shared" si="3"/>
        <v>722742</v>
      </c>
      <c r="G54" s="51">
        <v>297806</v>
      </c>
      <c r="H54" s="52">
        <v>270460</v>
      </c>
      <c r="I54" s="52">
        <v>206092</v>
      </c>
      <c r="J54" s="52">
        <v>246239</v>
      </c>
      <c r="K54" s="52">
        <v>246309</v>
      </c>
      <c r="L54" s="52">
        <v>231235</v>
      </c>
      <c r="M54" s="53">
        <v>259515</v>
      </c>
      <c r="N54" s="54">
        <f t="shared" si="4"/>
        <v>1757656</v>
      </c>
      <c r="O54" s="54">
        <f t="shared" si="5"/>
        <v>2480398</v>
      </c>
    </row>
    <row r="55" spans="1:15">
      <c r="A55" s="1" t="s">
        <v>2</v>
      </c>
      <c r="B55" s="10" t="s">
        <v>70</v>
      </c>
      <c r="C55" s="47">
        <v>0</v>
      </c>
      <c r="D55" s="48">
        <v>0</v>
      </c>
      <c r="E55" s="48">
        <v>0</v>
      </c>
      <c r="F55" s="49">
        <f t="shared" si="3"/>
        <v>0</v>
      </c>
      <c r="G55" s="46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8">
        <v>0</v>
      </c>
      <c r="N55" s="49">
        <f t="shared" si="4"/>
        <v>0</v>
      </c>
      <c r="O55" s="49">
        <f t="shared" si="5"/>
        <v>0</v>
      </c>
    </row>
    <row r="56" spans="1:15">
      <c r="A56" s="1" t="s">
        <v>2</v>
      </c>
      <c r="B56" s="4" t="s">
        <v>71</v>
      </c>
      <c r="C56" s="27">
        <v>275213</v>
      </c>
      <c r="D56" s="28">
        <v>283793</v>
      </c>
      <c r="E56" s="28">
        <v>163736</v>
      </c>
      <c r="F56" s="7">
        <f t="shared" si="3"/>
        <v>722742</v>
      </c>
      <c r="G56" s="26">
        <v>297806</v>
      </c>
      <c r="H56" s="27">
        <v>270460</v>
      </c>
      <c r="I56" s="27">
        <v>206092</v>
      </c>
      <c r="J56" s="27">
        <v>246239</v>
      </c>
      <c r="K56" s="27">
        <v>246309</v>
      </c>
      <c r="L56" s="27">
        <v>231235</v>
      </c>
      <c r="M56" s="28">
        <v>259515</v>
      </c>
      <c r="N56" s="7">
        <f t="shared" si="4"/>
        <v>1757656</v>
      </c>
      <c r="O56" s="7">
        <f t="shared" si="5"/>
        <v>2480398</v>
      </c>
    </row>
    <row r="57" spans="1:15">
      <c r="A57" s="1" t="s">
        <v>2</v>
      </c>
      <c r="B57" s="4" t="s">
        <v>72</v>
      </c>
      <c r="C57" s="27">
        <v>0</v>
      </c>
      <c r="D57" s="28">
        <v>0</v>
      </c>
      <c r="E57" s="28">
        <v>0</v>
      </c>
      <c r="F57" s="7"/>
      <c r="G57" s="26">
        <v>2</v>
      </c>
      <c r="H57" s="27">
        <v>1</v>
      </c>
      <c r="I57" s="27">
        <v>0</v>
      </c>
      <c r="J57" s="27">
        <v>0</v>
      </c>
      <c r="K57" s="27">
        <v>0</v>
      </c>
      <c r="L57" s="27">
        <v>1</v>
      </c>
      <c r="M57" s="28">
        <v>1</v>
      </c>
      <c r="N57" s="7"/>
      <c r="O57" s="7"/>
    </row>
    <row r="58" spans="1:15" ht="19.5" thickBot="1">
      <c r="A58" s="1" t="s">
        <v>2</v>
      </c>
      <c r="B58" s="8" t="s">
        <v>73</v>
      </c>
      <c r="C58" s="30" t="s">
        <v>74</v>
      </c>
      <c r="D58" s="31" t="s">
        <v>74</v>
      </c>
      <c r="E58" s="31" t="s">
        <v>74</v>
      </c>
      <c r="F58" s="9"/>
      <c r="G58" s="29" t="s">
        <v>74</v>
      </c>
      <c r="H58" s="30" t="s">
        <v>74</v>
      </c>
      <c r="I58" s="30" t="s">
        <v>74</v>
      </c>
      <c r="J58" s="30" t="s">
        <v>74</v>
      </c>
      <c r="K58" s="30" t="s">
        <v>74</v>
      </c>
      <c r="L58" s="30" t="s">
        <v>74</v>
      </c>
      <c r="M58" s="31" t="s">
        <v>74</v>
      </c>
      <c r="N58" s="9"/>
      <c r="O58" s="9"/>
    </row>
  </sheetData>
  <phoneticPr fontId="4"/>
  <pageMargins left="0.51181102362204722" right="0.51181102362204722" top="0.55118110236220474" bottom="0.55118110236220474" header="0.31496062992125984" footer="0.31496062992125984"/>
  <pageSetup paperSize="9" scale="4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7月度給与 (2)</vt:lpstr>
      <vt:lpstr>'2021年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2021-08-10T05:17:13Z</cp:lastPrinted>
  <dcterms:created xsi:type="dcterms:W3CDTF">2021-08-10T01:45:00Z</dcterms:created>
  <dcterms:modified xsi:type="dcterms:W3CDTF">2021-08-10T06:28:06Z</dcterms:modified>
</cp:coreProperties>
</file>