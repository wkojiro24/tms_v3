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3\"/>
    </mc:Choice>
  </mc:AlternateContent>
  <xr:revisionPtr revIDLastSave="0" documentId="13_ncr:1_{33239AEB-04BF-46C1-BB9A-19EF5F67B269}" xr6:coauthVersionLast="46" xr6:coauthVersionMax="46" xr10:uidLastSave="{00000000-0000-0000-0000-000000000000}"/>
  <bookViews>
    <workbookView xWindow="-120" yWindow="-120" windowWidth="20730" windowHeight="11160" activeTab="2" xr2:uid="{00000000-000D-0000-FFFF-FFFF00000000}"/>
  </bookViews>
  <sheets>
    <sheet name="1頁 (2)" sheetId="4" r:id="rId1"/>
    <sheet name="1頁 (3)" sheetId="5" r:id="rId2"/>
    <sheet name="1頁 (4)" sheetId="6" r:id="rId3"/>
  </sheets>
  <definedNames>
    <definedName name="_xlnm.Print_Area" localSheetId="1">'1頁 (3)'!$A$1:$N$76</definedName>
    <definedName name="_xlnm.Print_Area" localSheetId="2">'1頁 (4)'!$A$1:$S$76</definedName>
  </definedNames>
  <calcPr calcId="191029"/>
</workbook>
</file>

<file path=xl/calcChain.xml><?xml version="1.0" encoding="utf-8"?>
<calcChain xmlns="http://schemas.openxmlformats.org/spreadsheetml/2006/main">
  <c r="S73" i="6" l="1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16" i="6"/>
  <c r="S15" i="6"/>
  <c r="S14" i="6"/>
  <c r="S12" i="6"/>
  <c r="S8" i="6"/>
  <c r="S7" i="6"/>
  <c r="S6" i="6"/>
  <c r="M73" i="5"/>
  <c r="K73" i="5"/>
  <c r="M72" i="5"/>
  <c r="K72" i="5"/>
  <c r="M71" i="5"/>
  <c r="K71" i="5"/>
  <c r="M70" i="5"/>
  <c r="K70" i="5"/>
  <c r="M69" i="5"/>
  <c r="K69" i="5"/>
  <c r="M68" i="5"/>
  <c r="K68" i="5"/>
  <c r="M67" i="5"/>
  <c r="K67" i="5"/>
  <c r="M66" i="5"/>
  <c r="K66" i="5"/>
  <c r="M65" i="5"/>
  <c r="K65" i="5"/>
  <c r="M64" i="5"/>
  <c r="K64" i="5"/>
  <c r="M63" i="5"/>
  <c r="K63" i="5"/>
  <c r="M62" i="5"/>
  <c r="K62" i="5"/>
  <c r="M61" i="5"/>
  <c r="K61" i="5"/>
  <c r="M60" i="5"/>
  <c r="K60" i="5"/>
  <c r="M59" i="5"/>
  <c r="K59" i="5"/>
  <c r="M58" i="5"/>
  <c r="K58" i="5"/>
  <c r="M57" i="5"/>
  <c r="K57" i="5"/>
  <c r="M56" i="5"/>
  <c r="K56" i="5"/>
  <c r="M55" i="5"/>
  <c r="K55" i="5"/>
  <c r="M54" i="5"/>
  <c r="K54" i="5"/>
  <c r="M53" i="5"/>
  <c r="K53" i="5"/>
  <c r="M52" i="5"/>
  <c r="K52" i="5"/>
  <c r="M51" i="5"/>
  <c r="K51" i="5"/>
  <c r="M50" i="5"/>
  <c r="K50" i="5"/>
  <c r="M49" i="5"/>
  <c r="K49" i="5"/>
  <c r="M48" i="5"/>
  <c r="K48" i="5"/>
  <c r="M47" i="5"/>
  <c r="K47" i="5"/>
  <c r="M46" i="5"/>
  <c r="K46" i="5"/>
  <c r="M45" i="5"/>
  <c r="K45" i="5"/>
  <c r="M44" i="5"/>
  <c r="K44" i="5"/>
  <c r="M43" i="5"/>
  <c r="K43" i="5"/>
  <c r="M42" i="5"/>
  <c r="K42" i="5"/>
  <c r="M41" i="5"/>
  <c r="K41" i="5"/>
  <c r="M40" i="5"/>
  <c r="K40" i="5"/>
  <c r="M39" i="5"/>
  <c r="K39" i="5"/>
  <c r="M38" i="5"/>
  <c r="K38" i="5"/>
  <c r="M37" i="5"/>
  <c r="K37" i="5"/>
  <c r="M36" i="5"/>
  <c r="K36" i="5"/>
  <c r="M35" i="5"/>
  <c r="K35" i="5"/>
  <c r="M34" i="5"/>
  <c r="K34" i="5"/>
  <c r="M33" i="5"/>
  <c r="K33" i="5"/>
  <c r="M32" i="5"/>
  <c r="K32" i="5"/>
  <c r="M31" i="5"/>
  <c r="K31" i="5"/>
  <c r="M30" i="5"/>
  <c r="K30" i="5"/>
  <c r="M29" i="5"/>
  <c r="K29" i="5"/>
  <c r="M28" i="5"/>
  <c r="K28" i="5"/>
  <c r="M27" i="5"/>
  <c r="K27" i="5"/>
  <c r="M26" i="5"/>
  <c r="K26" i="5"/>
  <c r="M25" i="5"/>
  <c r="K25" i="5"/>
  <c r="M24" i="5"/>
  <c r="K24" i="5"/>
  <c r="M23" i="5"/>
  <c r="K23" i="5"/>
  <c r="M22" i="5"/>
  <c r="K22" i="5"/>
  <c r="K21" i="5"/>
  <c r="K14" i="5"/>
  <c r="K13" i="5"/>
  <c r="M10" i="5"/>
  <c r="K10" i="5"/>
  <c r="M7" i="5"/>
  <c r="K7" i="5"/>
  <c r="M6" i="5"/>
  <c r="K6" i="5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23" i="4"/>
  <c r="AE22" i="4"/>
  <c r="AE10" i="4"/>
  <c r="AE7" i="4"/>
  <c r="AE6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23" i="4"/>
  <c r="AC22" i="4"/>
  <c r="AC21" i="4"/>
  <c r="AC14" i="4"/>
  <c r="AC13" i="4"/>
  <c r="AC10" i="4"/>
  <c r="AC7" i="4"/>
  <c r="AC6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23" i="4"/>
  <c r="S16" i="4"/>
  <c r="S22" i="4"/>
  <c r="S15" i="4"/>
  <c r="S14" i="4"/>
  <c r="S12" i="4"/>
  <c r="S8" i="4"/>
  <c r="S6" i="4"/>
  <c r="S7" i="4"/>
</calcChain>
</file>

<file path=xl/sharedStrings.xml><?xml version="1.0" encoding="utf-8"?>
<sst xmlns="http://schemas.openxmlformats.org/spreadsheetml/2006/main" count="414" uniqueCount="108">
  <si>
    <t>所　属</t>
  </si>
  <si>
    <t>社　員</t>
  </si>
  <si>
    <t>2021年3月分</t>
  </si>
  <si>
    <t>若林運送株式会社</t>
  </si>
  <si>
    <t>締日:03/31</t>
  </si>
  <si>
    <t>支給日:04/15</t>
  </si>
  <si>
    <t>小名浜営業所</t>
  </si>
  <si>
    <t>渡邊　浩司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</si>
  <si>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</si>
  <si>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</si>
  <si>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</si>
  <si>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</si>
  <si>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</si>
  <si>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</si>
  <si>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</si>
  <si>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</si>
  <si>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</si>
  <si>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</si>
  <si>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</si>
  <si>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</si>
  <si>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</si>
  <si>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</si>
  <si>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</si>
  <si>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</si>
  <si>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</si>
  <si>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松本　誠治</t>
  </si>
  <si>
    <t>皆川　正勝</t>
  </si>
  <si>
    <t>小林　啓一</t>
  </si>
  <si>
    <t>鈴木　富雄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</si>
  <si>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</si>
  <si>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</si>
  <si>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</si>
  <si>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</si>
  <si>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</si>
  <si>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</si>
  <si>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</si>
  <si>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</si>
  <si>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</si>
  <si>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</si>
  <si>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</si>
  <si>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</si>
  <si>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</si>
  <si>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</si>
  <si>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</si>
  <si>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</si>
  <si>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</si>
  <si>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</si>
  <si>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</si>
  <si>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</si>
  <si>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</si>
  <si>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</si>
  <si>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</si>
  <si>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</si>
  <si>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</si>
  <si>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</si>
  <si>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</si>
  <si>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</si>
  <si>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</si>
  <si>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</si>
  <si>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</si>
  <si>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</si>
  <si>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</si>
  <si>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</si>
  <si>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</si>
  <si>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</si>
  <si>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</si>
  <si>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</si>
  <si>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</si>
  <si>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</si>
  <si>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</si>
  <si>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</si>
  <si>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</si>
  <si>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</si>
  <si>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</si>
  <si>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</si>
  <si>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</si>
  <si>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</si>
  <si>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</si>
  <si>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</si>
  <si>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雲藤　順</t>
  </si>
  <si>
    <t>鈴木　浩明</t>
  </si>
  <si>
    <t>小沼　康</t>
  </si>
  <si>
    <t>鵜沼　芳昭</t>
  </si>
  <si>
    <t>大平　正勝</t>
  </si>
  <si>
    <t>味戸　隆典</t>
  </si>
  <si>
    <t>荒木　正朋</t>
  </si>
  <si>
    <t>吉田　哲司</t>
  </si>
  <si>
    <t>神永　香織</t>
  </si>
  <si>
    <t>齋藤　秀行</t>
  </si>
  <si>
    <t>菊地　秀和</t>
  </si>
  <si>
    <t>若松　美宏</t>
  </si>
  <si>
    <t>小野　宏美</t>
  </si>
  <si>
    <t>金山　岳夫</t>
  </si>
  <si>
    <t>三澤　秀雄</t>
  </si>
  <si>
    <t>瀬野尾　勉</t>
  </si>
  <si>
    <t>鈴木　重夫</t>
  </si>
  <si>
    <t>渡辺　敏男</t>
  </si>
  <si>
    <t>蛭田　孝子</t>
  </si>
  <si>
    <t>非加入</t>
  </si>
  <si>
    <t>鈴木　紀子</t>
  </si>
  <si>
    <t>佐原　三夫</t>
  </si>
  <si>
    <t>下山田　英治</t>
  </si>
  <si>
    <t>27名</t>
  </si>
  <si>
    <t>全社計</t>
  </si>
  <si>
    <t>小計</t>
    <rPh sb="0" eb="2">
      <t>ショウケイ</t>
    </rPh>
    <phoneticPr fontId="1"/>
  </si>
  <si>
    <t>１７名</t>
    <rPh sb="2" eb="3">
      <t>メイ</t>
    </rPh>
    <phoneticPr fontId="1"/>
  </si>
  <si>
    <t>9名</t>
    <rPh sb="1" eb="2">
      <t>メイ</t>
    </rPh>
    <phoneticPr fontId="1"/>
  </si>
  <si>
    <t>1名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</si>
</sst>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6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8" xfId="0" applyFont="1" applyFill="1" applyBorder="1">
      <alignment vertical="center"/>
    </xf>
    <xf numFmtId="0" fontId="2" fillId="0" borderId="19" xfId="0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6" fontId="2" fillId="0" borderId="21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22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17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1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77" fontId="2" fillId="0" borderId="22" xfId="0" applyNumberFormat="1" applyFont="1" applyFill="1" applyBorder="1">
      <alignment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6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176" fontId="2" fillId="0" borderId="42" xfId="0" applyNumberFormat="1" applyFont="1" applyFill="1" applyBorder="1">
      <alignment vertical="center"/>
    </xf>
    <xf numFmtId="176" fontId="2" fillId="0" borderId="43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9" fontId="2" fillId="0" borderId="42" xfId="0" applyNumberFormat="1" applyFont="1" applyFill="1" applyBorder="1">
      <alignment vertical="center"/>
    </xf>
    <xf numFmtId="179" fontId="2" fillId="0" borderId="43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0" fontId="2" fillId="0" borderId="43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0" fontId="2" fillId="0" borderId="49" xfId="0" applyFont="1" applyFill="1" applyBorder="1" applyAlignment="1">
      <alignment horizontal="right" vertical="center"/>
    </xf>
    <xf numFmtId="176" fontId="2" fillId="0" borderId="50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7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176" fontId="2" fillId="2" borderId="1" xfId="0" applyNumberFormat="1" applyFont="1" applyFill="1" applyBorder="1">
      <alignment vertical="center"/>
    </xf>
    <xf numFmtId="176" fontId="2" fillId="2" borderId="21" xfId="0" applyNumberFormat="1" applyFont="1" applyFill="1" applyBorder="1">
      <alignment vertical="center"/>
    </xf>
    <xf numFmtId="179" fontId="2" fillId="2" borderId="21" xfId="0" applyNumberFormat="1" applyFont="1" applyFill="1" applyBorder="1">
      <alignment vertical="center"/>
    </xf>
    <xf numFmtId="176" fontId="2" fillId="2" borderId="28" xfId="0" applyNumberFormat="1" applyFont="1" applyFill="1" applyBorder="1">
      <alignment vertical="center"/>
    </xf>
    <xf numFmtId="176" fontId="2" fillId="2" borderId="37" xfId="0" applyNumberFormat="1" applyFont="1" applyFill="1" applyBorder="1">
      <alignment vertical="center"/>
    </xf>
    <xf numFmtId="176" fontId="2" fillId="3" borderId="1" xfId="0" applyNumberFormat="1" applyFont="1" applyFill="1" applyBorder="1">
      <alignment vertical="center"/>
    </xf>
    <xf numFmtId="179" fontId="2" fillId="3" borderId="1" xfId="0" applyNumberFormat="1" applyFont="1" applyFill="1" applyBorder="1">
      <alignment vertical="center"/>
    </xf>
    <xf numFmtId="179" fontId="2" fillId="2" borderId="1" xfId="0" applyNumberFormat="1" applyFont="1" applyFill="1" applyBorder="1">
      <alignment vertical="center"/>
    </xf>
    <xf numFmtId="179" fontId="2" fillId="2" borderId="28" xfId="0" applyNumberFormat="1" applyFont="1" applyFill="1" applyBorder="1">
      <alignment vertical="center"/>
    </xf>
    <xf numFmtId="179" fontId="2" fillId="2" borderId="37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A71F-21A8-424C-B112-B705A9FE5E9A}">
  <dimension ref="A1:BF76"/>
  <sheetViews>
    <sheetView zoomScale="80" zoomScaleNormal="80" workbookViewId="0">
      <pane xSplit="1" ySplit="5" topLeftCell="E6" activePane="bottomRight" state="frozen"/>
      <selection pane="topRight" activeCell="B1" sqref="B1"/>
      <selection pane="bottomLeft" activeCell="A6" sqref="A6"/>
      <selection pane="bottomRight" activeCell="B12" sqref="B12:S13"/>
    </sheetView>
  </sheetViews>
  <sheetFormatPr defaultRowHeight="13.5" x14ac:dyDescent="0.15"/>
  <cols>
    <col min="1" max="1" width="17.625" style="2" customWidth="1"/>
    <col min="2" max="32" width="10.625" style="2" customWidth="1"/>
    <col min="33" max="39" width="10.5" style="2" customWidth="1"/>
    <col min="40" max="16384" width="9" style="2"/>
  </cols>
  <sheetData>
    <row r="1" spans="1:58" x14ac:dyDescent="0.1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 t="s">
        <v>4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4.25" thickBot="1" x14ac:dyDescent="0.2">
      <c r="A2" s="1">
        <v>13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 t="s">
        <v>5</v>
      </c>
      <c r="AG2" s="1"/>
      <c r="AH2" s="1"/>
      <c r="AI2" s="1"/>
      <c r="AJ2" s="1"/>
      <c r="AK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x14ac:dyDescent="0.15">
      <c r="A3" s="17" t="s">
        <v>0</v>
      </c>
      <c r="B3" s="18" t="s">
        <v>6</v>
      </c>
      <c r="C3" s="18" t="s">
        <v>6</v>
      </c>
      <c r="D3" s="18" t="s">
        <v>6</v>
      </c>
      <c r="E3" s="18" t="s">
        <v>6</v>
      </c>
      <c r="F3" s="18" t="s">
        <v>6</v>
      </c>
      <c r="G3" s="34" t="s">
        <v>6</v>
      </c>
      <c r="H3" s="18" t="s">
        <v>6</v>
      </c>
      <c r="I3" s="18" t="s">
        <v>6</v>
      </c>
      <c r="J3" s="18" t="s">
        <v>6</v>
      </c>
      <c r="K3" s="18" t="s">
        <v>6</v>
      </c>
      <c r="L3" s="34" t="s">
        <v>6</v>
      </c>
      <c r="M3" s="18" t="s">
        <v>6</v>
      </c>
      <c r="N3" s="18" t="s">
        <v>6</v>
      </c>
      <c r="O3" s="18" t="s">
        <v>6</v>
      </c>
      <c r="P3" s="18" t="s">
        <v>6</v>
      </c>
      <c r="Q3" s="34" t="s">
        <v>6</v>
      </c>
      <c r="R3" s="51" t="s">
        <v>6</v>
      </c>
      <c r="S3" s="68" t="s">
        <v>104</v>
      </c>
      <c r="T3" s="34" t="s">
        <v>6</v>
      </c>
      <c r="U3" s="18" t="s">
        <v>6</v>
      </c>
      <c r="V3" s="18" t="s">
        <v>6</v>
      </c>
      <c r="W3" s="34" t="s">
        <v>6</v>
      </c>
      <c r="X3" s="18" t="s">
        <v>6</v>
      </c>
      <c r="Y3" s="18" t="s">
        <v>6</v>
      </c>
      <c r="Z3" s="18" t="s">
        <v>6</v>
      </c>
      <c r="AA3" s="18" t="s">
        <v>6</v>
      </c>
      <c r="AB3" s="51" t="s">
        <v>6</v>
      </c>
      <c r="AC3" s="68" t="s">
        <v>104</v>
      </c>
      <c r="AD3" s="85" t="s">
        <v>6</v>
      </c>
      <c r="AE3" s="68" t="s">
        <v>104</v>
      </c>
      <c r="AF3" s="99" t="s">
        <v>103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x14ac:dyDescent="0.15">
      <c r="A4" s="19"/>
      <c r="B4" s="20">
        <v>1087</v>
      </c>
      <c r="C4" s="20">
        <v>1088</v>
      </c>
      <c r="D4" s="20">
        <v>1096</v>
      </c>
      <c r="E4" s="20">
        <v>1006</v>
      </c>
      <c r="F4" s="20">
        <v>1007</v>
      </c>
      <c r="G4" s="35">
        <v>1015</v>
      </c>
      <c r="H4" s="20">
        <v>1017</v>
      </c>
      <c r="I4" s="20">
        <v>1021</v>
      </c>
      <c r="J4" s="20">
        <v>1022</v>
      </c>
      <c r="K4" s="20">
        <v>1034</v>
      </c>
      <c r="L4" s="35">
        <v>1035</v>
      </c>
      <c r="M4" s="20">
        <v>1039</v>
      </c>
      <c r="N4" s="20">
        <v>1047</v>
      </c>
      <c r="O4" s="20">
        <v>1058</v>
      </c>
      <c r="P4" s="20">
        <v>1065</v>
      </c>
      <c r="Q4" s="35">
        <v>1077</v>
      </c>
      <c r="R4" s="52">
        <v>1080</v>
      </c>
      <c r="S4" s="69"/>
      <c r="T4" s="35">
        <v>1009</v>
      </c>
      <c r="U4" s="20">
        <v>1013</v>
      </c>
      <c r="V4" s="20">
        <v>1026</v>
      </c>
      <c r="W4" s="35">
        <v>1027</v>
      </c>
      <c r="X4" s="20">
        <v>1001</v>
      </c>
      <c r="Y4" s="20">
        <v>1002</v>
      </c>
      <c r="Z4" s="20">
        <v>1003</v>
      </c>
      <c r="AA4" s="20">
        <v>1005</v>
      </c>
      <c r="AB4" s="52">
        <v>1085</v>
      </c>
      <c r="AC4" s="69"/>
      <c r="AD4" s="1">
        <v>1014</v>
      </c>
      <c r="AE4" s="69"/>
      <c r="AF4" s="100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14.25" thickBot="1" x14ac:dyDescent="0.2">
      <c r="A5" s="19" t="s">
        <v>1</v>
      </c>
      <c r="B5" s="20" t="s">
        <v>7</v>
      </c>
      <c r="C5" s="20" t="s">
        <v>25</v>
      </c>
      <c r="D5" s="20" t="s">
        <v>26</v>
      </c>
      <c r="E5" s="20" t="s">
        <v>27</v>
      </c>
      <c r="F5" s="20" t="s">
        <v>28</v>
      </c>
      <c r="G5" s="35" t="s">
        <v>79</v>
      </c>
      <c r="H5" s="20" t="s">
        <v>80</v>
      </c>
      <c r="I5" s="20" t="s">
        <v>81</v>
      </c>
      <c r="J5" s="20" t="s">
        <v>82</v>
      </c>
      <c r="K5" s="20" t="s">
        <v>83</v>
      </c>
      <c r="L5" s="35" t="s">
        <v>84</v>
      </c>
      <c r="M5" s="20" t="s">
        <v>85</v>
      </c>
      <c r="N5" s="20" t="s">
        <v>86</v>
      </c>
      <c r="O5" s="20" t="s">
        <v>87</v>
      </c>
      <c r="P5" s="20" t="s">
        <v>88</v>
      </c>
      <c r="Q5" s="35" t="s">
        <v>89</v>
      </c>
      <c r="R5" s="52" t="s">
        <v>90</v>
      </c>
      <c r="S5" s="70" t="s">
        <v>105</v>
      </c>
      <c r="T5" s="35" t="s">
        <v>91</v>
      </c>
      <c r="U5" s="20" t="s">
        <v>101</v>
      </c>
      <c r="V5" s="20" t="s">
        <v>97</v>
      </c>
      <c r="W5" s="35" t="s">
        <v>99</v>
      </c>
      <c r="X5" s="20" t="s">
        <v>93</v>
      </c>
      <c r="Y5" s="20" t="s">
        <v>94</v>
      </c>
      <c r="Z5" s="20" t="s">
        <v>95</v>
      </c>
      <c r="AA5" s="20" t="s">
        <v>96</v>
      </c>
      <c r="AB5" s="52" t="s">
        <v>100</v>
      </c>
      <c r="AC5" s="70" t="s">
        <v>106</v>
      </c>
      <c r="AD5" s="1" t="s">
        <v>92</v>
      </c>
      <c r="AE5" s="70" t="s">
        <v>107</v>
      </c>
      <c r="AF5" s="101" t="s">
        <v>102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x14ac:dyDescent="0.15">
      <c r="A6" s="21" t="s">
        <v>8</v>
      </c>
      <c r="B6" s="22">
        <v>23</v>
      </c>
      <c r="C6" s="22">
        <v>17</v>
      </c>
      <c r="D6" s="22">
        <v>6</v>
      </c>
      <c r="E6" s="22">
        <v>23</v>
      </c>
      <c r="F6" s="22">
        <v>23</v>
      </c>
      <c r="G6" s="36">
        <v>23</v>
      </c>
      <c r="H6" s="22">
        <v>21</v>
      </c>
      <c r="I6" s="22">
        <v>14</v>
      </c>
      <c r="J6" s="22">
        <v>23</v>
      </c>
      <c r="K6" s="22">
        <v>23</v>
      </c>
      <c r="L6" s="36">
        <v>23</v>
      </c>
      <c r="M6" s="22">
        <v>22</v>
      </c>
      <c r="N6" s="22">
        <v>23</v>
      </c>
      <c r="O6" s="22">
        <v>16</v>
      </c>
      <c r="P6" s="22">
        <v>20</v>
      </c>
      <c r="Q6" s="36">
        <v>24</v>
      </c>
      <c r="R6" s="53">
        <v>20</v>
      </c>
      <c r="S6" s="71">
        <f>SUM(B6:R6)</f>
        <v>344</v>
      </c>
      <c r="T6" s="36">
        <v>22</v>
      </c>
      <c r="U6" s="22">
        <v>24</v>
      </c>
      <c r="V6" s="22">
        <v>15</v>
      </c>
      <c r="W6" s="36">
        <v>14</v>
      </c>
      <c r="X6" s="22">
        <v>23</v>
      </c>
      <c r="Y6" s="22">
        <v>10</v>
      </c>
      <c r="Z6" s="22">
        <v>10</v>
      </c>
      <c r="AA6" s="22">
        <v>11</v>
      </c>
      <c r="AB6" s="53">
        <v>4</v>
      </c>
      <c r="AC6" s="71">
        <f>SUM(T6:AB6)</f>
        <v>133</v>
      </c>
      <c r="AD6" s="86">
        <v>23</v>
      </c>
      <c r="AE6" s="71">
        <f>SUM(AD6)</f>
        <v>23</v>
      </c>
      <c r="AF6" s="102">
        <v>500</v>
      </c>
      <c r="AG6" s="3"/>
      <c r="AH6" s="3"/>
      <c r="AI6" s="3"/>
      <c r="AJ6" s="3"/>
      <c r="AK6" s="3"/>
      <c r="AL6" s="3"/>
      <c r="AM6" s="3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x14ac:dyDescent="0.15">
      <c r="A7" s="13" t="s">
        <v>9</v>
      </c>
      <c r="B7" s="7">
        <v>2</v>
      </c>
      <c r="C7" s="7">
        <v>3</v>
      </c>
      <c r="D7" s="8"/>
      <c r="E7" s="7">
        <v>1</v>
      </c>
      <c r="F7" s="7">
        <v>2</v>
      </c>
      <c r="G7" s="37">
        <v>2</v>
      </c>
      <c r="H7" s="7">
        <v>3</v>
      </c>
      <c r="I7" s="8"/>
      <c r="J7" s="7">
        <v>3</v>
      </c>
      <c r="K7" s="7">
        <v>2</v>
      </c>
      <c r="L7" s="37">
        <v>2</v>
      </c>
      <c r="M7" s="7">
        <v>3</v>
      </c>
      <c r="N7" s="7">
        <v>1</v>
      </c>
      <c r="O7" s="7">
        <v>3</v>
      </c>
      <c r="P7" s="7">
        <v>2</v>
      </c>
      <c r="Q7" s="37">
        <v>1</v>
      </c>
      <c r="R7" s="66">
        <v>3</v>
      </c>
      <c r="S7" s="72">
        <f>SUM(B7:R7)</f>
        <v>33</v>
      </c>
      <c r="T7" s="37">
        <v>1</v>
      </c>
      <c r="U7" s="8"/>
      <c r="V7" s="8"/>
      <c r="W7" s="38"/>
      <c r="X7" s="8"/>
      <c r="Y7" s="8"/>
      <c r="Z7" s="8"/>
      <c r="AA7" s="8"/>
      <c r="AB7" s="54"/>
      <c r="AC7" s="72">
        <f>SUM(T7:AB7)</f>
        <v>1</v>
      </c>
      <c r="AD7" s="87">
        <v>1</v>
      </c>
      <c r="AE7" s="72">
        <f>SUM(AD7)</f>
        <v>1</v>
      </c>
      <c r="AF7" s="103">
        <v>35</v>
      </c>
      <c r="AG7" s="4"/>
      <c r="AH7" s="4"/>
      <c r="AI7" s="4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x14ac:dyDescent="0.15">
      <c r="A8" s="13" t="s">
        <v>10</v>
      </c>
      <c r="B8" s="7">
        <v>1</v>
      </c>
      <c r="C8" s="7">
        <v>2</v>
      </c>
      <c r="D8" s="8"/>
      <c r="E8" s="7">
        <v>3</v>
      </c>
      <c r="F8" s="7">
        <v>1</v>
      </c>
      <c r="G8" s="37">
        <v>2</v>
      </c>
      <c r="H8" s="7">
        <v>3</v>
      </c>
      <c r="I8" s="8"/>
      <c r="J8" s="7">
        <v>1</v>
      </c>
      <c r="K8" s="7">
        <v>1</v>
      </c>
      <c r="L8" s="38"/>
      <c r="M8" s="7">
        <v>1</v>
      </c>
      <c r="N8" s="7">
        <v>1</v>
      </c>
      <c r="O8" s="7">
        <v>2</v>
      </c>
      <c r="P8" s="7">
        <v>2</v>
      </c>
      <c r="Q8" s="37">
        <v>2</v>
      </c>
      <c r="R8" s="54"/>
      <c r="S8" s="72">
        <f>SUM(B8:R8)</f>
        <v>22</v>
      </c>
      <c r="T8" s="38"/>
      <c r="U8" s="8"/>
      <c r="V8" s="8"/>
      <c r="W8" s="38"/>
      <c r="X8" s="8"/>
      <c r="Y8" s="8"/>
      <c r="Z8" s="8"/>
      <c r="AA8" s="8"/>
      <c r="AB8" s="54"/>
      <c r="AC8" s="73"/>
      <c r="AD8" s="88"/>
      <c r="AE8" s="73"/>
      <c r="AF8" s="103">
        <v>22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x14ac:dyDescent="0.15">
      <c r="A9" s="13" t="s">
        <v>11</v>
      </c>
      <c r="B9" s="8"/>
      <c r="C9" s="8"/>
      <c r="D9" s="8"/>
      <c r="E9" s="8"/>
      <c r="F9" s="8"/>
      <c r="G9" s="38"/>
      <c r="H9" s="8"/>
      <c r="I9" s="8"/>
      <c r="J9" s="8"/>
      <c r="K9" s="8"/>
      <c r="L9" s="38"/>
      <c r="M9" s="8"/>
      <c r="N9" s="8"/>
      <c r="O9" s="8"/>
      <c r="P9" s="8"/>
      <c r="Q9" s="38"/>
      <c r="R9" s="54"/>
      <c r="S9" s="73"/>
      <c r="T9" s="38"/>
      <c r="U9" s="8"/>
      <c r="V9" s="8"/>
      <c r="W9" s="38"/>
      <c r="X9" s="8"/>
      <c r="Y9" s="8"/>
      <c r="Z9" s="8"/>
      <c r="AA9" s="8"/>
      <c r="AB9" s="54"/>
      <c r="AC9" s="73"/>
      <c r="AD9" s="88"/>
      <c r="AE9" s="73"/>
      <c r="AF9" s="104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x14ac:dyDescent="0.15">
      <c r="A10" s="13" t="s">
        <v>12</v>
      </c>
      <c r="B10" s="8"/>
      <c r="C10" s="8"/>
      <c r="D10" s="8"/>
      <c r="E10" s="8"/>
      <c r="F10" s="8"/>
      <c r="G10" s="38"/>
      <c r="H10" s="8"/>
      <c r="I10" s="8"/>
      <c r="J10" s="8"/>
      <c r="K10" s="8"/>
      <c r="L10" s="38"/>
      <c r="M10" s="8"/>
      <c r="N10" s="8"/>
      <c r="O10" s="8"/>
      <c r="P10" s="8"/>
      <c r="Q10" s="38"/>
      <c r="R10" s="54"/>
      <c r="S10" s="73"/>
      <c r="T10" s="38"/>
      <c r="U10" s="8"/>
      <c r="V10" s="8"/>
      <c r="W10" s="38"/>
      <c r="X10" s="8"/>
      <c r="Y10" s="7">
        <v>2</v>
      </c>
      <c r="Z10" s="7">
        <v>2</v>
      </c>
      <c r="AA10" s="8"/>
      <c r="AB10" s="54"/>
      <c r="AC10" s="72">
        <f>SUM(T10:AB10)</f>
        <v>4</v>
      </c>
      <c r="AD10" s="87">
        <v>1</v>
      </c>
      <c r="AE10" s="72">
        <f>SUM(AD10)</f>
        <v>1</v>
      </c>
      <c r="AF10" s="103">
        <v>5</v>
      </c>
      <c r="AG10" s="1"/>
      <c r="AH10" s="3"/>
      <c r="AI10" s="3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x14ac:dyDescent="0.15">
      <c r="A11" s="13" t="s">
        <v>13</v>
      </c>
      <c r="B11" s="8"/>
      <c r="C11" s="8"/>
      <c r="D11" s="8"/>
      <c r="E11" s="8"/>
      <c r="F11" s="8"/>
      <c r="G11" s="38"/>
      <c r="H11" s="8"/>
      <c r="I11" s="8"/>
      <c r="J11" s="8"/>
      <c r="K11" s="8"/>
      <c r="L11" s="38"/>
      <c r="M11" s="8"/>
      <c r="N11" s="8"/>
      <c r="O11" s="8"/>
      <c r="P11" s="8"/>
      <c r="Q11" s="38"/>
      <c r="R11" s="54"/>
      <c r="S11" s="73"/>
      <c r="T11" s="38"/>
      <c r="U11" s="8"/>
      <c r="V11" s="8"/>
      <c r="W11" s="38"/>
      <c r="X11" s="8"/>
      <c r="Y11" s="8"/>
      <c r="Z11" s="8"/>
      <c r="AA11" s="8"/>
      <c r="AB11" s="54"/>
      <c r="AC11" s="73"/>
      <c r="AD11" s="88"/>
      <c r="AE11" s="73"/>
      <c r="AF11" s="104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x14ac:dyDescent="0.15">
      <c r="A12" s="13" t="s">
        <v>14</v>
      </c>
      <c r="B12" s="7">
        <v>1</v>
      </c>
      <c r="C12" s="7">
        <v>7</v>
      </c>
      <c r="D12" s="7">
        <v>14.9</v>
      </c>
      <c r="E12" s="7">
        <v>1</v>
      </c>
      <c r="F12" s="7">
        <v>1</v>
      </c>
      <c r="G12" s="37">
        <v>1</v>
      </c>
      <c r="H12" s="7">
        <v>3</v>
      </c>
      <c r="I12" s="7">
        <v>10</v>
      </c>
      <c r="J12" s="7">
        <v>1</v>
      </c>
      <c r="K12" s="7">
        <v>1</v>
      </c>
      <c r="L12" s="37">
        <v>1</v>
      </c>
      <c r="M12" s="7">
        <v>2</v>
      </c>
      <c r="N12" s="7">
        <v>1</v>
      </c>
      <c r="O12" s="7">
        <v>8</v>
      </c>
      <c r="P12" s="7">
        <v>4</v>
      </c>
      <c r="Q12" s="38"/>
      <c r="R12" s="66">
        <v>4</v>
      </c>
      <c r="S12" s="72">
        <f>SUM(B12:R12)</f>
        <v>60.9</v>
      </c>
      <c r="T12" s="37">
        <v>2</v>
      </c>
      <c r="U12" s="8"/>
      <c r="V12" s="8"/>
      <c r="W12" s="38"/>
      <c r="X12" s="8"/>
      <c r="Y12" s="8"/>
      <c r="Z12" s="8"/>
      <c r="AA12" s="8"/>
      <c r="AB12" s="54"/>
      <c r="AC12" s="73"/>
      <c r="AD12" s="88"/>
      <c r="AE12" s="73"/>
      <c r="AF12" s="103">
        <v>62.9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x14ac:dyDescent="0.15">
      <c r="A13" s="13" t="s">
        <v>15</v>
      </c>
      <c r="B13" s="8"/>
      <c r="C13" s="8"/>
      <c r="D13" s="8"/>
      <c r="E13" s="8"/>
      <c r="F13" s="8"/>
      <c r="G13" s="38"/>
      <c r="H13" s="8"/>
      <c r="I13" s="8"/>
      <c r="J13" s="8"/>
      <c r="K13" s="8"/>
      <c r="L13" s="38"/>
      <c r="M13" s="8"/>
      <c r="N13" s="8"/>
      <c r="O13" s="8"/>
      <c r="P13" s="8"/>
      <c r="Q13" s="38"/>
      <c r="R13" s="54"/>
      <c r="S13" s="73"/>
      <c r="T13" s="38"/>
      <c r="U13" s="8"/>
      <c r="V13" s="9">
        <v>4.208333333333333</v>
      </c>
      <c r="W13" s="39">
        <v>3.9166666666666665</v>
      </c>
      <c r="X13" s="9">
        <v>3.5833333333333335</v>
      </c>
      <c r="Y13" s="9">
        <v>2.9583333333333335</v>
      </c>
      <c r="Z13" s="9">
        <v>2.9583333333333335</v>
      </c>
      <c r="AA13" s="9">
        <v>3.2083333333333335</v>
      </c>
      <c r="AB13" s="55">
        <v>1.3333333333333333</v>
      </c>
      <c r="AC13" s="74">
        <f>SUM(T13:AB13)</f>
        <v>22.166666666666664</v>
      </c>
      <c r="AD13" s="88"/>
      <c r="AE13" s="73"/>
      <c r="AF13" s="105">
        <v>22.166666666666668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x14ac:dyDescent="0.15">
      <c r="A14" s="13" t="s">
        <v>16</v>
      </c>
      <c r="B14" s="9">
        <v>3.7916666666666665</v>
      </c>
      <c r="C14" s="9">
        <v>1.0416666666666667</v>
      </c>
      <c r="D14" s="9">
        <v>0.16666666666666666</v>
      </c>
      <c r="E14" s="9">
        <v>1.7083333333333333</v>
      </c>
      <c r="F14" s="9">
        <v>2.7083333333333335</v>
      </c>
      <c r="G14" s="39">
        <v>2.3333333333333335</v>
      </c>
      <c r="H14" s="9">
        <v>2.9583333333333335</v>
      </c>
      <c r="I14" s="9">
        <v>0.375</v>
      </c>
      <c r="J14" s="9">
        <v>3.7083333333333335</v>
      </c>
      <c r="K14" s="9">
        <v>3</v>
      </c>
      <c r="L14" s="39">
        <v>2.75</v>
      </c>
      <c r="M14" s="9">
        <v>2.3333333333333335</v>
      </c>
      <c r="N14" s="9">
        <v>2.875</v>
      </c>
      <c r="O14" s="9">
        <v>1</v>
      </c>
      <c r="P14" s="9">
        <v>2.0416666666666665</v>
      </c>
      <c r="Q14" s="39">
        <v>2.375</v>
      </c>
      <c r="R14" s="55">
        <v>1.2916666666666667</v>
      </c>
      <c r="S14" s="74">
        <f>SUM(B14:R14)</f>
        <v>36.458333333333329</v>
      </c>
      <c r="T14" s="38"/>
      <c r="U14" s="9">
        <v>1.3333333333333333</v>
      </c>
      <c r="V14" s="8"/>
      <c r="W14" s="38"/>
      <c r="X14" s="8"/>
      <c r="Y14" s="8"/>
      <c r="Z14" s="8"/>
      <c r="AA14" s="8"/>
      <c r="AB14" s="55">
        <v>8.3333333333333329E-2</v>
      </c>
      <c r="AC14" s="74">
        <f>SUM(T14:AB14)</f>
        <v>1.4166666666666665</v>
      </c>
      <c r="AD14" s="88"/>
      <c r="AE14" s="73"/>
      <c r="AF14" s="105">
        <v>37.875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x14ac:dyDescent="0.15">
      <c r="A15" s="13" t="s">
        <v>17</v>
      </c>
      <c r="B15" s="9">
        <v>0.95833333333333337</v>
      </c>
      <c r="C15" s="9">
        <v>1.0416666666666667</v>
      </c>
      <c r="D15" s="8"/>
      <c r="E15" s="9">
        <v>0.29166666666666669</v>
      </c>
      <c r="F15" s="9">
        <v>0.45833333333333331</v>
      </c>
      <c r="G15" s="39">
        <v>0.79166666666666663</v>
      </c>
      <c r="H15" s="9">
        <v>0.79166666666666663</v>
      </c>
      <c r="I15" s="8"/>
      <c r="J15" s="9">
        <v>1.25</v>
      </c>
      <c r="K15" s="9">
        <v>0.54166666666666663</v>
      </c>
      <c r="L15" s="39">
        <v>0.5</v>
      </c>
      <c r="M15" s="9">
        <v>1.1666666666666667</v>
      </c>
      <c r="N15" s="9">
        <v>0.375</v>
      </c>
      <c r="O15" s="9">
        <v>1.4583333333333333</v>
      </c>
      <c r="P15" s="9">
        <v>0.79166666666666663</v>
      </c>
      <c r="Q15" s="39">
        <v>0.16666666666666666</v>
      </c>
      <c r="R15" s="55">
        <v>1.1666666666666667</v>
      </c>
      <c r="S15" s="74">
        <f t="shared" ref="S15" si="0">SUM(B15:R15)</f>
        <v>11.75</v>
      </c>
      <c r="T15" s="38"/>
      <c r="U15" s="8"/>
      <c r="V15" s="8"/>
      <c r="W15" s="38"/>
      <c r="X15" s="8"/>
      <c r="Y15" s="8"/>
      <c r="Z15" s="8"/>
      <c r="AA15" s="8"/>
      <c r="AB15" s="54"/>
      <c r="AC15" s="73"/>
      <c r="AD15" s="88"/>
      <c r="AE15" s="73"/>
      <c r="AF15" s="105">
        <v>11.75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x14ac:dyDescent="0.15">
      <c r="A16" s="13" t="s">
        <v>18</v>
      </c>
      <c r="B16" s="9">
        <v>0.45833333333333331</v>
      </c>
      <c r="C16" s="9">
        <v>0.66666666666666663</v>
      </c>
      <c r="D16" s="8"/>
      <c r="E16" s="9">
        <v>1.2916666666666667</v>
      </c>
      <c r="F16" s="9">
        <v>0.41666666666666669</v>
      </c>
      <c r="G16" s="39">
        <v>0.83333333333333337</v>
      </c>
      <c r="H16" s="9">
        <v>1.4166666666666667</v>
      </c>
      <c r="I16" s="8"/>
      <c r="J16" s="9">
        <v>0.41666666666666669</v>
      </c>
      <c r="K16" s="9">
        <v>0.45833333333333331</v>
      </c>
      <c r="L16" s="38"/>
      <c r="M16" s="9">
        <v>0.5</v>
      </c>
      <c r="N16" s="9">
        <v>0.54166666666666663</v>
      </c>
      <c r="O16" s="9">
        <v>0.70833333333333337</v>
      </c>
      <c r="P16" s="9">
        <v>0.45833333333333331</v>
      </c>
      <c r="Q16" s="39">
        <v>0.70833333333333337</v>
      </c>
      <c r="R16" s="54"/>
      <c r="S16" s="74">
        <f>SUM(B16:R16)</f>
        <v>8.8750000000000018</v>
      </c>
      <c r="T16" s="38"/>
      <c r="U16" s="8"/>
      <c r="V16" s="8"/>
      <c r="W16" s="38"/>
      <c r="X16" s="8"/>
      <c r="Y16" s="8"/>
      <c r="Z16" s="8"/>
      <c r="AA16" s="8"/>
      <c r="AB16" s="54"/>
      <c r="AC16" s="73"/>
      <c r="AD16" s="88"/>
      <c r="AE16" s="73"/>
      <c r="AF16" s="105">
        <v>8.875</v>
      </c>
      <c r="AG16" s="5"/>
      <c r="AH16" s="5"/>
      <c r="AI16" s="5"/>
      <c r="AJ16" s="5"/>
      <c r="AK16" s="5"/>
      <c r="AL16" s="5"/>
      <c r="AM16" s="5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x14ac:dyDescent="0.15">
      <c r="A17" s="13" t="s">
        <v>19</v>
      </c>
      <c r="B17" s="8"/>
      <c r="C17" s="8"/>
      <c r="D17" s="8"/>
      <c r="E17" s="8"/>
      <c r="F17" s="8"/>
      <c r="G17" s="38"/>
      <c r="H17" s="8"/>
      <c r="I17" s="8"/>
      <c r="J17" s="8"/>
      <c r="K17" s="8"/>
      <c r="L17" s="38"/>
      <c r="M17" s="8"/>
      <c r="N17" s="8"/>
      <c r="O17" s="8"/>
      <c r="P17" s="8"/>
      <c r="Q17" s="38"/>
      <c r="R17" s="54"/>
      <c r="S17" s="73"/>
      <c r="T17" s="38"/>
      <c r="U17" s="8"/>
      <c r="V17" s="8"/>
      <c r="W17" s="38"/>
      <c r="X17" s="8"/>
      <c r="Y17" s="8"/>
      <c r="Z17" s="8"/>
      <c r="AA17" s="8"/>
      <c r="AB17" s="54"/>
      <c r="AC17" s="73"/>
      <c r="AD17" s="88"/>
      <c r="AE17" s="73"/>
      <c r="AF17" s="104"/>
      <c r="AG17" s="5"/>
      <c r="AH17" s="5"/>
      <c r="AI17" s="5"/>
      <c r="AJ17" s="5"/>
      <c r="AK17" s="5"/>
      <c r="AL17" s="5"/>
      <c r="AM17" s="5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x14ac:dyDescent="0.15">
      <c r="A18" s="13" t="s">
        <v>20</v>
      </c>
      <c r="B18" s="8"/>
      <c r="C18" s="8"/>
      <c r="D18" s="8"/>
      <c r="E18" s="8"/>
      <c r="F18" s="8"/>
      <c r="G18" s="38"/>
      <c r="H18" s="8"/>
      <c r="I18" s="8"/>
      <c r="J18" s="8"/>
      <c r="K18" s="8"/>
      <c r="L18" s="38"/>
      <c r="M18" s="8"/>
      <c r="N18" s="8"/>
      <c r="O18" s="8"/>
      <c r="P18" s="8"/>
      <c r="Q18" s="38"/>
      <c r="R18" s="54"/>
      <c r="S18" s="73"/>
      <c r="T18" s="38"/>
      <c r="U18" s="8"/>
      <c r="V18" s="8"/>
      <c r="W18" s="38"/>
      <c r="X18" s="8"/>
      <c r="Y18" s="8"/>
      <c r="Z18" s="8"/>
      <c r="AA18" s="8"/>
      <c r="AB18" s="54"/>
      <c r="AC18" s="73"/>
      <c r="AD18" s="88"/>
      <c r="AE18" s="73"/>
      <c r="AF18" s="104"/>
      <c r="AG18" s="5"/>
      <c r="AH18" s="5"/>
      <c r="AI18" s="5"/>
      <c r="AJ18" s="5"/>
      <c r="AK18" s="5"/>
      <c r="AL18" s="5"/>
      <c r="AM18" s="5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x14ac:dyDescent="0.15">
      <c r="A19" s="13" t="s">
        <v>21</v>
      </c>
      <c r="B19" s="8"/>
      <c r="C19" s="8"/>
      <c r="D19" s="8"/>
      <c r="E19" s="8"/>
      <c r="F19" s="8"/>
      <c r="G19" s="38"/>
      <c r="H19" s="8"/>
      <c r="I19" s="8"/>
      <c r="J19" s="8"/>
      <c r="K19" s="8"/>
      <c r="L19" s="38"/>
      <c r="M19" s="8"/>
      <c r="N19" s="8"/>
      <c r="O19" s="8"/>
      <c r="P19" s="8"/>
      <c r="Q19" s="38"/>
      <c r="R19" s="54"/>
      <c r="S19" s="73"/>
      <c r="T19" s="38"/>
      <c r="U19" s="8"/>
      <c r="V19" s="8"/>
      <c r="W19" s="38"/>
      <c r="X19" s="8"/>
      <c r="Y19" s="8"/>
      <c r="Z19" s="8"/>
      <c r="AA19" s="8"/>
      <c r="AB19" s="54"/>
      <c r="AC19" s="73"/>
      <c r="AD19" s="88"/>
      <c r="AE19" s="73"/>
      <c r="AF19" s="104"/>
      <c r="AG19" s="5"/>
      <c r="AH19" s="5"/>
      <c r="AI19" s="5"/>
      <c r="AJ19" s="5"/>
      <c r="AK19" s="5"/>
      <c r="AL19" s="5"/>
      <c r="AM19" s="5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x14ac:dyDescent="0.15">
      <c r="A20" s="13" t="s">
        <v>22</v>
      </c>
      <c r="B20" s="8"/>
      <c r="C20" s="8"/>
      <c r="D20" s="8"/>
      <c r="E20" s="8"/>
      <c r="F20" s="8"/>
      <c r="G20" s="38"/>
      <c r="H20" s="8"/>
      <c r="I20" s="8"/>
      <c r="J20" s="8"/>
      <c r="K20" s="8"/>
      <c r="L20" s="38"/>
      <c r="M20" s="8"/>
      <c r="N20" s="8"/>
      <c r="O20" s="8"/>
      <c r="P20" s="8"/>
      <c r="Q20" s="38"/>
      <c r="R20" s="54"/>
      <c r="S20" s="73"/>
      <c r="T20" s="38"/>
      <c r="U20" s="8"/>
      <c r="V20" s="8"/>
      <c r="W20" s="38"/>
      <c r="X20" s="8"/>
      <c r="Y20" s="8"/>
      <c r="Z20" s="8"/>
      <c r="AA20" s="8"/>
      <c r="AB20" s="54"/>
      <c r="AC20" s="73"/>
      <c r="AD20" s="88"/>
      <c r="AE20" s="73"/>
      <c r="AF20" s="104"/>
      <c r="AG20" s="5"/>
      <c r="AH20" s="5"/>
      <c r="AI20" s="5"/>
      <c r="AJ20" s="5"/>
      <c r="AK20" s="5"/>
      <c r="AL20" s="5"/>
      <c r="AM20" s="5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x14ac:dyDescent="0.15">
      <c r="A21" s="13" t="s">
        <v>23</v>
      </c>
      <c r="B21" s="8"/>
      <c r="C21" s="8"/>
      <c r="D21" s="8"/>
      <c r="E21" s="8"/>
      <c r="F21" s="8"/>
      <c r="G21" s="38"/>
      <c r="H21" s="8"/>
      <c r="I21" s="8"/>
      <c r="J21" s="8"/>
      <c r="K21" s="8"/>
      <c r="L21" s="38"/>
      <c r="M21" s="8"/>
      <c r="N21" s="8"/>
      <c r="O21" s="8"/>
      <c r="P21" s="8"/>
      <c r="Q21" s="38"/>
      <c r="R21" s="54"/>
      <c r="S21" s="73"/>
      <c r="T21" s="38"/>
      <c r="U21" s="8"/>
      <c r="V21" s="8"/>
      <c r="W21" s="38"/>
      <c r="X21" s="8"/>
      <c r="Y21" s="9">
        <v>0.58333333333333337</v>
      </c>
      <c r="Z21" s="9">
        <v>0.58333333333333337</v>
      </c>
      <c r="AA21" s="8"/>
      <c r="AB21" s="54"/>
      <c r="AC21" s="74">
        <f>SUM(T21:AB21)</f>
        <v>1.1666666666666667</v>
      </c>
      <c r="AD21" s="88"/>
      <c r="AE21" s="73"/>
      <c r="AF21" s="105">
        <v>1.1666666666666667</v>
      </c>
      <c r="AG21" s="5"/>
      <c r="AH21" s="5"/>
      <c r="AI21" s="5"/>
      <c r="AJ21" s="5"/>
      <c r="AK21" s="5"/>
      <c r="AL21" s="5"/>
      <c r="AM21" s="5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4.25" thickBot="1" x14ac:dyDescent="0.2">
      <c r="A22" s="23" t="s">
        <v>24</v>
      </c>
      <c r="B22" s="24">
        <v>1.875</v>
      </c>
      <c r="C22" s="24">
        <v>1.125</v>
      </c>
      <c r="D22" s="25"/>
      <c r="E22" s="24">
        <v>0.45833333333333331</v>
      </c>
      <c r="F22" s="24">
        <v>0.20833333333333334</v>
      </c>
      <c r="G22" s="40"/>
      <c r="H22" s="24">
        <v>1.2916666666666667</v>
      </c>
      <c r="I22" s="24">
        <v>0.375</v>
      </c>
      <c r="J22" s="24">
        <v>1.5833333333333333</v>
      </c>
      <c r="K22" s="24">
        <v>0.29166666666666669</v>
      </c>
      <c r="L22" s="50">
        <v>0.25</v>
      </c>
      <c r="M22" s="24">
        <v>0.125</v>
      </c>
      <c r="N22" s="24">
        <v>0.625</v>
      </c>
      <c r="O22" s="24">
        <v>0.33333333333333331</v>
      </c>
      <c r="P22" s="24">
        <v>1</v>
      </c>
      <c r="Q22" s="50">
        <v>0.125</v>
      </c>
      <c r="R22" s="67">
        <v>1.7083333333333333</v>
      </c>
      <c r="S22" s="75">
        <f>SUM(B22:R22)</f>
        <v>11.375000000000002</v>
      </c>
      <c r="T22" s="40"/>
      <c r="U22" s="25"/>
      <c r="V22" s="25"/>
      <c r="W22" s="40"/>
      <c r="X22" s="25"/>
      <c r="Y22" s="24">
        <v>2.0833333333333335</v>
      </c>
      <c r="Z22" s="24">
        <v>2.0833333333333335</v>
      </c>
      <c r="AA22" s="24">
        <v>2.2916666666666665</v>
      </c>
      <c r="AB22" s="56"/>
      <c r="AC22" s="74">
        <f>SUM(T22:AB22)</f>
        <v>6.4583333333333339</v>
      </c>
      <c r="AD22" s="89">
        <v>0.125</v>
      </c>
      <c r="AE22" s="75">
        <f>SUM(AD22)</f>
        <v>0.125</v>
      </c>
      <c r="AF22" s="106">
        <v>17.958333333333332</v>
      </c>
      <c r="AG22" s="5"/>
      <c r="AH22" s="5"/>
      <c r="AI22" s="5"/>
      <c r="AJ22" s="5"/>
      <c r="AK22" s="5"/>
      <c r="AL22" s="5"/>
      <c r="AM22" s="5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x14ac:dyDescent="0.15">
      <c r="A23" s="21" t="s">
        <v>29</v>
      </c>
      <c r="B23" s="26">
        <v>170000</v>
      </c>
      <c r="C23" s="26">
        <v>175000</v>
      </c>
      <c r="D23" s="26">
        <v>170000</v>
      </c>
      <c r="E23" s="26">
        <v>182000</v>
      </c>
      <c r="F23" s="26">
        <v>187000</v>
      </c>
      <c r="G23" s="41">
        <v>192000</v>
      </c>
      <c r="H23" s="26">
        <v>192000</v>
      </c>
      <c r="I23" s="26">
        <v>192000</v>
      </c>
      <c r="J23" s="26">
        <v>187000</v>
      </c>
      <c r="K23" s="26">
        <v>172000</v>
      </c>
      <c r="L23" s="41">
        <v>172000</v>
      </c>
      <c r="M23" s="26">
        <v>172000</v>
      </c>
      <c r="N23" s="26">
        <v>177000</v>
      </c>
      <c r="O23" s="26">
        <v>170000</v>
      </c>
      <c r="P23" s="26">
        <v>175000</v>
      </c>
      <c r="Q23" s="41">
        <v>170000</v>
      </c>
      <c r="R23" s="57">
        <v>175000</v>
      </c>
      <c r="S23" s="76">
        <f>SUM(B23:R23)</f>
        <v>3030000</v>
      </c>
      <c r="T23" s="41">
        <v>485000</v>
      </c>
      <c r="U23" s="26">
        <v>270000</v>
      </c>
      <c r="V23" s="26">
        <v>0</v>
      </c>
      <c r="W23" s="41">
        <v>0</v>
      </c>
      <c r="X23" s="26">
        <v>0</v>
      </c>
      <c r="Y23" s="26">
        <v>0</v>
      </c>
      <c r="Z23" s="26">
        <v>0</v>
      </c>
      <c r="AA23" s="26">
        <v>0</v>
      </c>
      <c r="AB23" s="57">
        <v>0</v>
      </c>
      <c r="AC23" s="76">
        <f>SUM(T23:AB23)</f>
        <v>755000</v>
      </c>
      <c r="AD23" s="90">
        <v>375000</v>
      </c>
      <c r="AE23" s="76">
        <f>SUM(AD23)</f>
        <v>375000</v>
      </c>
      <c r="AF23" s="107">
        <v>4160000</v>
      </c>
      <c r="AG23" s="5"/>
      <c r="AH23" s="5"/>
      <c r="AI23" s="5"/>
      <c r="AJ23" s="5"/>
      <c r="AK23" s="5"/>
      <c r="AL23" s="5"/>
      <c r="AM23" s="5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x14ac:dyDescent="0.15">
      <c r="A24" s="13" t="s">
        <v>30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38">
        <v>20000</v>
      </c>
      <c r="H24" s="8">
        <v>5000</v>
      </c>
      <c r="I24" s="8">
        <v>20000</v>
      </c>
      <c r="J24" s="8">
        <v>5000</v>
      </c>
      <c r="K24" s="8">
        <v>0</v>
      </c>
      <c r="L24" s="38">
        <v>0</v>
      </c>
      <c r="M24" s="8">
        <v>0</v>
      </c>
      <c r="N24" s="8">
        <v>0</v>
      </c>
      <c r="O24" s="8">
        <v>0</v>
      </c>
      <c r="P24" s="8">
        <v>0</v>
      </c>
      <c r="Q24" s="38">
        <v>0</v>
      </c>
      <c r="R24" s="54">
        <v>0</v>
      </c>
      <c r="S24" s="73">
        <f t="shared" ref="S24:S73" si="1">SUM(B24:R24)</f>
        <v>50000</v>
      </c>
      <c r="T24" s="38">
        <v>0</v>
      </c>
      <c r="U24" s="8">
        <v>0</v>
      </c>
      <c r="V24" s="8">
        <v>0</v>
      </c>
      <c r="W24" s="38">
        <v>0</v>
      </c>
      <c r="X24" s="8">
        <v>0</v>
      </c>
      <c r="Y24" s="8">
        <v>0</v>
      </c>
      <c r="Z24" s="8">
        <v>0</v>
      </c>
      <c r="AA24" s="8">
        <v>0</v>
      </c>
      <c r="AB24" s="54">
        <v>0</v>
      </c>
      <c r="AC24" s="73">
        <f t="shared" ref="AC24:AC73" si="2">SUM(T24:AB24)</f>
        <v>0</v>
      </c>
      <c r="AD24" s="88">
        <v>0</v>
      </c>
      <c r="AE24" s="73">
        <f t="shared" ref="AE24:AE73" si="3">SUM(AD24)</f>
        <v>0</v>
      </c>
      <c r="AF24" s="104">
        <v>50000</v>
      </c>
      <c r="AG24" s="5"/>
      <c r="AH24" s="5"/>
      <c r="AI24" s="5"/>
      <c r="AJ24" s="5"/>
      <c r="AK24" s="5"/>
      <c r="AL24" s="5"/>
      <c r="AM24" s="5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x14ac:dyDescent="0.15">
      <c r="A25" s="13" t="s">
        <v>31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38">
        <v>3000</v>
      </c>
      <c r="H25" s="8">
        <v>0</v>
      </c>
      <c r="I25" s="8">
        <v>0</v>
      </c>
      <c r="J25" s="8">
        <v>0</v>
      </c>
      <c r="K25" s="8">
        <v>0</v>
      </c>
      <c r="L25" s="38">
        <v>0</v>
      </c>
      <c r="M25" s="8">
        <v>0</v>
      </c>
      <c r="N25" s="8">
        <v>0</v>
      </c>
      <c r="O25" s="8">
        <v>0</v>
      </c>
      <c r="P25" s="8">
        <v>0</v>
      </c>
      <c r="Q25" s="38">
        <v>0</v>
      </c>
      <c r="R25" s="54">
        <v>0</v>
      </c>
      <c r="S25" s="73">
        <f t="shared" si="1"/>
        <v>3000</v>
      </c>
      <c r="T25" s="38">
        <v>0</v>
      </c>
      <c r="U25" s="8">
        <v>3000</v>
      </c>
      <c r="V25" s="8">
        <v>0</v>
      </c>
      <c r="W25" s="38">
        <v>0</v>
      </c>
      <c r="X25" s="8">
        <v>0</v>
      </c>
      <c r="Y25" s="8">
        <v>0</v>
      </c>
      <c r="Z25" s="8">
        <v>0</v>
      </c>
      <c r="AA25" s="8">
        <v>0</v>
      </c>
      <c r="AB25" s="54">
        <v>0</v>
      </c>
      <c r="AC25" s="73">
        <f t="shared" si="2"/>
        <v>3000</v>
      </c>
      <c r="AD25" s="88">
        <v>0</v>
      </c>
      <c r="AE25" s="73">
        <f t="shared" si="3"/>
        <v>0</v>
      </c>
      <c r="AF25" s="104">
        <v>6000</v>
      </c>
      <c r="AG25" s="5"/>
      <c r="AH25" s="5"/>
      <c r="AI25" s="5"/>
      <c r="AJ25" s="5"/>
      <c r="AK25" s="5"/>
      <c r="AL25" s="5"/>
      <c r="AM25" s="5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x14ac:dyDescent="0.15">
      <c r="A26" s="13" t="s">
        <v>32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38">
        <v>0</v>
      </c>
      <c r="H26" s="8">
        <v>0</v>
      </c>
      <c r="I26" s="8">
        <v>0</v>
      </c>
      <c r="J26" s="8">
        <v>0</v>
      </c>
      <c r="K26" s="8">
        <v>0</v>
      </c>
      <c r="L26" s="38">
        <v>0</v>
      </c>
      <c r="M26" s="8">
        <v>0</v>
      </c>
      <c r="N26" s="8">
        <v>0</v>
      </c>
      <c r="O26" s="8">
        <v>0</v>
      </c>
      <c r="P26" s="8">
        <v>0</v>
      </c>
      <c r="Q26" s="38">
        <v>0</v>
      </c>
      <c r="R26" s="54">
        <v>0</v>
      </c>
      <c r="S26" s="73">
        <f t="shared" si="1"/>
        <v>0</v>
      </c>
      <c r="T26" s="38">
        <v>0</v>
      </c>
      <c r="U26" s="8">
        <v>0</v>
      </c>
      <c r="V26" s="8">
        <v>0</v>
      </c>
      <c r="W26" s="38">
        <v>0</v>
      </c>
      <c r="X26" s="8">
        <v>0</v>
      </c>
      <c r="Y26" s="8">
        <v>0</v>
      </c>
      <c r="Z26" s="8">
        <v>0</v>
      </c>
      <c r="AA26" s="8">
        <v>0</v>
      </c>
      <c r="AB26" s="54">
        <v>0</v>
      </c>
      <c r="AC26" s="73">
        <f t="shared" si="2"/>
        <v>0</v>
      </c>
      <c r="AD26" s="88">
        <v>0</v>
      </c>
      <c r="AE26" s="73">
        <f t="shared" si="3"/>
        <v>0</v>
      </c>
      <c r="AF26" s="104">
        <v>0</v>
      </c>
      <c r="AG26" s="5"/>
      <c r="AH26" s="5"/>
      <c r="AI26" s="5"/>
      <c r="AJ26" s="5"/>
      <c r="AK26" s="5"/>
      <c r="AL26" s="5"/>
      <c r="AM26" s="5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x14ac:dyDescent="0.15">
      <c r="A27" s="13" t="s">
        <v>33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38">
        <v>0</v>
      </c>
      <c r="H27" s="8">
        <v>0</v>
      </c>
      <c r="I27" s="8">
        <v>0</v>
      </c>
      <c r="J27" s="8">
        <v>0</v>
      </c>
      <c r="K27" s="8">
        <v>0</v>
      </c>
      <c r="L27" s="38">
        <v>0</v>
      </c>
      <c r="M27" s="8">
        <v>0</v>
      </c>
      <c r="N27" s="8">
        <v>0</v>
      </c>
      <c r="O27" s="8">
        <v>0</v>
      </c>
      <c r="P27" s="8">
        <v>0</v>
      </c>
      <c r="Q27" s="38">
        <v>0</v>
      </c>
      <c r="R27" s="54">
        <v>0</v>
      </c>
      <c r="S27" s="73">
        <f t="shared" si="1"/>
        <v>0</v>
      </c>
      <c r="T27" s="38">
        <v>0</v>
      </c>
      <c r="U27" s="8">
        <v>0</v>
      </c>
      <c r="V27" s="8">
        <v>0</v>
      </c>
      <c r="W27" s="38">
        <v>0</v>
      </c>
      <c r="X27" s="8">
        <v>0</v>
      </c>
      <c r="Y27" s="8">
        <v>0</v>
      </c>
      <c r="Z27" s="8">
        <v>0</v>
      </c>
      <c r="AA27" s="8">
        <v>0</v>
      </c>
      <c r="AB27" s="54">
        <v>0</v>
      </c>
      <c r="AC27" s="73">
        <f t="shared" si="2"/>
        <v>0</v>
      </c>
      <c r="AD27" s="88">
        <v>0</v>
      </c>
      <c r="AE27" s="73">
        <f t="shared" si="3"/>
        <v>0</v>
      </c>
      <c r="AF27" s="104">
        <v>0</v>
      </c>
      <c r="AG27" s="5"/>
      <c r="AH27" s="5"/>
      <c r="AI27" s="5"/>
      <c r="AJ27" s="5"/>
      <c r="AK27" s="5"/>
      <c r="AL27" s="5"/>
      <c r="AM27" s="5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x14ac:dyDescent="0.15">
      <c r="A28" s="13" t="s">
        <v>34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38">
        <v>0</v>
      </c>
      <c r="H28" s="8">
        <v>0</v>
      </c>
      <c r="I28" s="8">
        <v>0</v>
      </c>
      <c r="J28" s="8">
        <v>0</v>
      </c>
      <c r="K28" s="8">
        <v>0</v>
      </c>
      <c r="L28" s="38">
        <v>0</v>
      </c>
      <c r="M28" s="8">
        <v>0</v>
      </c>
      <c r="N28" s="8">
        <v>0</v>
      </c>
      <c r="O28" s="8">
        <v>0</v>
      </c>
      <c r="P28" s="8">
        <v>0</v>
      </c>
      <c r="Q28" s="38">
        <v>0</v>
      </c>
      <c r="R28" s="54">
        <v>0</v>
      </c>
      <c r="S28" s="73">
        <f t="shared" si="1"/>
        <v>0</v>
      </c>
      <c r="T28" s="38">
        <v>0</v>
      </c>
      <c r="U28" s="8">
        <v>0</v>
      </c>
      <c r="V28" s="8">
        <v>0</v>
      </c>
      <c r="W28" s="38">
        <v>0</v>
      </c>
      <c r="X28" s="8">
        <v>0</v>
      </c>
      <c r="Y28" s="8">
        <v>0</v>
      </c>
      <c r="Z28" s="8">
        <v>0</v>
      </c>
      <c r="AA28" s="8">
        <v>0</v>
      </c>
      <c r="AB28" s="54">
        <v>0</v>
      </c>
      <c r="AC28" s="73">
        <f t="shared" si="2"/>
        <v>0</v>
      </c>
      <c r="AD28" s="88">
        <v>0</v>
      </c>
      <c r="AE28" s="73">
        <f t="shared" si="3"/>
        <v>0</v>
      </c>
      <c r="AF28" s="104">
        <v>0</v>
      </c>
      <c r="AG28" s="5"/>
      <c r="AH28" s="5"/>
      <c r="AI28" s="5"/>
      <c r="AJ28" s="5"/>
      <c r="AK28" s="5"/>
      <c r="AL28" s="5"/>
      <c r="AM28" s="5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x14ac:dyDescent="0.15">
      <c r="A29" s="13" t="s">
        <v>35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38">
        <v>0</v>
      </c>
      <c r="H29" s="8">
        <v>0</v>
      </c>
      <c r="I29" s="8">
        <v>0</v>
      </c>
      <c r="J29" s="8">
        <v>0</v>
      </c>
      <c r="K29" s="8">
        <v>0</v>
      </c>
      <c r="L29" s="38">
        <v>0</v>
      </c>
      <c r="M29" s="8">
        <v>0</v>
      </c>
      <c r="N29" s="8">
        <v>0</v>
      </c>
      <c r="O29" s="8">
        <v>0</v>
      </c>
      <c r="P29" s="8">
        <v>0</v>
      </c>
      <c r="Q29" s="38">
        <v>0</v>
      </c>
      <c r="R29" s="54">
        <v>0</v>
      </c>
      <c r="S29" s="73">
        <f t="shared" si="1"/>
        <v>0</v>
      </c>
      <c r="T29" s="38">
        <v>0</v>
      </c>
      <c r="U29" s="8">
        <v>0</v>
      </c>
      <c r="V29" s="8">
        <v>0</v>
      </c>
      <c r="W29" s="38">
        <v>0</v>
      </c>
      <c r="X29" s="8">
        <v>0</v>
      </c>
      <c r="Y29" s="8">
        <v>0</v>
      </c>
      <c r="Z29" s="8">
        <v>0</v>
      </c>
      <c r="AA29" s="8">
        <v>0</v>
      </c>
      <c r="AB29" s="54">
        <v>0</v>
      </c>
      <c r="AC29" s="73">
        <f t="shared" si="2"/>
        <v>0</v>
      </c>
      <c r="AD29" s="88">
        <v>0</v>
      </c>
      <c r="AE29" s="73">
        <f t="shared" si="3"/>
        <v>0</v>
      </c>
      <c r="AF29" s="104">
        <v>0</v>
      </c>
      <c r="AG29" s="5"/>
      <c r="AH29" s="5"/>
      <c r="AI29" s="5"/>
      <c r="AJ29" s="5"/>
      <c r="AK29" s="5"/>
      <c r="AL29" s="5"/>
      <c r="AM29" s="5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x14ac:dyDescent="0.15">
      <c r="A30" s="13" t="s">
        <v>36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38">
        <v>0</v>
      </c>
      <c r="H30" s="8">
        <v>0</v>
      </c>
      <c r="I30" s="8">
        <v>0</v>
      </c>
      <c r="J30" s="8">
        <v>0</v>
      </c>
      <c r="K30" s="8">
        <v>0</v>
      </c>
      <c r="L30" s="38">
        <v>0</v>
      </c>
      <c r="M30" s="8">
        <v>0</v>
      </c>
      <c r="N30" s="8">
        <v>0</v>
      </c>
      <c r="O30" s="8">
        <v>0</v>
      </c>
      <c r="P30" s="8">
        <v>0</v>
      </c>
      <c r="Q30" s="38">
        <v>0</v>
      </c>
      <c r="R30" s="54">
        <v>0</v>
      </c>
      <c r="S30" s="73">
        <f t="shared" si="1"/>
        <v>0</v>
      </c>
      <c r="T30" s="38">
        <v>0</v>
      </c>
      <c r="U30" s="8">
        <v>0</v>
      </c>
      <c r="V30" s="8">
        <v>0</v>
      </c>
      <c r="W30" s="38">
        <v>0</v>
      </c>
      <c r="X30" s="8">
        <v>0</v>
      </c>
      <c r="Y30" s="8">
        <v>0</v>
      </c>
      <c r="Z30" s="8">
        <v>0</v>
      </c>
      <c r="AA30" s="8">
        <v>0</v>
      </c>
      <c r="AB30" s="54">
        <v>0</v>
      </c>
      <c r="AC30" s="73">
        <f t="shared" si="2"/>
        <v>0</v>
      </c>
      <c r="AD30" s="88">
        <v>0</v>
      </c>
      <c r="AE30" s="73">
        <f t="shared" si="3"/>
        <v>0</v>
      </c>
      <c r="AF30" s="104">
        <v>0</v>
      </c>
      <c r="AG30" s="5"/>
      <c r="AH30" s="5"/>
      <c r="AI30" s="5"/>
      <c r="AJ30" s="5"/>
      <c r="AK30" s="5"/>
      <c r="AL30" s="5"/>
      <c r="AM30" s="5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x14ac:dyDescent="0.15">
      <c r="A31" s="13" t="s">
        <v>37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38">
        <v>0</v>
      </c>
      <c r="H31" s="8">
        <v>0</v>
      </c>
      <c r="I31" s="8">
        <v>0</v>
      </c>
      <c r="J31" s="8">
        <v>0</v>
      </c>
      <c r="K31" s="8">
        <v>0</v>
      </c>
      <c r="L31" s="38">
        <v>0</v>
      </c>
      <c r="M31" s="8">
        <v>0</v>
      </c>
      <c r="N31" s="8">
        <v>0</v>
      </c>
      <c r="O31" s="8">
        <v>0</v>
      </c>
      <c r="P31" s="8">
        <v>0</v>
      </c>
      <c r="Q31" s="38">
        <v>0</v>
      </c>
      <c r="R31" s="54">
        <v>0</v>
      </c>
      <c r="S31" s="73">
        <f t="shared" si="1"/>
        <v>0</v>
      </c>
      <c r="T31" s="38">
        <v>0</v>
      </c>
      <c r="U31" s="8">
        <v>0</v>
      </c>
      <c r="V31" s="8">
        <v>89385</v>
      </c>
      <c r="W31" s="38">
        <v>83190</v>
      </c>
      <c r="X31" s="8">
        <v>72240</v>
      </c>
      <c r="Y31" s="8">
        <v>59640</v>
      </c>
      <c r="Z31" s="8">
        <v>59640</v>
      </c>
      <c r="AA31" s="8">
        <v>64680</v>
      </c>
      <c r="AB31" s="54">
        <v>26560</v>
      </c>
      <c r="AC31" s="73">
        <f t="shared" si="2"/>
        <v>455335</v>
      </c>
      <c r="AD31" s="88">
        <v>0</v>
      </c>
      <c r="AE31" s="73">
        <f t="shared" si="3"/>
        <v>0</v>
      </c>
      <c r="AF31" s="104">
        <v>455335</v>
      </c>
      <c r="AG31" s="5"/>
      <c r="AH31" s="5"/>
      <c r="AI31" s="5"/>
      <c r="AJ31" s="5"/>
      <c r="AK31" s="5"/>
      <c r="AL31" s="5"/>
      <c r="AM31" s="5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 spans="1:58" x14ac:dyDescent="0.15">
      <c r="A32" s="13" t="s">
        <v>38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38">
        <v>0</v>
      </c>
      <c r="H32" s="8">
        <v>0</v>
      </c>
      <c r="I32" s="8">
        <v>0</v>
      </c>
      <c r="J32" s="8">
        <v>0</v>
      </c>
      <c r="K32" s="8">
        <v>0</v>
      </c>
      <c r="L32" s="38">
        <v>0</v>
      </c>
      <c r="M32" s="8">
        <v>0</v>
      </c>
      <c r="N32" s="8">
        <v>0</v>
      </c>
      <c r="O32" s="8">
        <v>0</v>
      </c>
      <c r="P32" s="8">
        <v>0</v>
      </c>
      <c r="Q32" s="38">
        <v>0</v>
      </c>
      <c r="R32" s="54">
        <v>0</v>
      </c>
      <c r="S32" s="73">
        <f t="shared" si="1"/>
        <v>0</v>
      </c>
      <c r="T32" s="38">
        <v>0</v>
      </c>
      <c r="U32" s="8">
        <v>0</v>
      </c>
      <c r="V32" s="8">
        <v>0</v>
      </c>
      <c r="W32" s="38">
        <v>0</v>
      </c>
      <c r="X32" s="8">
        <v>0</v>
      </c>
      <c r="Y32" s="8">
        <v>0</v>
      </c>
      <c r="Z32" s="8">
        <v>0</v>
      </c>
      <c r="AA32" s="8">
        <v>0</v>
      </c>
      <c r="AB32" s="54">
        <v>0</v>
      </c>
      <c r="AC32" s="73">
        <f t="shared" si="2"/>
        <v>0</v>
      </c>
      <c r="AD32" s="88">
        <v>0</v>
      </c>
      <c r="AE32" s="73">
        <f t="shared" si="3"/>
        <v>0</v>
      </c>
      <c r="AF32" s="104">
        <v>0</v>
      </c>
      <c r="AG32" s="5"/>
      <c r="AH32" s="5"/>
      <c r="AI32" s="5"/>
      <c r="AJ32" s="5"/>
      <c r="AK32" s="5"/>
      <c r="AL32" s="5"/>
      <c r="AM32" s="5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 spans="1:58" x14ac:dyDescent="0.15">
      <c r="A33" s="13" t="s">
        <v>39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38">
        <v>0</v>
      </c>
      <c r="H33" s="8">
        <v>0</v>
      </c>
      <c r="I33" s="8">
        <v>0</v>
      </c>
      <c r="J33" s="8">
        <v>0</v>
      </c>
      <c r="K33" s="8">
        <v>0</v>
      </c>
      <c r="L33" s="38">
        <v>0</v>
      </c>
      <c r="M33" s="8">
        <v>0</v>
      </c>
      <c r="N33" s="8">
        <v>0</v>
      </c>
      <c r="O33" s="8">
        <v>0</v>
      </c>
      <c r="P33" s="8">
        <v>0</v>
      </c>
      <c r="Q33" s="38">
        <v>0</v>
      </c>
      <c r="R33" s="54">
        <v>0</v>
      </c>
      <c r="S33" s="73">
        <f t="shared" si="1"/>
        <v>0</v>
      </c>
      <c r="T33" s="38">
        <v>0</v>
      </c>
      <c r="U33" s="8">
        <v>0</v>
      </c>
      <c r="V33" s="8">
        <v>0</v>
      </c>
      <c r="W33" s="38">
        <v>0</v>
      </c>
      <c r="X33" s="8">
        <v>0</v>
      </c>
      <c r="Y33" s="8">
        <v>0</v>
      </c>
      <c r="Z33" s="8">
        <v>0</v>
      </c>
      <c r="AA33" s="8">
        <v>0</v>
      </c>
      <c r="AB33" s="54">
        <v>0</v>
      </c>
      <c r="AC33" s="73">
        <f t="shared" si="2"/>
        <v>0</v>
      </c>
      <c r="AD33" s="88">
        <v>0</v>
      </c>
      <c r="AE33" s="73">
        <f t="shared" si="3"/>
        <v>0</v>
      </c>
      <c r="AF33" s="104">
        <v>0</v>
      </c>
      <c r="AG33" s="5"/>
      <c r="AH33" s="5"/>
      <c r="AI33" s="5"/>
      <c r="AJ33" s="5"/>
      <c r="AK33" s="5"/>
      <c r="AL33" s="5"/>
      <c r="AM33" s="5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 spans="1:58" x14ac:dyDescent="0.15">
      <c r="A34" s="13" t="s">
        <v>40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38">
        <v>0</v>
      </c>
      <c r="H34" s="8">
        <v>0</v>
      </c>
      <c r="I34" s="8">
        <v>0</v>
      </c>
      <c r="J34" s="8">
        <v>0</v>
      </c>
      <c r="K34" s="8">
        <v>0</v>
      </c>
      <c r="L34" s="38">
        <v>0</v>
      </c>
      <c r="M34" s="8">
        <v>0</v>
      </c>
      <c r="N34" s="8">
        <v>0</v>
      </c>
      <c r="O34" s="8">
        <v>0</v>
      </c>
      <c r="P34" s="8">
        <v>0</v>
      </c>
      <c r="Q34" s="38">
        <v>0</v>
      </c>
      <c r="R34" s="54">
        <v>0</v>
      </c>
      <c r="S34" s="73">
        <f t="shared" si="1"/>
        <v>0</v>
      </c>
      <c r="T34" s="38">
        <v>0</v>
      </c>
      <c r="U34" s="8">
        <v>0</v>
      </c>
      <c r="V34" s="8">
        <v>0</v>
      </c>
      <c r="W34" s="38">
        <v>0</v>
      </c>
      <c r="X34" s="8">
        <v>0</v>
      </c>
      <c r="Y34" s="8">
        <v>11760</v>
      </c>
      <c r="Z34" s="8">
        <v>11760</v>
      </c>
      <c r="AA34" s="8">
        <v>0</v>
      </c>
      <c r="AB34" s="54">
        <v>0</v>
      </c>
      <c r="AC34" s="73">
        <f t="shared" si="2"/>
        <v>23520</v>
      </c>
      <c r="AD34" s="88">
        <v>0</v>
      </c>
      <c r="AE34" s="73">
        <f t="shared" si="3"/>
        <v>0</v>
      </c>
      <c r="AF34" s="104">
        <v>23520</v>
      </c>
      <c r="AG34" s="5"/>
      <c r="AH34" s="5"/>
      <c r="AI34" s="5"/>
      <c r="AJ34" s="5"/>
      <c r="AK34" s="5"/>
      <c r="AL34" s="5"/>
      <c r="AM34" s="5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 spans="1:58" x14ac:dyDescent="0.15">
      <c r="A35" s="13" t="s">
        <v>41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38">
        <v>0</v>
      </c>
      <c r="H35" s="8">
        <v>0</v>
      </c>
      <c r="I35" s="8">
        <v>0</v>
      </c>
      <c r="J35" s="8">
        <v>0</v>
      </c>
      <c r="K35" s="8">
        <v>0</v>
      </c>
      <c r="L35" s="38">
        <v>0</v>
      </c>
      <c r="M35" s="8">
        <v>0</v>
      </c>
      <c r="N35" s="8">
        <v>0</v>
      </c>
      <c r="O35" s="8">
        <v>0</v>
      </c>
      <c r="P35" s="8">
        <v>0</v>
      </c>
      <c r="Q35" s="38">
        <v>0</v>
      </c>
      <c r="R35" s="54">
        <v>0</v>
      </c>
      <c r="S35" s="73">
        <f t="shared" si="1"/>
        <v>0</v>
      </c>
      <c r="T35" s="38">
        <v>0</v>
      </c>
      <c r="U35" s="8">
        <v>0</v>
      </c>
      <c r="V35" s="8">
        <v>0</v>
      </c>
      <c r="W35" s="38">
        <v>0</v>
      </c>
      <c r="X35" s="8">
        <v>0</v>
      </c>
      <c r="Y35" s="8">
        <v>0</v>
      </c>
      <c r="Z35" s="8">
        <v>0</v>
      </c>
      <c r="AA35" s="8">
        <v>0</v>
      </c>
      <c r="AB35" s="54">
        <v>0</v>
      </c>
      <c r="AC35" s="73">
        <f t="shared" si="2"/>
        <v>0</v>
      </c>
      <c r="AD35" s="88">
        <v>0</v>
      </c>
      <c r="AE35" s="73">
        <f t="shared" si="3"/>
        <v>0</v>
      </c>
      <c r="AF35" s="104">
        <v>0</v>
      </c>
      <c r="AG35" s="5"/>
      <c r="AH35" s="5"/>
      <c r="AI35" s="5"/>
      <c r="AJ35" s="5"/>
      <c r="AK35" s="5"/>
      <c r="AL35" s="5"/>
      <c r="AM35" s="5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 spans="1:58" x14ac:dyDescent="0.15">
      <c r="A36" s="13" t="s">
        <v>42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38">
        <v>0</v>
      </c>
      <c r="H36" s="8">
        <v>0</v>
      </c>
      <c r="I36" s="8">
        <v>0</v>
      </c>
      <c r="J36" s="8">
        <v>0</v>
      </c>
      <c r="K36" s="8">
        <v>0</v>
      </c>
      <c r="L36" s="38">
        <v>0</v>
      </c>
      <c r="M36" s="8">
        <v>0</v>
      </c>
      <c r="N36" s="8">
        <v>0</v>
      </c>
      <c r="O36" s="8">
        <v>0</v>
      </c>
      <c r="P36" s="8">
        <v>0</v>
      </c>
      <c r="Q36" s="38">
        <v>0</v>
      </c>
      <c r="R36" s="54">
        <v>0</v>
      </c>
      <c r="S36" s="73">
        <f t="shared" si="1"/>
        <v>0</v>
      </c>
      <c r="T36" s="38">
        <v>0</v>
      </c>
      <c r="U36" s="8">
        <v>0</v>
      </c>
      <c r="V36" s="8">
        <v>0</v>
      </c>
      <c r="W36" s="38">
        <v>0</v>
      </c>
      <c r="X36" s="8">
        <v>0</v>
      </c>
      <c r="Y36" s="8">
        <v>0</v>
      </c>
      <c r="Z36" s="8">
        <v>0</v>
      </c>
      <c r="AA36" s="8">
        <v>0</v>
      </c>
      <c r="AB36" s="54">
        <v>0</v>
      </c>
      <c r="AC36" s="73">
        <f t="shared" si="2"/>
        <v>0</v>
      </c>
      <c r="AD36" s="88">
        <v>0</v>
      </c>
      <c r="AE36" s="73">
        <f t="shared" si="3"/>
        <v>0</v>
      </c>
      <c r="AF36" s="104">
        <v>0</v>
      </c>
      <c r="AG36" s="5"/>
      <c r="AH36" s="5"/>
      <c r="AI36" s="5"/>
      <c r="AJ36" s="5"/>
      <c r="AK36" s="5"/>
      <c r="AL36" s="5"/>
      <c r="AM36" s="5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 spans="1:58" x14ac:dyDescent="0.15">
      <c r="A37" s="13" t="s">
        <v>43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38">
        <v>0</v>
      </c>
      <c r="H37" s="8">
        <v>0</v>
      </c>
      <c r="I37" s="8">
        <v>0</v>
      </c>
      <c r="J37" s="8">
        <v>0</v>
      </c>
      <c r="K37" s="8">
        <v>0</v>
      </c>
      <c r="L37" s="38">
        <v>0</v>
      </c>
      <c r="M37" s="8">
        <v>0</v>
      </c>
      <c r="N37" s="8">
        <v>0</v>
      </c>
      <c r="O37" s="8">
        <v>0</v>
      </c>
      <c r="P37" s="8">
        <v>0</v>
      </c>
      <c r="Q37" s="38">
        <v>0</v>
      </c>
      <c r="R37" s="54">
        <v>0</v>
      </c>
      <c r="S37" s="73">
        <f t="shared" si="1"/>
        <v>0</v>
      </c>
      <c r="T37" s="38">
        <v>0</v>
      </c>
      <c r="U37" s="8">
        <v>0</v>
      </c>
      <c r="V37" s="8">
        <v>0</v>
      </c>
      <c r="W37" s="38">
        <v>0</v>
      </c>
      <c r="X37" s="8">
        <v>0</v>
      </c>
      <c r="Y37" s="8">
        <v>0</v>
      </c>
      <c r="Z37" s="8">
        <v>0</v>
      </c>
      <c r="AA37" s="8">
        <v>0</v>
      </c>
      <c r="AB37" s="54">
        <v>0</v>
      </c>
      <c r="AC37" s="73">
        <f t="shared" si="2"/>
        <v>0</v>
      </c>
      <c r="AD37" s="88">
        <v>0</v>
      </c>
      <c r="AE37" s="73">
        <f t="shared" si="3"/>
        <v>0</v>
      </c>
      <c r="AF37" s="104">
        <v>0</v>
      </c>
      <c r="AG37" s="5"/>
      <c r="AH37" s="5"/>
      <c r="AI37" s="5"/>
      <c r="AJ37" s="5"/>
      <c r="AK37" s="5"/>
      <c r="AL37" s="5"/>
      <c r="AM37" s="5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 spans="1:58" x14ac:dyDescent="0.15">
      <c r="A38" s="13" t="s">
        <v>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38">
        <v>0</v>
      </c>
      <c r="H38" s="8">
        <v>0</v>
      </c>
      <c r="I38" s="8">
        <v>0</v>
      </c>
      <c r="J38" s="8">
        <v>0</v>
      </c>
      <c r="K38" s="8">
        <v>0</v>
      </c>
      <c r="L38" s="38">
        <v>0</v>
      </c>
      <c r="M38" s="8">
        <v>0</v>
      </c>
      <c r="N38" s="8">
        <v>0</v>
      </c>
      <c r="O38" s="8">
        <v>0</v>
      </c>
      <c r="P38" s="8">
        <v>0</v>
      </c>
      <c r="Q38" s="38">
        <v>0</v>
      </c>
      <c r="R38" s="54">
        <v>0</v>
      </c>
      <c r="S38" s="73">
        <f t="shared" si="1"/>
        <v>0</v>
      </c>
      <c r="T38" s="38">
        <v>0</v>
      </c>
      <c r="U38" s="8">
        <v>0</v>
      </c>
      <c r="V38" s="8">
        <v>0</v>
      </c>
      <c r="W38" s="38">
        <v>0</v>
      </c>
      <c r="X38" s="8">
        <v>0</v>
      </c>
      <c r="Y38" s="8">
        <v>0</v>
      </c>
      <c r="Z38" s="8">
        <v>0</v>
      </c>
      <c r="AA38" s="8">
        <v>0</v>
      </c>
      <c r="AB38" s="54">
        <v>0</v>
      </c>
      <c r="AC38" s="73">
        <f t="shared" si="2"/>
        <v>0</v>
      </c>
      <c r="AD38" s="88">
        <v>0</v>
      </c>
      <c r="AE38" s="73">
        <f t="shared" si="3"/>
        <v>0</v>
      </c>
      <c r="AF38" s="104">
        <v>0</v>
      </c>
      <c r="AG38" s="5"/>
      <c r="AH38" s="5"/>
      <c r="AI38" s="5"/>
      <c r="AJ38" s="5"/>
      <c r="AK38" s="5"/>
      <c r="AL38" s="5"/>
      <c r="AM38" s="5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 spans="1:58" x14ac:dyDescent="0.15">
      <c r="A39" s="13" t="s">
        <v>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38">
        <v>0</v>
      </c>
      <c r="H39" s="8">
        <v>0</v>
      </c>
      <c r="I39" s="8">
        <v>0</v>
      </c>
      <c r="J39" s="8">
        <v>0</v>
      </c>
      <c r="K39" s="8">
        <v>0</v>
      </c>
      <c r="L39" s="38">
        <v>0</v>
      </c>
      <c r="M39" s="8">
        <v>0</v>
      </c>
      <c r="N39" s="8">
        <v>0</v>
      </c>
      <c r="O39" s="8">
        <v>0</v>
      </c>
      <c r="P39" s="8">
        <v>0</v>
      </c>
      <c r="Q39" s="38">
        <v>0</v>
      </c>
      <c r="R39" s="54">
        <v>0</v>
      </c>
      <c r="S39" s="73">
        <f t="shared" si="1"/>
        <v>0</v>
      </c>
      <c r="T39" s="38">
        <v>0</v>
      </c>
      <c r="U39" s="8">
        <v>0</v>
      </c>
      <c r="V39" s="8">
        <v>0</v>
      </c>
      <c r="W39" s="38">
        <v>0</v>
      </c>
      <c r="X39" s="8">
        <v>0</v>
      </c>
      <c r="Y39" s="8">
        <v>0</v>
      </c>
      <c r="Z39" s="8">
        <v>0</v>
      </c>
      <c r="AA39" s="8">
        <v>0</v>
      </c>
      <c r="AB39" s="54">
        <v>0</v>
      </c>
      <c r="AC39" s="73">
        <f t="shared" si="2"/>
        <v>0</v>
      </c>
      <c r="AD39" s="88">
        <v>0</v>
      </c>
      <c r="AE39" s="73">
        <f t="shared" si="3"/>
        <v>0</v>
      </c>
      <c r="AF39" s="104">
        <v>0</v>
      </c>
      <c r="AG39" s="5"/>
      <c r="AH39" s="5"/>
      <c r="AI39" s="5"/>
      <c r="AJ39" s="5"/>
      <c r="AK39" s="5"/>
      <c r="AL39" s="5"/>
      <c r="AM39" s="5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 spans="1:58" x14ac:dyDescent="0.15">
      <c r="A40" s="13" t="s">
        <v>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38">
        <v>0</v>
      </c>
      <c r="H40" s="8">
        <v>0</v>
      </c>
      <c r="I40" s="8">
        <v>0</v>
      </c>
      <c r="J40" s="8">
        <v>0</v>
      </c>
      <c r="K40" s="8">
        <v>0</v>
      </c>
      <c r="L40" s="38">
        <v>0</v>
      </c>
      <c r="M40" s="8">
        <v>0</v>
      </c>
      <c r="N40" s="8">
        <v>0</v>
      </c>
      <c r="O40" s="8">
        <v>0</v>
      </c>
      <c r="P40" s="8">
        <v>0</v>
      </c>
      <c r="Q40" s="38">
        <v>0</v>
      </c>
      <c r="R40" s="54">
        <v>0</v>
      </c>
      <c r="S40" s="73">
        <f t="shared" si="1"/>
        <v>0</v>
      </c>
      <c r="T40" s="38">
        <v>0</v>
      </c>
      <c r="U40" s="8">
        <v>0</v>
      </c>
      <c r="V40" s="8">
        <v>0</v>
      </c>
      <c r="W40" s="38">
        <v>0</v>
      </c>
      <c r="X40" s="8">
        <v>0</v>
      </c>
      <c r="Y40" s="8">
        <v>0</v>
      </c>
      <c r="Z40" s="8">
        <v>0</v>
      </c>
      <c r="AA40" s="8">
        <v>0</v>
      </c>
      <c r="AB40" s="54">
        <v>0</v>
      </c>
      <c r="AC40" s="73">
        <f t="shared" si="2"/>
        <v>0</v>
      </c>
      <c r="AD40" s="88">
        <v>0</v>
      </c>
      <c r="AE40" s="73">
        <f t="shared" si="3"/>
        <v>0</v>
      </c>
      <c r="AF40" s="104">
        <v>0</v>
      </c>
      <c r="AG40" s="5"/>
      <c r="AH40" s="5"/>
      <c r="AI40" s="5"/>
      <c r="AJ40" s="5"/>
      <c r="AK40" s="5"/>
      <c r="AL40" s="5"/>
      <c r="AM40" s="5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 spans="1:58" x14ac:dyDescent="0.15">
      <c r="A41" s="13" t="s">
        <v>47</v>
      </c>
      <c r="B41" s="8">
        <v>-8133</v>
      </c>
      <c r="C41" s="8">
        <v>-58611</v>
      </c>
      <c r="D41" s="8">
        <v>-121181</v>
      </c>
      <c r="E41" s="8">
        <v>-8708</v>
      </c>
      <c r="F41" s="8">
        <v>-8947</v>
      </c>
      <c r="G41" s="38">
        <v>-10287</v>
      </c>
      <c r="H41" s="8">
        <v>-28275</v>
      </c>
      <c r="I41" s="8">
        <v>-101430</v>
      </c>
      <c r="J41" s="8">
        <v>-9186</v>
      </c>
      <c r="K41" s="8">
        <v>-8229</v>
      </c>
      <c r="L41" s="38">
        <v>-8229</v>
      </c>
      <c r="M41" s="8">
        <v>-16458</v>
      </c>
      <c r="N41" s="8">
        <v>-8468</v>
      </c>
      <c r="O41" s="8">
        <v>-65064</v>
      </c>
      <c r="P41" s="8">
        <v>-33492</v>
      </c>
      <c r="Q41" s="38">
        <v>0</v>
      </c>
      <c r="R41" s="54">
        <v>-33492</v>
      </c>
      <c r="S41" s="73">
        <f t="shared" si="1"/>
        <v>-528190</v>
      </c>
      <c r="T41" s="38">
        <v>-46410</v>
      </c>
      <c r="U41" s="8">
        <v>0</v>
      </c>
      <c r="V41" s="8">
        <v>0</v>
      </c>
      <c r="W41" s="38">
        <v>0</v>
      </c>
      <c r="X41" s="8">
        <v>0</v>
      </c>
      <c r="Y41" s="8">
        <v>0</v>
      </c>
      <c r="Z41" s="8">
        <v>0</v>
      </c>
      <c r="AA41" s="8">
        <v>0</v>
      </c>
      <c r="AB41" s="54">
        <v>0</v>
      </c>
      <c r="AC41" s="73">
        <f t="shared" si="2"/>
        <v>-46410</v>
      </c>
      <c r="AD41" s="88">
        <v>0</v>
      </c>
      <c r="AE41" s="73">
        <f t="shared" si="3"/>
        <v>0</v>
      </c>
      <c r="AF41" s="104">
        <v>-574600</v>
      </c>
      <c r="AG41" s="5"/>
      <c r="AH41" s="5"/>
      <c r="AI41" s="5"/>
      <c r="AJ41" s="5"/>
      <c r="AK41" s="5"/>
      <c r="AL41" s="5"/>
      <c r="AM41" s="5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 spans="1:58" x14ac:dyDescent="0.15">
      <c r="A42" s="13" t="s">
        <v>48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38">
        <v>0</v>
      </c>
      <c r="H42" s="8">
        <v>0</v>
      </c>
      <c r="I42" s="8">
        <v>0</v>
      </c>
      <c r="J42" s="8">
        <v>0</v>
      </c>
      <c r="K42" s="8">
        <v>0</v>
      </c>
      <c r="L42" s="38">
        <v>0</v>
      </c>
      <c r="M42" s="8">
        <v>0</v>
      </c>
      <c r="N42" s="8">
        <v>0</v>
      </c>
      <c r="O42" s="8">
        <v>0</v>
      </c>
      <c r="P42" s="8">
        <v>0</v>
      </c>
      <c r="Q42" s="38">
        <v>0</v>
      </c>
      <c r="R42" s="54">
        <v>0</v>
      </c>
      <c r="S42" s="73">
        <f t="shared" si="1"/>
        <v>0</v>
      </c>
      <c r="T42" s="38">
        <v>0</v>
      </c>
      <c r="U42" s="8">
        <v>0</v>
      </c>
      <c r="V42" s="8">
        <v>0</v>
      </c>
      <c r="W42" s="38">
        <v>0</v>
      </c>
      <c r="X42" s="8">
        <v>0</v>
      </c>
      <c r="Y42" s="8">
        <v>0</v>
      </c>
      <c r="Z42" s="8">
        <v>0</v>
      </c>
      <c r="AA42" s="8">
        <v>0</v>
      </c>
      <c r="AB42" s="54">
        <v>0</v>
      </c>
      <c r="AC42" s="73">
        <f t="shared" si="2"/>
        <v>0</v>
      </c>
      <c r="AD42" s="88">
        <v>0</v>
      </c>
      <c r="AE42" s="73">
        <f t="shared" si="3"/>
        <v>0</v>
      </c>
      <c r="AF42" s="104">
        <v>0</v>
      </c>
      <c r="AG42" s="5"/>
      <c r="AH42" s="5"/>
      <c r="AI42" s="5"/>
      <c r="AJ42" s="5"/>
      <c r="AK42" s="5"/>
      <c r="AL42" s="5"/>
      <c r="AM42" s="5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 spans="1:58" x14ac:dyDescent="0.15">
      <c r="A43" s="13" t="s">
        <v>16</v>
      </c>
      <c r="B43" s="8">
        <v>115843</v>
      </c>
      <c r="C43" s="8">
        <v>32750</v>
      </c>
      <c r="D43" s="8">
        <v>5092</v>
      </c>
      <c r="E43" s="8">
        <v>55883</v>
      </c>
      <c r="F43" s="8">
        <v>91000</v>
      </c>
      <c r="G43" s="38">
        <v>90104</v>
      </c>
      <c r="H43" s="8">
        <v>104725</v>
      </c>
      <c r="I43" s="8">
        <v>14274</v>
      </c>
      <c r="J43" s="8">
        <v>127982</v>
      </c>
      <c r="K43" s="8">
        <v>92736</v>
      </c>
      <c r="L43" s="38">
        <v>85008</v>
      </c>
      <c r="M43" s="8">
        <v>72128</v>
      </c>
      <c r="N43" s="8">
        <v>91425</v>
      </c>
      <c r="O43" s="8">
        <v>30552</v>
      </c>
      <c r="P43" s="8">
        <v>64190</v>
      </c>
      <c r="Q43" s="38">
        <v>72561</v>
      </c>
      <c r="R43" s="54">
        <v>40610</v>
      </c>
      <c r="S43" s="73">
        <f t="shared" si="1"/>
        <v>1186863</v>
      </c>
      <c r="T43" s="38">
        <v>0</v>
      </c>
      <c r="U43" s="8">
        <v>65408</v>
      </c>
      <c r="V43" s="8">
        <v>0</v>
      </c>
      <c r="W43" s="38">
        <v>0</v>
      </c>
      <c r="X43" s="8">
        <v>0</v>
      </c>
      <c r="Y43" s="8">
        <v>0</v>
      </c>
      <c r="Z43" s="8">
        <v>0</v>
      </c>
      <c r="AA43" s="8">
        <v>0</v>
      </c>
      <c r="AB43" s="54">
        <v>2076</v>
      </c>
      <c r="AC43" s="73">
        <f t="shared" si="2"/>
        <v>67484</v>
      </c>
      <c r="AD43" s="88">
        <v>0</v>
      </c>
      <c r="AE43" s="73">
        <f t="shared" si="3"/>
        <v>0</v>
      </c>
      <c r="AF43" s="104">
        <v>1254347</v>
      </c>
      <c r="AG43" s="5"/>
      <c r="AH43" s="5"/>
      <c r="AI43" s="5"/>
      <c r="AJ43" s="5"/>
      <c r="AK43" s="5"/>
      <c r="AL43" s="5"/>
      <c r="AM43" s="5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 spans="1:58" x14ac:dyDescent="0.15">
      <c r="A44" s="13" t="s">
        <v>9</v>
      </c>
      <c r="B44" s="8">
        <v>31602</v>
      </c>
      <c r="C44" s="8">
        <v>35375</v>
      </c>
      <c r="D44" s="8">
        <v>0</v>
      </c>
      <c r="E44" s="8">
        <v>10304</v>
      </c>
      <c r="F44" s="8">
        <v>16632</v>
      </c>
      <c r="G44" s="38">
        <v>33003</v>
      </c>
      <c r="H44" s="8">
        <v>30267</v>
      </c>
      <c r="I44" s="8">
        <v>0</v>
      </c>
      <c r="J44" s="8">
        <v>46590</v>
      </c>
      <c r="K44" s="8">
        <v>18083</v>
      </c>
      <c r="L44" s="38">
        <v>16692</v>
      </c>
      <c r="M44" s="8">
        <v>38948</v>
      </c>
      <c r="N44" s="8">
        <v>12879</v>
      </c>
      <c r="O44" s="8">
        <v>48090</v>
      </c>
      <c r="P44" s="8">
        <v>26885</v>
      </c>
      <c r="Q44" s="38">
        <v>5496</v>
      </c>
      <c r="R44" s="54">
        <v>39620</v>
      </c>
      <c r="S44" s="73">
        <f t="shared" si="1"/>
        <v>410466</v>
      </c>
      <c r="T44" s="38">
        <v>0</v>
      </c>
      <c r="U44" s="8">
        <v>0</v>
      </c>
      <c r="V44" s="8">
        <v>0</v>
      </c>
      <c r="W44" s="38">
        <v>0</v>
      </c>
      <c r="X44" s="8">
        <v>0</v>
      </c>
      <c r="Y44" s="8">
        <v>0</v>
      </c>
      <c r="Z44" s="8">
        <v>0</v>
      </c>
      <c r="AA44" s="8">
        <v>0</v>
      </c>
      <c r="AB44" s="54">
        <v>0</v>
      </c>
      <c r="AC44" s="73">
        <f t="shared" si="2"/>
        <v>0</v>
      </c>
      <c r="AD44" s="88">
        <v>0</v>
      </c>
      <c r="AE44" s="73">
        <f t="shared" si="3"/>
        <v>0</v>
      </c>
      <c r="AF44" s="104">
        <v>410466</v>
      </c>
      <c r="AG44" s="5"/>
      <c r="AH44" s="5"/>
      <c r="AI44" s="5"/>
      <c r="AJ44" s="5"/>
      <c r="AK44" s="5"/>
      <c r="AL44" s="5"/>
      <c r="AM44" s="5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 spans="1:58" x14ac:dyDescent="0.15">
      <c r="A45" s="13" t="s">
        <v>10</v>
      </c>
      <c r="B45" s="8">
        <v>15114</v>
      </c>
      <c r="C45" s="8">
        <v>22640</v>
      </c>
      <c r="D45" s="8">
        <v>0</v>
      </c>
      <c r="E45" s="8">
        <v>45632</v>
      </c>
      <c r="F45" s="8">
        <v>15120</v>
      </c>
      <c r="G45" s="38">
        <v>34740</v>
      </c>
      <c r="H45" s="8">
        <v>54162</v>
      </c>
      <c r="I45" s="8">
        <v>0</v>
      </c>
      <c r="J45" s="8">
        <v>15530</v>
      </c>
      <c r="K45" s="8">
        <v>15301</v>
      </c>
      <c r="L45" s="38">
        <v>0</v>
      </c>
      <c r="M45" s="8">
        <v>16692</v>
      </c>
      <c r="N45" s="8">
        <v>18603</v>
      </c>
      <c r="O45" s="8">
        <v>23358</v>
      </c>
      <c r="P45" s="8">
        <v>15565</v>
      </c>
      <c r="Q45" s="38">
        <v>23358</v>
      </c>
      <c r="R45" s="54">
        <v>0</v>
      </c>
      <c r="S45" s="73">
        <f t="shared" si="1"/>
        <v>315815</v>
      </c>
      <c r="T45" s="38">
        <v>0</v>
      </c>
      <c r="U45" s="8">
        <v>0</v>
      </c>
      <c r="V45" s="8">
        <v>0</v>
      </c>
      <c r="W45" s="38">
        <v>0</v>
      </c>
      <c r="X45" s="8">
        <v>0</v>
      </c>
      <c r="Y45" s="8">
        <v>0</v>
      </c>
      <c r="Z45" s="8">
        <v>0</v>
      </c>
      <c r="AA45" s="8">
        <v>0</v>
      </c>
      <c r="AB45" s="54">
        <v>0</v>
      </c>
      <c r="AC45" s="73">
        <f t="shared" si="2"/>
        <v>0</v>
      </c>
      <c r="AD45" s="88">
        <v>0</v>
      </c>
      <c r="AE45" s="73">
        <f t="shared" si="3"/>
        <v>0</v>
      </c>
      <c r="AF45" s="104">
        <v>315815</v>
      </c>
      <c r="AG45" s="5"/>
      <c r="AH45" s="5"/>
      <c r="AI45" s="5"/>
      <c r="AJ45" s="5"/>
      <c r="AK45" s="5"/>
      <c r="AL45" s="5"/>
      <c r="AM45" s="5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 spans="1:58" x14ac:dyDescent="0.15">
      <c r="A46" s="13" t="s">
        <v>49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38">
        <v>0</v>
      </c>
      <c r="H46" s="8">
        <v>0</v>
      </c>
      <c r="I46" s="8">
        <v>0</v>
      </c>
      <c r="J46" s="8">
        <v>0</v>
      </c>
      <c r="K46" s="8">
        <v>0</v>
      </c>
      <c r="L46" s="38">
        <v>0</v>
      </c>
      <c r="M46" s="8">
        <v>0</v>
      </c>
      <c r="N46" s="8">
        <v>0</v>
      </c>
      <c r="O46" s="8">
        <v>0</v>
      </c>
      <c r="P46" s="8">
        <v>0</v>
      </c>
      <c r="Q46" s="38">
        <v>0</v>
      </c>
      <c r="R46" s="54">
        <v>0</v>
      </c>
      <c r="S46" s="73">
        <f t="shared" si="1"/>
        <v>0</v>
      </c>
      <c r="T46" s="38">
        <v>0</v>
      </c>
      <c r="U46" s="8">
        <v>0</v>
      </c>
      <c r="V46" s="8">
        <v>0</v>
      </c>
      <c r="W46" s="38">
        <v>0</v>
      </c>
      <c r="X46" s="8">
        <v>0</v>
      </c>
      <c r="Y46" s="8">
        <v>0</v>
      </c>
      <c r="Z46" s="8">
        <v>0</v>
      </c>
      <c r="AA46" s="8">
        <v>0</v>
      </c>
      <c r="AB46" s="54">
        <v>0</v>
      </c>
      <c r="AC46" s="73">
        <f t="shared" si="2"/>
        <v>0</v>
      </c>
      <c r="AD46" s="88">
        <v>0</v>
      </c>
      <c r="AE46" s="73">
        <f t="shared" si="3"/>
        <v>0</v>
      </c>
      <c r="AF46" s="104">
        <v>0</v>
      </c>
      <c r="AG46" s="5"/>
      <c r="AH46" s="5"/>
      <c r="AI46" s="5"/>
      <c r="AJ46" s="5"/>
      <c r="AK46" s="5"/>
      <c r="AL46" s="5"/>
      <c r="AM46" s="5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 spans="1:58" x14ac:dyDescent="0.15">
      <c r="A47" s="13" t="s">
        <v>50</v>
      </c>
      <c r="B47" s="8">
        <v>8133</v>
      </c>
      <c r="C47" s="8">
        <v>58611</v>
      </c>
      <c r="D47" s="8">
        <v>0</v>
      </c>
      <c r="E47" s="8">
        <v>8708</v>
      </c>
      <c r="F47" s="8">
        <v>8947</v>
      </c>
      <c r="G47" s="38">
        <v>10287</v>
      </c>
      <c r="H47" s="8">
        <v>28275</v>
      </c>
      <c r="I47" s="8">
        <v>0</v>
      </c>
      <c r="J47" s="8">
        <v>9186</v>
      </c>
      <c r="K47" s="8">
        <v>8229</v>
      </c>
      <c r="L47" s="38">
        <v>8229</v>
      </c>
      <c r="M47" s="8">
        <v>16458</v>
      </c>
      <c r="N47" s="8">
        <v>8468</v>
      </c>
      <c r="O47" s="8">
        <v>65064</v>
      </c>
      <c r="P47" s="8">
        <v>33492</v>
      </c>
      <c r="Q47" s="38">
        <v>0</v>
      </c>
      <c r="R47" s="54">
        <v>33492</v>
      </c>
      <c r="S47" s="73">
        <f t="shared" si="1"/>
        <v>305579</v>
      </c>
      <c r="T47" s="38">
        <v>0</v>
      </c>
      <c r="U47" s="8">
        <v>0</v>
      </c>
      <c r="V47" s="8">
        <v>0</v>
      </c>
      <c r="W47" s="38">
        <v>0</v>
      </c>
      <c r="X47" s="8">
        <v>0</v>
      </c>
      <c r="Y47" s="8">
        <v>0</v>
      </c>
      <c r="Z47" s="8">
        <v>0</v>
      </c>
      <c r="AA47" s="8">
        <v>0</v>
      </c>
      <c r="AB47" s="54">
        <v>0</v>
      </c>
      <c r="AC47" s="73">
        <f t="shared" si="2"/>
        <v>0</v>
      </c>
      <c r="AD47" s="88">
        <v>0</v>
      </c>
      <c r="AE47" s="73">
        <f t="shared" si="3"/>
        <v>0</v>
      </c>
      <c r="AF47" s="104">
        <v>305579</v>
      </c>
      <c r="AG47" s="5"/>
      <c r="AH47" s="5"/>
      <c r="AI47" s="5"/>
      <c r="AJ47" s="5"/>
      <c r="AK47" s="5"/>
      <c r="AL47" s="5"/>
      <c r="AM47" s="5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 spans="1:58" x14ac:dyDescent="0.15">
      <c r="A48" s="13" t="s">
        <v>20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38">
        <v>0</v>
      </c>
      <c r="H48" s="8">
        <v>0</v>
      </c>
      <c r="I48" s="8">
        <v>0</v>
      </c>
      <c r="J48" s="8">
        <v>0</v>
      </c>
      <c r="K48" s="8">
        <v>0</v>
      </c>
      <c r="L48" s="38">
        <v>0</v>
      </c>
      <c r="M48" s="8">
        <v>0</v>
      </c>
      <c r="N48" s="8">
        <v>0</v>
      </c>
      <c r="O48" s="8">
        <v>0</v>
      </c>
      <c r="P48" s="8">
        <v>0</v>
      </c>
      <c r="Q48" s="38">
        <v>0</v>
      </c>
      <c r="R48" s="54">
        <v>0</v>
      </c>
      <c r="S48" s="73">
        <f t="shared" si="1"/>
        <v>0</v>
      </c>
      <c r="T48" s="38">
        <v>0</v>
      </c>
      <c r="U48" s="8">
        <v>0</v>
      </c>
      <c r="V48" s="8">
        <v>0</v>
      </c>
      <c r="W48" s="38">
        <v>0</v>
      </c>
      <c r="X48" s="8">
        <v>0</v>
      </c>
      <c r="Y48" s="8">
        <v>0</v>
      </c>
      <c r="Z48" s="8">
        <v>0</v>
      </c>
      <c r="AA48" s="8">
        <v>0</v>
      </c>
      <c r="AB48" s="54">
        <v>0</v>
      </c>
      <c r="AC48" s="73">
        <f t="shared" si="2"/>
        <v>0</v>
      </c>
      <c r="AD48" s="88">
        <v>0</v>
      </c>
      <c r="AE48" s="73">
        <f t="shared" si="3"/>
        <v>0</v>
      </c>
      <c r="AF48" s="104">
        <v>0</v>
      </c>
      <c r="AG48" s="5"/>
      <c r="AH48" s="5"/>
      <c r="AI48" s="5"/>
      <c r="AJ48" s="5"/>
      <c r="AK48" s="5"/>
      <c r="AL48" s="5"/>
      <c r="AM48" s="5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 spans="1:39" x14ac:dyDescent="0.15">
      <c r="A49" s="14" t="s">
        <v>51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42">
        <v>0</v>
      </c>
      <c r="H49" s="10">
        <v>0</v>
      </c>
      <c r="I49" s="10">
        <v>0</v>
      </c>
      <c r="J49" s="10">
        <v>0</v>
      </c>
      <c r="K49" s="10">
        <v>0</v>
      </c>
      <c r="L49" s="42">
        <v>0</v>
      </c>
      <c r="M49" s="10">
        <v>0</v>
      </c>
      <c r="N49" s="10">
        <v>0</v>
      </c>
      <c r="O49" s="10">
        <v>0</v>
      </c>
      <c r="P49" s="10">
        <v>0</v>
      </c>
      <c r="Q49" s="42">
        <v>0</v>
      </c>
      <c r="R49" s="58">
        <v>0</v>
      </c>
      <c r="S49" s="77">
        <f t="shared" si="1"/>
        <v>0</v>
      </c>
      <c r="T49" s="42">
        <v>0</v>
      </c>
      <c r="U49" s="10">
        <v>0</v>
      </c>
      <c r="V49" s="10">
        <v>0</v>
      </c>
      <c r="W49" s="42">
        <v>0</v>
      </c>
      <c r="X49" s="10">
        <v>0</v>
      </c>
      <c r="Y49" s="10">
        <v>0</v>
      </c>
      <c r="Z49" s="10">
        <v>0</v>
      </c>
      <c r="AA49" s="10">
        <v>0</v>
      </c>
      <c r="AB49" s="58">
        <v>0</v>
      </c>
      <c r="AC49" s="77">
        <f t="shared" si="2"/>
        <v>0</v>
      </c>
      <c r="AD49" s="91">
        <v>0</v>
      </c>
      <c r="AE49" s="77">
        <f t="shared" si="3"/>
        <v>0</v>
      </c>
      <c r="AF49" s="108">
        <v>0</v>
      </c>
      <c r="AG49" s="6"/>
      <c r="AH49" s="6"/>
      <c r="AI49" s="6"/>
      <c r="AJ49" s="6"/>
      <c r="AK49" s="6"/>
      <c r="AL49" s="6"/>
      <c r="AM49" s="6"/>
    </row>
    <row r="50" spans="1:39" x14ac:dyDescent="0.15">
      <c r="A50" s="14" t="s">
        <v>24</v>
      </c>
      <c r="B50" s="10">
        <v>11475</v>
      </c>
      <c r="C50" s="10">
        <v>7074</v>
      </c>
      <c r="D50" s="10">
        <v>0</v>
      </c>
      <c r="E50" s="10">
        <v>3003</v>
      </c>
      <c r="F50" s="10">
        <v>1400</v>
      </c>
      <c r="G50" s="42">
        <v>0</v>
      </c>
      <c r="H50" s="10">
        <v>9145</v>
      </c>
      <c r="I50" s="10">
        <v>2853</v>
      </c>
      <c r="J50" s="10">
        <v>10944</v>
      </c>
      <c r="K50" s="10">
        <v>1806</v>
      </c>
      <c r="L50" s="42">
        <v>1548</v>
      </c>
      <c r="M50" s="10">
        <v>774</v>
      </c>
      <c r="N50" s="10">
        <v>3975</v>
      </c>
      <c r="O50" s="10">
        <v>2040</v>
      </c>
      <c r="P50" s="10">
        <v>6288</v>
      </c>
      <c r="Q50" s="42">
        <v>765</v>
      </c>
      <c r="R50" s="58">
        <v>10742</v>
      </c>
      <c r="S50" s="77">
        <f t="shared" si="1"/>
        <v>73832</v>
      </c>
      <c r="T50" s="42">
        <v>0</v>
      </c>
      <c r="U50" s="10">
        <v>0</v>
      </c>
      <c r="V50" s="10">
        <v>0</v>
      </c>
      <c r="W50" s="42">
        <v>0</v>
      </c>
      <c r="X50" s="10">
        <v>0</v>
      </c>
      <c r="Y50" s="10">
        <v>10500</v>
      </c>
      <c r="Z50" s="10">
        <v>10500</v>
      </c>
      <c r="AA50" s="10">
        <v>11550</v>
      </c>
      <c r="AB50" s="58">
        <v>0</v>
      </c>
      <c r="AC50" s="77">
        <f t="shared" si="2"/>
        <v>32550</v>
      </c>
      <c r="AD50" s="91">
        <v>1686</v>
      </c>
      <c r="AE50" s="77">
        <f t="shared" si="3"/>
        <v>1686</v>
      </c>
      <c r="AF50" s="108">
        <v>108068</v>
      </c>
      <c r="AG50" s="6"/>
      <c r="AH50" s="6"/>
      <c r="AI50" s="6"/>
      <c r="AJ50" s="6"/>
      <c r="AK50" s="6"/>
      <c r="AL50" s="6"/>
      <c r="AM50" s="6"/>
    </row>
    <row r="51" spans="1:39" ht="14.25" thickBot="1" x14ac:dyDescent="0.2">
      <c r="A51" s="15" t="s">
        <v>52</v>
      </c>
      <c r="B51" s="29">
        <v>344034</v>
      </c>
      <c r="C51" s="29">
        <v>272839</v>
      </c>
      <c r="D51" s="29">
        <v>53911</v>
      </c>
      <c r="E51" s="29">
        <v>296822</v>
      </c>
      <c r="F51" s="29">
        <v>311152</v>
      </c>
      <c r="G51" s="43">
        <v>372847</v>
      </c>
      <c r="H51" s="29">
        <v>395299</v>
      </c>
      <c r="I51" s="29">
        <v>127697</v>
      </c>
      <c r="J51" s="29">
        <v>393046</v>
      </c>
      <c r="K51" s="29">
        <v>299926</v>
      </c>
      <c r="L51" s="43">
        <v>275248</v>
      </c>
      <c r="M51" s="29">
        <v>300542</v>
      </c>
      <c r="N51" s="29">
        <v>303882</v>
      </c>
      <c r="O51" s="29">
        <v>274040</v>
      </c>
      <c r="P51" s="29">
        <v>287928</v>
      </c>
      <c r="Q51" s="43">
        <v>272180</v>
      </c>
      <c r="R51" s="59">
        <v>265972</v>
      </c>
      <c r="S51" s="78">
        <f t="shared" si="1"/>
        <v>4847365</v>
      </c>
      <c r="T51" s="43">
        <v>438590</v>
      </c>
      <c r="U51" s="29">
        <v>338408</v>
      </c>
      <c r="V51" s="29">
        <v>89385</v>
      </c>
      <c r="W51" s="43">
        <v>83190</v>
      </c>
      <c r="X51" s="29">
        <v>72240</v>
      </c>
      <c r="Y51" s="29">
        <v>81900</v>
      </c>
      <c r="Z51" s="29">
        <v>81900</v>
      </c>
      <c r="AA51" s="29">
        <v>76230</v>
      </c>
      <c r="AB51" s="59">
        <v>28636</v>
      </c>
      <c r="AC51" s="78">
        <f t="shared" si="2"/>
        <v>1290479</v>
      </c>
      <c r="AD51" s="92">
        <v>376686</v>
      </c>
      <c r="AE51" s="78">
        <f t="shared" si="3"/>
        <v>376686</v>
      </c>
      <c r="AF51" s="109">
        <v>6514530</v>
      </c>
      <c r="AG51" s="6"/>
      <c r="AH51" s="6"/>
      <c r="AI51" s="6"/>
      <c r="AJ51" s="6"/>
      <c r="AK51" s="6"/>
      <c r="AL51" s="6"/>
      <c r="AM51" s="6"/>
    </row>
    <row r="52" spans="1:39" x14ac:dyDescent="0.15">
      <c r="A52" s="27" t="s">
        <v>53</v>
      </c>
      <c r="B52" s="28">
        <v>5340</v>
      </c>
      <c r="C52" s="28">
        <v>7682</v>
      </c>
      <c r="D52" s="28">
        <v>2219</v>
      </c>
      <c r="E52" s="28">
        <v>11091</v>
      </c>
      <c r="F52" s="28">
        <v>2670</v>
      </c>
      <c r="G52" s="44">
        <v>4991</v>
      </c>
      <c r="H52" s="28">
        <v>2773</v>
      </c>
      <c r="I52" s="28">
        <v>6614</v>
      </c>
      <c r="J52" s="28">
        <v>2219</v>
      </c>
      <c r="K52" s="28">
        <v>2136</v>
      </c>
      <c r="L52" s="44">
        <v>1027</v>
      </c>
      <c r="M52" s="28">
        <v>2670</v>
      </c>
      <c r="N52" s="28">
        <v>4108</v>
      </c>
      <c r="O52" s="28">
        <v>4314</v>
      </c>
      <c r="P52" s="28">
        <v>3451</v>
      </c>
      <c r="Q52" s="44">
        <v>6655</v>
      </c>
      <c r="R52" s="60">
        <v>2835</v>
      </c>
      <c r="S52" s="79">
        <f t="shared" si="1"/>
        <v>72795</v>
      </c>
      <c r="T52" s="44">
        <v>7086</v>
      </c>
      <c r="U52" s="28">
        <v>4437</v>
      </c>
      <c r="V52" s="28">
        <v>2465</v>
      </c>
      <c r="W52" s="44">
        <v>1438</v>
      </c>
      <c r="X52" s="28">
        <v>6614</v>
      </c>
      <c r="Y52" s="28">
        <v>2465</v>
      </c>
      <c r="Z52" s="28">
        <v>3081</v>
      </c>
      <c r="AA52" s="28">
        <v>3615</v>
      </c>
      <c r="AB52" s="60">
        <v>1068</v>
      </c>
      <c r="AC52" s="79">
        <f t="shared" si="2"/>
        <v>32269</v>
      </c>
      <c r="AD52" s="93">
        <v>6408</v>
      </c>
      <c r="AE52" s="79">
        <f t="shared" si="3"/>
        <v>6408</v>
      </c>
      <c r="AF52" s="110">
        <v>111472</v>
      </c>
      <c r="AG52" s="6"/>
      <c r="AH52" s="6"/>
      <c r="AI52" s="6"/>
      <c r="AJ52" s="6"/>
      <c r="AK52" s="6"/>
      <c r="AL52" s="6"/>
      <c r="AM52" s="6"/>
    </row>
    <row r="53" spans="1:39" ht="14.25" thickBot="1" x14ac:dyDescent="0.2">
      <c r="A53" s="30" t="s">
        <v>54</v>
      </c>
      <c r="B53" s="31">
        <v>5340</v>
      </c>
      <c r="C53" s="31">
        <v>7682</v>
      </c>
      <c r="D53" s="31">
        <v>2219</v>
      </c>
      <c r="E53" s="31">
        <v>11091</v>
      </c>
      <c r="F53" s="31">
        <v>2670</v>
      </c>
      <c r="G53" s="45">
        <v>4991</v>
      </c>
      <c r="H53" s="31">
        <v>2773</v>
      </c>
      <c r="I53" s="31">
        <v>6614</v>
      </c>
      <c r="J53" s="31">
        <v>2219</v>
      </c>
      <c r="K53" s="31">
        <v>2136</v>
      </c>
      <c r="L53" s="45">
        <v>1027</v>
      </c>
      <c r="M53" s="31">
        <v>2670</v>
      </c>
      <c r="N53" s="31">
        <v>4108</v>
      </c>
      <c r="O53" s="31">
        <v>4314</v>
      </c>
      <c r="P53" s="31">
        <v>3451</v>
      </c>
      <c r="Q53" s="45">
        <v>6655</v>
      </c>
      <c r="R53" s="61">
        <v>2835</v>
      </c>
      <c r="S53" s="80">
        <f t="shared" si="1"/>
        <v>72795</v>
      </c>
      <c r="T53" s="45">
        <v>7086</v>
      </c>
      <c r="U53" s="31">
        <v>4437</v>
      </c>
      <c r="V53" s="31">
        <v>2465</v>
      </c>
      <c r="W53" s="45">
        <v>1438</v>
      </c>
      <c r="X53" s="31">
        <v>6614</v>
      </c>
      <c r="Y53" s="31">
        <v>2465</v>
      </c>
      <c r="Z53" s="31">
        <v>3081</v>
      </c>
      <c r="AA53" s="31">
        <v>3615</v>
      </c>
      <c r="AB53" s="61">
        <v>1068</v>
      </c>
      <c r="AC53" s="80">
        <f t="shared" si="2"/>
        <v>32269</v>
      </c>
      <c r="AD53" s="94">
        <v>6408</v>
      </c>
      <c r="AE53" s="80">
        <f t="shared" si="3"/>
        <v>6408</v>
      </c>
      <c r="AF53" s="111">
        <v>111472</v>
      </c>
    </row>
    <row r="54" spans="1:39" ht="14.25" thickBot="1" x14ac:dyDescent="0.2">
      <c r="A54" s="32" t="s">
        <v>55</v>
      </c>
      <c r="B54" s="33">
        <v>349374</v>
      </c>
      <c r="C54" s="33">
        <v>280521</v>
      </c>
      <c r="D54" s="33">
        <v>56130</v>
      </c>
      <c r="E54" s="33">
        <v>307913</v>
      </c>
      <c r="F54" s="33">
        <v>313822</v>
      </c>
      <c r="G54" s="46">
        <v>377838</v>
      </c>
      <c r="H54" s="33">
        <v>398072</v>
      </c>
      <c r="I54" s="33">
        <v>134311</v>
      </c>
      <c r="J54" s="33">
        <v>395265</v>
      </c>
      <c r="K54" s="33">
        <v>302062</v>
      </c>
      <c r="L54" s="46">
        <v>276275</v>
      </c>
      <c r="M54" s="33">
        <v>303212</v>
      </c>
      <c r="N54" s="33">
        <v>307990</v>
      </c>
      <c r="O54" s="33">
        <v>278354</v>
      </c>
      <c r="P54" s="33">
        <v>291379</v>
      </c>
      <c r="Q54" s="46">
        <v>278835</v>
      </c>
      <c r="R54" s="62">
        <v>268807</v>
      </c>
      <c r="S54" s="81">
        <f t="shared" si="1"/>
        <v>4920160</v>
      </c>
      <c r="T54" s="46">
        <v>445676</v>
      </c>
      <c r="U54" s="33">
        <v>342845</v>
      </c>
      <c r="V54" s="33">
        <v>91850</v>
      </c>
      <c r="W54" s="46">
        <v>84628</v>
      </c>
      <c r="X54" s="33">
        <v>78854</v>
      </c>
      <c r="Y54" s="33">
        <v>84365</v>
      </c>
      <c r="Z54" s="33">
        <v>84981</v>
      </c>
      <c r="AA54" s="33">
        <v>79845</v>
      </c>
      <c r="AB54" s="62">
        <v>29704</v>
      </c>
      <c r="AC54" s="81">
        <f t="shared" si="2"/>
        <v>1322748</v>
      </c>
      <c r="AD54" s="95">
        <v>383094</v>
      </c>
      <c r="AE54" s="81">
        <f t="shared" si="3"/>
        <v>383094</v>
      </c>
      <c r="AF54" s="112">
        <v>6626002</v>
      </c>
    </row>
    <row r="55" spans="1:39" x14ac:dyDescent="0.15">
      <c r="A55" s="27" t="s">
        <v>56</v>
      </c>
      <c r="B55" s="28">
        <v>16320</v>
      </c>
      <c r="C55" s="28">
        <v>12240</v>
      </c>
      <c r="D55" s="28">
        <v>0</v>
      </c>
      <c r="E55" s="28">
        <v>15300</v>
      </c>
      <c r="F55" s="28">
        <v>16320</v>
      </c>
      <c r="G55" s="44">
        <v>17340</v>
      </c>
      <c r="H55" s="28">
        <v>19380</v>
      </c>
      <c r="I55" s="28">
        <v>17340</v>
      </c>
      <c r="J55" s="28">
        <v>19380</v>
      </c>
      <c r="K55" s="28">
        <v>16320</v>
      </c>
      <c r="L55" s="44">
        <v>15300</v>
      </c>
      <c r="M55" s="28">
        <v>15300</v>
      </c>
      <c r="N55" s="28">
        <v>16320</v>
      </c>
      <c r="O55" s="28">
        <v>14280</v>
      </c>
      <c r="P55" s="28">
        <v>16320</v>
      </c>
      <c r="Q55" s="44">
        <v>15300</v>
      </c>
      <c r="R55" s="60">
        <v>15300</v>
      </c>
      <c r="S55" s="79">
        <f t="shared" si="1"/>
        <v>258060</v>
      </c>
      <c r="T55" s="44">
        <v>25500</v>
      </c>
      <c r="U55" s="28">
        <v>18360</v>
      </c>
      <c r="V55" s="28">
        <v>0</v>
      </c>
      <c r="W55" s="44">
        <v>0</v>
      </c>
      <c r="X55" s="28">
        <v>0</v>
      </c>
      <c r="Y55" s="28">
        <v>0</v>
      </c>
      <c r="Z55" s="28">
        <v>0</v>
      </c>
      <c r="AA55" s="28">
        <v>0</v>
      </c>
      <c r="AB55" s="60">
        <v>0</v>
      </c>
      <c r="AC55" s="79">
        <f t="shared" si="2"/>
        <v>43860</v>
      </c>
      <c r="AD55" s="93">
        <v>18360</v>
      </c>
      <c r="AE55" s="79">
        <f t="shared" si="3"/>
        <v>18360</v>
      </c>
      <c r="AF55" s="110">
        <v>320280</v>
      </c>
    </row>
    <row r="56" spans="1:39" x14ac:dyDescent="0.15">
      <c r="A56" s="14" t="s">
        <v>57</v>
      </c>
      <c r="B56" s="10">
        <v>2880</v>
      </c>
      <c r="C56" s="10">
        <v>2160</v>
      </c>
      <c r="D56" s="10">
        <v>0</v>
      </c>
      <c r="E56" s="10">
        <v>2700</v>
      </c>
      <c r="F56" s="10">
        <v>2880</v>
      </c>
      <c r="G56" s="42">
        <v>3060</v>
      </c>
      <c r="H56" s="10">
        <v>3420</v>
      </c>
      <c r="I56" s="10">
        <v>3060</v>
      </c>
      <c r="J56" s="10">
        <v>3420</v>
      </c>
      <c r="K56" s="10">
        <v>2880</v>
      </c>
      <c r="L56" s="42">
        <v>2700</v>
      </c>
      <c r="M56" s="10">
        <v>2700</v>
      </c>
      <c r="N56" s="10">
        <v>2880</v>
      </c>
      <c r="O56" s="10">
        <v>2520</v>
      </c>
      <c r="P56" s="10">
        <v>0</v>
      </c>
      <c r="Q56" s="42">
        <v>2700</v>
      </c>
      <c r="R56" s="58">
        <v>2700</v>
      </c>
      <c r="S56" s="77">
        <f t="shared" si="1"/>
        <v>42660</v>
      </c>
      <c r="T56" s="42">
        <v>0</v>
      </c>
      <c r="U56" s="10">
        <v>3240</v>
      </c>
      <c r="V56" s="10">
        <v>0</v>
      </c>
      <c r="W56" s="42">
        <v>0</v>
      </c>
      <c r="X56" s="10">
        <v>0</v>
      </c>
      <c r="Y56" s="10">
        <v>0</v>
      </c>
      <c r="Z56" s="10">
        <v>0</v>
      </c>
      <c r="AA56" s="10">
        <v>0</v>
      </c>
      <c r="AB56" s="58">
        <v>0</v>
      </c>
      <c r="AC56" s="77">
        <f t="shared" si="2"/>
        <v>3240</v>
      </c>
      <c r="AD56" s="91">
        <v>3240</v>
      </c>
      <c r="AE56" s="77">
        <f t="shared" si="3"/>
        <v>3240</v>
      </c>
      <c r="AF56" s="108">
        <v>49140</v>
      </c>
    </row>
    <row r="57" spans="1:39" x14ac:dyDescent="0.15">
      <c r="A57" s="14" t="s">
        <v>58</v>
      </c>
      <c r="B57" s="10">
        <v>29280</v>
      </c>
      <c r="C57" s="10">
        <v>21960</v>
      </c>
      <c r="D57" s="10">
        <v>0</v>
      </c>
      <c r="E57" s="10">
        <v>27450</v>
      </c>
      <c r="F57" s="10">
        <v>29280</v>
      </c>
      <c r="G57" s="42">
        <v>31110</v>
      </c>
      <c r="H57" s="10">
        <v>34770</v>
      </c>
      <c r="I57" s="10">
        <v>31110</v>
      </c>
      <c r="J57" s="10">
        <v>34770</v>
      </c>
      <c r="K57" s="10">
        <v>29280</v>
      </c>
      <c r="L57" s="42">
        <v>27450</v>
      </c>
      <c r="M57" s="10">
        <v>27450</v>
      </c>
      <c r="N57" s="10">
        <v>29280</v>
      </c>
      <c r="O57" s="10">
        <v>25620</v>
      </c>
      <c r="P57" s="10">
        <v>29280</v>
      </c>
      <c r="Q57" s="42">
        <v>27450</v>
      </c>
      <c r="R57" s="58">
        <v>27450</v>
      </c>
      <c r="S57" s="77">
        <f t="shared" si="1"/>
        <v>462990</v>
      </c>
      <c r="T57" s="42">
        <v>45750</v>
      </c>
      <c r="U57" s="10">
        <v>32940</v>
      </c>
      <c r="V57" s="10">
        <v>0</v>
      </c>
      <c r="W57" s="42">
        <v>0</v>
      </c>
      <c r="X57" s="10">
        <v>0</v>
      </c>
      <c r="Y57" s="10">
        <v>0</v>
      </c>
      <c r="Z57" s="10">
        <v>0</v>
      </c>
      <c r="AA57" s="10">
        <v>0</v>
      </c>
      <c r="AB57" s="58">
        <v>0</v>
      </c>
      <c r="AC57" s="77">
        <f t="shared" si="2"/>
        <v>78690</v>
      </c>
      <c r="AD57" s="91">
        <v>32940</v>
      </c>
      <c r="AE57" s="77">
        <f t="shared" si="3"/>
        <v>32940</v>
      </c>
      <c r="AF57" s="108">
        <v>574620</v>
      </c>
    </row>
    <row r="58" spans="1:39" x14ac:dyDescent="0.15">
      <c r="A58" s="14" t="s">
        <v>59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42">
        <v>0</v>
      </c>
      <c r="H58" s="10">
        <v>0</v>
      </c>
      <c r="I58" s="10">
        <v>0</v>
      </c>
      <c r="J58" s="10">
        <v>0</v>
      </c>
      <c r="K58" s="10">
        <v>0</v>
      </c>
      <c r="L58" s="42">
        <v>0</v>
      </c>
      <c r="M58" s="10">
        <v>0</v>
      </c>
      <c r="N58" s="10">
        <v>0</v>
      </c>
      <c r="O58" s="10">
        <v>0</v>
      </c>
      <c r="P58" s="10">
        <v>0</v>
      </c>
      <c r="Q58" s="42">
        <v>0</v>
      </c>
      <c r="R58" s="58">
        <v>0</v>
      </c>
      <c r="S58" s="77">
        <f t="shared" si="1"/>
        <v>0</v>
      </c>
      <c r="T58" s="42">
        <v>0</v>
      </c>
      <c r="U58" s="10">
        <v>0</v>
      </c>
      <c r="V58" s="10">
        <v>0</v>
      </c>
      <c r="W58" s="42">
        <v>0</v>
      </c>
      <c r="X58" s="10">
        <v>0</v>
      </c>
      <c r="Y58" s="10">
        <v>0</v>
      </c>
      <c r="Z58" s="10">
        <v>0</v>
      </c>
      <c r="AA58" s="10">
        <v>0</v>
      </c>
      <c r="AB58" s="58">
        <v>0</v>
      </c>
      <c r="AC58" s="77">
        <f t="shared" si="2"/>
        <v>0</v>
      </c>
      <c r="AD58" s="91">
        <v>0</v>
      </c>
      <c r="AE58" s="77">
        <f t="shared" si="3"/>
        <v>0</v>
      </c>
      <c r="AF58" s="108">
        <v>0</v>
      </c>
    </row>
    <row r="59" spans="1:39" x14ac:dyDescent="0.15">
      <c r="A59" s="14" t="s">
        <v>60</v>
      </c>
      <c r="B59" s="10">
        <v>1048</v>
      </c>
      <c r="C59" s="10">
        <v>842</v>
      </c>
      <c r="D59" s="10">
        <v>168</v>
      </c>
      <c r="E59" s="10">
        <v>924</v>
      </c>
      <c r="F59" s="10">
        <v>941</v>
      </c>
      <c r="G59" s="42">
        <v>1134</v>
      </c>
      <c r="H59" s="10">
        <v>1194</v>
      </c>
      <c r="I59" s="10">
        <v>403</v>
      </c>
      <c r="J59" s="10">
        <v>1186</v>
      </c>
      <c r="K59" s="10">
        <v>906</v>
      </c>
      <c r="L59" s="42">
        <v>829</v>
      </c>
      <c r="M59" s="10">
        <v>910</v>
      </c>
      <c r="N59" s="10">
        <v>924</v>
      </c>
      <c r="O59" s="10">
        <v>835</v>
      </c>
      <c r="P59" s="10">
        <v>874</v>
      </c>
      <c r="Q59" s="42">
        <v>837</v>
      </c>
      <c r="R59" s="58">
        <v>806</v>
      </c>
      <c r="S59" s="77">
        <f t="shared" si="1"/>
        <v>14761</v>
      </c>
      <c r="T59" s="42">
        <v>1337</v>
      </c>
      <c r="U59" s="10">
        <v>1029</v>
      </c>
      <c r="V59" s="10">
        <v>276</v>
      </c>
      <c r="W59" s="42">
        <v>254</v>
      </c>
      <c r="X59" s="12" t="s">
        <v>98</v>
      </c>
      <c r="Y59" s="12" t="s">
        <v>98</v>
      </c>
      <c r="Z59" s="12" t="s">
        <v>98</v>
      </c>
      <c r="AA59" s="12" t="s">
        <v>98</v>
      </c>
      <c r="AB59" s="64" t="s">
        <v>98</v>
      </c>
      <c r="AC59" s="77">
        <f t="shared" si="2"/>
        <v>2896</v>
      </c>
      <c r="AD59" s="91">
        <v>1149</v>
      </c>
      <c r="AE59" s="77">
        <f t="shared" si="3"/>
        <v>1149</v>
      </c>
      <c r="AF59" s="108">
        <v>18806</v>
      </c>
    </row>
    <row r="60" spans="1:39" x14ac:dyDescent="0.15">
      <c r="A60" s="14" t="s">
        <v>61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42">
        <v>0</v>
      </c>
      <c r="H60" s="10">
        <v>0</v>
      </c>
      <c r="I60" s="10">
        <v>0</v>
      </c>
      <c r="J60" s="10">
        <v>0</v>
      </c>
      <c r="K60" s="10">
        <v>0</v>
      </c>
      <c r="L60" s="42">
        <v>0</v>
      </c>
      <c r="M60" s="10">
        <v>0</v>
      </c>
      <c r="N60" s="10">
        <v>0</v>
      </c>
      <c r="O60" s="10">
        <v>0</v>
      </c>
      <c r="P60" s="10">
        <v>0</v>
      </c>
      <c r="Q60" s="42">
        <v>0</v>
      </c>
      <c r="R60" s="58">
        <v>0</v>
      </c>
      <c r="S60" s="77">
        <f t="shared" si="1"/>
        <v>0</v>
      </c>
      <c r="T60" s="42">
        <v>0</v>
      </c>
      <c r="U60" s="10">
        <v>0</v>
      </c>
      <c r="V60" s="10">
        <v>0</v>
      </c>
      <c r="W60" s="42">
        <v>0</v>
      </c>
      <c r="X60" s="10">
        <v>0</v>
      </c>
      <c r="Y60" s="10">
        <v>0</v>
      </c>
      <c r="Z60" s="10">
        <v>0</v>
      </c>
      <c r="AA60" s="10">
        <v>0</v>
      </c>
      <c r="AB60" s="58">
        <v>0</v>
      </c>
      <c r="AC60" s="77">
        <f t="shared" si="2"/>
        <v>0</v>
      </c>
      <c r="AD60" s="91">
        <v>0</v>
      </c>
      <c r="AE60" s="77">
        <f t="shared" si="3"/>
        <v>0</v>
      </c>
      <c r="AF60" s="108">
        <v>0</v>
      </c>
    </row>
    <row r="61" spans="1:39" ht="14.25" thickBot="1" x14ac:dyDescent="0.2">
      <c r="A61" s="30" t="s">
        <v>62</v>
      </c>
      <c r="B61" s="31">
        <v>49528</v>
      </c>
      <c r="C61" s="31">
        <v>37202</v>
      </c>
      <c r="D61" s="31">
        <v>168</v>
      </c>
      <c r="E61" s="31">
        <v>46374</v>
      </c>
      <c r="F61" s="31">
        <v>49421</v>
      </c>
      <c r="G61" s="45">
        <v>52644</v>
      </c>
      <c r="H61" s="31">
        <v>58764</v>
      </c>
      <c r="I61" s="31">
        <v>51913</v>
      </c>
      <c r="J61" s="31">
        <v>58756</v>
      </c>
      <c r="K61" s="31">
        <v>49386</v>
      </c>
      <c r="L61" s="45">
        <v>46279</v>
      </c>
      <c r="M61" s="31">
        <v>46360</v>
      </c>
      <c r="N61" s="31">
        <v>49404</v>
      </c>
      <c r="O61" s="31">
        <v>43255</v>
      </c>
      <c r="P61" s="31">
        <v>46474</v>
      </c>
      <c r="Q61" s="45">
        <v>46287</v>
      </c>
      <c r="R61" s="61">
        <v>46256</v>
      </c>
      <c r="S61" s="80">
        <f t="shared" si="1"/>
        <v>778471</v>
      </c>
      <c r="T61" s="45">
        <v>72587</v>
      </c>
      <c r="U61" s="31">
        <v>55569</v>
      </c>
      <c r="V61" s="31">
        <v>276</v>
      </c>
      <c r="W61" s="45">
        <v>254</v>
      </c>
      <c r="X61" s="31">
        <v>0</v>
      </c>
      <c r="Y61" s="31">
        <v>0</v>
      </c>
      <c r="Z61" s="31">
        <v>0</v>
      </c>
      <c r="AA61" s="31">
        <v>0</v>
      </c>
      <c r="AB61" s="61">
        <v>0</v>
      </c>
      <c r="AC61" s="80">
        <f t="shared" si="2"/>
        <v>128686</v>
      </c>
      <c r="AD61" s="94">
        <v>55689</v>
      </c>
      <c r="AE61" s="80">
        <f t="shared" si="3"/>
        <v>55689</v>
      </c>
      <c r="AF61" s="111">
        <v>962846</v>
      </c>
    </row>
    <row r="62" spans="1:39" ht="14.25" thickBot="1" x14ac:dyDescent="0.2">
      <c r="A62" s="32" t="s">
        <v>63</v>
      </c>
      <c r="B62" s="33">
        <v>294506</v>
      </c>
      <c r="C62" s="33">
        <v>235637</v>
      </c>
      <c r="D62" s="33">
        <v>53743</v>
      </c>
      <c r="E62" s="33">
        <v>250448</v>
      </c>
      <c r="F62" s="33">
        <v>261731</v>
      </c>
      <c r="G62" s="46">
        <v>320203</v>
      </c>
      <c r="H62" s="33">
        <v>336535</v>
      </c>
      <c r="I62" s="33">
        <v>75784</v>
      </c>
      <c r="J62" s="33">
        <v>334290</v>
      </c>
      <c r="K62" s="33">
        <v>250540</v>
      </c>
      <c r="L62" s="46">
        <v>228969</v>
      </c>
      <c r="M62" s="33">
        <v>254182</v>
      </c>
      <c r="N62" s="33">
        <v>254478</v>
      </c>
      <c r="O62" s="33">
        <v>230785</v>
      </c>
      <c r="P62" s="33">
        <v>241454</v>
      </c>
      <c r="Q62" s="46">
        <v>225893</v>
      </c>
      <c r="R62" s="62">
        <v>219716</v>
      </c>
      <c r="S62" s="81">
        <f t="shared" si="1"/>
        <v>4068894</v>
      </c>
      <c r="T62" s="46">
        <v>366003</v>
      </c>
      <c r="U62" s="33">
        <v>282839</v>
      </c>
      <c r="V62" s="33">
        <v>89109</v>
      </c>
      <c r="W62" s="46">
        <v>82936</v>
      </c>
      <c r="X62" s="33">
        <v>72240</v>
      </c>
      <c r="Y62" s="33">
        <v>81900</v>
      </c>
      <c r="Z62" s="33">
        <v>81900</v>
      </c>
      <c r="AA62" s="33">
        <v>76230</v>
      </c>
      <c r="AB62" s="62">
        <v>28636</v>
      </c>
      <c r="AC62" s="81">
        <f t="shared" si="2"/>
        <v>1161793</v>
      </c>
      <c r="AD62" s="95">
        <v>320997</v>
      </c>
      <c r="AE62" s="81">
        <f t="shared" si="3"/>
        <v>320997</v>
      </c>
      <c r="AF62" s="112">
        <v>5551684</v>
      </c>
    </row>
    <row r="63" spans="1:39" x14ac:dyDescent="0.15">
      <c r="A63" s="27" t="s">
        <v>64</v>
      </c>
      <c r="B63" s="28">
        <v>3290</v>
      </c>
      <c r="C63" s="28">
        <v>6040</v>
      </c>
      <c r="D63" s="28">
        <v>0</v>
      </c>
      <c r="E63" s="28">
        <v>4950</v>
      </c>
      <c r="F63" s="28">
        <v>6970</v>
      </c>
      <c r="G63" s="44">
        <v>7550</v>
      </c>
      <c r="H63" s="28">
        <v>11360</v>
      </c>
      <c r="I63" s="28">
        <v>0</v>
      </c>
      <c r="J63" s="28">
        <v>11180</v>
      </c>
      <c r="K63" s="28">
        <v>6570</v>
      </c>
      <c r="L63" s="44">
        <v>4180</v>
      </c>
      <c r="M63" s="28">
        <v>6700</v>
      </c>
      <c r="N63" s="28">
        <v>6710</v>
      </c>
      <c r="O63" s="28">
        <v>5860</v>
      </c>
      <c r="P63" s="28">
        <v>6250</v>
      </c>
      <c r="Q63" s="44">
        <v>5690</v>
      </c>
      <c r="R63" s="60">
        <v>5470</v>
      </c>
      <c r="S63" s="79">
        <f t="shared" si="1"/>
        <v>98770</v>
      </c>
      <c r="T63" s="44">
        <v>10540</v>
      </c>
      <c r="U63" s="28">
        <v>6110</v>
      </c>
      <c r="V63" s="28">
        <v>170</v>
      </c>
      <c r="W63" s="44">
        <v>0</v>
      </c>
      <c r="X63" s="28">
        <v>0</v>
      </c>
      <c r="Y63" s="28">
        <v>0</v>
      </c>
      <c r="Z63" s="28">
        <v>0</v>
      </c>
      <c r="AA63" s="28">
        <v>0</v>
      </c>
      <c r="AB63" s="60">
        <v>0</v>
      </c>
      <c r="AC63" s="79">
        <f t="shared" si="2"/>
        <v>16820</v>
      </c>
      <c r="AD63" s="93">
        <v>10100</v>
      </c>
      <c r="AE63" s="79">
        <f t="shared" si="3"/>
        <v>10100</v>
      </c>
      <c r="AF63" s="110">
        <v>125690</v>
      </c>
    </row>
    <row r="64" spans="1:39" x14ac:dyDescent="0.15">
      <c r="A64" s="14" t="s">
        <v>65</v>
      </c>
      <c r="B64" s="10">
        <v>1300</v>
      </c>
      <c r="C64" s="10">
        <v>0</v>
      </c>
      <c r="D64" s="10">
        <v>0</v>
      </c>
      <c r="E64" s="10">
        <v>1300</v>
      </c>
      <c r="F64" s="10">
        <v>1300</v>
      </c>
      <c r="G64" s="42">
        <v>1300</v>
      </c>
      <c r="H64" s="10">
        <v>0</v>
      </c>
      <c r="I64" s="10">
        <v>1300</v>
      </c>
      <c r="J64" s="10">
        <v>1300</v>
      </c>
      <c r="K64" s="10">
        <v>1300</v>
      </c>
      <c r="L64" s="42">
        <v>1300</v>
      </c>
      <c r="M64" s="10">
        <v>1300</v>
      </c>
      <c r="N64" s="10">
        <v>1300</v>
      </c>
      <c r="O64" s="10">
        <v>0</v>
      </c>
      <c r="P64" s="10">
        <v>0</v>
      </c>
      <c r="Q64" s="42">
        <v>1300</v>
      </c>
      <c r="R64" s="58">
        <v>1300</v>
      </c>
      <c r="S64" s="77">
        <f t="shared" si="1"/>
        <v>15600</v>
      </c>
      <c r="T64" s="42">
        <v>0</v>
      </c>
      <c r="U64" s="10">
        <v>0</v>
      </c>
      <c r="V64" s="10">
        <v>0</v>
      </c>
      <c r="W64" s="42">
        <v>0</v>
      </c>
      <c r="X64" s="10">
        <v>0</v>
      </c>
      <c r="Y64" s="10">
        <v>0</v>
      </c>
      <c r="Z64" s="10">
        <v>0</v>
      </c>
      <c r="AA64" s="10">
        <v>0</v>
      </c>
      <c r="AB64" s="58">
        <v>0</v>
      </c>
      <c r="AC64" s="77">
        <f t="shared" si="2"/>
        <v>0</v>
      </c>
      <c r="AD64" s="91">
        <v>0</v>
      </c>
      <c r="AE64" s="77">
        <f t="shared" si="3"/>
        <v>0</v>
      </c>
      <c r="AF64" s="108">
        <v>15600</v>
      </c>
    </row>
    <row r="65" spans="1:32" x14ac:dyDescent="0.15">
      <c r="A65" s="14" t="s">
        <v>66</v>
      </c>
      <c r="B65" s="10">
        <v>2400</v>
      </c>
      <c r="C65" s="10">
        <v>0</v>
      </c>
      <c r="D65" s="10">
        <v>0</v>
      </c>
      <c r="E65" s="10">
        <v>8100</v>
      </c>
      <c r="F65" s="10">
        <v>14700</v>
      </c>
      <c r="G65" s="42">
        <v>13700</v>
      </c>
      <c r="H65" s="10">
        <v>16600</v>
      </c>
      <c r="I65" s="10">
        <v>13400</v>
      </c>
      <c r="J65" s="10">
        <v>17300</v>
      </c>
      <c r="K65" s="10">
        <v>13600</v>
      </c>
      <c r="L65" s="42">
        <v>8100</v>
      </c>
      <c r="M65" s="10">
        <v>13300</v>
      </c>
      <c r="N65" s="10">
        <v>9200</v>
      </c>
      <c r="O65" s="10">
        <v>9600</v>
      </c>
      <c r="P65" s="10">
        <v>13700</v>
      </c>
      <c r="Q65" s="42">
        <v>12300</v>
      </c>
      <c r="R65" s="58">
        <v>11200</v>
      </c>
      <c r="S65" s="77">
        <f t="shared" si="1"/>
        <v>177200</v>
      </c>
      <c r="T65" s="42">
        <v>26900</v>
      </c>
      <c r="U65" s="10">
        <v>15000</v>
      </c>
      <c r="V65" s="10">
        <v>600</v>
      </c>
      <c r="W65" s="42">
        <v>0</v>
      </c>
      <c r="X65" s="10">
        <v>1100</v>
      </c>
      <c r="Y65" s="10">
        <v>0</v>
      </c>
      <c r="Z65" s="10">
        <v>3500</v>
      </c>
      <c r="AA65" s="10">
        <v>0</v>
      </c>
      <c r="AB65" s="58">
        <v>0</v>
      </c>
      <c r="AC65" s="77">
        <f t="shared" si="2"/>
        <v>47100</v>
      </c>
      <c r="AD65" s="91">
        <v>15600</v>
      </c>
      <c r="AE65" s="77">
        <f t="shared" si="3"/>
        <v>15600</v>
      </c>
      <c r="AF65" s="108">
        <v>239900</v>
      </c>
    </row>
    <row r="66" spans="1:32" x14ac:dyDescent="0.15">
      <c r="A66" s="14" t="s">
        <v>67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42">
        <v>0</v>
      </c>
      <c r="H66" s="10">
        <v>10000</v>
      </c>
      <c r="I66" s="10">
        <v>0</v>
      </c>
      <c r="J66" s="10">
        <v>0</v>
      </c>
      <c r="K66" s="10">
        <v>0</v>
      </c>
      <c r="L66" s="42">
        <v>0</v>
      </c>
      <c r="M66" s="10">
        <v>0</v>
      </c>
      <c r="N66" s="10">
        <v>0</v>
      </c>
      <c r="O66" s="10">
        <v>0</v>
      </c>
      <c r="P66" s="10">
        <v>0</v>
      </c>
      <c r="Q66" s="42">
        <v>0</v>
      </c>
      <c r="R66" s="58">
        <v>0</v>
      </c>
      <c r="S66" s="77">
        <f t="shared" si="1"/>
        <v>10000</v>
      </c>
      <c r="T66" s="42">
        <v>0</v>
      </c>
      <c r="U66" s="10">
        <v>0</v>
      </c>
      <c r="V66" s="10">
        <v>0</v>
      </c>
      <c r="W66" s="42">
        <v>0</v>
      </c>
      <c r="X66" s="10">
        <v>0</v>
      </c>
      <c r="Y66" s="10">
        <v>0</v>
      </c>
      <c r="Z66" s="10">
        <v>0</v>
      </c>
      <c r="AA66" s="10">
        <v>0</v>
      </c>
      <c r="AB66" s="58">
        <v>0</v>
      </c>
      <c r="AC66" s="77">
        <f t="shared" si="2"/>
        <v>0</v>
      </c>
      <c r="AD66" s="91">
        <v>0</v>
      </c>
      <c r="AE66" s="77">
        <f t="shared" si="3"/>
        <v>0</v>
      </c>
      <c r="AF66" s="108">
        <v>10000</v>
      </c>
    </row>
    <row r="67" spans="1:32" x14ac:dyDescent="0.15">
      <c r="A67" s="14" t="s">
        <v>68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42">
        <v>0</v>
      </c>
      <c r="H67" s="10">
        <v>0</v>
      </c>
      <c r="I67" s="10">
        <v>0</v>
      </c>
      <c r="J67" s="10">
        <v>0</v>
      </c>
      <c r="K67" s="10">
        <v>0</v>
      </c>
      <c r="L67" s="42">
        <v>0</v>
      </c>
      <c r="M67" s="10">
        <v>0</v>
      </c>
      <c r="N67" s="10">
        <v>0</v>
      </c>
      <c r="O67" s="10">
        <v>0</v>
      </c>
      <c r="P67" s="10">
        <v>0</v>
      </c>
      <c r="Q67" s="42">
        <v>0</v>
      </c>
      <c r="R67" s="58">
        <v>0</v>
      </c>
      <c r="S67" s="77">
        <f t="shared" si="1"/>
        <v>0</v>
      </c>
      <c r="T67" s="42">
        <v>0</v>
      </c>
      <c r="U67" s="10">
        <v>0</v>
      </c>
      <c r="V67" s="10">
        <v>0</v>
      </c>
      <c r="W67" s="42">
        <v>0</v>
      </c>
      <c r="X67" s="10">
        <v>0</v>
      </c>
      <c r="Y67" s="10">
        <v>0</v>
      </c>
      <c r="Z67" s="10">
        <v>0</v>
      </c>
      <c r="AA67" s="10">
        <v>0</v>
      </c>
      <c r="AB67" s="58">
        <v>0</v>
      </c>
      <c r="AC67" s="77">
        <f t="shared" si="2"/>
        <v>0</v>
      </c>
      <c r="AD67" s="91">
        <v>0</v>
      </c>
      <c r="AE67" s="77">
        <f t="shared" si="3"/>
        <v>0</v>
      </c>
      <c r="AF67" s="108">
        <v>0</v>
      </c>
    </row>
    <row r="68" spans="1:32" x14ac:dyDescent="0.15">
      <c r="A68" s="14" t="s">
        <v>69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42">
        <v>0</v>
      </c>
      <c r="H68" s="10">
        <v>0</v>
      </c>
      <c r="I68" s="10">
        <v>0</v>
      </c>
      <c r="J68" s="10">
        <v>0</v>
      </c>
      <c r="K68" s="10">
        <v>0</v>
      </c>
      <c r="L68" s="42">
        <v>0</v>
      </c>
      <c r="M68" s="10">
        <v>0</v>
      </c>
      <c r="N68" s="10">
        <v>0</v>
      </c>
      <c r="O68" s="10">
        <v>0</v>
      </c>
      <c r="P68" s="10">
        <v>0</v>
      </c>
      <c r="Q68" s="42">
        <v>0</v>
      </c>
      <c r="R68" s="58">
        <v>0</v>
      </c>
      <c r="S68" s="77">
        <f t="shared" si="1"/>
        <v>0</v>
      </c>
      <c r="T68" s="42">
        <v>0</v>
      </c>
      <c r="U68" s="10">
        <v>0</v>
      </c>
      <c r="V68" s="10">
        <v>0</v>
      </c>
      <c r="W68" s="42">
        <v>0</v>
      </c>
      <c r="X68" s="10">
        <v>0</v>
      </c>
      <c r="Y68" s="10">
        <v>0</v>
      </c>
      <c r="Z68" s="10">
        <v>0</v>
      </c>
      <c r="AA68" s="10">
        <v>0</v>
      </c>
      <c r="AB68" s="58">
        <v>0</v>
      </c>
      <c r="AC68" s="77">
        <f t="shared" si="2"/>
        <v>0</v>
      </c>
      <c r="AD68" s="91">
        <v>0</v>
      </c>
      <c r="AE68" s="77">
        <f t="shared" si="3"/>
        <v>0</v>
      </c>
      <c r="AF68" s="108">
        <v>0</v>
      </c>
    </row>
    <row r="69" spans="1:32" ht="14.25" thickBot="1" x14ac:dyDescent="0.2">
      <c r="A69" s="30" t="s">
        <v>70</v>
      </c>
      <c r="B69" s="31">
        <v>6990</v>
      </c>
      <c r="C69" s="31">
        <v>6040</v>
      </c>
      <c r="D69" s="31">
        <v>0</v>
      </c>
      <c r="E69" s="31">
        <v>14350</v>
      </c>
      <c r="F69" s="31">
        <v>22970</v>
      </c>
      <c r="G69" s="45">
        <v>22550</v>
      </c>
      <c r="H69" s="31">
        <v>37960</v>
      </c>
      <c r="I69" s="31">
        <v>14700</v>
      </c>
      <c r="J69" s="31">
        <v>29780</v>
      </c>
      <c r="K69" s="31">
        <v>21470</v>
      </c>
      <c r="L69" s="45">
        <v>13580</v>
      </c>
      <c r="M69" s="31">
        <v>21300</v>
      </c>
      <c r="N69" s="31">
        <v>17210</v>
      </c>
      <c r="O69" s="31">
        <v>15460</v>
      </c>
      <c r="P69" s="31">
        <v>19950</v>
      </c>
      <c r="Q69" s="45">
        <v>19290</v>
      </c>
      <c r="R69" s="61">
        <v>17970</v>
      </c>
      <c r="S69" s="80">
        <f t="shared" si="1"/>
        <v>301570</v>
      </c>
      <c r="T69" s="45">
        <v>37440</v>
      </c>
      <c r="U69" s="31">
        <v>21110</v>
      </c>
      <c r="V69" s="31">
        <v>770</v>
      </c>
      <c r="W69" s="45">
        <v>0</v>
      </c>
      <c r="X69" s="31">
        <v>1100</v>
      </c>
      <c r="Y69" s="31">
        <v>0</v>
      </c>
      <c r="Z69" s="31">
        <v>3500</v>
      </c>
      <c r="AA69" s="31">
        <v>0</v>
      </c>
      <c r="AB69" s="61">
        <v>0</v>
      </c>
      <c r="AC69" s="80">
        <f t="shared" si="2"/>
        <v>63920</v>
      </c>
      <c r="AD69" s="94">
        <v>25700</v>
      </c>
      <c r="AE69" s="80">
        <f t="shared" si="3"/>
        <v>25700</v>
      </c>
      <c r="AF69" s="111">
        <v>391190</v>
      </c>
    </row>
    <row r="70" spans="1:32" ht="14.25" thickBot="1" x14ac:dyDescent="0.2">
      <c r="A70" s="32" t="s">
        <v>71</v>
      </c>
      <c r="B70" s="33">
        <v>56518</v>
      </c>
      <c r="C70" s="33">
        <v>43242</v>
      </c>
      <c r="D70" s="33">
        <v>168</v>
      </c>
      <c r="E70" s="33">
        <v>60724</v>
      </c>
      <c r="F70" s="33">
        <v>72391</v>
      </c>
      <c r="G70" s="46">
        <v>75194</v>
      </c>
      <c r="H70" s="33">
        <v>96724</v>
      </c>
      <c r="I70" s="33">
        <v>66613</v>
      </c>
      <c r="J70" s="33">
        <v>88536</v>
      </c>
      <c r="K70" s="33">
        <v>70856</v>
      </c>
      <c r="L70" s="46">
        <v>59859</v>
      </c>
      <c r="M70" s="33">
        <v>67660</v>
      </c>
      <c r="N70" s="33">
        <v>66614</v>
      </c>
      <c r="O70" s="33">
        <v>58715</v>
      </c>
      <c r="P70" s="33">
        <v>66424</v>
      </c>
      <c r="Q70" s="46">
        <v>65577</v>
      </c>
      <c r="R70" s="62">
        <v>64226</v>
      </c>
      <c r="S70" s="81">
        <f t="shared" si="1"/>
        <v>1080041</v>
      </c>
      <c r="T70" s="46">
        <v>110027</v>
      </c>
      <c r="U70" s="33">
        <v>76679</v>
      </c>
      <c r="V70" s="33">
        <v>1046</v>
      </c>
      <c r="W70" s="46">
        <v>254</v>
      </c>
      <c r="X70" s="33">
        <v>1100</v>
      </c>
      <c r="Y70" s="33">
        <v>0</v>
      </c>
      <c r="Z70" s="33">
        <v>3500</v>
      </c>
      <c r="AA70" s="33">
        <v>0</v>
      </c>
      <c r="AB70" s="62">
        <v>0</v>
      </c>
      <c r="AC70" s="81">
        <f t="shared" si="2"/>
        <v>192606</v>
      </c>
      <c r="AD70" s="95">
        <v>81389</v>
      </c>
      <c r="AE70" s="81">
        <f t="shared" si="3"/>
        <v>81389</v>
      </c>
      <c r="AF70" s="112">
        <v>1354036</v>
      </c>
    </row>
    <row r="71" spans="1:32" ht="14.25" thickBot="1" x14ac:dyDescent="0.2">
      <c r="A71" s="32" t="s">
        <v>72</v>
      </c>
      <c r="B71" s="33">
        <v>292856</v>
      </c>
      <c r="C71" s="33">
        <v>237279</v>
      </c>
      <c r="D71" s="33">
        <v>55962</v>
      </c>
      <c r="E71" s="33">
        <v>247189</v>
      </c>
      <c r="F71" s="33">
        <v>241431</v>
      </c>
      <c r="G71" s="46">
        <v>302644</v>
      </c>
      <c r="H71" s="33">
        <v>301348</v>
      </c>
      <c r="I71" s="33">
        <v>67698</v>
      </c>
      <c r="J71" s="33">
        <v>306729</v>
      </c>
      <c r="K71" s="33">
        <v>231206</v>
      </c>
      <c r="L71" s="46">
        <v>216416</v>
      </c>
      <c r="M71" s="33">
        <v>235552</v>
      </c>
      <c r="N71" s="33">
        <v>241376</v>
      </c>
      <c r="O71" s="33">
        <v>219639</v>
      </c>
      <c r="P71" s="33">
        <v>224955</v>
      </c>
      <c r="Q71" s="46">
        <v>213258</v>
      </c>
      <c r="R71" s="62">
        <v>204581</v>
      </c>
      <c r="S71" s="81">
        <f t="shared" si="1"/>
        <v>3840119</v>
      </c>
      <c r="T71" s="46">
        <v>335649</v>
      </c>
      <c r="U71" s="33">
        <v>266166</v>
      </c>
      <c r="V71" s="33">
        <v>90804</v>
      </c>
      <c r="W71" s="46">
        <v>84374</v>
      </c>
      <c r="X71" s="33">
        <v>77754</v>
      </c>
      <c r="Y71" s="33">
        <v>84365</v>
      </c>
      <c r="Z71" s="33">
        <v>81481</v>
      </c>
      <c r="AA71" s="33">
        <v>79845</v>
      </c>
      <c r="AB71" s="62">
        <v>29704</v>
      </c>
      <c r="AC71" s="81">
        <f t="shared" si="2"/>
        <v>1130142</v>
      </c>
      <c r="AD71" s="95">
        <v>301705</v>
      </c>
      <c r="AE71" s="81">
        <f t="shared" si="3"/>
        <v>301705</v>
      </c>
      <c r="AF71" s="112">
        <v>5271966</v>
      </c>
    </row>
    <row r="72" spans="1:32" x14ac:dyDescent="0.15">
      <c r="A72" s="27" t="s">
        <v>73</v>
      </c>
      <c r="B72" s="28">
        <v>0</v>
      </c>
      <c r="C72" s="28">
        <v>0</v>
      </c>
      <c r="D72" s="28">
        <v>0</v>
      </c>
      <c r="E72" s="28">
        <v>0</v>
      </c>
      <c r="F72" s="28">
        <v>0</v>
      </c>
      <c r="G72" s="44">
        <v>0</v>
      </c>
      <c r="H72" s="28">
        <v>0</v>
      </c>
      <c r="I72" s="28">
        <v>0</v>
      </c>
      <c r="J72" s="28">
        <v>0</v>
      </c>
      <c r="K72" s="28">
        <v>0</v>
      </c>
      <c r="L72" s="44">
        <v>0</v>
      </c>
      <c r="M72" s="28">
        <v>0</v>
      </c>
      <c r="N72" s="28">
        <v>0</v>
      </c>
      <c r="O72" s="28">
        <v>0</v>
      </c>
      <c r="P72" s="28">
        <v>0</v>
      </c>
      <c r="Q72" s="44">
        <v>0</v>
      </c>
      <c r="R72" s="60">
        <v>0</v>
      </c>
      <c r="S72" s="79">
        <f t="shared" si="1"/>
        <v>0</v>
      </c>
      <c r="T72" s="44">
        <v>0</v>
      </c>
      <c r="U72" s="28">
        <v>0</v>
      </c>
      <c r="V72" s="28">
        <v>0</v>
      </c>
      <c r="W72" s="44">
        <v>0</v>
      </c>
      <c r="X72" s="28">
        <v>0</v>
      </c>
      <c r="Y72" s="28">
        <v>0</v>
      </c>
      <c r="Z72" s="28">
        <v>0</v>
      </c>
      <c r="AA72" s="28">
        <v>0</v>
      </c>
      <c r="AB72" s="60">
        <v>0</v>
      </c>
      <c r="AC72" s="79">
        <f t="shared" si="2"/>
        <v>0</v>
      </c>
      <c r="AD72" s="93">
        <v>0</v>
      </c>
      <c r="AE72" s="79">
        <f t="shared" si="3"/>
        <v>0</v>
      </c>
      <c r="AF72" s="110">
        <v>0</v>
      </c>
    </row>
    <row r="73" spans="1:32" x14ac:dyDescent="0.15">
      <c r="A73" s="14" t="s">
        <v>74</v>
      </c>
      <c r="B73" s="10">
        <v>292856</v>
      </c>
      <c r="C73" s="10">
        <v>237279</v>
      </c>
      <c r="D73" s="10">
        <v>55962</v>
      </c>
      <c r="E73" s="10">
        <v>247189</v>
      </c>
      <c r="F73" s="10">
        <v>241431</v>
      </c>
      <c r="G73" s="42">
        <v>302644</v>
      </c>
      <c r="H73" s="10">
        <v>301348</v>
      </c>
      <c r="I73" s="10">
        <v>67698</v>
      </c>
      <c r="J73" s="10">
        <v>306729</v>
      </c>
      <c r="K73" s="10">
        <v>231206</v>
      </c>
      <c r="L73" s="42">
        <v>216416</v>
      </c>
      <c r="M73" s="10">
        <v>235552</v>
      </c>
      <c r="N73" s="10">
        <v>241376</v>
      </c>
      <c r="O73" s="10">
        <v>219639</v>
      </c>
      <c r="P73" s="10">
        <v>224955</v>
      </c>
      <c r="Q73" s="42">
        <v>213258</v>
      </c>
      <c r="R73" s="58">
        <v>204581</v>
      </c>
      <c r="S73" s="77">
        <f t="shared" si="1"/>
        <v>3840119</v>
      </c>
      <c r="T73" s="42">
        <v>335649</v>
      </c>
      <c r="U73" s="10">
        <v>266166</v>
      </c>
      <c r="V73" s="10">
        <v>90804</v>
      </c>
      <c r="W73" s="42">
        <v>84374</v>
      </c>
      <c r="X73" s="10">
        <v>77754</v>
      </c>
      <c r="Y73" s="10">
        <v>84365</v>
      </c>
      <c r="Z73" s="10">
        <v>81481</v>
      </c>
      <c r="AA73" s="10">
        <v>79845</v>
      </c>
      <c r="AB73" s="58">
        <v>29704</v>
      </c>
      <c r="AC73" s="77">
        <f t="shared" si="2"/>
        <v>1130142</v>
      </c>
      <c r="AD73" s="91">
        <v>301705</v>
      </c>
      <c r="AE73" s="77">
        <f t="shared" si="3"/>
        <v>301705</v>
      </c>
      <c r="AF73" s="108">
        <v>5271966</v>
      </c>
    </row>
    <row r="74" spans="1:32" x14ac:dyDescent="0.15">
      <c r="A74" s="14" t="s">
        <v>75</v>
      </c>
      <c r="B74" s="11">
        <v>11</v>
      </c>
      <c r="C74" s="11">
        <v>8</v>
      </c>
      <c r="D74" s="11"/>
      <c r="E74" s="11">
        <v>30</v>
      </c>
      <c r="F74" s="11">
        <v>29</v>
      </c>
      <c r="G74" s="47">
        <v>35</v>
      </c>
      <c r="H74" s="11">
        <v>33</v>
      </c>
      <c r="I74" s="11">
        <v>24</v>
      </c>
      <c r="J74" s="11">
        <v>29</v>
      </c>
      <c r="K74" s="11">
        <v>32</v>
      </c>
      <c r="L74" s="47">
        <v>33</v>
      </c>
      <c r="M74" s="11">
        <v>14</v>
      </c>
      <c r="N74" s="11">
        <v>29</v>
      </c>
      <c r="O74" s="11">
        <v>5</v>
      </c>
      <c r="P74" s="11">
        <v>11</v>
      </c>
      <c r="Q74" s="47">
        <v>17</v>
      </c>
      <c r="R74" s="63">
        <v>8</v>
      </c>
      <c r="S74" s="82"/>
      <c r="T74" s="47">
        <v>35</v>
      </c>
      <c r="U74" s="11">
        <v>35</v>
      </c>
      <c r="V74" s="11">
        <v>14</v>
      </c>
      <c r="W74" s="47">
        <v>15</v>
      </c>
      <c r="X74" s="11">
        <v>22</v>
      </c>
      <c r="Y74" s="11">
        <v>5</v>
      </c>
      <c r="Z74" s="11">
        <v>1</v>
      </c>
      <c r="AA74" s="11">
        <v>0</v>
      </c>
      <c r="AB74" s="63">
        <v>3</v>
      </c>
      <c r="AC74" s="82"/>
      <c r="AD74" s="96">
        <v>30</v>
      </c>
      <c r="AE74" s="82"/>
      <c r="AF74" s="113">
        <v>508</v>
      </c>
    </row>
    <row r="75" spans="1:32" x14ac:dyDescent="0.15">
      <c r="A75" s="14" t="s">
        <v>76</v>
      </c>
      <c r="B75" s="12">
        <v>3</v>
      </c>
      <c r="C75" s="12"/>
      <c r="D75" s="12"/>
      <c r="E75" s="12">
        <v>1</v>
      </c>
      <c r="F75" s="12"/>
      <c r="G75" s="48">
        <v>1</v>
      </c>
      <c r="H75" s="12"/>
      <c r="I75" s="12">
        <v>1</v>
      </c>
      <c r="J75" s="12"/>
      <c r="K75" s="12"/>
      <c r="L75" s="48">
        <v>1</v>
      </c>
      <c r="M75" s="12"/>
      <c r="N75" s="12"/>
      <c r="O75" s="12"/>
      <c r="P75" s="12"/>
      <c r="Q75" s="48"/>
      <c r="R75" s="64"/>
      <c r="S75" s="83"/>
      <c r="T75" s="48">
        <v>1</v>
      </c>
      <c r="U75" s="12">
        <v>1</v>
      </c>
      <c r="V75" s="12"/>
      <c r="W75" s="48"/>
      <c r="X75" s="12"/>
      <c r="Y75" s="12">
        <v>1</v>
      </c>
      <c r="Z75" s="12">
        <v>1</v>
      </c>
      <c r="AA75" s="12">
        <v>1</v>
      </c>
      <c r="AB75" s="64">
        <v>1</v>
      </c>
      <c r="AC75" s="83"/>
      <c r="AD75" s="97"/>
      <c r="AE75" s="83"/>
      <c r="AF75" s="114"/>
    </row>
    <row r="76" spans="1:32" ht="14.25" thickBot="1" x14ac:dyDescent="0.2">
      <c r="A76" s="15" t="s">
        <v>77</v>
      </c>
      <c r="B76" s="16" t="s">
        <v>78</v>
      </c>
      <c r="C76" s="16" t="s">
        <v>78</v>
      </c>
      <c r="D76" s="16" t="s">
        <v>78</v>
      </c>
      <c r="E76" s="16" t="s">
        <v>78</v>
      </c>
      <c r="F76" s="16" t="s">
        <v>78</v>
      </c>
      <c r="G76" s="49" t="s">
        <v>78</v>
      </c>
      <c r="H76" s="16" t="s">
        <v>78</v>
      </c>
      <c r="I76" s="16" t="s">
        <v>78</v>
      </c>
      <c r="J76" s="16" t="s">
        <v>78</v>
      </c>
      <c r="K76" s="16" t="s">
        <v>78</v>
      </c>
      <c r="L76" s="49" t="s">
        <v>78</v>
      </c>
      <c r="M76" s="16" t="s">
        <v>78</v>
      </c>
      <c r="N76" s="16" t="s">
        <v>78</v>
      </c>
      <c r="O76" s="16" t="s">
        <v>78</v>
      </c>
      <c r="P76" s="16" t="s">
        <v>78</v>
      </c>
      <c r="Q76" s="49" t="s">
        <v>78</v>
      </c>
      <c r="R76" s="65" t="s">
        <v>78</v>
      </c>
      <c r="S76" s="84"/>
      <c r="T76" s="49" t="s">
        <v>78</v>
      </c>
      <c r="U76" s="16"/>
      <c r="V76" s="16" t="s">
        <v>78</v>
      </c>
      <c r="W76" s="49" t="s">
        <v>78</v>
      </c>
      <c r="X76" s="16" t="s">
        <v>78</v>
      </c>
      <c r="Y76" s="16" t="s">
        <v>78</v>
      </c>
      <c r="Z76" s="16" t="s">
        <v>78</v>
      </c>
      <c r="AA76" s="16" t="s">
        <v>78</v>
      </c>
      <c r="AB76" s="65" t="s">
        <v>78</v>
      </c>
      <c r="AC76" s="84"/>
      <c r="AD76" s="98" t="s">
        <v>78</v>
      </c>
      <c r="AE76" s="84"/>
      <c r="AF76" s="115"/>
    </row>
  </sheetData>
  <phoneticPr fontId="1"/>
  <pageMargins left="0.45" right="0.37" top="0.5" bottom="0.36" header="0.21" footer="0.26"/>
  <pageSetup paperSize="9" orientation="portrait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286A-C9B2-4E66-B836-6C03D263AF28}">
  <sheetPr>
    <pageSetUpPr fitToPage="1"/>
  </sheetPr>
  <dimension ref="A1:AN76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3.5" x14ac:dyDescent="0.15"/>
  <cols>
    <col min="1" max="1" width="17.625" style="2" customWidth="1"/>
    <col min="2" max="14" width="12.5" style="2" customWidth="1"/>
    <col min="15" max="21" width="10.5" style="2" customWidth="1"/>
    <col min="22" max="16384" width="9" style="2"/>
  </cols>
  <sheetData>
    <row r="1" spans="1:40" x14ac:dyDescent="0.1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 t="s">
        <v>5</v>
      </c>
      <c r="O2" s="1"/>
      <c r="P2" s="1"/>
      <c r="Q2" s="1"/>
      <c r="R2" s="1"/>
      <c r="S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15">
      <c r="A3" s="17" t="s">
        <v>0</v>
      </c>
      <c r="B3" s="34" t="s">
        <v>6</v>
      </c>
      <c r="C3" s="18" t="s">
        <v>6</v>
      </c>
      <c r="D3" s="18" t="s">
        <v>6</v>
      </c>
      <c r="E3" s="34" t="s">
        <v>6</v>
      </c>
      <c r="F3" s="18" t="s">
        <v>6</v>
      </c>
      <c r="G3" s="18" t="s">
        <v>6</v>
      </c>
      <c r="H3" s="18" t="s">
        <v>6</v>
      </c>
      <c r="I3" s="18" t="s">
        <v>6</v>
      </c>
      <c r="J3" s="51" t="s">
        <v>6</v>
      </c>
      <c r="K3" s="68" t="s">
        <v>104</v>
      </c>
      <c r="L3" s="85" t="s">
        <v>6</v>
      </c>
      <c r="M3" s="68" t="s">
        <v>104</v>
      </c>
      <c r="N3" s="99" t="s">
        <v>103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15">
      <c r="A4" s="19"/>
      <c r="B4" s="35">
        <v>1009</v>
      </c>
      <c r="C4" s="20">
        <v>1013</v>
      </c>
      <c r="D4" s="20">
        <v>1026</v>
      </c>
      <c r="E4" s="35">
        <v>1027</v>
      </c>
      <c r="F4" s="20">
        <v>1001</v>
      </c>
      <c r="G4" s="20">
        <v>1002</v>
      </c>
      <c r="H4" s="20">
        <v>1003</v>
      </c>
      <c r="I4" s="20">
        <v>1005</v>
      </c>
      <c r="J4" s="52">
        <v>1085</v>
      </c>
      <c r="K4" s="69"/>
      <c r="L4" s="1">
        <v>1014</v>
      </c>
      <c r="M4" s="69"/>
      <c r="N4" s="100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4.25" thickBot="1" x14ac:dyDescent="0.2">
      <c r="A5" s="19" t="s">
        <v>1</v>
      </c>
      <c r="B5" s="35" t="s">
        <v>91</v>
      </c>
      <c r="C5" s="20" t="s">
        <v>101</v>
      </c>
      <c r="D5" s="20" t="s">
        <v>97</v>
      </c>
      <c r="E5" s="35" t="s">
        <v>99</v>
      </c>
      <c r="F5" s="20" t="s">
        <v>93</v>
      </c>
      <c r="G5" s="20" t="s">
        <v>94</v>
      </c>
      <c r="H5" s="20" t="s">
        <v>95</v>
      </c>
      <c r="I5" s="20" t="s">
        <v>96</v>
      </c>
      <c r="J5" s="52" t="s">
        <v>100</v>
      </c>
      <c r="K5" s="70" t="s">
        <v>106</v>
      </c>
      <c r="L5" s="1" t="s">
        <v>92</v>
      </c>
      <c r="M5" s="70" t="s">
        <v>107</v>
      </c>
      <c r="N5" s="101" t="s">
        <v>102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15">
      <c r="A6" s="21" t="s">
        <v>8</v>
      </c>
      <c r="B6" s="36">
        <v>22</v>
      </c>
      <c r="C6" s="22">
        <v>24</v>
      </c>
      <c r="D6" s="22">
        <v>15</v>
      </c>
      <c r="E6" s="36">
        <v>14</v>
      </c>
      <c r="F6" s="22">
        <v>23</v>
      </c>
      <c r="G6" s="22">
        <v>10</v>
      </c>
      <c r="H6" s="22">
        <v>10</v>
      </c>
      <c r="I6" s="22">
        <v>11</v>
      </c>
      <c r="J6" s="53">
        <v>4</v>
      </c>
      <c r="K6" s="71">
        <f>SUM(B6:J6)</f>
        <v>133</v>
      </c>
      <c r="L6" s="86">
        <v>23</v>
      </c>
      <c r="M6" s="71">
        <f>SUM(L6)</f>
        <v>23</v>
      </c>
      <c r="N6" s="102">
        <v>500</v>
      </c>
      <c r="O6" s="3"/>
      <c r="P6" s="3"/>
      <c r="Q6" s="3"/>
      <c r="R6" s="3"/>
      <c r="S6" s="3"/>
      <c r="T6" s="3"/>
      <c r="U6" s="3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15">
      <c r="A7" s="13" t="s">
        <v>9</v>
      </c>
      <c r="B7" s="37">
        <v>1</v>
      </c>
      <c r="C7" s="8"/>
      <c r="D7" s="8"/>
      <c r="E7" s="38"/>
      <c r="F7" s="8"/>
      <c r="G7" s="8"/>
      <c r="H7" s="8"/>
      <c r="I7" s="8"/>
      <c r="J7" s="54"/>
      <c r="K7" s="72">
        <f>SUM(B7:J7)</f>
        <v>1</v>
      </c>
      <c r="L7" s="87">
        <v>1</v>
      </c>
      <c r="M7" s="72">
        <f>SUM(L7)</f>
        <v>1</v>
      </c>
      <c r="N7" s="103">
        <v>35</v>
      </c>
      <c r="O7" s="4"/>
      <c r="P7" s="4"/>
      <c r="Q7" s="4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15">
      <c r="A8" s="13" t="s">
        <v>10</v>
      </c>
      <c r="B8" s="38"/>
      <c r="C8" s="8"/>
      <c r="D8" s="8"/>
      <c r="E8" s="38"/>
      <c r="F8" s="8"/>
      <c r="G8" s="8"/>
      <c r="H8" s="8"/>
      <c r="I8" s="8"/>
      <c r="J8" s="54"/>
      <c r="K8" s="73"/>
      <c r="L8" s="88"/>
      <c r="M8" s="73"/>
      <c r="N8" s="103">
        <v>22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15">
      <c r="A9" s="13" t="s">
        <v>11</v>
      </c>
      <c r="B9" s="38"/>
      <c r="C9" s="8"/>
      <c r="D9" s="8"/>
      <c r="E9" s="38"/>
      <c r="F9" s="8"/>
      <c r="G9" s="8"/>
      <c r="H9" s="8"/>
      <c r="I9" s="8"/>
      <c r="J9" s="54"/>
      <c r="K9" s="73"/>
      <c r="L9" s="88"/>
      <c r="M9" s="73"/>
      <c r="N9" s="10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15">
      <c r="A10" s="13" t="s">
        <v>12</v>
      </c>
      <c r="B10" s="38"/>
      <c r="C10" s="8"/>
      <c r="D10" s="8"/>
      <c r="E10" s="38"/>
      <c r="F10" s="8"/>
      <c r="G10" s="7">
        <v>2</v>
      </c>
      <c r="H10" s="7">
        <v>2</v>
      </c>
      <c r="I10" s="8"/>
      <c r="J10" s="54"/>
      <c r="K10" s="72">
        <f>SUM(B10:J10)</f>
        <v>4</v>
      </c>
      <c r="L10" s="87">
        <v>1</v>
      </c>
      <c r="M10" s="72">
        <f>SUM(L10)</f>
        <v>1</v>
      </c>
      <c r="N10" s="103">
        <v>5</v>
      </c>
      <c r="O10" s="1"/>
      <c r="P10" s="3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15">
      <c r="A11" s="13" t="s">
        <v>13</v>
      </c>
      <c r="B11" s="38"/>
      <c r="C11" s="8"/>
      <c r="D11" s="8"/>
      <c r="E11" s="38"/>
      <c r="F11" s="8"/>
      <c r="G11" s="8"/>
      <c r="H11" s="8"/>
      <c r="I11" s="8"/>
      <c r="J11" s="54"/>
      <c r="K11" s="73"/>
      <c r="L11" s="88"/>
      <c r="M11" s="73"/>
      <c r="N11" s="10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15">
      <c r="A12" s="13" t="s">
        <v>14</v>
      </c>
      <c r="B12" s="37">
        <v>2</v>
      </c>
      <c r="C12" s="8"/>
      <c r="D12" s="8"/>
      <c r="E12" s="38"/>
      <c r="F12" s="8"/>
      <c r="G12" s="8"/>
      <c r="H12" s="8"/>
      <c r="I12" s="8"/>
      <c r="J12" s="54"/>
      <c r="K12" s="73"/>
      <c r="L12" s="88"/>
      <c r="M12" s="73"/>
      <c r="N12" s="103">
        <v>62.9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15">
      <c r="A13" s="13" t="s">
        <v>15</v>
      </c>
      <c r="B13" s="38"/>
      <c r="C13" s="8"/>
      <c r="D13" s="9">
        <v>4.208333333333333</v>
      </c>
      <c r="E13" s="39">
        <v>3.9166666666666665</v>
      </c>
      <c r="F13" s="9">
        <v>3.5833333333333335</v>
      </c>
      <c r="G13" s="9">
        <v>2.9583333333333335</v>
      </c>
      <c r="H13" s="9">
        <v>2.9583333333333335</v>
      </c>
      <c r="I13" s="9">
        <v>3.2083333333333335</v>
      </c>
      <c r="J13" s="55">
        <v>1.3333333333333333</v>
      </c>
      <c r="K13" s="74">
        <f>SUM(B13:J13)</f>
        <v>22.166666666666664</v>
      </c>
      <c r="L13" s="88"/>
      <c r="M13" s="73"/>
      <c r="N13" s="105">
        <v>22.166666666666668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15">
      <c r="A14" s="13" t="s">
        <v>16</v>
      </c>
      <c r="B14" s="38"/>
      <c r="C14" s="9">
        <v>1.3333333333333333</v>
      </c>
      <c r="D14" s="8"/>
      <c r="E14" s="38"/>
      <c r="F14" s="8"/>
      <c r="G14" s="8"/>
      <c r="H14" s="8"/>
      <c r="I14" s="8"/>
      <c r="J14" s="55">
        <v>8.3333333333333329E-2</v>
      </c>
      <c r="K14" s="74">
        <f>SUM(B14:J14)</f>
        <v>1.4166666666666665</v>
      </c>
      <c r="L14" s="88"/>
      <c r="M14" s="73"/>
      <c r="N14" s="105">
        <v>37.875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15">
      <c r="A15" s="13" t="s">
        <v>17</v>
      </c>
      <c r="B15" s="38"/>
      <c r="C15" s="8"/>
      <c r="D15" s="8"/>
      <c r="E15" s="38"/>
      <c r="F15" s="8"/>
      <c r="G15" s="8"/>
      <c r="H15" s="8"/>
      <c r="I15" s="8"/>
      <c r="J15" s="54"/>
      <c r="K15" s="73"/>
      <c r="L15" s="88"/>
      <c r="M15" s="73"/>
      <c r="N15" s="105">
        <v>11.75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15">
      <c r="A16" s="13" t="s">
        <v>18</v>
      </c>
      <c r="B16" s="38"/>
      <c r="C16" s="8"/>
      <c r="D16" s="8"/>
      <c r="E16" s="38"/>
      <c r="F16" s="8"/>
      <c r="G16" s="8"/>
      <c r="H16" s="8"/>
      <c r="I16" s="8"/>
      <c r="J16" s="54"/>
      <c r="K16" s="73"/>
      <c r="L16" s="88"/>
      <c r="M16" s="73"/>
      <c r="N16" s="105">
        <v>8.875</v>
      </c>
      <c r="O16" s="5"/>
      <c r="P16" s="5"/>
      <c r="Q16" s="5"/>
      <c r="R16" s="5"/>
      <c r="S16" s="5"/>
      <c r="T16" s="5"/>
      <c r="U16" s="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15">
      <c r="A17" s="13" t="s">
        <v>19</v>
      </c>
      <c r="B17" s="38"/>
      <c r="C17" s="8"/>
      <c r="D17" s="8"/>
      <c r="E17" s="38"/>
      <c r="F17" s="8"/>
      <c r="G17" s="8"/>
      <c r="H17" s="8"/>
      <c r="I17" s="8"/>
      <c r="J17" s="54"/>
      <c r="K17" s="73"/>
      <c r="L17" s="88"/>
      <c r="M17" s="73"/>
      <c r="N17" s="104"/>
      <c r="O17" s="5"/>
      <c r="P17" s="5"/>
      <c r="Q17" s="5"/>
      <c r="R17" s="5"/>
      <c r="S17" s="5"/>
      <c r="T17" s="5"/>
      <c r="U17" s="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15">
      <c r="A18" s="13" t="s">
        <v>20</v>
      </c>
      <c r="B18" s="38"/>
      <c r="C18" s="8"/>
      <c r="D18" s="8"/>
      <c r="E18" s="38"/>
      <c r="F18" s="8"/>
      <c r="G18" s="8"/>
      <c r="H18" s="8"/>
      <c r="I18" s="8"/>
      <c r="J18" s="54"/>
      <c r="K18" s="73"/>
      <c r="L18" s="88"/>
      <c r="M18" s="73"/>
      <c r="N18" s="104"/>
      <c r="O18" s="5"/>
      <c r="P18" s="5"/>
      <c r="Q18" s="5"/>
      <c r="R18" s="5"/>
      <c r="S18" s="5"/>
      <c r="T18" s="5"/>
      <c r="U18" s="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15">
      <c r="A19" s="13" t="s">
        <v>21</v>
      </c>
      <c r="B19" s="38"/>
      <c r="C19" s="8"/>
      <c r="D19" s="8"/>
      <c r="E19" s="38"/>
      <c r="F19" s="8"/>
      <c r="G19" s="8"/>
      <c r="H19" s="8"/>
      <c r="I19" s="8"/>
      <c r="J19" s="54"/>
      <c r="K19" s="73"/>
      <c r="L19" s="88"/>
      <c r="M19" s="73"/>
      <c r="N19" s="104"/>
      <c r="O19" s="5"/>
      <c r="P19" s="5"/>
      <c r="Q19" s="5"/>
      <c r="R19" s="5"/>
      <c r="S19" s="5"/>
      <c r="T19" s="5"/>
      <c r="U19" s="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15">
      <c r="A20" s="13" t="s">
        <v>22</v>
      </c>
      <c r="B20" s="38"/>
      <c r="C20" s="8"/>
      <c r="D20" s="8"/>
      <c r="E20" s="38"/>
      <c r="F20" s="8"/>
      <c r="G20" s="8"/>
      <c r="H20" s="8"/>
      <c r="I20" s="8"/>
      <c r="J20" s="54"/>
      <c r="K20" s="73"/>
      <c r="L20" s="88"/>
      <c r="M20" s="73"/>
      <c r="N20" s="104"/>
      <c r="O20" s="5"/>
      <c r="P20" s="5"/>
      <c r="Q20" s="5"/>
      <c r="R20" s="5"/>
      <c r="S20" s="5"/>
      <c r="T20" s="5"/>
      <c r="U20" s="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15">
      <c r="A21" s="13" t="s">
        <v>23</v>
      </c>
      <c r="B21" s="38"/>
      <c r="C21" s="8"/>
      <c r="D21" s="8"/>
      <c r="E21" s="38"/>
      <c r="F21" s="8"/>
      <c r="G21" s="9">
        <v>0.58333333333333337</v>
      </c>
      <c r="H21" s="9">
        <v>0.58333333333333337</v>
      </c>
      <c r="I21" s="8"/>
      <c r="J21" s="54"/>
      <c r="K21" s="74">
        <f>SUM(B21:J21)</f>
        <v>1.1666666666666667</v>
      </c>
      <c r="L21" s="88"/>
      <c r="M21" s="73"/>
      <c r="N21" s="105">
        <v>1.1666666666666667</v>
      </c>
      <c r="O21" s="5"/>
      <c r="P21" s="5"/>
      <c r="Q21" s="5"/>
      <c r="R21" s="5"/>
      <c r="S21" s="5"/>
      <c r="T21" s="5"/>
      <c r="U21" s="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4.25" thickBot="1" x14ac:dyDescent="0.2">
      <c r="A22" s="23" t="s">
        <v>24</v>
      </c>
      <c r="B22" s="40"/>
      <c r="C22" s="25"/>
      <c r="D22" s="25"/>
      <c r="E22" s="40"/>
      <c r="F22" s="25"/>
      <c r="G22" s="24">
        <v>2.0833333333333335</v>
      </c>
      <c r="H22" s="24">
        <v>2.0833333333333335</v>
      </c>
      <c r="I22" s="24">
        <v>2.2916666666666665</v>
      </c>
      <c r="J22" s="56"/>
      <c r="K22" s="74">
        <f>SUM(B22:J22)</f>
        <v>6.4583333333333339</v>
      </c>
      <c r="L22" s="89">
        <v>0.125</v>
      </c>
      <c r="M22" s="75">
        <f>SUM(L22)</f>
        <v>0.125</v>
      </c>
      <c r="N22" s="106">
        <v>17.958333333333332</v>
      </c>
      <c r="O22" s="5"/>
      <c r="P22" s="5"/>
      <c r="Q22" s="5"/>
      <c r="R22" s="5"/>
      <c r="S22" s="5"/>
      <c r="T22" s="5"/>
      <c r="U22" s="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15">
      <c r="A23" s="21" t="s">
        <v>29</v>
      </c>
      <c r="B23" s="41">
        <v>485000</v>
      </c>
      <c r="C23" s="26">
        <v>270000</v>
      </c>
      <c r="D23" s="26">
        <v>0</v>
      </c>
      <c r="E23" s="41">
        <v>0</v>
      </c>
      <c r="F23" s="26">
        <v>0</v>
      </c>
      <c r="G23" s="26">
        <v>0</v>
      </c>
      <c r="H23" s="26">
        <v>0</v>
      </c>
      <c r="I23" s="26">
        <v>0</v>
      </c>
      <c r="J23" s="57">
        <v>0</v>
      </c>
      <c r="K23" s="76">
        <f>SUM(B23:J23)</f>
        <v>755000</v>
      </c>
      <c r="L23" s="90">
        <v>375000</v>
      </c>
      <c r="M23" s="76">
        <f>SUM(L23)</f>
        <v>375000</v>
      </c>
      <c r="N23" s="107">
        <v>4160000</v>
      </c>
      <c r="O23" s="5"/>
      <c r="P23" s="5"/>
      <c r="Q23" s="5"/>
      <c r="R23" s="5"/>
      <c r="S23" s="5"/>
      <c r="T23" s="5"/>
      <c r="U23" s="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15">
      <c r="A24" s="13" t="s">
        <v>30</v>
      </c>
      <c r="B24" s="38">
        <v>0</v>
      </c>
      <c r="C24" s="8">
        <v>0</v>
      </c>
      <c r="D24" s="8">
        <v>0</v>
      </c>
      <c r="E24" s="38">
        <v>0</v>
      </c>
      <c r="F24" s="8">
        <v>0</v>
      </c>
      <c r="G24" s="8">
        <v>0</v>
      </c>
      <c r="H24" s="8">
        <v>0</v>
      </c>
      <c r="I24" s="8">
        <v>0</v>
      </c>
      <c r="J24" s="54">
        <v>0</v>
      </c>
      <c r="K24" s="73">
        <f t="shared" ref="K24:K73" si="0">SUM(B24:J24)</f>
        <v>0</v>
      </c>
      <c r="L24" s="88">
        <v>0</v>
      </c>
      <c r="M24" s="73">
        <f t="shared" ref="M24:M73" si="1">SUM(L24)</f>
        <v>0</v>
      </c>
      <c r="N24" s="104">
        <v>50000</v>
      </c>
      <c r="O24" s="5"/>
      <c r="P24" s="5"/>
      <c r="Q24" s="5"/>
      <c r="R24" s="5"/>
      <c r="S24" s="5"/>
      <c r="T24" s="5"/>
      <c r="U24" s="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15">
      <c r="A25" s="13" t="s">
        <v>31</v>
      </c>
      <c r="B25" s="38">
        <v>0</v>
      </c>
      <c r="C25" s="8">
        <v>3000</v>
      </c>
      <c r="D25" s="8">
        <v>0</v>
      </c>
      <c r="E25" s="38">
        <v>0</v>
      </c>
      <c r="F25" s="8">
        <v>0</v>
      </c>
      <c r="G25" s="8">
        <v>0</v>
      </c>
      <c r="H25" s="8">
        <v>0</v>
      </c>
      <c r="I25" s="8">
        <v>0</v>
      </c>
      <c r="J25" s="54">
        <v>0</v>
      </c>
      <c r="K25" s="73">
        <f t="shared" si="0"/>
        <v>3000</v>
      </c>
      <c r="L25" s="88">
        <v>0</v>
      </c>
      <c r="M25" s="73">
        <f t="shared" si="1"/>
        <v>0</v>
      </c>
      <c r="N25" s="104">
        <v>6000</v>
      </c>
      <c r="O25" s="5"/>
      <c r="P25" s="5"/>
      <c r="Q25" s="5"/>
      <c r="R25" s="5"/>
      <c r="S25" s="5"/>
      <c r="T25" s="5"/>
      <c r="U25" s="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15">
      <c r="A26" s="13" t="s">
        <v>32</v>
      </c>
      <c r="B26" s="38">
        <v>0</v>
      </c>
      <c r="C26" s="8">
        <v>0</v>
      </c>
      <c r="D26" s="8">
        <v>0</v>
      </c>
      <c r="E26" s="38">
        <v>0</v>
      </c>
      <c r="F26" s="8">
        <v>0</v>
      </c>
      <c r="G26" s="8">
        <v>0</v>
      </c>
      <c r="H26" s="8">
        <v>0</v>
      </c>
      <c r="I26" s="8">
        <v>0</v>
      </c>
      <c r="J26" s="54">
        <v>0</v>
      </c>
      <c r="K26" s="73">
        <f t="shared" si="0"/>
        <v>0</v>
      </c>
      <c r="L26" s="88">
        <v>0</v>
      </c>
      <c r="M26" s="73">
        <f t="shared" si="1"/>
        <v>0</v>
      </c>
      <c r="N26" s="104">
        <v>0</v>
      </c>
      <c r="O26" s="5"/>
      <c r="P26" s="5"/>
      <c r="Q26" s="5"/>
      <c r="R26" s="5"/>
      <c r="S26" s="5"/>
      <c r="T26" s="5"/>
      <c r="U26" s="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15">
      <c r="A27" s="13" t="s">
        <v>33</v>
      </c>
      <c r="B27" s="38">
        <v>0</v>
      </c>
      <c r="C27" s="8">
        <v>0</v>
      </c>
      <c r="D27" s="8">
        <v>0</v>
      </c>
      <c r="E27" s="38">
        <v>0</v>
      </c>
      <c r="F27" s="8">
        <v>0</v>
      </c>
      <c r="G27" s="8">
        <v>0</v>
      </c>
      <c r="H27" s="8">
        <v>0</v>
      </c>
      <c r="I27" s="8">
        <v>0</v>
      </c>
      <c r="J27" s="54">
        <v>0</v>
      </c>
      <c r="K27" s="73">
        <f t="shared" si="0"/>
        <v>0</v>
      </c>
      <c r="L27" s="88">
        <v>0</v>
      </c>
      <c r="M27" s="73">
        <f t="shared" si="1"/>
        <v>0</v>
      </c>
      <c r="N27" s="104">
        <v>0</v>
      </c>
      <c r="O27" s="5"/>
      <c r="P27" s="5"/>
      <c r="Q27" s="5"/>
      <c r="R27" s="5"/>
      <c r="S27" s="5"/>
      <c r="T27" s="5"/>
      <c r="U27" s="5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15">
      <c r="A28" s="13" t="s">
        <v>34</v>
      </c>
      <c r="B28" s="38">
        <v>0</v>
      </c>
      <c r="C28" s="8">
        <v>0</v>
      </c>
      <c r="D28" s="8">
        <v>0</v>
      </c>
      <c r="E28" s="38">
        <v>0</v>
      </c>
      <c r="F28" s="8">
        <v>0</v>
      </c>
      <c r="G28" s="8">
        <v>0</v>
      </c>
      <c r="H28" s="8">
        <v>0</v>
      </c>
      <c r="I28" s="8">
        <v>0</v>
      </c>
      <c r="J28" s="54">
        <v>0</v>
      </c>
      <c r="K28" s="73">
        <f t="shared" si="0"/>
        <v>0</v>
      </c>
      <c r="L28" s="88">
        <v>0</v>
      </c>
      <c r="M28" s="73">
        <f t="shared" si="1"/>
        <v>0</v>
      </c>
      <c r="N28" s="104">
        <v>0</v>
      </c>
      <c r="O28" s="5"/>
      <c r="P28" s="5"/>
      <c r="Q28" s="5"/>
      <c r="R28" s="5"/>
      <c r="S28" s="5"/>
      <c r="T28" s="5"/>
      <c r="U28" s="5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15">
      <c r="A29" s="13" t="s">
        <v>35</v>
      </c>
      <c r="B29" s="38">
        <v>0</v>
      </c>
      <c r="C29" s="8">
        <v>0</v>
      </c>
      <c r="D29" s="8">
        <v>0</v>
      </c>
      <c r="E29" s="38">
        <v>0</v>
      </c>
      <c r="F29" s="8">
        <v>0</v>
      </c>
      <c r="G29" s="8">
        <v>0</v>
      </c>
      <c r="H29" s="8">
        <v>0</v>
      </c>
      <c r="I29" s="8">
        <v>0</v>
      </c>
      <c r="J29" s="54">
        <v>0</v>
      </c>
      <c r="K29" s="73">
        <f t="shared" si="0"/>
        <v>0</v>
      </c>
      <c r="L29" s="88">
        <v>0</v>
      </c>
      <c r="M29" s="73">
        <f t="shared" si="1"/>
        <v>0</v>
      </c>
      <c r="N29" s="104">
        <v>0</v>
      </c>
      <c r="O29" s="5"/>
      <c r="P29" s="5"/>
      <c r="Q29" s="5"/>
      <c r="R29" s="5"/>
      <c r="S29" s="5"/>
      <c r="T29" s="5"/>
      <c r="U29" s="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15">
      <c r="A30" s="13" t="s">
        <v>36</v>
      </c>
      <c r="B30" s="38">
        <v>0</v>
      </c>
      <c r="C30" s="8">
        <v>0</v>
      </c>
      <c r="D30" s="8">
        <v>0</v>
      </c>
      <c r="E30" s="38">
        <v>0</v>
      </c>
      <c r="F30" s="8">
        <v>0</v>
      </c>
      <c r="G30" s="8">
        <v>0</v>
      </c>
      <c r="H30" s="8">
        <v>0</v>
      </c>
      <c r="I30" s="8">
        <v>0</v>
      </c>
      <c r="J30" s="54">
        <v>0</v>
      </c>
      <c r="K30" s="73">
        <f t="shared" si="0"/>
        <v>0</v>
      </c>
      <c r="L30" s="88">
        <v>0</v>
      </c>
      <c r="M30" s="73">
        <f t="shared" si="1"/>
        <v>0</v>
      </c>
      <c r="N30" s="104">
        <v>0</v>
      </c>
      <c r="O30" s="5"/>
      <c r="P30" s="5"/>
      <c r="Q30" s="5"/>
      <c r="R30" s="5"/>
      <c r="S30" s="5"/>
      <c r="T30" s="5"/>
      <c r="U30" s="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15">
      <c r="A31" s="13" t="s">
        <v>37</v>
      </c>
      <c r="B31" s="38">
        <v>0</v>
      </c>
      <c r="C31" s="8">
        <v>0</v>
      </c>
      <c r="D31" s="8">
        <v>89385</v>
      </c>
      <c r="E31" s="38">
        <v>83190</v>
      </c>
      <c r="F31" s="8">
        <v>72240</v>
      </c>
      <c r="G31" s="8">
        <v>59640</v>
      </c>
      <c r="H31" s="8">
        <v>59640</v>
      </c>
      <c r="I31" s="8">
        <v>64680</v>
      </c>
      <c r="J31" s="54">
        <v>26560</v>
      </c>
      <c r="K31" s="73">
        <f t="shared" si="0"/>
        <v>455335</v>
      </c>
      <c r="L31" s="88">
        <v>0</v>
      </c>
      <c r="M31" s="73">
        <f t="shared" si="1"/>
        <v>0</v>
      </c>
      <c r="N31" s="104">
        <v>455335</v>
      </c>
      <c r="O31" s="5"/>
      <c r="P31" s="5"/>
      <c r="Q31" s="5"/>
      <c r="R31" s="5"/>
      <c r="S31" s="5"/>
      <c r="T31" s="5"/>
      <c r="U31" s="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15">
      <c r="A32" s="13" t="s">
        <v>38</v>
      </c>
      <c r="B32" s="38">
        <v>0</v>
      </c>
      <c r="C32" s="8">
        <v>0</v>
      </c>
      <c r="D32" s="8">
        <v>0</v>
      </c>
      <c r="E32" s="38">
        <v>0</v>
      </c>
      <c r="F32" s="8">
        <v>0</v>
      </c>
      <c r="G32" s="8">
        <v>0</v>
      </c>
      <c r="H32" s="8">
        <v>0</v>
      </c>
      <c r="I32" s="8">
        <v>0</v>
      </c>
      <c r="J32" s="54">
        <v>0</v>
      </c>
      <c r="K32" s="73">
        <f t="shared" si="0"/>
        <v>0</v>
      </c>
      <c r="L32" s="88">
        <v>0</v>
      </c>
      <c r="M32" s="73">
        <f t="shared" si="1"/>
        <v>0</v>
      </c>
      <c r="N32" s="104">
        <v>0</v>
      </c>
      <c r="O32" s="5"/>
      <c r="P32" s="5"/>
      <c r="Q32" s="5"/>
      <c r="R32" s="5"/>
      <c r="S32" s="5"/>
      <c r="T32" s="5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15">
      <c r="A33" s="13" t="s">
        <v>39</v>
      </c>
      <c r="B33" s="38">
        <v>0</v>
      </c>
      <c r="C33" s="8">
        <v>0</v>
      </c>
      <c r="D33" s="8">
        <v>0</v>
      </c>
      <c r="E33" s="38">
        <v>0</v>
      </c>
      <c r="F33" s="8">
        <v>0</v>
      </c>
      <c r="G33" s="8">
        <v>0</v>
      </c>
      <c r="H33" s="8">
        <v>0</v>
      </c>
      <c r="I33" s="8">
        <v>0</v>
      </c>
      <c r="J33" s="54">
        <v>0</v>
      </c>
      <c r="K33" s="73">
        <f t="shared" si="0"/>
        <v>0</v>
      </c>
      <c r="L33" s="88">
        <v>0</v>
      </c>
      <c r="M33" s="73">
        <f t="shared" si="1"/>
        <v>0</v>
      </c>
      <c r="N33" s="104">
        <v>0</v>
      </c>
      <c r="O33" s="5"/>
      <c r="P33" s="5"/>
      <c r="Q33" s="5"/>
      <c r="R33" s="5"/>
      <c r="S33" s="5"/>
      <c r="T33" s="5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15">
      <c r="A34" s="13" t="s">
        <v>40</v>
      </c>
      <c r="B34" s="38">
        <v>0</v>
      </c>
      <c r="C34" s="8">
        <v>0</v>
      </c>
      <c r="D34" s="8">
        <v>0</v>
      </c>
      <c r="E34" s="38">
        <v>0</v>
      </c>
      <c r="F34" s="8">
        <v>0</v>
      </c>
      <c r="G34" s="8">
        <v>11760</v>
      </c>
      <c r="H34" s="8">
        <v>11760</v>
      </c>
      <c r="I34" s="8">
        <v>0</v>
      </c>
      <c r="J34" s="54">
        <v>0</v>
      </c>
      <c r="K34" s="73">
        <f t="shared" si="0"/>
        <v>23520</v>
      </c>
      <c r="L34" s="88">
        <v>0</v>
      </c>
      <c r="M34" s="73">
        <f t="shared" si="1"/>
        <v>0</v>
      </c>
      <c r="N34" s="104">
        <v>23520</v>
      </c>
      <c r="O34" s="5"/>
      <c r="P34" s="5"/>
      <c r="Q34" s="5"/>
      <c r="R34" s="5"/>
      <c r="S34" s="5"/>
      <c r="T34" s="5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15">
      <c r="A35" s="13" t="s">
        <v>41</v>
      </c>
      <c r="B35" s="38">
        <v>0</v>
      </c>
      <c r="C35" s="8">
        <v>0</v>
      </c>
      <c r="D35" s="8">
        <v>0</v>
      </c>
      <c r="E35" s="38">
        <v>0</v>
      </c>
      <c r="F35" s="8">
        <v>0</v>
      </c>
      <c r="G35" s="8">
        <v>0</v>
      </c>
      <c r="H35" s="8">
        <v>0</v>
      </c>
      <c r="I35" s="8">
        <v>0</v>
      </c>
      <c r="J35" s="54">
        <v>0</v>
      </c>
      <c r="K35" s="73">
        <f t="shared" si="0"/>
        <v>0</v>
      </c>
      <c r="L35" s="88">
        <v>0</v>
      </c>
      <c r="M35" s="73">
        <f t="shared" si="1"/>
        <v>0</v>
      </c>
      <c r="N35" s="104">
        <v>0</v>
      </c>
      <c r="O35" s="5"/>
      <c r="P35" s="5"/>
      <c r="Q35" s="5"/>
      <c r="R35" s="5"/>
      <c r="S35" s="5"/>
      <c r="T35" s="5"/>
      <c r="U35" s="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15">
      <c r="A36" s="13" t="s">
        <v>42</v>
      </c>
      <c r="B36" s="38">
        <v>0</v>
      </c>
      <c r="C36" s="8">
        <v>0</v>
      </c>
      <c r="D36" s="8">
        <v>0</v>
      </c>
      <c r="E36" s="38">
        <v>0</v>
      </c>
      <c r="F36" s="8">
        <v>0</v>
      </c>
      <c r="G36" s="8">
        <v>0</v>
      </c>
      <c r="H36" s="8">
        <v>0</v>
      </c>
      <c r="I36" s="8">
        <v>0</v>
      </c>
      <c r="J36" s="54">
        <v>0</v>
      </c>
      <c r="K36" s="73">
        <f t="shared" si="0"/>
        <v>0</v>
      </c>
      <c r="L36" s="88">
        <v>0</v>
      </c>
      <c r="M36" s="73">
        <f t="shared" si="1"/>
        <v>0</v>
      </c>
      <c r="N36" s="104">
        <v>0</v>
      </c>
      <c r="O36" s="5"/>
      <c r="P36" s="5"/>
      <c r="Q36" s="5"/>
      <c r="R36" s="5"/>
      <c r="S36" s="5"/>
      <c r="T36" s="5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15">
      <c r="A37" s="13" t="s">
        <v>43</v>
      </c>
      <c r="B37" s="38">
        <v>0</v>
      </c>
      <c r="C37" s="8">
        <v>0</v>
      </c>
      <c r="D37" s="8">
        <v>0</v>
      </c>
      <c r="E37" s="38">
        <v>0</v>
      </c>
      <c r="F37" s="8">
        <v>0</v>
      </c>
      <c r="G37" s="8">
        <v>0</v>
      </c>
      <c r="H37" s="8">
        <v>0</v>
      </c>
      <c r="I37" s="8">
        <v>0</v>
      </c>
      <c r="J37" s="54">
        <v>0</v>
      </c>
      <c r="K37" s="73">
        <f t="shared" si="0"/>
        <v>0</v>
      </c>
      <c r="L37" s="88">
        <v>0</v>
      </c>
      <c r="M37" s="73">
        <f t="shared" si="1"/>
        <v>0</v>
      </c>
      <c r="N37" s="104">
        <v>0</v>
      </c>
      <c r="O37" s="5"/>
      <c r="P37" s="5"/>
      <c r="Q37" s="5"/>
      <c r="R37" s="5"/>
      <c r="S37" s="5"/>
      <c r="T37" s="5"/>
      <c r="U37" s="5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15">
      <c r="A38" s="13" t="s">
        <v>44</v>
      </c>
      <c r="B38" s="38">
        <v>0</v>
      </c>
      <c r="C38" s="8">
        <v>0</v>
      </c>
      <c r="D38" s="8">
        <v>0</v>
      </c>
      <c r="E38" s="38">
        <v>0</v>
      </c>
      <c r="F38" s="8">
        <v>0</v>
      </c>
      <c r="G38" s="8">
        <v>0</v>
      </c>
      <c r="H38" s="8">
        <v>0</v>
      </c>
      <c r="I38" s="8">
        <v>0</v>
      </c>
      <c r="J38" s="54">
        <v>0</v>
      </c>
      <c r="K38" s="73">
        <f t="shared" si="0"/>
        <v>0</v>
      </c>
      <c r="L38" s="88">
        <v>0</v>
      </c>
      <c r="M38" s="73">
        <f t="shared" si="1"/>
        <v>0</v>
      </c>
      <c r="N38" s="104">
        <v>0</v>
      </c>
      <c r="O38" s="5"/>
      <c r="P38" s="5"/>
      <c r="Q38" s="5"/>
      <c r="R38" s="5"/>
      <c r="S38" s="5"/>
      <c r="T38" s="5"/>
      <c r="U38" s="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15">
      <c r="A39" s="13" t="s">
        <v>45</v>
      </c>
      <c r="B39" s="38">
        <v>0</v>
      </c>
      <c r="C39" s="8">
        <v>0</v>
      </c>
      <c r="D39" s="8">
        <v>0</v>
      </c>
      <c r="E39" s="38">
        <v>0</v>
      </c>
      <c r="F39" s="8">
        <v>0</v>
      </c>
      <c r="G39" s="8">
        <v>0</v>
      </c>
      <c r="H39" s="8">
        <v>0</v>
      </c>
      <c r="I39" s="8">
        <v>0</v>
      </c>
      <c r="J39" s="54">
        <v>0</v>
      </c>
      <c r="K39" s="73">
        <f t="shared" si="0"/>
        <v>0</v>
      </c>
      <c r="L39" s="88">
        <v>0</v>
      </c>
      <c r="M39" s="73">
        <f t="shared" si="1"/>
        <v>0</v>
      </c>
      <c r="N39" s="104">
        <v>0</v>
      </c>
      <c r="O39" s="5"/>
      <c r="P39" s="5"/>
      <c r="Q39" s="5"/>
      <c r="R39" s="5"/>
      <c r="S39" s="5"/>
      <c r="T39" s="5"/>
      <c r="U39" s="5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15">
      <c r="A40" s="13" t="s">
        <v>46</v>
      </c>
      <c r="B40" s="38">
        <v>0</v>
      </c>
      <c r="C40" s="8">
        <v>0</v>
      </c>
      <c r="D40" s="8">
        <v>0</v>
      </c>
      <c r="E40" s="38">
        <v>0</v>
      </c>
      <c r="F40" s="8">
        <v>0</v>
      </c>
      <c r="G40" s="8">
        <v>0</v>
      </c>
      <c r="H40" s="8">
        <v>0</v>
      </c>
      <c r="I40" s="8">
        <v>0</v>
      </c>
      <c r="J40" s="54">
        <v>0</v>
      </c>
      <c r="K40" s="73">
        <f t="shared" si="0"/>
        <v>0</v>
      </c>
      <c r="L40" s="88">
        <v>0</v>
      </c>
      <c r="M40" s="73">
        <f t="shared" si="1"/>
        <v>0</v>
      </c>
      <c r="N40" s="104">
        <v>0</v>
      </c>
      <c r="O40" s="5"/>
      <c r="P40" s="5"/>
      <c r="Q40" s="5"/>
      <c r="R40" s="5"/>
      <c r="S40" s="5"/>
      <c r="T40" s="5"/>
      <c r="U40" s="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15">
      <c r="A41" s="13" t="s">
        <v>47</v>
      </c>
      <c r="B41" s="38">
        <v>-46410</v>
      </c>
      <c r="C41" s="8">
        <v>0</v>
      </c>
      <c r="D41" s="8">
        <v>0</v>
      </c>
      <c r="E41" s="38">
        <v>0</v>
      </c>
      <c r="F41" s="8">
        <v>0</v>
      </c>
      <c r="G41" s="8">
        <v>0</v>
      </c>
      <c r="H41" s="8">
        <v>0</v>
      </c>
      <c r="I41" s="8">
        <v>0</v>
      </c>
      <c r="J41" s="54">
        <v>0</v>
      </c>
      <c r="K41" s="73">
        <f t="shared" si="0"/>
        <v>-46410</v>
      </c>
      <c r="L41" s="88">
        <v>0</v>
      </c>
      <c r="M41" s="73">
        <f t="shared" si="1"/>
        <v>0</v>
      </c>
      <c r="N41" s="104">
        <v>-574600</v>
      </c>
      <c r="O41" s="5"/>
      <c r="P41" s="5"/>
      <c r="Q41" s="5"/>
      <c r="R41" s="5"/>
      <c r="S41" s="5"/>
      <c r="T41" s="5"/>
      <c r="U41" s="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15">
      <c r="A42" s="13" t="s">
        <v>48</v>
      </c>
      <c r="B42" s="38">
        <v>0</v>
      </c>
      <c r="C42" s="8">
        <v>0</v>
      </c>
      <c r="D42" s="8">
        <v>0</v>
      </c>
      <c r="E42" s="38">
        <v>0</v>
      </c>
      <c r="F42" s="8">
        <v>0</v>
      </c>
      <c r="G42" s="8">
        <v>0</v>
      </c>
      <c r="H42" s="8">
        <v>0</v>
      </c>
      <c r="I42" s="8">
        <v>0</v>
      </c>
      <c r="J42" s="54">
        <v>0</v>
      </c>
      <c r="K42" s="73">
        <f t="shared" si="0"/>
        <v>0</v>
      </c>
      <c r="L42" s="88">
        <v>0</v>
      </c>
      <c r="M42" s="73">
        <f t="shared" si="1"/>
        <v>0</v>
      </c>
      <c r="N42" s="104">
        <v>0</v>
      </c>
      <c r="O42" s="5"/>
      <c r="P42" s="5"/>
      <c r="Q42" s="5"/>
      <c r="R42" s="5"/>
      <c r="S42" s="5"/>
      <c r="T42" s="5"/>
      <c r="U42" s="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15">
      <c r="A43" s="13" t="s">
        <v>16</v>
      </c>
      <c r="B43" s="38">
        <v>0</v>
      </c>
      <c r="C43" s="8">
        <v>65408</v>
      </c>
      <c r="D43" s="8">
        <v>0</v>
      </c>
      <c r="E43" s="38">
        <v>0</v>
      </c>
      <c r="F43" s="8">
        <v>0</v>
      </c>
      <c r="G43" s="8">
        <v>0</v>
      </c>
      <c r="H43" s="8">
        <v>0</v>
      </c>
      <c r="I43" s="8">
        <v>0</v>
      </c>
      <c r="J43" s="54">
        <v>2076</v>
      </c>
      <c r="K43" s="73">
        <f t="shared" si="0"/>
        <v>67484</v>
      </c>
      <c r="L43" s="88">
        <v>0</v>
      </c>
      <c r="M43" s="73">
        <f t="shared" si="1"/>
        <v>0</v>
      </c>
      <c r="N43" s="104">
        <v>1254347</v>
      </c>
      <c r="O43" s="5"/>
      <c r="P43" s="5"/>
      <c r="Q43" s="5"/>
      <c r="R43" s="5"/>
      <c r="S43" s="5"/>
      <c r="T43" s="5"/>
      <c r="U43" s="5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15">
      <c r="A44" s="13" t="s">
        <v>9</v>
      </c>
      <c r="B44" s="38">
        <v>0</v>
      </c>
      <c r="C44" s="8">
        <v>0</v>
      </c>
      <c r="D44" s="8">
        <v>0</v>
      </c>
      <c r="E44" s="38">
        <v>0</v>
      </c>
      <c r="F44" s="8">
        <v>0</v>
      </c>
      <c r="G44" s="8">
        <v>0</v>
      </c>
      <c r="H44" s="8">
        <v>0</v>
      </c>
      <c r="I44" s="8">
        <v>0</v>
      </c>
      <c r="J44" s="54">
        <v>0</v>
      </c>
      <c r="K44" s="73">
        <f t="shared" si="0"/>
        <v>0</v>
      </c>
      <c r="L44" s="88">
        <v>0</v>
      </c>
      <c r="M44" s="73">
        <f t="shared" si="1"/>
        <v>0</v>
      </c>
      <c r="N44" s="104">
        <v>410466</v>
      </c>
      <c r="O44" s="5"/>
      <c r="P44" s="5"/>
      <c r="Q44" s="5"/>
      <c r="R44" s="5"/>
      <c r="S44" s="5"/>
      <c r="T44" s="5"/>
      <c r="U44" s="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15">
      <c r="A45" s="13" t="s">
        <v>10</v>
      </c>
      <c r="B45" s="38">
        <v>0</v>
      </c>
      <c r="C45" s="8">
        <v>0</v>
      </c>
      <c r="D45" s="8">
        <v>0</v>
      </c>
      <c r="E45" s="38">
        <v>0</v>
      </c>
      <c r="F45" s="8">
        <v>0</v>
      </c>
      <c r="G45" s="8">
        <v>0</v>
      </c>
      <c r="H45" s="8">
        <v>0</v>
      </c>
      <c r="I45" s="8">
        <v>0</v>
      </c>
      <c r="J45" s="54">
        <v>0</v>
      </c>
      <c r="K45" s="73">
        <f t="shared" si="0"/>
        <v>0</v>
      </c>
      <c r="L45" s="88">
        <v>0</v>
      </c>
      <c r="M45" s="73">
        <f t="shared" si="1"/>
        <v>0</v>
      </c>
      <c r="N45" s="104">
        <v>315815</v>
      </c>
      <c r="O45" s="5"/>
      <c r="P45" s="5"/>
      <c r="Q45" s="5"/>
      <c r="R45" s="5"/>
      <c r="S45" s="5"/>
      <c r="T45" s="5"/>
      <c r="U45" s="5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15">
      <c r="A46" s="13" t="s">
        <v>49</v>
      </c>
      <c r="B46" s="38">
        <v>0</v>
      </c>
      <c r="C46" s="8">
        <v>0</v>
      </c>
      <c r="D46" s="8">
        <v>0</v>
      </c>
      <c r="E46" s="38">
        <v>0</v>
      </c>
      <c r="F46" s="8">
        <v>0</v>
      </c>
      <c r="G46" s="8">
        <v>0</v>
      </c>
      <c r="H46" s="8">
        <v>0</v>
      </c>
      <c r="I46" s="8">
        <v>0</v>
      </c>
      <c r="J46" s="54">
        <v>0</v>
      </c>
      <c r="K46" s="73">
        <f t="shared" si="0"/>
        <v>0</v>
      </c>
      <c r="L46" s="88">
        <v>0</v>
      </c>
      <c r="M46" s="73">
        <f t="shared" si="1"/>
        <v>0</v>
      </c>
      <c r="N46" s="104">
        <v>0</v>
      </c>
      <c r="O46" s="5"/>
      <c r="P46" s="5"/>
      <c r="Q46" s="5"/>
      <c r="R46" s="5"/>
      <c r="S46" s="5"/>
      <c r="T46" s="5"/>
      <c r="U46" s="5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15">
      <c r="A47" s="13" t="s">
        <v>50</v>
      </c>
      <c r="B47" s="38">
        <v>0</v>
      </c>
      <c r="C47" s="8">
        <v>0</v>
      </c>
      <c r="D47" s="8">
        <v>0</v>
      </c>
      <c r="E47" s="38">
        <v>0</v>
      </c>
      <c r="F47" s="8">
        <v>0</v>
      </c>
      <c r="G47" s="8">
        <v>0</v>
      </c>
      <c r="H47" s="8">
        <v>0</v>
      </c>
      <c r="I47" s="8">
        <v>0</v>
      </c>
      <c r="J47" s="54">
        <v>0</v>
      </c>
      <c r="K47" s="73">
        <f t="shared" si="0"/>
        <v>0</v>
      </c>
      <c r="L47" s="88">
        <v>0</v>
      </c>
      <c r="M47" s="73">
        <f t="shared" si="1"/>
        <v>0</v>
      </c>
      <c r="N47" s="104">
        <v>305579</v>
      </c>
      <c r="O47" s="5"/>
      <c r="P47" s="5"/>
      <c r="Q47" s="5"/>
      <c r="R47" s="5"/>
      <c r="S47" s="5"/>
      <c r="T47" s="5"/>
      <c r="U47" s="5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15">
      <c r="A48" s="13" t="s">
        <v>20</v>
      </c>
      <c r="B48" s="38">
        <v>0</v>
      </c>
      <c r="C48" s="8">
        <v>0</v>
      </c>
      <c r="D48" s="8">
        <v>0</v>
      </c>
      <c r="E48" s="38">
        <v>0</v>
      </c>
      <c r="F48" s="8">
        <v>0</v>
      </c>
      <c r="G48" s="8">
        <v>0</v>
      </c>
      <c r="H48" s="8">
        <v>0</v>
      </c>
      <c r="I48" s="8">
        <v>0</v>
      </c>
      <c r="J48" s="54">
        <v>0</v>
      </c>
      <c r="K48" s="73">
        <f t="shared" si="0"/>
        <v>0</v>
      </c>
      <c r="L48" s="88">
        <v>0</v>
      </c>
      <c r="M48" s="73">
        <f t="shared" si="1"/>
        <v>0</v>
      </c>
      <c r="N48" s="104">
        <v>0</v>
      </c>
      <c r="O48" s="5"/>
      <c r="P48" s="5"/>
      <c r="Q48" s="5"/>
      <c r="R48" s="5"/>
      <c r="S48" s="5"/>
      <c r="T48" s="5"/>
      <c r="U48" s="5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21" x14ac:dyDescent="0.15">
      <c r="A49" s="14" t="s">
        <v>51</v>
      </c>
      <c r="B49" s="42">
        <v>0</v>
      </c>
      <c r="C49" s="10">
        <v>0</v>
      </c>
      <c r="D49" s="10">
        <v>0</v>
      </c>
      <c r="E49" s="42">
        <v>0</v>
      </c>
      <c r="F49" s="10">
        <v>0</v>
      </c>
      <c r="G49" s="10">
        <v>0</v>
      </c>
      <c r="H49" s="10">
        <v>0</v>
      </c>
      <c r="I49" s="10">
        <v>0</v>
      </c>
      <c r="J49" s="58">
        <v>0</v>
      </c>
      <c r="K49" s="77">
        <f t="shared" si="0"/>
        <v>0</v>
      </c>
      <c r="L49" s="91">
        <v>0</v>
      </c>
      <c r="M49" s="77">
        <f t="shared" si="1"/>
        <v>0</v>
      </c>
      <c r="N49" s="108">
        <v>0</v>
      </c>
      <c r="O49" s="6"/>
      <c r="P49" s="6"/>
      <c r="Q49" s="6"/>
      <c r="R49" s="6"/>
      <c r="S49" s="6"/>
      <c r="T49" s="6"/>
      <c r="U49" s="6"/>
    </row>
    <row r="50" spans="1:21" x14ac:dyDescent="0.15">
      <c r="A50" s="14" t="s">
        <v>24</v>
      </c>
      <c r="B50" s="42">
        <v>0</v>
      </c>
      <c r="C50" s="10">
        <v>0</v>
      </c>
      <c r="D50" s="10">
        <v>0</v>
      </c>
      <c r="E50" s="42">
        <v>0</v>
      </c>
      <c r="F50" s="10">
        <v>0</v>
      </c>
      <c r="G50" s="10">
        <v>10500</v>
      </c>
      <c r="H50" s="10">
        <v>10500</v>
      </c>
      <c r="I50" s="10">
        <v>11550</v>
      </c>
      <c r="J50" s="58">
        <v>0</v>
      </c>
      <c r="K50" s="77">
        <f t="shared" si="0"/>
        <v>32550</v>
      </c>
      <c r="L50" s="91">
        <v>1686</v>
      </c>
      <c r="M50" s="77">
        <f t="shared" si="1"/>
        <v>1686</v>
      </c>
      <c r="N50" s="108">
        <v>108068</v>
      </c>
      <c r="O50" s="6"/>
      <c r="P50" s="6"/>
      <c r="Q50" s="6"/>
      <c r="R50" s="6"/>
      <c r="S50" s="6"/>
      <c r="T50" s="6"/>
      <c r="U50" s="6"/>
    </row>
    <row r="51" spans="1:21" ht="14.25" thickBot="1" x14ac:dyDescent="0.2">
      <c r="A51" s="15" t="s">
        <v>52</v>
      </c>
      <c r="B51" s="43">
        <v>438590</v>
      </c>
      <c r="C51" s="29">
        <v>338408</v>
      </c>
      <c r="D51" s="29">
        <v>89385</v>
      </c>
      <c r="E51" s="43">
        <v>83190</v>
      </c>
      <c r="F51" s="29">
        <v>72240</v>
      </c>
      <c r="G51" s="29">
        <v>81900</v>
      </c>
      <c r="H51" s="29">
        <v>81900</v>
      </c>
      <c r="I51" s="29">
        <v>76230</v>
      </c>
      <c r="J51" s="59">
        <v>28636</v>
      </c>
      <c r="K51" s="78">
        <f t="shared" si="0"/>
        <v>1290479</v>
      </c>
      <c r="L51" s="92">
        <v>376686</v>
      </c>
      <c r="M51" s="78">
        <f t="shared" si="1"/>
        <v>376686</v>
      </c>
      <c r="N51" s="109">
        <v>6514530</v>
      </c>
      <c r="O51" s="6"/>
      <c r="P51" s="6"/>
      <c r="Q51" s="6"/>
      <c r="R51" s="6"/>
      <c r="S51" s="6"/>
      <c r="T51" s="6"/>
      <c r="U51" s="6"/>
    </row>
    <row r="52" spans="1:21" x14ac:dyDescent="0.15">
      <c r="A52" s="27" t="s">
        <v>53</v>
      </c>
      <c r="B52" s="44">
        <v>7086</v>
      </c>
      <c r="C52" s="28">
        <v>4437</v>
      </c>
      <c r="D52" s="28">
        <v>2465</v>
      </c>
      <c r="E52" s="44">
        <v>1438</v>
      </c>
      <c r="F52" s="28">
        <v>6614</v>
      </c>
      <c r="G52" s="28">
        <v>2465</v>
      </c>
      <c r="H52" s="28">
        <v>3081</v>
      </c>
      <c r="I52" s="28">
        <v>3615</v>
      </c>
      <c r="J52" s="60">
        <v>1068</v>
      </c>
      <c r="K52" s="79">
        <f t="shared" si="0"/>
        <v>32269</v>
      </c>
      <c r="L52" s="93">
        <v>6408</v>
      </c>
      <c r="M52" s="79">
        <f t="shared" si="1"/>
        <v>6408</v>
      </c>
      <c r="N52" s="110">
        <v>111472</v>
      </c>
      <c r="O52" s="6"/>
      <c r="P52" s="6"/>
      <c r="Q52" s="6"/>
      <c r="R52" s="6"/>
      <c r="S52" s="6"/>
      <c r="T52" s="6"/>
      <c r="U52" s="6"/>
    </row>
    <row r="53" spans="1:21" ht="14.25" thickBot="1" x14ac:dyDescent="0.2">
      <c r="A53" s="30" t="s">
        <v>54</v>
      </c>
      <c r="B53" s="45">
        <v>7086</v>
      </c>
      <c r="C53" s="31">
        <v>4437</v>
      </c>
      <c r="D53" s="31">
        <v>2465</v>
      </c>
      <c r="E53" s="45">
        <v>1438</v>
      </c>
      <c r="F53" s="31">
        <v>6614</v>
      </c>
      <c r="G53" s="31">
        <v>2465</v>
      </c>
      <c r="H53" s="31">
        <v>3081</v>
      </c>
      <c r="I53" s="31">
        <v>3615</v>
      </c>
      <c r="J53" s="61">
        <v>1068</v>
      </c>
      <c r="K53" s="80">
        <f t="shared" si="0"/>
        <v>32269</v>
      </c>
      <c r="L53" s="94">
        <v>6408</v>
      </c>
      <c r="M53" s="80">
        <f t="shared" si="1"/>
        <v>6408</v>
      </c>
      <c r="N53" s="111">
        <v>111472</v>
      </c>
    </row>
    <row r="54" spans="1:21" ht="14.25" thickBot="1" x14ac:dyDescent="0.2">
      <c r="A54" s="32" t="s">
        <v>55</v>
      </c>
      <c r="B54" s="46">
        <v>445676</v>
      </c>
      <c r="C54" s="33">
        <v>342845</v>
      </c>
      <c r="D54" s="33">
        <v>91850</v>
      </c>
      <c r="E54" s="46">
        <v>84628</v>
      </c>
      <c r="F54" s="33">
        <v>78854</v>
      </c>
      <c r="G54" s="33">
        <v>84365</v>
      </c>
      <c r="H54" s="33">
        <v>84981</v>
      </c>
      <c r="I54" s="33">
        <v>79845</v>
      </c>
      <c r="J54" s="62">
        <v>29704</v>
      </c>
      <c r="K54" s="81">
        <f t="shared" si="0"/>
        <v>1322748</v>
      </c>
      <c r="L54" s="95">
        <v>383094</v>
      </c>
      <c r="M54" s="81">
        <f t="shared" si="1"/>
        <v>383094</v>
      </c>
      <c r="N54" s="112">
        <v>6626002</v>
      </c>
    </row>
    <row r="55" spans="1:21" x14ac:dyDescent="0.15">
      <c r="A55" s="27" t="s">
        <v>56</v>
      </c>
      <c r="B55" s="44">
        <v>25500</v>
      </c>
      <c r="C55" s="28">
        <v>18360</v>
      </c>
      <c r="D55" s="28">
        <v>0</v>
      </c>
      <c r="E55" s="44">
        <v>0</v>
      </c>
      <c r="F55" s="28">
        <v>0</v>
      </c>
      <c r="G55" s="28">
        <v>0</v>
      </c>
      <c r="H55" s="28">
        <v>0</v>
      </c>
      <c r="I55" s="28">
        <v>0</v>
      </c>
      <c r="J55" s="60">
        <v>0</v>
      </c>
      <c r="K55" s="79">
        <f t="shared" si="0"/>
        <v>43860</v>
      </c>
      <c r="L55" s="93">
        <v>18360</v>
      </c>
      <c r="M55" s="79">
        <f t="shared" si="1"/>
        <v>18360</v>
      </c>
      <c r="N55" s="110">
        <v>320280</v>
      </c>
    </row>
    <row r="56" spans="1:21" x14ac:dyDescent="0.15">
      <c r="A56" s="14" t="s">
        <v>57</v>
      </c>
      <c r="B56" s="42">
        <v>0</v>
      </c>
      <c r="C56" s="10">
        <v>3240</v>
      </c>
      <c r="D56" s="10">
        <v>0</v>
      </c>
      <c r="E56" s="42">
        <v>0</v>
      </c>
      <c r="F56" s="10">
        <v>0</v>
      </c>
      <c r="G56" s="10">
        <v>0</v>
      </c>
      <c r="H56" s="10">
        <v>0</v>
      </c>
      <c r="I56" s="10">
        <v>0</v>
      </c>
      <c r="J56" s="58">
        <v>0</v>
      </c>
      <c r="K56" s="77">
        <f t="shared" si="0"/>
        <v>3240</v>
      </c>
      <c r="L56" s="91">
        <v>3240</v>
      </c>
      <c r="M56" s="77">
        <f t="shared" si="1"/>
        <v>3240</v>
      </c>
      <c r="N56" s="108">
        <v>49140</v>
      </c>
    </row>
    <row r="57" spans="1:21" x14ac:dyDescent="0.15">
      <c r="A57" s="14" t="s">
        <v>58</v>
      </c>
      <c r="B57" s="42">
        <v>45750</v>
      </c>
      <c r="C57" s="10">
        <v>32940</v>
      </c>
      <c r="D57" s="10">
        <v>0</v>
      </c>
      <c r="E57" s="42">
        <v>0</v>
      </c>
      <c r="F57" s="10">
        <v>0</v>
      </c>
      <c r="G57" s="10">
        <v>0</v>
      </c>
      <c r="H57" s="10">
        <v>0</v>
      </c>
      <c r="I57" s="10">
        <v>0</v>
      </c>
      <c r="J57" s="58">
        <v>0</v>
      </c>
      <c r="K57" s="77">
        <f t="shared" si="0"/>
        <v>78690</v>
      </c>
      <c r="L57" s="91">
        <v>32940</v>
      </c>
      <c r="M57" s="77">
        <f t="shared" si="1"/>
        <v>32940</v>
      </c>
      <c r="N57" s="108">
        <v>574620</v>
      </c>
    </row>
    <row r="58" spans="1:21" x14ac:dyDescent="0.15">
      <c r="A58" s="14" t="s">
        <v>59</v>
      </c>
      <c r="B58" s="42">
        <v>0</v>
      </c>
      <c r="C58" s="10">
        <v>0</v>
      </c>
      <c r="D58" s="10">
        <v>0</v>
      </c>
      <c r="E58" s="42">
        <v>0</v>
      </c>
      <c r="F58" s="10">
        <v>0</v>
      </c>
      <c r="G58" s="10">
        <v>0</v>
      </c>
      <c r="H58" s="10">
        <v>0</v>
      </c>
      <c r="I58" s="10">
        <v>0</v>
      </c>
      <c r="J58" s="58">
        <v>0</v>
      </c>
      <c r="K58" s="77">
        <f t="shared" si="0"/>
        <v>0</v>
      </c>
      <c r="L58" s="91">
        <v>0</v>
      </c>
      <c r="M58" s="77">
        <f t="shared" si="1"/>
        <v>0</v>
      </c>
      <c r="N58" s="108">
        <v>0</v>
      </c>
    </row>
    <row r="59" spans="1:21" x14ac:dyDescent="0.15">
      <c r="A59" s="14" t="s">
        <v>60</v>
      </c>
      <c r="B59" s="42">
        <v>1337</v>
      </c>
      <c r="C59" s="10">
        <v>1029</v>
      </c>
      <c r="D59" s="10">
        <v>276</v>
      </c>
      <c r="E59" s="42">
        <v>254</v>
      </c>
      <c r="F59" s="12" t="s">
        <v>98</v>
      </c>
      <c r="G59" s="12" t="s">
        <v>98</v>
      </c>
      <c r="H59" s="12" t="s">
        <v>98</v>
      </c>
      <c r="I59" s="12" t="s">
        <v>98</v>
      </c>
      <c r="J59" s="64" t="s">
        <v>98</v>
      </c>
      <c r="K59" s="77">
        <f t="shared" si="0"/>
        <v>2896</v>
      </c>
      <c r="L59" s="91">
        <v>1149</v>
      </c>
      <c r="M59" s="77">
        <f t="shared" si="1"/>
        <v>1149</v>
      </c>
      <c r="N59" s="108">
        <v>18806</v>
      </c>
    </row>
    <row r="60" spans="1:21" x14ac:dyDescent="0.15">
      <c r="A60" s="14" t="s">
        <v>61</v>
      </c>
      <c r="B60" s="42">
        <v>0</v>
      </c>
      <c r="C60" s="10">
        <v>0</v>
      </c>
      <c r="D60" s="10">
        <v>0</v>
      </c>
      <c r="E60" s="42">
        <v>0</v>
      </c>
      <c r="F60" s="10">
        <v>0</v>
      </c>
      <c r="G60" s="10">
        <v>0</v>
      </c>
      <c r="H60" s="10">
        <v>0</v>
      </c>
      <c r="I60" s="10">
        <v>0</v>
      </c>
      <c r="J60" s="58">
        <v>0</v>
      </c>
      <c r="K60" s="77">
        <f t="shared" si="0"/>
        <v>0</v>
      </c>
      <c r="L60" s="91">
        <v>0</v>
      </c>
      <c r="M60" s="77">
        <f t="shared" si="1"/>
        <v>0</v>
      </c>
      <c r="N60" s="108">
        <v>0</v>
      </c>
    </row>
    <row r="61" spans="1:21" ht="14.25" thickBot="1" x14ac:dyDescent="0.2">
      <c r="A61" s="30" t="s">
        <v>62</v>
      </c>
      <c r="B61" s="45">
        <v>72587</v>
      </c>
      <c r="C61" s="31">
        <v>55569</v>
      </c>
      <c r="D61" s="31">
        <v>276</v>
      </c>
      <c r="E61" s="45">
        <v>254</v>
      </c>
      <c r="F61" s="31">
        <v>0</v>
      </c>
      <c r="G61" s="31">
        <v>0</v>
      </c>
      <c r="H61" s="31">
        <v>0</v>
      </c>
      <c r="I61" s="31">
        <v>0</v>
      </c>
      <c r="J61" s="61">
        <v>0</v>
      </c>
      <c r="K61" s="80">
        <f t="shared" si="0"/>
        <v>128686</v>
      </c>
      <c r="L61" s="94">
        <v>55689</v>
      </c>
      <c r="M61" s="80">
        <f t="shared" si="1"/>
        <v>55689</v>
      </c>
      <c r="N61" s="111">
        <v>962846</v>
      </c>
    </row>
    <row r="62" spans="1:21" ht="14.25" thickBot="1" x14ac:dyDescent="0.2">
      <c r="A62" s="32" t="s">
        <v>63</v>
      </c>
      <c r="B62" s="46">
        <v>366003</v>
      </c>
      <c r="C62" s="33">
        <v>282839</v>
      </c>
      <c r="D62" s="33">
        <v>89109</v>
      </c>
      <c r="E62" s="46">
        <v>82936</v>
      </c>
      <c r="F62" s="33">
        <v>72240</v>
      </c>
      <c r="G62" s="33">
        <v>81900</v>
      </c>
      <c r="H62" s="33">
        <v>81900</v>
      </c>
      <c r="I62" s="33">
        <v>76230</v>
      </c>
      <c r="J62" s="62">
        <v>28636</v>
      </c>
      <c r="K62" s="81">
        <f t="shared" si="0"/>
        <v>1161793</v>
      </c>
      <c r="L62" s="95">
        <v>320997</v>
      </c>
      <c r="M62" s="81">
        <f t="shared" si="1"/>
        <v>320997</v>
      </c>
      <c r="N62" s="112">
        <v>5551684</v>
      </c>
    </row>
    <row r="63" spans="1:21" x14ac:dyDescent="0.15">
      <c r="A63" s="27" t="s">
        <v>64</v>
      </c>
      <c r="B63" s="44">
        <v>10540</v>
      </c>
      <c r="C63" s="28">
        <v>6110</v>
      </c>
      <c r="D63" s="28">
        <v>170</v>
      </c>
      <c r="E63" s="44">
        <v>0</v>
      </c>
      <c r="F63" s="28">
        <v>0</v>
      </c>
      <c r="G63" s="28">
        <v>0</v>
      </c>
      <c r="H63" s="28">
        <v>0</v>
      </c>
      <c r="I63" s="28">
        <v>0</v>
      </c>
      <c r="J63" s="60">
        <v>0</v>
      </c>
      <c r="K63" s="79">
        <f t="shared" si="0"/>
        <v>16820</v>
      </c>
      <c r="L63" s="93">
        <v>10100</v>
      </c>
      <c r="M63" s="79">
        <f t="shared" si="1"/>
        <v>10100</v>
      </c>
      <c r="N63" s="110">
        <v>125690</v>
      </c>
    </row>
    <row r="64" spans="1:21" x14ac:dyDescent="0.15">
      <c r="A64" s="14" t="s">
        <v>65</v>
      </c>
      <c r="B64" s="42">
        <v>0</v>
      </c>
      <c r="C64" s="10">
        <v>0</v>
      </c>
      <c r="D64" s="10">
        <v>0</v>
      </c>
      <c r="E64" s="42">
        <v>0</v>
      </c>
      <c r="F64" s="10">
        <v>0</v>
      </c>
      <c r="G64" s="10">
        <v>0</v>
      </c>
      <c r="H64" s="10">
        <v>0</v>
      </c>
      <c r="I64" s="10">
        <v>0</v>
      </c>
      <c r="J64" s="58">
        <v>0</v>
      </c>
      <c r="K64" s="77">
        <f t="shared" si="0"/>
        <v>0</v>
      </c>
      <c r="L64" s="91">
        <v>0</v>
      </c>
      <c r="M64" s="77">
        <f t="shared" si="1"/>
        <v>0</v>
      </c>
      <c r="N64" s="108">
        <v>15600</v>
      </c>
    </row>
    <row r="65" spans="1:14" x14ac:dyDescent="0.15">
      <c r="A65" s="14" t="s">
        <v>66</v>
      </c>
      <c r="B65" s="42">
        <v>26900</v>
      </c>
      <c r="C65" s="10">
        <v>15000</v>
      </c>
      <c r="D65" s="10">
        <v>600</v>
      </c>
      <c r="E65" s="42">
        <v>0</v>
      </c>
      <c r="F65" s="10">
        <v>1100</v>
      </c>
      <c r="G65" s="10">
        <v>0</v>
      </c>
      <c r="H65" s="10">
        <v>3500</v>
      </c>
      <c r="I65" s="10">
        <v>0</v>
      </c>
      <c r="J65" s="58">
        <v>0</v>
      </c>
      <c r="K65" s="77">
        <f t="shared" si="0"/>
        <v>47100</v>
      </c>
      <c r="L65" s="91">
        <v>15600</v>
      </c>
      <c r="M65" s="77">
        <f t="shared" si="1"/>
        <v>15600</v>
      </c>
      <c r="N65" s="108">
        <v>239900</v>
      </c>
    </row>
    <row r="66" spans="1:14" x14ac:dyDescent="0.15">
      <c r="A66" s="14" t="s">
        <v>67</v>
      </c>
      <c r="B66" s="42">
        <v>0</v>
      </c>
      <c r="C66" s="10">
        <v>0</v>
      </c>
      <c r="D66" s="10">
        <v>0</v>
      </c>
      <c r="E66" s="42">
        <v>0</v>
      </c>
      <c r="F66" s="10">
        <v>0</v>
      </c>
      <c r="G66" s="10">
        <v>0</v>
      </c>
      <c r="H66" s="10">
        <v>0</v>
      </c>
      <c r="I66" s="10">
        <v>0</v>
      </c>
      <c r="J66" s="58">
        <v>0</v>
      </c>
      <c r="K66" s="77">
        <f t="shared" si="0"/>
        <v>0</v>
      </c>
      <c r="L66" s="91">
        <v>0</v>
      </c>
      <c r="M66" s="77">
        <f t="shared" si="1"/>
        <v>0</v>
      </c>
      <c r="N66" s="108">
        <v>10000</v>
      </c>
    </row>
    <row r="67" spans="1:14" x14ac:dyDescent="0.15">
      <c r="A67" s="14" t="s">
        <v>68</v>
      </c>
      <c r="B67" s="42">
        <v>0</v>
      </c>
      <c r="C67" s="10">
        <v>0</v>
      </c>
      <c r="D67" s="10">
        <v>0</v>
      </c>
      <c r="E67" s="42">
        <v>0</v>
      </c>
      <c r="F67" s="10">
        <v>0</v>
      </c>
      <c r="G67" s="10">
        <v>0</v>
      </c>
      <c r="H67" s="10">
        <v>0</v>
      </c>
      <c r="I67" s="10">
        <v>0</v>
      </c>
      <c r="J67" s="58">
        <v>0</v>
      </c>
      <c r="K67" s="77">
        <f t="shared" si="0"/>
        <v>0</v>
      </c>
      <c r="L67" s="91">
        <v>0</v>
      </c>
      <c r="M67" s="77">
        <f t="shared" si="1"/>
        <v>0</v>
      </c>
      <c r="N67" s="108">
        <v>0</v>
      </c>
    </row>
    <row r="68" spans="1:14" x14ac:dyDescent="0.15">
      <c r="A68" s="14" t="s">
        <v>69</v>
      </c>
      <c r="B68" s="42">
        <v>0</v>
      </c>
      <c r="C68" s="10">
        <v>0</v>
      </c>
      <c r="D68" s="10">
        <v>0</v>
      </c>
      <c r="E68" s="42">
        <v>0</v>
      </c>
      <c r="F68" s="10">
        <v>0</v>
      </c>
      <c r="G68" s="10">
        <v>0</v>
      </c>
      <c r="H68" s="10">
        <v>0</v>
      </c>
      <c r="I68" s="10">
        <v>0</v>
      </c>
      <c r="J68" s="58">
        <v>0</v>
      </c>
      <c r="K68" s="77">
        <f t="shared" si="0"/>
        <v>0</v>
      </c>
      <c r="L68" s="91">
        <v>0</v>
      </c>
      <c r="M68" s="77">
        <f t="shared" si="1"/>
        <v>0</v>
      </c>
      <c r="N68" s="108">
        <v>0</v>
      </c>
    </row>
    <row r="69" spans="1:14" ht="14.25" thickBot="1" x14ac:dyDescent="0.2">
      <c r="A69" s="30" t="s">
        <v>70</v>
      </c>
      <c r="B69" s="45">
        <v>37440</v>
      </c>
      <c r="C69" s="31">
        <v>21110</v>
      </c>
      <c r="D69" s="31">
        <v>770</v>
      </c>
      <c r="E69" s="45">
        <v>0</v>
      </c>
      <c r="F69" s="31">
        <v>1100</v>
      </c>
      <c r="G69" s="31">
        <v>0</v>
      </c>
      <c r="H69" s="31">
        <v>3500</v>
      </c>
      <c r="I69" s="31">
        <v>0</v>
      </c>
      <c r="J69" s="61">
        <v>0</v>
      </c>
      <c r="K69" s="80">
        <f t="shared" si="0"/>
        <v>63920</v>
      </c>
      <c r="L69" s="94">
        <v>25700</v>
      </c>
      <c r="M69" s="80">
        <f t="shared" si="1"/>
        <v>25700</v>
      </c>
      <c r="N69" s="111">
        <v>391190</v>
      </c>
    </row>
    <row r="70" spans="1:14" ht="14.25" thickBot="1" x14ac:dyDescent="0.2">
      <c r="A70" s="32" t="s">
        <v>71</v>
      </c>
      <c r="B70" s="46">
        <v>110027</v>
      </c>
      <c r="C70" s="33">
        <v>76679</v>
      </c>
      <c r="D70" s="33">
        <v>1046</v>
      </c>
      <c r="E70" s="46">
        <v>254</v>
      </c>
      <c r="F70" s="33">
        <v>1100</v>
      </c>
      <c r="G70" s="33">
        <v>0</v>
      </c>
      <c r="H70" s="33">
        <v>3500</v>
      </c>
      <c r="I70" s="33">
        <v>0</v>
      </c>
      <c r="J70" s="62">
        <v>0</v>
      </c>
      <c r="K70" s="81">
        <f t="shared" si="0"/>
        <v>192606</v>
      </c>
      <c r="L70" s="95">
        <v>81389</v>
      </c>
      <c r="M70" s="81">
        <f t="shared" si="1"/>
        <v>81389</v>
      </c>
      <c r="N70" s="112">
        <v>1354036</v>
      </c>
    </row>
    <row r="71" spans="1:14" ht="14.25" thickBot="1" x14ac:dyDescent="0.2">
      <c r="A71" s="32" t="s">
        <v>72</v>
      </c>
      <c r="B71" s="46">
        <v>335649</v>
      </c>
      <c r="C71" s="33">
        <v>266166</v>
      </c>
      <c r="D71" s="33">
        <v>90804</v>
      </c>
      <c r="E71" s="46">
        <v>84374</v>
      </c>
      <c r="F71" s="33">
        <v>77754</v>
      </c>
      <c r="G71" s="33">
        <v>84365</v>
      </c>
      <c r="H71" s="33">
        <v>81481</v>
      </c>
      <c r="I71" s="33">
        <v>79845</v>
      </c>
      <c r="J71" s="62">
        <v>29704</v>
      </c>
      <c r="K71" s="81">
        <f t="shared" si="0"/>
        <v>1130142</v>
      </c>
      <c r="L71" s="95">
        <v>301705</v>
      </c>
      <c r="M71" s="81">
        <f t="shared" si="1"/>
        <v>301705</v>
      </c>
      <c r="N71" s="112">
        <v>5271966</v>
      </c>
    </row>
    <row r="72" spans="1:14" x14ac:dyDescent="0.15">
      <c r="A72" s="27" t="s">
        <v>73</v>
      </c>
      <c r="B72" s="44">
        <v>0</v>
      </c>
      <c r="C72" s="28">
        <v>0</v>
      </c>
      <c r="D72" s="28">
        <v>0</v>
      </c>
      <c r="E72" s="44">
        <v>0</v>
      </c>
      <c r="F72" s="28">
        <v>0</v>
      </c>
      <c r="G72" s="28">
        <v>0</v>
      </c>
      <c r="H72" s="28">
        <v>0</v>
      </c>
      <c r="I72" s="28">
        <v>0</v>
      </c>
      <c r="J72" s="60">
        <v>0</v>
      </c>
      <c r="K72" s="79">
        <f t="shared" si="0"/>
        <v>0</v>
      </c>
      <c r="L72" s="93">
        <v>0</v>
      </c>
      <c r="M72" s="79">
        <f t="shared" si="1"/>
        <v>0</v>
      </c>
      <c r="N72" s="110">
        <v>0</v>
      </c>
    </row>
    <row r="73" spans="1:14" x14ac:dyDescent="0.15">
      <c r="A73" s="14" t="s">
        <v>74</v>
      </c>
      <c r="B73" s="42">
        <v>335649</v>
      </c>
      <c r="C73" s="10">
        <v>266166</v>
      </c>
      <c r="D73" s="10">
        <v>90804</v>
      </c>
      <c r="E73" s="42">
        <v>84374</v>
      </c>
      <c r="F73" s="10">
        <v>77754</v>
      </c>
      <c r="G73" s="10">
        <v>84365</v>
      </c>
      <c r="H73" s="10">
        <v>81481</v>
      </c>
      <c r="I73" s="10">
        <v>79845</v>
      </c>
      <c r="J73" s="58">
        <v>29704</v>
      </c>
      <c r="K73" s="77">
        <f t="shared" si="0"/>
        <v>1130142</v>
      </c>
      <c r="L73" s="91">
        <v>301705</v>
      </c>
      <c r="M73" s="77">
        <f t="shared" si="1"/>
        <v>301705</v>
      </c>
      <c r="N73" s="108">
        <v>5271966</v>
      </c>
    </row>
    <row r="74" spans="1:14" x14ac:dyDescent="0.15">
      <c r="A74" s="14" t="s">
        <v>75</v>
      </c>
      <c r="B74" s="47">
        <v>35</v>
      </c>
      <c r="C74" s="11">
        <v>35</v>
      </c>
      <c r="D74" s="11">
        <v>14</v>
      </c>
      <c r="E74" s="47">
        <v>15</v>
      </c>
      <c r="F74" s="11">
        <v>22</v>
      </c>
      <c r="G74" s="11">
        <v>5</v>
      </c>
      <c r="H74" s="11">
        <v>1</v>
      </c>
      <c r="I74" s="11">
        <v>0</v>
      </c>
      <c r="J74" s="63">
        <v>3</v>
      </c>
      <c r="K74" s="82"/>
      <c r="L74" s="96">
        <v>30</v>
      </c>
      <c r="M74" s="82"/>
      <c r="N74" s="113">
        <v>508</v>
      </c>
    </row>
    <row r="75" spans="1:14" x14ac:dyDescent="0.15">
      <c r="A75" s="14" t="s">
        <v>76</v>
      </c>
      <c r="B75" s="48">
        <v>1</v>
      </c>
      <c r="C75" s="12">
        <v>1</v>
      </c>
      <c r="D75" s="12"/>
      <c r="E75" s="48"/>
      <c r="F75" s="12"/>
      <c r="G75" s="12">
        <v>1</v>
      </c>
      <c r="H75" s="12">
        <v>1</v>
      </c>
      <c r="I75" s="12">
        <v>1</v>
      </c>
      <c r="J75" s="64">
        <v>1</v>
      </c>
      <c r="K75" s="83"/>
      <c r="L75" s="97"/>
      <c r="M75" s="83"/>
      <c r="N75" s="114"/>
    </row>
    <row r="76" spans="1:14" ht="14.25" thickBot="1" x14ac:dyDescent="0.2">
      <c r="A76" s="15" t="s">
        <v>77</v>
      </c>
      <c r="B76" s="49" t="s">
        <v>78</v>
      </c>
      <c r="C76" s="16"/>
      <c r="D76" s="16" t="s">
        <v>78</v>
      </c>
      <c r="E76" s="49" t="s">
        <v>78</v>
      </c>
      <c r="F76" s="16" t="s">
        <v>78</v>
      </c>
      <c r="G76" s="16" t="s">
        <v>78</v>
      </c>
      <c r="H76" s="16" t="s">
        <v>78</v>
      </c>
      <c r="I76" s="16" t="s">
        <v>78</v>
      </c>
      <c r="J76" s="65" t="s">
        <v>78</v>
      </c>
      <c r="K76" s="84"/>
      <c r="L76" s="98" t="s">
        <v>78</v>
      </c>
      <c r="M76" s="84"/>
      <c r="N76" s="115"/>
    </row>
  </sheetData>
  <phoneticPr fontId="1"/>
  <pageMargins left="0.43307086614173229" right="0.35433070866141736" top="0.51181102362204722" bottom="0.35433070866141736" header="0.19685039370078741" footer="0.27559055118110237"/>
  <pageSetup paperSize="12" scale="7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DD15-6DFF-413C-9E95-0C299AB97D88}">
  <sheetPr>
    <pageSetUpPr fitToPage="1"/>
  </sheetPr>
  <dimension ref="A1:AS76"/>
  <sheetViews>
    <sheetView tabSelected="1" zoomScale="80" zoomScaleNormal="80" workbookViewId="0">
      <pane xSplit="1" ySplit="5" topLeftCell="F33" activePane="bottomRight" state="frozen"/>
      <selection pane="topRight" activeCell="B1" sqref="B1"/>
      <selection pane="bottomLeft" activeCell="A6" sqref="A6"/>
      <selection pane="bottomRight" activeCell="C9" sqref="C9"/>
    </sheetView>
  </sheetViews>
  <sheetFormatPr defaultRowHeight="13.5" x14ac:dyDescent="0.15"/>
  <cols>
    <col min="1" max="1" width="17.625" style="2" customWidth="1"/>
    <col min="2" max="19" width="10.625" style="2" customWidth="1"/>
    <col min="20" max="26" width="10.5" style="2" customWidth="1"/>
    <col min="27" max="16384" width="9" style="2"/>
  </cols>
  <sheetData>
    <row r="1" spans="1:45" x14ac:dyDescent="0.1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14.25" thickBot="1" x14ac:dyDescent="0.2">
      <c r="A2" s="1">
        <v>13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15">
      <c r="A3" s="17" t="s">
        <v>0</v>
      </c>
      <c r="B3" s="18" t="s">
        <v>6</v>
      </c>
      <c r="C3" s="18" t="s">
        <v>6</v>
      </c>
      <c r="D3" s="18" t="s">
        <v>6</v>
      </c>
      <c r="E3" s="18" t="s">
        <v>6</v>
      </c>
      <c r="F3" s="18" t="s">
        <v>6</v>
      </c>
      <c r="G3" s="34" t="s">
        <v>6</v>
      </c>
      <c r="H3" s="18" t="s">
        <v>6</v>
      </c>
      <c r="I3" s="18" t="s">
        <v>6</v>
      </c>
      <c r="J3" s="18" t="s">
        <v>6</v>
      </c>
      <c r="K3" s="18" t="s">
        <v>6</v>
      </c>
      <c r="L3" s="34" t="s">
        <v>6</v>
      </c>
      <c r="M3" s="18" t="s">
        <v>6</v>
      </c>
      <c r="N3" s="18" t="s">
        <v>6</v>
      </c>
      <c r="O3" s="18" t="s">
        <v>6</v>
      </c>
      <c r="P3" s="18" t="s">
        <v>6</v>
      </c>
      <c r="Q3" s="34" t="s">
        <v>6</v>
      </c>
      <c r="R3" s="51" t="s">
        <v>6</v>
      </c>
      <c r="S3" s="68" t="s">
        <v>104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15">
      <c r="A4" s="19"/>
      <c r="B4" s="20">
        <v>1087</v>
      </c>
      <c r="C4" s="20">
        <v>1088</v>
      </c>
      <c r="D4" s="20">
        <v>1096</v>
      </c>
      <c r="E4" s="20">
        <v>1006</v>
      </c>
      <c r="F4" s="20">
        <v>1007</v>
      </c>
      <c r="G4" s="35">
        <v>1015</v>
      </c>
      <c r="H4" s="20">
        <v>1017</v>
      </c>
      <c r="I4" s="20">
        <v>1021</v>
      </c>
      <c r="J4" s="20">
        <v>1022</v>
      </c>
      <c r="K4" s="20">
        <v>1034</v>
      </c>
      <c r="L4" s="35">
        <v>1035</v>
      </c>
      <c r="M4" s="20">
        <v>1039</v>
      </c>
      <c r="N4" s="20">
        <v>1047</v>
      </c>
      <c r="O4" s="20">
        <v>1058</v>
      </c>
      <c r="P4" s="20">
        <v>1065</v>
      </c>
      <c r="Q4" s="35">
        <v>1077</v>
      </c>
      <c r="R4" s="52">
        <v>1080</v>
      </c>
      <c r="S4" s="69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14.25" thickBot="1" x14ac:dyDescent="0.2">
      <c r="A5" s="19" t="s">
        <v>1</v>
      </c>
      <c r="B5" s="20" t="s">
        <v>7</v>
      </c>
      <c r="C5" s="20" t="s">
        <v>25</v>
      </c>
      <c r="D5" s="20" t="s">
        <v>26</v>
      </c>
      <c r="E5" s="20" t="s">
        <v>27</v>
      </c>
      <c r="F5" s="20" t="s">
        <v>28</v>
      </c>
      <c r="G5" s="35" t="s">
        <v>79</v>
      </c>
      <c r="H5" s="20" t="s">
        <v>80</v>
      </c>
      <c r="I5" s="20" t="s">
        <v>81</v>
      </c>
      <c r="J5" s="20" t="s">
        <v>82</v>
      </c>
      <c r="K5" s="20" t="s">
        <v>83</v>
      </c>
      <c r="L5" s="35" t="s">
        <v>84</v>
      </c>
      <c r="M5" s="20" t="s">
        <v>85</v>
      </c>
      <c r="N5" s="20" t="s">
        <v>86</v>
      </c>
      <c r="O5" s="20" t="s">
        <v>87</v>
      </c>
      <c r="P5" s="20" t="s">
        <v>88</v>
      </c>
      <c r="Q5" s="35" t="s">
        <v>89</v>
      </c>
      <c r="R5" s="52" t="s">
        <v>90</v>
      </c>
      <c r="S5" s="70" t="s">
        <v>105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15">
      <c r="A6" s="21" t="s">
        <v>8</v>
      </c>
      <c r="B6" s="22">
        <v>23</v>
      </c>
      <c r="C6" s="22">
        <v>17</v>
      </c>
      <c r="D6" s="22">
        <v>6</v>
      </c>
      <c r="E6" s="22">
        <v>23</v>
      </c>
      <c r="F6" s="22">
        <v>23</v>
      </c>
      <c r="G6" s="36">
        <v>23</v>
      </c>
      <c r="H6" s="22">
        <v>21</v>
      </c>
      <c r="I6" s="22">
        <v>14</v>
      </c>
      <c r="J6" s="22">
        <v>23</v>
      </c>
      <c r="K6" s="22">
        <v>23</v>
      </c>
      <c r="L6" s="36">
        <v>23</v>
      </c>
      <c r="M6" s="22">
        <v>22</v>
      </c>
      <c r="N6" s="22">
        <v>23</v>
      </c>
      <c r="O6" s="22">
        <v>16</v>
      </c>
      <c r="P6" s="22">
        <v>20</v>
      </c>
      <c r="Q6" s="36">
        <v>24</v>
      </c>
      <c r="R6" s="53">
        <v>20</v>
      </c>
      <c r="S6" s="71">
        <f>SUM(B6:R6)</f>
        <v>344</v>
      </c>
      <c r="T6" s="3"/>
      <c r="U6" s="3"/>
      <c r="V6" s="3"/>
      <c r="W6" s="3"/>
      <c r="X6" s="3"/>
      <c r="Y6" s="3"/>
      <c r="Z6" s="3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15">
      <c r="A7" s="13" t="s">
        <v>9</v>
      </c>
      <c r="B7" s="7">
        <v>2</v>
      </c>
      <c r="C7" s="7">
        <v>3</v>
      </c>
      <c r="D7" s="8"/>
      <c r="E7" s="7">
        <v>1</v>
      </c>
      <c r="F7" s="7">
        <v>2</v>
      </c>
      <c r="G7" s="37">
        <v>2</v>
      </c>
      <c r="H7" s="7">
        <v>3</v>
      </c>
      <c r="I7" s="8"/>
      <c r="J7" s="7">
        <v>3</v>
      </c>
      <c r="K7" s="7">
        <v>2</v>
      </c>
      <c r="L7" s="37">
        <v>2</v>
      </c>
      <c r="M7" s="7">
        <v>3</v>
      </c>
      <c r="N7" s="7">
        <v>1</v>
      </c>
      <c r="O7" s="7">
        <v>3</v>
      </c>
      <c r="P7" s="7">
        <v>2</v>
      </c>
      <c r="Q7" s="37">
        <v>1</v>
      </c>
      <c r="R7" s="66">
        <v>3</v>
      </c>
      <c r="S7" s="72">
        <f>SUM(B7:R7)</f>
        <v>33</v>
      </c>
      <c r="T7" s="4"/>
      <c r="U7" s="4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15">
      <c r="A8" s="13" t="s">
        <v>10</v>
      </c>
      <c r="B8" s="7">
        <v>1</v>
      </c>
      <c r="C8" s="7">
        <v>2</v>
      </c>
      <c r="D8" s="8"/>
      <c r="E8" s="7">
        <v>3</v>
      </c>
      <c r="F8" s="7">
        <v>1</v>
      </c>
      <c r="G8" s="37">
        <v>2</v>
      </c>
      <c r="H8" s="7">
        <v>3</v>
      </c>
      <c r="I8" s="8"/>
      <c r="J8" s="7">
        <v>1</v>
      </c>
      <c r="K8" s="7">
        <v>1</v>
      </c>
      <c r="L8" s="38"/>
      <c r="M8" s="7">
        <v>1</v>
      </c>
      <c r="N8" s="7">
        <v>1</v>
      </c>
      <c r="O8" s="7">
        <v>2</v>
      </c>
      <c r="P8" s="7">
        <v>2</v>
      </c>
      <c r="Q8" s="37">
        <v>2</v>
      </c>
      <c r="R8" s="54"/>
      <c r="S8" s="72">
        <f>SUM(B8:R8)</f>
        <v>22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15">
      <c r="A9" s="13" t="s">
        <v>11</v>
      </c>
      <c r="B9" s="8"/>
      <c r="C9" s="8"/>
      <c r="D9" s="8"/>
      <c r="E9" s="8"/>
      <c r="F9" s="8"/>
      <c r="G9" s="38"/>
      <c r="H9" s="8"/>
      <c r="I9" s="8"/>
      <c r="J9" s="8"/>
      <c r="K9" s="8"/>
      <c r="L9" s="38"/>
      <c r="M9" s="8"/>
      <c r="N9" s="8"/>
      <c r="O9" s="8"/>
      <c r="P9" s="8"/>
      <c r="Q9" s="38"/>
      <c r="R9" s="54"/>
      <c r="S9" s="73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15">
      <c r="A10" s="13" t="s">
        <v>12</v>
      </c>
      <c r="B10" s="8"/>
      <c r="C10" s="8"/>
      <c r="D10" s="8"/>
      <c r="E10" s="8"/>
      <c r="F10" s="8"/>
      <c r="G10" s="38"/>
      <c r="H10" s="8"/>
      <c r="I10" s="8"/>
      <c r="J10" s="8"/>
      <c r="K10" s="8"/>
      <c r="L10" s="38"/>
      <c r="M10" s="8"/>
      <c r="N10" s="8"/>
      <c r="O10" s="8"/>
      <c r="P10" s="8"/>
      <c r="Q10" s="38"/>
      <c r="R10" s="54"/>
      <c r="S10" s="73"/>
      <c r="T10" s="1"/>
      <c r="U10" s="3"/>
      <c r="V10" s="3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15">
      <c r="A11" s="13" t="s">
        <v>13</v>
      </c>
      <c r="B11" s="8"/>
      <c r="C11" s="8"/>
      <c r="D11" s="8"/>
      <c r="E11" s="8"/>
      <c r="F11" s="8"/>
      <c r="G11" s="38"/>
      <c r="H11" s="8"/>
      <c r="I11" s="8"/>
      <c r="J11" s="8"/>
      <c r="K11" s="8"/>
      <c r="L11" s="38"/>
      <c r="M11" s="8"/>
      <c r="N11" s="8"/>
      <c r="O11" s="8"/>
      <c r="P11" s="8"/>
      <c r="Q11" s="38"/>
      <c r="R11" s="54"/>
      <c r="S11" s="73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15">
      <c r="A12" s="13" t="s">
        <v>14</v>
      </c>
      <c r="B12" s="116">
        <v>1</v>
      </c>
      <c r="C12" s="116">
        <v>7</v>
      </c>
      <c r="D12" s="121">
        <v>15</v>
      </c>
      <c r="E12" s="116">
        <v>1</v>
      </c>
      <c r="F12" s="116">
        <v>1</v>
      </c>
      <c r="G12" s="117">
        <v>1</v>
      </c>
      <c r="H12" s="116">
        <v>3</v>
      </c>
      <c r="I12" s="121">
        <v>10</v>
      </c>
      <c r="J12" s="116">
        <v>1</v>
      </c>
      <c r="K12" s="116">
        <v>1</v>
      </c>
      <c r="L12" s="117">
        <v>1</v>
      </c>
      <c r="M12" s="116">
        <v>2</v>
      </c>
      <c r="N12" s="116">
        <v>1</v>
      </c>
      <c r="O12" s="116">
        <v>8</v>
      </c>
      <c r="P12" s="116">
        <v>4</v>
      </c>
      <c r="Q12" s="118"/>
      <c r="R12" s="119">
        <v>4</v>
      </c>
      <c r="S12" s="120">
        <f>SUM(B12:R12)</f>
        <v>61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15">
      <c r="A13" s="13" t="s">
        <v>15</v>
      </c>
      <c r="B13" s="8"/>
      <c r="C13" s="8"/>
      <c r="D13" s="8"/>
      <c r="E13" s="8"/>
      <c r="F13" s="8"/>
      <c r="G13" s="38"/>
      <c r="H13" s="8"/>
      <c r="I13" s="8"/>
      <c r="J13" s="8"/>
      <c r="K13" s="8"/>
      <c r="L13" s="38"/>
      <c r="M13" s="8"/>
      <c r="N13" s="8"/>
      <c r="O13" s="8"/>
      <c r="P13" s="8"/>
      <c r="Q13" s="38"/>
      <c r="R13" s="54"/>
      <c r="S13" s="73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15">
      <c r="A14" s="13" t="s">
        <v>16</v>
      </c>
      <c r="B14" s="9">
        <v>3.7916666666666665</v>
      </c>
      <c r="C14" s="9">
        <v>1.0416666666666667</v>
      </c>
      <c r="D14" s="9">
        <v>0.16666666666666666</v>
      </c>
      <c r="E14" s="9">
        <v>1.7083333333333333</v>
      </c>
      <c r="F14" s="9">
        <v>2.7083333333333335</v>
      </c>
      <c r="G14" s="39">
        <v>2.3333333333333335</v>
      </c>
      <c r="H14" s="9">
        <v>2.9583333333333335</v>
      </c>
      <c r="I14" s="9">
        <v>0.375</v>
      </c>
      <c r="J14" s="9">
        <v>3.7083333333333335</v>
      </c>
      <c r="K14" s="9">
        <v>3</v>
      </c>
      <c r="L14" s="39">
        <v>2.75</v>
      </c>
      <c r="M14" s="9">
        <v>2.3333333333333335</v>
      </c>
      <c r="N14" s="9">
        <v>2.875</v>
      </c>
      <c r="O14" s="9">
        <v>1</v>
      </c>
      <c r="P14" s="9">
        <v>2.0416666666666665</v>
      </c>
      <c r="Q14" s="39">
        <v>2.375</v>
      </c>
      <c r="R14" s="55">
        <v>1.2916666666666667</v>
      </c>
      <c r="S14" s="74">
        <f>SUM(B14:R14)</f>
        <v>36.458333333333329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15">
      <c r="A15" s="13" t="s">
        <v>17</v>
      </c>
      <c r="B15" s="9">
        <v>0.95833333333333337</v>
      </c>
      <c r="C15" s="9">
        <v>1.0416666666666667</v>
      </c>
      <c r="D15" s="8"/>
      <c r="E15" s="9">
        <v>0.29166666666666669</v>
      </c>
      <c r="F15" s="9">
        <v>0.45833333333333331</v>
      </c>
      <c r="G15" s="39">
        <v>0.79166666666666663</v>
      </c>
      <c r="H15" s="9">
        <v>0.79166666666666663</v>
      </c>
      <c r="I15" s="8"/>
      <c r="J15" s="9">
        <v>1.25</v>
      </c>
      <c r="K15" s="9">
        <v>0.54166666666666663</v>
      </c>
      <c r="L15" s="39">
        <v>0.5</v>
      </c>
      <c r="M15" s="9">
        <v>1.1666666666666667</v>
      </c>
      <c r="N15" s="9">
        <v>0.375</v>
      </c>
      <c r="O15" s="9">
        <v>1.4583333333333333</v>
      </c>
      <c r="P15" s="9">
        <v>0.79166666666666663</v>
      </c>
      <c r="Q15" s="39">
        <v>0.16666666666666666</v>
      </c>
      <c r="R15" s="55">
        <v>1.1666666666666667</v>
      </c>
      <c r="S15" s="74">
        <f t="shared" ref="S15" si="0">SUM(B15:R15)</f>
        <v>11.75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15">
      <c r="A16" s="13" t="s">
        <v>18</v>
      </c>
      <c r="B16" s="9">
        <v>0.45833333333333331</v>
      </c>
      <c r="C16" s="9">
        <v>0.66666666666666663</v>
      </c>
      <c r="D16" s="8"/>
      <c r="E16" s="9">
        <v>1.2916666666666667</v>
      </c>
      <c r="F16" s="9">
        <v>0.41666666666666669</v>
      </c>
      <c r="G16" s="39">
        <v>0.83333333333333337</v>
      </c>
      <c r="H16" s="9">
        <v>1.4166666666666667</v>
      </c>
      <c r="I16" s="8"/>
      <c r="J16" s="9">
        <v>0.41666666666666669</v>
      </c>
      <c r="K16" s="9">
        <v>0.45833333333333331</v>
      </c>
      <c r="L16" s="38"/>
      <c r="M16" s="9">
        <v>0.5</v>
      </c>
      <c r="N16" s="9">
        <v>0.54166666666666663</v>
      </c>
      <c r="O16" s="9">
        <v>0.70833333333333337</v>
      </c>
      <c r="P16" s="9">
        <v>0.45833333333333331</v>
      </c>
      <c r="Q16" s="39">
        <v>0.70833333333333337</v>
      </c>
      <c r="R16" s="54"/>
      <c r="S16" s="74">
        <f>SUM(B16:R16)</f>
        <v>8.8750000000000018</v>
      </c>
      <c r="T16" s="5"/>
      <c r="U16" s="5"/>
      <c r="V16" s="5"/>
      <c r="W16" s="5"/>
      <c r="X16" s="5"/>
      <c r="Y16" s="5"/>
      <c r="Z16" s="5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15">
      <c r="A17" s="13" t="s">
        <v>19</v>
      </c>
      <c r="B17" s="8"/>
      <c r="C17" s="8"/>
      <c r="D17" s="8"/>
      <c r="E17" s="8"/>
      <c r="F17" s="8"/>
      <c r="G17" s="38"/>
      <c r="H17" s="8"/>
      <c r="I17" s="8"/>
      <c r="J17" s="8"/>
      <c r="K17" s="8"/>
      <c r="L17" s="38"/>
      <c r="M17" s="8"/>
      <c r="N17" s="8"/>
      <c r="O17" s="8"/>
      <c r="P17" s="8"/>
      <c r="Q17" s="38"/>
      <c r="R17" s="54"/>
      <c r="S17" s="73"/>
      <c r="T17" s="5"/>
      <c r="U17" s="5"/>
      <c r="V17" s="5"/>
      <c r="W17" s="5"/>
      <c r="X17" s="5"/>
      <c r="Y17" s="5"/>
      <c r="Z17" s="5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15">
      <c r="A18" s="13" t="s">
        <v>20</v>
      </c>
      <c r="B18" s="8"/>
      <c r="C18" s="8"/>
      <c r="D18" s="8"/>
      <c r="E18" s="8"/>
      <c r="F18" s="8"/>
      <c r="G18" s="38"/>
      <c r="H18" s="8"/>
      <c r="I18" s="8"/>
      <c r="J18" s="8"/>
      <c r="K18" s="8"/>
      <c r="L18" s="38"/>
      <c r="M18" s="8"/>
      <c r="N18" s="8"/>
      <c r="O18" s="8"/>
      <c r="P18" s="8"/>
      <c r="Q18" s="38"/>
      <c r="R18" s="54"/>
      <c r="S18" s="73"/>
      <c r="T18" s="5"/>
      <c r="U18" s="5"/>
      <c r="V18" s="5"/>
      <c r="W18" s="5"/>
      <c r="X18" s="5"/>
      <c r="Y18" s="5"/>
      <c r="Z18" s="5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15">
      <c r="A19" s="13" t="s">
        <v>21</v>
      </c>
      <c r="B19" s="8"/>
      <c r="C19" s="8"/>
      <c r="D19" s="8"/>
      <c r="E19" s="8"/>
      <c r="F19" s="8"/>
      <c r="G19" s="38"/>
      <c r="H19" s="8"/>
      <c r="I19" s="8"/>
      <c r="J19" s="8"/>
      <c r="K19" s="8"/>
      <c r="L19" s="38"/>
      <c r="M19" s="8"/>
      <c r="N19" s="8"/>
      <c r="O19" s="8"/>
      <c r="P19" s="8"/>
      <c r="Q19" s="38"/>
      <c r="R19" s="54"/>
      <c r="S19" s="73"/>
      <c r="T19" s="5"/>
      <c r="U19" s="5"/>
      <c r="V19" s="5"/>
      <c r="W19" s="5"/>
      <c r="X19" s="5"/>
      <c r="Y19" s="5"/>
      <c r="Z19" s="5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15">
      <c r="A20" s="13" t="s">
        <v>22</v>
      </c>
      <c r="B20" s="8"/>
      <c r="C20" s="8"/>
      <c r="D20" s="8"/>
      <c r="E20" s="8"/>
      <c r="F20" s="8"/>
      <c r="G20" s="38"/>
      <c r="H20" s="8"/>
      <c r="I20" s="8"/>
      <c r="J20" s="8"/>
      <c r="K20" s="8"/>
      <c r="L20" s="38"/>
      <c r="M20" s="8"/>
      <c r="N20" s="8"/>
      <c r="O20" s="8"/>
      <c r="P20" s="8"/>
      <c r="Q20" s="38"/>
      <c r="R20" s="54"/>
      <c r="S20" s="73"/>
      <c r="T20" s="5"/>
      <c r="U20" s="5"/>
      <c r="V20" s="5"/>
      <c r="W20" s="5"/>
      <c r="X20" s="5"/>
      <c r="Y20" s="5"/>
      <c r="Z20" s="5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15">
      <c r="A21" s="13" t="s">
        <v>23</v>
      </c>
      <c r="B21" s="8"/>
      <c r="C21" s="8"/>
      <c r="D21" s="8"/>
      <c r="E21" s="8"/>
      <c r="F21" s="8"/>
      <c r="G21" s="38"/>
      <c r="H21" s="8"/>
      <c r="I21" s="8"/>
      <c r="J21" s="8"/>
      <c r="K21" s="8"/>
      <c r="L21" s="38"/>
      <c r="M21" s="8"/>
      <c r="N21" s="8"/>
      <c r="O21" s="8"/>
      <c r="P21" s="8"/>
      <c r="Q21" s="38"/>
      <c r="R21" s="54"/>
      <c r="S21" s="73"/>
      <c r="T21" s="5"/>
      <c r="U21" s="5"/>
      <c r="V21" s="5"/>
      <c r="W21" s="5"/>
      <c r="X21" s="5"/>
      <c r="Y21" s="5"/>
      <c r="Z21" s="5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4.25" thickBot="1" x14ac:dyDescent="0.2">
      <c r="A22" s="23" t="s">
        <v>24</v>
      </c>
      <c r="B22" s="24">
        <v>1.875</v>
      </c>
      <c r="C22" s="24">
        <v>1.125</v>
      </c>
      <c r="D22" s="25"/>
      <c r="E22" s="24">
        <v>0.45833333333333331</v>
      </c>
      <c r="F22" s="24">
        <v>0.20833333333333334</v>
      </c>
      <c r="G22" s="40"/>
      <c r="H22" s="24">
        <v>1.2916666666666667</v>
      </c>
      <c r="I22" s="24">
        <v>0.375</v>
      </c>
      <c r="J22" s="24">
        <v>1.5833333333333333</v>
      </c>
      <c r="K22" s="24">
        <v>0.29166666666666669</v>
      </c>
      <c r="L22" s="50">
        <v>0.25</v>
      </c>
      <c r="M22" s="24">
        <v>0.125</v>
      </c>
      <c r="N22" s="24">
        <v>0.625</v>
      </c>
      <c r="O22" s="24">
        <v>0.33333333333333331</v>
      </c>
      <c r="P22" s="24">
        <v>1</v>
      </c>
      <c r="Q22" s="50">
        <v>0.125</v>
      </c>
      <c r="R22" s="67">
        <v>1.7083333333333333</v>
      </c>
      <c r="S22" s="75">
        <f>SUM(B22:R22)</f>
        <v>11.375000000000002</v>
      </c>
      <c r="T22" s="5"/>
      <c r="U22" s="5"/>
      <c r="V22" s="5"/>
      <c r="W22" s="5"/>
      <c r="X22" s="5"/>
      <c r="Y22" s="5"/>
      <c r="Z22" s="5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15">
      <c r="A23" s="21" t="s">
        <v>29</v>
      </c>
      <c r="B23" s="26">
        <v>170000</v>
      </c>
      <c r="C23" s="26">
        <v>175000</v>
      </c>
      <c r="D23" s="26">
        <v>170000</v>
      </c>
      <c r="E23" s="26">
        <v>182000</v>
      </c>
      <c r="F23" s="26">
        <v>187000</v>
      </c>
      <c r="G23" s="41">
        <v>192000</v>
      </c>
      <c r="H23" s="26">
        <v>192000</v>
      </c>
      <c r="I23" s="26">
        <v>192000</v>
      </c>
      <c r="J23" s="26">
        <v>187000</v>
      </c>
      <c r="K23" s="26">
        <v>172000</v>
      </c>
      <c r="L23" s="41">
        <v>172000</v>
      </c>
      <c r="M23" s="26">
        <v>172000</v>
      </c>
      <c r="N23" s="26">
        <v>177000</v>
      </c>
      <c r="O23" s="26">
        <v>170000</v>
      </c>
      <c r="P23" s="26">
        <v>175000</v>
      </c>
      <c r="Q23" s="41">
        <v>170000</v>
      </c>
      <c r="R23" s="57">
        <v>175000</v>
      </c>
      <c r="S23" s="76">
        <f>SUM(B23:R23)</f>
        <v>3030000</v>
      </c>
      <c r="T23" s="5"/>
      <c r="U23" s="5"/>
      <c r="V23" s="5"/>
      <c r="W23" s="5"/>
      <c r="X23" s="5"/>
      <c r="Y23" s="5"/>
      <c r="Z23" s="5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15">
      <c r="A24" s="13" t="s">
        <v>30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38">
        <v>20000</v>
      </c>
      <c r="H24" s="8">
        <v>5000</v>
      </c>
      <c r="I24" s="8">
        <v>20000</v>
      </c>
      <c r="J24" s="8">
        <v>5000</v>
      </c>
      <c r="K24" s="8">
        <v>0</v>
      </c>
      <c r="L24" s="38">
        <v>0</v>
      </c>
      <c r="M24" s="8">
        <v>0</v>
      </c>
      <c r="N24" s="8">
        <v>0</v>
      </c>
      <c r="O24" s="8">
        <v>0</v>
      </c>
      <c r="P24" s="8">
        <v>0</v>
      </c>
      <c r="Q24" s="38">
        <v>0</v>
      </c>
      <c r="R24" s="54">
        <v>0</v>
      </c>
      <c r="S24" s="73">
        <f t="shared" ref="S24:S73" si="1">SUM(B24:R24)</f>
        <v>50000</v>
      </c>
      <c r="T24" s="5"/>
      <c r="U24" s="5"/>
      <c r="V24" s="5"/>
      <c r="W24" s="5"/>
      <c r="X24" s="5"/>
      <c r="Y24" s="5"/>
      <c r="Z24" s="5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15">
      <c r="A25" s="13" t="s">
        <v>31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38">
        <v>3000</v>
      </c>
      <c r="H25" s="8">
        <v>0</v>
      </c>
      <c r="I25" s="8">
        <v>0</v>
      </c>
      <c r="J25" s="8">
        <v>0</v>
      </c>
      <c r="K25" s="8">
        <v>0</v>
      </c>
      <c r="L25" s="38">
        <v>0</v>
      </c>
      <c r="M25" s="8">
        <v>0</v>
      </c>
      <c r="N25" s="8">
        <v>0</v>
      </c>
      <c r="O25" s="8">
        <v>0</v>
      </c>
      <c r="P25" s="8">
        <v>0</v>
      </c>
      <c r="Q25" s="38">
        <v>0</v>
      </c>
      <c r="R25" s="54">
        <v>0</v>
      </c>
      <c r="S25" s="73">
        <f t="shared" si="1"/>
        <v>3000</v>
      </c>
      <c r="T25" s="5"/>
      <c r="U25" s="5"/>
      <c r="V25" s="5"/>
      <c r="W25" s="5"/>
      <c r="X25" s="5"/>
      <c r="Y25" s="5"/>
      <c r="Z25" s="5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15">
      <c r="A26" s="13" t="s">
        <v>32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38">
        <v>0</v>
      </c>
      <c r="H26" s="8">
        <v>0</v>
      </c>
      <c r="I26" s="8">
        <v>0</v>
      </c>
      <c r="J26" s="8">
        <v>0</v>
      </c>
      <c r="K26" s="8">
        <v>0</v>
      </c>
      <c r="L26" s="38">
        <v>0</v>
      </c>
      <c r="M26" s="8">
        <v>0</v>
      </c>
      <c r="N26" s="8">
        <v>0</v>
      </c>
      <c r="O26" s="8">
        <v>0</v>
      </c>
      <c r="P26" s="8">
        <v>0</v>
      </c>
      <c r="Q26" s="38">
        <v>0</v>
      </c>
      <c r="R26" s="54">
        <v>0</v>
      </c>
      <c r="S26" s="73">
        <f t="shared" si="1"/>
        <v>0</v>
      </c>
      <c r="T26" s="5"/>
      <c r="U26" s="5"/>
      <c r="V26" s="5"/>
      <c r="W26" s="5"/>
      <c r="X26" s="5"/>
      <c r="Y26" s="5"/>
      <c r="Z26" s="5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15">
      <c r="A27" s="13" t="s">
        <v>33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38">
        <v>0</v>
      </c>
      <c r="H27" s="8">
        <v>0</v>
      </c>
      <c r="I27" s="8">
        <v>0</v>
      </c>
      <c r="J27" s="8">
        <v>0</v>
      </c>
      <c r="K27" s="8">
        <v>0</v>
      </c>
      <c r="L27" s="38">
        <v>0</v>
      </c>
      <c r="M27" s="8">
        <v>0</v>
      </c>
      <c r="N27" s="8">
        <v>0</v>
      </c>
      <c r="O27" s="8">
        <v>0</v>
      </c>
      <c r="P27" s="8">
        <v>0</v>
      </c>
      <c r="Q27" s="38">
        <v>0</v>
      </c>
      <c r="R27" s="54">
        <v>0</v>
      </c>
      <c r="S27" s="73">
        <f t="shared" si="1"/>
        <v>0</v>
      </c>
      <c r="T27" s="5"/>
      <c r="U27" s="5"/>
      <c r="V27" s="5"/>
      <c r="W27" s="5"/>
      <c r="X27" s="5"/>
      <c r="Y27" s="5"/>
      <c r="Z27" s="5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15">
      <c r="A28" s="13" t="s">
        <v>34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38">
        <v>0</v>
      </c>
      <c r="H28" s="8">
        <v>0</v>
      </c>
      <c r="I28" s="8">
        <v>0</v>
      </c>
      <c r="J28" s="8">
        <v>0</v>
      </c>
      <c r="K28" s="8">
        <v>0</v>
      </c>
      <c r="L28" s="38">
        <v>0</v>
      </c>
      <c r="M28" s="8">
        <v>0</v>
      </c>
      <c r="N28" s="8">
        <v>0</v>
      </c>
      <c r="O28" s="8">
        <v>0</v>
      </c>
      <c r="P28" s="8">
        <v>0</v>
      </c>
      <c r="Q28" s="38">
        <v>0</v>
      </c>
      <c r="R28" s="54">
        <v>0</v>
      </c>
      <c r="S28" s="73">
        <f t="shared" si="1"/>
        <v>0</v>
      </c>
      <c r="T28" s="5"/>
      <c r="U28" s="5"/>
      <c r="V28" s="5"/>
      <c r="W28" s="5"/>
      <c r="X28" s="5"/>
      <c r="Y28" s="5"/>
      <c r="Z28" s="5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15">
      <c r="A29" s="13" t="s">
        <v>35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38">
        <v>0</v>
      </c>
      <c r="H29" s="8">
        <v>0</v>
      </c>
      <c r="I29" s="8">
        <v>0</v>
      </c>
      <c r="J29" s="8">
        <v>0</v>
      </c>
      <c r="K29" s="8">
        <v>0</v>
      </c>
      <c r="L29" s="38">
        <v>0</v>
      </c>
      <c r="M29" s="8">
        <v>0</v>
      </c>
      <c r="N29" s="8">
        <v>0</v>
      </c>
      <c r="O29" s="8">
        <v>0</v>
      </c>
      <c r="P29" s="8">
        <v>0</v>
      </c>
      <c r="Q29" s="38">
        <v>0</v>
      </c>
      <c r="R29" s="54">
        <v>0</v>
      </c>
      <c r="S29" s="73">
        <f t="shared" si="1"/>
        <v>0</v>
      </c>
      <c r="T29" s="5"/>
      <c r="U29" s="5"/>
      <c r="V29" s="5"/>
      <c r="W29" s="5"/>
      <c r="X29" s="5"/>
      <c r="Y29" s="5"/>
      <c r="Z29" s="5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15">
      <c r="A30" s="13" t="s">
        <v>36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38">
        <v>0</v>
      </c>
      <c r="H30" s="8">
        <v>0</v>
      </c>
      <c r="I30" s="8">
        <v>0</v>
      </c>
      <c r="J30" s="8">
        <v>0</v>
      </c>
      <c r="K30" s="8">
        <v>0</v>
      </c>
      <c r="L30" s="38">
        <v>0</v>
      </c>
      <c r="M30" s="8">
        <v>0</v>
      </c>
      <c r="N30" s="8">
        <v>0</v>
      </c>
      <c r="O30" s="8">
        <v>0</v>
      </c>
      <c r="P30" s="8">
        <v>0</v>
      </c>
      <c r="Q30" s="38">
        <v>0</v>
      </c>
      <c r="R30" s="54">
        <v>0</v>
      </c>
      <c r="S30" s="73">
        <f t="shared" si="1"/>
        <v>0</v>
      </c>
      <c r="T30" s="5"/>
      <c r="U30" s="5"/>
      <c r="V30" s="5"/>
      <c r="W30" s="5"/>
      <c r="X30" s="5"/>
      <c r="Y30" s="5"/>
      <c r="Z30" s="5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15">
      <c r="A31" s="13" t="s">
        <v>37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38">
        <v>0</v>
      </c>
      <c r="H31" s="8">
        <v>0</v>
      </c>
      <c r="I31" s="8">
        <v>0</v>
      </c>
      <c r="J31" s="8">
        <v>0</v>
      </c>
      <c r="K31" s="8">
        <v>0</v>
      </c>
      <c r="L31" s="38">
        <v>0</v>
      </c>
      <c r="M31" s="8">
        <v>0</v>
      </c>
      <c r="N31" s="8">
        <v>0</v>
      </c>
      <c r="O31" s="8">
        <v>0</v>
      </c>
      <c r="P31" s="8">
        <v>0</v>
      </c>
      <c r="Q31" s="38">
        <v>0</v>
      </c>
      <c r="R31" s="54">
        <v>0</v>
      </c>
      <c r="S31" s="73">
        <f t="shared" si="1"/>
        <v>0</v>
      </c>
      <c r="T31" s="5"/>
      <c r="U31" s="5"/>
      <c r="V31" s="5"/>
      <c r="W31" s="5"/>
      <c r="X31" s="5"/>
      <c r="Y31" s="5"/>
      <c r="Z31" s="5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15">
      <c r="A32" s="13" t="s">
        <v>38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38">
        <v>0</v>
      </c>
      <c r="H32" s="8">
        <v>0</v>
      </c>
      <c r="I32" s="8">
        <v>0</v>
      </c>
      <c r="J32" s="8">
        <v>0</v>
      </c>
      <c r="K32" s="8">
        <v>0</v>
      </c>
      <c r="L32" s="38">
        <v>0</v>
      </c>
      <c r="M32" s="8">
        <v>0</v>
      </c>
      <c r="N32" s="8">
        <v>0</v>
      </c>
      <c r="O32" s="8">
        <v>0</v>
      </c>
      <c r="P32" s="8">
        <v>0</v>
      </c>
      <c r="Q32" s="38">
        <v>0</v>
      </c>
      <c r="R32" s="54">
        <v>0</v>
      </c>
      <c r="S32" s="73">
        <f t="shared" si="1"/>
        <v>0</v>
      </c>
      <c r="T32" s="5"/>
      <c r="U32" s="5"/>
      <c r="V32" s="5"/>
      <c r="W32" s="5"/>
      <c r="X32" s="5"/>
      <c r="Y32" s="5"/>
      <c r="Z32" s="5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15">
      <c r="A33" s="13" t="s">
        <v>39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38">
        <v>0</v>
      </c>
      <c r="H33" s="8">
        <v>0</v>
      </c>
      <c r="I33" s="8">
        <v>0</v>
      </c>
      <c r="J33" s="8">
        <v>0</v>
      </c>
      <c r="K33" s="8">
        <v>0</v>
      </c>
      <c r="L33" s="38">
        <v>0</v>
      </c>
      <c r="M33" s="8">
        <v>0</v>
      </c>
      <c r="N33" s="8">
        <v>0</v>
      </c>
      <c r="O33" s="8">
        <v>0</v>
      </c>
      <c r="P33" s="8">
        <v>0</v>
      </c>
      <c r="Q33" s="38">
        <v>0</v>
      </c>
      <c r="R33" s="54">
        <v>0</v>
      </c>
      <c r="S33" s="73">
        <f t="shared" si="1"/>
        <v>0</v>
      </c>
      <c r="T33" s="5"/>
      <c r="U33" s="5"/>
      <c r="V33" s="5"/>
      <c r="W33" s="5"/>
      <c r="X33" s="5"/>
      <c r="Y33" s="5"/>
      <c r="Z33" s="5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15">
      <c r="A34" s="13" t="s">
        <v>40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38">
        <v>0</v>
      </c>
      <c r="H34" s="8">
        <v>0</v>
      </c>
      <c r="I34" s="8">
        <v>0</v>
      </c>
      <c r="J34" s="8">
        <v>0</v>
      </c>
      <c r="K34" s="8">
        <v>0</v>
      </c>
      <c r="L34" s="38">
        <v>0</v>
      </c>
      <c r="M34" s="8">
        <v>0</v>
      </c>
      <c r="N34" s="8">
        <v>0</v>
      </c>
      <c r="O34" s="8">
        <v>0</v>
      </c>
      <c r="P34" s="8">
        <v>0</v>
      </c>
      <c r="Q34" s="38">
        <v>0</v>
      </c>
      <c r="R34" s="54">
        <v>0</v>
      </c>
      <c r="S34" s="73">
        <f t="shared" si="1"/>
        <v>0</v>
      </c>
      <c r="T34" s="5"/>
      <c r="U34" s="5"/>
      <c r="V34" s="5"/>
      <c r="W34" s="5"/>
      <c r="X34" s="5"/>
      <c r="Y34" s="5"/>
      <c r="Z34" s="5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15">
      <c r="A35" s="13" t="s">
        <v>41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38">
        <v>0</v>
      </c>
      <c r="H35" s="8">
        <v>0</v>
      </c>
      <c r="I35" s="8">
        <v>0</v>
      </c>
      <c r="J35" s="8">
        <v>0</v>
      </c>
      <c r="K35" s="8">
        <v>0</v>
      </c>
      <c r="L35" s="38">
        <v>0</v>
      </c>
      <c r="M35" s="8">
        <v>0</v>
      </c>
      <c r="N35" s="8">
        <v>0</v>
      </c>
      <c r="O35" s="8">
        <v>0</v>
      </c>
      <c r="P35" s="8">
        <v>0</v>
      </c>
      <c r="Q35" s="38">
        <v>0</v>
      </c>
      <c r="R35" s="54">
        <v>0</v>
      </c>
      <c r="S35" s="73">
        <f t="shared" si="1"/>
        <v>0</v>
      </c>
      <c r="T35" s="5"/>
      <c r="U35" s="5"/>
      <c r="V35" s="5"/>
      <c r="W35" s="5"/>
      <c r="X35" s="5"/>
      <c r="Y35" s="5"/>
      <c r="Z35" s="5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15">
      <c r="A36" s="13" t="s">
        <v>42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38">
        <v>0</v>
      </c>
      <c r="H36" s="8">
        <v>0</v>
      </c>
      <c r="I36" s="8">
        <v>0</v>
      </c>
      <c r="J36" s="8">
        <v>0</v>
      </c>
      <c r="K36" s="8">
        <v>0</v>
      </c>
      <c r="L36" s="38">
        <v>0</v>
      </c>
      <c r="M36" s="8">
        <v>0</v>
      </c>
      <c r="N36" s="8">
        <v>0</v>
      </c>
      <c r="O36" s="8">
        <v>0</v>
      </c>
      <c r="P36" s="8">
        <v>0</v>
      </c>
      <c r="Q36" s="38">
        <v>0</v>
      </c>
      <c r="R36" s="54">
        <v>0</v>
      </c>
      <c r="S36" s="73">
        <f t="shared" si="1"/>
        <v>0</v>
      </c>
      <c r="T36" s="5"/>
      <c r="U36" s="5"/>
      <c r="V36" s="5"/>
      <c r="W36" s="5"/>
      <c r="X36" s="5"/>
      <c r="Y36" s="5"/>
      <c r="Z36" s="5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15">
      <c r="A37" s="13" t="s">
        <v>43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38">
        <v>0</v>
      </c>
      <c r="H37" s="8">
        <v>0</v>
      </c>
      <c r="I37" s="8">
        <v>0</v>
      </c>
      <c r="J37" s="8">
        <v>0</v>
      </c>
      <c r="K37" s="8">
        <v>0</v>
      </c>
      <c r="L37" s="38">
        <v>0</v>
      </c>
      <c r="M37" s="8">
        <v>0</v>
      </c>
      <c r="N37" s="8">
        <v>0</v>
      </c>
      <c r="O37" s="8">
        <v>0</v>
      </c>
      <c r="P37" s="8">
        <v>0</v>
      </c>
      <c r="Q37" s="38">
        <v>0</v>
      </c>
      <c r="R37" s="54">
        <v>0</v>
      </c>
      <c r="S37" s="73">
        <f t="shared" si="1"/>
        <v>0</v>
      </c>
      <c r="T37" s="5"/>
      <c r="U37" s="5"/>
      <c r="V37" s="5"/>
      <c r="W37" s="5"/>
      <c r="X37" s="5"/>
      <c r="Y37" s="5"/>
      <c r="Z37" s="5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15">
      <c r="A38" s="13" t="s">
        <v>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38">
        <v>0</v>
      </c>
      <c r="H38" s="8">
        <v>0</v>
      </c>
      <c r="I38" s="8">
        <v>0</v>
      </c>
      <c r="J38" s="8">
        <v>0</v>
      </c>
      <c r="K38" s="8">
        <v>0</v>
      </c>
      <c r="L38" s="38">
        <v>0</v>
      </c>
      <c r="M38" s="8">
        <v>0</v>
      </c>
      <c r="N38" s="8">
        <v>0</v>
      </c>
      <c r="O38" s="8">
        <v>0</v>
      </c>
      <c r="P38" s="8">
        <v>0</v>
      </c>
      <c r="Q38" s="38">
        <v>0</v>
      </c>
      <c r="R38" s="54">
        <v>0</v>
      </c>
      <c r="S38" s="73">
        <f t="shared" si="1"/>
        <v>0</v>
      </c>
      <c r="T38" s="5"/>
      <c r="U38" s="5"/>
      <c r="V38" s="5"/>
      <c r="W38" s="5"/>
      <c r="X38" s="5"/>
      <c r="Y38" s="5"/>
      <c r="Z38" s="5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15">
      <c r="A39" s="13" t="s">
        <v>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38">
        <v>0</v>
      </c>
      <c r="H39" s="8">
        <v>0</v>
      </c>
      <c r="I39" s="8">
        <v>0</v>
      </c>
      <c r="J39" s="8">
        <v>0</v>
      </c>
      <c r="K39" s="8">
        <v>0</v>
      </c>
      <c r="L39" s="38">
        <v>0</v>
      </c>
      <c r="M39" s="8">
        <v>0</v>
      </c>
      <c r="N39" s="8">
        <v>0</v>
      </c>
      <c r="O39" s="8">
        <v>0</v>
      </c>
      <c r="P39" s="8">
        <v>0</v>
      </c>
      <c r="Q39" s="38">
        <v>0</v>
      </c>
      <c r="R39" s="54">
        <v>0</v>
      </c>
      <c r="S39" s="73">
        <f t="shared" si="1"/>
        <v>0</v>
      </c>
      <c r="T39" s="5"/>
      <c r="U39" s="5"/>
      <c r="V39" s="5"/>
      <c r="W39" s="5"/>
      <c r="X39" s="5"/>
      <c r="Y39" s="5"/>
      <c r="Z39" s="5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15">
      <c r="A40" s="13" t="s">
        <v>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38">
        <v>0</v>
      </c>
      <c r="H40" s="8">
        <v>0</v>
      </c>
      <c r="I40" s="8">
        <v>0</v>
      </c>
      <c r="J40" s="8">
        <v>0</v>
      </c>
      <c r="K40" s="8">
        <v>0</v>
      </c>
      <c r="L40" s="38">
        <v>0</v>
      </c>
      <c r="M40" s="8">
        <v>0</v>
      </c>
      <c r="N40" s="8">
        <v>0</v>
      </c>
      <c r="O40" s="8">
        <v>0</v>
      </c>
      <c r="P40" s="8">
        <v>0</v>
      </c>
      <c r="Q40" s="38">
        <v>0</v>
      </c>
      <c r="R40" s="54">
        <v>0</v>
      </c>
      <c r="S40" s="73">
        <f t="shared" si="1"/>
        <v>0</v>
      </c>
      <c r="T40" s="5"/>
      <c r="U40" s="5"/>
      <c r="V40" s="5"/>
      <c r="W40" s="5"/>
      <c r="X40" s="5"/>
      <c r="Y40" s="5"/>
      <c r="Z40" s="5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15">
      <c r="A41" s="13" t="s">
        <v>47</v>
      </c>
      <c r="B41" s="8">
        <v>-8133</v>
      </c>
      <c r="C41" s="8">
        <v>-58611</v>
      </c>
      <c r="D41" s="122">
        <v>-121181</v>
      </c>
      <c r="E41" s="8">
        <v>-8708</v>
      </c>
      <c r="F41" s="8">
        <v>-8947</v>
      </c>
      <c r="G41" s="38">
        <v>-10287</v>
      </c>
      <c r="H41" s="8">
        <v>-28275</v>
      </c>
      <c r="I41" s="122">
        <v>-101430</v>
      </c>
      <c r="J41" s="8">
        <v>-9186</v>
      </c>
      <c r="K41" s="8">
        <v>-8229</v>
      </c>
      <c r="L41" s="38">
        <v>-8229</v>
      </c>
      <c r="M41" s="8">
        <v>-16458</v>
      </c>
      <c r="N41" s="8">
        <v>-8468</v>
      </c>
      <c r="O41" s="8">
        <v>-65064</v>
      </c>
      <c r="P41" s="8">
        <v>-33492</v>
      </c>
      <c r="Q41" s="38">
        <v>0</v>
      </c>
      <c r="R41" s="54">
        <v>-33492</v>
      </c>
      <c r="S41" s="73">
        <f t="shared" si="1"/>
        <v>-528190</v>
      </c>
      <c r="T41" s="5"/>
      <c r="U41" s="5"/>
      <c r="V41" s="5"/>
      <c r="W41" s="5"/>
      <c r="X41" s="5"/>
      <c r="Y41" s="5"/>
      <c r="Z41" s="5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15">
      <c r="A42" s="13" t="s">
        <v>48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38">
        <v>0</v>
      </c>
      <c r="H42" s="8">
        <v>0</v>
      </c>
      <c r="I42" s="8">
        <v>0</v>
      </c>
      <c r="J42" s="8">
        <v>0</v>
      </c>
      <c r="K42" s="8">
        <v>0</v>
      </c>
      <c r="L42" s="38">
        <v>0</v>
      </c>
      <c r="M42" s="8">
        <v>0</v>
      </c>
      <c r="N42" s="8">
        <v>0</v>
      </c>
      <c r="O42" s="8">
        <v>0</v>
      </c>
      <c r="P42" s="8">
        <v>0</v>
      </c>
      <c r="Q42" s="38">
        <v>0</v>
      </c>
      <c r="R42" s="54">
        <v>0</v>
      </c>
      <c r="S42" s="73">
        <f t="shared" si="1"/>
        <v>0</v>
      </c>
      <c r="T42" s="5"/>
      <c r="U42" s="5"/>
      <c r="V42" s="5"/>
      <c r="W42" s="5"/>
      <c r="X42" s="5"/>
      <c r="Y42" s="5"/>
      <c r="Z42" s="5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15">
      <c r="A43" s="13" t="s">
        <v>16</v>
      </c>
      <c r="B43" s="8">
        <v>115843</v>
      </c>
      <c r="C43" s="8">
        <v>32750</v>
      </c>
      <c r="D43" s="8">
        <v>5092</v>
      </c>
      <c r="E43" s="8">
        <v>55883</v>
      </c>
      <c r="F43" s="8">
        <v>91000</v>
      </c>
      <c r="G43" s="38">
        <v>90104</v>
      </c>
      <c r="H43" s="8">
        <v>104725</v>
      </c>
      <c r="I43" s="8">
        <v>14274</v>
      </c>
      <c r="J43" s="8">
        <v>127982</v>
      </c>
      <c r="K43" s="8">
        <v>92736</v>
      </c>
      <c r="L43" s="38">
        <v>85008</v>
      </c>
      <c r="M43" s="8">
        <v>72128</v>
      </c>
      <c r="N43" s="8">
        <v>91425</v>
      </c>
      <c r="O43" s="8">
        <v>30552</v>
      </c>
      <c r="P43" s="8">
        <v>64190</v>
      </c>
      <c r="Q43" s="38">
        <v>72561</v>
      </c>
      <c r="R43" s="54">
        <v>40610</v>
      </c>
      <c r="S43" s="73">
        <f t="shared" si="1"/>
        <v>1186863</v>
      </c>
      <c r="T43" s="5"/>
      <c r="U43" s="5"/>
      <c r="V43" s="5"/>
      <c r="W43" s="5"/>
      <c r="X43" s="5"/>
      <c r="Y43" s="5"/>
      <c r="Z43" s="5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15">
      <c r="A44" s="13" t="s">
        <v>9</v>
      </c>
      <c r="B44" s="8">
        <v>31602</v>
      </c>
      <c r="C44" s="8">
        <v>35375</v>
      </c>
      <c r="D44" s="8">
        <v>0</v>
      </c>
      <c r="E44" s="8">
        <v>10304</v>
      </c>
      <c r="F44" s="8">
        <v>16632</v>
      </c>
      <c r="G44" s="38">
        <v>33003</v>
      </c>
      <c r="H44" s="8">
        <v>30267</v>
      </c>
      <c r="I44" s="8">
        <v>0</v>
      </c>
      <c r="J44" s="8">
        <v>46590</v>
      </c>
      <c r="K44" s="8">
        <v>18083</v>
      </c>
      <c r="L44" s="38">
        <v>16692</v>
      </c>
      <c r="M44" s="8">
        <v>38948</v>
      </c>
      <c r="N44" s="8">
        <v>12879</v>
      </c>
      <c r="O44" s="8">
        <v>48090</v>
      </c>
      <c r="P44" s="8">
        <v>26885</v>
      </c>
      <c r="Q44" s="38">
        <v>5496</v>
      </c>
      <c r="R44" s="54">
        <v>39620</v>
      </c>
      <c r="S44" s="73">
        <f t="shared" si="1"/>
        <v>410466</v>
      </c>
      <c r="T44" s="5"/>
      <c r="U44" s="5"/>
      <c r="V44" s="5"/>
      <c r="W44" s="5"/>
      <c r="X44" s="5"/>
      <c r="Y44" s="5"/>
      <c r="Z44" s="5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15">
      <c r="A45" s="13" t="s">
        <v>10</v>
      </c>
      <c r="B45" s="8">
        <v>15114</v>
      </c>
      <c r="C45" s="8">
        <v>22640</v>
      </c>
      <c r="D45" s="8">
        <v>0</v>
      </c>
      <c r="E45" s="8">
        <v>45632</v>
      </c>
      <c r="F45" s="8">
        <v>15120</v>
      </c>
      <c r="G45" s="38">
        <v>34740</v>
      </c>
      <c r="H45" s="8">
        <v>54162</v>
      </c>
      <c r="I45" s="8">
        <v>0</v>
      </c>
      <c r="J45" s="8">
        <v>15530</v>
      </c>
      <c r="K45" s="8">
        <v>15301</v>
      </c>
      <c r="L45" s="38">
        <v>0</v>
      </c>
      <c r="M45" s="8">
        <v>16692</v>
      </c>
      <c r="N45" s="8">
        <v>18603</v>
      </c>
      <c r="O45" s="8">
        <v>23358</v>
      </c>
      <c r="P45" s="8">
        <v>15565</v>
      </c>
      <c r="Q45" s="38">
        <v>23358</v>
      </c>
      <c r="R45" s="54">
        <v>0</v>
      </c>
      <c r="S45" s="73">
        <f t="shared" si="1"/>
        <v>315815</v>
      </c>
      <c r="T45" s="5"/>
      <c r="U45" s="5"/>
      <c r="V45" s="5"/>
      <c r="W45" s="5"/>
      <c r="X45" s="5"/>
      <c r="Y45" s="5"/>
      <c r="Z45" s="5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15">
      <c r="A46" s="13" t="s">
        <v>49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38">
        <v>0</v>
      </c>
      <c r="H46" s="8">
        <v>0</v>
      </c>
      <c r="I46" s="8">
        <v>0</v>
      </c>
      <c r="J46" s="8">
        <v>0</v>
      </c>
      <c r="K46" s="8">
        <v>0</v>
      </c>
      <c r="L46" s="38">
        <v>0</v>
      </c>
      <c r="M46" s="8">
        <v>0</v>
      </c>
      <c r="N46" s="8">
        <v>0</v>
      </c>
      <c r="O46" s="8">
        <v>0</v>
      </c>
      <c r="P46" s="8">
        <v>0</v>
      </c>
      <c r="Q46" s="38">
        <v>0</v>
      </c>
      <c r="R46" s="54">
        <v>0</v>
      </c>
      <c r="S46" s="73">
        <f t="shared" si="1"/>
        <v>0</v>
      </c>
      <c r="T46" s="5"/>
      <c r="U46" s="5"/>
      <c r="V46" s="5"/>
      <c r="W46" s="5"/>
      <c r="X46" s="5"/>
      <c r="Y46" s="5"/>
      <c r="Z46" s="5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15">
      <c r="A47" s="13" t="s">
        <v>50</v>
      </c>
      <c r="B47" s="123">
        <v>8133</v>
      </c>
      <c r="C47" s="123">
        <v>58611</v>
      </c>
      <c r="D47" s="122">
        <v>0</v>
      </c>
      <c r="E47" s="123">
        <v>8708</v>
      </c>
      <c r="F47" s="123">
        <v>8947</v>
      </c>
      <c r="G47" s="118">
        <v>10287</v>
      </c>
      <c r="H47" s="123">
        <v>28275</v>
      </c>
      <c r="I47" s="122">
        <v>0</v>
      </c>
      <c r="J47" s="123">
        <v>9186</v>
      </c>
      <c r="K47" s="123">
        <v>8229</v>
      </c>
      <c r="L47" s="118">
        <v>8229</v>
      </c>
      <c r="M47" s="123">
        <v>16458</v>
      </c>
      <c r="N47" s="123">
        <v>8468</v>
      </c>
      <c r="O47" s="123">
        <v>65064</v>
      </c>
      <c r="P47" s="123">
        <v>33492</v>
      </c>
      <c r="Q47" s="118">
        <v>0</v>
      </c>
      <c r="R47" s="124">
        <v>33492</v>
      </c>
      <c r="S47" s="125">
        <f t="shared" si="1"/>
        <v>305579</v>
      </c>
      <c r="T47" s="5"/>
      <c r="U47" s="5"/>
      <c r="V47" s="5"/>
      <c r="W47" s="5"/>
      <c r="X47" s="5"/>
      <c r="Y47" s="5"/>
      <c r="Z47" s="5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15">
      <c r="A48" s="13" t="s">
        <v>20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38">
        <v>0</v>
      </c>
      <c r="H48" s="8">
        <v>0</v>
      </c>
      <c r="I48" s="8">
        <v>0</v>
      </c>
      <c r="J48" s="8">
        <v>0</v>
      </c>
      <c r="K48" s="8">
        <v>0</v>
      </c>
      <c r="L48" s="38">
        <v>0</v>
      </c>
      <c r="M48" s="8">
        <v>0</v>
      </c>
      <c r="N48" s="8">
        <v>0</v>
      </c>
      <c r="O48" s="8">
        <v>0</v>
      </c>
      <c r="P48" s="8">
        <v>0</v>
      </c>
      <c r="Q48" s="38">
        <v>0</v>
      </c>
      <c r="R48" s="54">
        <v>0</v>
      </c>
      <c r="S48" s="73">
        <f t="shared" si="1"/>
        <v>0</v>
      </c>
      <c r="T48" s="5"/>
      <c r="U48" s="5"/>
      <c r="V48" s="5"/>
      <c r="W48" s="5"/>
      <c r="X48" s="5"/>
      <c r="Y48" s="5"/>
      <c r="Z48" s="5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26" x14ac:dyDescent="0.15">
      <c r="A49" s="14" t="s">
        <v>51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42">
        <v>0</v>
      </c>
      <c r="H49" s="10">
        <v>0</v>
      </c>
      <c r="I49" s="10">
        <v>0</v>
      </c>
      <c r="J49" s="10">
        <v>0</v>
      </c>
      <c r="K49" s="10">
        <v>0</v>
      </c>
      <c r="L49" s="42">
        <v>0</v>
      </c>
      <c r="M49" s="10">
        <v>0</v>
      </c>
      <c r="N49" s="10">
        <v>0</v>
      </c>
      <c r="O49" s="10">
        <v>0</v>
      </c>
      <c r="P49" s="10">
        <v>0</v>
      </c>
      <c r="Q49" s="42">
        <v>0</v>
      </c>
      <c r="R49" s="58">
        <v>0</v>
      </c>
      <c r="S49" s="77">
        <f t="shared" si="1"/>
        <v>0</v>
      </c>
      <c r="T49" s="6"/>
      <c r="U49" s="6"/>
      <c r="V49" s="6"/>
      <c r="W49" s="6"/>
      <c r="X49" s="6"/>
      <c r="Y49" s="6"/>
      <c r="Z49" s="6"/>
    </row>
    <row r="50" spans="1:26" x14ac:dyDescent="0.15">
      <c r="A50" s="14" t="s">
        <v>24</v>
      </c>
      <c r="B50" s="10">
        <v>11475</v>
      </c>
      <c r="C50" s="10">
        <v>7074</v>
      </c>
      <c r="D50" s="10">
        <v>0</v>
      </c>
      <c r="E50" s="10">
        <v>3003</v>
      </c>
      <c r="F50" s="10">
        <v>1400</v>
      </c>
      <c r="G50" s="42">
        <v>0</v>
      </c>
      <c r="H50" s="10">
        <v>9145</v>
      </c>
      <c r="I50" s="10">
        <v>2853</v>
      </c>
      <c r="J50" s="10">
        <v>10944</v>
      </c>
      <c r="K50" s="10">
        <v>1806</v>
      </c>
      <c r="L50" s="42">
        <v>1548</v>
      </c>
      <c r="M50" s="10">
        <v>774</v>
      </c>
      <c r="N50" s="10">
        <v>3975</v>
      </c>
      <c r="O50" s="10">
        <v>2040</v>
      </c>
      <c r="P50" s="10">
        <v>6288</v>
      </c>
      <c r="Q50" s="42">
        <v>765</v>
      </c>
      <c r="R50" s="58">
        <v>10742</v>
      </c>
      <c r="S50" s="77">
        <f t="shared" si="1"/>
        <v>73832</v>
      </c>
      <c r="T50" s="6"/>
      <c r="U50" s="6"/>
      <c r="V50" s="6"/>
      <c r="W50" s="6"/>
      <c r="X50" s="6"/>
      <c r="Y50" s="6"/>
      <c r="Z50" s="6"/>
    </row>
    <row r="51" spans="1:26" ht="14.25" thickBot="1" x14ac:dyDescent="0.2">
      <c r="A51" s="15" t="s">
        <v>52</v>
      </c>
      <c r="B51" s="29">
        <v>344034</v>
      </c>
      <c r="C51" s="29">
        <v>272839</v>
      </c>
      <c r="D51" s="29">
        <v>53911</v>
      </c>
      <c r="E51" s="29">
        <v>296822</v>
      </c>
      <c r="F51" s="29">
        <v>311152</v>
      </c>
      <c r="G51" s="43">
        <v>372847</v>
      </c>
      <c r="H51" s="29">
        <v>395299</v>
      </c>
      <c r="I51" s="29">
        <v>127697</v>
      </c>
      <c r="J51" s="29">
        <v>393046</v>
      </c>
      <c r="K51" s="29">
        <v>299926</v>
      </c>
      <c r="L51" s="43">
        <v>275248</v>
      </c>
      <c r="M51" s="29">
        <v>300542</v>
      </c>
      <c r="N51" s="29">
        <v>303882</v>
      </c>
      <c r="O51" s="29">
        <v>274040</v>
      </c>
      <c r="P51" s="29">
        <v>287928</v>
      </c>
      <c r="Q51" s="43">
        <v>272180</v>
      </c>
      <c r="R51" s="59">
        <v>265972</v>
      </c>
      <c r="S51" s="78">
        <f t="shared" si="1"/>
        <v>4847365</v>
      </c>
      <c r="T51" s="6"/>
      <c r="U51" s="6"/>
      <c r="V51" s="6"/>
      <c r="W51" s="6"/>
      <c r="X51" s="6"/>
      <c r="Y51" s="6"/>
      <c r="Z51" s="6"/>
    </row>
    <row r="52" spans="1:26" x14ac:dyDescent="0.15">
      <c r="A52" s="27" t="s">
        <v>53</v>
      </c>
      <c r="B52" s="28">
        <v>5340</v>
      </c>
      <c r="C52" s="28">
        <v>7682</v>
      </c>
      <c r="D52" s="28">
        <v>2219</v>
      </c>
      <c r="E52" s="28">
        <v>11091</v>
      </c>
      <c r="F52" s="28">
        <v>2670</v>
      </c>
      <c r="G52" s="44">
        <v>4991</v>
      </c>
      <c r="H52" s="28">
        <v>2773</v>
      </c>
      <c r="I52" s="28">
        <v>6614</v>
      </c>
      <c r="J52" s="28">
        <v>2219</v>
      </c>
      <c r="K52" s="28">
        <v>2136</v>
      </c>
      <c r="L52" s="44">
        <v>1027</v>
      </c>
      <c r="M52" s="28">
        <v>2670</v>
      </c>
      <c r="N52" s="28">
        <v>4108</v>
      </c>
      <c r="O52" s="28">
        <v>4314</v>
      </c>
      <c r="P52" s="28">
        <v>3451</v>
      </c>
      <c r="Q52" s="44">
        <v>6655</v>
      </c>
      <c r="R52" s="60">
        <v>2835</v>
      </c>
      <c r="S52" s="79">
        <f t="shared" si="1"/>
        <v>72795</v>
      </c>
      <c r="T52" s="6"/>
      <c r="U52" s="6"/>
      <c r="V52" s="6"/>
      <c r="W52" s="6"/>
      <c r="X52" s="6"/>
      <c r="Y52" s="6"/>
      <c r="Z52" s="6"/>
    </row>
    <row r="53" spans="1:26" ht="14.25" thickBot="1" x14ac:dyDescent="0.2">
      <c r="A53" s="30" t="s">
        <v>54</v>
      </c>
      <c r="B53" s="31">
        <v>5340</v>
      </c>
      <c r="C53" s="31">
        <v>7682</v>
      </c>
      <c r="D53" s="31">
        <v>2219</v>
      </c>
      <c r="E53" s="31">
        <v>11091</v>
      </c>
      <c r="F53" s="31">
        <v>2670</v>
      </c>
      <c r="G53" s="45">
        <v>4991</v>
      </c>
      <c r="H53" s="31">
        <v>2773</v>
      </c>
      <c r="I53" s="31">
        <v>6614</v>
      </c>
      <c r="J53" s="31">
        <v>2219</v>
      </c>
      <c r="K53" s="31">
        <v>2136</v>
      </c>
      <c r="L53" s="45">
        <v>1027</v>
      </c>
      <c r="M53" s="31">
        <v>2670</v>
      </c>
      <c r="N53" s="31">
        <v>4108</v>
      </c>
      <c r="O53" s="31">
        <v>4314</v>
      </c>
      <c r="P53" s="31">
        <v>3451</v>
      </c>
      <c r="Q53" s="45">
        <v>6655</v>
      </c>
      <c r="R53" s="61">
        <v>2835</v>
      </c>
      <c r="S53" s="80">
        <f t="shared" si="1"/>
        <v>72795</v>
      </c>
    </row>
    <row r="54" spans="1:26" ht="14.25" thickBot="1" x14ac:dyDescent="0.2">
      <c r="A54" s="32" t="s">
        <v>55</v>
      </c>
      <c r="B54" s="33">
        <v>349374</v>
      </c>
      <c r="C54" s="33">
        <v>280521</v>
      </c>
      <c r="D54" s="33">
        <v>56130</v>
      </c>
      <c r="E54" s="33">
        <v>307913</v>
      </c>
      <c r="F54" s="33">
        <v>313822</v>
      </c>
      <c r="G54" s="46">
        <v>377838</v>
      </c>
      <c r="H54" s="33">
        <v>398072</v>
      </c>
      <c r="I54" s="33">
        <v>134311</v>
      </c>
      <c r="J54" s="33">
        <v>395265</v>
      </c>
      <c r="K54" s="33">
        <v>302062</v>
      </c>
      <c r="L54" s="46">
        <v>276275</v>
      </c>
      <c r="M54" s="33">
        <v>303212</v>
      </c>
      <c r="N54" s="33">
        <v>307990</v>
      </c>
      <c r="O54" s="33">
        <v>278354</v>
      </c>
      <c r="P54" s="33">
        <v>291379</v>
      </c>
      <c r="Q54" s="46">
        <v>278835</v>
      </c>
      <c r="R54" s="62">
        <v>268807</v>
      </c>
      <c r="S54" s="81">
        <f t="shared" si="1"/>
        <v>4920160</v>
      </c>
    </row>
    <row r="55" spans="1:26" x14ac:dyDescent="0.15">
      <c r="A55" s="27" t="s">
        <v>56</v>
      </c>
      <c r="B55" s="28">
        <v>16320</v>
      </c>
      <c r="C55" s="28">
        <v>12240</v>
      </c>
      <c r="D55" s="28">
        <v>0</v>
      </c>
      <c r="E55" s="28">
        <v>15300</v>
      </c>
      <c r="F55" s="28">
        <v>16320</v>
      </c>
      <c r="G55" s="44">
        <v>17340</v>
      </c>
      <c r="H55" s="28">
        <v>19380</v>
      </c>
      <c r="I55" s="28">
        <v>17340</v>
      </c>
      <c r="J55" s="28">
        <v>19380</v>
      </c>
      <c r="K55" s="28">
        <v>16320</v>
      </c>
      <c r="L55" s="44">
        <v>15300</v>
      </c>
      <c r="M55" s="28">
        <v>15300</v>
      </c>
      <c r="N55" s="28">
        <v>16320</v>
      </c>
      <c r="O55" s="28">
        <v>14280</v>
      </c>
      <c r="P55" s="28">
        <v>16320</v>
      </c>
      <c r="Q55" s="44">
        <v>15300</v>
      </c>
      <c r="R55" s="60">
        <v>15300</v>
      </c>
      <c r="S55" s="79">
        <f t="shared" si="1"/>
        <v>258060</v>
      </c>
    </row>
    <row r="56" spans="1:26" x14ac:dyDescent="0.15">
      <c r="A56" s="14" t="s">
        <v>57</v>
      </c>
      <c r="B56" s="10">
        <v>2880</v>
      </c>
      <c r="C56" s="10">
        <v>2160</v>
      </c>
      <c r="D56" s="10">
        <v>0</v>
      </c>
      <c r="E56" s="10">
        <v>2700</v>
      </c>
      <c r="F56" s="10">
        <v>2880</v>
      </c>
      <c r="G56" s="42">
        <v>3060</v>
      </c>
      <c r="H56" s="10">
        <v>3420</v>
      </c>
      <c r="I56" s="10">
        <v>3060</v>
      </c>
      <c r="J56" s="10">
        <v>3420</v>
      </c>
      <c r="K56" s="10">
        <v>2880</v>
      </c>
      <c r="L56" s="42">
        <v>2700</v>
      </c>
      <c r="M56" s="10">
        <v>2700</v>
      </c>
      <c r="N56" s="10">
        <v>2880</v>
      </c>
      <c r="O56" s="10">
        <v>2520</v>
      </c>
      <c r="P56" s="10">
        <v>0</v>
      </c>
      <c r="Q56" s="42">
        <v>2700</v>
      </c>
      <c r="R56" s="58">
        <v>2700</v>
      </c>
      <c r="S56" s="77">
        <f t="shared" si="1"/>
        <v>42660</v>
      </c>
    </row>
    <row r="57" spans="1:26" x14ac:dyDescent="0.15">
      <c r="A57" s="14" t="s">
        <v>58</v>
      </c>
      <c r="B57" s="10">
        <v>29280</v>
      </c>
      <c r="C57" s="10">
        <v>21960</v>
      </c>
      <c r="D57" s="10">
        <v>0</v>
      </c>
      <c r="E57" s="10">
        <v>27450</v>
      </c>
      <c r="F57" s="10">
        <v>29280</v>
      </c>
      <c r="G57" s="42">
        <v>31110</v>
      </c>
      <c r="H57" s="10">
        <v>34770</v>
      </c>
      <c r="I57" s="10">
        <v>31110</v>
      </c>
      <c r="J57" s="10">
        <v>34770</v>
      </c>
      <c r="K57" s="10">
        <v>29280</v>
      </c>
      <c r="L57" s="42">
        <v>27450</v>
      </c>
      <c r="M57" s="10">
        <v>27450</v>
      </c>
      <c r="N57" s="10">
        <v>29280</v>
      </c>
      <c r="O57" s="10">
        <v>25620</v>
      </c>
      <c r="P57" s="10">
        <v>29280</v>
      </c>
      <c r="Q57" s="42">
        <v>27450</v>
      </c>
      <c r="R57" s="58">
        <v>27450</v>
      </c>
      <c r="S57" s="77">
        <f t="shared" si="1"/>
        <v>462990</v>
      </c>
    </row>
    <row r="58" spans="1:26" x14ac:dyDescent="0.15">
      <c r="A58" s="14" t="s">
        <v>59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42">
        <v>0</v>
      </c>
      <c r="H58" s="10">
        <v>0</v>
      </c>
      <c r="I58" s="10">
        <v>0</v>
      </c>
      <c r="J58" s="10">
        <v>0</v>
      </c>
      <c r="K58" s="10">
        <v>0</v>
      </c>
      <c r="L58" s="42">
        <v>0</v>
      </c>
      <c r="M58" s="10">
        <v>0</v>
      </c>
      <c r="N58" s="10">
        <v>0</v>
      </c>
      <c r="O58" s="10">
        <v>0</v>
      </c>
      <c r="P58" s="10">
        <v>0</v>
      </c>
      <c r="Q58" s="42">
        <v>0</v>
      </c>
      <c r="R58" s="58">
        <v>0</v>
      </c>
      <c r="S58" s="77">
        <f t="shared" si="1"/>
        <v>0</v>
      </c>
    </row>
    <row r="59" spans="1:26" x14ac:dyDescent="0.15">
      <c r="A59" s="14" t="s">
        <v>60</v>
      </c>
      <c r="B59" s="10">
        <v>1048</v>
      </c>
      <c r="C59" s="10">
        <v>842</v>
      </c>
      <c r="D59" s="10">
        <v>168</v>
      </c>
      <c r="E59" s="10">
        <v>924</v>
      </c>
      <c r="F59" s="10">
        <v>941</v>
      </c>
      <c r="G59" s="42">
        <v>1134</v>
      </c>
      <c r="H59" s="10">
        <v>1194</v>
      </c>
      <c r="I59" s="10">
        <v>403</v>
      </c>
      <c r="J59" s="10">
        <v>1186</v>
      </c>
      <c r="K59" s="10">
        <v>906</v>
      </c>
      <c r="L59" s="42">
        <v>829</v>
      </c>
      <c r="M59" s="10">
        <v>910</v>
      </c>
      <c r="N59" s="10">
        <v>924</v>
      </c>
      <c r="O59" s="10">
        <v>835</v>
      </c>
      <c r="P59" s="10">
        <v>874</v>
      </c>
      <c r="Q59" s="42">
        <v>837</v>
      </c>
      <c r="R59" s="58">
        <v>806</v>
      </c>
      <c r="S59" s="77">
        <f t="shared" si="1"/>
        <v>14761</v>
      </c>
    </row>
    <row r="60" spans="1:26" x14ac:dyDescent="0.15">
      <c r="A60" s="14" t="s">
        <v>61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42">
        <v>0</v>
      </c>
      <c r="H60" s="10">
        <v>0</v>
      </c>
      <c r="I60" s="10">
        <v>0</v>
      </c>
      <c r="J60" s="10">
        <v>0</v>
      </c>
      <c r="K60" s="10">
        <v>0</v>
      </c>
      <c r="L60" s="42">
        <v>0</v>
      </c>
      <c r="M60" s="10">
        <v>0</v>
      </c>
      <c r="N60" s="10">
        <v>0</v>
      </c>
      <c r="O60" s="10">
        <v>0</v>
      </c>
      <c r="P60" s="10">
        <v>0</v>
      </c>
      <c r="Q60" s="42">
        <v>0</v>
      </c>
      <c r="R60" s="58">
        <v>0</v>
      </c>
      <c r="S60" s="77">
        <f t="shared" si="1"/>
        <v>0</v>
      </c>
    </row>
    <row r="61" spans="1:26" ht="14.25" thickBot="1" x14ac:dyDescent="0.2">
      <c r="A61" s="30" t="s">
        <v>62</v>
      </c>
      <c r="B61" s="31">
        <v>49528</v>
      </c>
      <c r="C61" s="31">
        <v>37202</v>
      </c>
      <c r="D61" s="31">
        <v>168</v>
      </c>
      <c r="E61" s="31">
        <v>46374</v>
      </c>
      <c r="F61" s="31">
        <v>49421</v>
      </c>
      <c r="G61" s="45">
        <v>52644</v>
      </c>
      <c r="H61" s="31">
        <v>58764</v>
      </c>
      <c r="I61" s="31">
        <v>51913</v>
      </c>
      <c r="J61" s="31">
        <v>58756</v>
      </c>
      <c r="K61" s="31">
        <v>49386</v>
      </c>
      <c r="L61" s="45">
        <v>46279</v>
      </c>
      <c r="M61" s="31">
        <v>46360</v>
      </c>
      <c r="N61" s="31">
        <v>49404</v>
      </c>
      <c r="O61" s="31">
        <v>43255</v>
      </c>
      <c r="P61" s="31">
        <v>46474</v>
      </c>
      <c r="Q61" s="45">
        <v>46287</v>
      </c>
      <c r="R61" s="61">
        <v>46256</v>
      </c>
      <c r="S61" s="80">
        <f t="shared" si="1"/>
        <v>778471</v>
      </c>
    </row>
    <row r="62" spans="1:26" ht="14.25" thickBot="1" x14ac:dyDescent="0.2">
      <c r="A62" s="32" t="s">
        <v>63</v>
      </c>
      <c r="B62" s="33">
        <v>294506</v>
      </c>
      <c r="C62" s="33">
        <v>235637</v>
      </c>
      <c r="D62" s="33">
        <v>53743</v>
      </c>
      <c r="E62" s="33">
        <v>250448</v>
      </c>
      <c r="F62" s="33">
        <v>261731</v>
      </c>
      <c r="G62" s="46">
        <v>320203</v>
      </c>
      <c r="H62" s="33">
        <v>336535</v>
      </c>
      <c r="I62" s="33">
        <v>75784</v>
      </c>
      <c r="J62" s="33">
        <v>334290</v>
      </c>
      <c r="K62" s="33">
        <v>250540</v>
      </c>
      <c r="L62" s="46">
        <v>228969</v>
      </c>
      <c r="M62" s="33">
        <v>254182</v>
      </c>
      <c r="N62" s="33">
        <v>254478</v>
      </c>
      <c r="O62" s="33">
        <v>230785</v>
      </c>
      <c r="P62" s="33">
        <v>241454</v>
      </c>
      <c r="Q62" s="46">
        <v>225893</v>
      </c>
      <c r="R62" s="62">
        <v>219716</v>
      </c>
      <c r="S62" s="81">
        <f t="shared" si="1"/>
        <v>4068894</v>
      </c>
    </row>
    <row r="63" spans="1:26" x14ac:dyDescent="0.15">
      <c r="A63" s="27" t="s">
        <v>64</v>
      </c>
      <c r="B63" s="28">
        <v>3290</v>
      </c>
      <c r="C63" s="28">
        <v>6040</v>
      </c>
      <c r="D63" s="28">
        <v>0</v>
      </c>
      <c r="E63" s="28">
        <v>4950</v>
      </c>
      <c r="F63" s="28">
        <v>6970</v>
      </c>
      <c r="G63" s="44">
        <v>7550</v>
      </c>
      <c r="H63" s="28">
        <v>11360</v>
      </c>
      <c r="I63" s="28">
        <v>0</v>
      </c>
      <c r="J63" s="28">
        <v>11180</v>
      </c>
      <c r="K63" s="28">
        <v>6570</v>
      </c>
      <c r="L63" s="44">
        <v>4180</v>
      </c>
      <c r="M63" s="28">
        <v>6700</v>
      </c>
      <c r="N63" s="28">
        <v>6710</v>
      </c>
      <c r="O63" s="28">
        <v>5860</v>
      </c>
      <c r="P63" s="28">
        <v>6250</v>
      </c>
      <c r="Q63" s="44">
        <v>5690</v>
      </c>
      <c r="R63" s="60">
        <v>5470</v>
      </c>
      <c r="S63" s="79">
        <f t="shared" si="1"/>
        <v>98770</v>
      </c>
    </row>
    <row r="64" spans="1:26" x14ac:dyDescent="0.15">
      <c r="A64" s="14" t="s">
        <v>65</v>
      </c>
      <c r="B64" s="10">
        <v>1300</v>
      </c>
      <c r="C64" s="10">
        <v>0</v>
      </c>
      <c r="D64" s="10">
        <v>0</v>
      </c>
      <c r="E64" s="10">
        <v>1300</v>
      </c>
      <c r="F64" s="10">
        <v>1300</v>
      </c>
      <c r="G64" s="42">
        <v>1300</v>
      </c>
      <c r="H64" s="10">
        <v>0</v>
      </c>
      <c r="I64" s="10">
        <v>1300</v>
      </c>
      <c r="J64" s="10">
        <v>1300</v>
      </c>
      <c r="K64" s="10">
        <v>1300</v>
      </c>
      <c r="L64" s="42">
        <v>1300</v>
      </c>
      <c r="M64" s="10">
        <v>1300</v>
      </c>
      <c r="N64" s="10">
        <v>1300</v>
      </c>
      <c r="O64" s="10">
        <v>0</v>
      </c>
      <c r="P64" s="10">
        <v>0</v>
      </c>
      <c r="Q64" s="42">
        <v>1300</v>
      </c>
      <c r="R64" s="58">
        <v>1300</v>
      </c>
      <c r="S64" s="77">
        <f t="shared" si="1"/>
        <v>15600</v>
      </c>
    </row>
    <row r="65" spans="1:19" x14ac:dyDescent="0.15">
      <c r="A65" s="14" t="s">
        <v>66</v>
      </c>
      <c r="B65" s="10">
        <v>2400</v>
      </c>
      <c r="C65" s="10">
        <v>0</v>
      </c>
      <c r="D65" s="10">
        <v>0</v>
      </c>
      <c r="E65" s="10">
        <v>8100</v>
      </c>
      <c r="F65" s="10">
        <v>14700</v>
      </c>
      <c r="G65" s="42">
        <v>13700</v>
      </c>
      <c r="H65" s="10">
        <v>16600</v>
      </c>
      <c r="I65" s="10">
        <v>13400</v>
      </c>
      <c r="J65" s="10">
        <v>17300</v>
      </c>
      <c r="K65" s="10">
        <v>13600</v>
      </c>
      <c r="L65" s="42">
        <v>8100</v>
      </c>
      <c r="M65" s="10">
        <v>13300</v>
      </c>
      <c r="N65" s="10">
        <v>9200</v>
      </c>
      <c r="O65" s="10">
        <v>9600</v>
      </c>
      <c r="P65" s="10">
        <v>13700</v>
      </c>
      <c r="Q65" s="42">
        <v>12300</v>
      </c>
      <c r="R65" s="58">
        <v>11200</v>
      </c>
      <c r="S65" s="77">
        <f t="shared" si="1"/>
        <v>177200</v>
      </c>
    </row>
    <row r="66" spans="1:19" x14ac:dyDescent="0.15">
      <c r="A66" s="14" t="s">
        <v>67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42">
        <v>0</v>
      </c>
      <c r="H66" s="10">
        <v>10000</v>
      </c>
      <c r="I66" s="10">
        <v>0</v>
      </c>
      <c r="J66" s="10">
        <v>0</v>
      </c>
      <c r="K66" s="10">
        <v>0</v>
      </c>
      <c r="L66" s="42">
        <v>0</v>
      </c>
      <c r="M66" s="10">
        <v>0</v>
      </c>
      <c r="N66" s="10">
        <v>0</v>
      </c>
      <c r="O66" s="10">
        <v>0</v>
      </c>
      <c r="P66" s="10">
        <v>0</v>
      </c>
      <c r="Q66" s="42">
        <v>0</v>
      </c>
      <c r="R66" s="58">
        <v>0</v>
      </c>
      <c r="S66" s="77">
        <f t="shared" si="1"/>
        <v>10000</v>
      </c>
    </row>
    <row r="67" spans="1:19" x14ac:dyDescent="0.15">
      <c r="A67" s="14" t="s">
        <v>68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42">
        <v>0</v>
      </c>
      <c r="H67" s="10">
        <v>0</v>
      </c>
      <c r="I67" s="10">
        <v>0</v>
      </c>
      <c r="J67" s="10">
        <v>0</v>
      </c>
      <c r="K67" s="10">
        <v>0</v>
      </c>
      <c r="L67" s="42">
        <v>0</v>
      </c>
      <c r="M67" s="10">
        <v>0</v>
      </c>
      <c r="N67" s="10">
        <v>0</v>
      </c>
      <c r="O67" s="10">
        <v>0</v>
      </c>
      <c r="P67" s="10">
        <v>0</v>
      </c>
      <c r="Q67" s="42">
        <v>0</v>
      </c>
      <c r="R67" s="58">
        <v>0</v>
      </c>
      <c r="S67" s="77">
        <f t="shared" si="1"/>
        <v>0</v>
      </c>
    </row>
    <row r="68" spans="1:19" x14ac:dyDescent="0.15">
      <c r="A68" s="14" t="s">
        <v>69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42">
        <v>0</v>
      </c>
      <c r="H68" s="10">
        <v>0</v>
      </c>
      <c r="I68" s="10">
        <v>0</v>
      </c>
      <c r="J68" s="10">
        <v>0</v>
      </c>
      <c r="K68" s="10">
        <v>0</v>
      </c>
      <c r="L68" s="42">
        <v>0</v>
      </c>
      <c r="M68" s="10">
        <v>0</v>
      </c>
      <c r="N68" s="10">
        <v>0</v>
      </c>
      <c r="O68" s="10">
        <v>0</v>
      </c>
      <c r="P68" s="10">
        <v>0</v>
      </c>
      <c r="Q68" s="42">
        <v>0</v>
      </c>
      <c r="R68" s="58">
        <v>0</v>
      </c>
      <c r="S68" s="77">
        <f t="shared" si="1"/>
        <v>0</v>
      </c>
    </row>
    <row r="69" spans="1:19" ht="14.25" thickBot="1" x14ac:dyDescent="0.2">
      <c r="A69" s="30" t="s">
        <v>70</v>
      </c>
      <c r="B69" s="31">
        <v>6990</v>
      </c>
      <c r="C69" s="31">
        <v>6040</v>
      </c>
      <c r="D69" s="31">
        <v>0</v>
      </c>
      <c r="E69" s="31">
        <v>14350</v>
      </c>
      <c r="F69" s="31">
        <v>22970</v>
      </c>
      <c r="G69" s="45">
        <v>22550</v>
      </c>
      <c r="H69" s="31">
        <v>37960</v>
      </c>
      <c r="I69" s="31">
        <v>14700</v>
      </c>
      <c r="J69" s="31">
        <v>29780</v>
      </c>
      <c r="K69" s="31">
        <v>21470</v>
      </c>
      <c r="L69" s="45">
        <v>13580</v>
      </c>
      <c r="M69" s="31">
        <v>21300</v>
      </c>
      <c r="N69" s="31">
        <v>17210</v>
      </c>
      <c r="O69" s="31">
        <v>15460</v>
      </c>
      <c r="P69" s="31">
        <v>19950</v>
      </c>
      <c r="Q69" s="45">
        <v>19290</v>
      </c>
      <c r="R69" s="61">
        <v>17970</v>
      </c>
      <c r="S69" s="80">
        <f t="shared" si="1"/>
        <v>301570</v>
      </c>
    </row>
    <row r="70" spans="1:19" ht="14.25" thickBot="1" x14ac:dyDescent="0.2">
      <c r="A70" s="32" t="s">
        <v>71</v>
      </c>
      <c r="B70" s="33">
        <v>56518</v>
      </c>
      <c r="C70" s="33">
        <v>43242</v>
      </c>
      <c r="D70" s="33">
        <v>168</v>
      </c>
      <c r="E70" s="33">
        <v>60724</v>
      </c>
      <c r="F70" s="33">
        <v>72391</v>
      </c>
      <c r="G70" s="46">
        <v>75194</v>
      </c>
      <c r="H70" s="33">
        <v>96724</v>
      </c>
      <c r="I70" s="33">
        <v>66613</v>
      </c>
      <c r="J70" s="33">
        <v>88536</v>
      </c>
      <c r="K70" s="33">
        <v>70856</v>
      </c>
      <c r="L70" s="46">
        <v>59859</v>
      </c>
      <c r="M70" s="33">
        <v>67660</v>
      </c>
      <c r="N70" s="33">
        <v>66614</v>
      </c>
      <c r="O70" s="33">
        <v>58715</v>
      </c>
      <c r="P70" s="33">
        <v>66424</v>
      </c>
      <c r="Q70" s="46">
        <v>65577</v>
      </c>
      <c r="R70" s="62">
        <v>64226</v>
      </c>
      <c r="S70" s="81">
        <f t="shared" si="1"/>
        <v>1080041</v>
      </c>
    </row>
    <row r="71" spans="1:19" ht="14.25" thickBot="1" x14ac:dyDescent="0.2">
      <c r="A71" s="32" t="s">
        <v>72</v>
      </c>
      <c r="B71" s="33">
        <v>292856</v>
      </c>
      <c r="C71" s="33">
        <v>237279</v>
      </c>
      <c r="D71" s="33">
        <v>55962</v>
      </c>
      <c r="E71" s="33">
        <v>247189</v>
      </c>
      <c r="F71" s="33">
        <v>241431</v>
      </c>
      <c r="G71" s="46">
        <v>302644</v>
      </c>
      <c r="H71" s="33">
        <v>301348</v>
      </c>
      <c r="I71" s="33">
        <v>67698</v>
      </c>
      <c r="J71" s="33">
        <v>306729</v>
      </c>
      <c r="K71" s="33">
        <v>231206</v>
      </c>
      <c r="L71" s="46">
        <v>216416</v>
      </c>
      <c r="M71" s="33">
        <v>235552</v>
      </c>
      <c r="N71" s="33">
        <v>241376</v>
      </c>
      <c r="O71" s="33">
        <v>219639</v>
      </c>
      <c r="P71" s="33">
        <v>224955</v>
      </c>
      <c r="Q71" s="46">
        <v>213258</v>
      </c>
      <c r="R71" s="62">
        <v>204581</v>
      </c>
      <c r="S71" s="81">
        <f t="shared" si="1"/>
        <v>3840119</v>
      </c>
    </row>
    <row r="72" spans="1:19" x14ac:dyDescent="0.15">
      <c r="A72" s="27" t="s">
        <v>73</v>
      </c>
      <c r="B72" s="28">
        <v>0</v>
      </c>
      <c r="C72" s="28">
        <v>0</v>
      </c>
      <c r="D72" s="28">
        <v>0</v>
      </c>
      <c r="E72" s="28">
        <v>0</v>
      </c>
      <c r="F72" s="28">
        <v>0</v>
      </c>
      <c r="G72" s="44">
        <v>0</v>
      </c>
      <c r="H72" s="28">
        <v>0</v>
      </c>
      <c r="I72" s="28">
        <v>0</v>
      </c>
      <c r="J72" s="28">
        <v>0</v>
      </c>
      <c r="K72" s="28">
        <v>0</v>
      </c>
      <c r="L72" s="44">
        <v>0</v>
      </c>
      <c r="M72" s="28">
        <v>0</v>
      </c>
      <c r="N72" s="28">
        <v>0</v>
      </c>
      <c r="O72" s="28">
        <v>0</v>
      </c>
      <c r="P72" s="28">
        <v>0</v>
      </c>
      <c r="Q72" s="44">
        <v>0</v>
      </c>
      <c r="R72" s="60">
        <v>0</v>
      </c>
      <c r="S72" s="79">
        <f t="shared" si="1"/>
        <v>0</v>
      </c>
    </row>
    <row r="73" spans="1:19" x14ac:dyDescent="0.15">
      <c r="A73" s="14" t="s">
        <v>74</v>
      </c>
      <c r="B73" s="10">
        <v>292856</v>
      </c>
      <c r="C73" s="10">
        <v>237279</v>
      </c>
      <c r="D73" s="10">
        <v>55962</v>
      </c>
      <c r="E73" s="10">
        <v>247189</v>
      </c>
      <c r="F73" s="10">
        <v>241431</v>
      </c>
      <c r="G73" s="42">
        <v>302644</v>
      </c>
      <c r="H73" s="10">
        <v>301348</v>
      </c>
      <c r="I73" s="10">
        <v>67698</v>
      </c>
      <c r="J73" s="10">
        <v>306729</v>
      </c>
      <c r="K73" s="10">
        <v>231206</v>
      </c>
      <c r="L73" s="42">
        <v>216416</v>
      </c>
      <c r="M73" s="10">
        <v>235552</v>
      </c>
      <c r="N73" s="10">
        <v>241376</v>
      </c>
      <c r="O73" s="10">
        <v>219639</v>
      </c>
      <c r="P73" s="10">
        <v>224955</v>
      </c>
      <c r="Q73" s="42">
        <v>213258</v>
      </c>
      <c r="R73" s="58">
        <v>204581</v>
      </c>
      <c r="S73" s="77">
        <f t="shared" si="1"/>
        <v>3840119</v>
      </c>
    </row>
    <row r="74" spans="1:19" x14ac:dyDescent="0.15">
      <c r="A74" s="14" t="s">
        <v>75</v>
      </c>
      <c r="B74" s="11">
        <v>11</v>
      </c>
      <c r="C74" s="11">
        <v>8</v>
      </c>
      <c r="D74" s="11"/>
      <c r="E74" s="11">
        <v>30</v>
      </c>
      <c r="F74" s="11">
        <v>29</v>
      </c>
      <c r="G74" s="47">
        <v>35</v>
      </c>
      <c r="H74" s="11">
        <v>33</v>
      </c>
      <c r="I74" s="11">
        <v>24</v>
      </c>
      <c r="J74" s="11">
        <v>29</v>
      </c>
      <c r="K74" s="11">
        <v>32</v>
      </c>
      <c r="L74" s="47">
        <v>33</v>
      </c>
      <c r="M74" s="11">
        <v>14</v>
      </c>
      <c r="N74" s="11">
        <v>29</v>
      </c>
      <c r="O74" s="11">
        <v>5</v>
      </c>
      <c r="P74" s="11">
        <v>11</v>
      </c>
      <c r="Q74" s="47">
        <v>17</v>
      </c>
      <c r="R74" s="63">
        <v>8</v>
      </c>
      <c r="S74" s="82"/>
    </row>
    <row r="75" spans="1:19" x14ac:dyDescent="0.15">
      <c r="A75" s="14" t="s">
        <v>76</v>
      </c>
      <c r="B75" s="12">
        <v>3</v>
      </c>
      <c r="C75" s="12"/>
      <c r="D75" s="12"/>
      <c r="E75" s="12">
        <v>1</v>
      </c>
      <c r="F75" s="12"/>
      <c r="G75" s="48">
        <v>1</v>
      </c>
      <c r="H75" s="12"/>
      <c r="I75" s="12">
        <v>1</v>
      </c>
      <c r="J75" s="12"/>
      <c r="K75" s="12"/>
      <c r="L75" s="48">
        <v>1</v>
      </c>
      <c r="M75" s="12"/>
      <c r="N75" s="12"/>
      <c r="O75" s="12"/>
      <c r="P75" s="12"/>
      <c r="Q75" s="48"/>
      <c r="R75" s="64"/>
      <c r="S75" s="83"/>
    </row>
    <row r="76" spans="1:19" ht="14.25" thickBot="1" x14ac:dyDescent="0.2">
      <c r="A76" s="15" t="s">
        <v>77</v>
      </c>
      <c r="B76" s="16" t="s">
        <v>78</v>
      </c>
      <c r="C76" s="16" t="s">
        <v>78</v>
      </c>
      <c r="D76" s="16" t="s">
        <v>78</v>
      </c>
      <c r="E76" s="16" t="s">
        <v>78</v>
      </c>
      <c r="F76" s="16" t="s">
        <v>78</v>
      </c>
      <c r="G76" s="49" t="s">
        <v>78</v>
      </c>
      <c r="H76" s="16" t="s">
        <v>78</v>
      </c>
      <c r="I76" s="16" t="s">
        <v>78</v>
      </c>
      <c r="J76" s="16" t="s">
        <v>78</v>
      </c>
      <c r="K76" s="16" t="s">
        <v>78</v>
      </c>
      <c r="L76" s="49" t="s">
        <v>78</v>
      </c>
      <c r="M76" s="16" t="s">
        <v>78</v>
      </c>
      <c r="N76" s="16" t="s">
        <v>78</v>
      </c>
      <c r="O76" s="16" t="s">
        <v>78</v>
      </c>
      <c r="P76" s="16" t="s">
        <v>78</v>
      </c>
      <c r="Q76" s="49" t="s">
        <v>78</v>
      </c>
      <c r="R76" s="65" t="s">
        <v>78</v>
      </c>
      <c r="S76" s="84"/>
    </row>
  </sheetData>
  <phoneticPr fontId="1"/>
  <pageMargins left="0.43307086614173229" right="0.35433070866141736" top="0.51181102362204722" bottom="0.35433070866141736" header="0.19685039370078741" footer="0.27559055118110237"/>
  <pageSetup paperSize="9" scale="5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1頁 (2)</vt:lpstr>
      <vt:lpstr>1頁 (3)</vt:lpstr>
      <vt:lpstr>1頁 (4)</vt:lpstr>
      <vt:lpstr>'1頁 (3)'!Print_Area</vt:lpstr>
      <vt:lpstr>'1頁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2021-04-15T06:09:08Z</cp:lastPrinted>
  <dcterms:created xsi:type="dcterms:W3CDTF">2011-10-11T01:59:58Z</dcterms:created>
  <dcterms:modified xsi:type="dcterms:W3CDTF">2021-04-15T06:10:40Z</dcterms:modified>
</cp:coreProperties>
</file>