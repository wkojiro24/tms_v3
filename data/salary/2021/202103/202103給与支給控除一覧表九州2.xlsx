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03\"/>
    </mc:Choice>
  </mc:AlternateContent>
  <xr:revisionPtr revIDLastSave="0" documentId="13_ncr:1_{E57B0EC0-7063-46F0-935A-33E4B7959944}" xr6:coauthVersionLast="46" xr6:coauthVersionMax="46" xr10:uidLastSave="{00000000-0000-0000-0000-000000000000}"/>
  <bookViews>
    <workbookView xWindow="-120" yWindow="-120" windowWidth="20730" windowHeight="11160" activeTab="1" xr2:uid="{00000000-000D-0000-FFFF-FFFF00000000}"/>
  </bookViews>
  <sheets>
    <sheet name="1頁 (2)" sheetId="2" r:id="rId1"/>
    <sheet name="助成金" sheetId="3" r:id="rId2"/>
  </sheets>
  <definedNames>
    <definedName name="_xlnm.Print_Area" localSheetId="0">'1頁 (2)'!$A$1:$L$77</definedName>
    <definedName name="_xlnm.Print_Area" localSheetId="1">助成金!$A$1:$L$77</definedName>
  </definedNames>
  <calcPr calcId="191029"/>
</workbook>
</file>

<file path=xl/calcChain.xml><?xml version="1.0" encoding="utf-8"?>
<calcChain xmlns="http://schemas.openxmlformats.org/spreadsheetml/2006/main">
  <c r="K74" i="3" l="1"/>
  <c r="D74" i="3"/>
  <c r="K73" i="3"/>
  <c r="D73" i="3"/>
  <c r="K72" i="3"/>
  <c r="D72" i="3"/>
  <c r="K71" i="3"/>
  <c r="D71" i="3"/>
  <c r="K70" i="3"/>
  <c r="D70" i="3"/>
  <c r="K69" i="3"/>
  <c r="D69" i="3"/>
  <c r="K68" i="3"/>
  <c r="D68" i="3"/>
  <c r="K67" i="3"/>
  <c r="D67" i="3"/>
  <c r="K66" i="3"/>
  <c r="D66" i="3"/>
  <c r="K65" i="3"/>
  <c r="D65" i="3"/>
  <c r="K64" i="3"/>
  <c r="D64" i="3"/>
  <c r="K63" i="3"/>
  <c r="D63" i="3"/>
  <c r="K62" i="3"/>
  <c r="D62" i="3"/>
  <c r="K61" i="3"/>
  <c r="D61" i="3"/>
  <c r="K60" i="3"/>
  <c r="D60" i="3"/>
  <c r="K59" i="3"/>
  <c r="D59" i="3"/>
  <c r="K58" i="3"/>
  <c r="D58" i="3"/>
  <c r="K57" i="3"/>
  <c r="D57" i="3"/>
  <c r="K56" i="3"/>
  <c r="D56" i="3"/>
  <c r="K55" i="3"/>
  <c r="D55" i="3"/>
  <c r="K54" i="3"/>
  <c r="D54" i="3"/>
  <c r="K53" i="3"/>
  <c r="D53" i="3"/>
  <c r="K52" i="3"/>
  <c r="D52" i="3"/>
  <c r="K51" i="3"/>
  <c r="D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D31" i="3"/>
  <c r="K30" i="3"/>
  <c r="K29" i="3"/>
  <c r="K28" i="3"/>
  <c r="K27" i="3"/>
  <c r="K26" i="3"/>
  <c r="K25" i="3"/>
  <c r="K24" i="3"/>
  <c r="K23" i="3"/>
  <c r="D23" i="3"/>
  <c r="K22" i="3"/>
  <c r="K16" i="3"/>
  <c r="K15" i="3"/>
  <c r="K14" i="3"/>
  <c r="D13" i="3"/>
  <c r="K12" i="3"/>
  <c r="K8" i="3"/>
  <c r="D8" i="3"/>
  <c r="K7" i="3"/>
  <c r="D7" i="3"/>
  <c r="K6" i="3"/>
  <c r="D6" i="3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23" i="2"/>
  <c r="K22" i="2"/>
  <c r="K16" i="2"/>
  <c r="K15" i="2"/>
  <c r="K14" i="2"/>
  <c r="K12" i="2"/>
  <c r="K8" i="2"/>
  <c r="K7" i="2"/>
  <c r="K6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51" i="2"/>
  <c r="D31" i="2"/>
  <c r="D23" i="2"/>
  <c r="D13" i="2"/>
  <c r="D8" i="2"/>
  <c r="D7" i="2"/>
  <c r="D6" i="2"/>
</calcChain>
</file>

<file path=xl/sharedStrings.xml><?xml version="1.0" encoding="utf-8"?>
<sst xmlns="http://schemas.openxmlformats.org/spreadsheetml/2006/main" count="216" uniqueCount="88">
  <si>
    <t>所　属</t>
  </si>
  <si>
    <t>社　員</t>
  </si>
  <si>
    <t>2021年3月分</t>
  </si>
  <si>
    <t>若林運送株式会社</t>
  </si>
  <si>
    <t>締日:03/31</t>
  </si>
  <si>
    <t>支給日:04/15</t>
  </si>
  <si>
    <t>九州</t>
  </si>
  <si>
    <t>河村　智春</t>
  </si>
  <si>
    <t>出勤日数</t>
  </si>
  <si>
    <t>法定休日</t>
  </si>
  <si>
    <t>法定外休日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</si>
  <si>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</si>
  <si>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</si>
  <si>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</si>
  <si>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</si>
  <si>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</si>
  <si>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</si>
  <si>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</si>
  <si>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法定外休日残業</t>
  </si>
  <si>
    <t>法定代休残業</t>
  </si>
  <si>
    <t>法定外代休残業</t>
  </si>
  <si>
    <t>所定時間内残業</t>
  </si>
  <si>
    <t>遅早時間</t>
  </si>
  <si>
    <t>有給休暇時間</t>
  </si>
  <si>
    <t>深夜残業</t>
  </si>
  <si>
    <t>赤崎　功幸</t>
  </si>
  <si>
    <t>江崎　秀明</t>
  </si>
  <si>
    <t>櫻木　諭治</t>
  </si>
  <si>
    <t>米澤　敬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</si>
  <si>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</si>
  <si>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</si>
  <si>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</si>
  <si>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</si>
  <si>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</si>
  <si>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</si>
  <si>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</si>
  <si>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</si>
  <si>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</si>
  <si>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</si>
  <si>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</si>
  <si>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</si>
  <si>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</si>
  <si>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</si>
  <si>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</si>
  <si>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</si>
  <si>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</si>
  <si>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</si>
  <si>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</si>
  <si>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</si>
  <si>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法定代休有残業</t>
  </si>
  <si>
    <t>休業手当</t>
  </si>
  <si>
    <t>所定内時間残業</t>
  </si>
  <si>
    <t>課税支給合計</t>
  </si>
  <si>
    <t>非課税通勤手当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</si>
  <si>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</si>
  <si>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</si>
  <si>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</si>
  <si>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</si>
  <si>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</si>
  <si>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</si>
  <si>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</si>
  <si>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</si>
  <si>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</si>
  <si>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</si>
  <si>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</si>
  <si>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</si>
  <si>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</si>
  <si>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</si>
  <si>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</si>
  <si>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税調整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</si>
  <si>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</si>
  <si>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</si>
  <si>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</si>
  <si>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</si>
  <si>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</si>
  <si>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</si>
  <si>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</si>
  <si>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</si>
  <si>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</si>
  <si>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</si>
  <si>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大賀　勇也</t>
  </si>
  <si>
    <t>西口　真樹</t>
  </si>
  <si>
    <t>木下　知美</t>
  </si>
  <si>
    <t>8名</t>
  </si>
  <si>
    <t>全社計</t>
  </si>
  <si>
    <t>小計</t>
    <rPh sb="0" eb="2">
      <t>ショウケイ</t>
    </rPh>
    <phoneticPr fontId="1"/>
  </si>
  <si>
    <t>２名</t>
    <rPh sb="1" eb="2">
      <t>メイ</t>
    </rPh>
    <phoneticPr fontId="1"/>
  </si>
  <si>
    <t>6名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</si>
</sst>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9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7" fontId="2" fillId="0" borderId="12" xfId="0" applyNumberFormat="1" applyFont="1" applyFill="1" applyBorder="1">
      <alignment vertical="center"/>
    </xf>
    <xf numFmtId="179" fontId="2" fillId="0" borderId="12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6" xfId="0" applyFont="1" applyBorder="1">
      <alignment vertical="center"/>
    </xf>
    <xf numFmtId="0" fontId="2" fillId="0" borderId="8" xfId="0" applyFont="1" applyBorder="1">
      <alignment vertical="center"/>
    </xf>
    <xf numFmtId="179" fontId="2" fillId="0" borderId="10" xfId="0" applyNumberFormat="1" applyFont="1" applyBorder="1">
      <alignment vertical="center"/>
    </xf>
    <xf numFmtId="176" fontId="2" fillId="0" borderId="1" xfId="0" applyNumberFormat="1" applyFont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7" fontId="2" fillId="0" borderId="20" xfId="0" applyNumberFormat="1" applyFont="1" applyFill="1" applyBorder="1">
      <alignment vertical="center"/>
    </xf>
    <xf numFmtId="177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Fill="1" applyBorder="1">
      <alignment vertical="center"/>
    </xf>
    <xf numFmtId="0" fontId="2" fillId="0" borderId="26" xfId="0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6" fontId="2" fillId="0" borderId="28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7" fontId="2" fillId="0" borderId="29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28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179" fontId="2" fillId="0" borderId="29" xfId="0" applyNumberFormat="1" applyFont="1" applyFill="1" applyBorder="1">
      <alignment vertical="center"/>
    </xf>
    <xf numFmtId="0" fontId="2" fillId="0" borderId="34" xfId="0" applyFont="1" applyFill="1" applyBorder="1">
      <alignment vertical="center"/>
    </xf>
    <xf numFmtId="0" fontId="2" fillId="0" borderId="35" xfId="0" applyFont="1" applyFill="1" applyBorder="1">
      <alignment vertical="center"/>
    </xf>
    <xf numFmtId="0" fontId="2" fillId="0" borderId="35" xfId="0" applyFont="1" applyFill="1" applyBorder="1" applyAlignment="1">
      <alignment horizontal="right" vertical="center"/>
    </xf>
    <xf numFmtId="176" fontId="2" fillId="0" borderId="36" xfId="0" applyNumberFormat="1" applyFont="1" applyFill="1" applyBorder="1">
      <alignment vertical="center"/>
    </xf>
    <xf numFmtId="176" fontId="2" fillId="0" borderId="37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7" fontId="2" fillId="0" borderId="37" xfId="0" applyNumberFormat="1" applyFont="1" applyFill="1" applyBorder="1">
      <alignment vertical="center"/>
    </xf>
    <xf numFmtId="179" fontId="2" fillId="0" borderId="38" xfId="0" applyNumberFormat="1" applyFont="1" applyFill="1" applyBorder="1">
      <alignment vertical="center"/>
    </xf>
    <xf numFmtId="179" fontId="2" fillId="0" borderId="36" xfId="0" applyNumberFormat="1" applyFont="1" applyFill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33" xfId="0" applyNumberFormat="1" applyFont="1" applyBorder="1">
      <alignment vertical="center"/>
    </xf>
    <xf numFmtId="0" fontId="2" fillId="0" borderId="37" xfId="0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1" xfId="0" applyFont="1" applyBorder="1">
      <alignment vertical="center"/>
    </xf>
    <xf numFmtId="0" fontId="2" fillId="0" borderId="42" xfId="0" applyFont="1" applyBorder="1">
      <alignment vertical="center"/>
    </xf>
    <xf numFmtId="0" fontId="2" fillId="0" borderId="42" xfId="0" applyFont="1" applyBorder="1" applyAlignment="1">
      <alignment horizontal="right" vertical="center"/>
    </xf>
    <xf numFmtId="176" fontId="2" fillId="0" borderId="43" xfId="0" applyNumberFormat="1" applyFont="1" applyBorder="1">
      <alignment vertical="center"/>
    </xf>
    <xf numFmtId="176" fontId="2" fillId="0" borderId="44" xfId="0" applyNumberFormat="1" applyFont="1" applyBorder="1">
      <alignment vertical="center"/>
    </xf>
    <xf numFmtId="179" fontId="2" fillId="0" borderId="44" xfId="0" applyNumberFormat="1" applyFont="1" applyBorder="1">
      <alignment vertical="center"/>
    </xf>
    <xf numFmtId="177" fontId="2" fillId="0" borderId="44" xfId="0" applyNumberFormat="1" applyFont="1" applyBorder="1">
      <alignment vertical="center"/>
    </xf>
    <xf numFmtId="177" fontId="2" fillId="0" borderId="45" xfId="0" applyNumberFormat="1" applyFont="1" applyBorder="1">
      <alignment vertical="center"/>
    </xf>
    <xf numFmtId="179" fontId="2" fillId="0" borderId="43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48" xfId="0" applyNumberFormat="1" applyFont="1" applyBorder="1">
      <alignment vertical="center"/>
    </xf>
    <xf numFmtId="0" fontId="2" fillId="0" borderId="44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177" fontId="2" fillId="0" borderId="38" xfId="0" applyNumberFormat="1" applyFont="1" applyFill="1" applyBorder="1">
      <alignment vertical="center"/>
    </xf>
    <xf numFmtId="0" fontId="2" fillId="2" borderId="2" xfId="0" applyFont="1" applyFill="1" applyBorder="1">
      <alignment vertical="center"/>
    </xf>
    <xf numFmtId="179" fontId="2" fillId="2" borderId="1" xfId="0" applyNumberFormat="1" applyFont="1" applyFill="1" applyBorder="1">
      <alignment vertical="center"/>
    </xf>
    <xf numFmtId="179" fontId="2" fillId="2" borderId="28" xfId="0" applyNumberFormat="1" applyFont="1" applyFill="1" applyBorder="1">
      <alignment vertical="center"/>
    </xf>
    <xf numFmtId="179" fontId="2" fillId="2" borderId="37" xfId="0" applyNumberFormat="1" applyFont="1" applyFill="1" applyBorder="1">
      <alignment vertical="center"/>
    </xf>
    <xf numFmtId="179" fontId="2" fillId="2" borderId="20" xfId="0" applyNumberFormat="1" applyFont="1" applyFill="1" applyBorder="1">
      <alignment vertical="center"/>
    </xf>
    <xf numFmtId="179" fontId="2" fillId="2" borderId="44" xfId="0" applyNumberFormat="1" applyFont="1" applyFill="1" applyBorder="1">
      <alignment vertical="center"/>
    </xf>
    <xf numFmtId="176" fontId="2" fillId="3" borderId="1" xfId="0" applyNumberFormat="1" applyFont="1" applyFill="1" applyBorder="1">
      <alignment vertical="center"/>
    </xf>
    <xf numFmtId="179" fontId="2" fillId="3" borderId="1" xfId="0" applyNumberFormat="1" applyFont="1" applyFill="1" applyBorder="1">
      <alignment vertical="center"/>
    </xf>
    <xf numFmtId="176" fontId="2" fillId="2" borderId="20" xfId="0" applyNumberFormat="1" applyFont="1" applyFill="1" applyBorder="1">
      <alignment vertical="center"/>
    </xf>
    <xf numFmtId="176" fontId="2" fillId="2" borderId="1" xfId="0" applyNumberFormat="1" applyFont="1" applyFill="1" applyBorder="1">
      <alignment vertical="center"/>
    </xf>
    <xf numFmtId="176" fontId="2" fillId="2" borderId="28" xfId="0" applyNumberFormat="1" applyFont="1" applyFill="1" applyBorder="1">
      <alignment vertical="center"/>
    </xf>
    <xf numFmtId="176" fontId="2" fillId="2" borderId="37" xfId="0" applyNumberFormat="1" applyFont="1" applyFill="1" applyBorder="1">
      <alignment vertical="center"/>
    </xf>
    <xf numFmtId="176" fontId="2" fillId="2" borderId="44" xfId="0" applyNumberFormat="1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EBE02-5DCE-4DFE-B605-81F1E4274312}">
  <sheetPr>
    <pageSetUpPr fitToPage="1"/>
  </sheetPr>
  <dimension ref="A1:AK77"/>
  <sheetViews>
    <sheetView zoomScale="80" zoomScaleNormal="80" workbookViewId="0"/>
  </sheetViews>
  <sheetFormatPr defaultRowHeight="13.5" x14ac:dyDescent="0.15"/>
  <cols>
    <col min="1" max="1" width="17.625" style="2" customWidth="1"/>
    <col min="2" max="12" width="12" style="2" customWidth="1"/>
    <col min="13" max="18" width="10.5" style="2" customWidth="1"/>
    <col min="19" max="16384" width="9" style="2"/>
  </cols>
  <sheetData>
    <row r="1" spans="1:37" ht="18.75" x14ac:dyDescent="0.15">
      <c r="A1" s="1" t="s">
        <v>2</v>
      </c>
      <c r="B1" s="7"/>
      <c r="C1" s="7"/>
      <c r="D1" s="7"/>
      <c r="E1" s="7"/>
      <c r="G1" s="1"/>
      <c r="H1" s="8"/>
      <c r="I1" s="1"/>
      <c r="J1" s="7"/>
      <c r="K1" s="7"/>
      <c r="L1" s="2" t="s">
        <v>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4.25" thickBot="1" x14ac:dyDescent="0.2">
      <c r="A2" s="1">
        <v>13</v>
      </c>
      <c r="B2" s="1" t="s">
        <v>3</v>
      </c>
      <c r="C2" s="1"/>
      <c r="D2" s="1"/>
      <c r="E2" s="1"/>
      <c r="G2" s="1"/>
      <c r="H2" s="1"/>
      <c r="I2" s="1"/>
      <c r="J2" s="1"/>
      <c r="K2" s="1"/>
      <c r="L2" s="2" t="s">
        <v>5</v>
      </c>
      <c r="M2" s="1"/>
      <c r="N2" s="1"/>
      <c r="O2" s="1"/>
      <c r="P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x14ac:dyDescent="0.15">
      <c r="A3" s="19" t="s">
        <v>0</v>
      </c>
      <c r="B3" s="20" t="s">
        <v>6</v>
      </c>
      <c r="C3" s="56" t="s">
        <v>6</v>
      </c>
      <c r="D3" s="73" t="s">
        <v>85</v>
      </c>
      <c r="E3" s="40" t="s">
        <v>6</v>
      </c>
      <c r="F3" s="36" t="s">
        <v>6</v>
      </c>
      <c r="G3" s="20" t="s">
        <v>6</v>
      </c>
      <c r="H3" s="20" t="s">
        <v>6</v>
      </c>
      <c r="I3" s="40" t="s">
        <v>6</v>
      </c>
      <c r="J3" s="56" t="s">
        <v>6</v>
      </c>
      <c r="K3" s="73" t="s">
        <v>85</v>
      </c>
      <c r="L3" s="90" t="s">
        <v>84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x14ac:dyDescent="0.15">
      <c r="A4" s="21"/>
      <c r="B4" s="22">
        <v>1057</v>
      </c>
      <c r="C4" s="57">
        <v>1063</v>
      </c>
      <c r="D4" s="74"/>
      <c r="E4" s="41">
        <v>1056</v>
      </c>
      <c r="F4" s="37">
        <v>1059</v>
      </c>
      <c r="G4" s="22">
        <v>1061</v>
      </c>
      <c r="H4" s="22">
        <v>1067</v>
      </c>
      <c r="I4" s="41">
        <v>1071</v>
      </c>
      <c r="J4" s="57">
        <v>1092</v>
      </c>
      <c r="K4" s="74"/>
      <c r="L4" s="9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ht="14.25" thickBot="1" x14ac:dyDescent="0.2">
      <c r="A5" s="21" t="s">
        <v>1</v>
      </c>
      <c r="B5" s="22" t="s">
        <v>25</v>
      </c>
      <c r="C5" s="57" t="s">
        <v>82</v>
      </c>
      <c r="D5" s="75" t="s">
        <v>86</v>
      </c>
      <c r="E5" s="41" t="s">
        <v>7</v>
      </c>
      <c r="F5" s="37" t="s">
        <v>26</v>
      </c>
      <c r="G5" s="22" t="s">
        <v>27</v>
      </c>
      <c r="H5" s="22" t="s">
        <v>28</v>
      </c>
      <c r="I5" s="41" t="s">
        <v>80</v>
      </c>
      <c r="J5" s="57" t="s">
        <v>81</v>
      </c>
      <c r="K5" s="75" t="s">
        <v>87</v>
      </c>
      <c r="L5" s="92" t="s">
        <v>83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15">
      <c r="A6" s="23" t="s">
        <v>8</v>
      </c>
      <c r="B6" s="24">
        <v>24</v>
      </c>
      <c r="C6" s="58">
        <v>19</v>
      </c>
      <c r="D6" s="76">
        <f>SUM(B6:C6)</f>
        <v>43</v>
      </c>
      <c r="E6" s="42">
        <v>20</v>
      </c>
      <c r="F6" s="38"/>
      <c r="G6" s="24">
        <v>22</v>
      </c>
      <c r="H6" s="24">
        <v>22</v>
      </c>
      <c r="I6" s="42">
        <v>20</v>
      </c>
      <c r="J6" s="58">
        <v>23</v>
      </c>
      <c r="K6" s="76">
        <f>SUM(E6:J6)</f>
        <v>107</v>
      </c>
      <c r="L6" s="93">
        <v>150</v>
      </c>
      <c r="M6" s="3"/>
      <c r="N6" s="3"/>
      <c r="O6" s="3"/>
      <c r="P6" s="3"/>
      <c r="Q6" s="3"/>
      <c r="R6" s="3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15">
      <c r="A7" s="15" t="s">
        <v>9</v>
      </c>
      <c r="B7" s="9">
        <v>2</v>
      </c>
      <c r="C7" s="60"/>
      <c r="D7" s="77">
        <f>SUM(B7:C7)</f>
        <v>2</v>
      </c>
      <c r="E7" s="43">
        <v>2</v>
      </c>
      <c r="F7" s="12"/>
      <c r="G7" s="9">
        <v>2</v>
      </c>
      <c r="H7" s="9">
        <v>1</v>
      </c>
      <c r="I7" s="43">
        <v>1</v>
      </c>
      <c r="J7" s="59">
        <v>1</v>
      </c>
      <c r="K7" s="77">
        <f>SUM(E7:J7)</f>
        <v>7</v>
      </c>
      <c r="L7" s="94">
        <v>9</v>
      </c>
      <c r="M7" s="4"/>
      <c r="N7" s="4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15">
      <c r="A8" s="15" t="s">
        <v>10</v>
      </c>
      <c r="B8" s="9">
        <v>1</v>
      </c>
      <c r="C8" s="60"/>
      <c r="D8" s="77">
        <f>SUM(B8:C8)</f>
        <v>1</v>
      </c>
      <c r="E8" s="43">
        <v>1</v>
      </c>
      <c r="F8" s="12"/>
      <c r="G8" s="10"/>
      <c r="H8" s="9">
        <v>1</v>
      </c>
      <c r="I8" s="44"/>
      <c r="J8" s="60"/>
      <c r="K8" s="77">
        <f>SUM(E8:J8)</f>
        <v>2</v>
      </c>
      <c r="L8" s="94">
        <v>3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15">
      <c r="A9" s="15" t="s">
        <v>11</v>
      </c>
      <c r="B9" s="10"/>
      <c r="C9" s="60"/>
      <c r="D9" s="78"/>
      <c r="E9" s="44"/>
      <c r="F9" s="12"/>
      <c r="G9" s="10"/>
      <c r="H9" s="10"/>
      <c r="I9" s="44"/>
      <c r="J9" s="60"/>
      <c r="K9" s="78"/>
      <c r="L9" s="95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15">
      <c r="A10" s="15" t="s">
        <v>12</v>
      </c>
      <c r="B10" s="10"/>
      <c r="C10" s="60"/>
      <c r="D10" s="78"/>
      <c r="E10" s="44"/>
      <c r="F10" s="39">
        <v>10</v>
      </c>
      <c r="G10" s="10"/>
      <c r="H10" s="10"/>
      <c r="I10" s="44"/>
      <c r="J10" s="60"/>
      <c r="K10" s="78"/>
      <c r="L10" s="94">
        <v>10</v>
      </c>
      <c r="M10" s="3"/>
      <c r="N10" s="3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15">
      <c r="A11" s="15" t="s">
        <v>13</v>
      </c>
      <c r="B11" s="10"/>
      <c r="C11" s="60"/>
      <c r="D11" s="78"/>
      <c r="E11" s="44"/>
      <c r="F11" s="12"/>
      <c r="G11" s="10"/>
      <c r="H11" s="10"/>
      <c r="I11" s="44"/>
      <c r="J11" s="60"/>
      <c r="K11" s="78"/>
      <c r="L11" s="95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15">
      <c r="A12" s="15" t="s">
        <v>14</v>
      </c>
      <c r="B12" s="10"/>
      <c r="C12" s="60"/>
      <c r="D12" s="78"/>
      <c r="E12" s="43">
        <v>4</v>
      </c>
      <c r="F12" s="39">
        <v>10.9</v>
      </c>
      <c r="G12" s="9">
        <v>2</v>
      </c>
      <c r="H12" s="9">
        <v>2</v>
      </c>
      <c r="I12" s="43">
        <v>4</v>
      </c>
      <c r="J12" s="59">
        <v>1</v>
      </c>
      <c r="K12" s="77">
        <f>SUM(E12:J12)</f>
        <v>23.9</v>
      </c>
      <c r="L12" s="94">
        <v>23.9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15">
      <c r="A13" s="15" t="s">
        <v>15</v>
      </c>
      <c r="B13" s="10"/>
      <c r="C13" s="61">
        <v>3.9583333333333335</v>
      </c>
      <c r="D13" s="79">
        <f>SUM(B13:C13)</f>
        <v>3.9583333333333335</v>
      </c>
      <c r="E13" s="44"/>
      <c r="F13" s="12"/>
      <c r="G13" s="10"/>
      <c r="H13" s="10"/>
      <c r="I13" s="44"/>
      <c r="J13" s="60"/>
      <c r="K13" s="78"/>
      <c r="L13" s="96">
        <v>3.9583333333333335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15">
      <c r="A14" s="15" t="s">
        <v>16</v>
      </c>
      <c r="B14" s="10"/>
      <c r="C14" s="60"/>
      <c r="D14" s="78"/>
      <c r="E14" s="45">
        <v>0.45833333333333331</v>
      </c>
      <c r="F14" s="12"/>
      <c r="G14" s="11">
        <v>1.1666666666666667</v>
      </c>
      <c r="H14" s="11">
        <v>1.4583333333333333</v>
      </c>
      <c r="I14" s="45">
        <v>1.1666666666666667</v>
      </c>
      <c r="J14" s="61">
        <v>1.5</v>
      </c>
      <c r="K14" s="77">
        <f t="shared" ref="K14:K16" si="0">SUM(E14:J14)</f>
        <v>5.75</v>
      </c>
      <c r="L14" s="96">
        <v>5.75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15">
      <c r="A15" s="15" t="s">
        <v>17</v>
      </c>
      <c r="B15" s="10"/>
      <c r="C15" s="60"/>
      <c r="D15" s="78"/>
      <c r="E15" s="45">
        <v>0.70833333333333337</v>
      </c>
      <c r="F15" s="12"/>
      <c r="G15" s="11">
        <v>0.91666666666666663</v>
      </c>
      <c r="H15" s="11">
        <v>0.33333333333333331</v>
      </c>
      <c r="I15" s="45">
        <v>0.33333333333333331</v>
      </c>
      <c r="J15" s="61">
        <v>0.375</v>
      </c>
      <c r="K15" s="77">
        <f t="shared" si="0"/>
        <v>2.6666666666666665</v>
      </c>
      <c r="L15" s="96">
        <v>2.6666666666666665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15">
      <c r="A16" s="15" t="s">
        <v>18</v>
      </c>
      <c r="B16" s="10"/>
      <c r="C16" s="60"/>
      <c r="D16" s="78"/>
      <c r="E16" s="45">
        <v>0.45833333333333331</v>
      </c>
      <c r="F16" s="12"/>
      <c r="G16" s="10"/>
      <c r="H16" s="11">
        <v>0.5</v>
      </c>
      <c r="I16" s="44"/>
      <c r="J16" s="60"/>
      <c r="K16" s="77">
        <f t="shared" si="0"/>
        <v>0.95833333333333326</v>
      </c>
      <c r="L16" s="96">
        <v>0.95833333333333337</v>
      </c>
      <c r="M16" s="5"/>
      <c r="N16" s="5"/>
      <c r="O16" s="5"/>
      <c r="P16" s="5"/>
      <c r="Q16" s="5"/>
      <c r="R16" s="5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15">
      <c r="A17" s="15" t="s">
        <v>19</v>
      </c>
      <c r="B17" s="10"/>
      <c r="C17" s="60"/>
      <c r="D17" s="78"/>
      <c r="E17" s="44"/>
      <c r="F17" s="12"/>
      <c r="G17" s="10"/>
      <c r="H17" s="10"/>
      <c r="I17" s="44"/>
      <c r="J17" s="60"/>
      <c r="K17" s="78"/>
      <c r="L17" s="95"/>
      <c r="M17" s="5"/>
      <c r="N17" s="5"/>
      <c r="O17" s="5"/>
      <c r="P17" s="5"/>
      <c r="Q17" s="5"/>
      <c r="R17" s="5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15">
      <c r="A18" s="15" t="s">
        <v>20</v>
      </c>
      <c r="B18" s="10"/>
      <c r="C18" s="60"/>
      <c r="D18" s="78"/>
      <c r="E18" s="44"/>
      <c r="F18" s="12"/>
      <c r="G18" s="10"/>
      <c r="H18" s="10"/>
      <c r="I18" s="44"/>
      <c r="J18" s="60"/>
      <c r="K18" s="78"/>
      <c r="L18" s="95"/>
      <c r="M18" s="5"/>
      <c r="N18" s="5"/>
      <c r="O18" s="5"/>
      <c r="P18" s="5"/>
      <c r="Q18" s="5"/>
      <c r="R18" s="5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15">
      <c r="A19" s="15" t="s">
        <v>21</v>
      </c>
      <c r="B19" s="10"/>
      <c r="C19" s="60"/>
      <c r="D19" s="78"/>
      <c r="E19" s="44"/>
      <c r="F19" s="12"/>
      <c r="G19" s="10"/>
      <c r="H19" s="10"/>
      <c r="I19" s="44"/>
      <c r="J19" s="60"/>
      <c r="K19" s="78"/>
      <c r="L19" s="95"/>
      <c r="M19" s="5"/>
      <c r="N19" s="5"/>
      <c r="O19" s="5"/>
      <c r="P19" s="5"/>
      <c r="Q19" s="5"/>
      <c r="R19" s="5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15">
      <c r="A20" s="15" t="s">
        <v>22</v>
      </c>
      <c r="B20" s="10"/>
      <c r="C20" s="60"/>
      <c r="D20" s="78"/>
      <c r="E20" s="44"/>
      <c r="F20" s="12"/>
      <c r="G20" s="10"/>
      <c r="H20" s="10"/>
      <c r="I20" s="44"/>
      <c r="J20" s="60"/>
      <c r="K20" s="78"/>
      <c r="L20" s="95"/>
      <c r="M20" s="5"/>
      <c r="N20" s="5"/>
      <c r="O20" s="5"/>
      <c r="P20" s="5"/>
      <c r="Q20" s="5"/>
      <c r="R20" s="5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15">
      <c r="A21" s="15" t="s">
        <v>23</v>
      </c>
      <c r="B21" s="10"/>
      <c r="C21" s="60"/>
      <c r="D21" s="78"/>
      <c r="E21" s="44"/>
      <c r="F21" s="12"/>
      <c r="G21" s="10"/>
      <c r="H21" s="10"/>
      <c r="I21" s="44"/>
      <c r="J21" s="60"/>
      <c r="K21" s="78"/>
      <c r="L21" s="95"/>
      <c r="M21" s="5"/>
      <c r="N21" s="5"/>
      <c r="O21" s="5"/>
      <c r="P21" s="5"/>
      <c r="Q21" s="5"/>
      <c r="R21" s="5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ht="14.25" thickBot="1" x14ac:dyDescent="0.2">
      <c r="A22" s="26" t="s">
        <v>24</v>
      </c>
      <c r="B22" s="28"/>
      <c r="C22" s="72"/>
      <c r="D22" s="80"/>
      <c r="E22" s="46">
        <v>4.1666666666666664E-2</v>
      </c>
      <c r="F22" s="33"/>
      <c r="G22" s="27">
        <v>0.125</v>
      </c>
      <c r="H22" s="27">
        <v>4.1666666666666664E-2</v>
      </c>
      <c r="I22" s="46">
        <v>4.1666666666666664E-2</v>
      </c>
      <c r="J22" s="62">
        <v>4.1666666666666664E-2</v>
      </c>
      <c r="K22" s="105">
        <f>SUM(E22:J22)</f>
        <v>0.29166666666666663</v>
      </c>
      <c r="L22" s="97">
        <v>0.29166666666666669</v>
      </c>
      <c r="M22" s="5"/>
      <c r="N22" s="5"/>
      <c r="O22" s="5"/>
      <c r="P22" s="5"/>
      <c r="Q22" s="5"/>
      <c r="R22" s="5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15">
      <c r="A23" s="23" t="s">
        <v>29</v>
      </c>
      <c r="B23" s="25">
        <v>365000</v>
      </c>
      <c r="C23" s="63">
        <v>0</v>
      </c>
      <c r="D23" s="81">
        <f>SUM(B23:C23)</f>
        <v>365000</v>
      </c>
      <c r="E23" s="47">
        <v>177000</v>
      </c>
      <c r="F23" s="38">
        <v>187000</v>
      </c>
      <c r="G23" s="25">
        <v>187000</v>
      </c>
      <c r="H23" s="25">
        <v>177000</v>
      </c>
      <c r="I23" s="47">
        <v>187000</v>
      </c>
      <c r="J23" s="63">
        <v>170000</v>
      </c>
      <c r="K23" s="81">
        <f>SUM(E23:J23)</f>
        <v>1085000</v>
      </c>
      <c r="L23" s="98">
        <v>1450000</v>
      </c>
      <c r="M23" s="5"/>
      <c r="N23" s="5"/>
      <c r="O23" s="5"/>
      <c r="P23" s="5"/>
      <c r="Q23" s="5"/>
      <c r="R23" s="5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15">
      <c r="A24" s="15" t="s">
        <v>30</v>
      </c>
      <c r="B24" s="10">
        <v>0</v>
      </c>
      <c r="C24" s="60">
        <v>0</v>
      </c>
      <c r="D24" s="78"/>
      <c r="E24" s="44">
        <v>0</v>
      </c>
      <c r="F24" s="12">
        <v>5000</v>
      </c>
      <c r="G24" s="10">
        <v>0</v>
      </c>
      <c r="H24" s="10">
        <v>0</v>
      </c>
      <c r="I24" s="44">
        <v>0</v>
      </c>
      <c r="J24" s="60">
        <v>0</v>
      </c>
      <c r="K24" s="78">
        <f t="shared" ref="K24:K74" si="1">SUM(E24:J24)</f>
        <v>5000</v>
      </c>
      <c r="L24" s="95">
        <v>5000</v>
      </c>
      <c r="M24" s="5"/>
      <c r="N24" s="5"/>
      <c r="O24" s="5"/>
      <c r="P24" s="5"/>
      <c r="Q24" s="5"/>
      <c r="R24" s="5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15">
      <c r="A25" s="15" t="s">
        <v>31</v>
      </c>
      <c r="B25" s="10">
        <v>0</v>
      </c>
      <c r="C25" s="60">
        <v>0</v>
      </c>
      <c r="D25" s="78"/>
      <c r="E25" s="44">
        <v>0</v>
      </c>
      <c r="F25" s="12">
        <v>0</v>
      </c>
      <c r="G25" s="10">
        <v>0</v>
      </c>
      <c r="H25" s="10">
        <v>6000</v>
      </c>
      <c r="I25" s="44">
        <v>0</v>
      </c>
      <c r="J25" s="60">
        <v>0</v>
      </c>
      <c r="K25" s="78">
        <f t="shared" si="1"/>
        <v>6000</v>
      </c>
      <c r="L25" s="95">
        <v>6000</v>
      </c>
      <c r="M25" s="5"/>
      <c r="N25" s="5"/>
      <c r="O25" s="5"/>
      <c r="P25" s="5"/>
      <c r="Q25" s="5"/>
      <c r="R25" s="5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15">
      <c r="A26" s="15" t="s">
        <v>32</v>
      </c>
      <c r="B26" s="10">
        <v>0</v>
      </c>
      <c r="C26" s="60">
        <v>0</v>
      </c>
      <c r="D26" s="78"/>
      <c r="E26" s="44">
        <v>0</v>
      </c>
      <c r="F26" s="12">
        <v>0</v>
      </c>
      <c r="G26" s="10">
        <v>0</v>
      </c>
      <c r="H26" s="10">
        <v>0</v>
      </c>
      <c r="I26" s="44">
        <v>0</v>
      </c>
      <c r="J26" s="60">
        <v>0</v>
      </c>
      <c r="K26" s="78">
        <f t="shared" si="1"/>
        <v>0</v>
      </c>
      <c r="L26" s="95">
        <v>0</v>
      </c>
      <c r="M26" s="5"/>
      <c r="N26" s="5"/>
      <c r="O26" s="5"/>
      <c r="P26" s="5"/>
      <c r="Q26" s="5"/>
      <c r="R26" s="5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15">
      <c r="A27" s="15" t="s">
        <v>33</v>
      </c>
      <c r="B27" s="10">
        <v>0</v>
      </c>
      <c r="C27" s="60">
        <v>0</v>
      </c>
      <c r="D27" s="78"/>
      <c r="E27" s="44">
        <v>88775</v>
      </c>
      <c r="F27" s="12">
        <v>0</v>
      </c>
      <c r="G27" s="10">
        <v>57400</v>
      </c>
      <c r="H27" s="10">
        <v>49320</v>
      </c>
      <c r="I27" s="44">
        <v>57400</v>
      </c>
      <c r="J27" s="60">
        <v>30552</v>
      </c>
      <c r="K27" s="78">
        <f t="shared" si="1"/>
        <v>283447</v>
      </c>
      <c r="L27" s="95">
        <v>283447</v>
      </c>
      <c r="M27" s="5"/>
      <c r="N27" s="5"/>
      <c r="O27" s="5"/>
      <c r="P27" s="5"/>
      <c r="Q27" s="5"/>
      <c r="R27" s="5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15">
      <c r="A28" s="15" t="s">
        <v>34</v>
      </c>
      <c r="B28" s="10">
        <v>0</v>
      </c>
      <c r="C28" s="60">
        <v>0</v>
      </c>
      <c r="D28" s="78"/>
      <c r="E28" s="44">
        <v>0</v>
      </c>
      <c r="F28" s="12">
        <v>0</v>
      </c>
      <c r="G28" s="10">
        <v>0</v>
      </c>
      <c r="H28" s="10">
        <v>0</v>
      </c>
      <c r="I28" s="44">
        <v>0</v>
      </c>
      <c r="J28" s="60">
        <v>0</v>
      </c>
      <c r="K28" s="78">
        <f t="shared" si="1"/>
        <v>0</v>
      </c>
      <c r="L28" s="95">
        <v>0</v>
      </c>
      <c r="M28" s="5"/>
      <c r="N28" s="5"/>
      <c r="O28" s="5"/>
      <c r="P28" s="5"/>
      <c r="Q28" s="5"/>
      <c r="R28" s="5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15">
      <c r="A29" s="15" t="s">
        <v>35</v>
      </c>
      <c r="B29" s="10">
        <v>0</v>
      </c>
      <c r="C29" s="60">
        <v>0</v>
      </c>
      <c r="D29" s="78"/>
      <c r="E29" s="44">
        <v>0</v>
      </c>
      <c r="F29" s="12">
        <v>0</v>
      </c>
      <c r="G29" s="10">
        <v>0</v>
      </c>
      <c r="H29" s="10">
        <v>0</v>
      </c>
      <c r="I29" s="44">
        <v>0</v>
      </c>
      <c r="J29" s="60">
        <v>0</v>
      </c>
      <c r="K29" s="78">
        <f t="shared" si="1"/>
        <v>0</v>
      </c>
      <c r="L29" s="95">
        <v>0</v>
      </c>
      <c r="M29" s="5"/>
      <c r="N29" s="5"/>
      <c r="O29" s="5"/>
      <c r="P29" s="5"/>
      <c r="Q29" s="5"/>
      <c r="R29" s="5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15">
      <c r="A30" s="15" t="s">
        <v>36</v>
      </c>
      <c r="B30" s="10">
        <v>0</v>
      </c>
      <c r="C30" s="60">
        <v>0</v>
      </c>
      <c r="D30" s="78"/>
      <c r="E30" s="44">
        <v>0</v>
      </c>
      <c r="F30" s="12">
        <v>0</v>
      </c>
      <c r="G30" s="10">
        <v>0</v>
      </c>
      <c r="H30" s="10">
        <v>0</v>
      </c>
      <c r="I30" s="44">
        <v>0</v>
      </c>
      <c r="J30" s="60">
        <v>0</v>
      </c>
      <c r="K30" s="78">
        <f t="shared" si="1"/>
        <v>0</v>
      </c>
      <c r="L30" s="95">
        <v>0</v>
      </c>
      <c r="M30" s="5"/>
      <c r="N30" s="5"/>
      <c r="O30" s="5"/>
      <c r="P30" s="5"/>
      <c r="Q30" s="5"/>
      <c r="R30" s="5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15">
      <c r="A31" s="15" t="s">
        <v>37</v>
      </c>
      <c r="B31" s="10">
        <v>0</v>
      </c>
      <c r="C31" s="60">
        <v>87875</v>
      </c>
      <c r="D31" s="78">
        <f>SUM(B31:C31)</f>
        <v>87875</v>
      </c>
      <c r="E31" s="44">
        <v>0</v>
      </c>
      <c r="F31" s="12">
        <v>0</v>
      </c>
      <c r="G31" s="10">
        <v>0</v>
      </c>
      <c r="H31" s="10">
        <v>0</v>
      </c>
      <c r="I31" s="44">
        <v>0</v>
      </c>
      <c r="J31" s="60">
        <v>0</v>
      </c>
      <c r="K31" s="78">
        <f t="shared" si="1"/>
        <v>0</v>
      </c>
      <c r="L31" s="95">
        <v>87875</v>
      </c>
      <c r="M31" s="5"/>
      <c r="N31" s="5"/>
      <c r="O31" s="5"/>
      <c r="P31" s="5"/>
      <c r="Q31" s="5"/>
      <c r="R31" s="5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15">
      <c r="A32" s="15" t="s">
        <v>38</v>
      </c>
      <c r="B32" s="10">
        <v>0</v>
      </c>
      <c r="C32" s="60">
        <v>0</v>
      </c>
      <c r="D32" s="78"/>
      <c r="E32" s="44">
        <v>0</v>
      </c>
      <c r="F32" s="12">
        <v>0</v>
      </c>
      <c r="G32" s="10">
        <v>0</v>
      </c>
      <c r="H32" s="10">
        <v>0</v>
      </c>
      <c r="I32" s="44">
        <v>0</v>
      </c>
      <c r="J32" s="60">
        <v>0</v>
      </c>
      <c r="K32" s="78">
        <f t="shared" si="1"/>
        <v>0</v>
      </c>
      <c r="L32" s="95">
        <v>0</v>
      </c>
      <c r="M32" s="5"/>
      <c r="N32" s="5"/>
      <c r="O32" s="5"/>
      <c r="P32" s="5"/>
      <c r="Q32" s="5"/>
      <c r="R32" s="5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x14ac:dyDescent="0.15">
      <c r="A33" s="15" t="s">
        <v>39</v>
      </c>
      <c r="B33" s="10">
        <v>0</v>
      </c>
      <c r="C33" s="60">
        <v>0</v>
      </c>
      <c r="D33" s="78"/>
      <c r="E33" s="44">
        <v>0</v>
      </c>
      <c r="F33" s="12">
        <v>0</v>
      </c>
      <c r="G33" s="10">
        <v>0</v>
      </c>
      <c r="H33" s="10">
        <v>0</v>
      </c>
      <c r="I33" s="44">
        <v>0</v>
      </c>
      <c r="J33" s="60">
        <v>0</v>
      </c>
      <c r="K33" s="78">
        <f t="shared" si="1"/>
        <v>0</v>
      </c>
      <c r="L33" s="95">
        <v>0</v>
      </c>
      <c r="M33" s="5"/>
      <c r="N33" s="5"/>
      <c r="O33" s="5"/>
      <c r="P33" s="5"/>
      <c r="Q33" s="5"/>
      <c r="R33" s="5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15">
      <c r="A34" s="15" t="s">
        <v>40</v>
      </c>
      <c r="B34" s="10">
        <v>0</v>
      </c>
      <c r="C34" s="60">
        <v>0</v>
      </c>
      <c r="D34" s="78"/>
      <c r="E34" s="44">
        <v>0</v>
      </c>
      <c r="F34" s="12">
        <v>0</v>
      </c>
      <c r="G34" s="10">
        <v>0</v>
      </c>
      <c r="H34" s="10">
        <v>0</v>
      </c>
      <c r="I34" s="44">
        <v>0</v>
      </c>
      <c r="J34" s="60">
        <v>0</v>
      </c>
      <c r="K34" s="78">
        <f t="shared" si="1"/>
        <v>0</v>
      </c>
      <c r="L34" s="95">
        <v>0</v>
      </c>
      <c r="M34" s="5"/>
      <c r="N34" s="5"/>
      <c r="O34" s="5"/>
      <c r="P34" s="5"/>
      <c r="Q34" s="5"/>
      <c r="R34" s="5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x14ac:dyDescent="0.15">
      <c r="A35" s="15" t="s">
        <v>41</v>
      </c>
      <c r="B35" s="10">
        <v>0</v>
      </c>
      <c r="C35" s="60">
        <v>0</v>
      </c>
      <c r="D35" s="78"/>
      <c r="E35" s="44">
        <v>0</v>
      </c>
      <c r="F35" s="12">
        <v>0</v>
      </c>
      <c r="G35" s="10">
        <v>0</v>
      </c>
      <c r="H35" s="10">
        <v>0</v>
      </c>
      <c r="I35" s="44">
        <v>0</v>
      </c>
      <c r="J35" s="60">
        <v>0</v>
      </c>
      <c r="K35" s="78">
        <f t="shared" si="1"/>
        <v>0</v>
      </c>
      <c r="L35" s="95">
        <v>0</v>
      </c>
      <c r="M35" s="5"/>
      <c r="N35" s="5"/>
      <c r="O35" s="5"/>
      <c r="P35" s="5"/>
      <c r="Q35" s="5"/>
      <c r="R35" s="5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x14ac:dyDescent="0.15">
      <c r="A36" s="15" t="s">
        <v>42</v>
      </c>
      <c r="B36" s="10">
        <v>0</v>
      </c>
      <c r="C36" s="60">
        <v>0</v>
      </c>
      <c r="D36" s="78"/>
      <c r="E36" s="44">
        <v>0</v>
      </c>
      <c r="F36" s="12">
        <v>0</v>
      </c>
      <c r="G36" s="10">
        <v>0</v>
      </c>
      <c r="H36" s="10">
        <v>0</v>
      </c>
      <c r="I36" s="44">
        <v>0</v>
      </c>
      <c r="J36" s="60">
        <v>0</v>
      </c>
      <c r="K36" s="78">
        <f t="shared" si="1"/>
        <v>0</v>
      </c>
      <c r="L36" s="95">
        <v>0</v>
      </c>
      <c r="M36" s="5"/>
      <c r="N36" s="5"/>
      <c r="O36" s="5"/>
      <c r="P36" s="5"/>
      <c r="Q36" s="5"/>
      <c r="R36" s="5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x14ac:dyDescent="0.15">
      <c r="A37" s="15" t="s">
        <v>43</v>
      </c>
      <c r="B37" s="10">
        <v>0</v>
      </c>
      <c r="C37" s="60">
        <v>0</v>
      </c>
      <c r="D37" s="78"/>
      <c r="E37" s="44">
        <v>0</v>
      </c>
      <c r="F37" s="12">
        <v>0</v>
      </c>
      <c r="G37" s="10">
        <v>0</v>
      </c>
      <c r="H37" s="10">
        <v>0</v>
      </c>
      <c r="I37" s="44">
        <v>0</v>
      </c>
      <c r="J37" s="60">
        <v>0</v>
      </c>
      <c r="K37" s="78">
        <f t="shared" si="1"/>
        <v>0</v>
      </c>
      <c r="L37" s="95">
        <v>0</v>
      </c>
      <c r="M37" s="5"/>
      <c r="N37" s="5"/>
      <c r="O37" s="5"/>
      <c r="P37" s="5"/>
      <c r="Q37" s="5"/>
      <c r="R37" s="5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x14ac:dyDescent="0.15">
      <c r="A38" s="15" t="s">
        <v>44</v>
      </c>
      <c r="B38" s="10">
        <v>0</v>
      </c>
      <c r="C38" s="60">
        <v>0</v>
      </c>
      <c r="D38" s="78"/>
      <c r="E38" s="44">
        <v>0</v>
      </c>
      <c r="F38" s="12">
        <v>0</v>
      </c>
      <c r="G38" s="10">
        <v>0</v>
      </c>
      <c r="H38" s="10">
        <v>0</v>
      </c>
      <c r="I38" s="44">
        <v>0</v>
      </c>
      <c r="J38" s="60">
        <v>0</v>
      </c>
      <c r="K38" s="78">
        <f t="shared" si="1"/>
        <v>0</v>
      </c>
      <c r="L38" s="95">
        <v>0</v>
      </c>
      <c r="M38" s="5"/>
      <c r="N38" s="5"/>
      <c r="O38" s="5"/>
      <c r="P38" s="5"/>
      <c r="Q38" s="5"/>
      <c r="R38" s="5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x14ac:dyDescent="0.15">
      <c r="A39" s="15" t="s">
        <v>45</v>
      </c>
      <c r="B39" s="10">
        <v>0</v>
      </c>
      <c r="C39" s="60">
        <v>0</v>
      </c>
      <c r="D39" s="78"/>
      <c r="E39" s="44">
        <v>0</v>
      </c>
      <c r="F39" s="12">
        <v>0</v>
      </c>
      <c r="G39" s="10">
        <v>0</v>
      </c>
      <c r="H39" s="10">
        <v>0</v>
      </c>
      <c r="I39" s="44">
        <v>0</v>
      </c>
      <c r="J39" s="60">
        <v>0</v>
      </c>
      <c r="K39" s="78">
        <f t="shared" si="1"/>
        <v>0</v>
      </c>
      <c r="L39" s="95">
        <v>0</v>
      </c>
      <c r="M39" s="5"/>
      <c r="N39" s="5"/>
      <c r="O39" s="5"/>
      <c r="P39" s="5"/>
      <c r="Q39" s="5"/>
      <c r="R39" s="5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x14ac:dyDescent="0.15">
      <c r="A40" s="15" t="s">
        <v>46</v>
      </c>
      <c r="B40" s="10">
        <v>0</v>
      </c>
      <c r="C40" s="60">
        <v>0</v>
      </c>
      <c r="D40" s="78"/>
      <c r="E40" s="44">
        <v>0</v>
      </c>
      <c r="F40" s="12">
        <v>0</v>
      </c>
      <c r="G40" s="10">
        <v>0</v>
      </c>
      <c r="H40" s="10">
        <v>0</v>
      </c>
      <c r="I40" s="44">
        <v>0</v>
      </c>
      <c r="J40" s="60">
        <v>0</v>
      </c>
      <c r="K40" s="78">
        <f t="shared" si="1"/>
        <v>0</v>
      </c>
      <c r="L40" s="95">
        <v>0</v>
      </c>
      <c r="M40" s="5"/>
      <c r="N40" s="5"/>
      <c r="O40" s="5"/>
      <c r="P40" s="5"/>
      <c r="Q40" s="5"/>
      <c r="R40" s="5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x14ac:dyDescent="0.15">
      <c r="A41" s="15" t="s">
        <v>47</v>
      </c>
      <c r="B41" s="10">
        <v>0</v>
      </c>
      <c r="C41" s="60">
        <v>0</v>
      </c>
      <c r="D41" s="78"/>
      <c r="E41" s="44">
        <v>-33872</v>
      </c>
      <c r="F41" s="12">
        <v>-100127</v>
      </c>
      <c r="G41" s="10">
        <v>-17894</v>
      </c>
      <c r="H41" s="10">
        <v>-17510</v>
      </c>
      <c r="I41" s="44">
        <v>-35788</v>
      </c>
      <c r="J41" s="60">
        <v>-8133</v>
      </c>
      <c r="K41" s="78">
        <f t="shared" si="1"/>
        <v>-213324</v>
      </c>
      <c r="L41" s="95">
        <v>-213324</v>
      </c>
      <c r="M41" s="5"/>
      <c r="N41" s="5"/>
      <c r="O41" s="5"/>
      <c r="P41" s="5"/>
      <c r="Q41" s="5"/>
      <c r="R41" s="5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x14ac:dyDescent="0.15">
      <c r="A42" s="15" t="s">
        <v>48</v>
      </c>
      <c r="B42" s="10">
        <v>0</v>
      </c>
      <c r="C42" s="60">
        <v>0</v>
      </c>
      <c r="D42" s="78"/>
      <c r="E42" s="44">
        <v>0</v>
      </c>
      <c r="F42" s="12">
        <v>0</v>
      </c>
      <c r="G42" s="10">
        <v>0</v>
      </c>
      <c r="H42" s="10">
        <v>0</v>
      </c>
      <c r="I42" s="44">
        <v>0</v>
      </c>
      <c r="J42" s="60">
        <v>0</v>
      </c>
      <c r="K42" s="78">
        <f t="shared" si="1"/>
        <v>0</v>
      </c>
      <c r="L42" s="95">
        <v>0</v>
      </c>
      <c r="M42" s="5"/>
      <c r="N42" s="5"/>
      <c r="O42" s="5"/>
      <c r="P42" s="5"/>
      <c r="Q42" s="5"/>
      <c r="R42" s="5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x14ac:dyDescent="0.15">
      <c r="A43" s="15" t="s">
        <v>16</v>
      </c>
      <c r="B43" s="10">
        <v>0</v>
      </c>
      <c r="C43" s="60">
        <v>0</v>
      </c>
      <c r="D43" s="78"/>
      <c r="E43" s="44">
        <v>14575</v>
      </c>
      <c r="F43" s="12">
        <v>0</v>
      </c>
      <c r="G43" s="10">
        <v>39200</v>
      </c>
      <c r="H43" s="10">
        <v>47950</v>
      </c>
      <c r="I43" s="44">
        <v>39200</v>
      </c>
      <c r="J43" s="60">
        <v>45828</v>
      </c>
      <c r="K43" s="78">
        <f t="shared" si="1"/>
        <v>186753</v>
      </c>
      <c r="L43" s="95">
        <v>186753</v>
      </c>
      <c r="M43" s="5"/>
      <c r="N43" s="5"/>
      <c r="O43" s="5"/>
      <c r="P43" s="5"/>
      <c r="Q43" s="5"/>
      <c r="R43" s="5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x14ac:dyDescent="0.15">
      <c r="A44" s="15" t="s">
        <v>9</v>
      </c>
      <c r="B44" s="10">
        <v>0</v>
      </c>
      <c r="C44" s="60">
        <v>0</v>
      </c>
      <c r="D44" s="78"/>
      <c r="E44" s="44">
        <v>24327</v>
      </c>
      <c r="F44" s="12">
        <v>0</v>
      </c>
      <c r="G44" s="10">
        <v>33264</v>
      </c>
      <c r="H44" s="10">
        <v>11840</v>
      </c>
      <c r="I44" s="44">
        <v>12096</v>
      </c>
      <c r="J44" s="60">
        <v>12366</v>
      </c>
      <c r="K44" s="78">
        <f t="shared" si="1"/>
        <v>93893</v>
      </c>
      <c r="L44" s="95">
        <v>93893</v>
      </c>
      <c r="M44" s="5"/>
      <c r="N44" s="5"/>
      <c r="O44" s="5"/>
      <c r="P44" s="5"/>
      <c r="Q44" s="5"/>
      <c r="R44" s="5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x14ac:dyDescent="0.15">
      <c r="A45" s="15" t="s">
        <v>10</v>
      </c>
      <c r="B45" s="10">
        <v>0</v>
      </c>
      <c r="C45" s="60">
        <v>0</v>
      </c>
      <c r="D45" s="78"/>
      <c r="E45" s="44">
        <v>15741</v>
      </c>
      <c r="F45" s="12">
        <v>0</v>
      </c>
      <c r="G45" s="10">
        <v>0</v>
      </c>
      <c r="H45" s="10">
        <v>17760</v>
      </c>
      <c r="I45" s="44">
        <v>0</v>
      </c>
      <c r="J45" s="60">
        <v>0</v>
      </c>
      <c r="K45" s="78">
        <f t="shared" si="1"/>
        <v>33501</v>
      </c>
      <c r="L45" s="95">
        <v>33501</v>
      </c>
      <c r="M45" s="5"/>
      <c r="N45" s="5"/>
      <c r="O45" s="5"/>
      <c r="P45" s="5"/>
      <c r="Q45" s="5"/>
      <c r="R45" s="5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x14ac:dyDescent="0.15">
      <c r="A46" s="15" t="s">
        <v>49</v>
      </c>
      <c r="B46" s="10">
        <v>0</v>
      </c>
      <c r="C46" s="60">
        <v>0</v>
      </c>
      <c r="D46" s="78"/>
      <c r="E46" s="44">
        <v>0</v>
      </c>
      <c r="F46" s="12">
        <v>0</v>
      </c>
      <c r="G46" s="10">
        <v>0</v>
      </c>
      <c r="H46" s="10">
        <v>0</v>
      </c>
      <c r="I46" s="44">
        <v>0</v>
      </c>
      <c r="J46" s="60">
        <v>0</v>
      </c>
      <c r="K46" s="78">
        <f t="shared" si="1"/>
        <v>0</v>
      </c>
      <c r="L46" s="95">
        <v>0</v>
      </c>
      <c r="M46" s="5"/>
      <c r="N46" s="5"/>
      <c r="O46" s="5"/>
      <c r="P46" s="5"/>
      <c r="Q46" s="5"/>
      <c r="R46" s="5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x14ac:dyDescent="0.15">
      <c r="A47" s="15" t="s">
        <v>50</v>
      </c>
      <c r="B47" s="10">
        <v>0</v>
      </c>
      <c r="C47" s="60">
        <v>0</v>
      </c>
      <c r="D47" s="78"/>
      <c r="E47" s="44">
        <v>33872</v>
      </c>
      <c r="F47" s="12">
        <v>0</v>
      </c>
      <c r="G47" s="10">
        <v>17894</v>
      </c>
      <c r="H47" s="10">
        <v>17510</v>
      </c>
      <c r="I47" s="44">
        <v>35788</v>
      </c>
      <c r="J47" s="60">
        <v>8133</v>
      </c>
      <c r="K47" s="78">
        <f t="shared" si="1"/>
        <v>113197</v>
      </c>
      <c r="L47" s="95">
        <v>113197</v>
      </c>
      <c r="M47" s="5"/>
      <c r="N47" s="5"/>
      <c r="O47" s="5"/>
      <c r="P47" s="5"/>
      <c r="Q47" s="5"/>
      <c r="R47" s="5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x14ac:dyDescent="0.15">
      <c r="A48" s="15" t="s">
        <v>20</v>
      </c>
      <c r="B48" s="10">
        <v>0</v>
      </c>
      <c r="C48" s="60">
        <v>0</v>
      </c>
      <c r="D48" s="78"/>
      <c r="E48" s="44">
        <v>0</v>
      </c>
      <c r="F48" s="12">
        <v>0</v>
      </c>
      <c r="G48" s="10">
        <v>0</v>
      </c>
      <c r="H48" s="10">
        <v>0</v>
      </c>
      <c r="I48" s="44">
        <v>0</v>
      </c>
      <c r="J48" s="60">
        <v>0</v>
      </c>
      <c r="K48" s="78">
        <f t="shared" si="1"/>
        <v>0</v>
      </c>
      <c r="L48" s="95">
        <v>0</v>
      </c>
      <c r="M48" s="5"/>
      <c r="N48" s="5"/>
      <c r="O48" s="5"/>
      <c r="P48" s="5"/>
      <c r="Q48" s="5"/>
      <c r="R48" s="5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18" x14ac:dyDescent="0.15">
      <c r="A49" s="16" t="s">
        <v>51</v>
      </c>
      <c r="B49" s="12">
        <v>0</v>
      </c>
      <c r="C49" s="64">
        <v>0</v>
      </c>
      <c r="D49" s="82"/>
      <c r="E49" s="48">
        <v>0</v>
      </c>
      <c r="F49" s="12">
        <v>0</v>
      </c>
      <c r="G49" s="12">
        <v>0</v>
      </c>
      <c r="H49" s="12">
        <v>0</v>
      </c>
      <c r="I49" s="48">
        <v>0</v>
      </c>
      <c r="J49" s="64">
        <v>0</v>
      </c>
      <c r="K49" s="82">
        <f t="shared" si="1"/>
        <v>0</v>
      </c>
      <c r="L49" s="95">
        <v>0</v>
      </c>
      <c r="M49" s="6"/>
      <c r="N49" s="6"/>
      <c r="O49" s="6"/>
      <c r="P49" s="6"/>
      <c r="Q49" s="6"/>
      <c r="R49" s="6"/>
    </row>
    <row r="50" spans="1:18" x14ac:dyDescent="0.15">
      <c r="A50" s="16" t="s">
        <v>24</v>
      </c>
      <c r="B50" s="12">
        <v>0</v>
      </c>
      <c r="C50" s="64">
        <v>0</v>
      </c>
      <c r="D50" s="82"/>
      <c r="E50" s="48">
        <v>265</v>
      </c>
      <c r="F50" s="12">
        <v>0</v>
      </c>
      <c r="G50" s="12">
        <v>840</v>
      </c>
      <c r="H50" s="12">
        <v>274</v>
      </c>
      <c r="I50" s="48">
        <v>280</v>
      </c>
      <c r="J50" s="64">
        <v>255</v>
      </c>
      <c r="K50" s="82">
        <f t="shared" si="1"/>
        <v>1914</v>
      </c>
      <c r="L50" s="95">
        <v>1914</v>
      </c>
      <c r="M50" s="6"/>
      <c r="N50" s="6"/>
      <c r="O50" s="6"/>
      <c r="P50" s="6"/>
      <c r="Q50" s="6"/>
      <c r="R50" s="6"/>
    </row>
    <row r="51" spans="1:18" ht="14.25" thickBot="1" x14ac:dyDescent="0.2">
      <c r="A51" s="17" t="s">
        <v>52</v>
      </c>
      <c r="B51" s="31">
        <v>365000</v>
      </c>
      <c r="C51" s="65">
        <v>87875</v>
      </c>
      <c r="D51" s="83">
        <f>SUM(B51:C51)</f>
        <v>452875</v>
      </c>
      <c r="E51" s="49">
        <v>320683</v>
      </c>
      <c r="F51" s="31">
        <v>91873</v>
      </c>
      <c r="G51" s="31">
        <v>317704</v>
      </c>
      <c r="H51" s="31">
        <v>310144</v>
      </c>
      <c r="I51" s="49">
        <v>295976</v>
      </c>
      <c r="J51" s="65">
        <v>259001</v>
      </c>
      <c r="K51" s="83">
        <f t="shared" si="1"/>
        <v>1595381</v>
      </c>
      <c r="L51" s="99">
        <v>2048256</v>
      </c>
      <c r="M51" s="6"/>
      <c r="N51" s="6"/>
      <c r="O51" s="6"/>
      <c r="P51" s="6"/>
      <c r="Q51" s="6"/>
      <c r="R51" s="6"/>
    </row>
    <row r="52" spans="1:18" x14ac:dyDescent="0.15">
      <c r="A52" s="29" t="s">
        <v>53</v>
      </c>
      <c r="B52" s="30">
        <v>4330</v>
      </c>
      <c r="C52" s="66">
        <v>2667</v>
      </c>
      <c r="D52" s="84">
        <f t="shared" ref="D52:D74" si="2">SUM(B52:C52)</f>
        <v>6997</v>
      </c>
      <c r="E52" s="50">
        <v>5533</v>
      </c>
      <c r="F52" s="30">
        <v>0</v>
      </c>
      <c r="G52" s="30">
        <v>4330</v>
      </c>
      <c r="H52" s="30">
        <v>8179</v>
      </c>
      <c r="I52" s="50">
        <v>4210</v>
      </c>
      <c r="J52" s="66">
        <v>11547</v>
      </c>
      <c r="K52" s="84">
        <f t="shared" si="1"/>
        <v>33799</v>
      </c>
      <c r="L52" s="100">
        <v>40796</v>
      </c>
      <c r="M52" s="6"/>
      <c r="N52" s="6"/>
      <c r="O52" s="6"/>
      <c r="P52" s="6"/>
      <c r="Q52" s="6"/>
      <c r="R52" s="6"/>
    </row>
    <row r="53" spans="1:18" ht="14.25" thickBot="1" x14ac:dyDescent="0.2">
      <c r="A53" s="32" t="s">
        <v>54</v>
      </c>
      <c r="B53" s="33">
        <v>4330</v>
      </c>
      <c r="C53" s="67">
        <v>2667</v>
      </c>
      <c r="D53" s="85">
        <f t="shared" si="2"/>
        <v>6997</v>
      </c>
      <c r="E53" s="51">
        <v>5533</v>
      </c>
      <c r="F53" s="33">
        <v>0</v>
      </c>
      <c r="G53" s="33">
        <v>4330</v>
      </c>
      <c r="H53" s="33">
        <v>8179</v>
      </c>
      <c r="I53" s="51">
        <v>4210</v>
      </c>
      <c r="J53" s="67">
        <v>11547</v>
      </c>
      <c r="K53" s="85">
        <f t="shared" si="1"/>
        <v>33799</v>
      </c>
      <c r="L53" s="101">
        <v>40796</v>
      </c>
    </row>
    <row r="54" spans="1:18" ht="14.25" thickBot="1" x14ac:dyDescent="0.2">
      <c r="A54" s="34" t="s">
        <v>55</v>
      </c>
      <c r="B54" s="35">
        <v>369330</v>
      </c>
      <c r="C54" s="68">
        <v>90542</v>
      </c>
      <c r="D54" s="86">
        <f t="shared" si="2"/>
        <v>459872</v>
      </c>
      <c r="E54" s="52">
        <v>326216</v>
      </c>
      <c r="F54" s="35">
        <v>91873</v>
      </c>
      <c r="G54" s="35">
        <v>322034</v>
      </c>
      <c r="H54" s="35">
        <v>318323</v>
      </c>
      <c r="I54" s="52">
        <v>300186</v>
      </c>
      <c r="J54" s="68">
        <v>270548</v>
      </c>
      <c r="K54" s="86">
        <f t="shared" si="1"/>
        <v>1629180</v>
      </c>
      <c r="L54" s="102">
        <v>2089052</v>
      </c>
    </row>
    <row r="55" spans="1:18" x14ac:dyDescent="0.15">
      <c r="A55" s="29" t="s">
        <v>56</v>
      </c>
      <c r="B55" s="30">
        <v>18360</v>
      </c>
      <c r="C55" s="66">
        <v>0</v>
      </c>
      <c r="D55" s="84">
        <f t="shared" si="2"/>
        <v>18360</v>
      </c>
      <c r="E55" s="50">
        <v>15300</v>
      </c>
      <c r="F55" s="30">
        <v>0</v>
      </c>
      <c r="G55" s="30">
        <v>16320</v>
      </c>
      <c r="H55" s="30">
        <v>16320</v>
      </c>
      <c r="I55" s="50">
        <v>16320</v>
      </c>
      <c r="J55" s="66">
        <v>13260</v>
      </c>
      <c r="K55" s="84">
        <f t="shared" si="1"/>
        <v>77520</v>
      </c>
      <c r="L55" s="100">
        <v>95880</v>
      </c>
    </row>
    <row r="56" spans="1:18" x14ac:dyDescent="0.15">
      <c r="A56" s="16" t="s">
        <v>57</v>
      </c>
      <c r="B56" s="12">
        <v>3240</v>
      </c>
      <c r="C56" s="64">
        <v>0</v>
      </c>
      <c r="D56" s="82">
        <f t="shared" si="2"/>
        <v>3240</v>
      </c>
      <c r="E56" s="48">
        <v>0</v>
      </c>
      <c r="F56" s="12">
        <v>0</v>
      </c>
      <c r="G56" s="12">
        <v>2880</v>
      </c>
      <c r="H56" s="12">
        <v>2880</v>
      </c>
      <c r="I56" s="48">
        <v>2880</v>
      </c>
      <c r="J56" s="64">
        <v>2340</v>
      </c>
      <c r="K56" s="82">
        <f t="shared" si="1"/>
        <v>10980</v>
      </c>
      <c r="L56" s="95">
        <v>14220</v>
      </c>
    </row>
    <row r="57" spans="1:18" x14ac:dyDescent="0.15">
      <c r="A57" s="16" t="s">
        <v>58</v>
      </c>
      <c r="B57" s="12">
        <v>32940</v>
      </c>
      <c r="C57" s="64">
        <v>0</v>
      </c>
      <c r="D57" s="82">
        <f t="shared" si="2"/>
        <v>32940</v>
      </c>
      <c r="E57" s="48">
        <v>27450</v>
      </c>
      <c r="F57" s="12">
        <v>0</v>
      </c>
      <c r="G57" s="12">
        <v>29280</v>
      </c>
      <c r="H57" s="12">
        <v>29280</v>
      </c>
      <c r="I57" s="48">
        <v>29280</v>
      </c>
      <c r="J57" s="64">
        <v>23790</v>
      </c>
      <c r="K57" s="82">
        <f t="shared" si="1"/>
        <v>139080</v>
      </c>
      <c r="L57" s="95">
        <v>172020</v>
      </c>
    </row>
    <row r="58" spans="1:18" x14ac:dyDescent="0.15">
      <c r="A58" s="16" t="s">
        <v>59</v>
      </c>
      <c r="B58" s="12">
        <v>0</v>
      </c>
      <c r="C58" s="64">
        <v>0</v>
      </c>
      <c r="D58" s="82">
        <f t="shared" si="2"/>
        <v>0</v>
      </c>
      <c r="E58" s="48">
        <v>0</v>
      </c>
      <c r="F58" s="12">
        <v>0</v>
      </c>
      <c r="G58" s="12">
        <v>0</v>
      </c>
      <c r="H58" s="12">
        <v>0</v>
      </c>
      <c r="I58" s="48">
        <v>0</v>
      </c>
      <c r="J58" s="64">
        <v>0</v>
      </c>
      <c r="K58" s="82">
        <f t="shared" si="1"/>
        <v>0</v>
      </c>
      <c r="L58" s="95">
        <v>0</v>
      </c>
    </row>
    <row r="59" spans="1:18" x14ac:dyDescent="0.15">
      <c r="A59" s="16" t="s">
        <v>60</v>
      </c>
      <c r="B59" s="12">
        <v>1108</v>
      </c>
      <c r="C59" s="64">
        <v>272</v>
      </c>
      <c r="D59" s="82">
        <f t="shared" si="2"/>
        <v>1380</v>
      </c>
      <c r="E59" s="48">
        <v>979</v>
      </c>
      <c r="F59" s="12">
        <v>276</v>
      </c>
      <c r="G59" s="12">
        <v>966</v>
      </c>
      <c r="H59" s="12">
        <v>955</v>
      </c>
      <c r="I59" s="48">
        <v>901</v>
      </c>
      <c r="J59" s="64">
        <v>812</v>
      </c>
      <c r="K59" s="82">
        <f t="shared" si="1"/>
        <v>4889</v>
      </c>
      <c r="L59" s="95">
        <v>6269</v>
      </c>
    </row>
    <row r="60" spans="1:18" x14ac:dyDescent="0.15">
      <c r="A60" s="16" t="s">
        <v>61</v>
      </c>
      <c r="B60" s="12">
        <v>0</v>
      </c>
      <c r="C60" s="64">
        <v>0</v>
      </c>
      <c r="D60" s="82">
        <f t="shared" si="2"/>
        <v>0</v>
      </c>
      <c r="E60" s="48">
        <v>0</v>
      </c>
      <c r="F60" s="12">
        <v>0</v>
      </c>
      <c r="G60" s="12">
        <v>0</v>
      </c>
      <c r="H60" s="12">
        <v>0</v>
      </c>
      <c r="I60" s="48">
        <v>0</v>
      </c>
      <c r="J60" s="64">
        <v>0</v>
      </c>
      <c r="K60" s="82">
        <f t="shared" si="1"/>
        <v>0</v>
      </c>
      <c r="L60" s="95">
        <v>0</v>
      </c>
    </row>
    <row r="61" spans="1:18" ht="14.25" thickBot="1" x14ac:dyDescent="0.2">
      <c r="A61" s="32" t="s">
        <v>62</v>
      </c>
      <c r="B61" s="33">
        <v>55648</v>
      </c>
      <c r="C61" s="67">
        <v>272</v>
      </c>
      <c r="D61" s="85">
        <f t="shared" si="2"/>
        <v>55920</v>
      </c>
      <c r="E61" s="51">
        <v>43729</v>
      </c>
      <c r="F61" s="33">
        <v>276</v>
      </c>
      <c r="G61" s="33">
        <v>49446</v>
      </c>
      <c r="H61" s="33">
        <v>49435</v>
      </c>
      <c r="I61" s="51">
        <v>49381</v>
      </c>
      <c r="J61" s="67">
        <v>40202</v>
      </c>
      <c r="K61" s="85">
        <f t="shared" si="1"/>
        <v>232469</v>
      </c>
      <c r="L61" s="101">
        <v>288389</v>
      </c>
    </row>
    <row r="62" spans="1:18" ht="14.25" thickBot="1" x14ac:dyDescent="0.2">
      <c r="A62" s="34" t="s">
        <v>63</v>
      </c>
      <c r="B62" s="35">
        <v>309352</v>
      </c>
      <c r="C62" s="68">
        <v>87603</v>
      </c>
      <c r="D62" s="86">
        <f t="shared" si="2"/>
        <v>396955</v>
      </c>
      <c r="E62" s="52">
        <v>276954</v>
      </c>
      <c r="F62" s="35">
        <v>91597</v>
      </c>
      <c r="G62" s="35">
        <v>268258</v>
      </c>
      <c r="H62" s="35">
        <v>260709</v>
      </c>
      <c r="I62" s="52">
        <v>246595</v>
      </c>
      <c r="J62" s="68">
        <v>218799</v>
      </c>
      <c r="K62" s="86">
        <f t="shared" si="1"/>
        <v>1362912</v>
      </c>
      <c r="L62" s="102">
        <v>1759867</v>
      </c>
    </row>
    <row r="63" spans="1:18" x14ac:dyDescent="0.15">
      <c r="A63" s="29" t="s">
        <v>64</v>
      </c>
      <c r="B63" s="30">
        <v>9140</v>
      </c>
      <c r="C63" s="66">
        <v>90</v>
      </c>
      <c r="D63" s="84">
        <f t="shared" si="2"/>
        <v>9230</v>
      </c>
      <c r="E63" s="50">
        <v>7510</v>
      </c>
      <c r="F63" s="30">
        <v>290</v>
      </c>
      <c r="G63" s="30">
        <v>5590</v>
      </c>
      <c r="H63" s="30">
        <v>6930</v>
      </c>
      <c r="I63" s="50">
        <v>4810</v>
      </c>
      <c r="J63" s="66">
        <v>3820</v>
      </c>
      <c r="K63" s="84">
        <f t="shared" si="1"/>
        <v>28950</v>
      </c>
      <c r="L63" s="100">
        <v>38180</v>
      </c>
    </row>
    <row r="64" spans="1:18" x14ac:dyDescent="0.15">
      <c r="A64" s="16" t="s">
        <v>65</v>
      </c>
      <c r="B64" s="12">
        <v>0</v>
      </c>
      <c r="C64" s="64">
        <v>0</v>
      </c>
      <c r="D64" s="82">
        <f t="shared" si="2"/>
        <v>0</v>
      </c>
      <c r="E64" s="48">
        <v>0</v>
      </c>
      <c r="F64" s="12">
        <v>0</v>
      </c>
      <c r="G64" s="12">
        <v>0</v>
      </c>
      <c r="H64" s="12">
        <v>0</v>
      </c>
      <c r="I64" s="48">
        <v>0</v>
      </c>
      <c r="J64" s="64">
        <v>0</v>
      </c>
      <c r="K64" s="82">
        <f t="shared" si="1"/>
        <v>0</v>
      </c>
      <c r="L64" s="95">
        <v>0</v>
      </c>
    </row>
    <row r="65" spans="1:12" x14ac:dyDescent="0.15">
      <c r="A65" s="16" t="s">
        <v>66</v>
      </c>
      <c r="B65" s="12">
        <v>18600</v>
      </c>
      <c r="C65" s="64">
        <v>500</v>
      </c>
      <c r="D65" s="82">
        <f t="shared" si="2"/>
        <v>19100</v>
      </c>
      <c r="E65" s="48">
        <v>11400</v>
      </c>
      <c r="F65" s="12">
        <v>42000</v>
      </c>
      <c r="G65" s="12">
        <v>1500</v>
      </c>
      <c r="H65" s="12">
        <v>4000</v>
      </c>
      <c r="I65" s="48">
        <v>9700</v>
      </c>
      <c r="J65" s="64">
        <v>0</v>
      </c>
      <c r="K65" s="82">
        <f t="shared" si="1"/>
        <v>68600</v>
      </c>
      <c r="L65" s="95">
        <v>87700</v>
      </c>
    </row>
    <row r="66" spans="1:12" x14ac:dyDescent="0.15">
      <c r="A66" s="16" t="s">
        <v>67</v>
      </c>
      <c r="B66" s="12">
        <v>0</v>
      </c>
      <c r="C66" s="64">
        <v>0</v>
      </c>
      <c r="D66" s="82">
        <f t="shared" si="2"/>
        <v>0</v>
      </c>
      <c r="E66" s="48">
        <v>0</v>
      </c>
      <c r="F66" s="12">
        <v>0</v>
      </c>
      <c r="G66" s="12">
        <v>5000</v>
      </c>
      <c r="H66" s="12">
        <v>0</v>
      </c>
      <c r="I66" s="48">
        <v>0</v>
      </c>
      <c r="J66" s="64">
        <v>0</v>
      </c>
      <c r="K66" s="82">
        <f t="shared" si="1"/>
        <v>5000</v>
      </c>
      <c r="L66" s="95">
        <v>5000</v>
      </c>
    </row>
    <row r="67" spans="1:12" x14ac:dyDescent="0.15">
      <c r="A67" s="16" t="s">
        <v>68</v>
      </c>
      <c r="B67" s="12">
        <v>0</v>
      </c>
      <c r="C67" s="64">
        <v>0</v>
      </c>
      <c r="D67" s="82">
        <f t="shared" si="2"/>
        <v>0</v>
      </c>
      <c r="E67" s="48">
        <v>0</v>
      </c>
      <c r="F67" s="12">
        <v>0</v>
      </c>
      <c r="G67" s="12">
        <v>0</v>
      </c>
      <c r="H67" s="12">
        <v>0</v>
      </c>
      <c r="I67" s="48">
        <v>0</v>
      </c>
      <c r="J67" s="64">
        <v>0</v>
      </c>
      <c r="K67" s="82">
        <f t="shared" si="1"/>
        <v>0</v>
      </c>
      <c r="L67" s="95">
        <v>0</v>
      </c>
    </row>
    <row r="68" spans="1:12" x14ac:dyDescent="0.15">
      <c r="A68" s="16" t="s">
        <v>69</v>
      </c>
      <c r="B68" s="12">
        <v>0</v>
      </c>
      <c r="C68" s="64">
        <v>0</v>
      </c>
      <c r="D68" s="82">
        <f t="shared" si="2"/>
        <v>0</v>
      </c>
      <c r="E68" s="48">
        <v>0</v>
      </c>
      <c r="F68" s="12">
        <v>0</v>
      </c>
      <c r="G68" s="12">
        <v>0</v>
      </c>
      <c r="H68" s="12">
        <v>0</v>
      </c>
      <c r="I68" s="48">
        <v>0</v>
      </c>
      <c r="J68" s="64">
        <v>0</v>
      </c>
      <c r="K68" s="82">
        <f t="shared" si="1"/>
        <v>0</v>
      </c>
      <c r="L68" s="95">
        <v>0</v>
      </c>
    </row>
    <row r="69" spans="1:12" x14ac:dyDescent="0.15">
      <c r="A69" s="16" t="s">
        <v>70</v>
      </c>
      <c r="B69" s="12">
        <v>0</v>
      </c>
      <c r="C69" s="64">
        <v>0</v>
      </c>
      <c r="D69" s="82">
        <f t="shared" si="2"/>
        <v>0</v>
      </c>
      <c r="E69" s="48">
        <v>0</v>
      </c>
      <c r="F69" s="12">
        <v>0</v>
      </c>
      <c r="G69" s="12">
        <v>0</v>
      </c>
      <c r="H69" s="12">
        <v>0</v>
      </c>
      <c r="I69" s="48">
        <v>0</v>
      </c>
      <c r="J69" s="64">
        <v>0</v>
      </c>
      <c r="K69" s="82">
        <f t="shared" si="1"/>
        <v>0</v>
      </c>
      <c r="L69" s="95">
        <v>0</v>
      </c>
    </row>
    <row r="70" spans="1:12" ht="14.25" thickBot="1" x14ac:dyDescent="0.2">
      <c r="A70" s="32" t="s">
        <v>71</v>
      </c>
      <c r="B70" s="33">
        <v>27740</v>
      </c>
      <c r="C70" s="67">
        <v>590</v>
      </c>
      <c r="D70" s="85">
        <f t="shared" si="2"/>
        <v>28330</v>
      </c>
      <c r="E70" s="51">
        <v>18910</v>
      </c>
      <c r="F70" s="33">
        <v>42290</v>
      </c>
      <c r="G70" s="33">
        <v>12090</v>
      </c>
      <c r="H70" s="33">
        <v>10930</v>
      </c>
      <c r="I70" s="51">
        <v>14510</v>
      </c>
      <c r="J70" s="67">
        <v>3820</v>
      </c>
      <c r="K70" s="85">
        <f t="shared" si="1"/>
        <v>102550</v>
      </c>
      <c r="L70" s="101">
        <v>130880</v>
      </c>
    </row>
    <row r="71" spans="1:12" ht="14.25" thickBot="1" x14ac:dyDescent="0.2">
      <c r="A71" s="34" t="s">
        <v>72</v>
      </c>
      <c r="B71" s="35">
        <v>83388</v>
      </c>
      <c r="C71" s="68">
        <v>862</v>
      </c>
      <c r="D71" s="86">
        <f t="shared" si="2"/>
        <v>84250</v>
      </c>
      <c r="E71" s="52">
        <v>62639</v>
      </c>
      <c r="F71" s="35">
        <v>42566</v>
      </c>
      <c r="G71" s="35">
        <v>61536</v>
      </c>
      <c r="H71" s="35">
        <v>60365</v>
      </c>
      <c r="I71" s="52">
        <v>63891</v>
      </c>
      <c r="J71" s="68">
        <v>44022</v>
      </c>
      <c r="K71" s="86">
        <f t="shared" si="1"/>
        <v>335019</v>
      </c>
      <c r="L71" s="102">
        <v>419269</v>
      </c>
    </row>
    <row r="72" spans="1:12" ht="14.25" thickBot="1" x14ac:dyDescent="0.2">
      <c r="A72" s="34" t="s">
        <v>73</v>
      </c>
      <c r="B72" s="35">
        <v>285942</v>
      </c>
      <c r="C72" s="68">
        <v>89680</v>
      </c>
      <c r="D72" s="86">
        <f t="shared" si="2"/>
        <v>375622</v>
      </c>
      <c r="E72" s="52">
        <v>263577</v>
      </c>
      <c r="F72" s="35">
        <v>49307</v>
      </c>
      <c r="G72" s="35">
        <v>260498</v>
      </c>
      <c r="H72" s="35">
        <v>257958</v>
      </c>
      <c r="I72" s="52">
        <v>236295</v>
      </c>
      <c r="J72" s="68">
        <v>226526</v>
      </c>
      <c r="K72" s="86">
        <f t="shared" si="1"/>
        <v>1294161</v>
      </c>
      <c r="L72" s="102">
        <v>1669783</v>
      </c>
    </row>
    <row r="73" spans="1:12" x14ac:dyDescent="0.15">
      <c r="A73" s="29" t="s">
        <v>74</v>
      </c>
      <c r="B73" s="30">
        <v>0</v>
      </c>
      <c r="C73" s="66">
        <v>0</v>
      </c>
      <c r="D73" s="84">
        <f t="shared" si="2"/>
        <v>0</v>
      </c>
      <c r="E73" s="50">
        <v>0</v>
      </c>
      <c r="F73" s="30">
        <v>0</v>
      </c>
      <c r="G73" s="30">
        <v>0</v>
      </c>
      <c r="H73" s="30">
        <v>0</v>
      </c>
      <c r="I73" s="50">
        <v>0</v>
      </c>
      <c r="J73" s="66">
        <v>0</v>
      </c>
      <c r="K73" s="84">
        <f t="shared" si="1"/>
        <v>0</v>
      </c>
      <c r="L73" s="100">
        <v>0</v>
      </c>
    </row>
    <row r="74" spans="1:12" x14ac:dyDescent="0.15">
      <c r="A74" s="16" t="s">
        <v>75</v>
      </c>
      <c r="B74" s="12">
        <v>285942</v>
      </c>
      <c r="C74" s="64">
        <v>89680</v>
      </c>
      <c r="D74" s="82">
        <f t="shared" si="2"/>
        <v>375622</v>
      </c>
      <c r="E74" s="48">
        <v>263577</v>
      </c>
      <c r="F74" s="12">
        <v>49307</v>
      </c>
      <c r="G74" s="12">
        <v>260498</v>
      </c>
      <c r="H74" s="12">
        <v>257958</v>
      </c>
      <c r="I74" s="48">
        <v>236295</v>
      </c>
      <c r="J74" s="64">
        <v>226526</v>
      </c>
      <c r="K74" s="82">
        <f t="shared" si="1"/>
        <v>1294161</v>
      </c>
      <c r="L74" s="95">
        <v>1669783</v>
      </c>
    </row>
    <row r="75" spans="1:12" x14ac:dyDescent="0.15">
      <c r="A75" s="16" t="s">
        <v>76</v>
      </c>
      <c r="B75" s="13">
        <v>19</v>
      </c>
      <c r="C75" s="69">
        <v>7</v>
      </c>
      <c r="D75" s="87"/>
      <c r="E75" s="53">
        <v>4</v>
      </c>
      <c r="F75" s="14">
        <v>0</v>
      </c>
      <c r="G75" s="13">
        <v>2</v>
      </c>
      <c r="H75" s="13">
        <v>14</v>
      </c>
      <c r="I75" s="53">
        <v>14</v>
      </c>
      <c r="J75" s="69">
        <v>8</v>
      </c>
      <c r="K75" s="87"/>
      <c r="L75" s="103">
        <v>68</v>
      </c>
    </row>
    <row r="76" spans="1:12" x14ac:dyDescent="0.15">
      <c r="A76" s="16" t="s">
        <v>77</v>
      </c>
      <c r="B76" s="14"/>
      <c r="C76" s="70"/>
      <c r="D76" s="88"/>
      <c r="E76" s="54"/>
      <c r="F76" s="14"/>
      <c r="G76" s="14">
        <v>1</v>
      </c>
      <c r="H76" s="14"/>
      <c r="I76" s="54">
        <v>1</v>
      </c>
      <c r="J76" s="70">
        <v>1</v>
      </c>
      <c r="K76" s="88"/>
      <c r="L76" s="103"/>
    </row>
    <row r="77" spans="1:12" ht="14.25" thickBot="1" x14ac:dyDescent="0.2">
      <c r="A77" s="17" t="s">
        <v>78</v>
      </c>
      <c r="B77" s="18" t="s">
        <v>79</v>
      </c>
      <c r="C77" s="71" t="s">
        <v>79</v>
      </c>
      <c r="D77" s="89"/>
      <c r="E77" s="55" t="s">
        <v>79</v>
      </c>
      <c r="F77" s="18" t="s">
        <v>79</v>
      </c>
      <c r="G77" s="18" t="s">
        <v>79</v>
      </c>
      <c r="H77" s="18" t="s">
        <v>79</v>
      </c>
      <c r="I77" s="55" t="s">
        <v>79</v>
      </c>
      <c r="J77" s="71" t="s">
        <v>79</v>
      </c>
      <c r="K77" s="89"/>
      <c r="L77" s="104"/>
    </row>
  </sheetData>
  <phoneticPr fontId="1"/>
  <pageMargins left="0.43307086614173229" right="0.35433070866141736" top="0.51181102362204722" bottom="0.35433070866141736" header="0.19685039370078741" footer="0.27559055118110237"/>
  <pageSetup paperSize="12"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805C6-6C5B-4A9F-A8DD-2E2FF32620ED}">
  <sheetPr>
    <pageSetUpPr fitToPage="1"/>
  </sheetPr>
  <dimension ref="A1:AK77"/>
  <sheetViews>
    <sheetView tabSelected="1" topLeftCell="A7" zoomScale="80" zoomScaleNormal="80" workbookViewId="0">
      <selection activeCell="K23" sqref="K23"/>
    </sheetView>
  </sheetViews>
  <sheetFormatPr defaultRowHeight="13.5" x14ac:dyDescent="0.15"/>
  <cols>
    <col min="1" max="1" width="17.625" style="2" customWidth="1"/>
    <col min="2" max="12" width="12" style="2" customWidth="1"/>
    <col min="13" max="18" width="10.5" style="2" customWidth="1"/>
    <col min="19" max="16384" width="9" style="2"/>
  </cols>
  <sheetData>
    <row r="1" spans="1:37" ht="18.75" x14ac:dyDescent="0.15">
      <c r="A1" s="1" t="s">
        <v>2</v>
      </c>
      <c r="B1" s="7"/>
      <c r="C1" s="7"/>
      <c r="D1" s="7"/>
      <c r="E1" s="7"/>
      <c r="G1" s="1"/>
      <c r="H1" s="8"/>
      <c r="I1" s="1"/>
      <c r="J1" s="7"/>
      <c r="K1" s="7"/>
      <c r="L1" s="2" t="s">
        <v>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4.25" thickBot="1" x14ac:dyDescent="0.2">
      <c r="A2" s="1">
        <v>13</v>
      </c>
      <c r="B2" s="1" t="s">
        <v>3</v>
      </c>
      <c r="C2" s="1"/>
      <c r="D2" s="1"/>
      <c r="E2" s="1"/>
      <c r="G2" s="1"/>
      <c r="H2" s="1"/>
      <c r="I2" s="1"/>
      <c r="J2" s="1"/>
      <c r="K2" s="1"/>
      <c r="L2" s="2" t="s">
        <v>5</v>
      </c>
      <c r="M2" s="1"/>
      <c r="N2" s="1"/>
      <c r="O2" s="1"/>
      <c r="P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x14ac:dyDescent="0.15">
      <c r="A3" s="19" t="s">
        <v>0</v>
      </c>
      <c r="B3" s="20" t="s">
        <v>6</v>
      </c>
      <c r="C3" s="56" t="s">
        <v>6</v>
      </c>
      <c r="D3" s="73" t="s">
        <v>85</v>
      </c>
      <c r="E3" s="40" t="s">
        <v>6</v>
      </c>
      <c r="F3" s="36" t="s">
        <v>6</v>
      </c>
      <c r="G3" s="20" t="s">
        <v>6</v>
      </c>
      <c r="H3" s="20" t="s">
        <v>6</v>
      </c>
      <c r="I3" s="40" t="s">
        <v>6</v>
      </c>
      <c r="J3" s="56" t="s">
        <v>6</v>
      </c>
      <c r="K3" s="73" t="s">
        <v>85</v>
      </c>
      <c r="L3" s="90" t="s">
        <v>84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x14ac:dyDescent="0.15">
      <c r="A4" s="21"/>
      <c r="B4" s="22">
        <v>1057</v>
      </c>
      <c r="C4" s="57">
        <v>1063</v>
      </c>
      <c r="D4" s="74"/>
      <c r="E4" s="41">
        <v>1056</v>
      </c>
      <c r="F4" s="37">
        <v>1059</v>
      </c>
      <c r="G4" s="22">
        <v>1061</v>
      </c>
      <c r="H4" s="22">
        <v>1067</v>
      </c>
      <c r="I4" s="41">
        <v>1071</v>
      </c>
      <c r="J4" s="57">
        <v>1092</v>
      </c>
      <c r="K4" s="74"/>
      <c r="L4" s="9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ht="14.25" thickBot="1" x14ac:dyDescent="0.2">
      <c r="A5" s="21" t="s">
        <v>1</v>
      </c>
      <c r="B5" s="22" t="s">
        <v>25</v>
      </c>
      <c r="C5" s="57" t="s">
        <v>82</v>
      </c>
      <c r="D5" s="75" t="s">
        <v>86</v>
      </c>
      <c r="E5" s="41" t="s">
        <v>7</v>
      </c>
      <c r="F5" s="37" t="s">
        <v>26</v>
      </c>
      <c r="G5" s="22" t="s">
        <v>27</v>
      </c>
      <c r="H5" s="22" t="s">
        <v>28</v>
      </c>
      <c r="I5" s="41" t="s">
        <v>80</v>
      </c>
      <c r="J5" s="57" t="s">
        <v>81</v>
      </c>
      <c r="K5" s="75" t="s">
        <v>87</v>
      </c>
      <c r="L5" s="92" t="s">
        <v>83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15">
      <c r="A6" s="23" t="s">
        <v>8</v>
      </c>
      <c r="B6" s="24">
        <v>24</v>
      </c>
      <c r="C6" s="58">
        <v>19</v>
      </c>
      <c r="D6" s="76">
        <f>SUM(B6:C6)</f>
        <v>43</v>
      </c>
      <c r="E6" s="42">
        <v>20</v>
      </c>
      <c r="F6" s="38"/>
      <c r="G6" s="24">
        <v>22</v>
      </c>
      <c r="H6" s="24">
        <v>22</v>
      </c>
      <c r="I6" s="42">
        <v>20</v>
      </c>
      <c r="J6" s="58">
        <v>23</v>
      </c>
      <c r="K6" s="76">
        <f>SUM(E6:J6)</f>
        <v>107</v>
      </c>
      <c r="L6" s="93">
        <v>150</v>
      </c>
      <c r="M6" s="3"/>
      <c r="N6" s="3"/>
      <c r="O6" s="3"/>
      <c r="P6" s="3"/>
      <c r="Q6" s="3"/>
      <c r="R6" s="3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15">
      <c r="A7" s="15" t="s">
        <v>9</v>
      </c>
      <c r="B7" s="9">
        <v>2</v>
      </c>
      <c r="C7" s="60"/>
      <c r="D7" s="77">
        <f>SUM(B7:C7)</f>
        <v>2</v>
      </c>
      <c r="E7" s="43">
        <v>2</v>
      </c>
      <c r="F7" s="12"/>
      <c r="G7" s="9">
        <v>2</v>
      </c>
      <c r="H7" s="9">
        <v>1</v>
      </c>
      <c r="I7" s="43">
        <v>1</v>
      </c>
      <c r="J7" s="59">
        <v>1</v>
      </c>
      <c r="K7" s="77">
        <f>SUM(E7:J7)</f>
        <v>7</v>
      </c>
      <c r="L7" s="94">
        <v>9</v>
      </c>
      <c r="M7" s="4"/>
      <c r="N7" s="4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15">
      <c r="A8" s="15" t="s">
        <v>10</v>
      </c>
      <c r="B8" s="9">
        <v>1</v>
      </c>
      <c r="C8" s="60"/>
      <c r="D8" s="77">
        <f>SUM(B8:C8)</f>
        <v>1</v>
      </c>
      <c r="E8" s="43">
        <v>1</v>
      </c>
      <c r="F8" s="12"/>
      <c r="G8" s="10"/>
      <c r="H8" s="9">
        <v>1</v>
      </c>
      <c r="I8" s="44"/>
      <c r="J8" s="60"/>
      <c r="K8" s="77">
        <f>SUM(E8:J8)</f>
        <v>2</v>
      </c>
      <c r="L8" s="94">
        <v>3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15">
      <c r="A9" s="15" t="s">
        <v>11</v>
      </c>
      <c r="B9" s="10"/>
      <c r="C9" s="60"/>
      <c r="D9" s="78"/>
      <c r="E9" s="44"/>
      <c r="F9" s="12"/>
      <c r="G9" s="10"/>
      <c r="H9" s="10"/>
      <c r="I9" s="44"/>
      <c r="J9" s="60"/>
      <c r="K9" s="78"/>
      <c r="L9" s="95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15">
      <c r="A10" s="15" t="s">
        <v>12</v>
      </c>
      <c r="B10" s="10"/>
      <c r="C10" s="60"/>
      <c r="D10" s="78"/>
      <c r="E10" s="44"/>
      <c r="F10" s="39">
        <v>10</v>
      </c>
      <c r="G10" s="10"/>
      <c r="H10" s="10"/>
      <c r="I10" s="44"/>
      <c r="J10" s="60"/>
      <c r="K10" s="78"/>
      <c r="L10" s="94">
        <v>10</v>
      </c>
      <c r="M10" s="3"/>
      <c r="N10" s="3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15">
      <c r="A11" s="15" t="s">
        <v>13</v>
      </c>
      <c r="B11" s="10"/>
      <c r="C11" s="60"/>
      <c r="D11" s="78"/>
      <c r="E11" s="44"/>
      <c r="F11" s="12"/>
      <c r="G11" s="10"/>
      <c r="H11" s="10"/>
      <c r="I11" s="44"/>
      <c r="J11" s="60"/>
      <c r="K11" s="78"/>
      <c r="L11" s="95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15">
      <c r="A12" s="15" t="s">
        <v>14</v>
      </c>
      <c r="B12" s="10"/>
      <c r="C12" s="60"/>
      <c r="D12" s="78"/>
      <c r="E12" s="114">
        <v>4</v>
      </c>
      <c r="F12" s="112">
        <v>11</v>
      </c>
      <c r="G12" s="115">
        <v>2</v>
      </c>
      <c r="H12" s="115">
        <v>2</v>
      </c>
      <c r="I12" s="114">
        <v>4</v>
      </c>
      <c r="J12" s="116">
        <v>1</v>
      </c>
      <c r="K12" s="117">
        <f>SUM(E12:J12)</f>
        <v>24</v>
      </c>
      <c r="L12" s="118">
        <v>24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15">
      <c r="A13" s="15" t="s">
        <v>15</v>
      </c>
      <c r="B13" s="10"/>
      <c r="C13" s="61">
        <v>3.9583333333333335</v>
      </c>
      <c r="D13" s="79">
        <f>SUM(B13:C13)</f>
        <v>3.9583333333333335</v>
      </c>
      <c r="E13" s="44"/>
      <c r="F13" s="12"/>
      <c r="G13" s="10"/>
      <c r="H13" s="10"/>
      <c r="I13" s="44"/>
      <c r="J13" s="60"/>
      <c r="K13" s="78"/>
      <c r="L13" s="96">
        <v>3.9583333333333335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15">
      <c r="A14" s="15" t="s">
        <v>16</v>
      </c>
      <c r="B14" s="10"/>
      <c r="C14" s="60"/>
      <c r="D14" s="78"/>
      <c r="E14" s="45">
        <v>0.45833333333333331</v>
      </c>
      <c r="F14" s="12"/>
      <c r="G14" s="11">
        <v>1.1666666666666667</v>
      </c>
      <c r="H14" s="11">
        <v>1.4583333333333333</v>
      </c>
      <c r="I14" s="45">
        <v>1.1666666666666667</v>
      </c>
      <c r="J14" s="61">
        <v>1.5</v>
      </c>
      <c r="K14" s="77">
        <f t="shared" ref="K14:K16" si="0">SUM(E14:J14)</f>
        <v>5.75</v>
      </c>
      <c r="L14" s="96">
        <v>5.75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15">
      <c r="A15" s="15" t="s">
        <v>17</v>
      </c>
      <c r="B15" s="10"/>
      <c r="C15" s="60"/>
      <c r="D15" s="78"/>
      <c r="E15" s="45">
        <v>0.70833333333333337</v>
      </c>
      <c r="F15" s="12"/>
      <c r="G15" s="11">
        <v>0.91666666666666663</v>
      </c>
      <c r="H15" s="11">
        <v>0.33333333333333331</v>
      </c>
      <c r="I15" s="45">
        <v>0.33333333333333331</v>
      </c>
      <c r="J15" s="61">
        <v>0.375</v>
      </c>
      <c r="K15" s="77">
        <f t="shared" si="0"/>
        <v>2.6666666666666665</v>
      </c>
      <c r="L15" s="96">
        <v>2.6666666666666665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15">
      <c r="A16" s="15" t="s">
        <v>18</v>
      </c>
      <c r="B16" s="10"/>
      <c r="C16" s="60"/>
      <c r="D16" s="78"/>
      <c r="E16" s="45">
        <v>0.45833333333333331</v>
      </c>
      <c r="F16" s="12"/>
      <c r="G16" s="10"/>
      <c r="H16" s="11">
        <v>0.5</v>
      </c>
      <c r="I16" s="44"/>
      <c r="J16" s="60"/>
      <c r="K16" s="77">
        <f t="shared" si="0"/>
        <v>0.95833333333333326</v>
      </c>
      <c r="L16" s="96">
        <v>0.95833333333333337</v>
      </c>
      <c r="M16" s="5"/>
      <c r="N16" s="5"/>
      <c r="O16" s="5"/>
      <c r="P16" s="5"/>
      <c r="Q16" s="5"/>
      <c r="R16" s="5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15">
      <c r="A17" s="15" t="s">
        <v>19</v>
      </c>
      <c r="B17" s="10"/>
      <c r="C17" s="60"/>
      <c r="D17" s="78"/>
      <c r="E17" s="44"/>
      <c r="F17" s="12"/>
      <c r="G17" s="10"/>
      <c r="H17" s="10"/>
      <c r="I17" s="44"/>
      <c r="J17" s="60"/>
      <c r="K17" s="78"/>
      <c r="L17" s="95"/>
      <c r="M17" s="5"/>
      <c r="N17" s="5"/>
      <c r="O17" s="5"/>
      <c r="P17" s="5"/>
      <c r="Q17" s="5"/>
      <c r="R17" s="5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15">
      <c r="A18" s="15" t="s">
        <v>20</v>
      </c>
      <c r="B18" s="10"/>
      <c r="C18" s="60"/>
      <c r="D18" s="78"/>
      <c r="E18" s="44"/>
      <c r="F18" s="12"/>
      <c r="G18" s="10"/>
      <c r="H18" s="10"/>
      <c r="I18" s="44"/>
      <c r="J18" s="60"/>
      <c r="K18" s="78"/>
      <c r="L18" s="95"/>
      <c r="M18" s="5"/>
      <c r="N18" s="5"/>
      <c r="O18" s="5"/>
      <c r="P18" s="5"/>
      <c r="Q18" s="5"/>
      <c r="R18" s="5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15">
      <c r="A19" s="15" t="s">
        <v>21</v>
      </c>
      <c r="B19" s="10"/>
      <c r="C19" s="60"/>
      <c r="D19" s="78"/>
      <c r="E19" s="44"/>
      <c r="F19" s="12"/>
      <c r="G19" s="10"/>
      <c r="H19" s="10"/>
      <c r="I19" s="44"/>
      <c r="J19" s="60"/>
      <c r="K19" s="78"/>
      <c r="L19" s="95"/>
      <c r="M19" s="5"/>
      <c r="N19" s="5"/>
      <c r="O19" s="5"/>
      <c r="P19" s="5"/>
      <c r="Q19" s="5"/>
      <c r="R19" s="5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15">
      <c r="A20" s="15" t="s">
        <v>22</v>
      </c>
      <c r="B20" s="10"/>
      <c r="C20" s="60"/>
      <c r="D20" s="78"/>
      <c r="E20" s="44"/>
      <c r="F20" s="12"/>
      <c r="G20" s="10"/>
      <c r="H20" s="10"/>
      <c r="I20" s="44"/>
      <c r="J20" s="60"/>
      <c r="K20" s="78"/>
      <c r="L20" s="95"/>
      <c r="M20" s="5"/>
      <c r="N20" s="5"/>
      <c r="O20" s="5"/>
      <c r="P20" s="5"/>
      <c r="Q20" s="5"/>
      <c r="R20" s="5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15">
      <c r="A21" s="15" t="s">
        <v>23</v>
      </c>
      <c r="B21" s="10"/>
      <c r="C21" s="60"/>
      <c r="D21" s="78"/>
      <c r="E21" s="44"/>
      <c r="F21" s="12"/>
      <c r="G21" s="10"/>
      <c r="H21" s="10"/>
      <c r="I21" s="44"/>
      <c r="J21" s="60"/>
      <c r="K21" s="78"/>
      <c r="L21" s="95"/>
      <c r="M21" s="5"/>
      <c r="N21" s="5"/>
      <c r="O21" s="5"/>
      <c r="P21" s="5"/>
      <c r="Q21" s="5"/>
      <c r="R21" s="5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ht="14.25" thickBot="1" x14ac:dyDescent="0.2">
      <c r="A22" s="26" t="s">
        <v>24</v>
      </c>
      <c r="B22" s="28"/>
      <c r="C22" s="72"/>
      <c r="D22" s="80"/>
      <c r="E22" s="46">
        <v>4.1666666666666664E-2</v>
      </c>
      <c r="F22" s="33"/>
      <c r="G22" s="27">
        <v>0.125</v>
      </c>
      <c r="H22" s="27">
        <v>4.1666666666666664E-2</v>
      </c>
      <c r="I22" s="46">
        <v>4.1666666666666664E-2</v>
      </c>
      <c r="J22" s="62">
        <v>4.1666666666666664E-2</v>
      </c>
      <c r="K22" s="105">
        <f>SUM(E22:J22)</f>
        <v>0.29166666666666663</v>
      </c>
      <c r="L22" s="97">
        <v>0.29166666666666669</v>
      </c>
      <c r="M22" s="5"/>
      <c r="N22" s="5"/>
      <c r="O22" s="5"/>
      <c r="P22" s="5"/>
      <c r="Q22" s="5"/>
      <c r="R22" s="5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15">
      <c r="A23" s="23" t="s">
        <v>29</v>
      </c>
      <c r="B23" s="25">
        <v>365000</v>
      </c>
      <c r="C23" s="63">
        <v>0</v>
      </c>
      <c r="D23" s="81">
        <f>SUM(B23:C23)</f>
        <v>365000</v>
      </c>
      <c r="E23" s="47">
        <v>177000</v>
      </c>
      <c r="F23" s="38">
        <v>187000</v>
      </c>
      <c r="G23" s="25">
        <v>187000</v>
      </c>
      <c r="H23" s="25">
        <v>177000</v>
      </c>
      <c r="I23" s="47">
        <v>187000</v>
      </c>
      <c r="J23" s="63">
        <v>170000</v>
      </c>
      <c r="K23" s="81">
        <f>SUM(E23:J23)</f>
        <v>1085000</v>
      </c>
      <c r="L23" s="98">
        <v>1450000</v>
      </c>
      <c r="M23" s="5"/>
      <c r="N23" s="5"/>
      <c r="O23" s="5"/>
      <c r="P23" s="5"/>
      <c r="Q23" s="5"/>
      <c r="R23" s="5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15">
      <c r="A24" s="15" t="s">
        <v>30</v>
      </c>
      <c r="B24" s="10">
        <v>0</v>
      </c>
      <c r="C24" s="60">
        <v>0</v>
      </c>
      <c r="D24" s="78"/>
      <c r="E24" s="44">
        <v>0</v>
      </c>
      <c r="F24" s="12">
        <v>5000</v>
      </c>
      <c r="G24" s="10">
        <v>0</v>
      </c>
      <c r="H24" s="10">
        <v>0</v>
      </c>
      <c r="I24" s="44">
        <v>0</v>
      </c>
      <c r="J24" s="60">
        <v>0</v>
      </c>
      <c r="K24" s="78">
        <f t="shared" ref="K24:K74" si="1">SUM(E24:J24)</f>
        <v>5000</v>
      </c>
      <c r="L24" s="95">
        <v>5000</v>
      </c>
      <c r="M24" s="5"/>
      <c r="N24" s="5"/>
      <c r="O24" s="5"/>
      <c r="P24" s="5"/>
      <c r="Q24" s="5"/>
      <c r="R24" s="5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15">
      <c r="A25" s="15" t="s">
        <v>31</v>
      </c>
      <c r="B25" s="10">
        <v>0</v>
      </c>
      <c r="C25" s="60">
        <v>0</v>
      </c>
      <c r="D25" s="78"/>
      <c r="E25" s="44">
        <v>0</v>
      </c>
      <c r="F25" s="12">
        <v>0</v>
      </c>
      <c r="G25" s="10">
        <v>0</v>
      </c>
      <c r="H25" s="10">
        <v>6000</v>
      </c>
      <c r="I25" s="44">
        <v>0</v>
      </c>
      <c r="J25" s="60">
        <v>0</v>
      </c>
      <c r="K25" s="78">
        <f t="shared" si="1"/>
        <v>6000</v>
      </c>
      <c r="L25" s="95">
        <v>6000</v>
      </c>
      <c r="M25" s="5"/>
      <c r="N25" s="5"/>
      <c r="O25" s="5"/>
      <c r="P25" s="5"/>
      <c r="Q25" s="5"/>
      <c r="R25" s="5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15">
      <c r="A26" s="15" t="s">
        <v>32</v>
      </c>
      <c r="B26" s="10">
        <v>0</v>
      </c>
      <c r="C26" s="60">
        <v>0</v>
      </c>
      <c r="D26" s="78"/>
      <c r="E26" s="44">
        <v>0</v>
      </c>
      <c r="F26" s="12">
        <v>0</v>
      </c>
      <c r="G26" s="10">
        <v>0</v>
      </c>
      <c r="H26" s="10">
        <v>0</v>
      </c>
      <c r="I26" s="44">
        <v>0</v>
      </c>
      <c r="J26" s="60">
        <v>0</v>
      </c>
      <c r="K26" s="78">
        <f t="shared" si="1"/>
        <v>0</v>
      </c>
      <c r="L26" s="95">
        <v>0</v>
      </c>
      <c r="M26" s="5"/>
      <c r="N26" s="5"/>
      <c r="O26" s="5"/>
      <c r="P26" s="5"/>
      <c r="Q26" s="5"/>
      <c r="R26" s="5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15">
      <c r="A27" s="15" t="s">
        <v>33</v>
      </c>
      <c r="B27" s="10">
        <v>0</v>
      </c>
      <c r="C27" s="60">
        <v>0</v>
      </c>
      <c r="D27" s="78"/>
      <c r="E27" s="44">
        <v>88775</v>
      </c>
      <c r="F27" s="12">
        <v>0</v>
      </c>
      <c r="G27" s="10">
        <v>57400</v>
      </c>
      <c r="H27" s="10">
        <v>49320</v>
      </c>
      <c r="I27" s="44">
        <v>57400</v>
      </c>
      <c r="J27" s="60">
        <v>30552</v>
      </c>
      <c r="K27" s="78">
        <f t="shared" si="1"/>
        <v>283447</v>
      </c>
      <c r="L27" s="95">
        <v>283447</v>
      </c>
      <c r="M27" s="5"/>
      <c r="N27" s="5"/>
      <c r="O27" s="5"/>
      <c r="P27" s="5"/>
      <c r="Q27" s="5"/>
      <c r="R27" s="5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15">
      <c r="A28" s="15" t="s">
        <v>34</v>
      </c>
      <c r="B28" s="10">
        <v>0</v>
      </c>
      <c r="C28" s="60">
        <v>0</v>
      </c>
      <c r="D28" s="78"/>
      <c r="E28" s="44">
        <v>0</v>
      </c>
      <c r="F28" s="12">
        <v>0</v>
      </c>
      <c r="G28" s="10">
        <v>0</v>
      </c>
      <c r="H28" s="10">
        <v>0</v>
      </c>
      <c r="I28" s="44">
        <v>0</v>
      </c>
      <c r="J28" s="60">
        <v>0</v>
      </c>
      <c r="K28" s="78">
        <f t="shared" si="1"/>
        <v>0</v>
      </c>
      <c r="L28" s="95">
        <v>0</v>
      </c>
      <c r="M28" s="5"/>
      <c r="N28" s="5"/>
      <c r="O28" s="5"/>
      <c r="P28" s="5"/>
      <c r="Q28" s="5"/>
      <c r="R28" s="5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15">
      <c r="A29" s="15" t="s">
        <v>35</v>
      </c>
      <c r="B29" s="10">
        <v>0</v>
      </c>
      <c r="C29" s="60">
        <v>0</v>
      </c>
      <c r="D29" s="78"/>
      <c r="E29" s="44">
        <v>0</v>
      </c>
      <c r="F29" s="12">
        <v>0</v>
      </c>
      <c r="G29" s="10">
        <v>0</v>
      </c>
      <c r="H29" s="10">
        <v>0</v>
      </c>
      <c r="I29" s="44">
        <v>0</v>
      </c>
      <c r="J29" s="60">
        <v>0</v>
      </c>
      <c r="K29" s="78">
        <f t="shared" si="1"/>
        <v>0</v>
      </c>
      <c r="L29" s="95">
        <v>0</v>
      </c>
      <c r="M29" s="5"/>
      <c r="N29" s="5"/>
      <c r="O29" s="5"/>
      <c r="P29" s="5"/>
      <c r="Q29" s="5"/>
      <c r="R29" s="5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15">
      <c r="A30" s="15" t="s">
        <v>36</v>
      </c>
      <c r="B30" s="10">
        <v>0</v>
      </c>
      <c r="C30" s="60">
        <v>0</v>
      </c>
      <c r="D30" s="78"/>
      <c r="E30" s="44">
        <v>0</v>
      </c>
      <c r="F30" s="12">
        <v>0</v>
      </c>
      <c r="G30" s="10">
        <v>0</v>
      </c>
      <c r="H30" s="10">
        <v>0</v>
      </c>
      <c r="I30" s="44">
        <v>0</v>
      </c>
      <c r="J30" s="60">
        <v>0</v>
      </c>
      <c r="K30" s="78">
        <f t="shared" si="1"/>
        <v>0</v>
      </c>
      <c r="L30" s="95">
        <v>0</v>
      </c>
      <c r="M30" s="5"/>
      <c r="N30" s="5"/>
      <c r="O30" s="5"/>
      <c r="P30" s="5"/>
      <c r="Q30" s="5"/>
      <c r="R30" s="5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15">
      <c r="A31" s="15" t="s">
        <v>37</v>
      </c>
      <c r="B31" s="10">
        <v>0</v>
      </c>
      <c r="C31" s="60">
        <v>87875</v>
      </c>
      <c r="D31" s="78">
        <f>SUM(B31:C31)</f>
        <v>87875</v>
      </c>
      <c r="E31" s="44">
        <v>0</v>
      </c>
      <c r="F31" s="12">
        <v>0</v>
      </c>
      <c r="G31" s="10">
        <v>0</v>
      </c>
      <c r="H31" s="10">
        <v>0</v>
      </c>
      <c r="I31" s="44">
        <v>0</v>
      </c>
      <c r="J31" s="60">
        <v>0</v>
      </c>
      <c r="K31" s="78">
        <f t="shared" si="1"/>
        <v>0</v>
      </c>
      <c r="L31" s="95">
        <v>87875</v>
      </c>
      <c r="M31" s="5"/>
      <c r="N31" s="5"/>
      <c r="O31" s="5"/>
      <c r="P31" s="5"/>
      <c r="Q31" s="5"/>
      <c r="R31" s="5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15">
      <c r="A32" s="15" t="s">
        <v>38</v>
      </c>
      <c r="B32" s="10">
        <v>0</v>
      </c>
      <c r="C32" s="60">
        <v>0</v>
      </c>
      <c r="D32" s="78"/>
      <c r="E32" s="44">
        <v>0</v>
      </c>
      <c r="F32" s="12">
        <v>0</v>
      </c>
      <c r="G32" s="10">
        <v>0</v>
      </c>
      <c r="H32" s="10">
        <v>0</v>
      </c>
      <c r="I32" s="44">
        <v>0</v>
      </c>
      <c r="J32" s="60">
        <v>0</v>
      </c>
      <c r="K32" s="78">
        <f t="shared" si="1"/>
        <v>0</v>
      </c>
      <c r="L32" s="95">
        <v>0</v>
      </c>
      <c r="M32" s="5"/>
      <c r="N32" s="5"/>
      <c r="O32" s="5"/>
      <c r="P32" s="5"/>
      <c r="Q32" s="5"/>
      <c r="R32" s="5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x14ac:dyDescent="0.15">
      <c r="A33" s="15" t="s">
        <v>39</v>
      </c>
      <c r="B33" s="10">
        <v>0</v>
      </c>
      <c r="C33" s="60">
        <v>0</v>
      </c>
      <c r="D33" s="78"/>
      <c r="E33" s="44">
        <v>0</v>
      </c>
      <c r="F33" s="12">
        <v>0</v>
      </c>
      <c r="G33" s="10">
        <v>0</v>
      </c>
      <c r="H33" s="10">
        <v>0</v>
      </c>
      <c r="I33" s="44">
        <v>0</v>
      </c>
      <c r="J33" s="60">
        <v>0</v>
      </c>
      <c r="K33" s="78">
        <f t="shared" si="1"/>
        <v>0</v>
      </c>
      <c r="L33" s="95">
        <v>0</v>
      </c>
      <c r="M33" s="5"/>
      <c r="N33" s="5"/>
      <c r="O33" s="5"/>
      <c r="P33" s="5"/>
      <c r="Q33" s="5"/>
      <c r="R33" s="5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15">
      <c r="A34" s="15" t="s">
        <v>40</v>
      </c>
      <c r="B34" s="10">
        <v>0</v>
      </c>
      <c r="C34" s="60">
        <v>0</v>
      </c>
      <c r="D34" s="78"/>
      <c r="E34" s="44">
        <v>0</v>
      </c>
      <c r="F34" s="12">
        <v>0</v>
      </c>
      <c r="G34" s="10">
        <v>0</v>
      </c>
      <c r="H34" s="10">
        <v>0</v>
      </c>
      <c r="I34" s="44">
        <v>0</v>
      </c>
      <c r="J34" s="60">
        <v>0</v>
      </c>
      <c r="K34" s="78">
        <f t="shared" si="1"/>
        <v>0</v>
      </c>
      <c r="L34" s="95">
        <v>0</v>
      </c>
      <c r="M34" s="5"/>
      <c r="N34" s="5"/>
      <c r="O34" s="5"/>
      <c r="P34" s="5"/>
      <c r="Q34" s="5"/>
      <c r="R34" s="5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x14ac:dyDescent="0.15">
      <c r="A35" s="15" t="s">
        <v>41</v>
      </c>
      <c r="B35" s="10">
        <v>0</v>
      </c>
      <c r="C35" s="60">
        <v>0</v>
      </c>
      <c r="D35" s="78"/>
      <c r="E35" s="44">
        <v>0</v>
      </c>
      <c r="F35" s="12">
        <v>0</v>
      </c>
      <c r="G35" s="10">
        <v>0</v>
      </c>
      <c r="H35" s="10">
        <v>0</v>
      </c>
      <c r="I35" s="44">
        <v>0</v>
      </c>
      <c r="J35" s="60">
        <v>0</v>
      </c>
      <c r="K35" s="78">
        <f t="shared" si="1"/>
        <v>0</v>
      </c>
      <c r="L35" s="95">
        <v>0</v>
      </c>
      <c r="M35" s="5"/>
      <c r="N35" s="5"/>
      <c r="O35" s="5"/>
      <c r="P35" s="5"/>
      <c r="Q35" s="5"/>
      <c r="R35" s="5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x14ac:dyDescent="0.15">
      <c r="A36" s="15" t="s">
        <v>42</v>
      </c>
      <c r="B36" s="10">
        <v>0</v>
      </c>
      <c r="C36" s="60">
        <v>0</v>
      </c>
      <c r="D36" s="78"/>
      <c r="E36" s="44">
        <v>0</v>
      </c>
      <c r="F36" s="12">
        <v>0</v>
      </c>
      <c r="G36" s="10">
        <v>0</v>
      </c>
      <c r="H36" s="10">
        <v>0</v>
      </c>
      <c r="I36" s="44">
        <v>0</v>
      </c>
      <c r="J36" s="60">
        <v>0</v>
      </c>
      <c r="K36" s="78">
        <f t="shared" si="1"/>
        <v>0</v>
      </c>
      <c r="L36" s="95">
        <v>0</v>
      </c>
      <c r="M36" s="5"/>
      <c r="N36" s="5"/>
      <c r="O36" s="5"/>
      <c r="P36" s="5"/>
      <c r="Q36" s="5"/>
      <c r="R36" s="5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x14ac:dyDescent="0.15">
      <c r="A37" s="15" t="s">
        <v>43</v>
      </c>
      <c r="B37" s="10">
        <v>0</v>
      </c>
      <c r="C37" s="60">
        <v>0</v>
      </c>
      <c r="D37" s="78"/>
      <c r="E37" s="44">
        <v>0</v>
      </c>
      <c r="F37" s="12">
        <v>0</v>
      </c>
      <c r="G37" s="10">
        <v>0</v>
      </c>
      <c r="H37" s="10">
        <v>0</v>
      </c>
      <c r="I37" s="44">
        <v>0</v>
      </c>
      <c r="J37" s="60">
        <v>0</v>
      </c>
      <c r="K37" s="78">
        <f t="shared" si="1"/>
        <v>0</v>
      </c>
      <c r="L37" s="95">
        <v>0</v>
      </c>
      <c r="M37" s="5"/>
      <c r="N37" s="5"/>
      <c r="O37" s="5"/>
      <c r="P37" s="5"/>
      <c r="Q37" s="5"/>
      <c r="R37" s="5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x14ac:dyDescent="0.15">
      <c r="A38" s="15" t="s">
        <v>44</v>
      </c>
      <c r="B38" s="10">
        <v>0</v>
      </c>
      <c r="C38" s="60">
        <v>0</v>
      </c>
      <c r="D38" s="78"/>
      <c r="E38" s="44">
        <v>0</v>
      </c>
      <c r="F38" s="12">
        <v>0</v>
      </c>
      <c r="G38" s="10">
        <v>0</v>
      </c>
      <c r="H38" s="10">
        <v>0</v>
      </c>
      <c r="I38" s="44">
        <v>0</v>
      </c>
      <c r="J38" s="60">
        <v>0</v>
      </c>
      <c r="K38" s="78">
        <f t="shared" si="1"/>
        <v>0</v>
      </c>
      <c r="L38" s="95">
        <v>0</v>
      </c>
      <c r="M38" s="5"/>
      <c r="N38" s="5"/>
      <c r="O38" s="5"/>
      <c r="P38" s="5"/>
      <c r="Q38" s="5"/>
      <c r="R38" s="5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x14ac:dyDescent="0.15">
      <c r="A39" s="15" t="s">
        <v>45</v>
      </c>
      <c r="B39" s="10">
        <v>0</v>
      </c>
      <c r="C39" s="60">
        <v>0</v>
      </c>
      <c r="D39" s="78"/>
      <c r="E39" s="44">
        <v>0</v>
      </c>
      <c r="F39" s="12">
        <v>0</v>
      </c>
      <c r="G39" s="10">
        <v>0</v>
      </c>
      <c r="H39" s="10">
        <v>0</v>
      </c>
      <c r="I39" s="44">
        <v>0</v>
      </c>
      <c r="J39" s="60">
        <v>0</v>
      </c>
      <c r="K39" s="78">
        <f t="shared" si="1"/>
        <v>0</v>
      </c>
      <c r="L39" s="95">
        <v>0</v>
      </c>
      <c r="M39" s="5"/>
      <c r="N39" s="5"/>
      <c r="O39" s="5"/>
      <c r="P39" s="5"/>
      <c r="Q39" s="5"/>
      <c r="R39" s="5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x14ac:dyDescent="0.15">
      <c r="A40" s="15" t="s">
        <v>46</v>
      </c>
      <c r="B40" s="10">
        <v>0</v>
      </c>
      <c r="C40" s="60">
        <v>0</v>
      </c>
      <c r="D40" s="78"/>
      <c r="E40" s="44">
        <v>0</v>
      </c>
      <c r="F40" s="12">
        <v>0</v>
      </c>
      <c r="G40" s="10">
        <v>0</v>
      </c>
      <c r="H40" s="10">
        <v>0</v>
      </c>
      <c r="I40" s="44">
        <v>0</v>
      </c>
      <c r="J40" s="60">
        <v>0</v>
      </c>
      <c r="K40" s="78">
        <f t="shared" si="1"/>
        <v>0</v>
      </c>
      <c r="L40" s="95">
        <v>0</v>
      </c>
      <c r="M40" s="5"/>
      <c r="N40" s="5"/>
      <c r="O40" s="5"/>
      <c r="P40" s="5"/>
      <c r="Q40" s="5"/>
      <c r="R40" s="5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x14ac:dyDescent="0.15">
      <c r="A41" s="15" t="s">
        <v>47</v>
      </c>
      <c r="B41" s="10">
        <v>0</v>
      </c>
      <c r="C41" s="60">
        <v>0</v>
      </c>
      <c r="D41" s="78"/>
      <c r="E41" s="44">
        <v>-33872</v>
      </c>
      <c r="F41" s="113">
        <v>-100127</v>
      </c>
      <c r="G41" s="10">
        <v>-17894</v>
      </c>
      <c r="H41" s="10">
        <v>-17510</v>
      </c>
      <c r="I41" s="44">
        <v>-35788</v>
      </c>
      <c r="J41" s="60">
        <v>-8133</v>
      </c>
      <c r="K41" s="78">
        <f t="shared" si="1"/>
        <v>-213324</v>
      </c>
      <c r="L41" s="95">
        <v>-213324</v>
      </c>
      <c r="M41" s="5"/>
      <c r="N41" s="5"/>
      <c r="O41" s="5"/>
      <c r="P41" s="5"/>
      <c r="Q41" s="5"/>
      <c r="R41" s="5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x14ac:dyDescent="0.15">
      <c r="A42" s="15" t="s">
        <v>48</v>
      </c>
      <c r="B42" s="10">
        <v>0</v>
      </c>
      <c r="C42" s="60">
        <v>0</v>
      </c>
      <c r="D42" s="78"/>
      <c r="E42" s="44">
        <v>0</v>
      </c>
      <c r="F42" s="12">
        <v>0</v>
      </c>
      <c r="G42" s="10">
        <v>0</v>
      </c>
      <c r="H42" s="10">
        <v>0</v>
      </c>
      <c r="I42" s="44">
        <v>0</v>
      </c>
      <c r="J42" s="60">
        <v>0</v>
      </c>
      <c r="K42" s="78">
        <f t="shared" si="1"/>
        <v>0</v>
      </c>
      <c r="L42" s="95">
        <v>0</v>
      </c>
      <c r="M42" s="5"/>
      <c r="N42" s="5"/>
      <c r="O42" s="5"/>
      <c r="P42" s="5"/>
      <c r="Q42" s="5"/>
      <c r="R42" s="5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x14ac:dyDescent="0.15">
      <c r="A43" s="15" t="s">
        <v>16</v>
      </c>
      <c r="B43" s="10">
        <v>0</v>
      </c>
      <c r="C43" s="60">
        <v>0</v>
      </c>
      <c r="D43" s="78"/>
      <c r="E43" s="44">
        <v>14575</v>
      </c>
      <c r="F43" s="12">
        <v>0</v>
      </c>
      <c r="G43" s="10">
        <v>39200</v>
      </c>
      <c r="H43" s="10">
        <v>47950</v>
      </c>
      <c r="I43" s="44">
        <v>39200</v>
      </c>
      <c r="J43" s="60">
        <v>45828</v>
      </c>
      <c r="K43" s="78">
        <f t="shared" si="1"/>
        <v>186753</v>
      </c>
      <c r="L43" s="95">
        <v>186753</v>
      </c>
      <c r="M43" s="5"/>
      <c r="N43" s="5"/>
      <c r="O43" s="5"/>
      <c r="P43" s="5"/>
      <c r="Q43" s="5"/>
      <c r="R43" s="5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x14ac:dyDescent="0.15">
      <c r="A44" s="15" t="s">
        <v>9</v>
      </c>
      <c r="B44" s="10">
        <v>0</v>
      </c>
      <c r="C44" s="60">
        <v>0</v>
      </c>
      <c r="D44" s="78"/>
      <c r="E44" s="44">
        <v>24327</v>
      </c>
      <c r="F44" s="12">
        <v>0</v>
      </c>
      <c r="G44" s="10">
        <v>33264</v>
      </c>
      <c r="H44" s="10">
        <v>11840</v>
      </c>
      <c r="I44" s="44">
        <v>12096</v>
      </c>
      <c r="J44" s="60">
        <v>12366</v>
      </c>
      <c r="K44" s="78">
        <f t="shared" si="1"/>
        <v>93893</v>
      </c>
      <c r="L44" s="95">
        <v>93893</v>
      </c>
      <c r="M44" s="5"/>
      <c r="N44" s="5"/>
      <c r="O44" s="5"/>
      <c r="P44" s="5"/>
      <c r="Q44" s="5"/>
      <c r="R44" s="5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x14ac:dyDescent="0.15">
      <c r="A45" s="15" t="s">
        <v>10</v>
      </c>
      <c r="B45" s="10">
        <v>0</v>
      </c>
      <c r="C45" s="60">
        <v>0</v>
      </c>
      <c r="D45" s="78"/>
      <c r="E45" s="44">
        <v>15741</v>
      </c>
      <c r="F45" s="12">
        <v>0</v>
      </c>
      <c r="G45" s="10">
        <v>0</v>
      </c>
      <c r="H45" s="10">
        <v>17760</v>
      </c>
      <c r="I45" s="44">
        <v>0</v>
      </c>
      <c r="J45" s="60">
        <v>0</v>
      </c>
      <c r="K45" s="78">
        <f t="shared" si="1"/>
        <v>33501</v>
      </c>
      <c r="L45" s="95">
        <v>33501</v>
      </c>
      <c r="M45" s="5"/>
      <c r="N45" s="5"/>
      <c r="O45" s="5"/>
      <c r="P45" s="5"/>
      <c r="Q45" s="5"/>
      <c r="R45" s="5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x14ac:dyDescent="0.15">
      <c r="A46" s="15" t="s">
        <v>49</v>
      </c>
      <c r="B46" s="10">
        <v>0</v>
      </c>
      <c r="C46" s="60">
        <v>0</v>
      </c>
      <c r="D46" s="78"/>
      <c r="E46" s="44">
        <v>0</v>
      </c>
      <c r="F46" s="12">
        <v>0</v>
      </c>
      <c r="G46" s="10">
        <v>0</v>
      </c>
      <c r="H46" s="10">
        <v>0</v>
      </c>
      <c r="I46" s="44">
        <v>0</v>
      </c>
      <c r="J46" s="60">
        <v>0</v>
      </c>
      <c r="K46" s="78">
        <f t="shared" si="1"/>
        <v>0</v>
      </c>
      <c r="L46" s="95">
        <v>0</v>
      </c>
      <c r="M46" s="5"/>
      <c r="N46" s="5"/>
      <c r="O46" s="5"/>
      <c r="P46" s="5"/>
      <c r="Q46" s="5"/>
      <c r="R46" s="5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x14ac:dyDescent="0.15">
      <c r="A47" s="106" t="s">
        <v>50</v>
      </c>
      <c r="B47" s="107">
        <v>0</v>
      </c>
      <c r="C47" s="108">
        <v>0</v>
      </c>
      <c r="D47" s="109"/>
      <c r="E47" s="110">
        <v>33872</v>
      </c>
      <c r="F47" s="113">
        <v>0</v>
      </c>
      <c r="G47" s="107">
        <v>17894</v>
      </c>
      <c r="H47" s="107">
        <v>17510</v>
      </c>
      <c r="I47" s="110">
        <v>35788</v>
      </c>
      <c r="J47" s="108">
        <v>8133</v>
      </c>
      <c r="K47" s="109">
        <f t="shared" si="1"/>
        <v>113197</v>
      </c>
      <c r="L47" s="111">
        <v>113197</v>
      </c>
      <c r="M47" s="5"/>
      <c r="N47" s="5"/>
      <c r="O47" s="5"/>
      <c r="P47" s="5"/>
      <c r="Q47" s="5"/>
      <c r="R47" s="5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x14ac:dyDescent="0.15">
      <c r="A48" s="15" t="s">
        <v>20</v>
      </c>
      <c r="B48" s="10">
        <v>0</v>
      </c>
      <c r="C48" s="60">
        <v>0</v>
      </c>
      <c r="D48" s="78"/>
      <c r="E48" s="44">
        <v>0</v>
      </c>
      <c r="F48" s="12">
        <v>0</v>
      </c>
      <c r="G48" s="10">
        <v>0</v>
      </c>
      <c r="H48" s="10">
        <v>0</v>
      </c>
      <c r="I48" s="44">
        <v>0</v>
      </c>
      <c r="J48" s="60">
        <v>0</v>
      </c>
      <c r="K48" s="78">
        <f t="shared" si="1"/>
        <v>0</v>
      </c>
      <c r="L48" s="95">
        <v>0</v>
      </c>
      <c r="M48" s="5"/>
      <c r="N48" s="5"/>
      <c r="O48" s="5"/>
      <c r="P48" s="5"/>
      <c r="Q48" s="5"/>
      <c r="R48" s="5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18" x14ac:dyDescent="0.15">
      <c r="A49" s="16" t="s">
        <v>51</v>
      </c>
      <c r="B49" s="12">
        <v>0</v>
      </c>
      <c r="C49" s="64">
        <v>0</v>
      </c>
      <c r="D49" s="82"/>
      <c r="E49" s="48">
        <v>0</v>
      </c>
      <c r="F49" s="12">
        <v>0</v>
      </c>
      <c r="G49" s="12">
        <v>0</v>
      </c>
      <c r="H49" s="12">
        <v>0</v>
      </c>
      <c r="I49" s="48">
        <v>0</v>
      </c>
      <c r="J49" s="64">
        <v>0</v>
      </c>
      <c r="K49" s="82">
        <f t="shared" si="1"/>
        <v>0</v>
      </c>
      <c r="L49" s="95">
        <v>0</v>
      </c>
      <c r="M49" s="6"/>
      <c r="N49" s="6"/>
      <c r="O49" s="6"/>
      <c r="P49" s="6"/>
      <c r="Q49" s="6"/>
      <c r="R49" s="6"/>
    </row>
    <row r="50" spans="1:18" x14ac:dyDescent="0.15">
      <c r="A50" s="16" t="s">
        <v>24</v>
      </c>
      <c r="B50" s="12">
        <v>0</v>
      </c>
      <c r="C50" s="64">
        <v>0</v>
      </c>
      <c r="D50" s="82"/>
      <c r="E50" s="48">
        <v>265</v>
      </c>
      <c r="F50" s="12">
        <v>0</v>
      </c>
      <c r="G50" s="12">
        <v>840</v>
      </c>
      <c r="H50" s="12">
        <v>274</v>
      </c>
      <c r="I50" s="48">
        <v>280</v>
      </c>
      <c r="J50" s="64">
        <v>255</v>
      </c>
      <c r="K50" s="82">
        <f t="shared" si="1"/>
        <v>1914</v>
      </c>
      <c r="L50" s="95">
        <v>1914</v>
      </c>
      <c r="M50" s="6"/>
      <c r="N50" s="6"/>
      <c r="O50" s="6"/>
      <c r="P50" s="6"/>
      <c r="Q50" s="6"/>
      <c r="R50" s="6"/>
    </row>
    <row r="51" spans="1:18" ht="14.25" thickBot="1" x14ac:dyDescent="0.2">
      <c r="A51" s="17" t="s">
        <v>52</v>
      </c>
      <c r="B51" s="31">
        <v>365000</v>
      </c>
      <c r="C51" s="65">
        <v>87875</v>
      </c>
      <c r="D51" s="83">
        <f>SUM(B51:C51)</f>
        <v>452875</v>
      </c>
      <c r="E51" s="49">
        <v>320683</v>
      </c>
      <c r="F51" s="31">
        <v>91873</v>
      </c>
      <c r="G51" s="31">
        <v>317704</v>
      </c>
      <c r="H51" s="31">
        <v>310144</v>
      </c>
      <c r="I51" s="49">
        <v>295976</v>
      </c>
      <c r="J51" s="65">
        <v>259001</v>
      </c>
      <c r="K51" s="83">
        <f t="shared" si="1"/>
        <v>1595381</v>
      </c>
      <c r="L51" s="99">
        <v>2048256</v>
      </c>
      <c r="M51" s="6"/>
      <c r="N51" s="6"/>
      <c r="O51" s="6"/>
      <c r="P51" s="6"/>
      <c r="Q51" s="6"/>
      <c r="R51" s="6"/>
    </row>
    <row r="52" spans="1:18" x14ac:dyDescent="0.15">
      <c r="A52" s="29" t="s">
        <v>53</v>
      </c>
      <c r="B52" s="30">
        <v>4330</v>
      </c>
      <c r="C52" s="66">
        <v>2667</v>
      </c>
      <c r="D52" s="84">
        <f t="shared" ref="D52:D74" si="2">SUM(B52:C52)</f>
        <v>6997</v>
      </c>
      <c r="E52" s="50">
        <v>5533</v>
      </c>
      <c r="F52" s="30">
        <v>0</v>
      </c>
      <c r="G52" s="30">
        <v>4330</v>
      </c>
      <c r="H52" s="30">
        <v>8179</v>
      </c>
      <c r="I52" s="50">
        <v>4210</v>
      </c>
      <c r="J52" s="66">
        <v>11547</v>
      </c>
      <c r="K52" s="84">
        <f t="shared" si="1"/>
        <v>33799</v>
      </c>
      <c r="L52" s="100">
        <v>40796</v>
      </c>
      <c r="M52" s="6"/>
      <c r="N52" s="6"/>
      <c r="O52" s="6"/>
      <c r="P52" s="6"/>
      <c r="Q52" s="6"/>
      <c r="R52" s="6"/>
    </row>
    <row r="53" spans="1:18" ht="14.25" thickBot="1" x14ac:dyDescent="0.2">
      <c r="A53" s="32" t="s">
        <v>54</v>
      </c>
      <c r="B53" s="33">
        <v>4330</v>
      </c>
      <c r="C53" s="67">
        <v>2667</v>
      </c>
      <c r="D53" s="85">
        <f t="shared" si="2"/>
        <v>6997</v>
      </c>
      <c r="E53" s="51">
        <v>5533</v>
      </c>
      <c r="F53" s="33">
        <v>0</v>
      </c>
      <c r="G53" s="33">
        <v>4330</v>
      </c>
      <c r="H53" s="33">
        <v>8179</v>
      </c>
      <c r="I53" s="51">
        <v>4210</v>
      </c>
      <c r="J53" s="67">
        <v>11547</v>
      </c>
      <c r="K53" s="85">
        <f t="shared" si="1"/>
        <v>33799</v>
      </c>
      <c r="L53" s="101">
        <v>40796</v>
      </c>
    </row>
    <row r="54" spans="1:18" ht="14.25" thickBot="1" x14ac:dyDescent="0.2">
      <c r="A54" s="34" t="s">
        <v>55</v>
      </c>
      <c r="B54" s="35">
        <v>369330</v>
      </c>
      <c r="C54" s="68">
        <v>90542</v>
      </c>
      <c r="D54" s="86">
        <f t="shared" si="2"/>
        <v>459872</v>
      </c>
      <c r="E54" s="52">
        <v>326216</v>
      </c>
      <c r="F54" s="35">
        <v>91873</v>
      </c>
      <c r="G54" s="35">
        <v>322034</v>
      </c>
      <c r="H54" s="35">
        <v>318323</v>
      </c>
      <c r="I54" s="52">
        <v>300186</v>
      </c>
      <c r="J54" s="68">
        <v>270548</v>
      </c>
      <c r="K54" s="86">
        <f t="shared" si="1"/>
        <v>1629180</v>
      </c>
      <c r="L54" s="102">
        <v>2089052</v>
      </c>
    </row>
    <row r="55" spans="1:18" x14ac:dyDescent="0.15">
      <c r="A55" s="29" t="s">
        <v>56</v>
      </c>
      <c r="B55" s="30">
        <v>18360</v>
      </c>
      <c r="C55" s="66">
        <v>0</v>
      </c>
      <c r="D55" s="84">
        <f t="shared" si="2"/>
        <v>18360</v>
      </c>
      <c r="E55" s="50">
        <v>15300</v>
      </c>
      <c r="F55" s="30">
        <v>0</v>
      </c>
      <c r="G55" s="30">
        <v>16320</v>
      </c>
      <c r="H55" s="30">
        <v>16320</v>
      </c>
      <c r="I55" s="50">
        <v>16320</v>
      </c>
      <c r="J55" s="66">
        <v>13260</v>
      </c>
      <c r="K55" s="84">
        <f t="shared" si="1"/>
        <v>77520</v>
      </c>
      <c r="L55" s="100">
        <v>95880</v>
      </c>
    </row>
    <row r="56" spans="1:18" x14ac:dyDescent="0.15">
      <c r="A56" s="16" t="s">
        <v>57</v>
      </c>
      <c r="B56" s="12">
        <v>3240</v>
      </c>
      <c r="C56" s="64">
        <v>0</v>
      </c>
      <c r="D56" s="82">
        <f t="shared" si="2"/>
        <v>3240</v>
      </c>
      <c r="E56" s="48">
        <v>0</v>
      </c>
      <c r="F56" s="12">
        <v>0</v>
      </c>
      <c r="G56" s="12">
        <v>2880</v>
      </c>
      <c r="H56" s="12">
        <v>2880</v>
      </c>
      <c r="I56" s="48">
        <v>2880</v>
      </c>
      <c r="J56" s="64">
        <v>2340</v>
      </c>
      <c r="K56" s="82">
        <f t="shared" si="1"/>
        <v>10980</v>
      </c>
      <c r="L56" s="95">
        <v>14220</v>
      </c>
    </row>
    <row r="57" spans="1:18" x14ac:dyDescent="0.15">
      <c r="A57" s="16" t="s">
        <v>58</v>
      </c>
      <c r="B57" s="12">
        <v>32940</v>
      </c>
      <c r="C57" s="64">
        <v>0</v>
      </c>
      <c r="D57" s="82">
        <f t="shared" si="2"/>
        <v>32940</v>
      </c>
      <c r="E57" s="48">
        <v>27450</v>
      </c>
      <c r="F57" s="12">
        <v>0</v>
      </c>
      <c r="G57" s="12">
        <v>29280</v>
      </c>
      <c r="H57" s="12">
        <v>29280</v>
      </c>
      <c r="I57" s="48">
        <v>29280</v>
      </c>
      <c r="J57" s="64">
        <v>23790</v>
      </c>
      <c r="K57" s="82">
        <f t="shared" si="1"/>
        <v>139080</v>
      </c>
      <c r="L57" s="95">
        <v>172020</v>
      </c>
    </row>
    <row r="58" spans="1:18" x14ac:dyDescent="0.15">
      <c r="A58" s="16" t="s">
        <v>59</v>
      </c>
      <c r="B58" s="12">
        <v>0</v>
      </c>
      <c r="C58" s="64">
        <v>0</v>
      </c>
      <c r="D58" s="82">
        <f t="shared" si="2"/>
        <v>0</v>
      </c>
      <c r="E58" s="48">
        <v>0</v>
      </c>
      <c r="F58" s="12">
        <v>0</v>
      </c>
      <c r="G58" s="12">
        <v>0</v>
      </c>
      <c r="H58" s="12">
        <v>0</v>
      </c>
      <c r="I58" s="48">
        <v>0</v>
      </c>
      <c r="J58" s="64">
        <v>0</v>
      </c>
      <c r="K58" s="82">
        <f t="shared" si="1"/>
        <v>0</v>
      </c>
      <c r="L58" s="95">
        <v>0</v>
      </c>
    </row>
    <row r="59" spans="1:18" x14ac:dyDescent="0.15">
      <c r="A59" s="16" t="s">
        <v>60</v>
      </c>
      <c r="B59" s="12">
        <v>1108</v>
      </c>
      <c r="C59" s="64">
        <v>272</v>
      </c>
      <c r="D59" s="82">
        <f t="shared" si="2"/>
        <v>1380</v>
      </c>
      <c r="E59" s="48">
        <v>979</v>
      </c>
      <c r="F59" s="12">
        <v>276</v>
      </c>
      <c r="G59" s="12">
        <v>966</v>
      </c>
      <c r="H59" s="12">
        <v>955</v>
      </c>
      <c r="I59" s="48">
        <v>901</v>
      </c>
      <c r="J59" s="64">
        <v>812</v>
      </c>
      <c r="K59" s="82">
        <f t="shared" si="1"/>
        <v>4889</v>
      </c>
      <c r="L59" s="95">
        <v>6269</v>
      </c>
    </row>
    <row r="60" spans="1:18" x14ac:dyDescent="0.15">
      <c r="A60" s="16" t="s">
        <v>61</v>
      </c>
      <c r="B60" s="12">
        <v>0</v>
      </c>
      <c r="C60" s="64">
        <v>0</v>
      </c>
      <c r="D60" s="82">
        <f t="shared" si="2"/>
        <v>0</v>
      </c>
      <c r="E60" s="48">
        <v>0</v>
      </c>
      <c r="F60" s="12">
        <v>0</v>
      </c>
      <c r="G60" s="12">
        <v>0</v>
      </c>
      <c r="H60" s="12">
        <v>0</v>
      </c>
      <c r="I60" s="48">
        <v>0</v>
      </c>
      <c r="J60" s="64">
        <v>0</v>
      </c>
      <c r="K60" s="82">
        <f t="shared" si="1"/>
        <v>0</v>
      </c>
      <c r="L60" s="95">
        <v>0</v>
      </c>
    </row>
    <row r="61" spans="1:18" ht="14.25" thickBot="1" x14ac:dyDescent="0.2">
      <c r="A61" s="32" t="s">
        <v>62</v>
      </c>
      <c r="B61" s="33">
        <v>55648</v>
      </c>
      <c r="C61" s="67">
        <v>272</v>
      </c>
      <c r="D61" s="85">
        <f t="shared" si="2"/>
        <v>55920</v>
      </c>
      <c r="E61" s="51">
        <v>43729</v>
      </c>
      <c r="F61" s="33">
        <v>276</v>
      </c>
      <c r="G61" s="33">
        <v>49446</v>
      </c>
      <c r="H61" s="33">
        <v>49435</v>
      </c>
      <c r="I61" s="51">
        <v>49381</v>
      </c>
      <c r="J61" s="67">
        <v>40202</v>
      </c>
      <c r="K61" s="85">
        <f t="shared" si="1"/>
        <v>232469</v>
      </c>
      <c r="L61" s="101">
        <v>288389</v>
      </c>
    </row>
    <row r="62" spans="1:18" ht="14.25" thickBot="1" x14ac:dyDescent="0.2">
      <c r="A62" s="34" t="s">
        <v>63</v>
      </c>
      <c r="B62" s="35">
        <v>309352</v>
      </c>
      <c r="C62" s="68">
        <v>87603</v>
      </c>
      <c r="D62" s="86">
        <f t="shared" si="2"/>
        <v>396955</v>
      </c>
      <c r="E62" s="52">
        <v>276954</v>
      </c>
      <c r="F62" s="35">
        <v>91597</v>
      </c>
      <c r="G62" s="35">
        <v>268258</v>
      </c>
      <c r="H62" s="35">
        <v>260709</v>
      </c>
      <c r="I62" s="52">
        <v>246595</v>
      </c>
      <c r="J62" s="68">
        <v>218799</v>
      </c>
      <c r="K62" s="86">
        <f t="shared" si="1"/>
        <v>1362912</v>
      </c>
      <c r="L62" s="102">
        <v>1759867</v>
      </c>
    </row>
    <row r="63" spans="1:18" x14ac:dyDescent="0.15">
      <c r="A63" s="29" t="s">
        <v>64</v>
      </c>
      <c r="B63" s="30">
        <v>9140</v>
      </c>
      <c r="C63" s="66">
        <v>90</v>
      </c>
      <c r="D63" s="84">
        <f t="shared" si="2"/>
        <v>9230</v>
      </c>
      <c r="E63" s="50">
        <v>7510</v>
      </c>
      <c r="F63" s="30">
        <v>290</v>
      </c>
      <c r="G63" s="30">
        <v>5590</v>
      </c>
      <c r="H63" s="30">
        <v>6930</v>
      </c>
      <c r="I63" s="50">
        <v>4810</v>
      </c>
      <c r="J63" s="66">
        <v>3820</v>
      </c>
      <c r="K63" s="84">
        <f t="shared" si="1"/>
        <v>28950</v>
      </c>
      <c r="L63" s="100">
        <v>38180</v>
      </c>
    </row>
    <row r="64" spans="1:18" x14ac:dyDescent="0.15">
      <c r="A64" s="16" t="s">
        <v>65</v>
      </c>
      <c r="B64" s="12">
        <v>0</v>
      </c>
      <c r="C64" s="64">
        <v>0</v>
      </c>
      <c r="D64" s="82">
        <f t="shared" si="2"/>
        <v>0</v>
      </c>
      <c r="E64" s="48">
        <v>0</v>
      </c>
      <c r="F64" s="12">
        <v>0</v>
      </c>
      <c r="G64" s="12">
        <v>0</v>
      </c>
      <c r="H64" s="12">
        <v>0</v>
      </c>
      <c r="I64" s="48">
        <v>0</v>
      </c>
      <c r="J64" s="64">
        <v>0</v>
      </c>
      <c r="K64" s="82">
        <f t="shared" si="1"/>
        <v>0</v>
      </c>
      <c r="L64" s="95">
        <v>0</v>
      </c>
    </row>
    <row r="65" spans="1:12" x14ac:dyDescent="0.15">
      <c r="A65" s="16" t="s">
        <v>66</v>
      </c>
      <c r="B65" s="12">
        <v>18600</v>
      </c>
      <c r="C65" s="64">
        <v>500</v>
      </c>
      <c r="D65" s="82">
        <f t="shared" si="2"/>
        <v>19100</v>
      </c>
      <c r="E65" s="48">
        <v>11400</v>
      </c>
      <c r="F65" s="12">
        <v>42000</v>
      </c>
      <c r="G65" s="12">
        <v>1500</v>
      </c>
      <c r="H65" s="12">
        <v>4000</v>
      </c>
      <c r="I65" s="48">
        <v>9700</v>
      </c>
      <c r="J65" s="64">
        <v>0</v>
      </c>
      <c r="K65" s="82">
        <f t="shared" si="1"/>
        <v>68600</v>
      </c>
      <c r="L65" s="95">
        <v>87700</v>
      </c>
    </row>
    <row r="66" spans="1:12" x14ac:dyDescent="0.15">
      <c r="A66" s="16" t="s">
        <v>67</v>
      </c>
      <c r="B66" s="12">
        <v>0</v>
      </c>
      <c r="C66" s="64">
        <v>0</v>
      </c>
      <c r="D66" s="82">
        <f t="shared" si="2"/>
        <v>0</v>
      </c>
      <c r="E66" s="48">
        <v>0</v>
      </c>
      <c r="F66" s="12">
        <v>0</v>
      </c>
      <c r="G66" s="12">
        <v>5000</v>
      </c>
      <c r="H66" s="12">
        <v>0</v>
      </c>
      <c r="I66" s="48">
        <v>0</v>
      </c>
      <c r="J66" s="64">
        <v>0</v>
      </c>
      <c r="K66" s="82">
        <f t="shared" si="1"/>
        <v>5000</v>
      </c>
      <c r="L66" s="95">
        <v>5000</v>
      </c>
    </row>
    <row r="67" spans="1:12" x14ac:dyDescent="0.15">
      <c r="A67" s="16" t="s">
        <v>68</v>
      </c>
      <c r="B67" s="12">
        <v>0</v>
      </c>
      <c r="C67" s="64">
        <v>0</v>
      </c>
      <c r="D67" s="82">
        <f t="shared" si="2"/>
        <v>0</v>
      </c>
      <c r="E67" s="48">
        <v>0</v>
      </c>
      <c r="F67" s="12">
        <v>0</v>
      </c>
      <c r="G67" s="12">
        <v>0</v>
      </c>
      <c r="H67" s="12">
        <v>0</v>
      </c>
      <c r="I67" s="48">
        <v>0</v>
      </c>
      <c r="J67" s="64">
        <v>0</v>
      </c>
      <c r="K67" s="82">
        <f t="shared" si="1"/>
        <v>0</v>
      </c>
      <c r="L67" s="95">
        <v>0</v>
      </c>
    </row>
    <row r="68" spans="1:12" x14ac:dyDescent="0.15">
      <c r="A68" s="16" t="s">
        <v>69</v>
      </c>
      <c r="B68" s="12">
        <v>0</v>
      </c>
      <c r="C68" s="64">
        <v>0</v>
      </c>
      <c r="D68" s="82">
        <f t="shared" si="2"/>
        <v>0</v>
      </c>
      <c r="E68" s="48">
        <v>0</v>
      </c>
      <c r="F68" s="12">
        <v>0</v>
      </c>
      <c r="G68" s="12">
        <v>0</v>
      </c>
      <c r="H68" s="12">
        <v>0</v>
      </c>
      <c r="I68" s="48">
        <v>0</v>
      </c>
      <c r="J68" s="64">
        <v>0</v>
      </c>
      <c r="K68" s="82">
        <f t="shared" si="1"/>
        <v>0</v>
      </c>
      <c r="L68" s="95">
        <v>0</v>
      </c>
    </row>
    <row r="69" spans="1:12" x14ac:dyDescent="0.15">
      <c r="A69" s="16" t="s">
        <v>70</v>
      </c>
      <c r="B69" s="12">
        <v>0</v>
      </c>
      <c r="C69" s="64">
        <v>0</v>
      </c>
      <c r="D69" s="82">
        <f t="shared" si="2"/>
        <v>0</v>
      </c>
      <c r="E69" s="48">
        <v>0</v>
      </c>
      <c r="F69" s="12">
        <v>0</v>
      </c>
      <c r="G69" s="12">
        <v>0</v>
      </c>
      <c r="H69" s="12">
        <v>0</v>
      </c>
      <c r="I69" s="48">
        <v>0</v>
      </c>
      <c r="J69" s="64">
        <v>0</v>
      </c>
      <c r="K69" s="82">
        <f t="shared" si="1"/>
        <v>0</v>
      </c>
      <c r="L69" s="95">
        <v>0</v>
      </c>
    </row>
    <row r="70" spans="1:12" ht="14.25" thickBot="1" x14ac:dyDescent="0.2">
      <c r="A70" s="32" t="s">
        <v>71</v>
      </c>
      <c r="B70" s="33">
        <v>27740</v>
      </c>
      <c r="C70" s="67">
        <v>590</v>
      </c>
      <c r="D70" s="85">
        <f t="shared" si="2"/>
        <v>28330</v>
      </c>
      <c r="E70" s="51">
        <v>18910</v>
      </c>
      <c r="F70" s="33">
        <v>42290</v>
      </c>
      <c r="G70" s="33">
        <v>12090</v>
      </c>
      <c r="H70" s="33">
        <v>10930</v>
      </c>
      <c r="I70" s="51">
        <v>14510</v>
      </c>
      <c r="J70" s="67">
        <v>3820</v>
      </c>
      <c r="K70" s="85">
        <f t="shared" si="1"/>
        <v>102550</v>
      </c>
      <c r="L70" s="101">
        <v>130880</v>
      </c>
    </row>
    <row r="71" spans="1:12" ht="14.25" thickBot="1" x14ac:dyDescent="0.2">
      <c r="A71" s="34" t="s">
        <v>72</v>
      </c>
      <c r="B71" s="35">
        <v>83388</v>
      </c>
      <c r="C71" s="68">
        <v>862</v>
      </c>
      <c r="D71" s="86">
        <f t="shared" si="2"/>
        <v>84250</v>
      </c>
      <c r="E71" s="52">
        <v>62639</v>
      </c>
      <c r="F71" s="35">
        <v>42566</v>
      </c>
      <c r="G71" s="35">
        <v>61536</v>
      </c>
      <c r="H71" s="35">
        <v>60365</v>
      </c>
      <c r="I71" s="52">
        <v>63891</v>
      </c>
      <c r="J71" s="68">
        <v>44022</v>
      </c>
      <c r="K71" s="86">
        <f t="shared" si="1"/>
        <v>335019</v>
      </c>
      <c r="L71" s="102">
        <v>419269</v>
      </c>
    </row>
    <row r="72" spans="1:12" ht="14.25" thickBot="1" x14ac:dyDescent="0.2">
      <c r="A72" s="34" t="s">
        <v>73</v>
      </c>
      <c r="B72" s="35">
        <v>285942</v>
      </c>
      <c r="C72" s="68">
        <v>89680</v>
      </c>
      <c r="D72" s="86">
        <f t="shared" si="2"/>
        <v>375622</v>
      </c>
      <c r="E72" s="52">
        <v>263577</v>
      </c>
      <c r="F72" s="35">
        <v>49307</v>
      </c>
      <c r="G72" s="35">
        <v>260498</v>
      </c>
      <c r="H72" s="35">
        <v>257958</v>
      </c>
      <c r="I72" s="52">
        <v>236295</v>
      </c>
      <c r="J72" s="68">
        <v>226526</v>
      </c>
      <c r="K72" s="86">
        <f t="shared" si="1"/>
        <v>1294161</v>
      </c>
      <c r="L72" s="102">
        <v>1669783</v>
      </c>
    </row>
    <row r="73" spans="1:12" x14ac:dyDescent="0.15">
      <c r="A73" s="29" t="s">
        <v>74</v>
      </c>
      <c r="B73" s="30">
        <v>0</v>
      </c>
      <c r="C73" s="66">
        <v>0</v>
      </c>
      <c r="D73" s="84">
        <f t="shared" si="2"/>
        <v>0</v>
      </c>
      <c r="E73" s="50">
        <v>0</v>
      </c>
      <c r="F73" s="30">
        <v>0</v>
      </c>
      <c r="G73" s="30">
        <v>0</v>
      </c>
      <c r="H73" s="30">
        <v>0</v>
      </c>
      <c r="I73" s="50">
        <v>0</v>
      </c>
      <c r="J73" s="66">
        <v>0</v>
      </c>
      <c r="K73" s="84">
        <f t="shared" si="1"/>
        <v>0</v>
      </c>
      <c r="L73" s="100">
        <v>0</v>
      </c>
    </row>
    <row r="74" spans="1:12" x14ac:dyDescent="0.15">
      <c r="A74" s="16" t="s">
        <v>75</v>
      </c>
      <c r="B74" s="12">
        <v>285942</v>
      </c>
      <c r="C74" s="64">
        <v>89680</v>
      </c>
      <c r="D74" s="82">
        <f t="shared" si="2"/>
        <v>375622</v>
      </c>
      <c r="E74" s="48">
        <v>263577</v>
      </c>
      <c r="F74" s="12">
        <v>49307</v>
      </c>
      <c r="G74" s="12">
        <v>260498</v>
      </c>
      <c r="H74" s="12">
        <v>257958</v>
      </c>
      <c r="I74" s="48">
        <v>236295</v>
      </c>
      <c r="J74" s="64">
        <v>226526</v>
      </c>
      <c r="K74" s="82">
        <f t="shared" si="1"/>
        <v>1294161</v>
      </c>
      <c r="L74" s="95">
        <v>1669783</v>
      </c>
    </row>
    <row r="75" spans="1:12" x14ac:dyDescent="0.15">
      <c r="A75" s="16" t="s">
        <v>76</v>
      </c>
      <c r="B75" s="13">
        <v>19</v>
      </c>
      <c r="C75" s="69">
        <v>7</v>
      </c>
      <c r="D75" s="87"/>
      <c r="E75" s="53">
        <v>4</v>
      </c>
      <c r="F75" s="14">
        <v>0</v>
      </c>
      <c r="G75" s="13">
        <v>2</v>
      </c>
      <c r="H75" s="13">
        <v>14</v>
      </c>
      <c r="I75" s="53">
        <v>14</v>
      </c>
      <c r="J75" s="69">
        <v>8</v>
      </c>
      <c r="K75" s="87"/>
      <c r="L75" s="103">
        <v>68</v>
      </c>
    </row>
    <row r="76" spans="1:12" x14ac:dyDescent="0.15">
      <c r="A76" s="16" t="s">
        <v>77</v>
      </c>
      <c r="B76" s="14"/>
      <c r="C76" s="70"/>
      <c r="D76" s="88"/>
      <c r="E76" s="54"/>
      <c r="F76" s="14"/>
      <c r="G76" s="14">
        <v>1</v>
      </c>
      <c r="H76" s="14"/>
      <c r="I76" s="54">
        <v>1</v>
      </c>
      <c r="J76" s="70">
        <v>1</v>
      </c>
      <c r="K76" s="88"/>
      <c r="L76" s="103"/>
    </row>
    <row r="77" spans="1:12" ht="14.25" thickBot="1" x14ac:dyDescent="0.2">
      <c r="A77" s="17" t="s">
        <v>78</v>
      </c>
      <c r="B77" s="18" t="s">
        <v>79</v>
      </c>
      <c r="C77" s="71" t="s">
        <v>79</v>
      </c>
      <c r="D77" s="89"/>
      <c r="E77" s="55" t="s">
        <v>79</v>
      </c>
      <c r="F77" s="18" t="s">
        <v>79</v>
      </c>
      <c r="G77" s="18" t="s">
        <v>79</v>
      </c>
      <c r="H77" s="18" t="s">
        <v>79</v>
      </c>
      <c r="I77" s="55" t="s">
        <v>79</v>
      </c>
      <c r="J77" s="71" t="s">
        <v>79</v>
      </c>
      <c r="K77" s="89"/>
      <c r="L77" s="104"/>
    </row>
  </sheetData>
  <phoneticPr fontId="1"/>
  <pageMargins left="0.43307086614173229" right="0.35433070866141736" top="0.51181102362204722" bottom="0.35433070866141736" header="0.19685039370078741" footer="0.27559055118110237"/>
  <pageSetup paperSize="12" scale="7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1頁 (2)</vt:lpstr>
      <vt:lpstr>助成金</vt:lpstr>
      <vt:lpstr>'1頁 (2)'!Print_Area</vt:lpstr>
      <vt:lpstr>助成金!Print_Area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fukasawa</cp:lastModifiedBy>
  <cp:lastPrinted>2021-04-15T06:01:32Z</cp:lastPrinted>
  <dcterms:created xsi:type="dcterms:W3CDTF">2011-10-11T01:59:58Z</dcterms:created>
  <dcterms:modified xsi:type="dcterms:W3CDTF">2021-04-15T06:03:48Z</dcterms:modified>
</cp:coreProperties>
</file>