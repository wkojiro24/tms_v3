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3\"/>
    </mc:Choice>
  </mc:AlternateContent>
  <xr:revisionPtr revIDLastSave="0" documentId="13_ncr:1_{5F6F088A-FEE2-479E-BBDC-87B28F98B367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(2)'!$A$1:$L$77</definedName>
    <definedName name="_xlnm.Print_Area" localSheetId="1">助成金!$A$1:$L$77</definedName>
  </definedNames>
  <calcPr calcId="191029"/>
</workbook>
</file>

<file path=xl/calcChain.xml><?xml version="1.0" encoding="utf-8"?>
<calcChain xmlns="http://schemas.openxmlformats.org/spreadsheetml/2006/main">
  <c r="K74" i="3" l="1"/>
  <c r="D74" i="3"/>
  <c r="K73" i="3"/>
  <c r="D73" i="3"/>
  <c r="K72" i="3"/>
  <c r="D72" i="3"/>
  <c r="K71" i="3"/>
  <c r="D71" i="3"/>
  <c r="K70" i="3"/>
  <c r="D70" i="3"/>
  <c r="K69" i="3"/>
  <c r="D69" i="3"/>
  <c r="K68" i="3"/>
  <c r="D68" i="3"/>
  <c r="K67" i="3"/>
  <c r="D67" i="3"/>
  <c r="K66" i="3"/>
  <c r="D66" i="3"/>
  <c r="K65" i="3"/>
  <c r="D65" i="3"/>
  <c r="K64" i="3"/>
  <c r="D64" i="3"/>
  <c r="K63" i="3"/>
  <c r="D63" i="3"/>
  <c r="K62" i="3"/>
  <c r="D62" i="3"/>
  <c r="K61" i="3"/>
  <c r="D61" i="3"/>
  <c r="K60" i="3"/>
  <c r="D60" i="3"/>
  <c r="K59" i="3"/>
  <c r="D59" i="3"/>
  <c r="K58" i="3"/>
  <c r="D58" i="3"/>
  <c r="K57" i="3"/>
  <c r="D57" i="3"/>
  <c r="K56" i="3"/>
  <c r="D56" i="3"/>
  <c r="K55" i="3"/>
  <c r="D55" i="3"/>
  <c r="K54" i="3"/>
  <c r="D54" i="3"/>
  <c r="K53" i="3"/>
  <c r="D53" i="3"/>
  <c r="K52" i="3"/>
  <c r="D52" i="3"/>
  <c r="K51" i="3"/>
  <c r="D51" i="3"/>
  <c r="K50" i="3"/>
  <c r="D50" i="3"/>
  <c r="K49" i="3"/>
  <c r="D49" i="3"/>
  <c r="K48" i="3"/>
  <c r="D48" i="3"/>
  <c r="K47" i="3"/>
  <c r="D47" i="3"/>
  <c r="K46" i="3"/>
  <c r="D46" i="3"/>
  <c r="K45" i="3"/>
  <c r="D45" i="3"/>
  <c r="K44" i="3"/>
  <c r="D44" i="3"/>
  <c r="K43" i="3"/>
  <c r="D43" i="3"/>
  <c r="K42" i="3"/>
  <c r="D42" i="3"/>
  <c r="K41" i="3"/>
  <c r="D41" i="3"/>
  <c r="K40" i="3"/>
  <c r="D40" i="3"/>
  <c r="K39" i="3"/>
  <c r="D39" i="3"/>
  <c r="K38" i="3"/>
  <c r="D38" i="3"/>
  <c r="K37" i="3"/>
  <c r="D37" i="3"/>
  <c r="K36" i="3"/>
  <c r="D36" i="3"/>
  <c r="K35" i="3"/>
  <c r="D35" i="3"/>
  <c r="K34" i="3"/>
  <c r="D34" i="3"/>
  <c r="K33" i="3"/>
  <c r="D33" i="3"/>
  <c r="K32" i="3"/>
  <c r="D32" i="3"/>
  <c r="K31" i="3"/>
  <c r="D31" i="3"/>
  <c r="K30" i="3"/>
  <c r="D30" i="3"/>
  <c r="K29" i="3"/>
  <c r="D29" i="3"/>
  <c r="K28" i="3"/>
  <c r="D28" i="3"/>
  <c r="K27" i="3"/>
  <c r="D27" i="3"/>
  <c r="K26" i="3"/>
  <c r="D26" i="3"/>
  <c r="K25" i="3"/>
  <c r="D25" i="3"/>
  <c r="K24" i="3"/>
  <c r="D24" i="3"/>
  <c r="K23" i="3"/>
  <c r="D23" i="3"/>
  <c r="K22" i="3"/>
  <c r="D21" i="3"/>
  <c r="K16" i="3"/>
  <c r="K15" i="3"/>
  <c r="K14" i="3"/>
  <c r="D13" i="3"/>
  <c r="K12" i="3"/>
  <c r="K10" i="3"/>
  <c r="D10" i="3"/>
  <c r="K8" i="3"/>
  <c r="K7" i="3"/>
  <c r="K6" i="3"/>
  <c r="D6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12" i="2"/>
  <c r="K10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1" i="2"/>
  <c r="D13" i="2"/>
  <c r="D10" i="2"/>
  <c r="D6" i="2"/>
</calcChain>
</file>

<file path=xl/sharedStrings.xml><?xml version="1.0" encoding="utf-8"?>
<sst xmlns="http://schemas.openxmlformats.org/spreadsheetml/2006/main" count="216" uniqueCount="88">
  <si>
    <t>所　属</t>
  </si>
  <si>
    <t>社　員</t>
  </si>
  <si>
    <t>2021年3月分</t>
  </si>
  <si>
    <t>若林運送株式会社</t>
  </si>
  <si>
    <t>締日:03/31</t>
  </si>
  <si>
    <t>支給日:04/15</t>
  </si>
  <si>
    <t>東京営業所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</si>
  <si>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</si>
  <si>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</si>
  <si>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</si>
  <si>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</si>
  <si>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</si>
  <si>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</si>
  <si>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</si>
  <si>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</si>
  <si>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</si>
  <si>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</si>
  <si>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</si>
  <si>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</si>
  <si>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</si>
  <si>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</si>
  <si>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</si>
  <si>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</si>
  <si>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</si>
  <si>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</si>
  <si>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</si>
  <si>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</si>
  <si>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</si>
  <si>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</si>
  <si>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</si>
  <si>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</si>
  <si>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</si>
  <si>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</si>
  <si>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</si>
  <si>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</si>
  <si>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</si>
  <si>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</si>
  <si>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</si>
  <si>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</si>
  <si>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</si>
  <si>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</si>
  <si>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</si>
  <si>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</si>
  <si>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</si>
  <si>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</si>
  <si>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</si>
  <si>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</si>
  <si>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</si>
  <si>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</si>
  <si>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</si>
  <si>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</si>
  <si>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</si>
  <si>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</si>
  <si>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</si>
  <si>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</si>
  <si>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</si>
  <si>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</si>
  <si>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</si>
  <si>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</si>
  <si>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</si>
  <si>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</si>
  <si>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</si>
  <si>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</si>
  <si>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</si>
  <si>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</si>
  <si>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</si>
  <si>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</si>
  <si>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</si>
  <si>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</si>
  <si>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</si>
  <si>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</si>
  <si>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</si>
  <si>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</si>
  <si>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</si>
  <si>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</si>
  <si>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</si>
  <si>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</si>
  <si>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</si>
  <si>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</si>
  <si>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</si>
  <si>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</si>
  <si>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</si>
  <si>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新治　泰子</t>
  </si>
  <si>
    <t>8名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</si>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</sst>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38" xfId="0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0" fontId="2" fillId="2" borderId="37" xfId="0" applyFont="1" applyFill="1" applyBorder="1">
      <alignment vertical="center"/>
    </xf>
    <xf numFmtId="176" fontId="2" fillId="2" borderId="20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6" fontId="2" fillId="2" borderId="37" xfId="0" applyNumberFormat="1" applyFont="1" applyFill="1" applyBorder="1">
      <alignment vertical="center"/>
    </xf>
    <xf numFmtId="176" fontId="2" fillId="2" borderId="44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0" fontId="2" fillId="3" borderId="2" xfId="0" applyFont="1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79" fontId="2" fillId="3" borderId="28" xfId="0" applyNumberFormat="1" applyFont="1" applyFill="1" applyBorder="1">
      <alignment vertical="center"/>
    </xf>
    <xf numFmtId="0" fontId="2" fillId="3" borderId="37" xfId="0" applyFont="1" applyFill="1" applyBorder="1">
      <alignment vertical="center"/>
    </xf>
    <xf numFmtId="176" fontId="2" fillId="3" borderId="20" xfId="0" applyNumberFormat="1" applyFont="1" applyFill="1" applyBorder="1">
      <alignment vertical="center"/>
    </xf>
    <xf numFmtId="176" fontId="2" fillId="3" borderId="1" xfId="0" applyNumberFormat="1" applyFont="1" applyFill="1" applyBorder="1">
      <alignment vertical="center"/>
    </xf>
    <xf numFmtId="179" fontId="2" fillId="3" borderId="20" xfId="0" applyNumberFormat="1" applyFont="1" applyFill="1" applyBorder="1">
      <alignment vertical="center"/>
    </xf>
    <xf numFmtId="176" fontId="2" fillId="3" borderId="37" xfId="0" applyNumberFormat="1" applyFont="1" applyFill="1" applyBorder="1">
      <alignment vertical="center"/>
    </xf>
    <xf numFmtId="176" fontId="2" fillId="3" borderId="44" xfId="0" applyNumberFormat="1" applyFont="1" applyFill="1" applyBorder="1">
      <alignment vertical="center"/>
    </xf>
    <xf numFmtId="179" fontId="2" fillId="3" borderId="37" xfId="0" applyNumberFormat="1" applyFont="1" applyFill="1" applyBorder="1">
      <alignment vertical="center"/>
    </xf>
    <xf numFmtId="179" fontId="2" fillId="3" borderId="44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E74-09EC-4E68-9682-E2BDFB2A9551}">
  <sheetPr>
    <pageSetUpPr fitToPage="1"/>
  </sheetPr>
  <dimension ref="A1:AL77"/>
  <sheetViews>
    <sheetView zoomScale="80" zoomScaleNormal="80" workbookViewId="0">
      <selection activeCell="D40" sqref="D40"/>
    </sheetView>
  </sheetViews>
  <sheetFormatPr defaultRowHeight="13.5" x14ac:dyDescent="0.15"/>
  <cols>
    <col min="1" max="1" width="17.625" style="2" customWidth="1"/>
    <col min="2" max="12" width="12.62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6</v>
      </c>
      <c r="C3" s="52" t="s">
        <v>6</v>
      </c>
      <c r="D3" s="69" t="s">
        <v>85</v>
      </c>
      <c r="E3" s="36" t="s">
        <v>6</v>
      </c>
      <c r="F3" s="20" t="s">
        <v>6</v>
      </c>
      <c r="G3" s="20" t="s">
        <v>6</v>
      </c>
      <c r="H3" s="20" t="s">
        <v>6</v>
      </c>
      <c r="I3" s="36" t="s">
        <v>6</v>
      </c>
      <c r="J3" s="52" t="s">
        <v>6</v>
      </c>
      <c r="K3" s="69" t="s">
        <v>85</v>
      </c>
      <c r="L3" s="87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3">
        <v>1033</v>
      </c>
      <c r="D4" s="70"/>
      <c r="E4" s="37">
        <v>1011</v>
      </c>
      <c r="F4" s="22">
        <v>1025</v>
      </c>
      <c r="G4" s="22">
        <v>1030</v>
      </c>
      <c r="H4" s="22">
        <v>1052</v>
      </c>
      <c r="I4" s="37">
        <v>1054</v>
      </c>
      <c r="J4" s="53">
        <v>1060</v>
      </c>
      <c r="K4" s="70"/>
      <c r="L4" s="8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26</v>
      </c>
      <c r="C5" s="53" t="s">
        <v>82</v>
      </c>
      <c r="D5" s="71" t="s">
        <v>86</v>
      </c>
      <c r="E5" s="37" t="s">
        <v>7</v>
      </c>
      <c r="F5" s="22" t="s">
        <v>25</v>
      </c>
      <c r="G5" s="22" t="s">
        <v>27</v>
      </c>
      <c r="H5" s="22" t="s">
        <v>28</v>
      </c>
      <c r="I5" s="37" t="s">
        <v>80</v>
      </c>
      <c r="J5" s="53" t="s">
        <v>81</v>
      </c>
      <c r="K5" s="71" t="s">
        <v>87</v>
      </c>
      <c r="L5" s="89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24</v>
      </c>
      <c r="C6" s="54">
        <v>11</v>
      </c>
      <c r="D6" s="72">
        <f>SUM(B6:C6)</f>
        <v>35</v>
      </c>
      <c r="E6" s="38">
        <v>21</v>
      </c>
      <c r="F6" s="24">
        <v>21</v>
      </c>
      <c r="G6" s="24">
        <v>22</v>
      </c>
      <c r="H6" s="24">
        <v>21</v>
      </c>
      <c r="I6" s="38">
        <v>24</v>
      </c>
      <c r="J6" s="54">
        <v>24</v>
      </c>
      <c r="K6" s="72">
        <f>SUM(E6:J6)</f>
        <v>133</v>
      </c>
      <c r="L6" s="90">
        <v>168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10"/>
      <c r="C7" s="56"/>
      <c r="D7" s="73"/>
      <c r="E7" s="39">
        <v>2</v>
      </c>
      <c r="F7" s="9">
        <v>1</v>
      </c>
      <c r="G7" s="9">
        <v>1</v>
      </c>
      <c r="H7" s="9">
        <v>1</v>
      </c>
      <c r="I7" s="39">
        <v>2</v>
      </c>
      <c r="J7" s="55">
        <v>2</v>
      </c>
      <c r="K7" s="74">
        <f>SUM(E7:J7)</f>
        <v>9</v>
      </c>
      <c r="L7" s="91">
        <v>9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10"/>
      <c r="C8" s="56"/>
      <c r="D8" s="73"/>
      <c r="E8" s="39">
        <v>1</v>
      </c>
      <c r="F8" s="10"/>
      <c r="G8" s="10"/>
      <c r="H8" s="10"/>
      <c r="I8" s="40"/>
      <c r="J8" s="55">
        <v>1</v>
      </c>
      <c r="K8" s="74">
        <f>SUM(E8:J8)</f>
        <v>2</v>
      </c>
      <c r="L8" s="91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56"/>
      <c r="D9" s="73"/>
      <c r="E9" s="40"/>
      <c r="F9" s="10"/>
      <c r="G9" s="10"/>
      <c r="H9" s="10"/>
      <c r="I9" s="40"/>
      <c r="J9" s="56"/>
      <c r="K9" s="78"/>
      <c r="L9" s="9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10"/>
      <c r="C10" s="55">
        <v>1</v>
      </c>
      <c r="D10" s="74">
        <f>SUM(B10:C10)</f>
        <v>1</v>
      </c>
      <c r="E10" s="40"/>
      <c r="F10" s="10"/>
      <c r="G10" s="9">
        <v>1</v>
      </c>
      <c r="H10" s="10"/>
      <c r="I10" s="40"/>
      <c r="J10" s="56"/>
      <c r="K10" s="74">
        <f>SUM(E10:J10)</f>
        <v>1</v>
      </c>
      <c r="L10" s="91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56"/>
      <c r="D11" s="73"/>
      <c r="E11" s="40"/>
      <c r="F11" s="10"/>
      <c r="G11" s="10"/>
      <c r="H11" s="10"/>
      <c r="I11" s="40"/>
      <c r="J11" s="56"/>
      <c r="K11" s="78"/>
      <c r="L11" s="9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15" t="s">
        <v>14</v>
      </c>
      <c r="B12" s="116"/>
      <c r="C12" s="117"/>
      <c r="D12" s="118"/>
      <c r="E12" s="119">
        <v>3</v>
      </c>
      <c r="F12" s="120">
        <v>3</v>
      </c>
      <c r="G12" s="120">
        <v>1</v>
      </c>
      <c r="H12" s="120">
        <v>3</v>
      </c>
      <c r="I12" s="121"/>
      <c r="J12" s="117"/>
      <c r="K12" s="122">
        <f>SUM(E12:J12)</f>
        <v>10</v>
      </c>
      <c r="L12" s="123">
        <v>10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57">
        <v>3.1666666666666665</v>
      </c>
      <c r="D13" s="75">
        <f>SUM(B13:C13)</f>
        <v>3.1666666666666665</v>
      </c>
      <c r="E13" s="40"/>
      <c r="F13" s="10"/>
      <c r="G13" s="10"/>
      <c r="H13" s="10"/>
      <c r="I13" s="40"/>
      <c r="J13" s="56"/>
      <c r="K13" s="78"/>
      <c r="L13" s="93">
        <v>3.1666666666666665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56"/>
      <c r="D14" s="73"/>
      <c r="E14" s="41">
        <v>2.0833333333333335</v>
      </c>
      <c r="F14" s="11">
        <v>2</v>
      </c>
      <c r="G14" s="11">
        <v>0.66666666666666663</v>
      </c>
      <c r="H14" s="11">
        <v>2.2916666666666665</v>
      </c>
      <c r="I14" s="41">
        <v>1.875</v>
      </c>
      <c r="J14" s="57">
        <v>1.7916666666666667</v>
      </c>
      <c r="K14" s="75">
        <f>SUM(E14:J14)</f>
        <v>10.708333333333334</v>
      </c>
      <c r="L14" s="93">
        <v>10.708333333333334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56"/>
      <c r="D15" s="73"/>
      <c r="E15" s="41">
        <v>0.70833333333333337</v>
      </c>
      <c r="F15" s="11">
        <v>0.16666666666666666</v>
      </c>
      <c r="G15" s="11">
        <v>0.16666666666666666</v>
      </c>
      <c r="H15" s="11">
        <v>0.16666666666666666</v>
      </c>
      <c r="I15" s="41">
        <v>0.45833333333333331</v>
      </c>
      <c r="J15" s="57">
        <v>0.70833333333333337</v>
      </c>
      <c r="K15" s="75">
        <f t="shared" ref="K15:K16" si="0">SUM(E15:J15)</f>
        <v>2.375</v>
      </c>
      <c r="L15" s="93">
        <v>2.375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56"/>
      <c r="D16" s="73"/>
      <c r="E16" s="41">
        <v>0.33333333333333331</v>
      </c>
      <c r="F16" s="10"/>
      <c r="G16" s="10"/>
      <c r="H16" s="10"/>
      <c r="I16" s="40"/>
      <c r="J16" s="57">
        <v>0.20833333333333334</v>
      </c>
      <c r="K16" s="75">
        <f t="shared" si="0"/>
        <v>0.54166666666666663</v>
      </c>
      <c r="L16" s="93">
        <v>0.54166666666666663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56"/>
      <c r="D17" s="73"/>
      <c r="E17" s="40"/>
      <c r="F17" s="10"/>
      <c r="G17" s="10"/>
      <c r="H17" s="10"/>
      <c r="I17" s="40"/>
      <c r="J17" s="56"/>
      <c r="K17" s="78"/>
      <c r="L17" s="9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56"/>
      <c r="D18" s="73"/>
      <c r="E18" s="40"/>
      <c r="F18" s="10"/>
      <c r="G18" s="10"/>
      <c r="H18" s="10"/>
      <c r="I18" s="40"/>
      <c r="J18" s="56"/>
      <c r="K18" s="78"/>
      <c r="L18" s="9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56"/>
      <c r="D19" s="73"/>
      <c r="E19" s="40"/>
      <c r="F19" s="10"/>
      <c r="G19" s="10"/>
      <c r="H19" s="10"/>
      <c r="I19" s="40"/>
      <c r="J19" s="56"/>
      <c r="K19" s="78"/>
      <c r="L19" s="9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56"/>
      <c r="D20" s="73"/>
      <c r="E20" s="40"/>
      <c r="F20" s="10"/>
      <c r="G20" s="10"/>
      <c r="H20" s="10"/>
      <c r="I20" s="40"/>
      <c r="J20" s="56"/>
      <c r="K20" s="78"/>
      <c r="L20" s="9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57">
        <v>0.29166666666666669</v>
      </c>
      <c r="D21" s="75">
        <f>SUM(B21:C21)</f>
        <v>0.29166666666666669</v>
      </c>
      <c r="E21" s="40"/>
      <c r="F21" s="10"/>
      <c r="G21" s="10"/>
      <c r="H21" s="10"/>
      <c r="I21" s="40"/>
      <c r="J21" s="56"/>
      <c r="K21" s="78"/>
      <c r="L21" s="93">
        <v>0.29166666666666669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24</v>
      </c>
      <c r="B22" s="27"/>
      <c r="C22" s="68"/>
      <c r="D22" s="76"/>
      <c r="E22" s="42">
        <v>0.625</v>
      </c>
      <c r="F22" s="26">
        <v>0.79166666666666663</v>
      </c>
      <c r="G22" s="26">
        <v>4.1666666666666664E-2</v>
      </c>
      <c r="H22" s="26">
        <v>0.83333333333333337</v>
      </c>
      <c r="I22" s="42">
        <v>0.375</v>
      </c>
      <c r="J22" s="58">
        <v>0.20833333333333334</v>
      </c>
      <c r="K22" s="75">
        <f t="shared" ref="K22" si="1">SUM(E22:J22)</f>
        <v>2.875</v>
      </c>
      <c r="L22" s="94">
        <v>2.875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29</v>
      </c>
      <c r="B23" s="28">
        <v>355000</v>
      </c>
      <c r="C23" s="59">
        <v>0</v>
      </c>
      <c r="D23" s="77">
        <f>SUM(B23:C23)</f>
        <v>355000</v>
      </c>
      <c r="E23" s="43">
        <v>177000</v>
      </c>
      <c r="F23" s="28">
        <v>192000</v>
      </c>
      <c r="G23" s="28">
        <v>177000</v>
      </c>
      <c r="H23" s="28">
        <v>175000</v>
      </c>
      <c r="I23" s="43">
        <v>177000</v>
      </c>
      <c r="J23" s="59">
        <v>165000</v>
      </c>
      <c r="K23" s="77">
        <f>SUM(E23:J23)</f>
        <v>1063000</v>
      </c>
      <c r="L23" s="95">
        <v>1418000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30</v>
      </c>
      <c r="B24" s="10">
        <v>0</v>
      </c>
      <c r="C24" s="56">
        <v>0</v>
      </c>
      <c r="D24" s="78">
        <f t="shared" ref="D24:D74" si="2">SUM(B24:C24)</f>
        <v>0</v>
      </c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6">
        <v>0</v>
      </c>
      <c r="K24" s="78">
        <f t="shared" ref="K24:K74" si="3">SUM(E24:J24)</f>
        <v>5000</v>
      </c>
      <c r="L24" s="9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31</v>
      </c>
      <c r="B25" s="10">
        <v>0</v>
      </c>
      <c r="C25" s="56">
        <v>0</v>
      </c>
      <c r="D25" s="78">
        <f t="shared" si="2"/>
        <v>0</v>
      </c>
      <c r="E25" s="40">
        <v>6000</v>
      </c>
      <c r="F25" s="10">
        <v>0</v>
      </c>
      <c r="G25" s="10">
        <v>3000</v>
      </c>
      <c r="H25" s="10">
        <v>0</v>
      </c>
      <c r="I25" s="40">
        <v>0</v>
      </c>
      <c r="J25" s="56">
        <v>0</v>
      </c>
      <c r="K25" s="78">
        <f t="shared" si="3"/>
        <v>9000</v>
      </c>
      <c r="L25" s="92">
        <v>9000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32</v>
      </c>
      <c r="B26" s="10">
        <v>50000</v>
      </c>
      <c r="C26" s="56">
        <v>0</v>
      </c>
      <c r="D26" s="78">
        <f t="shared" si="2"/>
        <v>50000</v>
      </c>
      <c r="E26" s="40">
        <v>50000</v>
      </c>
      <c r="F26" s="10">
        <v>50000</v>
      </c>
      <c r="G26" s="10">
        <v>50000</v>
      </c>
      <c r="H26" s="10">
        <v>50000</v>
      </c>
      <c r="I26" s="40">
        <v>50000</v>
      </c>
      <c r="J26" s="56">
        <v>50000</v>
      </c>
      <c r="K26" s="78">
        <f t="shared" si="3"/>
        <v>300000</v>
      </c>
      <c r="L26" s="92">
        <v>350000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33</v>
      </c>
      <c r="B27" s="10">
        <v>0</v>
      </c>
      <c r="C27" s="56">
        <v>0</v>
      </c>
      <c r="D27" s="78">
        <f t="shared" si="2"/>
        <v>0</v>
      </c>
      <c r="E27" s="40">
        <v>0</v>
      </c>
      <c r="F27" s="10">
        <v>0</v>
      </c>
      <c r="G27" s="10">
        <v>0</v>
      </c>
      <c r="H27" s="10">
        <v>0</v>
      </c>
      <c r="I27" s="40">
        <v>0</v>
      </c>
      <c r="J27" s="56">
        <v>0</v>
      </c>
      <c r="K27" s="78">
        <f t="shared" si="3"/>
        <v>0</v>
      </c>
      <c r="L27" s="92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34</v>
      </c>
      <c r="B28" s="10">
        <v>0</v>
      </c>
      <c r="C28" s="56">
        <v>0</v>
      </c>
      <c r="D28" s="78">
        <f t="shared" si="2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6">
        <v>0</v>
      </c>
      <c r="K28" s="78">
        <f t="shared" si="3"/>
        <v>0</v>
      </c>
      <c r="L28" s="9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35</v>
      </c>
      <c r="B29" s="10">
        <v>0</v>
      </c>
      <c r="C29" s="56">
        <v>0</v>
      </c>
      <c r="D29" s="78">
        <f t="shared" si="2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78">
        <f t="shared" si="3"/>
        <v>0</v>
      </c>
      <c r="L29" s="9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36</v>
      </c>
      <c r="B30" s="10">
        <v>0</v>
      </c>
      <c r="C30" s="56">
        <v>0</v>
      </c>
      <c r="D30" s="78">
        <f t="shared" si="2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78">
        <f t="shared" si="3"/>
        <v>0</v>
      </c>
      <c r="L30" s="9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37</v>
      </c>
      <c r="B31" s="10">
        <v>0</v>
      </c>
      <c r="C31" s="56">
        <v>83980</v>
      </c>
      <c r="D31" s="78">
        <f t="shared" si="2"/>
        <v>83980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78">
        <f t="shared" si="3"/>
        <v>0</v>
      </c>
      <c r="L31" s="92">
        <v>83980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38</v>
      </c>
      <c r="B32" s="10">
        <v>0</v>
      </c>
      <c r="C32" s="56">
        <v>0</v>
      </c>
      <c r="D32" s="78">
        <f t="shared" si="2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78">
        <f t="shared" si="3"/>
        <v>0</v>
      </c>
      <c r="L32" s="9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39</v>
      </c>
      <c r="B33" s="10">
        <v>0</v>
      </c>
      <c r="C33" s="56">
        <v>0</v>
      </c>
      <c r="D33" s="78">
        <f t="shared" si="2"/>
        <v>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6">
        <v>0</v>
      </c>
      <c r="K33" s="78">
        <f t="shared" si="3"/>
        <v>0</v>
      </c>
      <c r="L33" s="9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40</v>
      </c>
      <c r="B34" s="10">
        <v>0</v>
      </c>
      <c r="C34" s="56">
        <v>7735</v>
      </c>
      <c r="D34" s="78">
        <f t="shared" si="2"/>
        <v>7735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78">
        <f t="shared" si="3"/>
        <v>0</v>
      </c>
      <c r="L34" s="92">
        <v>7735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41</v>
      </c>
      <c r="B35" s="10">
        <v>0</v>
      </c>
      <c r="C35" s="56">
        <v>0</v>
      </c>
      <c r="D35" s="78">
        <f t="shared" si="2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78">
        <f t="shared" si="3"/>
        <v>0</v>
      </c>
      <c r="L35" s="9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42</v>
      </c>
      <c r="B36" s="10">
        <v>0</v>
      </c>
      <c r="C36" s="56">
        <v>0</v>
      </c>
      <c r="D36" s="78">
        <f t="shared" si="2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78">
        <f t="shared" si="3"/>
        <v>0</v>
      </c>
      <c r="L36" s="9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43</v>
      </c>
      <c r="B37" s="10">
        <v>0</v>
      </c>
      <c r="C37" s="56">
        <v>0</v>
      </c>
      <c r="D37" s="78">
        <f t="shared" si="2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78">
        <f t="shared" si="3"/>
        <v>0</v>
      </c>
      <c r="L37" s="9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44</v>
      </c>
      <c r="B38" s="10">
        <v>0</v>
      </c>
      <c r="C38" s="56">
        <v>0</v>
      </c>
      <c r="D38" s="78">
        <f t="shared" si="2"/>
        <v>0</v>
      </c>
      <c r="E38" s="40">
        <v>30500</v>
      </c>
      <c r="F38" s="10">
        <v>10500</v>
      </c>
      <c r="G38" s="10">
        <v>13500</v>
      </c>
      <c r="H38" s="10">
        <v>15000</v>
      </c>
      <c r="I38" s="40">
        <v>13000</v>
      </c>
      <c r="J38" s="56">
        <v>15000</v>
      </c>
      <c r="K38" s="78">
        <f t="shared" si="3"/>
        <v>97500</v>
      </c>
      <c r="L38" s="92">
        <v>97500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45</v>
      </c>
      <c r="B39" s="10">
        <v>0</v>
      </c>
      <c r="C39" s="56">
        <v>0</v>
      </c>
      <c r="D39" s="78">
        <f t="shared" si="2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78">
        <f t="shared" si="3"/>
        <v>0</v>
      </c>
      <c r="L39" s="9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46</v>
      </c>
      <c r="B40" s="10">
        <v>0</v>
      </c>
      <c r="C40" s="56">
        <v>0</v>
      </c>
      <c r="D40" s="78">
        <f t="shared" si="2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6">
        <v>0</v>
      </c>
      <c r="K40" s="78">
        <f t="shared" si="3"/>
        <v>0</v>
      </c>
      <c r="L40" s="9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47</v>
      </c>
      <c r="B41" s="10">
        <v>0</v>
      </c>
      <c r="C41" s="56">
        <v>0</v>
      </c>
      <c r="D41" s="78">
        <f t="shared" si="2"/>
        <v>0</v>
      </c>
      <c r="E41" s="40">
        <v>-37821</v>
      </c>
      <c r="F41" s="10">
        <v>-36960</v>
      </c>
      <c r="G41" s="10">
        <v>-11650</v>
      </c>
      <c r="H41" s="10">
        <v>-34449</v>
      </c>
      <c r="I41" s="40">
        <v>0</v>
      </c>
      <c r="J41" s="56">
        <v>0</v>
      </c>
      <c r="K41" s="78">
        <f t="shared" si="3"/>
        <v>-120880</v>
      </c>
      <c r="L41" s="92">
        <v>-120880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48</v>
      </c>
      <c r="B42" s="10">
        <v>0</v>
      </c>
      <c r="C42" s="56">
        <v>0</v>
      </c>
      <c r="D42" s="78">
        <f t="shared" si="2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78">
        <f t="shared" si="3"/>
        <v>0</v>
      </c>
      <c r="L42" s="9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56">
        <v>0</v>
      </c>
      <c r="D43" s="78">
        <f t="shared" si="2"/>
        <v>0</v>
      </c>
      <c r="E43" s="40">
        <v>98650</v>
      </c>
      <c r="F43" s="10">
        <v>92544</v>
      </c>
      <c r="G43" s="10">
        <v>29168</v>
      </c>
      <c r="H43" s="10">
        <v>98780</v>
      </c>
      <c r="I43" s="40">
        <v>80820</v>
      </c>
      <c r="J43" s="56">
        <v>74003</v>
      </c>
      <c r="K43" s="78">
        <f t="shared" si="3"/>
        <v>473965</v>
      </c>
      <c r="L43" s="92">
        <v>473965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56">
        <v>0</v>
      </c>
      <c r="D44" s="78">
        <f t="shared" si="2"/>
        <v>0</v>
      </c>
      <c r="E44" s="40">
        <v>36210</v>
      </c>
      <c r="F44" s="10">
        <v>8328</v>
      </c>
      <c r="G44" s="10">
        <v>7872</v>
      </c>
      <c r="H44" s="10">
        <v>7760</v>
      </c>
      <c r="I44" s="40">
        <v>21340</v>
      </c>
      <c r="J44" s="56">
        <v>31603</v>
      </c>
      <c r="K44" s="78">
        <f t="shared" si="3"/>
        <v>113113</v>
      </c>
      <c r="L44" s="92">
        <v>113113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56">
        <v>0</v>
      </c>
      <c r="D45" s="78">
        <f t="shared" si="2"/>
        <v>0</v>
      </c>
      <c r="E45" s="40">
        <v>17040</v>
      </c>
      <c r="F45" s="10">
        <v>0</v>
      </c>
      <c r="G45" s="10">
        <v>0</v>
      </c>
      <c r="H45" s="10">
        <v>0</v>
      </c>
      <c r="I45" s="40">
        <v>0</v>
      </c>
      <c r="J45" s="56">
        <v>9295</v>
      </c>
      <c r="K45" s="78">
        <f t="shared" si="3"/>
        <v>26335</v>
      </c>
      <c r="L45" s="92">
        <v>26335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6">
        <v>0</v>
      </c>
      <c r="D46" s="78">
        <f t="shared" si="2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6">
        <v>0</v>
      </c>
      <c r="K46" s="78">
        <f t="shared" si="3"/>
        <v>0</v>
      </c>
      <c r="L46" s="9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15" t="s">
        <v>50</v>
      </c>
      <c r="B47" s="116">
        <v>0</v>
      </c>
      <c r="C47" s="117">
        <v>0</v>
      </c>
      <c r="D47" s="124">
        <f t="shared" si="2"/>
        <v>0</v>
      </c>
      <c r="E47" s="121">
        <v>37821</v>
      </c>
      <c r="F47" s="116">
        <v>36960</v>
      </c>
      <c r="G47" s="116">
        <v>11650</v>
      </c>
      <c r="H47" s="116">
        <v>34449</v>
      </c>
      <c r="I47" s="121">
        <v>0</v>
      </c>
      <c r="J47" s="117">
        <v>0</v>
      </c>
      <c r="K47" s="124">
        <f t="shared" si="3"/>
        <v>120880</v>
      </c>
      <c r="L47" s="125">
        <v>120880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20</v>
      </c>
      <c r="B48" s="10">
        <v>0</v>
      </c>
      <c r="C48" s="56">
        <v>0</v>
      </c>
      <c r="D48" s="78">
        <f t="shared" si="2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78">
        <f t="shared" si="3"/>
        <v>0</v>
      </c>
      <c r="L48" s="9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51</v>
      </c>
      <c r="B49" s="12">
        <v>0</v>
      </c>
      <c r="C49" s="60">
        <v>0</v>
      </c>
      <c r="D49" s="79">
        <f t="shared" si="2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79">
        <f t="shared" si="3"/>
        <v>0</v>
      </c>
      <c r="L49" s="9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24</v>
      </c>
      <c r="B50" s="12">
        <v>0</v>
      </c>
      <c r="C50" s="60">
        <v>0</v>
      </c>
      <c r="D50" s="79">
        <f t="shared" si="2"/>
        <v>0</v>
      </c>
      <c r="E50" s="44">
        <v>5925</v>
      </c>
      <c r="F50" s="12">
        <v>7334</v>
      </c>
      <c r="G50" s="12">
        <v>365</v>
      </c>
      <c r="H50" s="12">
        <v>7180</v>
      </c>
      <c r="I50" s="44">
        <v>3231</v>
      </c>
      <c r="J50" s="60">
        <v>1720</v>
      </c>
      <c r="K50" s="79">
        <f t="shared" si="3"/>
        <v>25755</v>
      </c>
      <c r="L50" s="96">
        <v>25755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52</v>
      </c>
      <c r="B51" s="31">
        <v>405000</v>
      </c>
      <c r="C51" s="61">
        <v>91715</v>
      </c>
      <c r="D51" s="80">
        <f t="shared" si="2"/>
        <v>496715</v>
      </c>
      <c r="E51" s="45">
        <v>421325</v>
      </c>
      <c r="F51" s="31">
        <v>365706</v>
      </c>
      <c r="G51" s="31">
        <v>280905</v>
      </c>
      <c r="H51" s="31">
        <v>353720</v>
      </c>
      <c r="I51" s="45">
        <v>345391</v>
      </c>
      <c r="J51" s="61">
        <v>346621</v>
      </c>
      <c r="K51" s="80">
        <f t="shared" si="3"/>
        <v>2113668</v>
      </c>
      <c r="L51" s="97">
        <v>2610383</v>
      </c>
      <c r="M51" s="6"/>
      <c r="N51" s="6"/>
      <c r="O51" s="6"/>
      <c r="P51" s="6"/>
      <c r="Q51" s="6"/>
      <c r="R51" s="6"/>
      <c r="S51" s="6"/>
    </row>
    <row r="52" spans="1:19" x14ac:dyDescent="0.15">
      <c r="A52" s="29" t="s">
        <v>53</v>
      </c>
      <c r="B52" s="30">
        <v>10777</v>
      </c>
      <c r="C52" s="62">
        <v>3600</v>
      </c>
      <c r="D52" s="81">
        <f t="shared" si="2"/>
        <v>14377</v>
      </c>
      <c r="E52" s="46">
        <v>5155</v>
      </c>
      <c r="F52" s="30">
        <v>4296</v>
      </c>
      <c r="G52" s="30">
        <v>7275</v>
      </c>
      <c r="H52" s="30">
        <v>3915</v>
      </c>
      <c r="I52" s="46">
        <v>3554</v>
      </c>
      <c r="J52" s="62">
        <v>5272</v>
      </c>
      <c r="K52" s="81">
        <f t="shared" si="3"/>
        <v>29467</v>
      </c>
      <c r="L52" s="98">
        <v>43844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2" t="s">
        <v>54</v>
      </c>
      <c r="B53" s="33">
        <v>10777</v>
      </c>
      <c r="C53" s="63">
        <v>3600</v>
      </c>
      <c r="D53" s="82">
        <f t="shared" si="2"/>
        <v>14377</v>
      </c>
      <c r="E53" s="47">
        <v>5155</v>
      </c>
      <c r="F53" s="33">
        <v>4296</v>
      </c>
      <c r="G53" s="33">
        <v>7275</v>
      </c>
      <c r="H53" s="33">
        <v>3915</v>
      </c>
      <c r="I53" s="47">
        <v>3554</v>
      </c>
      <c r="J53" s="63">
        <v>5272</v>
      </c>
      <c r="K53" s="82">
        <f t="shared" si="3"/>
        <v>29467</v>
      </c>
      <c r="L53" s="99">
        <v>43844</v>
      </c>
    </row>
    <row r="54" spans="1:19" ht="14.25" thickBot="1" x14ac:dyDescent="0.2">
      <c r="A54" s="34" t="s">
        <v>55</v>
      </c>
      <c r="B54" s="35">
        <v>415777</v>
      </c>
      <c r="C54" s="64">
        <v>95315</v>
      </c>
      <c r="D54" s="83">
        <f t="shared" si="2"/>
        <v>511092</v>
      </c>
      <c r="E54" s="48">
        <v>426480</v>
      </c>
      <c r="F54" s="35">
        <v>370002</v>
      </c>
      <c r="G54" s="35">
        <v>288180</v>
      </c>
      <c r="H54" s="35">
        <v>357635</v>
      </c>
      <c r="I54" s="48">
        <v>348945</v>
      </c>
      <c r="J54" s="64">
        <v>351893</v>
      </c>
      <c r="K54" s="83">
        <f t="shared" si="3"/>
        <v>2143135</v>
      </c>
      <c r="L54" s="100">
        <v>2654227</v>
      </c>
    </row>
    <row r="55" spans="1:19" x14ac:dyDescent="0.15">
      <c r="A55" s="29" t="s">
        <v>56</v>
      </c>
      <c r="B55" s="30">
        <v>20910</v>
      </c>
      <c r="C55" s="62">
        <v>0</v>
      </c>
      <c r="D55" s="81">
        <f t="shared" si="2"/>
        <v>20910</v>
      </c>
      <c r="E55" s="46">
        <v>20910</v>
      </c>
      <c r="F55" s="30">
        <v>19380</v>
      </c>
      <c r="G55" s="30">
        <v>18360</v>
      </c>
      <c r="H55" s="30">
        <v>18360</v>
      </c>
      <c r="I55" s="46">
        <v>19380</v>
      </c>
      <c r="J55" s="62">
        <v>19380</v>
      </c>
      <c r="K55" s="81">
        <f t="shared" si="3"/>
        <v>115770</v>
      </c>
      <c r="L55" s="98">
        <v>136680</v>
      </c>
    </row>
    <row r="56" spans="1:19" x14ac:dyDescent="0.15">
      <c r="A56" s="16" t="s">
        <v>57</v>
      </c>
      <c r="B56" s="12">
        <v>3690</v>
      </c>
      <c r="C56" s="60">
        <v>0</v>
      </c>
      <c r="D56" s="79">
        <f t="shared" si="2"/>
        <v>3690</v>
      </c>
      <c r="E56" s="44">
        <v>3690</v>
      </c>
      <c r="F56" s="12">
        <v>3420</v>
      </c>
      <c r="G56" s="12">
        <v>3240</v>
      </c>
      <c r="H56" s="12">
        <v>3240</v>
      </c>
      <c r="I56" s="44">
        <v>3420</v>
      </c>
      <c r="J56" s="60">
        <v>3420</v>
      </c>
      <c r="K56" s="79">
        <f t="shared" si="3"/>
        <v>20430</v>
      </c>
      <c r="L56" s="96">
        <v>24120</v>
      </c>
    </row>
    <row r="57" spans="1:19" x14ac:dyDescent="0.15">
      <c r="A57" s="16" t="s">
        <v>58</v>
      </c>
      <c r="B57" s="12">
        <v>37515</v>
      </c>
      <c r="C57" s="60">
        <v>0</v>
      </c>
      <c r="D57" s="79">
        <f t="shared" si="2"/>
        <v>37515</v>
      </c>
      <c r="E57" s="44">
        <v>37515</v>
      </c>
      <c r="F57" s="12">
        <v>34770</v>
      </c>
      <c r="G57" s="12">
        <v>32940</v>
      </c>
      <c r="H57" s="12">
        <v>32940</v>
      </c>
      <c r="I57" s="44">
        <v>34770</v>
      </c>
      <c r="J57" s="60">
        <v>34770</v>
      </c>
      <c r="K57" s="79">
        <f t="shared" si="3"/>
        <v>207705</v>
      </c>
      <c r="L57" s="96">
        <v>245220</v>
      </c>
    </row>
    <row r="58" spans="1:19" x14ac:dyDescent="0.15">
      <c r="A58" s="16" t="s">
        <v>59</v>
      </c>
      <c r="B58" s="12">
        <v>0</v>
      </c>
      <c r="C58" s="60">
        <v>0</v>
      </c>
      <c r="D58" s="79">
        <f t="shared" si="2"/>
        <v>0</v>
      </c>
      <c r="E58" s="44">
        <v>0</v>
      </c>
      <c r="F58" s="12">
        <v>0</v>
      </c>
      <c r="G58" s="12">
        <v>0</v>
      </c>
      <c r="H58" s="12">
        <v>0</v>
      </c>
      <c r="I58" s="44">
        <v>0</v>
      </c>
      <c r="J58" s="60">
        <v>0</v>
      </c>
      <c r="K58" s="79">
        <f t="shared" si="3"/>
        <v>0</v>
      </c>
      <c r="L58" s="96">
        <v>0</v>
      </c>
    </row>
    <row r="59" spans="1:19" x14ac:dyDescent="0.15">
      <c r="A59" s="16" t="s">
        <v>60</v>
      </c>
      <c r="B59" s="12">
        <v>1247</v>
      </c>
      <c r="C59" s="60">
        <v>286</v>
      </c>
      <c r="D59" s="79">
        <f t="shared" si="2"/>
        <v>1533</v>
      </c>
      <c r="E59" s="44">
        <v>1279</v>
      </c>
      <c r="F59" s="12">
        <v>1110</v>
      </c>
      <c r="G59" s="12">
        <v>865</v>
      </c>
      <c r="H59" s="12">
        <v>1073</v>
      </c>
      <c r="I59" s="44">
        <v>1047</v>
      </c>
      <c r="J59" s="60">
        <v>1056</v>
      </c>
      <c r="K59" s="79">
        <f t="shared" si="3"/>
        <v>6430</v>
      </c>
      <c r="L59" s="96">
        <v>7963</v>
      </c>
    </row>
    <row r="60" spans="1:19" x14ac:dyDescent="0.15">
      <c r="A60" s="16" t="s">
        <v>61</v>
      </c>
      <c r="B60" s="12">
        <v>0</v>
      </c>
      <c r="C60" s="60">
        <v>0</v>
      </c>
      <c r="D60" s="79">
        <f t="shared" si="2"/>
        <v>0</v>
      </c>
      <c r="E60" s="44">
        <v>0</v>
      </c>
      <c r="F60" s="12">
        <v>0</v>
      </c>
      <c r="G60" s="12">
        <v>0</v>
      </c>
      <c r="H60" s="12">
        <v>0</v>
      </c>
      <c r="I60" s="44">
        <v>0</v>
      </c>
      <c r="J60" s="60">
        <v>0</v>
      </c>
      <c r="K60" s="79">
        <f t="shared" si="3"/>
        <v>0</v>
      </c>
      <c r="L60" s="96">
        <v>0</v>
      </c>
    </row>
    <row r="61" spans="1:19" ht="14.25" thickBot="1" x14ac:dyDescent="0.2">
      <c r="A61" s="32" t="s">
        <v>62</v>
      </c>
      <c r="B61" s="33">
        <v>63362</v>
      </c>
      <c r="C61" s="63">
        <v>286</v>
      </c>
      <c r="D61" s="82">
        <f t="shared" si="2"/>
        <v>63648</v>
      </c>
      <c r="E61" s="47">
        <v>63394</v>
      </c>
      <c r="F61" s="33">
        <v>58680</v>
      </c>
      <c r="G61" s="33">
        <v>55405</v>
      </c>
      <c r="H61" s="33">
        <v>55613</v>
      </c>
      <c r="I61" s="47">
        <v>58617</v>
      </c>
      <c r="J61" s="63">
        <v>58626</v>
      </c>
      <c r="K61" s="82">
        <f t="shared" si="3"/>
        <v>350335</v>
      </c>
      <c r="L61" s="99">
        <v>413983</v>
      </c>
    </row>
    <row r="62" spans="1:19" ht="14.25" thickBot="1" x14ac:dyDescent="0.2">
      <c r="A62" s="34" t="s">
        <v>63</v>
      </c>
      <c r="B62" s="35">
        <v>341638</v>
      </c>
      <c r="C62" s="64">
        <v>91429</v>
      </c>
      <c r="D62" s="83">
        <f t="shared" si="2"/>
        <v>433067</v>
      </c>
      <c r="E62" s="48">
        <v>357931</v>
      </c>
      <c r="F62" s="35">
        <v>307026</v>
      </c>
      <c r="G62" s="35">
        <v>225500</v>
      </c>
      <c r="H62" s="35">
        <v>298107</v>
      </c>
      <c r="I62" s="48">
        <v>286774</v>
      </c>
      <c r="J62" s="64">
        <v>287995</v>
      </c>
      <c r="K62" s="83">
        <f t="shared" si="3"/>
        <v>1763333</v>
      </c>
      <c r="L62" s="100">
        <v>2196400</v>
      </c>
    </row>
    <row r="63" spans="1:19" x14ac:dyDescent="0.15">
      <c r="A63" s="29" t="s">
        <v>64</v>
      </c>
      <c r="B63" s="30">
        <v>8550</v>
      </c>
      <c r="C63" s="62">
        <v>290</v>
      </c>
      <c r="D63" s="81">
        <f t="shared" si="2"/>
        <v>8840</v>
      </c>
      <c r="E63" s="46">
        <v>9880</v>
      </c>
      <c r="F63" s="30">
        <v>8950</v>
      </c>
      <c r="G63" s="30">
        <v>4060</v>
      </c>
      <c r="H63" s="30">
        <v>6650</v>
      </c>
      <c r="I63" s="46">
        <v>7870</v>
      </c>
      <c r="J63" s="62">
        <v>4680</v>
      </c>
      <c r="K63" s="81">
        <f t="shared" si="3"/>
        <v>42090</v>
      </c>
      <c r="L63" s="98">
        <v>50930</v>
      </c>
    </row>
    <row r="64" spans="1:19" x14ac:dyDescent="0.15">
      <c r="A64" s="16" t="s">
        <v>65</v>
      </c>
      <c r="B64" s="12">
        <v>0</v>
      </c>
      <c r="C64" s="60">
        <v>0</v>
      </c>
      <c r="D64" s="79">
        <f t="shared" si="2"/>
        <v>0</v>
      </c>
      <c r="E64" s="44">
        <v>0</v>
      </c>
      <c r="F64" s="12">
        <v>0</v>
      </c>
      <c r="G64" s="12">
        <v>0</v>
      </c>
      <c r="H64" s="12">
        <v>0</v>
      </c>
      <c r="I64" s="44">
        <v>0</v>
      </c>
      <c r="J64" s="60">
        <v>0</v>
      </c>
      <c r="K64" s="79">
        <f t="shared" si="3"/>
        <v>0</v>
      </c>
      <c r="L64" s="96">
        <v>0</v>
      </c>
    </row>
    <row r="65" spans="1:12" x14ac:dyDescent="0.15">
      <c r="A65" s="16" t="s">
        <v>66</v>
      </c>
      <c r="B65" s="12">
        <v>26000</v>
      </c>
      <c r="C65" s="60">
        <v>1000</v>
      </c>
      <c r="D65" s="79">
        <f t="shared" si="2"/>
        <v>27000</v>
      </c>
      <c r="E65" s="44">
        <v>16300</v>
      </c>
      <c r="F65" s="12">
        <v>17400</v>
      </c>
      <c r="G65" s="12">
        <v>13500</v>
      </c>
      <c r="H65" s="12">
        <v>9500</v>
      </c>
      <c r="I65" s="44">
        <v>15800</v>
      </c>
      <c r="J65" s="60">
        <v>22200</v>
      </c>
      <c r="K65" s="79">
        <f t="shared" si="3"/>
        <v>94700</v>
      </c>
      <c r="L65" s="96">
        <v>121700</v>
      </c>
    </row>
    <row r="66" spans="1:12" x14ac:dyDescent="0.15">
      <c r="A66" s="16" t="s">
        <v>67</v>
      </c>
      <c r="B66" s="12">
        <v>0</v>
      </c>
      <c r="C66" s="60">
        <v>0</v>
      </c>
      <c r="D66" s="79">
        <f t="shared" si="2"/>
        <v>0</v>
      </c>
      <c r="E66" s="44">
        <v>0</v>
      </c>
      <c r="F66" s="12">
        <v>0</v>
      </c>
      <c r="G66" s="12">
        <v>0</v>
      </c>
      <c r="H66" s="12">
        <v>0</v>
      </c>
      <c r="I66" s="44">
        <v>0</v>
      </c>
      <c r="J66" s="60">
        <v>0</v>
      </c>
      <c r="K66" s="79">
        <f t="shared" si="3"/>
        <v>0</v>
      </c>
      <c r="L66" s="96">
        <v>0</v>
      </c>
    </row>
    <row r="67" spans="1:12" x14ac:dyDescent="0.15">
      <c r="A67" s="16" t="s">
        <v>68</v>
      </c>
      <c r="B67" s="12">
        <v>0</v>
      </c>
      <c r="C67" s="60">
        <v>0</v>
      </c>
      <c r="D67" s="79">
        <f t="shared" si="2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60">
        <v>0</v>
      </c>
      <c r="K67" s="79">
        <f t="shared" si="3"/>
        <v>0</v>
      </c>
      <c r="L67" s="96">
        <v>0</v>
      </c>
    </row>
    <row r="68" spans="1:12" x14ac:dyDescent="0.15">
      <c r="A68" s="16" t="s">
        <v>69</v>
      </c>
      <c r="B68" s="12">
        <v>0</v>
      </c>
      <c r="C68" s="60">
        <v>0</v>
      </c>
      <c r="D68" s="79">
        <f t="shared" si="2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79">
        <f t="shared" si="3"/>
        <v>0</v>
      </c>
      <c r="L68" s="96">
        <v>0</v>
      </c>
    </row>
    <row r="69" spans="1:12" x14ac:dyDescent="0.15">
      <c r="A69" s="16" t="s">
        <v>70</v>
      </c>
      <c r="B69" s="12">
        <v>0</v>
      </c>
      <c r="C69" s="60">
        <v>0</v>
      </c>
      <c r="D69" s="79">
        <f t="shared" si="2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60">
        <v>0</v>
      </c>
      <c r="K69" s="79">
        <f t="shared" si="3"/>
        <v>0</v>
      </c>
      <c r="L69" s="96">
        <v>0</v>
      </c>
    </row>
    <row r="70" spans="1:12" ht="14.25" thickBot="1" x14ac:dyDescent="0.2">
      <c r="A70" s="32" t="s">
        <v>71</v>
      </c>
      <c r="B70" s="33">
        <v>34550</v>
      </c>
      <c r="C70" s="63">
        <v>1290</v>
      </c>
      <c r="D70" s="82">
        <f t="shared" si="2"/>
        <v>35840</v>
      </c>
      <c r="E70" s="47">
        <v>26180</v>
      </c>
      <c r="F70" s="33">
        <v>26350</v>
      </c>
      <c r="G70" s="33">
        <v>17560</v>
      </c>
      <c r="H70" s="33">
        <v>16150</v>
      </c>
      <c r="I70" s="47">
        <v>23670</v>
      </c>
      <c r="J70" s="63">
        <v>26880</v>
      </c>
      <c r="K70" s="82">
        <f t="shared" si="3"/>
        <v>136790</v>
      </c>
      <c r="L70" s="99">
        <v>172630</v>
      </c>
    </row>
    <row r="71" spans="1:12" ht="14.25" thickBot="1" x14ac:dyDescent="0.2">
      <c r="A71" s="34" t="s">
        <v>72</v>
      </c>
      <c r="B71" s="35">
        <v>97912</v>
      </c>
      <c r="C71" s="64">
        <v>1576</v>
      </c>
      <c r="D71" s="83">
        <f t="shared" si="2"/>
        <v>99488</v>
      </c>
      <c r="E71" s="48">
        <v>89574</v>
      </c>
      <c r="F71" s="35">
        <v>85030</v>
      </c>
      <c r="G71" s="35">
        <v>72965</v>
      </c>
      <c r="H71" s="35">
        <v>71763</v>
      </c>
      <c r="I71" s="48">
        <v>82287</v>
      </c>
      <c r="J71" s="64">
        <v>85506</v>
      </c>
      <c r="K71" s="83">
        <f t="shared" si="3"/>
        <v>487125</v>
      </c>
      <c r="L71" s="100">
        <v>586613</v>
      </c>
    </row>
    <row r="72" spans="1:12" ht="14.25" thickBot="1" x14ac:dyDescent="0.2">
      <c r="A72" s="34" t="s">
        <v>73</v>
      </c>
      <c r="B72" s="35">
        <v>317865</v>
      </c>
      <c r="C72" s="64">
        <v>93739</v>
      </c>
      <c r="D72" s="83">
        <f t="shared" si="2"/>
        <v>411604</v>
      </c>
      <c r="E72" s="48">
        <v>336906</v>
      </c>
      <c r="F72" s="35">
        <v>284972</v>
      </c>
      <c r="G72" s="35">
        <v>215215</v>
      </c>
      <c r="H72" s="35">
        <v>285872</v>
      </c>
      <c r="I72" s="48">
        <v>266658</v>
      </c>
      <c r="J72" s="64">
        <v>266387</v>
      </c>
      <c r="K72" s="83">
        <f t="shared" si="3"/>
        <v>1656010</v>
      </c>
      <c r="L72" s="100">
        <v>2067614</v>
      </c>
    </row>
    <row r="73" spans="1:12" x14ac:dyDescent="0.15">
      <c r="A73" s="29" t="s">
        <v>74</v>
      </c>
      <c r="B73" s="30">
        <v>0</v>
      </c>
      <c r="C73" s="62">
        <v>0</v>
      </c>
      <c r="D73" s="81">
        <f t="shared" si="2"/>
        <v>0</v>
      </c>
      <c r="E73" s="46">
        <v>0</v>
      </c>
      <c r="F73" s="30">
        <v>0</v>
      </c>
      <c r="G73" s="30">
        <v>0</v>
      </c>
      <c r="H73" s="30">
        <v>0</v>
      </c>
      <c r="I73" s="46">
        <v>0</v>
      </c>
      <c r="J73" s="62">
        <v>0</v>
      </c>
      <c r="K73" s="81">
        <f t="shared" si="3"/>
        <v>0</v>
      </c>
      <c r="L73" s="98">
        <v>0</v>
      </c>
    </row>
    <row r="74" spans="1:12" x14ac:dyDescent="0.15">
      <c r="A74" s="16" t="s">
        <v>75</v>
      </c>
      <c r="B74" s="12">
        <v>317865</v>
      </c>
      <c r="C74" s="60">
        <v>93739</v>
      </c>
      <c r="D74" s="79">
        <f t="shared" si="2"/>
        <v>411604</v>
      </c>
      <c r="E74" s="44">
        <v>336906</v>
      </c>
      <c r="F74" s="12">
        <v>284972</v>
      </c>
      <c r="G74" s="12">
        <v>215215</v>
      </c>
      <c r="H74" s="12">
        <v>285872</v>
      </c>
      <c r="I74" s="44">
        <v>266658</v>
      </c>
      <c r="J74" s="60">
        <v>266387</v>
      </c>
      <c r="K74" s="79">
        <f t="shared" si="3"/>
        <v>1656010</v>
      </c>
      <c r="L74" s="96">
        <v>2067614</v>
      </c>
    </row>
    <row r="75" spans="1:12" x14ac:dyDescent="0.15">
      <c r="A75" s="16" t="s">
        <v>76</v>
      </c>
      <c r="B75" s="13">
        <v>33</v>
      </c>
      <c r="C75" s="65">
        <v>10</v>
      </c>
      <c r="D75" s="84"/>
      <c r="E75" s="49">
        <v>32</v>
      </c>
      <c r="F75" s="13">
        <v>32</v>
      </c>
      <c r="G75" s="13">
        <v>38</v>
      </c>
      <c r="H75" s="13">
        <v>16</v>
      </c>
      <c r="I75" s="49">
        <v>23</v>
      </c>
      <c r="J75" s="65">
        <v>22</v>
      </c>
      <c r="K75" s="84"/>
      <c r="L75" s="101">
        <v>206</v>
      </c>
    </row>
    <row r="76" spans="1:12" x14ac:dyDescent="0.15">
      <c r="A76" s="16" t="s">
        <v>77</v>
      </c>
      <c r="B76" s="14">
        <v>1</v>
      </c>
      <c r="C76" s="66"/>
      <c r="D76" s="85"/>
      <c r="E76" s="50">
        <v>1</v>
      </c>
      <c r="F76" s="14"/>
      <c r="G76" s="14">
        <v>1</v>
      </c>
      <c r="H76" s="14">
        <v>1</v>
      </c>
      <c r="I76" s="50"/>
      <c r="J76" s="66">
        <v>2</v>
      </c>
      <c r="K76" s="85"/>
      <c r="L76" s="102"/>
    </row>
    <row r="77" spans="1:12" ht="14.25" thickBot="1" x14ac:dyDescent="0.2">
      <c r="A77" s="17" t="s">
        <v>78</v>
      </c>
      <c r="B77" s="18" t="s">
        <v>79</v>
      </c>
      <c r="C77" s="67" t="s">
        <v>79</v>
      </c>
      <c r="D77" s="86"/>
      <c r="E77" s="51" t="s">
        <v>79</v>
      </c>
      <c r="F77" s="18" t="s">
        <v>79</v>
      </c>
      <c r="G77" s="18" t="s">
        <v>79</v>
      </c>
      <c r="H77" s="18" t="s">
        <v>79</v>
      </c>
      <c r="I77" s="51" t="s">
        <v>79</v>
      </c>
      <c r="J77" s="67" t="s">
        <v>79</v>
      </c>
      <c r="K77" s="86"/>
      <c r="L77" s="10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791C-8044-4790-A3CD-1E964C43D2E3}">
  <sheetPr>
    <pageSetUpPr fitToPage="1"/>
  </sheetPr>
  <dimension ref="A1:AL77"/>
  <sheetViews>
    <sheetView tabSelected="1" zoomScale="80" zoomScaleNormal="80" workbookViewId="0">
      <selection activeCell="E33" sqref="E33"/>
    </sheetView>
  </sheetViews>
  <sheetFormatPr defaultRowHeight="13.5" x14ac:dyDescent="0.15"/>
  <cols>
    <col min="1" max="1" width="17.625" style="2" customWidth="1"/>
    <col min="2" max="12" width="12.62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6</v>
      </c>
      <c r="C3" s="52" t="s">
        <v>6</v>
      </c>
      <c r="D3" s="69" t="s">
        <v>85</v>
      </c>
      <c r="E3" s="36" t="s">
        <v>6</v>
      </c>
      <c r="F3" s="20" t="s">
        <v>6</v>
      </c>
      <c r="G3" s="20" t="s">
        <v>6</v>
      </c>
      <c r="H3" s="20" t="s">
        <v>6</v>
      </c>
      <c r="I3" s="36" t="s">
        <v>6</v>
      </c>
      <c r="J3" s="52" t="s">
        <v>6</v>
      </c>
      <c r="K3" s="69" t="s">
        <v>85</v>
      </c>
      <c r="L3" s="87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3">
        <v>1033</v>
      </c>
      <c r="D4" s="70"/>
      <c r="E4" s="37">
        <v>1011</v>
      </c>
      <c r="F4" s="22">
        <v>1025</v>
      </c>
      <c r="G4" s="22">
        <v>1030</v>
      </c>
      <c r="H4" s="22">
        <v>1052</v>
      </c>
      <c r="I4" s="37">
        <v>1054</v>
      </c>
      <c r="J4" s="53">
        <v>1060</v>
      </c>
      <c r="K4" s="70"/>
      <c r="L4" s="8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26</v>
      </c>
      <c r="C5" s="53" t="s">
        <v>82</v>
      </c>
      <c r="D5" s="71" t="s">
        <v>86</v>
      </c>
      <c r="E5" s="37" t="s">
        <v>7</v>
      </c>
      <c r="F5" s="22" t="s">
        <v>25</v>
      </c>
      <c r="G5" s="22" t="s">
        <v>27</v>
      </c>
      <c r="H5" s="22" t="s">
        <v>28</v>
      </c>
      <c r="I5" s="37" t="s">
        <v>80</v>
      </c>
      <c r="J5" s="53" t="s">
        <v>81</v>
      </c>
      <c r="K5" s="71" t="s">
        <v>87</v>
      </c>
      <c r="L5" s="89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24</v>
      </c>
      <c r="C6" s="54">
        <v>11</v>
      </c>
      <c r="D6" s="72">
        <f>SUM(B6:C6)</f>
        <v>35</v>
      </c>
      <c r="E6" s="38">
        <v>21</v>
      </c>
      <c r="F6" s="24">
        <v>21</v>
      </c>
      <c r="G6" s="24">
        <v>22</v>
      </c>
      <c r="H6" s="24">
        <v>21</v>
      </c>
      <c r="I6" s="38">
        <v>24</v>
      </c>
      <c r="J6" s="54">
        <v>24</v>
      </c>
      <c r="K6" s="72">
        <f>SUM(E6:J6)</f>
        <v>133</v>
      </c>
      <c r="L6" s="90">
        <v>168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10"/>
      <c r="C7" s="56"/>
      <c r="D7" s="73"/>
      <c r="E7" s="39">
        <v>2</v>
      </c>
      <c r="F7" s="9">
        <v>1</v>
      </c>
      <c r="G7" s="9">
        <v>1</v>
      </c>
      <c r="H7" s="9">
        <v>1</v>
      </c>
      <c r="I7" s="39">
        <v>2</v>
      </c>
      <c r="J7" s="55">
        <v>2</v>
      </c>
      <c r="K7" s="74">
        <f>SUM(E7:J7)</f>
        <v>9</v>
      </c>
      <c r="L7" s="91">
        <v>9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10"/>
      <c r="C8" s="56"/>
      <c r="D8" s="73"/>
      <c r="E8" s="39">
        <v>1</v>
      </c>
      <c r="F8" s="10"/>
      <c r="G8" s="10"/>
      <c r="H8" s="10"/>
      <c r="I8" s="40"/>
      <c r="J8" s="55">
        <v>1</v>
      </c>
      <c r="K8" s="74">
        <f>SUM(E8:J8)</f>
        <v>2</v>
      </c>
      <c r="L8" s="91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56"/>
      <c r="D9" s="73"/>
      <c r="E9" s="40"/>
      <c r="F9" s="10"/>
      <c r="G9" s="10"/>
      <c r="H9" s="10"/>
      <c r="I9" s="40"/>
      <c r="J9" s="56"/>
      <c r="K9" s="78"/>
      <c r="L9" s="9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10"/>
      <c r="C10" s="55">
        <v>1</v>
      </c>
      <c r="D10" s="74">
        <f>SUM(B10:C10)</f>
        <v>1</v>
      </c>
      <c r="E10" s="40"/>
      <c r="F10" s="10"/>
      <c r="G10" s="9">
        <v>1</v>
      </c>
      <c r="H10" s="10"/>
      <c r="I10" s="40"/>
      <c r="J10" s="56"/>
      <c r="K10" s="74">
        <f>SUM(E10:J10)</f>
        <v>1</v>
      </c>
      <c r="L10" s="91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56"/>
      <c r="D11" s="73"/>
      <c r="E11" s="40"/>
      <c r="F11" s="10"/>
      <c r="G11" s="10"/>
      <c r="H11" s="10"/>
      <c r="I11" s="40"/>
      <c r="J11" s="56"/>
      <c r="K11" s="78"/>
      <c r="L11" s="9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04" t="s">
        <v>14</v>
      </c>
      <c r="B12" s="105"/>
      <c r="C12" s="106"/>
      <c r="D12" s="107"/>
      <c r="E12" s="108">
        <v>3</v>
      </c>
      <c r="F12" s="109">
        <v>3</v>
      </c>
      <c r="G12" s="109">
        <v>1</v>
      </c>
      <c r="H12" s="109">
        <v>3</v>
      </c>
      <c r="I12" s="110"/>
      <c r="J12" s="106"/>
      <c r="K12" s="111">
        <f>SUM(E12:J12)</f>
        <v>10</v>
      </c>
      <c r="L12" s="112">
        <v>10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57">
        <v>3.1666666666666665</v>
      </c>
      <c r="D13" s="75">
        <f>SUM(B13:C13)</f>
        <v>3.1666666666666665</v>
      </c>
      <c r="E13" s="40"/>
      <c r="F13" s="10"/>
      <c r="G13" s="10"/>
      <c r="H13" s="10"/>
      <c r="I13" s="40"/>
      <c r="J13" s="56"/>
      <c r="K13" s="78"/>
      <c r="L13" s="93">
        <v>3.1666666666666665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56"/>
      <c r="D14" s="73"/>
      <c r="E14" s="41">
        <v>2.0833333333333335</v>
      </c>
      <c r="F14" s="11">
        <v>2</v>
      </c>
      <c r="G14" s="11">
        <v>0.66666666666666663</v>
      </c>
      <c r="H14" s="11">
        <v>2.2916666666666665</v>
      </c>
      <c r="I14" s="41">
        <v>1.875</v>
      </c>
      <c r="J14" s="57">
        <v>1.7916666666666667</v>
      </c>
      <c r="K14" s="75">
        <f>SUM(E14:J14)</f>
        <v>10.708333333333334</v>
      </c>
      <c r="L14" s="93">
        <v>10.708333333333334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56"/>
      <c r="D15" s="73"/>
      <c r="E15" s="41">
        <v>0.70833333333333337</v>
      </c>
      <c r="F15" s="11">
        <v>0.16666666666666666</v>
      </c>
      <c r="G15" s="11">
        <v>0.16666666666666666</v>
      </c>
      <c r="H15" s="11">
        <v>0.16666666666666666</v>
      </c>
      <c r="I15" s="41">
        <v>0.45833333333333331</v>
      </c>
      <c r="J15" s="57">
        <v>0.70833333333333337</v>
      </c>
      <c r="K15" s="75">
        <f t="shared" ref="K15:K16" si="0">SUM(E15:J15)</f>
        <v>2.375</v>
      </c>
      <c r="L15" s="93">
        <v>2.375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56"/>
      <c r="D16" s="73"/>
      <c r="E16" s="41">
        <v>0.33333333333333331</v>
      </c>
      <c r="F16" s="10"/>
      <c r="G16" s="10"/>
      <c r="H16" s="10"/>
      <c r="I16" s="40"/>
      <c r="J16" s="57">
        <v>0.20833333333333334</v>
      </c>
      <c r="K16" s="75">
        <f t="shared" si="0"/>
        <v>0.54166666666666663</v>
      </c>
      <c r="L16" s="93">
        <v>0.54166666666666663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56"/>
      <c r="D17" s="73"/>
      <c r="E17" s="40"/>
      <c r="F17" s="10"/>
      <c r="G17" s="10"/>
      <c r="H17" s="10"/>
      <c r="I17" s="40"/>
      <c r="J17" s="56"/>
      <c r="K17" s="78"/>
      <c r="L17" s="9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56"/>
      <c r="D18" s="73"/>
      <c r="E18" s="40"/>
      <c r="F18" s="10"/>
      <c r="G18" s="10"/>
      <c r="H18" s="10"/>
      <c r="I18" s="40"/>
      <c r="J18" s="56"/>
      <c r="K18" s="78"/>
      <c r="L18" s="9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56"/>
      <c r="D19" s="73"/>
      <c r="E19" s="40"/>
      <c r="F19" s="10"/>
      <c r="G19" s="10"/>
      <c r="H19" s="10"/>
      <c r="I19" s="40"/>
      <c r="J19" s="56"/>
      <c r="K19" s="78"/>
      <c r="L19" s="9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56"/>
      <c r="D20" s="73"/>
      <c r="E20" s="40"/>
      <c r="F20" s="10"/>
      <c r="G20" s="10"/>
      <c r="H20" s="10"/>
      <c r="I20" s="40"/>
      <c r="J20" s="56"/>
      <c r="K20" s="78"/>
      <c r="L20" s="9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57">
        <v>0.29166666666666669</v>
      </c>
      <c r="D21" s="75">
        <f>SUM(B21:C21)</f>
        <v>0.29166666666666669</v>
      </c>
      <c r="E21" s="40"/>
      <c r="F21" s="10"/>
      <c r="G21" s="10"/>
      <c r="H21" s="10"/>
      <c r="I21" s="40"/>
      <c r="J21" s="56"/>
      <c r="K21" s="78"/>
      <c r="L21" s="93">
        <v>0.29166666666666669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24</v>
      </c>
      <c r="B22" s="27"/>
      <c r="C22" s="68"/>
      <c r="D22" s="76"/>
      <c r="E22" s="42">
        <v>0.625</v>
      </c>
      <c r="F22" s="26">
        <v>0.79166666666666663</v>
      </c>
      <c r="G22" s="26">
        <v>4.1666666666666664E-2</v>
      </c>
      <c r="H22" s="26">
        <v>0.83333333333333337</v>
      </c>
      <c r="I22" s="42">
        <v>0.375</v>
      </c>
      <c r="J22" s="58">
        <v>0.20833333333333334</v>
      </c>
      <c r="K22" s="75">
        <f t="shared" ref="K22" si="1">SUM(E22:J22)</f>
        <v>2.875</v>
      </c>
      <c r="L22" s="94">
        <v>2.875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29</v>
      </c>
      <c r="B23" s="28">
        <v>355000</v>
      </c>
      <c r="C23" s="59">
        <v>0</v>
      </c>
      <c r="D23" s="77">
        <f>SUM(B23:C23)</f>
        <v>355000</v>
      </c>
      <c r="E23" s="43">
        <v>177000</v>
      </c>
      <c r="F23" s="28">
        <v>192000</v>
      </c>
      <c r="G23" s="28">
        <v>177000</v>
      </c>
      <c r="H23" s="28">
        <v>175000</v>
      </c>
      <c r="I23" s="43">
        <v>177000</v>
      </c>
      <c r="J23" s="59">
        <v>165000</v>
      </c>
      <c r="K23" s="77">
        <f>SUM(E23:J23)</f>
        <v>1063000</v>
      </c>
      <c r="L23" s="95">
        <v>1418000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30</v>
      </c>
      <c r="B24" s="10">
        <v>0</v>
      </c>
      <c r="C24" s="56">
        <v>0</v>
      </c>
      <c r="D24" s="78">
        <f t="shared" ref="D24:D74" si="2">SUM(B24:C24)</f>
        <v>0</v>
      </c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6">
        <v>0</v>
      </c>
      <c r="K24" s="78">
        <f t="shared" ref="K24:K74" si="3">SUM(E24:J24)</f>
        <v>5000</v>
      </c>
      <c r="L24" s="9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31</v>
      </c>
      <c r="B25" s="10">
        <v>0</v>
      </c>
      <c r="C25" s="56">
        <v>0</v>
      </c>
      <c r="D25" s="78">
        <f t="shared" si="2"/>
        <v>0</v>
      </c>
      <c r="E25" s="40">
        <v>6000</v>
      </c>
      <c r="F25" s="10">
        <v>0</v>
      </c>
      <c r="G25" s="10">
        <v>3000</v>
      </c>
      <c r="H25" s="10">
        <v>0</v>
      </c>
      <c r="I25" s="40">
        <v>0</v>
      </c>
      <c r="J25" s="56">
        <v>0</v>
      </c>
      <c r="K25" s="78">
        <f t="shared" si="3"/>
        <v>9000</v>
      </c>
      <c r="L25" s="92">
        <v>9000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32</v>
      </c>
      <c r="B26" s="10">
        <v>50000</v>
      </c>
      <c r="C26" s="56">
        <v>0</v>
      </c>
      <c r="D26" s="78">
        <f t="shared" si="2"/>
        <v>50000</v>
      </c>
      <c r="E26" s="40">
        <v>50000</v>
      </c>
      <c r="F26" s="10">
        <v>50000</v>
      </c>
      <c r="G26" s="10">
        <v>50000</v>
      </c>
      <c r="H26" s="10">
        <v>50000</v>
      </c>
      <c r="I26" s="40">
        <v>50000</v>
      </c>
      <c r="J26" s="56">
        <v>50000</v>
      </c>
      <c r="K26" s="78">
        <f t="shared" si="3"/>
        <v>300000</v>
      </c>
      <c r="L26" s="92">
        <v>350000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33</v>
      </c>
      <c r="B27" s="10">
        <v>0</v>
      </c>
      <c r="C27" s="56">
        <v>0</v>
      </c>
      <c r="D27" s="78">
        <f t="shared" si="2"/>
        <v>0</v>
      </c>
      <c r="E27" s="40">
        <v>0</v>
      </c>
      <c r="F27" s="10">
        <v>0</v>
      </c>
      <c r="G27" s="10">
        <v>0</v>
      </c>
      <c r="H27" s="10">
        <v>0</v>
      </c>
      <c r="I27" s="40">
        <v>0</v>
      </c>
      <c r="J27" s="56">
        <v>0</v>
      </c>
      <c r="K27" s="78">
        <f t="shared" si="3"/>
        <v>0</v>
      </c>
      <c r="L27" s="92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34</v>
      </c>
      <c r="B28" s="10">
        <v>0</v>
      </c>
      <c r="C28" s="56">
        <v>0</v>
      </c>
      <c r="D28" s="78">
        <f t="shared" si="2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6">
        <v>0</v>
      </c>
      <c r="K28" s="78">
        <f t="shared" si="3"/>
        <v>0</v>
      </c>
      <c r="L28" s="9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35</v>
      </c>
      <c r="B29" s="10">
        <v>0</v>
      </c>
      <c r="C29" s="56">
        <v>0</v>
      </c>
      <c r="D29" s="78">
        <f t="shared" si="2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78">
        <f t="shared" si="3"/>
        <v>0</v>
      </c>
      <c r="L29" s="9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36</v>
      </c>
      <c r="B30" s="10">
        <v>0</v>
      </c>
      <c r="C30" s="56">
        <v>0</v>
      </c>
      <c r="D30" s="78">
        <f t="shared" si="2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78">
        <f t="shared" si="3"/>
        <v>0</v>
      </c>
      <c r="L30" s="9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37</v>
      </c>
      <c r="B31" s="10">
        <v>0</v>
      </c>
      <c r="C31" s="56">
        <v>83980</v>
      </c>
      <c r="D31" s="78">
        <f t="shared" si="2"/>
        <v>83980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78">
        <f t="shared" si="3"/>
        <v>0</v>
      </c>
      <c r="L31" s="92">
        <v>83980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38</v>
      </c>
      <c r="B32" s="10">
        <v>0</v>
      </c>
      <c r="C32" s="56">
        <v>0</v>
      </c>
      <c r="D32" s="78">
        <f t="shared" si="2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78">
        <f t="shared" si="3"/>
        <v>0</v>
      </c>
      <c r="L32" s="9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39</v>
      </c>
      <c r="B33" s="10">
        <v>0</v>
      </c>
      <c r="C33" s="56">
        <v>0</v>
      </c>
      <c r="D33" s="78">
        <f t="shared" si="2"/>
        <v>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6">
        <v>0</v>
      </c>
      <c r="K33" s="78">
        <f t="shared" si="3"/>
        <v>0</v>
      </c>
      <c r="L33" s="9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40</v>
      </c>
      <c r="B34" s="10">
        <v>0</v>
      </c>
      <c r="C34" s="56">
        <v>7735</v>
      </c>
      <c r="D34" s="78">
        <f t="shared" si="2"/>
        <v>7735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78">
        <f t="shared" si="3"/>
        <v>0</v>
      </c>
      <c r="L34" s="92">
        <v>7735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41</v>
      </c>
      <c r="B35" s="10">
        <v>0</v>
      </c>
      <c r="C35" s="56">
        <v>0</v>
      </c>
      <c r="D35" s="78">
        <f t="shared" si="2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78">
        <f t="shared" si="3"/>
        <v>0</v>
      </c>
      <c r="L35" s="9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42</v>
      </c>
      <c r="B36" s="10">
        <v>0</v>
      </c>
      <c r="C36" s="56">
        <v>0</v>
      </c>
      <c r="D36" s="78">
        <f t="shared" si="2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78">
        <f t="shared" si="3"/>
        <v>0</v>
      </c>
      <c r="L36" s="9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43</v>
      </c>
      <c r="B37" s="10">
        <v>0</v>
      </c>
      <c r="C37" s="56">
        <v>0</v>
      </c>
      <c r="D37" s="78">
        <f t="shared" si="2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78">
        <f t="shared" si="3"/>
        <v>0</v>
      </c>
      <c r="L37" s="9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44</v>
      </c>
      <c r="B38" s="10">
        <v>0</v>
      </c>
      <c r="C38" s="56">
        <v>0</v>
      </c>
      <c r="D38" s="78">
        <f t="shared" si="2"/>
        <v>0</v>
      </c>
      <c r="E38" s="40">
        <v>30500</v>
      </c>
      <c r="F38" s="10">
        <v>10500</v>
      </c>
      <c r="G38" s="10">
        <v>13500</v>
      </c>
      <c r="H38" s="10">
        <v>15000</v>
      </c>
      <c r="I38" s="40">
        <v>13000</v>
      </c>
      <c r="J38" s="56">
        <v>15000</v>
      </c>
      <c r="K38" s="78">
        <f t="shared" si="3"/>
        <v>97500</v>
      </c>
      <c r="L38" s="92">
        <v>97500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45</v>
      </c>
      <c r="B39" s="10">
        <v>0</v>
      </c>
      <c r="C39" s="56">
        <v>0</v>
      </c>
      <c r="D39" s="78">
        <f t="shared" si="2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78">
        <f t="shared" si="3"/>
        <v>0</v>
      </c>
      <c r="L39" s="9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46</v>
      </c>
      <c r="B40" s="10">
        <v>0</v>
      </c>
      <c r="C40" s="56">
        <v>0</v>
      </c>
      <c r="D40" s="78">
        <f t="shared" si="2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6">
        <v>0</v>
      </c>
      <c r="K40" s="78">
        <f t="shared" si="3"/>
        <v>0</v>
      </c>
      <c r="L40" s="9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47</v>
      </c>
      <c r="B41" s="10">
        <v>0</v>
      </c>
      <c r="C41" s="56">
        <v>0</v>
      </c>
      <c r="D41" s="78">
        <f t="shared" si="2"/>
        <v>0</v>
      </c>
      <c r="E41" s="40">
        <v>-37821</v>
      </c>
      <c r="F41" s="10">
        <v>-36960</v>
      </c>
      <c r="G41" s="10">
        <v>-11650</v>
      </c>
      <c r="H41" s="10">
        <v>-34449</v>
      </c>
      <c r="I41" s="40">
        <v>0</v>
      </c>
      <c r="J41" s="56">
        <v>0</v>
      </c>
      <c r="K41" s="78">
        <f t="shared" si="3"/>
        <v>-120880</v>
      </c>
      <c r="L41" s="92">
        <v>-120880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48</v>
      </c>
      <c r="B42" s="10">
        <v>0</v>
      </c>
      <c r="C42" s="56">
        <v>0</v>
      </c>
      <c r="D42" s="78">
        <f t="shared" si="2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78">
        <f t="shared" si="3"/>
        <v>0</v>
      </c>
      <c r="L42" s="9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56">
        <v>0</v>
      </c>
      <c r="D43" s="78">
        <f t="shared" si="2"/>
        <v>0</v>
      </c>
      <c r="E43" s="40">
        <v>98650</v>
      </c>
      <c r="F43" s="10">
        <v>92544</v>
      </c>
      <c r="G43" s="10">
        <v>29168</v>
      </c>
      <c r="H43" s="10">
        <v>98780</v>
      </c>
      <c r="I43" s="40">
        <v>80820</v>
      </c>
      <c r="J43" s="56">
        <v>74003</v>
      </c>
      <c r="K43" s="78">
        <f t="shared" si="3"/>
        <v>473965</v>
      </c>
      <c r="L43" s="92">
        <v>473965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56">
        <v>0</v>
      </c>
      <c r="D44" s="78">
        <f t="shared" si="2"/>
        <v>0</v>
      </c>
      <c r="E44" s="40">
        <v>36210</v>
      </c>
      <c r="F44" s="10">
        <v>8328</v>
      </c>
      <c r="G44" s="10">
        <v>7872</v>
      </c>
      <c r="H44" s="10">
        <v>7760</v>
      </c>
      <c r="I44" s="40">
        <v>21340</v>
      </c>
      <c r="J44" s="56">
        <v>31603</v>
      </c>
      <c r="K44" s="78">
        <f t="shared" si="3"/>
        <v>113113</v>
      </c>
      <c r="L44" s="92">
        <v>113113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56">
        <v>0</v>
      </c>
      <c r="D45" s="78">
        <f t="shared" si="2"/>
        <v>0</v>
      </c>
      <c r="E45" s="40">
        <v>17040</v>
      </c>
      <c r="F45" s="10">
        <v>0</v>
      </c>
      <c r="G45" s="10">
        <v>0</v>
      </c>
      <c r="H45" s="10">
        <v>0</v>
      </c>
      <c r="I45" s="40">
        <v>0</v>
      </c>
      <c r="J45" s="56">
        <v>9295</v>
      </c>
      <c r="K45" s="78">
        <f t="shared" si="3"/>
        <v>26335</v>
      </c>
      <c r="L45" s="92">
        <v>26335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6">
        <v>0</v>
      </c>
      <c r="D46" s="78">
        <f t="shared" si="2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6">
        <v>0</v>
      </c>
      <c r="K46" s="78">
        <f t="shared" si="3"/>
        <v>0</v>
      </c>
      <c r="L46" s="9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04" t="s">
        <v>50</v>
      </c>
      <c r="B47" s="105">
        <v>0</v>
      </c>
      <c r="C47" s="106">
        <v>0</v>
      </c>
      <c r="D47" s="113">
        <f t="shared" si="2"/>
        <v>0</v>
      </c>
      <c r="E47" s="110">
        <v>37821</v>
      </c>
      <c r="F47" s="105">
        <v>36960</v>
      </c>
      <c r="G47" s="105">
        <v>11650</v>
      </c>
      <c r="H47" s="105">
        <v>34449</v>
      </c>
      <c r="I47" s="110">
        <v>0</v>
      </c>
      <c r="J47" s="106">
        <v>0</v>
      </c>
      <c r="K47" s="113">
        <f t="shared" si="3"/>
        <v>120880</v>
      </c>
      <c r="L47" s="114">
        <v>120880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20</v>
      </c>
      <c r="B48" s="10">
        <v>0</v>
      </c>
      <c r="C48" s="56">
        <v>0</v>
      </c>
      <c r="D48" s="78">
        <f t="shared" si="2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78">
        <f t="shared" si="3"/>
        <v>0</v>
      </c>
      <c r="L48" s="9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51</v>
      </c>
      <c r="B49" s="12">
        <v>0</v>
      </c>
      <c r="C49" s="60">
        <v>0</v>
      </c>
      <c r="D49" s="79">
        <f t="shared" si="2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79">
        <f t="shared" si="3"/>
        <v>0</v>
      </c>
      <c r="L49" s="9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24</v>
      </c>
      <c r="B50" s="12">
        <v>0</v>
      </c>
      <c r="C50" s="60">
        <v>0</v>
      </c>
      <c r="D50" s="79">
        <f t="shared" si="2"/>
        <v>0</v>
      </c>
      <c r="E50" s="44">
        <v>5925</v>
      </c>
      <c r="F50" s="12">
        <v>7334</v>
      </c>
      <c r="G50" s="12">
        <v>365</v>
      </c>
      <c r="H50" s="12">
        <v>7180</v>
      </c>
      <c r="I50" s="44">
        <v>3231</v>
      </c>
      <c r="J50" s="60">
        <v>1720</v>
      </c>
      <c r="K50" s="79">
        <f t="shared" si="3"/>
        <v>25755</v>
      </c>
      <c r="L50" s="96">
        <v>25755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52</v>
      </c>
      <c r="B51" s="31">
        <v>405000</v>
      </c>
      <c r="C51" s="61">
        <v>91715</v>
      </c>
      <c r="D51" s="80">
        <f t="shared" si="2"/>
        <v>496715</v>
      </c>
      <c r="E51" s="45">
        <v>421325</v>
      </c>
      <c r="F51" s="31">
        <v>365706</v>
      </c>
      <c r="G51" s="31">
        <v>280905</v>
      </c>
      <c r="H51" s="31">
        <v>353720</v>
      </c>
      <c r="I51" s="45">
        <v>345391</v>
      </c>
      <c r="J51" s="61">
        <v>346621</v>
      </c>
      <c r="K51" s="80">
        <f t="shared" si="3"/>
        <v>2113668</v>
      </c>
      <c r="L51" s="97">
        <v>2610383</v>
      </c>
      <c r="M51" s="6"/>
      <c r="N51" s="6"/>
      <c r="O51" s="6"/>
      <c r="P51" s="6"/>
      <c r="Q51" s="6"/>
      <c r="R51" s="6"/>
      <c r="S51" s="6"/>
    </row>
    <row r="52" spans="1:19" x14ac:dyDescent="0.15">
      <c r="A52" s="29" t="s">
        <v>53</v>
      </c>
      <c r="B52" s="30">
        <v>10777</v>
      </c>
      <c r="C52" s="62">
        <v>3600</v>
      </c>
      <c r="D52" s="81">
        <f t="shared" si="2"/>
        <v>14377</v>
      </c>
      <c r="E52" s="46">
        <v>5155</v>
      </c>
      <c r="F52" s="30">
        <v>4296</v>
      </c>
      <c r="G52" s="30">
        <v>7275</v>
      </c>
      <c r="H52" s="30">
        <v>3915</v>
      </c>
      <c r="I52" s="46">
        <v>3554</v>
      </c>
      <c r="J52" s="62">
        <v>5272</v>
      </c>
      <c r="K52" s="81">
        <f t="shared" si="3"/>
        <v>29467</v>
      </c>
      <c r="L52" s="98">
        <v>43844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2" t="s">
        <v>54</v>
      </c>
      <c r="B53" s="33">
        <v>10777</v>
      </c>
      <c r="C53" s="63">
        <v>3600</v>
      </c>
      <c r="D53" s="82">
        <f t="shared" si="2"/>
        <v>14377</v>
      </c>
      <c r="E53" s="47">
        <v>5155</v>
      </c>
      <c r="F53" s="33">
        <v>4296</v>
      </c>
      <c r="G53" s="33">
        <v>7275</v>
      </c>
      <c r="H53" s="33">
        <v>3915</v>
      </c>
      <c r="I53" s="47">
        <v>3554</v>
      </c>
      <c r="J53" s="63">
        <v>5272</v>
      </c>
      <c r="K53" s="82">
        <f t="shared" si="3"/>
        <v>29467</v>
      </c>
      <c r="L53" s="99">
        <v>43844</v>
      </c>
    </row>
    <row r="54" spans="1:19" ht="14.25" thickBot="1" x14ac:dyDescent="0.2">
      <c r="A54" s="34" t="s">
        <v>55</v>
      </c>
      <c r="B54" s="35">
        <v>415777</v>
      </c>
      <c r="C54" s="64">
        <v>95315</v>
      </c>
      <c r="D54" s="83">
        <f t="shared" si="2"/>
        <v>511092</v>
      </c>
      <c r="E54" s="48">
        <v>426480</v>
      </c>
      <c r="F54" s="35">
        <v>370002</v>
      </c>
      <c r="G54" s="35">
        <v>288180</v>
      </c>
      <c r="H54" s="35">
        <v>357635</v>
      </c>
      <c r="I54" s="48">
        <v>348945</v>
      </c>
      <c r="J54" s="64">
        <v>351893</v>
      </c>
      <c r="K54" s="83">
        <f t="shared" si="3"/>
        <v>2143135</v>
      </c>
      <c r="L54" s="100">
        <v>2654227</v>
      </c>
    </row>
    <row r="55" spans="1:19" x14ac:dyDescent="0.15">
      <c r="A55" s="29" t="s">
        <v>56</v>
      </c>
      <c r="B55" s="30">
        <v>20910</v>
      </c>
      <c r="C55" s="62">
        <v>0</v>
      </c>
      <c r="D55" s="81">
        <f t="shared" si="2"/>
        <v>20910</v>
      </c>
      <c r="E55" s="46">
        <v>20910</v>
      </c>
      <c r="F55" s="30">
        <v>19380</v>
      </c>
      <c r="G55" s="30">
        <v>18360</v>
      </c>
      <c r="H55" s="30">
        <v>18360</v>
      </c>
      <c r="I55" s="46">
        <v>19380</v>
      </c>
      <c r="J55" s="62">
        <v>19380</v>
      </c>
      <c r="K55" s="81">
        <f t="shared" si="3"/>
        <v>115770</v>
      </c>
      <c r="L55" s="98">
        <v>136680</v>
      </c>
    </row>
    <row r="56" spans="1:19" x14ac:dyDescent="0.15">
      <c r="A56" s="16" t="s">
        <v>57</v>
      </c>
      <c r="B56" s="12">
        <v>3690</v>
      </c>
      <c r="C56" s="60">
        <v>0</v>
      </c>
      <c r="D56" s="79">
        <f t="shared" si="2"/>
        <v>3690</v>
      </c>
      <c r="E56" s="44">
        <v>3690</v>
      </c>
      <c r="F56" s="12">
        <v>3420</v>
      </c>
      <c r="G56" s="12">
        <v>3240</v>
      </c>
      <c r="H56" s="12">
        <v>3240</v>
      </c>
      <c r="I56" s="44">
        <v>3420</v>
      </c>
      <c r="J56" s="60">
        <v>3420</v>
      </c>
      <c r="K56" s="79">
        <f t="shared" si="3"/>
        <v>20430</v>
      </c>
      <c r="L56" s="96">
        <v>24120</v>
      </c>
    </row>
    <row r="57" spans="1:19" x14ac:dyDescent="0.15">
      <c r="A57" s="16" t="s">
        <v>58</v>
      </c>
      <c r="B57" s="12">
        <v>37515</v>
      </c>
      <c r="C57" s="60">
        <v>0</v>
      </c>
      <c r="D57" s="79">
        <f t="shared" si="2"/>
        <v>37515</v>
      </c>
      <c r="E57" s="44">
        <v>37515</v>
      </c>
      <c r="F57" s="12">
        <v>34770</v>
      </c>
      <c r="G57" s="12">
        <v>32940</v>
      </c>
      <c r="H57" s="12">
        <v>32940</v>
      </c>
      <c r="I57" s="44">
        <v>34770</v>
      </c>
      <c r="J57" s="60">
        <v>34770</v>
      </c>
      <c r="K57" s="79">
        <f t="shared" si="3"/>
        <v>207705</v>
      </c>
      <c r="L57" s="96">
        <v>245220</v>
      </c>
    </row>
    <row r="58" spans="1:19" x14ac:dyDescent="0.15">
      <c r="A58" s="16" t="s">
        <v>59</v>
      </c>
      <c r="B58" s="12">
        <v>0</v>
      </c>
      <c r="C58" s="60">
        <v>0</v>
      </c>
      <c r="D58" s="79">
        <f t="shared" si="2"/>
        <v>0</v>
      </c>
      <c r="E58" s="44">
        <v>0</v>
      </c>
      <c r="F58" s="12">
        <v>0</v>
      </c>
      <c r="G58" s="12">
        <v>0</v>
      </c>
      <c r="H58" s="12">
        <v>0</v>
      </c>
      <c r="I58" s="44">
        <v>0</v>
      </c>
      <c r="J58" s="60">
        <v>0</v>
      </c>
      <c r="K58" s="79">
        <f t="shared" si="3"/>
        <v>0</v>
      </c>
      <c r="L58" s="96">
        <v>0</v>
      </c>
    </row>
    <row r="59" spans="1:19" x14ac:dyDescent="0.15">
      <c r="A59" s="16" t="s">
        <v>60</v>
      </c>
      <c r="B59" s="12">
        <v>1247</v>
      </c>
      <c r="C59" s="60">
        <v>286</v>
      </c>
      <c r="D59" s="79">
        <f t="shared" si="2"/>
        <v>1533</v>
      </c>
      <c r="E59" s="44">
        <v>1279</v>
      </c>
      <c r="F59" s="12">
        <v>1110</v>
      </c>
      <c r="G59" s="12">
        <v>865</v>
      </c>
      <c r="H59" s="12">
        <v>1073</v>
      </c>
      <c r="I59" s="44">
        <v>1047</v>
      </c>
      <c r="J59" s="60">
        <v>1056</v>
      </c>
      <c r="K59" s="79">
        <f t="shared" si="3"/>
        <v>6430</v>
      </c>
      <c r="L59" s="96">
        <v>7963</v>
      </c>
    </row>
    <row r="60" spans="1:19" x14ac:dyDescent="0.15">
      <c r="A60" s="16" t="s">
        <v>61</v>
      </c>
      <c r="B60" s="12">
        <v>0</v>
      </c>
      <c r="C60" s="60">
        <v>0</v>
      </c>
      <c r="D60" s="79">
        <f t="shared" si="2"/>
        <v>0</v>
      </c>
      <c r="E60" s="44">
        <v>0</v>
      </c>
      <c r="F60" s="12">
        <v>0</v>
      </c>
      <c r="G60" s="12">
        <v>0</v>
      </c>
      <c r="H60" s="12">
        <v>0</v>
      </c>
      <c r="I60" s="44">
        <v>0</v>
      </c>
      <c r="J60" s="60">
        <v>0</v>
      </c>
      <c r="K60" s="79">
        <f t="shared" si="3"/>
        <v>0</v>
      </c>
      <c r="L60" s="96">
        <v>0</v>
      </c>
    </row>
    <row r="61" spans="1:19" ht="14.25" thickBot="1" x14ac:dyDescent="0.2">
      <c r="A61" s="32" t="s">
        <v>62</v>
      </c>
      <c r="B61" s="33">
        <v>63362</v>
      </c>
      <c r="C61" s="63">
        <v>286</v>
      </c>
      <c r="D61" s="82">
        <f t="shared" si="2"/>
        <v>63648</v>
      </c>
      <c r="E61" s="47">
        <v>63394</v>
      </c>
      <c r="F61" s="33">
        <v>58680</v>
      </c>
      <c r="G61" s="33">
        <v>55405</v>
      </c>
      <c r="H61" s="33">
        <v>55613</v>
      </c>
      <c r="I61" s="47">
        <v>58617</v>
      </c>
      <c r="J61" s="63">
        <v>58626</v>
      </c>
      <c r="K61" s="82">
        <f t="shared" si="3"/>
        <v>350335</v>
      </c>
      <c r="L61" s="99">
        <v>413983</v>
      </c>
    </row>
    <row r="62" spans="1:19" ht="14.25" thickBot="1" x14ac:dyDescent="0.2">
      <c r="A62" s="34" t="s">
        <v>63</v>
      </c>
      <c r="B62" s="35">
        <v>341638</v>
      </c>
      <c r="C62" s="64">
        <v>91429</v>
      </c>
      <c r="D62" s="83">
        <f t="shared" si="2"/>
        <v>433067</v>
      </c>
      <c r="E62" s="48">
        <v>357931</v>
      </c>
      <c r="F62" s="35">
        <v>307026</v>
      </c>
      <c r="G62" s="35">
        <v>225500</v>
      </c>
      <c r="H62" s="35">
        <v>298107</v>
      </c>
      <c r="I62" s="48">
        <v>286774</v>
      </c>
      <c r="J62" s="64">
        <v>287995</v>
      </c>
      <c r="K62" s="83">
        <f t="shared" si="3"/>
        <v>1763333</v>
      </c>
      <c r="L62" s="100">
        <v>2196400</v>
      </c>
    </row>
    <row r="63" spans="1:19" x14ac:dyDescent="0.15">
      <c r="A63" s="29" t="s">
        <v>64</v>
      </c>
      <c r="B63" s="30">
        <v>8550</v>
      </c>
      <c r="C63" s="62">
        <v>290</v>
      </c>
      <c r="D63" s="81">
        <f t="shared" si="2"/>
        <v>8840</v>
      </c>
      <c r="E63" s="46">
        <v>9880</v>
      </c>
      <c r="F63" s="30">
        <v>8950</v>
      </c>
      <c r="G63" s="30">
        <v>4060</v>
      </c>
      <c r="H63" s="30">
        <v>6650</v>
      </c>
      <c r="I63" s="46">
        <v>7870</v>
      </c>
      <c r="J63" s="62">
        <v>4680</v>
      </c>
      <c r="K63" s="81">
        <f t="shared" si="3"/>
        <v>42090</v>
      </c>
      <c r="L63" s="98">
        <v>50930</v>
      </c>
    </row>
    <row r="64" spans="1:19" x14ac:dyDescent="0.15">
      <c r="A64" s="16" t="s">
        <v>65</v>
      </c>
      <c r="B64" s="12">
        <v>0</v>
      </c>
      <c r="C64" s="60">
        <v>0</v>
      </c>
      <c r="D64" s="79">
        <f t="shared" si="2"/>
        <v>0</v>
      </c>
      <c r="E64" s="44">
        <v>0</v>
      </c>
      <c r="F64" s="12">
        <v>0</v>
      </c>
      <c r="G64" s="12">
        <v>0</v>
      </c>
      <c r="H64" s="12">
        <v>0</v>
      </c>
      <c r="I64" s="44">
        <v>0</v>
      </c>
      <c r="J64" s="60">
        <v>0</v>
      </c>
      <c r="K64" s="79">
        <f t="shared" si="3"/>
        <v>0</v>
      </c>
      <c r="L64" s="96">
        <v>0</v>
      </c>
    </row>
    <row r="65" spans="1:12" x14ac:dyDescent="0.15">
      <c r="A65" s="16" t="s">
        <v>66</v>
      </c>
      <c r="B65" s="12">
        <v>26000</v>
      </c>
      <c r="C65" s="60">
        <v>1000</v>
      </c>
      <c r="D65" s="79">
        <f t="shared" si="2"/>
        <v>27000</v>
      </c>
      <c r="E65" s="44">
        <v>16300</v>
      </c>
      <c r="F65" s="12">
        <v>17400</v>
      </c>
      <c r="G65" s="12">
        <v>13500</v>
      </c>
      <c r="H65" s="12">
        <v>9500</v>
      </c>
      <c r="I65" s="44">
        <v>15800</v>
      </c>
      <c r="J65" s="60">
        <v>22200</v>
      </c>
      <c r="K65" s="79">
        <f t="shared" si="3"/>
        <v>94700</v>
      </c>
      <c r="L65" s="96">
        <v>121700</v>
      </c>
    </row>
    <row r="66" spans="1:12" x14ac:dyDescent="0.15">
      <c r="A66" s="16" t="s">
        <v>67</v>
      </c>
      <c r="B66" s="12">
        <v>0</v>
      </c>
      <c r="C66" s="60">
        <v>0</v>
      </c>
      <c r="D66" s="79">
        <f t="shared" si="2"/>
        <v>0</v>
      </c>
      <c r="E66" s="44">
        <v>0</v>
      </c>
      <c r="F66" s="12">
        <v>0</v>
      </c>
      <c r="G66" s="12">
        <v>0</v>
      </c>
      <c r="H66" s="12">
        <v>0</v>
      </c>
      <c r="I66" s="44">
        <v>0</v>
      </c>
      <c r="J66" s="60">
        <v>0</v>
      </c>
      <c r="K66" s="79">
        <f t="shared" si="3"/>
        <v>0</v>
      </c>
      <c r="L66" s="96">
        <v>0</v>
      </c>
    </row>
    <row r="67" spans="1:12" x14ac:dyDescent="0.15">
      <c r="A67" s="16" t="s">
        <v>68</v>
      </c>
      <c r="B67" s="12">
        <v>0</v>
      </c>
      <c r="C67" s="60">
        <v>0</v>
      </c>
      <c r="D67" s="79">
        <f t="shared" si="2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60">
        <v>0</v>
      </c>
      <c r="K67" s="79">
        <f t="shared" si="3"/>
        <v>0</v>
      </c>
      <c r="L67" s="96">
        <v>0</v>
      </c>
    </row>
    <row r="68" spans="1:12" x14ac:dyDescent="0.15">
      <c r="A68" s="16" t="s">
        <v>69</v>
      </c>
      <c r="B68" s="12">
        <v>0</v>
      </c>
      <c r="C68" s="60">
        <v>0</v>
      </c>
      <c r="D68" s="79">
        <f t="shared" si="2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79">
        <f t="shared" si="3"/>
        <v>0</v>
      </c>
      <c r="L68" s="96">
        <v>0</v>
      </c>
    </row>
    <row r="69" spans="1:12" x14ac:dyDescent="0.15">
      <c r="A69" s="16" t="s">
        <v>70</v>
      </c>
      <c r="B69" s="12">
        <v>0</v>
      </c>
      <c r="C69" s="60">
        <v>0</v>
      </c>
      <c r="D69" s="79">
        <f t="shared" si="2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60">
        <v>0</v>
      </c>
      <c r="K69" s="79">
        <f t="shared" si="3"/>
        <v>0</v>
      </c>
      <c r="L69" s="96">
        <v>0</v>
      </c>
    </row>
    <row r="70" spans="1:12" ht="14.25" thickBot="1" x14ac:dyDescent="0.2">
      <c r="A70" s="32" t="s">
        <v>71</v>
      </c>
      <c r="B70" s="33">
        <v>34550</v>
      </c>
      <c r="C70" s="63">
        <v>1290</v>
      </c>
      <c r="D70" s="82">
        <f t="shared" si="2"/>
        <v>35840</v>
      </c>
      <c r="E70" s="47">
        <v>26180</v>
      </c>
      <c r="F70" s="33">
        <v>26350</v>
      </c>
      <c r="G70" s="33">
        <v>17560</v>
      </c>
      <c r="H70" s="33">
        <v>16150</v>
      </c>
      <c r="I70" s="47">
        <v>23670</v>
      </c>
      <c r="J70" s="63">
        <v>26880</v>
      </c>
      <c r="K70" s="82">
        <f t="shared" si="3"/>
        <v>136790</v>
      </c>
      <c r="L70" s="99">
        <v>172630</v>
      </c>
    </row>
    <row r="71" spans="1:12" ht="14.25" thickBot="1" x14ac:dyDescent="0.2">
      <c r="A71" s="34" t="s">
        <v>72</v>
      </c>
      <c r="B71" s="35">
        <v>97912</v>
      </c>
      <c r="C71" s="64">
        <v>1576</v>
      </c>
      <c r="D71" s="83">
        <f t="shared" si="2"/>
        <v>99488</v>
      </c>
      <c r="E71" s="48">
        <v>89574</v>
      </c>
      <c r="F71" s="35">
        <v>85030</v>
      </c>
      <c r="G71" s="35">
        <v>72965</v>
      </c>
      <c r="H71" s="35">
        <v>71763</v>
      </c>
      <c r="I71" s="48">
        <v>82287</v>
      </c>
      <c r="J71" s="64">
        <v>85506</v>
      </c>
      <c r="K71" s="83">
        <f t="shared" si="3"/>
        <v>487125</v>
      </c>
      <c r="L71" s="100">
        <v>586613</v>
      </c>
    </row>
    <row r="72" spans="1:12" ht="14.25" thickBot="1" x14ac:dyDescent="0.2">
      <c r="A72" s="34" t="s">
        <v>73</v>
      </c>
      <c r="B72" s="35">
        <v>317865</v>
      </c>
      <c r="C72" s="64">
        <v>93739</v>
      </c>
      <c r="D72" s="83">
        <f t="shared" si="2"/>
        <v>411604</v>
      </c>
      <c r="E72" s="48">
        <v>336906</v>
      </c>
      <c r="F72" s="35">
        <v>284972</v>
      </c>
      <c r="G72" s="35">
        <v>215215</v>
      </c>
      <c r="H72" s="35">
        <v>285872</v>
      </c>
      <c r="I72" s="48">
        <v>266658</v>
      </c>
      <c r="J72" s="64">
        <v>266387</v>
      </c>
      <c r="K72" s="83">
        <f t="shared" si="3"/>
        <v>1656010</v>
      </c>
      <c r="L72" s="100">
        <v>2067614</v>
      </c>
    </row>
    <row r="73" spans="1:12" x14ac:dyDescent="0.15">
      <c r="A73" s="29" t="s">
        <v>74</v>
      </c>
      <c r="B73" s="30">
        <v>0</v>
      </c>
      <c r="C73" s="62">
        <v>0</v>
      </c>
      <c r="D73" s="81">
        <f t="shared" si="2"/>
        <v>0</v>
      </c>
      <c r="E73" s="46">
        <v>0</v>
      </c>
      <c r="F73" s="30">
        <v>0</v>
      </c>
      <c r="G73" s="30">
        <v>0</v>
      </c>
      <c r="H73" s="30">
        <v>0</v>
      </c>
      <c r="I73" s="46">
        <v>0</v>
      </c>
      <c r="J73" s="62">
        <v>0</v>
      </c>
      <c r="K73" s="81">
        <f t="shared" si="3"/>
        <v>0</v>
      </c>
      <c r="L73" s="98">
        <v>0</v>
      </c>
    </row>
    <row r="74" spans="1:12" x14ac:dyDescent="0.15">
      <c r="A74" s="16" t="s">
        <v>75</v>
      </c>
      <c r="B74" s="12">
        <v>317865</v>
      </c>
      <c r="C74" s="60">
        <v>93739</v>
      </c>
      <c r="D74" s="79">
        <f t="shared" si="2"/>
        <v>411604</v>
      </c>
      <c r="E74" s="44">
        <v>336906</v>
      </c>
      <c r="F74" s="12">
        <v>284972</v>
      </c>
      <c r="G74" s="12">
        <v>215215</v>
      </c>
      <c r="H74" s="12">
        <v>285872</v>
      </c>
      <c r="I74" s="44">
        <v>266658</v>
      </c>
      <c r="J74" s="60">
        <v>266387</v>
      </c>
      <c r="K74" s="79">
        <f t="shared" si="3"/>
        <v>1656010</v>
      </c>
      <c r="L74" s="96">
        <v>2067614</v>
      </c>
    </row>
    <row r="75" spans="1:12" x14ac:dyDescent="0.15">
      <c r="A75" s="16" t="s">
        <v>76</v>
      </c>
      <c r="B75" s="13">
        <v>33</v>
      </c>
      <c r="C75" s="65">
        <v>10</v>
      </c>
      <c r="D75" s="84"/>
      <c r="E75" s="49">
        <v>32</v>
      </c>
      <c r="F75" s="13">
        <v>32</v>
      </c>
      <c r="G75" s="13">
        <v>38</v>
      </c>
      <c r="H75" s="13">
        <v>16</v>
      </c>
      <c r="I75" s="49">
        <v>23</v>
      </c>
      <c r="J75" s="65">
        <v>22</v>
      </c>
      <c r="K75" s="84"/>
      <c r="L75" s="101">
        <v>206</v>
      </c>
    </row>
    <row r="76" spans="1:12" x14ac:dyDescent="0.15">
      <c r="A76" s="16" t="s">
        <v>77</v>
      </c>
      <c r="B76" s="14">
        <v>1</v>
      </c>
      <c r="C76" s="66"/>
      <c r="D76" s="85"/>
      <c r="E76" s="50">
        <v>1</v>
      </c>
      <c r="F76" s="14"/>
      <c r="G76" s="14">
        <v>1</v>
      </c>
      <c r="H76" s="14">
        <v>1</v>
      </c>
      <c r="I76" s="50"/>
      <c r="J76" s="66">
        <v>2</v>
      </c>
      <c r="K76" s="85"/>
      <c r="L76" s="102"/>
    </row>
    <row r="77" spans="1:12" ht="14.25" thickBot="1" x14ac:dyDescent="0.2">
      <c r="A77" s="17" t="s">
        <v>78</v>
      </c>
      <c r="B77" s="18" t="s">
        <v>79</v>
      </c>
      <c r="C77" s="67" t="s">
        <v>79</v>
      </c>
      <c r="D77" s="86"/>
      <c r="E77" s="51" t="s">
        <v>79</v>
      </c>
      <c r="F77" s="18" t="s">
        <v>79</v>
      </c>
      <c r="G77" s="18" t="s">
        <v>79</v>
      </c>
      <c r="H77" s="18" t="s">
        <v>79</v>
      </c>
      <c r="I77" s="51" t="s">
        <v>79</v>
      </c>
      <c r="J77" s="67" t="s">
        <v>79</v>
      </c>
      <c r="K77" s="86"/>
      <c r="L77" s="10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2021-04-15T06:16:45Z</cp:lastPrinted>
  <dcterms:created xsi:type="dcterms:W3CDTF">2011-10-11T01:59:58Z</dcterms:created>
  <dcterms:modified xsi:type="dcterms:W3CDTF">2021-04-15T06:17:40Z</dcterms:modified>
</cp:coreProperties>
</file>