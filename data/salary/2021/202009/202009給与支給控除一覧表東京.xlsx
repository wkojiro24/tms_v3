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CE5DD378-DB3D-484D-88B0-DBB0B083521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23" i="2"/>
  <c r="K22" i="2"/>
  <c r="K15" i="2"/>
  <c r="K16" i="2"/>
  <c r="K14" i="2"/>
  <c r="K12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23" i="2"/>
  <c r="D22" i="2"/>
  <c r="D13" i="2"/>
  <c r="D7" i="2"/>
  <c r="D6" i="2"/>
</calcChain>
</file>

<file path=xl/sharedStrings.xml><?xml version="1.0" encoding="utf-8"?>
<sst xmlns="http://schemas.openxmlformats.org/spreadsheetml/2006/main" count="106" uniqueCount="87">
  <si>
    <t>所　属</t>
  </si>
  <si>
    <t>社　員</t>
  </si>
  <si>
    <t>２０20年9月分</t>
  </si>
  <si>
    <t>東京営業所/ドライバー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</si>
  <si>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</si>
  <si>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</si>
  <si>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</si>
  <si>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</si>
  <si>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</si>
  <si>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</si>
  <si>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</si>
  <si>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</si>
  <si>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</si>
  <si>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</si>
  <si>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</si>
  <si>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</si>
  <si>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</si>
  <si>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</si>
  <si>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</si>
  <si>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</si>
  <si>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</si>
  <si>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</si>
  <si>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</si>
  <si>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</si>
  <si>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</si>
  <si>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</si>
  <si>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</si>
  <si>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</si>
  <si>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</si>
  <si>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</si>
  <si>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</si>
  <si>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</si>
  <si>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</si>
  <si>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</si>
  <si>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</si>
  <si>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</si>
  <si>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</si>
  <si>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</si>
  <si>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</si>
  <si>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</si>
  <si>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</si>
  <si>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</si>
  <si>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</si>
  <si>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</si>
  <si>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</si>
  <si>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</si>
  <si>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</si>
  <si>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</si>
  <si>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</si>
  <si>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</si>
  <si>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</si>
  <si>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</si>
  <si>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</si>
  <si>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</si>
  <si>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</si>
  <si>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</si>
  <si>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</si>
  <si>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</si>
  <si>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</si>
  <si>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</si>
  <si>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</si>
  <si>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</si>
  <si>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</si>
  <si>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</si>
  <si>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</si>
  <si>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</si>
  <si>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</si>
  <si>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</si>
  <si>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</si>
  <si>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</si>
  <si>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</si>
  <si>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</si>
  <si>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</si>
  <si>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</si>
  <si>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</si>
  <si>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</si>
  <si>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</si>
  <si>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</si>
  <si>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</si>
  <si>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</si>
  <si>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東京営業所/事務</t>
  </si>
  <si>
    <t>新治　泰子</t>
  </si>
  <si>
    <t>8名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</si>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</sst>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1EAB-4979-477F-AF23-9606D059347D}">
  <sheetPr>
    <pageSetUpPr fitToPage="1"/>
  </sheetPr>
  <dimension ref="A1:AH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3.125" style="2" customWidth="1"/>
    <col min="13" max="15" width="10.5" style="2" customWidth="1"/>
    <col min="16" max="16384" width="9" style="2"/>
  </cols>
  <sheetData>
    <row r="1" spans="1:34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15">
      <c r="A3" s="17" t="s">
        <v>0</v>
      </c>
      <c r="B3" s="18" t="s">
        <v>3</v>
      </c>
      <c r="C3" s="50" t="s">
        <v>80</v>
      </c>
      <c r="D3" s="67" t="s">
        <v>84</v>
      </c>
      <c r="E3" s="34" t="s">
        <v>3</v>
      </c>
      <c r="F3" s="18" t="s">
        <v>3</v>
      </c>
      <c r="G3" s="18" t="s">
        <v>3</v>
      </c>
      <c r="H3" s="18" t="s">
        <v>3</v>
      </c>
      <c r="I3" s="34" t="s">
        <v>3</v>
      </c>
      <c r="J3" s="50" t="s">
        <v>3</v>
      </c>
      <c r="K3" s="67" t="s">
        <v>84</v>
      </c>
      <c r="L3" s="85" t="s">
        <v>83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15">
      <c r="A4" s="19"/>
      <c r="B4" s="20">
        <v>1029</v>
      </c>
      <c r="C4" s="51">
        <v>1033</v>
      </c>
      <c r="D4" s="68"/>
      <c r="E4" s="35">
        <v>1011</v>
      </c>
      <c r="F4" s="20">
        <v>1025</v>
      </c>
      <c r="G4" s="20">
        <v>1030</v>
      </c>
      <c r="H4" s="20">
        <v>1052</v>
      </c>
      <c r="I4" s="35">
        <v>1054</v>
      </c>
      <c r="J4" s="51">
        <v>1060</v>
      </c>
      <c r="K4" s="68"/>
      <c r="L4" s="8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4.25" thickBot="1" x14ac:dyDescent="0.2">
      <c r="A5" s="19" t="s">
        <v>1</v>
      </c>
      <c r="B5" s="20" t="s">
        <v>23</v>
      </c>
      <c r="C5" s="51" t="s">
        <v>81</v>
      </c>
      <c r="D5" s="69" t="s">
        <v>85</v>
      </c>
      <c r="E5" s="35" t="s">
        <v>4</v>
      </c>
      <c r="F5" s="20" t="s">
        <v>22</v>
      </c>
      <c r="G5" s="20" t="s">
        <v>24</v>
      </c>
      <c r="H5" s="20" t="s">
        <v>25</v>
      </c>
      <c r="I5" s="35" t="s">
        <v>78</v>
      </c>
      <c r="J5" s="51" t="s">
        <v>79</v>
      </c>
      <c r="K5" s="69" t="s">
        <v>86</v>
      </c>
      <c r="L5" s="87" t="s">
        <v>82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15">
      <c r="A6" s="21" t="s">
        <v>5</v>
      </c>
      <c r="B6" s="22">
        <v>21</v>
      </c>
      <c r="C6" s="52">
        <v>12</v>
      </c>
      <c r="D6" s="70">
        <f>SUM(B6:C6)</f>
        <v>33</v>
      </c>
      <c r="E6" s="36">
        <v>19</v>
      </c>
      <c r="F6" s="22">
        <v>20</v>
      </c>
      <c r="G6" s="23"/>
      <c r="H6" s="22">
        <v>19</v>
      </c>
      <c r="I6" s="36">
        <v>21</v>
      </c>
      <c r="J6" s="52">
        <v>20</v>
      </c>
      <c r="K6" s="70">
        <f>SUM(E6:J6)</f>
        <v>99</v>
      </c>
      <c r="L6" s="88">
        <v>132</v>
      </c>
      <c r="M6" s="3"/>
      <c r="N6" s="3"/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15">
      <c r="A7" s="13" t="s">
        <v>6</v>
      </c>
      <c r="B7" s="7">
        <v>1</v>
      </c>
      <c r="C7" s="54"/>
      <c r="D7" s="71">
        <f>SUM(B7:C7)</f>
        <v>1</v>
      </c>
      <c r="E7" s="37">
        <v>2</v>
      </c>
      <c r="F7" s="7">
        <v>1</v>
      </c>
      <c r="G7" s="8"/>
      <c r="H7" s="7">
        <v>1</v>
      </c>
      <c r="I7" s="37">
        <v>3</v>
      </c>
      <c r="J7" s="53">
        <v>3</v>
      </c>
      <c r="K7" s="71">
        <f>SUM(E7:J7)</f>
        <v>10</v>
      </c>
      <c r="L7" s="89">
        <v>11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15">
      <c r="A8" s="13" t="s">
        <v>7</v>
      </c>
      <c r="B8" s="8"/>
      <c r="C8" s="54"/>
      <c r="D8" s="72"/>
      <c r="E8" s="38"/>
      <c r="F8" s="8"/>
      <c r="G8" s="8"/>
      <c r="H8" s="7">
        <v>1</v>
      </c>
      <c r="I8" s="37">
        <v>1</v>
      </c>
      <c r="J8" s="53">
        <v>1</v>
      </c>
      <c r="K8" s="71">
        <f>SUM(E8:J8)</f>
        <v>3</v>
      </c>
      <c r="L8" s="89">
        <v>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15">
      <c r="A9" s="13" t="s">
        <v>8</v>
      </c>
      <c r="B9" s="8"/>
      <c r="C9" s="54"/>
      <c r="D9" s="72"/>
      <c r="E9" s="38"/>
      <c r="F9" s="8"/>
      <c r="G9" s="8"/>
      <c r="H9" s="8"/>
      <c r="I9" s="38"/>
      <c r="J9" s="54"/>
      <c r="K9" s="76"/>
      <c r="L9" s="9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15">
      <c r="A10" s="13" t="s">
        <v>9</v>
      </c>
      <c r="B10" s="8"/>
      <c r="C10" s="54"/>
      <c r="D10" s="72"/>
      <c r="E10" s="38"/>
      <c r="F10" s="8"/>
      <c r="G10" s="8"/>
      <c r="H10" s="8"/>
      <c r="I10" s="38"/>
      <c r="J10" s="54"/>
      <c r="K10" s="76"/>
      <c r="L10" s="9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15">
      <c r="A11" s="13" t="s">
        <v>10</v>
      </c>
      <c r="B11" s="8"/>
      <c r="C11" s="54"/>
      <c r="D11" s="72"/>
      <c r="E11" s="38"/>
      <c r="F11" s="8"/>
      <c r="G11" s="8"/>
      <c r="H11" s="8"/>
      <c r="I11" s="38"/>
      <c r="J11" s="54"/>
      <c r="K11" s="76"/>
      <c r="L11" s="9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15">
      <c r="A12" s="13" t="s">
        <v>11</v>
      </c>
      <c r="B12" s="8"/>
      <c r="C12" s="54"/>
      <c r="D12" s="72"/>
      <c r="E12" s="37">
        <v>2</v>
      </c>
      <c r="F12" s="7">
        <v>1</v>
      </c>
      <c r="G12" s="8"/>
      <c r="H12" s="7">
        <v>2</v>
      </c>
      <c r="I12" s="38"/>
      <c r="J12" s="53">
        <v>1</v>
      </c>
      <c r="K12" s="71">
        <f>SUM(E12:J12)</f>
        <v>6</v>
      </c>
      <c r="L12" s="89">
        <v>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15">
      <c r="A13" s="13" t="s">
        <v>12</v>
      </c>
      <c r="B13" s="8"/>
      <c r="C13" s="55">
        <v>3.4583333333333335</v>
      </c>
      <c r="D13" s="73">
        <f>SUM(B13:C13)</f>
        <v>3.4583333333333335</v>
      </c>
      <c r="E13" s="38"/>
      <c r="F13" s="8"/>
      <c r="G13" s="8"/>
      <c r="H13" s="8"/>
      <c r="I13" s="38"/>
      <c r="J13" s="54"/>
      <c r="K13" s="76"/>
      <c r="L13" s="91">
        <v>3.4583333333333335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15">
      <c r="A14" s="13" t="s">
        <v>13</v>
      </c>
      <c r="B14" s="8"/>
      <c r="C14" s="54"/>
      <c r="D14" s="72"/>
      <c r="E14" s="39">
        <v>1.8333333333333333</v>
      </c>
      <c r="F14" s="9">
        <v>1.75</v>
      </c>
      <c r="G14" s="8"/>
      <c r="H14" s="9">
        <v>1.5833333333333333</v>
      </c>
      <c r="I14" s="39">
        <v>1.2083333333333333</v>
      </c>
      <c r="J14" s="55">
        <v>1.0416666666666667</v>
      </c>
      <c r="K14" s="73">
        <f>SUM(E14:J14)</f>
        <v>7.4166666666666661</v>
      </c>
      <c r="L14" s="91">
        <v>7.416666666666667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15">
      <c r="A15" s="13" t="s">
        <v>14</v>
      </c>
      <c r="B15" s="8"/>
      <c r="C15" s="54"/>
      <c r="D15" s="72"/>
      <c r="E15" s="39">
        <v>0.54166666666666663</v>
      </c>
      <c r="F15" s="9">
        <v>0.375</v>
      </c>
      <c r="G15" s="8"/>
      <c r="H15" s="9">
        <v>0.16666666666666666</v>
      </c>
      <c r="I15" s="39">
        <v>0.58333333333333337</v>
      </c>
      <c r="J15" s="55">
        <v>1.25</v>
      </c>
      <c r="K15" s="73">
        <f t="shared" ref="K15:K16" si="0">SUM(E15:J15)</f>
        <v>2.9166666666666665</v>
      </c>
      <c r="L15" s="91">
        <v>2.9166666666666665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15">
      <c r="A16" s="13" t="s">
        <v>15</v>
      </c>
      <c r="B16" s="8"/>
      <c r="C16" s="54"/>
      <c r="D16" s="72"/>
      <c r="E16" s="38"/>
      <c r="F16" s="8"/>
      <c r="G16" s="8"/>
      <c r="H16" s="9">
        <v>0.25</v>
      </c>
      <c r="I16" s="39">
        <v>0.41666666666666669</v>
      </c>
      <c r="J16" s="55">
        <v>0.33333333333333331</v>
      </c>
      <c r="K16" s="73">
        <f t="shared" si="0"/>
        <v>1</v>
      </c>
      <c r="L16" s="91">
        <v>1</v>
      </c>
      <c r="M16" s="4"/>
      <c r="N16" s="4"/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15">
      <c r="A17" s="13" t="s">
        <v>16</v>
      </c>
      <c r="B17" s="8"/>
      <c r="C17" s="54"/>
      <c r="D17" s="72"/>
      <c r="E17" s="38"/>
      <c r="F17" s="8"/>
      <c r="G17" s="8"/>
      <c r="H17" s="8"/>
      <c r="I17" s="38"/>
      <c r="J17" s="54"/>
      <c r="K17" s="76"/>
      <c r="L17" s="90"/>
      <c r="M17" s="4"/>
      <c r="N17" s="4"/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15">
      <c r="A18" s="13" t="s">
        <v>17</v>
      </c>
      <c r="B18" s="8"/>
      <c r="C18" s="54"/>
      <c r="D18" s="72"/>
      <c r="E18" s="38"/>
      <c r="F18" s="8"/>
      <c r="G18" s="8"/>
      <c r="H18" s="8"/>
      <c r="I18" s="38"/>
      <c r="J18" s="54"/>
      <c r="K18" s="76"/>
      <c r="L18" s="90"/>
      <c r="M18" s="4"/>
      <c r="N18" s="4"/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15">
      <c r="A19" s="13" t="s">
        <v>18</v>
      </c>
      <c r="B19" s="8"/>
      <c r="C19" s="54"/>
      <c r="D19" s="72"/>
      <c r="E19" s="38"/>
      <c r="F19" s="8"/>
      <c r="G19" s="8"/>
      <c r="H19" s="8"/>
      <c r="I19" s="38"/>
      <c r="J19" s="54"/>
      <c r="K19" s="76"/>
      <c r="L19" s="90"/>
      <c r="M19" s="4"/>
      <c r="N19" s="4"/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15">
      <c r="A20" s="13" t="s">
        <v>19</v>
      </c>
      <c r="B20" s="8"/>
      <c r="C20" s="54"/>
      <c r="D20" s="72"/>
      <c r="E20" s="38"/>
      <c r="F20" s="8"/>
      <c r="G20" s="8"/>
      <c r="H20" s="8"/>
      <c r="I20" s="38"/>
      <c r="J20" s="54"/>
      <c r="K20" s="76"/>
      <c r="L20" s="90"/>
      <c r="M20" s="4"/>
      <c r="N20" s="4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15">
      <c r="A21" s="13" t="s">
        <v>20</v>
      </c>
      <c r="B21" s="8"/>
      <c r="C21" s="54"/>
      <c r="D21" s="72"/>
      <c r="E21" s="38"/>
      <c r="F21" s="8"/>
      <c r="G21" s="8"/>
      <c r="H21" s="8"/>
      <c r="I21" s="38"/>
      <c r="J21" s="54"/>
      <c r="K21" s="76"/>
      <c r="L21" s="90"/>
      <c r="M21" s="4"/>
      <c r="N21" s="4"/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4.25" thickBot="1" x14ac:dyDescent="0.2">
      <c r="A22" s="24" t="s">
        <v>21</v>
      </c>
      <c r="B22" s="25">
        <v>0.125</v>
      </c>
      <c r="C22" s="66"/>
      <c r="D22" s="74">
        <f>SUM(B22:C22)</f>
        <v>0.125</v>
      </c>
      <c r="E22" s="40">
        <v>0.5</v>
      </c>
      <c r="F22" s="25">
        <v>0.70833333333333337</v>
      </c>
      <c r="G22" s="26"/>
      <c r="H22" s="25">
        <v>0.58333333333333337</v>
      </c>
      <c r="I22" s="40">
        <v>0.20833333333333334</v>
      </c>
      <c r="J22" s="56">
        <v>0.16666666666666666</v>
      </c>
      <c r="K22" s="74">
        <f>SUM(E22:J22)</f>
        <v>2.166666666666667</v>
      </c>
      <c r="L22" s="92">
        <v>2.2916666666666665</v>
      </c>
      <c r="M22" s="4"/>
      <c r="N22" s="4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15">
      <c r="A23" s="21" t="s">
        <v>26</v>
      </c>
      <c r="B23" s="23">
        <v>355000</v>
      </c>
      <c r="C23" s="57">
        <v>0</v>
      </c>
      <c r="D23" s="75">
        <f>SUM(B23:C23)</f>
        <v>355000</v>
      </c>
      <c r="E23" s="41">
        <v>177000</v>
      </c>
      <c r="F23" s="23">
        <v>192000</v>
      </c>
      <c r="G23" s="23">
        <v>0</v>
      </c>
      <c r="H23" s="23">
        <v>175000</v>
      </c>
      <c r="I23" s="41">
        <v>177000</v>
      </c>
      <c r="J23" s="57">
        <v>165000</v>
      </c>
      <c r="K23" s="75">
        <f>SUM(E23:J23)</f>
        <v>886000</v>
      </c>
      <c r="L23" s="93">
        <v>1241000</v>
      </c>
      <c r="M23" s="4"/>
      <c r="N23" s="4"/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15">
      <c r="A24" s="13" t="s">
        <v>27</v>
      </c>
      <c r="B24" s="8">
        <v>0</v>
      </c>
      <c r="C24" s="54">
        <v>0</v>
      </c>
      <c r="D24" s="76">
        <f t="shared" ref="D24:D75" si="1">SUM(B24:C24)</f>
        <v>0</v>
      </c>
      <c r="E24" s="38">
        <v>0</v>
      </c>
      <c r="F24" s="8">
        <v>5000</v>
      </c>
      <c r="G24" s="8">
        <v>0</v>
      </c>
      <c r="H24" s="8">
        <v>0</v>
      </c>
      <c r="I24" s="38">
        <v>0</v>
      </c>
      <c r="J24" s="54">
        <v>0</v>
      </c>
      <c r="K24" s="76">
        <f t="shared" ref="K24:K75" si="2">SUM(E24:J24)</f>
        <v>5000</v>
      </c>
      <c r="L24" s="90">
        <v>5000</v>
      </c>
      <c r="M24" s="4"/>
      <c r="N24" s="4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15">
      <c r="A25" s="13" t="s">
        <v>28</v>
      </c>
      <c r="B25" s="8">
        <v>0</v>
      </c>
      <c r="C25" s="54">
        <v>0</v>
      </c>
      <c r="D25" s="76">
        <f t="shared" si="1"/>
        <v>0</v>
      </c>
      <c r="E25" s="38">
        <v>6000</v>
      </c>
      <c r="F25" s="8">
        <v>0</v>
      </c>
      <c r="G25" s="8">
        <v>0</v>
      </c>
      <c r="H25" s="8">
        <v>0</v>
      </c>
      <c r="I25" s="38">
        <v>0</v>
      </c>
      <c r="J25" s="54">
        <v>0</v>
      </c>
      <c r="K25" s="76">
        <f t="shared" si="2"/>
        <v>6000</v>
      </c>
      <c r="L25" s="90">
        <v>6000</v>
      </c>
      <c r="M25" s="4"/>
      <c r="N25" s="4"/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15">
      <c r="A26" s="13" t="s">
        <v>29</v>
      </c>
      <c r="B26" s="8">
        <v>50000</v>
      </c>
      <c r="C26" s="54">
        <v>0</v>
      </c>
      <c r="D26" s="76">
        <f t="shared" si="1"/>
        <v>50000</v>
      </c>
      <c r="E26" s="38">
        <v>50000</v>
      </c>
      <c r="F26" s="8">
        <v>50000</v>
      </c>
      <c r="G26" s="8">
        <v>0</v>
      </c>
      <c r="H26" s="8">
        <v>50000</v>
      </c>
      <c r="I26" s="38">
        <v>50000</v>
      </c>
      <c r="J26" s="54">
        <v>50000</v>
      </c>
      <c r="K26" s="76">
        <f t="shared" si="2"/>
        <v>250000</v>
      </c>
      <c r="L26" s="90">
        <v>300000</v>
      </c>
      <c r="M26" s="4"/>
      <c r="N26" s="4"/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15">
      <c r="A27" s="13" t="s">
        <v>30</v>
      </c>
      <c r="B27" s="8">
        <v>0</v>
      </c>
      <c r="C27" s="54">
        <v>0</v>
      </c>
      <c r="D27" s="76">
        <f t="shared" si="1"/>
        <v>0</v>
      </c>
      <c r="E27" s="38">
        <v>0</v>
      </c>
      <c r="F27" s="8">
        <v>0</v>
      </c>
      <c r="G27" s="8">
        <v>0</v>
      </c>
      <c r="H27" s="8">
        <v>0</v>
      </c>
      <c r="I27" s="38">
        <v>0</v>
      </c>
      <c r="J27" s="54">
        <v>0</v>
      </c>
      <c r="K27" s="76">
        <f t="shared" si="2"/>
        <v>0</v>
      </c>
      <c r="L27" s="90">
        <v>0</v>
      </c>
      <c r="M27" s="4"/>
      <c r="N27" s="4"/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15">
      <c r="A28" s="13" t="s">
        <v>31</v>
      </c>
      <c r="B28" s="8">
        <v>0</v>
      </c>
      <c r="C28" s="54">
        <v>0</v>
      </c>
      <c r="D28" s="76">
        <f t="shared" si="1"/>
        <v>0</v>
      </c>
      <c r="E28" s="38">
        <v>0</v>
      </c>
      <c r="F28" s="8">
        <v>0</v>
      </c>
      <c r="G28" s="8">
        <v>0</v>
      </c>
      <c r="H28" s="8">
        <v>0</v>
      </c>
      <c r="I28" s="38">
        <v>0</v>
      </c>
      <c r="J28" s="54">
        <v>0</v>
      </c>
      <c r="K28" s="76">
        <f t="shared" si="2"/>
        <v>0</v>
      </c>
      <c r="L28" s="90">
        <v>0</v>
      </c>
      <c r="M28" s="4"/>
      <c r="N28" s="4"/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15">
      <c r="A29" s="13" t="s">
        <v>32</v>
      </c>
      <c r="B29" s="8">
        <v>0</v>
      </c>
      <c r="C29" s="54">
        <v>0</v>
      </c>
      <c r="D29" s="76">
        <f t="shared" si="1"/>
        <v>0</v>
      </c>
      <c r="E29" s="38">
        <v>0</v>
      </c>
      <c r="F29" s="8">
        <v>0</v>
      </c>
      <c r="G29" s="8">
        <v>0</v>
      </c>
      <c r="H29" s="8">
        <v>0</v>
      </c>
      <c r="I29" s="38">
        <v>0</v>
      </c>
      <c r="J29" s="54">
        <v>0</v>
      </c>
      <c r="K29" s="76">
        <f t="shared" si="2"/>
        <v>0</v>
      </c>
      <c r="L29" s="90">
        <v>0</v>
      </c>
      <c r="M29" s="4"/>
      <c r="N29" s="4"/>
      <c r="O29" s="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15">
      <c r="A30" s="13" t="s">
        <v>33</v>
      </c>
      <c r="B30" s="8">
        <v>0</v>
      </c>
      <c r="C30" s="54">
        <v>0</v>
      </c>
      <c r="D30" s="76">
        <f t="shared" si="1"/>
        <v>0</v>
      </c>
      <c r="E30" s="38">
        <v>0</v>
      </c>
      <c r="F30" s="8">
        <v>0</v>
      </c>
      <c r="G30" s="8">
        <v>0</v>
      </c>
      <c r="H30" s="8">
        <v>0</v>
      </c>
      <c r="I30" s="38">
        <v>0</v>
      </c>
      <c r="J30" s="54">
        <v>0</v>
      </c>
      <c r="K30" s="76">
        <f t="shared" si="2"/>
        <v>0</v>
      </c>
      <c r="L30" s="90">
        <v>0</v>
      </c>
      <c r="M30" s="4"/>
      <c r="N30" s="4"/>
      <c r="O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15">
      <c r="A31" s="13" t="s">
        <v>34</v>
      </c>
      <c r="B31" s="8">
        <v>0</v>
      </c>
      <c r="C31" s="54">
        <v>91715</v>
      </c>
      <c r="D31" s="76">
        <f t="shared" si="1"/>
        <v>91715</v>
      </c>
      <c r="E31" s="38">
        <v>0</v>
      </c>
      <c r="F31" s="8">
        <v>0</v>
      </c>
      <c r="G31" s="8">
        <v>0</v>
      </c>
      <c r="H31" s="8">
        <v>0</v>
      </c>
      <c r="I31" s="38">
        <v>0</v>
      </c>
      <c r="J31" s="54">
        <v>0</v>
      </c>
      <c r="K31" s="76">
        <f t="shared" si="2"/>
        <v>0</v>
      </c>
      <c r="L31" s="90">
        <v>91715</v>
      </c>
      <c r="M31" s="4"/>
      <c r="N31" s="4"/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15">
      <c r="A32" s="13" t="s">
        <v>35</v>
      </c>
      <c r="B32" s="8">
        <v>0</v>
      </c>
      <c r="C32" s="54">
        <v>0</v>
      </c>
      <c r="D32" s="76">
        <f t="shared" si="1"/>
        <v>0</v>
      </c>
      <c r="E32" s="38">
        <v>0</v>
      </c>
      <c r="F32" s="8">
        <v>0</v>
      </c>
      <c r="G32" s="8">
        <v>0</v>
      </c>
      <c r="H32" s="8">
        <v>0</v>
      </c>
      <c r="I32" s="38">
        <v>0</v>
      </c>
      <c r="J32" s="54">
        <v>0</v>
      </c>
      <c r="K32" s="76">
        <f t="shared" si="2"/>
        <v>0</v>
      </c>
      <c r="L32" s="90">
        <v>0</v>
      </c>
      <c r="M32" s="4"/>
      <c r="N32" s="4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15">
      <c r="A33" s="13" t="s">
        <v>36</v>
      </c>
      <c r="B33" s="8">
        <v>0</v>
      </c>
      <c r="C33" s="54">
        <v>0</v>
      </c>
      <c r="D33" s="76">
        <f t="shared" si="1"/>
        <v>0</v>
      </c>
      <c r="E33" s="38">
        <v>0</v>
      </c>
      <c r="F33" s="8">
        <v>0</v>
      </c>
      <c r="G33" s="8">
        <v>0</v>
      </c>
      <c r="H33" s="8">
        <v>0</v>
      </c>
      <c r="I33" s="38">
        <v>0</v>
      </c>
      <c r="J33" s="54">
        <v>0</v>
      </c>
      <c r="K33" s="76">
        <f t="shared" si="2"/>
        <v>0</v>
      </c>
      <c r="L33" s="90">
        <v>0</v>
      </c>
      <c r="M33" s="4"/>
      <c r="N33" s="4"/>
      <c r="O33" s="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15">
      <c r="A34" s="13" t="s">
        <v>37</v>
      </c>
      <c r="B34" s="8">
        <v>0</v>
      </c>
      <c r="C34" s="54">
        <v>0</v>
      </c>
      <c r="D34" s="76">
        <f t="shared" si="1"/>
        <v>0</v>
      </c>
      <c r="E34" s="38">
        <v>0</v>
      </c>
      <c r="F34" s="8">
        <v>0</v>
      </c>
      <c r="G34" s="8">
        <v>0</v>
      </c>
      <c r="H34" s="8">
        <v>0</v>
      </c>
      <c r="I34" s="38">
        <v>0</v>
      </c>
      <c r="J34" s="54">
        <v>0</v>
      </c>
      <c r="K34" s="76">
        <f t="shared" si="2"/>
        <v>0</v>
      </c>
      <c r="L34" s="90">
        <v>0</v>
      </c>
      <c r="M34" s="4"/>
      <c r="N34" s="4"/>
      <c r="O34" s="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15">
      <c r="A35" s="13" t="s">
        <v>38</v>
      </c>
      <c r="B35" s="8">
        <v>0</v>
      </c>
      <c r="C35" s="54">
        <v>0</v>
      </c>
      <c r="D35" s="76">
        <f t="shared" si="1"/>
        <v>0</v>
      </c>
      <c r="E35" s="38">
        <v>0</v>
      </c>
      <c r="F35" s="8">
        <v>0</v>
      </c>
      <c r="G35" s="8">
        <v>0</v>
      </c>
      <c r="H35" s="8">
        <v>0</v>
      </c>
      <c r="I35" s="38">
        <v>0</v>
      </c>
      <c r="J35" s="54">
        <v>0</v>
      </c>
      <c r="K35" s="76">
        <f t="shared" si="2"/>
        <v>0</v>
      </c>
      <c r="L35" s="90">
        <v>0</v>
      </c>
      <c r="M35" s="4"/>
      <c r="N35" s="4"/>
      <c r="O35" s="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15">
      <c r="A36" s="13" t="s">
        <v>39</v>
      </c>
      <c r="B36" s="8">
        <v>0</v>
      </c>
      <c r="C36" s="54">
        <v>0</v>
      </c>
      <c r="D36" s="76">
        <f t="shared" si="1"/>
        <v>0</v>
      </c>
      <c r="E36" s="38">
        <v>0</v>
      </c>
      <c r="F36" s="8">
        <v>0</v>
      </c>
      <c r="G36" s="8">
        <v>0</v>
      </c>
      <c r="H36" s="8">
        <v>0</v>
      </c>
      <c r="I36" s="38">
        <v>0</v>
      </c>
      <c r="J36" s="54">
        <v>0</v>
      </c>
      <c r="K36" s="76">
        <f t="shared" si="2"/>
        <v>0</v>
      </c>
      <c r="L36" s="90">
        <v>0</v>
      </c>
      <c r="M36" s="4"/>
      <c r="N36" s="4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15">
      <c r="A37" s="13" t="s">
        <v>40</v>
      </c>
      <c r="B37" s="8">
        <v>0</v>
      </c>
      <c r="C37" s="54">
        <v>0</v>
      </c>
      <c r="D37" s="76">
        <f t="shared" si="1"/>
        <v>0</v>
      </c>
      <c r="E37" s="38">
        <v>0</v>
      </c>
      <c r="F37" s="8">
        <v>0</v>
      </c>
      <c r="G37" s="8">
        <v>0</v>
      </c>
      <c r="H37" s="8">
        <v>0</v>
      </c>
      <c r="I37" s="38">
        <v>0</v>
      </c>
      <c r="J37" s="54">
        <v>0</v>
      </c>
      <c r="K37" s="76">
        <f t="shared" si="2"/>
        <v>0</v>
      </c>
      <c r="L37" s="90">
        <v>0</v>
      </c>
      <c r="M37" s="4"/>
      <c r="N37" s="4"/>
      <c r="O37" s="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15">
      <c r="A38" s="13" t="s">
        <v>41</v>
      </c>
      <c r="B38" s="8">
        <v>0</v>
      </c>
      <c r="C38" s="54">
        <v>0</v>
      </c>
      <c r="D38" s="76">
        <f t="shared" si="1"/>
        <v>0</v>
      </c>
      <c r="E38" s="38">
        <v>33900</v>
      </c>
      <c r="F38" s="8">
        <v>10500</v>
      </c>
      <c r="G38" s="8">
        <v>0</v>
      </c>
      <c r="H38" s="8">
        <v>15000</v>
      </c>
      <c r="I38" s="38">
        <v>13000</v>
      </c>
      <c r="J38" s="54">
        <v>15000</v>
      </c>
      <c r="K38" s="76">
        <f t="shared" si="2"/>
        <v>87400</v>
      </c>
      <c r="L38" s="90">
        <v>87400</v>
      </c>
      <c r="M38" s="4"/>
      <c r="N38" s="4"/>
      <c r="O38" s="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15">
      <c r="A39" s="13" t="s">
        <v>42</v>
      </c>
      <c r="B39" s="8">
        <v>0</v>
      </c>
      <c r="C39" s="54">
        <v>0</v>
      </c>
      <c r="D39" s="76">
        <f t="shared" si="1"/>
        <v>0</v>
      </c>
      <c r="E39" s="38">
        <v>0</v>
      </c>
      <c r="F39" s="8">
        <v>0</v>
      </c>
      <c r="G39" s="8">
        <v>0</v>
      </c>
      <c r="H39" s="8">
        <v>0</v>
      </c>
      <c r="I39" s="38">
        <v>0</v>
      </c>
      <c r="J39" s="54">
        <v>0</v>
      </c>
      <c r="K39" s="76">
        <f t="shared" si="2"/>
        <v>0</v>
      </c>
      <c r="L39" s="90">
        <v>0</v>
      </c>
      <c r="M39" s="4"/>
      <c r="N39" s="4"/>
      <c r="O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15">
      <c r="A40" s="13" t="s">
        <v>43</v>
      </c>
      <c r="B40" s="8">
        <v>0</v>
      </c>
      <c r="C40" s="54">
        <v>0</v>
      </c>
      <c r="D40" s="76">
        <f t="shared" si="1"/>
        <v>0</v>
      </c>
      <c r="E40" s="38">
        <v>0</v>
      </c>
      <c r="F40" s="8">
        <v>0</v>
      </c>
      <c r="G40" s="8">
        <v>0</v>
      </c>
      <c r="H40" s="8">
        <v>0</v>
      </c>
      <c r="I40" s="38">
        <v>0</v>
      </c>
      <c r="J40" s="54">
        <v>0</v>
      </c>
      <c r="K40" s="76">
        <f t="shared" si="2"/>
        <v>0</v>
      </c>
      <c r="L40" s="90">
        <v>0</v>
      </c>
      <c r="M40" s="4"/>
      <c r="N40" s="4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15">
      <c r="A41" s="13" t="s">
        <v>44</v>
      </c>
      <c r="B41" s="8">
        <v>0</v>
      </c>
      <c r="C41" s="54">
        <v>0</v>
      </c>
      <c r="D41" s="76">
        <f t="shared" si="1"/>
        <v>0</v>
      </c>
      <c r="E41" s="38">
        <v>-25540</v>
      </c>
      <c r="F41" s="8">
        <v>-12320</v>
      </c>
      <c r="G41" s="8">
        <v>0</v>
      </c>
      <c r="H41" s="8">
        <v>-22966</v>
      </c>
      <c r="I41" s="38">
        <v>0</v>
      </c>
      <c r="J41" s="54">
        <v>-11004</v>
      </c>
      <c r="K41" s="76">
        <f t="shared" si="2"/>
        <v>-71830</v>
      </c>
      <c r="L41" s="90">
        <v>-71830</v>
      </c>
      <c r="M41" s="4"/>
      <c r="N41" s="4"/>
      <c r="O41" s="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15">
      <c r="A42" s="13" t="s">
        <v>45</v>
      </c>
      <c r="B42" s="8">
        <v>0</v>
      </c>
      <c r="C42" s="54">
        <v>0</v>
      </c>
      <c r="D42" s="76">
        <f t="shared" si="1"/>
        <v>0</v>
      </c>
      <c r="E42" s="38">
        <v>0</v>
      </c>
      <c r="F42" s="8">
        <v>0</v>
      </c>
      <c r="G42" s="8">
        <v>0</v>
      </c>
      <c r="H42" s="8">
        <v>0</v>
      </c>
      <c r="I42" s="38">
        <v>0</v>
      </c>
      <c r="J42" s="54">
        <v>0</v>
      </c>
      <c r="K42" s="76">
        <f t="shared" si="2"/>
        <v>0</v>
      </c>
      <c r="L42" s="90">
        <v>0</v>
      </c>
      <c r="M42" s="4"/>
      <c r="N42" s="4"/>
      <c r="O42" s="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15">
      <c r="A43" s="13" t="s">
        <v>13</v>
      </c>
      <c r="B43" s="8">
        <v>0</v>
      </c>
      <c r="C43" s="54">
        <v>0</v>
      </c>
      <c r="D43" s="76">
        <f t="shared" si="1"/>
        <v>0</v>
      </c>
      <c r="E43" s="38">
        <v>87912</v>
      </c>
      <c r="F43" s="8">
        <v>80976</v>
      </c>
      <c r="G43" s="8">
        <v>0</v>
      </c>
      <c r="H43" s="8">
        <v>68248</v>
      </c>
      <c r="I43" s="38">
        <v>52084</v>
      </c>
      <c r="J43" s="54">
        <v>43025</v>
      </c>
      <c r="K43" s="76">
        <f t="shared" si="2"/>
        <v>332245</v>
      </c>
      <c r="L43" s="90">
        <v>332245</v>
      </c>
      <c r="M43" s="4"/>
      <c r="N43" s="4"/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15">
      <c r="A44" s="13" t="s">
        <v>6</v>
      </c>
      <c r="B44" s="8">
        <v>0</v>
      </c>
      <c r="C44" s="54">
        <v>0</v>
      </c>
      <c r="D44" s="76">
        <f t="shared" si="1"/>
        <v>0</v>
      </c>
      <c r="E44" s="38">
        <v>28041</v>
      </c>
      <c r="F44" s="8">
        <v>18738</v>
      </c>
      <c r="G44" s="8">
        <v>0</v>
      </c>
      <c r="H44" s="8">
        <v>7760</v>
      </c>
      <c r="I44" s="38">
        <v>27160</v>
      </c>
      <c r="J44" s="54">
        <v>55770</v>
      </c>
      <c r="K44" s="76">
        <f t="shared" si="2"/>
        <v>137469</v>
      </c>
      <c r="L44" s="90">
        <v>137469</v>
      </c>
      <c r="M44" s="4"/>
      <c r="N44" s="4"/>
      <c r="O44" s="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15">
      <c r="A45" s="13" t="s">
        <v>7</v>
      </c>
      <c r="B45" s="8">
        <v>0</v>
      </c>
      <c r="C45" s="54">
        <v>0</v>
      </c>
      <c r="D45" s="76">
        <f t="shared" si="1"/>
        <v>0</v>
      </c>
      <c r="E45" s="38">
        <v>0</v>
      </c>
      <c r="F45" s="8">
        <v>0</v>
      </c>
      <c r="G45" s="8">
        <v>0</v>
      </c>
      <c r="H45" s="8">
        <v>11640</v>
      </c>
      <c r="I45" s="38">
        <v>19400</v>
      </c>
      <c r="J45" s="54">
        <v>14872</v>
      </c>
      <c r="K45" s="76">
        <f t="shared" si="2"/>
        <v>45912</v>
      </c>
      <c r="L45" s="90">
        <v>45912</v>
      </c>
      <c r="M45" s="4"/>
      <c r="N45" s="4"/>
      <c r="O45" s="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15">
      <c r="A46" s="13" t="s">
        <v>46</v>
      </c>
      <c r="B46" s="8">
        <v>0</v>
      </c>
      <c r="C46" s="54">
        <v>0</v>
      </c>
      <c r="D46" s="76">
        <f t="shared" si="1"/>
        <v>0</v>
      </c>
      <c r="E46" s="38">
        <v>0</v>
      </c>
      <c r="F46" s="8">
        <v>0</v>
      </c>
      <c r="G46" s="8">
        <v>0</v>
      </c>
      <c r="H46" s="8">
        <v>0</v>
      </c>
      <c r="I46" s="38">
        <v>0</v>
      </c>
      <c r="J46" s="54">
        <v>0</v>
      </c>
      <c r="K46" s="76">
        <f t="shared" si="2"/>
        <v>0</v>
      </c>
      <c r="L46" s="90">
        <v>0</v>
      </c>
      <c r="M46" s="4"/>
      <c r="N46" s="4"/>
      <c r="O46" s="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15">
      <c r="A47" s="13" t="s">
        <v>47</v>
      </c>
      <c r="B47" s="8">
        <v>0</v>
      </c>
      <c r="C47" s="54">
        <v>0</v>
      </c>
      <c r="D47" s="76">
        <f t="shared" si="1"/>
        <v>0</v>
      </c>
      <c r="E47" s="38">
        <v>25540</v>
      </c>
      <c r="F47" s="8">
        <v>12320</v>
      </c>
      <c r="G47" s="8">
        <v>0</v>
      </c>
      <c r="H47" s="8">
        <v>22966</v>
      </c>
      <c r="I47" s="38">
        <v>0</v>
      </c>
      <c r="J47" s="54">
        <v>11004</v>
      </c>
      <c r="K47" s="76">
        <f t="shared" si="2"/>
        <v>71830</v>
      </c>
      <c r="L47" s="90">
        <v>71830</v>
      </c>
      <c r="M47" s="4"/>
      <c r="N47" s="4"/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15">
      <c r="A48" s="13" t="s">
        <v>17</v>
      </c>
      <c r="B48" s="8">
        <v>0</v>
      </c>
      <c r="C48" s="54">
        <v>0</v>
      </c>
      <c r="D48" s="76">
        <f t="shared" si="1"/>
        <v>0</v>
      </c>
      <c r="E48" s="38">
        <v>0</v>
      </c>
      <c r="F48" s="8">
        <v>0</v>
      </c>
      <c r="G48" s="8">
        <v>0</v>
      </c>
      <c r="H48" s="8">
        <v>0</v>
      </c>
      <c r="I48" s="38">
        <v>0</v>
      </c>
      <c r="J48" s="54">
        <v>0</v>
      </c>
      <c r="K48" s="76">
        <f t="shared" si="2"/>
        <v>0</v>
      </c>
      <c r="L48" s="90">
        <v>0</v>
      </c>
      <c r="M48" s="4"/>
      <c r="N48" s="4"/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15" x14ac:dyDescent="0.15">
      <c r="A49" s="14" t="s">
        <v>48</v>
      </c>
      <c r="B49" s="10">
        <v>0</v>
      </c>
      <c r="C49" s="58">
        <v>0</v>
      </c>
      <c r="D49" s="77">
        <f t="shared" si="1"/>
        <v>0</v>
      </c>
      <c r="E49" s="42">
        <v>0</v>
      </c>
      <c r="F49" s="10">
        <v>0</v>
      </c>
      <c r="G49" s="10">
        <v>0</v>
      </c>
      <c r="H49" s="10">
        <v>0</v>
      </c>
      <c r="I49" s="42">
        <v>0</v>
      </c>
      <c r="J49" s="58">
        <v>0</v>
      </c>
      <c r="K49" s="77">
        <f t="shared" si="2"/>
        <v>0</v>
      </c>
      <c r="L49" s="94">
        <v>0</v>
      </c>
      <c r="M49" s="5"/>
      <c r="N49" s="5"/>
      <c r="O49" s="5"/>
    </row>
    <row r="50" spans="1:15" x14ac:dyDescent="0.15">
      <c r="A50" s="14" t="s">
        <v>21</v>
      </c>
      <c r="B50" s="10">
        <v>1818</v>
      </c>
      <c r="C50" s="58">
        <v>0</v>
      </c>
      <c r="D50" s="77">
        <f t="shared" si="1"/>
        <v>1818</v>
      </c>
      <c r="E50" s="42">
        <v>4800</v>
      </c>
      <c r="F50" s="10">
        <v>6562</v>
      </c>
      <c r="G50" s="10">
        <v>0</v>
      </c>
      <c r="H50" s="10">
        <v>5026</v>
      </c>
      <c r="I50" s="42">
        <v>1795</v>
      </c>
      <c r="J50" s="58">
        <v>1376</v>
      </c>
      <c r="K50" s="77">
        <f t="shared" si="2"/>
        <v>19559</v>
      </c>
      <c r="L50" s="94">
        <v>21377</v>
      </c>
      <c r="M50" s="5"/>
      <c r="N50" s="5"/>
      <c r="O50" s="5"/>
    </row>
    <row r="51" spans="1:15" ht="14.25" thickBot="1" x14ac:dyDescent="0.2">
      <c r="A51" s="15" t="s">
        <v>49</v>
      </c>
      <c r="B51" s="29">
        <v>406818</v>
      </c>
      <c r="C51" s="59">
        <v>91715</v>
      </c>
      <c r="D51" s="78">
        <f t="shared" si="1"/>
        <v>498533</v>
      </c>
      <c r="E51" s="43">
        <v>387653</v>
      </c>
      <c r="F51" s="29">
        <v>363776</v>
      </c>
      <c r="G51" s="29">
        <v>0</v>
      </c>
      <c r="H51" s="29">
        <v>332674</v>
      </c>
      <c r="I51" s="43">
        <v>340439</v>
      </c>
      <c r="J51" s="59">
        <v>345043</v>
      </c>
      <c r="K51" s="78">
        <f t="shared" si="2"/>
        <v>1769585</v>
      </c>
      <c r="L51" s="95">
        <v>2268118</v>
      </c>
      <c r="M51" s="5"/>
      <c r="N51" s="5"/>
      <c r="O51" s="5"/>
    </row>
    <row r="52" spans="1:15" x14ac:dyDescent="0.15">
      <c r="A52" s="27" t="s">
        <v>50</v>
      </c>
      <c r="B52" s="28">
        <v>9949</v>
      </c>
      <c r="C52" s="60">
        <v>3240</v>
      </c>
      <c r="D52" s="79">
        <f t="shared" si="1"/>
        <v>13189</v>
      </c>
      <c r="E52" s="44">
        <v>4343</v>
      </c>
      <c r="F52" s="28">
        <v>4146</v>
      </c>
      <c r="G52" s="28">
        <v>0</v>
      </c>
      <c r="H52" s="28">
        <v>3672</v>
      </c>
      <c r="I52" s="44">
        <v>3317</v>
      </c>
      <c r="J52" s="60">
        <v>4738</v>
      </c>
      <c r="K52" s="79">
        <f t="shared" si="2"/>
        <v>20216</v>
      </c>
      <c r="L52" s="96">
        <v>33405</v>
      </c>
      <c r="M52" s="5"/>
      <c r="N52" s="5"/>
      <c r="O52" s="5"/>
    </row>
    <row r="53" spans="1:15" x14ac:dyDescent="0.15">
      <c r="A53" s="14" t="s">
        <v>51</v>
      </c>
      <c r="B53" s="10">
        <v>0</v>
      </c>
      <c r="C53" s="58">
        <v>0</v>
      </c>
      <c r="D53" s="77">
        <f t="shared" si="1"/>
        <v>0</v>
      </c>
      <c r="E53" s="42">
        <v>0</v>
      </c>
      <c r="F53" s="10">
        <v>0</v>
      </c>
      <c r="G53" s="10">
        <v>0</v>
      </c>
      <c r="H53" s="10">
        <v>0</v>
      </c>
      <c r="I53" s="42">
        <v>0</v>
      </c>
      <c r="J53" s="58">
        <v>0</v>
      </c>
      <c r="K53" s="77">
        <f t="shared" si="2"/>
        <v>0</v>
      </c>
      <c r="L53" s="94">
        <v>0</v>
      </c>
    </row>
    <row r="54" spans="1:15" ht="14.25" thickBot="1" x14ac:dyDescent="0.2">
      <c r="A54" s="30" t="s">
        <v>52</v>
      </c>
      <c r="B54" s="31">
        <v>9949</v>
      </c>
      <c r="C54" s="61">
        <v>3240</v>
      </c>
      <c r="D54" s="80">
        <f t="shared" si="1"/>
        <v>13189</v>
      </c>
      <c r="E54" s="45">
        <v>4343</v>
      </c>
      <c r="F54" s="31">
        <v>4146</v>
      </c>
      <c r="G54" s="31">
        <v>0</v>
      </c>
      <c r="H54" s="31">
        <v>3672</v>
      </c>
      <c r="I54" s="45">
        <v>3317</v>
      </c>
      <c r="J54" s="61">
        <v>4738</v>
      </c>
      <c r="K54" s="80">
        <f t="shared" si="2"/>
        <v>20216</v>
      </c>
      <c r="L54" s="97">
        <v>33405</v>
      </c>
    </row>
    <row r="55" spans="1:15" ht="14.25" thickBot="1" x14ac:dyDescent="0.2">
      <c r="A55" s="32" t="s">
        <v>53</v>
      </c>
      <c r="B55" s="33">
        <v>416767</v>
      </c>
      <c r="C55" s="62">
        <v>94955</v>
      </c>
      <c r="D55" s="81">
        <f t="shared" si="1"/>
        <v>511722</v>
      </c>
      <c r="E55" s="46">
        <v>391996</v>
      </c>
      <c r="F55" s="33">
        <v>367922</v>
      </c>
      <c r="G55" s="33">
        <v>0</v>
      </c>
      <c r="H55" s="33">
        <v>336346</v>
      </c>
      <c r="I55" s="46">
        <v>343756</v>
      </c>
      <c r="J55" s="62">
        <v>349781</v>
      </c>
      <c r="K55" s="81">
        <f t="shared" si="2"/>
        <v>1789801</v>
      </c>
      <c r="L55" s="98">
        <v>2301523</v>
      </c>
    </row>
    <row r="56" spans="1:15" x14ac:dyDescent="0.15">
      <c r="A56" s="27" t="s">
        <v>54</v>
      </c>
      <c r="B56" s="28">
        <v>20910</v>
      </c>
      <c r="C56" s="60">
        <v>0</v>
      </c>
      <c r="D56" s="79">
        <f t="shared" si="1"/>
        <v>20910</v>
      </c>
      <c r="E56" s="44">
        <v>20910</v>
      </c>
      <c r="F56" s="28">
        <v>19380</v>
      </c>
      <c r="G56" s="28">
        <v>18360</v>
      </c>
      <c r="H56" s="28">
        <v>18360</v>
      </c>
      <c r="I56" s="44">
        <v>19380</v>
      </c>
      <c r="J56" s="60">
        <v>19380</v>
      </c>
      <c r="K56" s="79">
        <f t="shared" si="2"/>
        <v>115770</v>
      </c>
      <c r="L56" s="96">
        <v>136680</v>
      </c>
    </row>
    <row r="57" spans="1:15" x14ac:dyDescent="0.15">
      <c r="A57" s="14" t="s">
        <v>55</v>
      </c>
      <c r="B57" s="10">
        <v>3690</v>
      </c>
      <c r="C57" s="58">
        <v>0</v>
      </c>
      <c r="D57" s="77">
        <f t="shared" si="1"/>
        <v>3690</v>
      </c>
      <c r="E57" s="42">
        <v>3690</v>
      </c>
      <c r="F57" s="10">
        <v>3420</v>
      </c>
      <c r="G57" s="10">
        <v>3240</v>
      </c>
      <c r="H57" s="10">
        <v>3240</v>
      </c>
      <c r="I57" s="42">
        <v>3420</v>
      </c>
      <c r="J57" s="58">
        <v>3420</v>
      </c>
      <c r="K57" s="77">
        <f t="shared" si="2"/>
        <v>20430</v>
      </c>
      <c r="L57" s="94">
        <v>24120</v>
      </c>
    </row>
    <row r="58" spans="1:15" x14ac:dyDescent="0.15">
      <c r="A58" s="14" t="s">
        <v>56</v>
      </c>
      <c r="B58" s="10">
        <v>37515</v>
      </c>
      <c r="C58" s="58">
        <v>0</v>
      </c>
      <c r="D58" s="77">
        <f t="shared" si="1"/>
        <v>37515</v>
      </c>
      <c r="E58" s="42">
        <v>37515</v>
      </c>
      <c r="F58" s="10">
        <v>34770</v>
      </c>
      <c r="G58" s="10">
        <v>32940</v>
      </c>
      <c r="H58" s="10">
        <v>32940</v>
      </c>
      <c r="I58" s="42">
        <v>34770</v>
      </c>
      <c r="J58" s="58">
        <v>34770</v>
      </c>
      <c r="K58" s="77">
        <f t="shared" si="2"/>
        <v>207705</v>
      </c>
      <c r="L58" s="94">
        <v>245220</v>
      </c>
    </row>
    <row r="59" spans="1:15" x14ac:dyDescent="0.15">
      <c r="A59" s="14" t="s">
        <v>57</v>
      </c>
      <c r="B59" s="10">
        <v>0</v>
      </c>
      <c r="C59" s="58">
        <v>0</v>
      </c>
      <c r="D59" s="77">
        <f t="shared" si="1"/>
        <v>0</v>
      </c>
      <c r="E59" s="42">
        <v>0</v>
      </c>
      <c r="F59" s="10">
        <v>0</v>
      </c>
      <c r="G59" s="10">
        <v>0</v>
      </c>
      <c r="H59" s="10">
        <v>0</v>
      </c>
      <c r="I59" s="42">
        <v>0</v>
      </c>
      <c r="J59" s="58">
        <v>0</v>
      </c>
      <c r="K59" s="77">
        <f t="shared" si="2"/>
        <v>0</v>
      </c>
      <c r="L59" s="94">
        <v>0</v>
      </c>
    </row>
    <row r="60" spans="1:15" x14ac:dyDescent="0.15">
      <c r="A60" s="14" t="s">
        <v>58</v>
      </c>
      <c r="B60" s="10">
        <v>1250</v>
      </c>
      <c r="C60" s="58">
        <v>285</v>
      </c>
      <c r="D60" s="77">
        <f t="shared" si="1"/>
        <v>1535</v>
      </c>
      <c r="E60" s="42">
        <v>1176</v>
      </c>
      <c r="F60" s="10">
        <v>1104</v>
      </c>
      <c r="G60" s="10">
        <v>0</v>
      </c>
      <c r="H60" s="10">
        <v>1009</v>
      </c>
      <c r="I60" s="42">
        <v>1031</v>
      </c>
      <c r="J60" s="58">
        <v>1049</v>
      </c>
      <c r="K60" s="77">
        <f t="shared" si="2"/>
        <v>5369</v>
      </c>
      <c r="L60" s="94">
        <v>6904</v>
      </c>
    </row>
    <row r="61" spans="1:15" x14ac:dyDescent="0.15">
      <c r="A61" s="14" t="s">
        <v>59</v>
      </c>
      <c r="B61" s="10">
        <v>0</v>
      </c>
      <c r="C61" s="58">
        <v>0</v>
      </c>
      <c r="D61" s="77">
        <f t="shared" si="1"/>
        <v>0</v>
      </c>
      <c r="E61" s="42">
        <v>0</v>
      </c>
      <c r="F61" s="10">
        <v>0</v>
      </c>
      <c r="G61" s="10">
        <v>0</v>
      </c>
      <c r="H61" s="10">
        <v>0</v>
      </c>
      <c r="I61" s="42">
        <v>0</v>
      </c>
      <c r="J61" s="58">
        <v>0</v>
      </c>
      <c r="K61" s="77">
        <f t="shared" si="2"/>
        <v>0</v>
      </c>
      <c r="L61" s="94">
        <v>0</v>
      </c>
    </row>
    <row r="62" spans="1:15" ht="14.25" thickBot="1" x14ac:dyDescent="0.2">
      <c r="A62" s="30" t="s">
        <v>60</v>
      </c>
      <c r="B62" s="31">
        <v>63365</v>
      </c>
      <c r="C62" s="61">
        <v>285</v>
      </c>
      <c r="D62" s="80">
        <f t="shared" si="1"/>
        <v>63650</v>
      </c>
      <c r="E62" s="45">
        <v>63291</v>
      </c>
      <c r="F62" s="31">
        <v>58674</v>
      </c>
      <c r="G62" s="31">
        <v>54540</v>
      </c>
      <c r="H62" s="31">
        <v>55549</v>
      </c>
      <c r="I62" s="45">
        <v>58601</v>
      </c>
      <c r="J62" s="61">
        <v>58619</v>
      </c>
      <c r="K62" s="80">
        <f t="shared" si="2"/>
        <v>349274</v>
      </c>
      <c r="L62" s="97">
        <v>412924</v>
      </c>
    </row>
    <row r="63" spans="1:15" ht="14.25" thickBot="1" x14ac:dyDescent="0.2">
      <c r="A63" s="32" t="s">
        <v>61</v>
      </c>
      <c r="B63" s="33">
        <v>343453</v>
      </c>
      <c r="C63" s="62">
        <v>91430</v>
      </c>
      <c r="D63" s="81">
        <f t="shared" si="1"/>
        <v>434883</v>
      </c>
      <c r="E63" s="46">
        <v>324362</v>
      </c>
      <c r="F63" s="33">
        <v>305102</v>
      </c>
      <c r="G63" s="33">
        <v>0</v>
      </c>
      <c r="H63" s="33">
        <v>277125</v>
      </c>
      <c r="I63" s="46">
        <v>281838</v>
      </c>
      <c r="J63" s="62">
        <v>286424</v>
      </c>
      <c r="K63" s="81">
        <f t="shared" si="2"/>
        <v>1474851</v>
      </c>
      <c r="L63" s="98">
        <v>1909734</v>
      </c>
    </row>
    <row r="64" spans="1:15" x14ac:dyDescent="0.15">
      <c r="A64" s="27" t="s">
        <v>62</v>
      </c>
      <c r="B64" s="28">
        <v>8700</v>
      </c>
      <c r="C64" s="60">
        <v>290</v>
      </c>
      <c r="D64" s="79">
        <f t="shared" si="1"/>
        <v>8990</v>
      </c>
      <c r="E64" s="44">
        <v>7720</v>
      </c>
      <c r="F64" s="28">
        <v>8800</v>
      </c>
      <c r="G64" s="28">
        <v>0</v>
      </c>
      <c r="H64" s="28">
        <v>4290</v>
      </c>
      <c r="I64" s="44">
        <v>7690</v>
      </c>
      <c r="J64" s="60">
        <v>4620</v>
      </c>
      <c r="K64" s="79">
        <f t="shared" si="2"/>
        <v>33120</v>
      </c>
      <c r="L64" s="96">
        <v>42110</v>
      </c>
    </row>
    <row r="65" spans="1:12" x14ac:dyDescent="0.15">
      <c r="A65" s="14" t="s">
        <v>63</v>
      </c>
      <c r="B65" s="10">
        <v>0</v>
      </c>
      <c r="C65" s="58">
        <v>0</v>
      </c>
      <c r="D65" s="77">
        <f t="shared" si="1"/>
        <v>0</v>
      </c>
      <c r="E65" s="42">
        <v>0</v>
      </c>
      <c r="F65" s="10">
        <v>0</v>
      </c>
      <c r="G65" s="10">
        <v>0</v>
      </c>
      <c r="H65" s="10">
        <v>0</v>
      </c>
      <c r="I65" s="42">
        <v>0</v>
      </c>
      <c r="J65" s="58">
        <v>0</v>
      </c>
      <c r="K65" s="77">
        <f t="shared" si="2"/>
        <v>0</v>
      </c>
      <c r="L65" s="94">
        <v>0</v>
      </c>
    </row>
    <row r="66" spans="1:12" x14ac:dyDescent="0.15">
      <c r="A66" s="14" t="s">
        <v>64</v>
      </c>
      <c r="B66" s="10">
        <v>26000</v>
      </c>
      <c r="C66" s="58">
        <v>1000</v>
      </c>
      <c r="D66" s="77">
        <f t="shared" si="1"/>
        <v>27000</v>
      </c>
      <c r="E66" s="42">
        <v>16300</v>
      </c>
      <c r="F66" s="10">
        <v>17400</v>
      </c>
      <c r="G66" s="10">
        <v>13500</v>
      </c>
      <c r="H66" s="10">
        <v>9500</v>
      </c>
      <c r="I66" s="42">
        <v>15800</v>
      </c>
      <c r="J66" s="58">
        <v>10700</v>
      </c>
      <c r="K66" s="77">
        <f t="shared" si="2"/>
        <v>83200</v>
      </c>
      <c r="L66" s="94">
        <v>110200</v>
      </c>
    </row>
    <row r="67" spans="1:12" x14ac:dyDescent="0.15">
      <c r="A67" s="14" t="s">
        <v>65</v>
      </c>
      <c r="B67" s="10">
        <v>0</v>
      </c>
      <c r="C67" s="58">
        <v>0</v>
      </c>
      <c r="D67" s="77">
        <f t="shared" si="1"/>
        <v>0</v>
      </c>
      <c r="E67" s="42">
        <v>0</v>
      </c>
      <c r="F67" s="10">
        <v>0</v>
      </c>
      <c r="G67" s="10">
        <v>-68040</v>
      </c>
      <c r="H67" s="10">
        <v>0</v>
      </c>
      <c r="I67" s="42">
        <v>0</v>
      </c>
      <c r="J67" s="58">
        <v>0</v>
      </c>
      <c r="K67" s="77">
        <f t="shared" si="2"/>
        <v>-68040</v>
      </c>
      <c r="L67" s="94">
        <v>-68040</v>
      </c>
    </row>
    <row r="68" spans="1:12" x14ac:dyDescent="0.15">
      <c r="A68" s="14" t="s">
        <v>66</v>
      </c>
      <c r="B68" s="10">
        <v>0</v>
      </c>
      <c r="C68" s="58">
        <v>0</v>
      </c>
      <c r="D68" s="77">
        <f t="shared" si="1"/>
        <v>0</v>
      </c>
      <c r="E68" s="42">
        <v>0</v>
      </c>
      <c r="F68" s="10">
        <v>0</v>
      </c>
      <c r="G68" s="10">
        <v>0</v>
      </c>
      <c r="H68" s="10">
        <v>0</v>
      </c>
      <c r="I68" s="42">
        <v>0</v>
      </c>
      <c r="J68" s="58">
        <v>0</v>
      </c>
      <c r="K68" s="77">
        <f t="shared" si="2"/>
        <v>0</v>
      </c>
      <c r="L68" s="94">
        <v>0</v>
      </c>
    </row>
    <row r="69" spans="1:12" x14ac:dyDescent="0.15">
      <c r="A69" s="14" t="s">
        <v>67</v>
      </c>
      <c r="B69" s="10">
        <v>0</v>
      </c>
      <c r="C69" s="58">
        <v>0</v>
      </c>
      <c r="D69" s="77">
        <f t="shared" si="1"/>
        <v>0</v>
      </c>
      <c r="E69" s="42">
        <v>0</v>
      </c>
      <c r="F69" s="10">
        <v>0</v>
      </c>
      <c r="G69" s="10">
        <v>0</v>
      </c>
      <c r="H69" s="10">
        <v>0</v>
      </c>
      <c r="I69" s="42">
        <v>0</v>
      </c>
      <c r="J69" s="58">
        <v>0</v>
      </c>
      <c r="K69" s="77">
        <f t="shared" si="2"/>
        <v>0</v>
      </c>
      <c r="L69" s="94">
        <v>0</v>
      </c>
    </row>
    <row r="70" spans="1:12" x14ac:dyDescent="0.15">
      <c r="A70" s="14" t="s">
        <v>68</v>
      </c>
      <c r="B70" s="10">
        <v>0</v>
      </c>
      <c r="C70" s="58">
        <v>0</v>
      </c>
      <c r="D70" s="77">
        <f t="shared" si="1"/>
        <v>0</v>
      </c>
      <c r="E70" s="42">
        <v>0</v>
      </c>
      <c r="F70" s="10">
        <v>0</v>
      </c>
      <c r="G70" s="10">
        <v>0</v>
      </c>
      <c r="H70" s="10">
        <v>0</v>
      </c>
      <c r="I70" s="42">
        <v>0</v>
      </c>
      <c r="J70" s="58">
        <v>0</v>
      </c>
      <c r="K70" s="77">
        <f t="shared" si="2"/>
        <v>0</v>
      </c>
      <c r="L70" s="94">
        <v>0</v>
      </c>
    </row>
    <row r="71" spans="1:12" ht="14.25" thickBot="1" x14ac:dyDescent="0.2">
      <c r="A71" s="30" t="s">
        <v>69</v>
      </c>
      <c r="B71" s="31">
        <v>34700</v>
      </c>
      <c r="C71" s="61">
        <v>1290</v>
      </c>
      <c r="D71" s="80">
        <f t="shared" si="1"/>
        <v>35990</v>
      </c>
      <c r="E71" s="45">
        <v>24020</v>
      </c>
      <c r="F71" s="31">
        <v>26200</v>
      </c>
      <c r="G71" s="31">
        <v>-54540</v>
      </c>
      <c r="H71" s="31">
        <v>13790</v>
      </c>
      <c r="I71" s="45">
        <v>23490</v>
      </c>
      <c r="J71" s="61">
        <v>15320</v>
      </c>
      <c r="K71" s="80">
        <f t="shared" si="2"/>
        <v>48280</v>
      </c>
      <c r="L71" s="97">
        <v>84270</v>
      </c>
    </row>
    <row r="72" spans="1:12" ht="14.25" thickBot="1" x14ac:dyDescent="0.2">
      <c r="A72" s="32" t="s">
        <v>70</v>
      </c>
      <c r="B72" s="33">
        <v>98065</v>
      </c>
      <c r="C72" s="62">
        <v>1575</v>
      </c>
      <c r="D72" s="81">
        <f t="shared" si="1"/>
        <v>99640</v>
      </c>
      <c r="E72" s="46">
        <v>87311</v>
      </c>
      <c r="F72" s="33">
        <v>84874</v>
      </c>
      <c r="G72" s="33">
        <v>0</v>
      </c>
      <c r="H72" s="33">
        <v>69339</v>
      </c>
      <c r="I72" s="46">
        <v>82091</v>
      </c>
      <c r="J72" s="62">
        <v>73939</v>
      </c>
      <c r="K72" s="81">
        <f t="shared" si="2"/>
        <v>397554</v>
      </c>
      <c r="L72" s="98">
        <v>497194</v>
      </c>
    </row>
    <row r="73" spans="1:12" ht="14.25" thickBot="1" x14ac:dyDescent="0.2">
      <c r="A73" s="32" t="s">
        <v>71</v>
      </c>
      <c r="B73" s="33">
        <v>318702</v>
      </c>
      <c r="C73" s="62">
        <v>93380</v>
      </c>
      <c r="D73" s="81">
        <f t="shared" si="1"/>
        <v>412082</v>
      </c>
      <c r="E73" s="46">
        <v>304685</v>
      </c>
      <c r="F73" s="33">
        <v>283048</v>
      </c>
      <c r="G73" s="33">
        <v>0</v>
      </c>
      <c r="H73" s="33">
        <v>267007</v>
      </c>
      <c r="I73" s="46">
        <v>261665</v>
      </c>
      <c r="J73" s="62">
        <v>275842</v>
      </c>
      <c r="K73" s="81">
        <f t="shared" si="2"/>
        <v>1392247</v>
      </c>
      <c r="L73" s="98">
        <v>1804329</v>
      </c>
    </row>
    <row r="74" spans="1:12" x14ac:dyDescent="0.15">
      <c r="A74" s="27" t="s">
        <v>72</v>
      </c>
      <c r="B74" s="28">
        <v>0</v>
      </c>
      <c r="C74" s="60">
        <v>0</v>
      </c>
      <c r="D74" s="79">
        <f t="shared" si="1"/>
        <v>0</v>
      </c>
      <c r="E74" s="44">
        <v>0</v>
      </c>
      <c r="F74" s="28">
        <v>0</v>
      </c>
      <c r="G74" s="28">
        <v>0</v>
      </c>
      <c r="H74" s="28">
        <v>0</v>
      </c>
      <c r="I74" s="44">
        <v>0</v>
      </c>
      <c r="J74" s="60">
        <v>0</v>
      </c>
      <c r="K74" s="79">
        <f t="shared" si="2"/>
        <v>0</v>
      </c>
      <c r="L74" s="96">
        <v>0</v>
      </c>
    </row>
    <row r="75" spans="1:12" x14ac:dyDescent="0.15">
      <c r="A75" s="14" t="s">
        <v>73</v>
      </c>
      <c r="B75" s="10">
        <v>318702</v>
      </c>
      <c r="C75" s="58">
        <v>93380</v>
      </c>
      <c r="D75" s="77">
        <f t="shared" si="1"/>
        <v>412082</v>
      </c>
      <c r="E75" s="42">
        <v>304685</v>
      </c>
      <c r="F75" s="10">
        <v>283048</v>
      </c>
      <c r="G75" s="10">
        <v>0</v>
      </c>
      <c r="H75" s="10">
        <v>267007</v>
      </c>
      <c r="I75" s="42">
        <v>261665</v>
      </c>
      <c r="J75" s="58">
        <v>275842</v>
      </c>
      <c r="K75" s="77">
        <f t="shared" si="2"/>
        <v>1392247</v>
      </c>
      <c r="L75" s="94">
        <v>1804329</v>
      </c>
    </row>
    <row r="76" spans="1:12" x14ac:dyDescent="0.15">
      <c r="A76" s="14" t="s">
        <v>74</v>
      </c>
      <c r="B76" s="11">
        <v>35</v>
      </c>
      <c r="C76" s="63">
        <v>16</v>
      </c>
      <c r="D76" s="82"/>
      <c r="E76" s="47">
        <v>36</v>
      </c>
      <c r="F76" s="11">
        <v>37</v>
      </c>
      <c r="G76" s="11">
        <v>40</v>
      </c>
      <c r="H76" s="11">
        <v>19</v>
      </c>
      <c r="I76" s="47">
        <v>27</v>
      </c>
      <c r="J76" s="63">
        <v>26</v>
      </c>
      <c r="K76" s="82"/>
      <c r="L76" s="99">
        <v>236</v>
      </c>
    </row>
    <row r="77" spans="1:12" x14ac:dyDescent="0.15">
      <c r="A77" s="14" t="s">
        <v>75</v>
      </c>
      <c r="B77" s="12">
        <v>1</v>
      </c>
      <c r="C77" s="64"/>
      <c r="D77" s="83"/>
      <c r="E77" s="48">
        <v>1</v>
      </c>
      <c r="F77" s="12"/>
      <c r="G77" s="12">
        <v>1</v>
      </c>
      <c r="H77" s="12">
        <v>2</v>
      </c>
      <c r="I77" s="48"/>
      <c r="J77" s="64">
        <v>2</v>
      </c>
      <c r="K77" s="83"/>
      <c r="L77" s="100"/>
    </row>
    <row r="78" spans="1:12" ht="14.25" thickBot="1" x14ac:dyDescent="0.2">
      <c r="A78" s="15" t="s">
        <v>76</v>
      </c>
      <c r="B78" s="16" t="s">
        <v>77</v>
      </c>
      <c r="C78" s="65" t="s">
        <v>77</v>
      </c>
      <c r="D78" s="84"/>
      <c r="E78" s="49" t="s">
        <v>77</v>
      </c>
      <c r="F78" s="16" t="s">
        <v>77</v>
      </c>
      <c r="G78" s="16" t="s">
        <v>77</v>
      </c>
      <c r="H78" s="16" t="s">
        <v>77</v>
      </c>
      <c r="I78" s="49" t="s">
        <v>77</v>
      </c>
      <c r="J78" s="65" t="s">
        <v>77</v>
      </c>
      <c r="K78" s="84"/>
      <c r="L78" s="101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2020-10-13T05:25:23Z</cp:lastPrinted>
  <dcterms:created xsi:type="dcterms:W3CDTF">2011-10-11T01:59:58Z</dcterms:created>
  <dcterms:modified xsi:type="dcterms:W3CDTF">2020-10-13T07:26:36Z</dcterms:modified>
</cp:coreProperties>
</file>