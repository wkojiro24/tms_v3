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91F3BBCD-34BA-4BDD-8D87-D145DC3E9A57}" xr6:coauthVersionLast="45" xr6:coauthVersionMax="45" xr10:uidLastSave="{00000000-0000-0000-0000-000000000000}"/>
  <bookViews>
    <workbookView xWindow="-120" yWindow="-120" windowWidth="20730" windowHeight="11160" tabRatio="583" xr2:uid="{00000000-000D-0000-FFFF-FFFF00000000}"/>
  </bookViews>
  <sheets>
    <sheet name="1頁 (3)" sheetId="3" r:id="rId1"/>
    <sheet name="1頁 (4)" sheetId="4" r:id="rId2"/>
  </sheets>
  <definedNames>
    <definedName name="_xlnm.Print_Area" localSheetId="1">'1頁 (4)'!$A$1:$S$76</definedName>
  </definedNames>
  <calcPr calcId="191029"/>
</workbook>
</file>

<file path=xl/calcChain.xml><?xml version="1.0" encoding="utf-8"?>
<calcChain xmlns="http://schemas.openxmlformats.org/spreadsheetml/2006/main">
  <c r="S73" i="4" l="1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16" i="4"/>
  <c r="S15" i="4"/>
  <c r="S14" i="4"/>
  <c r="S12" i="4"/>
  <c r="S8" i="4"/>
  <c r="S7" i="4"/>
  <c r="S6" i="4"/>
  <c r="M73" i="3"/>
  <c r="K73" i="3"/>
  <c r="M72" i="3"/>
  <c r="K72" i="3"/>
  <c r="M71" i="3"/>
  <c r="K71" i="3"/>
  <c r="M70" i="3"/>
  <c r="K70" i="3"/>
  <c r="M69" i="3"/>
  <c r="K69" i="3"/>
  <c r="M68" i="3"/>
  <c r="K68" i="3"/>
  <c r="M67" i="3"/>
  <c r="K67" i="3"/>
  <c r="M66" i="3"/>
  <c r="K66" i="3"/>
  <c r="M65" i="3"/>
  <c r="K65" i="3"/>
  <c r="M64" i="3"/>
  <c r="K64" i="3"/>
  <c r="M63" i="3"/>
  <c r="K63" i="3"/>
  <c r="M62" i="3"/>
  <c r="K62" i="3"/>
  <c r="M61" i="3"/>
  <c r="K61" i="3"/>
  <c r="M60" i="3"/>
  <c r="K60" i="3"/>
  <c r="M59" i="3"/>
  <c r="K59" i="3"/>
  <c r="M58" i="3"/>
  <c r="K58" i="3"/>
  <c r="M57" i="3"/>
  <c r="K57" i="3"/>
  <c r="M56" i="3"/>
  <c r="K56" i="3"/>
  <c r="M55" i="3"/>
  <c r="K55" i="3"/>
  <c r="M54" i="3"/>
  <c r="K54" i="3"/>
  <c r="M53" i="3"/>
  <c r="K53" i="3"/>
  <c r="M52" i="3"/>
  <c r="K52" i="3"/>
  <c r="M51" i="3"/>
  <c r="K51" i="3"/>
  <c r="M50" i="3"/>
  <c r="K50" i="3"/>
  <c r="M49" i="3"/>
  <c r="K49" i="3"/>
  <c r="M48" i="3"/>
  <c r="K48" i="3"/>
  <c r="M47" i="3"/>
  <c r="K47" i="3"/>
  <c r="M46" i="3"/>
  <c r="K46" i="3"/>
  <c r="M45" i="3"/>
  <c r="K45" i="3"/>
  <c r="M44" i="3"/>
  <c r="K44" i="3"/>
  <c r="M43" i="3"/>
  <c r="K43" i="3"/>
  <c r="M42" i="3"/>
  <c r="K42" i="3"/>
  <c r="M41" i="3"/>
  <c r="K41" i="3"/>
  <c r="M40" i="3"/>
  <c r="K40" i="3"/>
  <c r="M39" i="3"/>
  <c r="K39" i="3"/>
  <c r="M38" i="3"/>
  <c r="K38" i="3"/>
  <c r="M37" i="3"/>
  <c r="K37" i="3"/>
  <c r="M36" i="3"/>
  <c r="K36" i="3"/>
  <c r="M35" i="3"/>
  <c r="K35" i="3"/>
  <c r="M34" i="3"/>
  <c r="K34" i="3"/>
  <c r="M33" i="3"/>
  <c r="K33" i="3"/>
  <c r="M32" i="3"/>
  <c r="K32" i="3"/>
  <c r="M31" i="3"/>
  <c r="K31" i="3"/>
  <c r="M30" i="3"/>
  <c r="K30" i="3"/>
  <c r="M29" i="3"/>
  <c r="K29" i="3"/>
  <c r="M28" i="3"/>
  <c r="K28" i="3"/>
  <c r="M27" i="3"/>
  <c r="K27" i="3"/>
  <c r="M26" i="3"/>
  <c r="K26" i="3"/>
  <c r="M25" i="3"/>
  <c r="K25" i="3"/>
  <c r="M24" i="3"/>
  <c r="K24" i="3"/>
  <c r="M23" i="3"/>
  <c r="K23" i="3"/>
  <c r="K22" i="3"/>
  <c r="K21" i="3"/>
  <c r="K16" i="3"/>
  <c r="K15" i="3"/>
  <c r="K14" i="3"/>
  <c r="K13" i="3"/>
  <c r="K10" i="3"/>
  <c r="K8" i="3"/>
  <c r="M7" i="3"/>
  <c r="K7" i="3"/>
  <c r="M6" i="3"/>
  <c r="K6" i="3"/>
</calcChain>
</file>

<file path=xl/sharedStrings.xml><?xml version="1.0" encoding="utf-8"?>
<sst xmlns="http://schemas.openxmlformats.org/spreadsheetml/2006/main" count="242" uniqueCount="108">
  <si>
    <t>所　属</t>
  </si>
  <si>
    <t>社　員</t>
  </si>
  <si>
    <t>２０20年9月分</t>
  </si>
  <si>
    <t>小名浜営業所</t>
  </si>
  <si>
    <t>渡邊　浩司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</si>
  <si>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</si>
  <si>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</si>
  <si>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</si>
  <si>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</si>
  <si>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</si>
  <si>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</si>
  <si>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</si>
  <si>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</si>
  <si>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</si>
  <si>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</si>
  <si>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</si>
  <si>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</si>
  <si>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</si>
  <si>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</si>
  <si>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</si>
  <si>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</si>
  <si>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</si>
  <si>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松本　誠治</t>
  </si>
  <si>
    <t>小名浜営業所/ドライバー</t>
  </si>
  <si>
    <t>小林　啓一</t>
  </si>
  <si>
    <t>鈴木　富雄</t>
  </si>
  <si>
    <t>雲藤　順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</si>
  <si>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</si>
  <si>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</si>
  <si>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</si>
  <si>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</si>
  <si>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</si>
  <si>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</si>
  <si>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</si>
  <si>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</si>
  <si>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</si>
  <si>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</si>
  <si>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</si>
  <si>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</si>
  <si>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</si>
  <si>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</si>
  <si>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</si>
  <si>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</si>
  <si>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</si>
  <si>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</si>
  <si>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</si>
  <si>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</si>
  <si>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</si>
  <si>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</si>
  <si>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</si>
  <si>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</si>
  <si>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</si>
  <si>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</si>
  <si>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</si>
  <si>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</si>
  <si>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</si>
  <si>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</si>
  <si>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</si>
  <si>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</si>
  <si>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</si>
  <si>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</si>
  <si>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</si>
  <si>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</si>
  <si>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</si>
  <si>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</si>
  <si>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</si>
  <si>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</si>
  <si>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</si>
  <si>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</si>
  <si>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</si>
  <si>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</si>
  <si>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</si>
  <si>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</si>
  <si>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</si>
  <si>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</si>
  <si>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</si>
  <si>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</si>
  <si>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鈴木　浩明</t>
  </si>
  <si>
    <t>青田　正一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</si>
  <si>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</si>
  <si>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</si>
  <si>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</si>
  <si>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</si>
  <si>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</si>
  <si>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</si>
  <si>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</si>
  <si>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</si>
  <si>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</si>
  <si>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</si>
  <si>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小名浜営業所/事務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</si>
  <si>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</si>
  <si>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</si>
  <si>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</si>
  <si>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</si>
  <si>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</si>
  <si>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</si>
  <si>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</si>
  <si>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</si>
  <si>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</si>
  <si>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</si>
  <si>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小名浜営業所/整備</t>
  </si>
  <si>
    <t>下山田　英治</t>
  </si>
  <si>
    <t>27名</t>
  </si>
  <si>
    <t>全社計</t>
  </si>
  <si>
    <t>小計</t>
    <rPh sb="0" eb="2">
      <t>ショウケイ</t>
    </rPh>
    <phoneticPr fontId="1"/>
  </si>
  <si>
    <t>17名</t>
    <rPh sb="2" eb="3">
      <t>メイ</t>
    </rPh>
    <phoneticPr fontId="1"/>
  </si>
  <si>
    <t>9名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</si>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</sst>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9" fontId="2" fillId="0" borderId="21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7" fontId="2" fillId="0" borderId="29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176" fontId="2" fillId="0" borderId="42" xfId="0" applyNumberFormat="1" applyFont="1" applyFill="1" applyBorder="1">
      <alignment vertical="center"/>
    </xf>
    <xf numFmtId="176" fontId="2" fillId="0" borderId="43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9" fontId="2" fillId="0" borderId="43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0" fontId="2" fillId="0" borderId="43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9" fontId="2" fillId="0" borderId="40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0B40-1823-4877-82EA-C0D148FC2E7B}">
  <sheetPr>
    <pageSetUpPr fitToPage="1"/>
  </sheetPr>
  <dimension ref="A1:AO76"/>
  <sheetViews>
    <sheetView tabSelected="1" zoomScale="80" zoomScaleNormal="8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4" width="11.625" style="2" customWidth="1"/>
    <col min="15" max="21" width="10.5" style="2" customWidth="1"/>
    <col min="22" max="16384" width="9" style="2"/>
  </cols>
  <sheetData>
    <row r="1" spans="1:41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1" x14ac:dyDescent="0.15">
      <c r="A3" s="18" t="s">
        <v>0</v>
      </c>
      <c r="B3" s="35" t="s">
        <v>89</v>
      </c>
      <c r="C3" s="19" t="s">
        <v>100</v>
      </c>
      <c r="D3" s="19" t="s">
        <v>89</v>
      </c>
      <c r="E3" s="35" t="s">
        <v>89</v>
      </c>
      <c r="F3" s="19" t="s">
        <v>89</v>
      </c>
      <c r="G3" s="19" t="s">
        <v>89</v>
      </c>
      <c r="H3" s="19" t="s">
        <v>89</v>
      </c>
      <c r="I3" s="19" t="s">
        <v>89</v>
      </c>
      <c r="J3" s="52" t="s">
        <v>89</v>
      </c>
      <c r="K3" s="69" t="s">
        <v>104</v>
      </c>
      <c r="L3" s="85" t="s">
        <v>89</v>
      </c>
      <c r="M3" s="69" t="s">
        <v>104</v>
      </c>
      <c r="N3" s="99" t="s">
        <v>103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1" x14ac:dyDescent="0.15">
      <c r="A4" s="20"/>
      <c r="B4" s="36">
        <v>1009</v>
      </c>
      <c r="C4" s="21">
        <v>1013</v>
      </c>
      <c r="D4" s="21">
        <v>1026</v>
      </c>
      <c r="E4" s="36">
        <v>1027</v>
      </c>
      <c r="F4" s="21">
        <v>1001</v>
      </c>
      <c r="G4" s="21">
        <v>1002</v>
      </c>
      <c r="H4" s="21">
        <v>1003</v>
      </c>
      <c r="I4" s="21">
        <v>1005</v>
      </c>
      <c r="J4" s="53">
        <v>1085</v>
      </c>
      <c r="K4" s="70"/>
      <c r="L4" s="1">
        <v>1014</v>
      </c>
      <c r="M4" s="70"/>
      <c r="N4" s="100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1" ht="14.25" thickBot="1" x14ac:dyDescent="0.2">
      <c r="A5" s="20" t="s">
        <v>1</v>
      </c>
      <c r="B5" s="36" t="s">
        <v>90</v>
      </c>
      <c r="C5" s="21" t="s">
        <v>101</v>
      </c>
      <c r="D5" s="21" t="s">
        <v>96</v>
      </c>
      <c r="E5" s="36" t="s">
        <v>98</v>
      </c>
      <c r="F5" s="21" t="s">
        <v>92</v>
      </c>
      <c r="G5" s="21" t="s">
        <v>93</v>
      </c>
      <c r="H5" s="21" t="s">
        <v>94</v>
      </c>
      <c r="I5" s="21" t="s">
        <v>95</v>
      </c>
      <c r="J5" s="53" t="s">
        <v>99</v>
      </c>
      <c r="K5" s="71" t="s">
        <v>106</v>
      </c>
      <c r="L5" s="1" t="s">
        <v>91</v>
      </c>
      <c r="M5" s="71" t="s">
        <v>107</v>
      </c>
      <c r="N5" s="101" t="s">
        <v>102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1" x14ac:dyDescent="0.15">
      <c r="A6" s="22" t="s">
        <v>5</v>
      </c>
      <c r="B6" s="37">
        <v>21</v>
      </c>
      <c r="C6" s="23">
        <v>21</v>
      </c>
      <c r="D6" s="23">
        <v>14</v>
      </c>
      <c r="E6" s="37">
        <v>14</v>
      </c>
      <c r="F6" s="23">
        <v>18</v>
      </c>
      <c r="G6" s="23">
        <v>10</v>
      </c>
      <c r="H6" s="23">
        <v>10</v>
      </c>
      <c r="I6" s="23">
        <v>10</v>
      </c>
      <c r="J6" s="54">
        <v>4</v>
      </c>
      <c r="K6" s="72">
        <f>SUM(B6:J6)</f>
        <v>122</v>
      </c>
      <c r="L6" s="86">
        <v>21</v>
      </c>
      <c r="M6" s="72">
        <f>SUM(L6)</f>
        <v>21</v>
      </c>
      <c r="N6" s="102">
        <v>478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1" x14ac:dyDescent="0.15">
      <c r="A7" s="14" t="s">
        <v>6</v>
      </c>
      <c r="B7" s="39">
        <v>1</v>
      </c>
      <c r="C7" s="8">
        <v>2</v>
      </c>
      <c r="D7" s="9"/>
      <c r="E7" s="38"/>
      <c r="F7" s="9"/>
      <c r="G7" s="9"/>
      <c r="H7" s="9"/>
      <c r="I7" s="9"/>
      <c r="J7" s="56"/>
      <c r="K7" s="73">
        <f>SUM(B7:J7)</f>
        <v>3</v>
      </c>
      <c r="L7" s="87">
        <v>1</v>
      </c>
      <c r="M7" s="73">
        <f>SUM(L7)</f>
        <v>1</v>
      </c>
      <c r="N7" s="103">
        <v>38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1" x14ac:dyDescent="0.15">
      <c r="A8" s="14" t="s">
        <v>7</v>
      </c>
      <c r="B8" s="38"/>
      <c r="C8" s="8">
        <v>1</v>
      </c>
      <c r="D8" s="9"/>
      <c r="E8" s="38"/>
      <c r="F8" s="9"/>
      <c r="G8" s="9"/>
      <c r="H8" s="9"/>
      <c r="I8" s="9"/>
      <c r="J8" s="56"/>
      <c r="K8" s="73">
        <f>SUM(B8:J8)</f>
        <v>1</v>
      </c>
      <c r="L8" s="88"/>
      <c r="M8" s="73"/>
      <c r="N8" s="103">
        <v>45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1" x14ac:dyDescent="0.15">
      <c r="A9" s="14" t="s">
        <v>8</v>
      </c>
      <c r="B9" s="38"/>
      <c r="C9" s="9"/>
      <c r="D9" s="9"/>
      <c r="E9" s="38"/>
      <c r="F9" s="9"/>
      <c r="G9" s="9"/>
      <c r="H9" s="9"/>
      <c r="I9" s="9"/>
      <c r="J9" s="56"/>
      <c r="K9" s="74"/>
      <c r="L9" s="88"/>
      <c r="M9" s="74"/>
      <c r="N9" s="10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1" x14ac:dyDescent="0.15">
      <c r="A10" s="14" t="s">
        <v>9</v>
      </c>
      <c r="B10" s="38"/>
      <c r="C10" s="9"/>
      <c r="D10" s="8">
        <v>1</v>
      </c>
      <c r="E10" s="39">
        <v>1</v>
      </c>
      <c r="F10" s="9"/>
      <c r="G10" s="8">
        <v>2</v>
      </c>
      <c r="H10" s="8">
        <v>2</v>
      </c>
      <c r="I10" s="9"/>
      <c r="J10" s="56"/>
      <c r="K10" s="73">
        <f>SUM(B10:J10)</f>
        <v>6</v>
      </c>
      <c r="L10" s="88"/>
      <c r="M10" s="74"/>
      <c r="N10" s="103">
        <v>6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1" x14ac:dyDescent="0.15">
      <c r="A11" s="14" t="s">
        <v>10</v>
      </c>
      <c r="B11" s="38"/>
      <c r="C11" s="9"/>
      <c r="D11" s="9"/>
      <c r="E11" s="38"/>
      <c r="F11" s="9"/>
      <c r="G11" s="9"/>
      <c r="H11" s="9"/>
      <c r="I11" s="9"/>
      <c r="J11" s="56"/>
      <c r="K11" s="74"/>
      <c r="L11" s="88"/>
      <c r="M11" s="74"/>
      <c r="N11" s="10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1" x14ac:dyDescent="0.15">
      <c r="A12" s="14" t="s">
        <v>11</v>
      </c>
      <c r="B12" s="38"/>
      <c r="C12" s="9"/>
      <c r="D12" s="9"/>
      <c r="E12" s="38"/>
      <c r="F12" s="9"/>
      <c r="G12" s="9"/>
      <c r="H12" s="9"/>
      <c r="I12" s="9"/>
      <c r="J12" s="56"/>
      <c r="K12" s="74"/>
      <c r="L12" s="88"/>
      <c r="M12" s="74"/>
      <c r="N12" s="103">
        <v>22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1" x14ac:dyDescent="0.15">
      <c r="A13" s="14" t="s">
        <v>12</v>
      </c>
      <c r="B13" s="38"/>
      <c r="C13" s="9"/>
      <c r="D13" s="10">
        <v>3.75</v>
      </c>
      <c r="E13" s="40">
        <v>3.75</v>
      </c>
      <c r="F13" s="10">
        <v>2.5</v>
      </c>
      <c r="G13" s="10">
        <v>2.9166666666666665</v>
      </c>
      <c r="H13" s="10">
        <v>2.9583333333333335</v>
      </c>
      <c r="I13" s="10">
        <v>2.9166666666666665</v>
      </c>
      <c r="J13" s="57">
        <v>1.3333333333333333</v>
      </c>
      <c r="K13" s="75">
        <f>SUM(B13:J13)</f>
        <v>20.125</v>
      </c>
      <c r="L13" s="88"/>
      <c r="M13" s="74"/>
      <c r="N13" s="105">
        <v>20.125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1" x14ac:dyDescent="0.15">
      <c r="A14" s="14" t="s">
        <v>13</v>
      </c>
      <c r="B14" s="38"/>
      <c r="C14" s="10">
        <v>1.4583333333333333</v>
      </c>
      <c r="D14" s="9"/>
      <c r="E14" s="38"/>
      <c r="F14" s="9"/>
      <c r="G14" s="9"/>
      <c r="H14" s="9"/>
      <c r="I14" s="9"/>
      <c r="J14" s="56"/>
      <c r="K14" s="75">
        <f t="shared" ref="K14:K16" si="0">SUM(B14:J14)</f>
        <v>1.4583333333333333</v>
      </c>
      <c r="L14" s="88"/>
      <c r="M14" s="75"/>
      <c r="N14" s="105">
        <v>37.916666666666664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1" x14ac:dyDescent="0.15">
      <c r="A15" s="14" t="s">
        <v>14</v>
      </c>
      <c r="B15" s="38"/>
      <c r="C15" s="10">
        <v>0.5</v>
      </c>
      <c r="D15" s="9"/>
      <c r="E15" s="38"/>
      <c r="F15" s="9"/>
      <c r="G15" s="9"/>
      <c r="H15" s="9"/>
      <c r="I15" s="9"/>
      <c r="J15" s="56"/>
      <c r="K15" s="75">
        <f t="shared" si="0"/>
        <v>0.5</v>
      </c>
      <c r="L15" s="88"/>
      <c r="M15" s="75"/>
      <c r="N15" s="105">
        <v>14.625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1" x14ac:dyDescent="0.15">
      <c r="A16" s="14" t="s">
        <v>15</v>
      </c>
      <c r="B16" s="38"/>
      <c r="C16" s="10">
        <v>0.16666666666666666</v>
      </c>
      <c r="D16" s="9"/>
      <c r="E16" s="38"/>
      <c r="F16" s="9"/>
      <c r="G16" s="9"/>
      <c r="H16" s="9"/>
      <c r="I16" s="9"/>
      <c r="J16" s="56"/>
      <c r="K16" s="75">
        <f t="shared" si="0"/>
        <v>0.16666666666666666</v>
      </c>
      <c r="L16" s="88"/>
      <c r="M16" s="75"/>
      <c r="N16" s="105">
        <v>15.25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4" t="s">
        <v>16</v>
      </c>
      <c r="B17" s="38"/>
      <c r="C17" s="9"/>
      <c r="D17" s="9"/>
      <c r="E17" s="38"/>
      <c r="F17" s="9"/>
      <c r="G17" s="9"/>
      <c r="H17" s="9"/>
      <c r="I17" s="9"/>
      <c r="J17" s="56"/>
      <c r="K17" s="74"/>
      <c r="L17" s="88"/>
      <c r="M17" s="74"/>
      <c r="N17" s="104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4" t="s">
        <v>17</v>
      </c>
      <c r="B18" s="38"/>
      <c r="C18" s="9"/>
      <c r="D18" s="9"/>
      <c r="E18" s="38"/>
      <c r="F18" s="9"/>
      <c r="G18" s="9"/>
      <c r="H18" s="9"/>
      <c r="I18" s="9"/>
      <c r="J18" s="56"/>
      <c r="K18" s="74"/>
      <c r="L18" s="88"/>
      <c r="M18" s="74"/>
      <c r="N18" s="104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4" t="s">
        <v>18</v>
      </c>
      <c r="B19" s="38"/>
      <c r="C19" s="9"/>
      <c r="D19" s="9"/>
      <c r="E19" s="38"/>
      <c r="F19" s="9"/>
      <c r="G19" s="9"/>
      <c r="H19" s="9"/>
      <c r="I19" s="9"/>
      <c r="J19" s="56"/>
      <c r="K19" s="74"/>
      <c r="L19" s="88"/>
      <c r="M19" s="74"/>
      <c r="N19" s="104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4" t="s">
        <v>19</v>
      </c>
      <c r="B20" s="38"/>
      <c r="C20" s="9"/>
      <c r="D20" s="9"/>
      <c r="E20" s="38"/>
      <c r="F20" s="9"/>
      <c r="G20" s="9"/>
      <c r="H20" s="9"/>
      <c r="I20" s="9"/>
      <c r="J20" s="56"/>
      <c r="K20" s="74"/>
      <c r="L20" s="88"/>
      <c r="M20" s="74"/>
      <c r="N20" s="104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4" t="s">
        <v>20</v>
      </c>
      <c r="B21" s="38"/>
      <c r="C21" s="9"/>
      <c r="D21" s="10">
        <v>0.29166666666666669</v>
      </c>
      <c r="E21" s="40">
        <v>0.29166666666666669</v>
      </c>
      <c r="F21" s="9"/>
      <c r="G21" s="10">
        <v>0.58333333333333337</v>
      </c>
      <c r="H21" s="10">
        <v>0.58333333333333337</v>
      </c>
      <c r="I21" s="9"/>
      <c r="J21" s="56"/>
      <c r="K21" s="75">
        <f>SUM(B21:J21)</f>
        <v>1.75</v>
      </c>
      <c r="L21" s="88"/>
      <c r="M21" s="74"/>
      <c r="N21" s="105">
        <v>1.75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4" t="s">
        <v>21</v>
      </c>
      <c r="B22" s="51"/>
      <c r="C22" s="34"/>
      <c r="D22" s="34"/>
      <c r="E22" s="51"/>
      <c r="F22" s="34"/>
      <c r="G22" s="25">
        <v>2.0833333333333335</v>
      </c>
      <c r="H22" s="25">
        <v>2.0833333333333335</v>
      </c>
      <c r="I22" s="25">
        <v>2.0833333333333335</v>
      </c>
      <c r="J22" s="58"/>
      <c r="K22" s="75">
        <f>SUM(B22:J22)</f>
        <v>6.25</v>
      </c>
      <c r="L22" s="89"/>
      <c r="M22" s="116"/>
      <c r="N22" s="106">
        <v>18.708333333333332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2" t="s">
        <v>27</v>
      </c>
      <c r="B23" s="42">
        <v>485000</v>
      </c>
      <c r="C23" s="26">
        <v>270000</v>
      </c>
      <c r="D23" s="26">
        <v>0</v>
      </c>
      <c r="E23" s="42">
        <v>0</v>
      </c>
      <c r="F23" s="26">
        <v>0</v>
      </c>
      <c r="G23" s="26">
        <v>0</v>
      </c>
      <c r="H23" s="26">
        <v>0</v>
      </c>
      <c r="I23" s="26">
        <v>0</v>
      </c>
      <c r="J23" s="59">
        <v>0</v>
      </c>
      <c r="K23" s="76">
        <f>SUM(B23:J23)</f>
        <v>755000</v>
      </c>
      <c r="L23" s="90">
        <v>375000</v>
      </c>
      <c r="M23" s="76">
        <f>SUM(L23)</f>
        <v>375000</v>
      </c>
      <c r="N23" s="107">
        <v>4172000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4" t="s">
        <v>28</v>
      </c>
      <c r="B24" s="38">
        <v>0</v>
      </c>
      <c r="C24" s="9">
        <v>0</v>
      </c>
      <c r="D24" s="9">
        <v>0</v>
      </c>
      <c r="E24" s="38">
        <v>0</v>
      </c>
      <c r="F24" s="9">
        <v>0</v>
      </c>
      <c r="G24" s="9">
        <v>0</v>
      </c>
      <c r="H24" s="9">
        <v>0</v>
      </c>
      <c r="I24" s="9">
        <v>0</v>
      </c>
      <c r="J24" s="56">
        <v>0</v>
      </c>
      <c r="K24" s="74">
        <f t="shared" ref="K24:K73" si="1">SUM(B24:J24)</f>
        <v>0</v>
      </c>
      <c r="L24" s="88">
        <v>0</v>
      </c>
      <c r="M24" s="74">
        <f t="shared" ref="M24:M73" si="2">SUM(L24)</f>
        <v>0</v>
      </c>
      <c r="N24" s="104">
        <v>50000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4" t="s">
        <v>29</v>
      </c>
      <c r="B25" s="38">
        <v>0</v>
      </c>
      <c r="C25" s="9">
        <v>3000</v>
      </c>
      <c r="D25" s="9">
        <v>0</v>
      </c>
      <c r="E25" s="38">
        <v>0</v>
      </c>
      <c r="F25" s="9">
        <v>0</v>
      </c>
      <c r="G25" s="9">
        <v>0</v>
      </c>
      <c r="H25" s="9">
        <v>0</v>
      </c>
      <c r="I25" s="9">
        <v>0</v>
      </c>
      <c r="J25" s="56">
        <v>0</v>
      </c>
      <c r="K25" s="74">
        <f t="shared" si="1"/>
        <v>3000</v>
      </c>
      <c r="L25" s="88">
        <v>0</v>
      </c>
      <c r="M25" s="74">
        <f t="shared" si="2"/>
        <v>0</v>
      </c>
      <c r="N25" s="104">
        <v>6000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4" t="s">
        <v>30</v>
      </c>
      <c r="B26" s="38">
        <v>0</v>
      </c>
      <c r="C26" s="9">
        <v>0</v>
      </c>
      <c r="D26" s="9">
        <v>0</v>
      </c>
      <c r="E26" s="38">
        <v>0</v>
      </c>
      <c r="F26" s="9">
        <v>0</v>
      </c>
      <c r="G26" s="9">
        <v>0</v>
      </c>
      <c r="H26" s="9">
        <v>0</v>
      </c>
      <c r="I26" s="9">
        <v>0</v>
      </c>
      <c r="J26" s="56">
        <v>0</v>
      </c>
      <c r="K26" s="74">
        <f t="shared" si="1"/>
        <v>0</v>
      </c>
      <c r="L26" s="88">
        <v>0</v>
      </c>
      <c r="M26" s="74">
        <f t="shared" si="2"/>
        <v>0</v>
      </c>
      <c r="N26" s="104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4" t="s">
        <v>31</v>
      </c>
      <c r="B27" s="38">
        <v>0</v>
      </c>
      <c r="C27" s="9">
        <v>0</v>
      </c>
      <c r="D27" s="9">
        <v>0</v>
      </c>
      <c r="E27" s="38">
        <v>0</v>
      </c>
      <c r="F27" s="9">
        <v>0</v>
      </c>
      <c r="G27" s="9">
        <v>0</v>
      </c>
      <c r="H27" s="9">
        <v>0</v>
      </c>
      <c r="I27" s="9">
        <v>0</v>
      </c>
      <c r="J27" s="56">
        <v>0</v>
      </c>
      <c r="K27" s="74">
        <f t="shared" si="1"/>
        <v>0</v>
      </c>
      <c r="L27" s="88">
        <v>0</v>
      </c>
      <c r="M27" s="74">
        <f t="shared" si="2"/>
        <v>0</v>
      </c>
      <c r="N27" s="104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4" t="s">
        <v>32</v>
      </c>
      <c r="B28" s="38">
        <v>0</v>
      </c>
      <c r="C28" s="9">
        <v>0</v>
      </c>
      <c r="D28" s="9">
        <v>0</v>
      </c>
      <c r="E28" s="38">
        <v>0</v>
      </c>
      <c r="F28" s="9">
        <v>0</v>
      </c>
      <c r="G28" s="9">
        <v>0</v>
      </c>
      <c r="H28" s="9">
        <v>0</v>
      </c>
      <c r="I28" s="9">
        <v>0</v>
      </c>
      <c r="J28" s="56">
        <v>0</v>
      </c>
      <c r="K28" s="74">
        <f t="shared" si="1"/>
        <v>0</v>
      </c>
      <c r="L28" s="88">
        <v>0</v>
      </c>
      <c r="M28" s="74">
        <f t="shared" si="2"/>
        <v>0</v>
      </c>
      <c r="N28" s="104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4" t="s">
        <v>33</v>
      </c>
      <c r="B29" s="38">
        <v>0</v>
      </c>
      <c r="C29" s="9">
        <v>0</v>
      </c>
      <c r="D29" s="9">
        <v>0</v>
      </c>
      <c r="E29" s="38">
        <v>0</v>
      </c>
      <c r="F29" s="9">
        <v>0</v>
      </c>
      <c r="G29" s="9">
        <v>0</v>
      </c>
      <c r="H29" s="9">
        <v>0</v>
      </c>
      <c r="I29" s="9">
        <v>0</v>
      </c>
      <c r="J29" s="56">
        <v>0</v>
      </c>
      <c r="K29" s="74">
        <f t="shared" si="1"/>
        <v>0</v>
      </c>
      <c r="L29" s="88">
        <v>0</v>
      </c>
      <c r="M29" s="74">
        <f t="shared" si="2"/>
        <v>0</v>
      </c>
      <c r="N29" s="104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4" t="s">
        <v>34</v>
      </c>
      <c r="B30" s="38">
        <v>0</v>
      </c>
      <c r="C30" s="9">
        <v>0</v>
      </c>
      <c r="D30" s="9">
        <v>0</v>
      </c>
      <c r="E30" s="38">
        <v>0</v>
      </c>
      <c r="F30" s="9">
        <v>0</v>
      </c>
      <c r="G30" s="9">
        <v>0</v>
      </c>
      <c r="H30" s="9">
        <v>0</v>
      </c>
      <c r="I30" s="9">
        <v>0</v>
      </c>
      <c r="J30" s="56">
        <v>0</v>
      </c>
      <c r="K30" s="74">
        <f t="shared" si="1"/>
        <v>0</v>
      </c>
      <c r="L30" s="88">
        <v>0</v>
      </c>
      <c r="M30" s="74">
        <f t="shared" si="2"/>
        <v>0</v>
      </c>
      <c r="N30" s="104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4" t="s">
        <v>35</v>
      </c>
      <c r="B31" s="38">
        <v>0</v>
      </c>
      <c r="C31" s="9">
        <v>0</v>
      </c>
      <c r="D31" s="9">
        <v>79650</v>
      </c>
      <c r="E31" s="38">
        <v>79650</v>
      </c>
      <c r="F31" s="9">
        <v>50400</v>
      </c>
      <c r="G31" s="9">
        <v>58800</v>
      </c>
      <c r="H31" s="9">
        <v>59640</v>
      </c>
      <c r="I31" s="9">
        <v>58800</v>
      </c>
      <c r="J31" s="56">
        <v>26560</v>
      </c>
      <c r="K31" s="74">
        <f t="shared" si="1"/>
        <v>413500</v>
      </c>
      <c r="L31" s="88">
        <v>0</v>
      </c>
      <c r="M31" s="74">
        <f t="shared" si="2"/>
        <v>0</v>
      </c>
      <c r="N31" s="104">
        <v>413500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4" t="s">
        <v>36</v>
      </c>
      <c r="B32" s="38">
        <v>0</v>
      </c>
      <c r="C32" s="9">
        <v>0</v>
      </c>
      <c r="D32" s="9">
        <v>0</v>
      </c>
      <c r="E32" s="38">
        <v>0</v>
      </c>
      <c r="F32" s="9">
        <v>0</v>
      </c>
      <c r="G32" s="9">
        <v>0</v>
      </c>
      <c r="H32" s="9">
        <v>0</v>
      </c>
      <c r="I32" s="9">
        <v>0</v>
      </c>
      <c r="J32" s="56">
        <v>0</v>
      </c>
      <c r="K32" s="74">
        <f t="shared" si="1"/>
        <v>0</v>
      </c>
      <c r="L32" s="88">
        <v>0</v>
      </c>
      <c r="M32" s="74">
        <f t="shared" si="2"/>
        <v>0</v>
      </c>
      <c r="N32" s="104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4" t="s">
        <v>37</v>
      </c>
      <c r="B33" s="38">
        <v>0</v>
      </c>
      <c r="C33" s="9">
        <v>0</v>
      </c>
      <c r="D33" s="9">
        <v>0</v>
      </c>
      <c r="E33" s="38">
        <v>0</v>
      </c>
      <c r="F33" s="9">
        <v>0</v>
      </c>
      <c r="G33" s="9">
        <v>0</v>
      </c>
      <c r="H33" s="9">
        <v>0</v>
      </c>
      <c r="I33" s="9">
        <v>0</v>
      </c>
      <c r="J33" s="56">
        <v>0</v>
      </c>
      <c r="K33" s="74">
        <f t="shared" si="1"/>
        <v>0</v>
      </c>
      <c r="L33" s="88">
        <v>0</v>
      </c>
      <c r="M33" s="74">
        <f t="shared" si="2"/>
        <v>0</v>
      </c>
      <c r="N33" s="104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4" t="s">
        <v>38</v>
      </c>
      <c r="B34" s="38">
        <v>0</v>
      </c>
      <c r="C34" s="9">
        <v>0</v>
      </c>
      <c r="D34" s="9">
        <v>6195</v>
      </c>
      <c r="E34" s="38">
        <v>6195</v>
      </c>
      <c r="F34" s="9">
        <v>0</v>
      </c>
      <c r="G34" s="9">
        <v>11760</v>
      </c>
      <c r="H34" s="9">
        <v>11760</v>
      </c>
      <c r="I34" s="9">
        <v>0</v>
      </c>
      <c r="J34" s="56">
        <v>0</v>
      </c>
      <c r="K34" s="74">
        <f t="shared" si="1"/>
        <v>35910</v>
      </c>
      <c r="L34" s="88">
        <v>0</v>
      </c>
      <c r="M34" s="74">
        <f t="shared" si="2"/>
        <v>0</v>
      </c>
      <c r="N34" s="104">
        <v>35910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4" t="s">
        <v>39</v>
      </c>
      <c r="B35" s="38">
        <v>0</v>
      </c>
      <c r="C35" s="9">
        <v>0</v>
      </c>
      <c r="D35" s="9">
        <v>0</v>
      </c>
      <c r="E35" s="38">
        <v>0</v>
      </c>
      <c r="F35" s="9">
        <v>0</v>
      </c>
      <c r="G35" s="9">
        <v>0</v>
      </c>
      <c r="H35" s="9">
        <v>0</v>
      </c>
      <c r="I35" s="9">
        <v>0</v>
      </c>
      <c r="J35" s="56">
        <v>0</v>
      </c>
      <c r="K35" s="74">
        <f t="shared" si="1"/>
        <v>0</v>
      </c>
      <c r="L35" s="88">
        <v>0</v>
      </c>
      <c r="M35" s="74">
        <f t="shared" si="2"/>
        <v>0</v>
      </c>
      <c r="N35" s="104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4" t="s">
        <v>40</v>
      </c>
      <c r="B36" s="38">
        <v>0</v>
      </c>
      <c r="C36" s="9">
        <v>0</v>
      </c>
      <c r="D36" s="9">
        <v>0</v>
      </c>
      <c r="E36" s="38">
        <v>0</v>
      </c>
      <c r="F36" s="9">
        <v>0</v>
      </c>
      <c r="G36" s="9">
        <v>0</v>
      </c>
      <c r="H36" s="9">
        <v>0</v>
      </c>
      <c r="I36" s="9">
        <v>0</v>
      </c>
      <c r="J36" s="56">
        <v>0</v>
      </c>
      <c r="K36" s="74">
        <f t="shared" si="1"/>
        <v>0</v>
      </c>
      <c r="L36" s="88">
        <v>0</v>
      </c>
      <c r="M36" s="74">
        <f t="shared" si="2"/>
        <v>0</v>
      </c>
      <c r="N36" s="104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4" t="s">
        <v>41</v>
      </c>
      <c r="B37" s="38">
        <v>0</v>
      </c>
      <c r="C37" s="9">
        <v>0</v>
      </c>
      <c r="D37" s="9">
        <v>0</v>
      </c>
      <c r="E37" s="38">
        <v>0</v>
      </c>
      <c r="F37" s="9">
        <v>0</v>
      </c>
      <c r="G37" s="9">
        <v>0</v>
      </c>
      <c r="H37" s="9">
        <v>0</v>
      </c>
      <c r="I37" s="9">
        <v>0</v>
      </c>
      <c r="J37" s="56">
        <v>0</v>
      </c>
      <c r="K37" s="74">
        <f t="shared" si="1"/>
        <v>0</v>
      </c>
      <c r="L37" s="88">
        <v>0</v>
      </c>
      <c r="M37" s="74">
        <f t="shared" si="2"/>
        <v>0</v>
      </c>
      <c r="N37" s="104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4" t="s">
        <v>42</v>
      </c>
      <c r="B38" s="38">
        <v>0</v>
      </c>
      <c r="C38" s="9">
        <v>0</v>
      </c>
      <c r="D38" s="9">
        <v>0</v>
      </c>
      <c r="E38" s="38">
        <v>0</v>
      </c>
      <c r="F38" s="9">
        <v>0</v>
      </c>
      <c r="G38" s="9">
        <v>0</v>
      </c>
      <c r="H38" s="9">
        <v>0</v>
      </c>
      <c r="I38" s="9">
        <v>0</v>
      </c>
      <c r="J38" s="56">
        <v>0</v>
      </c>
      <c r="K38" s="74">
        <f t="shared" si="1"/>
        <v>0</v>
      </c>
      <c r="L38" s="88">
        <v>0</v>
      </c>
      <c r="M38" s="74">
        <f t="shared" si="2"/>
        <v>0</v>
      </c>
      <c r="N38" s="104">
        <v>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4" t="s">
        <v>43</v>
      </c>
      <c r="B39" s="38">
        <v>0</v>
      </c>
      <c r="C39" s="9">
        <v>0</v>
      </c>
      <c r="D39" s="9">
        <v>0</v>
      </c>
      <c r="E39" s="38">
        <v>0</v>
      </c>
      <c r="F39" s="9">
        <v>0</v>
      </c>
      <c r="G39" s="9">
        <v>0</v>
      </c>
      <c r="H39" s="9">
        <v>0</v>
      </c>
      <c r="I39" s="9">
        <v>0</v>
      </c>
      <c r="J39" s="56">
        <v>0</v>
      </c>
      <c r="K39" s="74">
        <f t="shared" si="1"/>
        <v>0</v>
      </c>
      <c r="L39" s="88">
        <v>0</v>
      </c>
      <c r="M39" s="74">
        <f t="shared" si="2"/>
        <v>0</v>
      </c>
      <c r="N39" s="104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4" t="s">
        <v>44</v>
      </c>
      <c r="B40" s="38">
        <v>0</v>
      </c>
      <c r="C40" s="9">
        <v>0</v>
      </c>
      <c r="D40" s="9">
        <v>0</v>
      </c>
      <c r="E40" s="38">
        <v>0</v>
      </c>
      <c r="F40" s="9">
        <v>0</v>
      </c>
      <c r="G40" s="9">
        <v>0</v>
      </c>
      <c r="H40" s="9">
        <v>0</v>
      </c>
      <c r="I40" s="9">
        <v>0</v>
      </c>
      <c r="J40" s="56">
        <v>0</v>
      </c>
      <c r="K40" s="74">
        <f t="shared" si="1"/>
        <v>0</v>
      </c>
      <c r="L40" s="88">
        <v>0</v>
      </c>
      <c r="M40" s="74">
        <f t="shared" si="2"/>
        <v>0</v>
      </c>
      <c r="N40" s="104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4" t="s">
        <v>45</v>
      </c>
      <c r="B41" s="38">
        <v>0</v>
      </c>
      <c r="C41" s="9">
        <v>0</v>
      </c>
      <c r="D41" s="9">
        <v>0</v>
      </c>
      <c r="E41" s="38">
        <v>0</v>
      </c>
      <c r="F41" s="9">
        <v>0</v>
      </c>
      <c r="G41" s="9">
        <v>0</v>
      </c>
      <c r="H41" s="9">
        <v>0</v>
      </c>
      <c r="I41" s="9">
        <v>0</v>
      </c>
      <c r="J41" s="56">
        <v>0</v>
      </c>
      <c r="K41" s="74">
        <f t="shared" si="1"/>
        <v>0</v>
      </c>
      <c r="L41" s="88">
        <v>0</v>
      </c>
      <c r="M41" s="74">
        <f t="shared" si="2"/>
        <v>0</v>
      </c>
      <c r="N41" s="104">
        <v>-187933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4" t="s">
        <v>46</v>
      </c>
      <c r="B42" s="38">
        <v>0</v>
      </c>
      <c r="C42" s="9">
        <v>0</v>
      </c>
      <c r="D42" s="9">
        <v>0</v>
      </c>
      <c r="E42" s="38">
        <v>0</v>
      </c>
      <c r="F42" s="9">
        <v>0</v>
      </c>
      <c r="G42" s="9">
        <v>0</v>
      </c>
      <c r="H42" s="9">
        <v>0</v>
      </c>
      <c r="I42" s="9">
        <v>0</v>
      </c>
      <c r="J42" s="56">
        <v>0</v>
      </c>
      <c r="K42" s="74">
        <f t="shared" si="1"/>
        <v>0</v>
      </c>
      <c r="L42" s="88">
        <v>0</v>
      </c>
      <c r="M42" s="74">
        <f t="shared" si="2"/>
        <v>0</v>
      </c>
      <c r="N42" s="104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4" t="s">
        <v>13</v>
      </c>
      <c r="B43" s="38">
        <v>0</v>
      </c>
      <c r="C43" s="9">
        <v>71540</v>
      </c>
      <c r="D43" s="9">
        <v>0</v>
      </c>
      <c r="E43" s="38">
        <v>0</v>
      </c>
      <c r="F43" s="9">
        <v>0</v>
      </c>
      <c r="G43" s="9">
        <v>0</v>
      </c>
      <c r="H43" s="9">
        <v>0</v>
      </c>
      <c r="I43" s="9">
        <v>0</v>
      </c>
      <c r="J43" s="56">
        <v>0</v>
      </c>
      <c r="K43" s="74">
        <f t="shared" si="1"/>
        <v>71540</v>
      </c>
      <c r="L43" s="88">
        <v>0</v>
      </c>
      <c r="M43" s="74">
        <f t="shared" si="2"/>
        <v>0</v>
      </c>
      <c r="N43" s="104">
        <v>1273032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4" t="s">
        <v>6</v>
      </c>
      <c r="B44" s="38">
        <v>0</v>
      </c>
      <c r="C44" s="9">
        <v>26484</v>
      </c>
      <c r="D44" s="9">
        <v>0</v>
      </c>
      <c r="E44" s="38">
        <v>0</v>
      </c>
      <c r="F44" s="9">
        <v>0</v>
      </c>
      <c r="G44" s="9">
        <v>0</v>
      </c>
      <c r="H44" s="9">
        <v>0</v>
      </c>
      <c r="I44" s="9">
        <v>0</v>
      </c>
      <c r="J44" s="56">
        <v>0</v>
      </c>
      <c r="K44" s="74">
        <f t="shared" si="1"/>
        <v>26484</v>
      </c>
      <c r="L44" s="88">
        <v>0</v>
      </c>
      <c r="M44" s="74">
        <f t="shared" si="2"/>
        <v>0</v>
      </c>
      <c r="N44" s="104">
        <v>523687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4" t="s">
        <v>7</v>
      </c>
      <c r="B45" s="38">
        <v>0</v>
      </c>
      <c r="C45" s="9">
        <v>8828</v>
      </c>
      <c r="D45" s="9">
        <v>0</v>
      </c>
      <c r="E45" s="38">
        <v>0</v>
      </c>
      <c r="F45" s="9">
        <v>0</v>
      </c>
      <c r="G45" s="9">
        <v>0</v>
      </c>
      <c r="H45" s="9">
        <v>0</v>
      </c>
      <c r="I45" s="9">
        <v>0</v>
      </c>
      <c r="J45" s="56">
        <v>0</v>
      </c>
      <c r="K45" s="74">
        <f t="shared" si="1"/>
        <v>8828</v>
      </c>
      <c r="L45" s="88">
        <v>0</v>
      </c>
      <c r="M45" s="74">
        <f t="shared" si="2"/>
        <v>0</v>
      </c>
      <c r="N45" s="104">
        <v>549090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4" t="s">
        <v>47</v>
      </c>
      <c r="B46" s="38">
        <v>0</v>
      </c>
      <c r="C46" s="9">
        <v>0</v>
      </c>
      <c r="D46" s="9">
        <v>0</v>
      </c>
      <c r="E46" s="38">
        <v>0</v>
      </c>
      <c r="F46" s="9">
        <v>0</v>
      </c>
      <c r="G46" s="9">
        <v>0</v>
      </c>
      <c r="H46" s="9">
        <v>0</v>
      </c>
      <c r="I46" s="9">
        <v>0</v>
      </c>
      <c r="J46" s="56">
        <v>0</v>
      </c>
      <c r="K46" s="74">
        <f t="shared" si="1"/>
        <v>0</v>
      </c>
      <c r="L46" s="88">
        <v>0</v>
      </c>
      <c r="M46" s="74">
        <f t="shared" si="2"/>
        <v>0</v>
      </c>
      <c r="N46" s="104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4" t="s">
        <v>48</v>
      </c>
      <c r="B47" s="38">
        <v>0</v>
      </c>
      <c r="C47" s="9">
        <v>0</v>
      </c>
      <c r="D47" s="9">
        <v>0</v>
      </c>
      <c r="E47" s="38">
        <v>0</v>
      </c>
      <c r="F47" s="9">
        <v>0</v>
      </c>
      <c r="G47" s="9">
        <v>0</v>
      </c>
      <c r="H47" s="9">
        <v>0</v>
      </c>
      <c r="I47" s="9">
        <v>0</v>
      </c>
      <c r="J47" s="56">
        <v>0</v>
      </c>
      <c r="K47" s="74">
        <f t="shared" si="1"/>
        <v>0</v>
      </c>
      <c r="L47" s="88">
        <v>0</v>
      </c>
      <c r="M47" s="74">
        <f t="shared" si="2"/>
        <v>0</v>
      </c>
      <c r="N47" s="104">
        <v>187933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4" t="s">
        <v>17</v>
      </c>
      <c r="B48" s="38">
        <v>0</v>
      </c>
      <c r="C48" s="9">
        <v>0</v>
      </c>
      <c r="D48" s="9">
        <v>0</v>
      </c>
      <c r="E48" s="38">
        <v>0</v>
      </c>
      <c r="F48" s="9">
        <v>0</v>
      </c>
      <c r="G48" s="9">
        <v>0</v>
      </c>
      <c r="H48" s="9">
        <v>0</v>
      </c>
      <c r="I48" s="9">
        <v>0</v>
      </c>
      <c r="J48" s="56">
        <v>0</v>
      </c>
      <c r="K48" s="74">
        <f t="shared" si="1"/>
        <v>0</v>
      </c>
      <c r="L48" s="88">
        <v>0</v>
      </c>
      <c r="M48" s="74">
        <f t="shared" si="2"/>
        <v>0</v>
      </c>
      <c r="N48" s="104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5" t="s">
        <v>49</v>
      </c>
      <c r="B49" s="43">
        <v>0</v>
      </c>
      <c r="C49" s="11">
        <v>0</v>
      </c>
      <c r="D49" s="11">
        <v>0</v>
      </c>
      <c r="E49" s="43">
        <v>0</v>
      </c>
      <c r="F49" s="11">
        <v>0</v>
      </c>
      <c r="G49" s="11">
        <v>0</v>
      </c>
      <c r="H49" s="11">
        <v>0</v>
      </c>
      <c r="I49" s="11">
        <v>0</v>
      </c>
      <c r="J49" s="60">
        <v>0</v>
      </c>
      <c r="K49" s="77">
        <f t="shared" si="1"/>
        <v>0</v>
      </c>
      <c r="L49" s="91">
        <v>0</v>
      </c>
      <c r="M49" s="77">
        <f t="shared" si="2"/>
        <v>0</v>
      </c>
      <c r="N49" s="108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5" t="s">
        <v>21</v>
      </c>
      <c r="B50" s="43">
        <v>0</v>
      </c>
      <c r="C50" s="11">
        <v>0</v>
      </c>
      <c r="D50" s="11">
        <v>0</v>
      </c>
      <c r="E50" s="43">
        <v>0</v>
      </c>
      <c r="F50" s="11">
        <v>0</v>
      </c>
      <c r="G50" s="11">
        <v>10500</v>
      </c>
      <c r="H50" s="11">
        <v>10500</v>
      </c>
      <c r="I50" s="11">
        <v>10500</v>
      </c>
      <c r="J50" s="60">
        <v>0</v>
      </c>
      <c r="K50" s="77">
        <f t="shared" si="1"/>
        <v>31500</v>
      </c>
      <c r="L50" s="91">
        <v>0</v>
      </c>
      <c r="M50" s="77">
        <f t="shared" si="2"/>
        <v>0</v>
      </c>
      <c r="N50" s="108">
        <v>114795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6" t="s">
        <v>50</v>
      </c>
      <c r="B51" s="44">
        <v>485000</v>
      </c>
      <c r="C51" s="29">
        <v>379852</v>
      </c>
      <c r="D51" s="29">
        <v>85845</v>
      </c>
      <c r="E51" s="44">
        <v>85845</v>
      </c>
      <c r="F51" s="29">
        <v>50400</v>
      </c>
      <c r="G51" s="29">
        <v>81060</v>
      </c>
      <c r="H51" s="29">
        <v>81900</v>
      </c>
      <c r="I51" s="29">
        <v>69300</v>
      </c>
      <c r="J51" s="61">
        <v>26560</v>
      </c>
      <c r="K51" s="78">
        <f t="shared" si="1"/>
        <v>1345762</v>
      </c>
      <c r="L51" s="92">
        <v>375000</v>
      </c>
      <c r="M51" s="78">
        <f t="shared" si="2"/>
        <v>375000</v>
      </c>
      <c r="N51" s="109">
        <v>7138014</v>
      </c>
      <c r="O51" s="6"/>
      <c r="P51" s="6"/>
      <c r="Q51" s="6"/>
      <c r="R51" s="6"/>
      <c r="S51" s="6"/>
      <c r="T51" s="6"/>
      <c r="U51" s="6"/>
    </row>
    <row r="52" spans="1:21" x14ac:dyDescent="0.15">
      <c r="A52" s="27" t="s">
        <v>51</v>
      </c>
      <c r="B52" s="45">
        <v>6880</v>
      </c>
      <c r="C52" s="28">
        <v>4503</v>
      </c>
      <c r="D52" s="28">
        <v>2335</v>
      </c>
      <c r="E52" s="45">
        <v>1460</v>
      </c>
      <c r="F52" s="28">
        <v>5254</v>
      </c>
      <c r="G52" s="28">
        <v>2502</v>
      </c>
      <c r="H52" s="28">
        <v>3127</v>
      </c>
      <c r="I52" s="28">
        <v>3336</v>
      </c>
      <c r="J52" s="62">
        <v>1084</v>
      </c>
      <c r="K52" s="79">
        <f t="shared" si="1"/>
        <v>30481</v>
      </c>
      <c r="L52" s="93">
        <v>5962</v>
      </c>
      <c r="M52" s="79">
        <f t="shared" si="2"/>
        <v>5962</v>
      </c>
      <c r="N52" s="110">
        <v>114164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0" t="s">
        <v>52</v>
      </c>
      <c r="B53" s="46">
        <v>6880</v>
      </c>
      <c r="C53" s="31">
        <v>4503</v>
      </c>
      <c r="D53" s="31">
        <v>2335</v>
      </c>
      <c r="E53" s="46">
        <v>1460</v>
      </c>
      <c r="F53" s="31">
        <v>5254</v>
      </c>
      <c r="G53" s="31">
        <v>2502</v>
      </c>
      <c r="H53" s="31">
        <v>3127</v>
      </c>
      <c r="I53" s="31">
        <v>3336</v>
      </c>
      <c r="J53" s="63">
        <v>1084</v>
      </c>
      <c r="K53" s="80">
        <f t="shared" si="1"/>
        <v>30481</v>
      </c>
      <c r="L53" s="94">
        <v>5962</v>
      </c>
      <c r="M53" s="80">
        <f t="shared" si="2"/>
        <v>5962</v>
      </c>
      <c r="N53" s="111">
        <v>114164</v>
      </c>
    </row>
    <row r="54" spans="1:21" ht="14.25" thickBot="1" x14ac:dyDescent="0.2">
      <c r="A54" s="32" t="s">
        <v>53</v>
      </c>
      <c r="B54" s="47">
        <v>491880</v>
      </c>
      <c r="C54" s="33">
        <v>384355</v>
      </c>
      <c r="D54" s="33">
        <v>88180</v>
      </c>
      <c r="E54" s="47">
        <v>87305</v>
      </c>
      <c r="F54" s="33">
        <v>55654</v>
      </c>
      <c r="G54" s="33">
        <v>83562</v>
      </c>
      <c r="H54" s="33">
        <v>85027</v>
      </c>
      <c r="I54" s="33">
        <v>72636</v>
      </c>
      <c r="J54" s="64">
        <v>27644</v>
      </c>
      <c r="K54" s="81">
        <f t="shared" si="1"/>
        <v>1376243</v>
      </c>
      <c r="L54" s="95">
        <v>380962</v>
      </c>
      <c r="M54" s="81">
        <f t="shared" si="2"/>
        <v>380962</v>
      </c>
      <c r="N54" s="112">
        <v>7252178</v>
      </c>
    </row>
    <row r="55" spans="1:21" x14ac:dyDescent="0.15">
      <c r="A55" s="27" t="s">
        <v>54</v>
      </c>
      <c r="B55" s="45">
        <v>25500</v>
      </c>
      <c r="C55" s="28">
        <v>18360</v>
      </c>
      <c r="D55" s="28">
        <v>0</v>
      </c>
      <c r="E55" s="45">
        <v>0</v>
      </c>
      <c r="F55" s="28">
        <v>0</v>
      </c>
      <c r="G55" s="28">
        <v>0</v>
      </c>
      <c r="H55" s="28">
        <v>0</v>
      </c>
      <c r="I55" s="28">
        <v>0</v>
      </c>
      <c r="J55" s="62">
        <v>0</v>
      </c>
      <c r="K55" s="79">
        <f t="shared" si="1"/>
        <v>43860</v>
      </c>
      <c r="L55" s="93">
        <v>18360</v>
      </c>
      <c r="M55" s="79">
        <f t="shared" si="2"/>
        <v>18360</v>
      </c>
      <c r="N55" s="110">
        <v>336600</v>
      </c>
    </row>
    <row r="56" spans="1:21" x14ac:dyDescent="0.15">
      <c r="A56" s="15" t="s">
        <v>55</v>
      </c>
      <c r="B56" s="43">
        <v>4500</v>
      </c>
      <c r="C56" s="11">
        <v>3240</v>
      </c>
      <c r="D56" s="11">
        <v>0</v>
      </c>
      <c r="E56" s="43">
        <v>0</v>
      </c>
      <c r="F56" s="11">
        <v>0</v>
      </c>
      <c r="G56" s="11">
        <v>0</v>
      </c>
      <c r="H56" s="11">
        <v>0</v>
      </c>
      <c r="I56" s="11">
        <v>0</v>
      </c>
      <c r="J56" s="60">
        <v>0</v>
      </c>
      <c r="K56" s="77">
        <f t="shared" si="1"/>
        <v>7740</v>
      </c>
      <c r="L56" s="91">
        <v>3240</v>
      </c>
      <c r="M56" s="77">
        <f t="shared" si="2"/>
        <v>3240</v>
      </c>
      <c r="N56" s="108">
        <v>56520</v>
      </c>
    </row>
    <row r="57" spans="1:21" x14ac:dyDescent="0.15">
      <c r="A57" s="15" t="s">
        <v>56</v>
      </c>
      <c r="B57" s="43">
        <v>45750</v>
      </c>
      <c r="C57" s="11">
        <v>32940</v>
      </c>
      <c r="D57" s="11">
        <v>0</v>
      </c>
      <c r="E57" s="43">
        <v>0</v>
      </c>
      <c r="F57" s="11">
        <v>0</v>
      </c>
      <c r="G57" s="11">
        <v>0</v>
      </c>
      <c r="H57" s="11">
        <v>0</v>
      </c>
      <c r="I57" s="11">
        <v>0</v>
      </c>
      <c r="J57" s="60">
        <v>0</v>
      </c>
      <c r="K57" s="77">
        <f t="shared" si="1"/>
        <v>78690</v>
      </c>
      <c r="L57" s="91">
        <v>32940</v>
      </c>
      <c r="M57" s="77">
        <f t="shared" si="2"/>
        <v>32940</v>
      </c>
      <c r="N57" s="108">
        <v>603900</v>
      </c>
    </row>
    <row r="58" spans="1:21" x14ac:dyDescent="0.15">
      <c r="A58" s="15" t="s">
        <v>57</v>
      </c>
      <c r="B58" s="43">
        <v>0</v>
      </c>
      <c r="C58" s="11">
        <v>0</v>
      </c>
      <c r="D58" s="11">
        <v>0</v>
      </c>
      <c r="E58" s="43">
        <v>0</v>
      </c>
      <c r="F58" s="11">
        <v>0</v>
      </c>
      <c r="G58" s="11">
        <v>0</v>
      </c>
      <c r="H58" s="11">
        <v>0</v>
      </c>
      <c r="I58" s="11">
        <v>0</v>
      </c>
      <c r="J58" s="60">
        <v>0</v>
      </c>
      <c r="K58" s="77">
        <f t="shared" si="1"/>
        <v>0</v>
      </c>
      <c r="L58" s="91">
        <v>0</v>
      </c>
      <c r="M58" s="77">
        <f t="shared" si="2"/>
        <v>0</v>
      </c>
      <c r="N58" s="108">
        <v>0</v>
      </c>
    </row>
    <row r="59" spans="1:21" x14ac:dyDescent="0.15">
      <c r="A59" s="15" t="s">
        <v>58</v>
      </c>
      <c r="B59" s="43">
        <v>1476</v>
      </c>
      <c r="C59" s="11">
        <v>1153</v>
      </c>
      <c r="D59" s="11">
        <v>265</v>
      </c>
      <c r="E59" s="43">
        <v>262</v>
      </c>
      <c r="F59" s="13" t="s">
        <v>97</v>
      </c>
      <c r="G59" s="13" t="s">
        <v>97</v>
      </c>
      <c r="H59" s="13" t="s">
        <v>97</v>
      </c>
      <c r="I59" s="13" t="s">
        <v>97</v>
      </c>
      <c r="J59" s="66" t="s">
        <v>97</v>
      </c>
      <c r="K59" s="77">
        <f t="shared" si="1"/>
        <v>3156</v>
      </c>
      <c r="L59" s="91">
        <v>1143</v>
      </c>
      <c r="M59" s="77">
        <f t="shared" si="2"/>
        <v>1143</v>
      </c>
      <c r="N59" s="108">
        <v>20788</v>
      </c>
    </row>
    <row r="60" spans="1:21" x14ac:dyDescent="0.15">
      <c r="A60" s="15" t="s">
        <v>59</v>
      </c>
      <c r="B60" s="43">
        <v>0</v>
      </c>
      <c r="C60" s="11">
        <v>0</v>
      </c>
      <c r="D60" s="11">
        <v>0</v>
      </c>
      <c r="E60" s="43">
        <v>0</v>
      </c>
      <c r="F60" s="11">
        <v>0</v>
      </c>
      <c r="G60" s="11">
        <v>0</v>
      </c>
      <c r="H60" s="11">
        <v>0</v>
      </c>
      <c r="I60" s="11">
        <v>0</v>
      </c>
      <c r="J60" s="60">
        <v>0</v>
      </c>
      <c r="K60" s="77">
        <f t="shared" si="1"/>
        <v>0</v>
      </c>
      <c r="L60" s="91">
        <v>0</v>
      </c>
      <c r="M60" s="77">
        <f t="shared" si="2"/>
        <v>0</v>
      </c>
      <c r="N60" s="108">
        <v>0</v>
      </c>
    </row>
    <row r="61" spans="1:21" ht="14.25" thickBot="1" x14ac:dyDescent="0.2">
      <c r="A61" s="30" t="s">
        <v>60</v>
      </c>
      <c r="B61" s="46">
        <v>77226</v>
      </c>
      <c r="C61" s="31">
        <v>55693</v>
      </c>
      <c r="D61" s="31">
        <v>265</v>
      </c>
      <c r="E61" s="46">
        <v>262</v>
      </c>
      <c r="F61" s="31">
        <v>0</v>
      </c>
      <c r="G61" s="31">
        <v>0</v>
      </c>
      <c r="H61" s="31">
        <v>0</v>
      </c>
      <c r="I61" s="31">
        <v>0</v>
      </c>
      <c r="J61" s="63">
        <v>0</v>
      </c>
      <c r="K61" s="80">
        <f t="shared" si="1"/>
        <v>133446</v>
      </c>
      <c r="L61" s="94">
        <v>55683</v>
      </c>
      <c r="M61" s="80">
        <f t="shared" si="2"/>
        <v>55683</v>
      </c>
      <c r="N61" s="111">
        <v>1017808</v>
      </c>
    </row>
    <row r="62" spans="1:21" ht="14.25" thickBot="1" x14ac:dyDescent="0.2">
      <c r="A62" s="32" t="s">
        <v>61</v>
      </c>
      <c r="B62" s="47">
        <v>407774</v>
      </c>
      <c r="C62" s="33">
        <v>324159</v>
      </c>
      <c r="D62" s="33">
        <v>85580</v>
      </c>
      <c r="E62" s="47">
        <v>85583</v>
      </c>
      <c r="F62" s="33">
        <v>50400</v>
      </c>
      <c r="G62" s="33">
        <v>81060</v>
      </c>
      <c r="H62" s="33">
        <v>81900</v>
      </c>
      <c r="I62" s="33">
        <v>69300</v>
      </c>
      <c r="J62" s="64">
        <v>26560</v>
      </c>
      <c r="K62" s="81">
        <f t="shared" si="1"/>
        <v>1212316</v>
      </c>
      <c r="L62" s="95">
        <v>319317</v>
      </c>
      <c r="M62" s="81">
        <f t="shared" si="2"/>
        <v>319317</v>
      </c>
      <c r="N62" s="112">
        <v>6120206</v>
      </c>
    </row>
    <row r="63" spans="1:21" x14ac:dyDescent="0.15">
      <c r="A63" s="27" t="s">
        <v>62</v>
      </c>
      <c r="B63" s="45">
        <v>13950</v>
      </c>
      <c r="C63" s="28">
        <v>7710</v>
      </c>
      <c r="D63" s="28">
        <v>0</v>
      </c>
      <c r="E63" s="45">
        <v>0</v>
      </c>
      <c r="F63" s="28">
        <v>0</v>
      </c>
      <c r="G63" s="28">
        <v>0</v>
      </c>
      <c r="H63" s="28">
        <v>0</v>
      </c>
      <c r="I63" s="28">
        <v>0</v>
      </c>
      <c r="J63" s="62">
        <v>0</v>
      </c>
      <c r="K63" s="79">
        <f t="shared" si="1"/>
        <v>21660</v>
      </c>
      <c r="L63" s="93">
        <v>9960</v>
      </c>
      <c r="M63" s="79">
        <f t="shared" si="2"/>
        <v>9960</v>
      </c>
      <c r="N63" s="110">
        <v>146280</v>
      </c>
    </row>
    <row r="64" spans="1:21" x14ac:dyDescent="0.15">
      <c r="A64" s="15" t="s">
        <v>63</v>
      </c>
      <c r="B64" s="43">
        <v>0</v>
      </c>
      <c r="C64" s="11">
        <v>0</v>
      </c>
      <c r="D64" s="11">
        <v>0</v>
      </c>
      <c r="E64" s="43">
        <v>0</v>
      </c>
      <c r="F64" s="11">
        <v>0</v>
      </c>
      <c r="G64" s="11">
        <v>0</v>
      </c>
      <c r="H64" s="11">
        <v>0</v>
      </c>
      <c r="I64" s="11">
        <v>0</v>
      </c>
      <c r="J64" s="60">
        <v>0</v>
      </c>
      <c r="K64" s="77">
        <f t="shared" si="1"/>
        <v>0</v>
      </c>
      <c r="L64" s="91">
        <v>0</v>
      </c>
      <c r="M64" s="77">
        <f t="shared" si="2"/>
        <v>0</v>
      </c>
      <c r="N64" s="108">
        <v>16900</v>
      </c>
    </row>
    <row r="65" spans="1:14" x14ac:dyDescent="0.15">
      <c r="A65" s="15" t="s">
        <v>64</v>
      </c>
      <c r="B65" s="43">
        <v>21300</v>
      </c>
      <c r="C65" s="11">
        <v>15000</v>
      </c>
      <c r="D65" s="11">
        <v>600</v>
      </c>
      <c r="E65" s="43">
        <v>0</v>
      </c>
      <c r="F65" s="11">
        <v>1100</v>
      </c>
      <c r="G65" s="11">
        <v>0</v>
      </c>
      <c r="H65" s="11">
        <v>3500</v>
      </c>
      <c r="I65" s="11">
        <v>0</v>
      </c>
      <c r="J65" s="60">
        <v>0</v>
      </c>
      <c r="K65" s="77">
        <f t="shared" si="1"/>
        <v>41500</v>
      </c>
      <c r="L65" s="91">
        <v>15600</v>
      </c>
      <c r="M65" s="77">
        <f t="shared" si="2"/>
        <v>15600</v>
      </c>
      <c r="N65" s="108">
        <v>242300</v>
      </c>
    </row>
    <row r="66" spans="1:14" x14ac:dyDescent="0.15">
      <c r="A66" s="15" t="s">
        <v>65</v>
      </c>
      <c r="B66" s="43">
        <v>0</v>
      </c>
      <c r="C66" s="11">
        <v>0</v>
      </c>
      <c r="D66" s="11">
        <v>0</v>
      </c>
      <c r="E66" s="43">
        <v>0</v>
      </c>
      <c r="F66" s="11">
        <v>0</v>
      </c>
      <c r="G66" s="11">
        <v>0</v>
      </c>
      <c r="H66" s="11">
        <v>0</v>
      </c>
      <c r="I66" s="11">
        <v>0</v>
      </c>
      <c r="J66" s="60">
        <v>0</v>
      </c>
      <c r="K66" s="77">
        <f t="shared" si="1"/>
        <v>0</v>
      </c>
      <c r="L66" s="91">
        <v>0</v>
      </c>
      <c r="M66" s="77">
        <f t="shared" si="2"/>
        <v>0</v>
      </c>
      <c r="N66" s="108">
        <v>10000</v>
      </c>
    </row>
    <row r="67" spans="1:14" x14ac:dyDescent="0.15">
      <c r="A67" s="15" t="s">
        <v>66</v>
      </c>
      <c r="B67" s="43">
        <v>0</v>
      </c>
      <c r="C67" s="11">
        <v>0</v>
      </c>
      <c r="D67" s="11">
        <v>0</v>
      </c>
      <c r="E67" s="43">
        <v>0</v>
      </c>
      <c r="F67" s="11">
        <v>0</v>
      </c>
      <c r="G67" s="11">
        <v>0</v>
      </c>
      <c r="H67" s="11">
        <v>0</v>
      </c>
      <c r="I67" s="11">
        <v>0</v>
      </c>
      <c r="J67" s="60">
        <v>0</v>
      </c>
      <c r="K67" s="77">
        <f t="shared" si="1"/>
        <v>0</v>
      </c>
      <c r="L67" s="91">
        <v>0</v>
      </c>
      <c r="M67" s="77">
        <f t="shared" si="2"/>
        <v>0</v>
      </c>
      <c r="N67" s="108">
        <v>0</v>
      </c>
    </row>
    <row r="68" spans="1:14" x14ac:dyDescent="0.15">
      <c r="A68" s="15" t="s">
        <v>67</v>
      </c>
      <c r="B68" s="43">
        <v>0</v>
      </c>
      <c r="C68" s="11">
        <v>0</v>
      </c>
      <c r="D68" s="11">
        <v>0</v>
      </c>
      <c r="E68" s="43">
        <v>0</v>
      </c>
      <c r="F68" s="11">
        <v>0</v>
      </c>
      <c r="G68" s="11">
        <v>0</v>
      </c>
      <c r="H68" s="11">
        <v>0</v>
      </c>
      <c r="I68" s="11">
        <v>0</v>
      </c>
      <c r="J68" s="60">
        <v>0</v>
      </c>
      <c r="K68" s="77">
        <f t="shared" si="1"/>
        <v>0</v>
      </c>
      <c r="L68" s="91">
        <v>0</v>
      </c>
      <c r="M68" s="77">
        <f t="shared" si="2"/>
        <v>0</v>
      </c>
      <c r="N68" s="108">
        <v>0</v>
      </c>
    </row>
    <row r="69" spans="1:14" ht="14.25" thickBot="1" x14ac:dyDescent="0.2">
      <c r="A69" s="30" t="s">
        <v>68</v>
      </c>
      <c r="B69" s="46">
        <v>35250</v>
      </c>
      <c r="C69" s="31">
        <v>22710</v>
      </c>
      <c r="D69" s="31">
        <v>600</v>
      </c>
      <c r="E69" s="46">
        <v>0</v>
      </c>
      <c r="F69" s="31">
        <v>1100</v>
      </c>
      <c r="G69" s="31">
        <v>0</v>
      </c>
      <c r="H69" s="31">
        <v>3500</v>
      </c>
      <c r="I69" s="31">
        <v>0</v>
      </c>
      <c r="J69" s="63">
        <v>0</v>
      </c>
      <c r="K69" s="80">
        <f t="shared" si="1"/>
        <v>63160</v>
      </c>
      <c r="L69" s="94">
        <v>25560</v>
      </c>
      <c r="M69" s="80">
        <f t="shared" si="2"/>
        <v>25560</v>
      </c>
      <c r="N69" s="111">
        <v>415480</v>
      </c>
    </row>
    <row r="70" spans="1:14" ht="14.25" thickBot="1" x14ac:dyDescent="0.2">
      <c r="A70" s="32" t="s">
        <v>69</v>
      </c>
      <c r="B70" s="47">
        <v>112476</v>
      </c>
      <c r="C70" s="33">
        <v>78403</v>
      </c>
      <c r="D70" s="33">
        <v>865</v>
      </c>
      <c r="E70" s="47">
        <v>262</v>
      </c>
      <c r="F70" s="33">
        <v>1100</v>
      </c>
      <c r="G70" s="33">
        <v>0</v>
      </c>
      <c r="H70" s="33">
        <v>3500</v>
      </c>
      <c r="I70" s="33">
        <v>0</v>
      </c>
      <c r="J70" s="64">
        <v>0</v>
      </c>
      <c r="K70" s="81">
        <f t="shared" si="1"/>
        <v>196606</v>
      </c>
      <c r="L70" s="95">
        <v>81243</v>
      </c>
      <c r="M70" s="81">
        <f t="shared" si="2"/>
        <v>81243</v>
      </c>
      <c r="N70" s="112">
        <v>1433288</v>
      </c>
    </row>
    <row r="71" spans="1:14" ht="14.25" thickBot="1" x14ac:dyDescent="0.2">
      <c r="A71" s="32" t="s">
        <v>70</v>
      </c>
      <c r="B71" s="47">
        <v>379404</v>
      </c>
      <c r="C71" s="33">
        <v>305952</v>
      </c>
      <c r="D71" s="33">
        <v>87315</v>
      </c>
      <c r="E71" s="47">
        <v>87043</v>
      </c>
      <c r="F71" s="33">
        <v>54554</v>
      </c>
      <c r="G71" s="33">
        <v>83562</v>
      </c>
      <c r="H71" s="33">
        <v>81527</v>
      </c>
      <c r="I71" s="33">
        <v>72636</v>
      </c>
      <c r="J71" s="64">
        <v>27644</v>
      </c>
      <c r="K71" s="81">
        <f t="shared" si="1"/>
        <v>1179637</v>
      </c>
      <c r="L71" s="95">
        <v>299719</v>
      </c>
      <c r="M71" s="81">
        <f t="shared" si="2"/>
        <v>299719</v>
      </c>
      <c r="N71" s="112">
        <v>5818890</v>
      </c>
    </row>
    <row r="72" spans="1:14" x14ac:dyDescent="0.15">
      <c r="A72" s="27" t="s">
        <v>71</v>
      </c>
      <c r="B72" s="45">
        <v>0</v>
      </c>
      <c r="C72" s="28">
        <v>0</v>
      </c>
      <c r="D72" s="28">
        <v>0</v>
      </c>
      <c r="E72" s="45">
        <v>0</v>
      </c>
      <c r="F72" s="28">
        <v>0</v>
      </c>
      <c r="G72" s="28">
        <v>0</v>
      </c>
      <c r="H72" s="28">
        <v>0</v>
      </c>
      <c r="I72" s="28">
        <v>0</v>
      </c>
      <c r="J72" s="62">
        <v>0</v>
      </c>
      <c r="K72" s="79">
        <f t="shared" si="1"/>
        <v>0</v>
      </c>
      <c r="L72" s="93">
        <v>0</v>
      </c>
      <c r="M72" s="79">
        <f t="shared" si="2"/>
        <v>0</v>
      </c>
      <c r="N72" s="110">
        <v>0</v>
      </c>
    </row>
    <row r="73" spans="1:14" x14ac:dyDescent="0.15">
      <c r="A73" s="15" t="s">
        <v>72</v>
      </c>
      <c r="B73" s="43">
        <v>379404</v>
      </c>
      <c r="C73" s="11">
        <v>305952</v>
      </c>
      <c r="D73" s="11">
        <v>87315</v>
      </c>
      <c r="E73" s="43">
        <v>87043</v>
      </c>
      <c r="F73" s="11">
        <v>54554</v>
      </c>
      <c r="G73" s="11">
        <v>83562</v>
      </c>
      <c r="H73" s="11">
        <v>81527</v>
      </c>
      <c r="I73" s="11">
        <v>72636</v>
      </c>
      <c r="J73" s="60">
        <v>27644</v>
      </c>
      <c r="K73" s="77">
        <f t="shared" si="1"/>
        <v>1179637</v>
      </c>
      <c r="L73" s="91">
        <v>299719</v>
      </c>
      <c r="M73" s="77">
        <f t="shared" si="2"/>
        <v>299719</v>
      </c>
      <c r="N73" s="108">
        <v>5818890</v>
      </c>
    </row>
    <row r="74" spans="1:14" x14ac:dyDescent="0.15">
      <c r="A74" s="15" t="s">
        <v>73</v>
      </c>
      <c r="B74" s="48">
        <v>37</v>
      </c>
      <c r="C74" s="12">
        <v>38</v>
      </c>
      <c r="D74" s="12">
        <v>17</v>
      </c>
      <c r="E74" s="48">
        <v>18</v>
      </c>
      <c r="F74" s="12">
        <v>22</v>
      </c>
      <c r="G74" s="12">
        <v>15</v>
      </c>
      <c r="H74" s="12">
        <v>13</v>
      </c>
      <c r="I74" s="12">
        <v>4</v>
      </c>
      <c r="J74" s="65">
        <v>3</v>
      </c>
      <c r="K74" s="82"/>
      <c r="L74" s="96">
        <v>32</v>
      </c>
      <c r="M74" s="82"/>
      <c r="N74" s="113">
        <v>659</v>
      </c>
    </row>
    <row r="75" spans="1:14" x14ac:dyDescent="0.15">
      <c r="A75" s="15" t="s">
        <v>74</v>
      </c>
      <c r="B75" s="49">
        <v>1</v>
      </c>
      <c r="C75" s="13">
        <v>1</v>
      </c>
      <c r="D75" s="13"/>
      <c r="E75" s="49"/>
      <c r="F75" s="13"/>
      <c r="G75" s="13">
        <v>1</v>
      </c>
      <c r="H75" s="13">
        <v>1</v>
      </c>
      <c r="I75" s="13">
        <v>1</v>
      </c>
      <c r="J75" s="66">
        <v>1</v>
      </c>
      <c r="K75" s="83"/>
      <c r="L75" s="97"/>
      <c r="M75" s="83"/>
      <c r="N75" s="114"/>
    </row>
    <row r="76" spans="1:14" ht="14.25" thickBot="1" x14ac:dyDescent="0.2">
      <c r="A76" s="16" t="s">
        <v>75</v>
      </c>
      <c r="B76" s="50" t="s">
        <v>76</v>
      </c>
      <c r="C76" s="17" t="s">
        <v>76</v>
      </c>
      <c r="D76" s="17" t="s">
        <v>76</v>
      </c>
      <c r="E76" s="50" t="s">
        <v>76</v>
      </c>
      <c r="F76" s="17" t="s">
        <v>76</v>
      </c>
      <c r="G76" s="17" t="s">
        <v>76</v>
      </c>
      <c r="H76" s="17" t="s">
        <v>76</v>
      </c>
      <c r="I76" s="17" t="s">
        <v>76</v>
      </c>
      <c r="J76" s="67" t="s">
        <v>76</v>
      </c>
      <c r="K76" s="84"/>
      <c r="L76" s="98" t="s">
        <v>76</v>
      </c>
      <c r="M76" s="84"/>
      <c r="N76" s="115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A9DA-895E-4058-9B22-0C6638DE2FB4}">
  <sheetPr>
    <pageSetUpPr fitToPage="1"/>
  </sheetPr>
  <dimension ref="A1:AT76"/>
  <sheetViews>
    <sheetView zoomScale="80" zoomScaleNormal="80" zoomScaleSheetLayoutView="80" workbookViewId="0">
      <pane xSplit="1" ySplit="5" topLeftCell="D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9" width="10.625" style="2" customWidth="1"/>
    <col min="20" max="26" width="10.5" style="2" customWidth="1"/>
    <col min="27" max="16384" width="9" style="2"/>
  </cols>
  <sheetData>
    <row r="1" spans="1:46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7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6" x14ac:dyDescent="0.15">
      <c r="A3" s="18" t="s">
        <v>0</v>
      </c>
      <c r="B3" s="19" t="s">
        <v>3</v>
      </c>
      <c r="C3" s="19" t="s">
        <v>3</v>
      </c>
      <c r="D3" s="19" t="s">
        <v>23</v>
      </c>
      <c r="E3" s="19" t="s">
        <v>23</v>
      </c>
      <c r="F3" s="19" t="s">
        <v>23</v>
      </c>
      <c r="G3" s="35" t="s">
        <v>23</v>
      </c>
      <c r="H3" s="19" t="s">
        <v>23</v>
      </c>
      <c r="I3" s="19" t="s">
        <v>23</v>
      </c>
      <c r="J3" s="19" t="s">
        <v>23</v>
      </c>
      <c r="K3" s="19" t="s">
        <v>23</v>
      </c>
      <c r="L3" s="35" t="s">
        <v>23</v>
      </c>
      <c r="M3" s="19" t="s">
        <v>23</v>
      </c>
      <c r="N3" s="19" t="s">
        <v>23</v>
      </c>
      <c r="O3" s="19" t="s">
        <v>23</v>
      </c>
      <c r="P3" s="19" t="s">
        <v>23</v>
      </c>
      <c r="Q3" s="35" t="s">
        <v>23</v>
      </c>
      <c r="R3" s="52" t="s">
        <v>23</v>
      </c>
      <c r="S3" s="69" t="s">
        <v>104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6" x14ac:dyDescent="0.15">
      <c r="A4" s="20"/>
      <c r="B4" s="21">
        <v>1087</v>
      </c>
      <c r="C4" s="21">
        <v>1088</v>
      </c>
      <c r="D4" s="21">
        <v>1006</v>
      </c>
      <c r="E4" s="21">
        <v>1007</v>
      </c>
      <c r="F4" s="21">
        <v>1015</v>
      </c>
      <c r="G4" s="36">
        <v>1017</v>
      </c>
      <c r="H4" s="21">
        <v>1018</v>
      </c>
      <c r="I4" s="21">
        <v>1021</v>
      </c>
      <c r="J4" s="21">
        <v>1022</v>
      </c>
      <c r="K4" s="21">
        <v>1034</v>
      </c>
      <c r="L4" s="36">
        <v>1035</v>
      </c>
      <c r="M4" s="21">
        <v>1039</v>
      </c>
      <c r="N4" s="21">
        <v>1047</v>
      </c>
      <c r="O4" s="21">
        <v>1058</v>
      </c>
      <c r="P4" s="21">
        <v>1065</v>
      </c>
      <c r="Q4" s="36">
        <v>1077</v>
      </c>
      <c r="R4" s="53">
        <v>1080</v>
      </c>
      <c r="S4" s="7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6" ht="14.25" thickBot="1" x14ac:dyDescent="0.2">
      <c r="A5" s="20" t="s">
        <v>1</v>
      </c>
      <c r="B5" s="21" t="s">
        <v>4</v>
      </c>
      <c r="C5" s="21" t="s">
        <v>22</v>
      </c>
      <c r="D5" s="21" t="s">
        <v>24</v>
      </c>
      <c r="E5" s="21" t="s">
        <v>25</v>
      </c>
      <c r="F5" s="21" t="s">
        <v>26</v>
      </c>
      <c r="G5" s="36" t="s">
        <v>77</v>
      </c>
      <c r="H5" s="21" t="s">
        <v>78</v>
      </c>
      <c r="I5" s="21" t="s">
        <v>79</v>
      </c>
      <c r="J5" s="21" t="s">
        <v>80</v>
      </c>
      <c r="K5" s="21" t="s">
        <v>81</v>
      </c>
      <c r="L5" s="36" t="s">
        <v>82</v>
      </c>
      <c r="M5" s="21" t="s">
        <v>83</v>
      </c>
      <c r="N5" s="21" t="s">
        <v>84</v>
      </c>
      <c r="O5" s="21" t="s">
        <v>85</v>
      </c>
      <c r="P5" s="21" t="s">
        <v>86</v>
      </c>
      <c r="Q5" s="36" t="s">
        <v>87</v>
      </c>
      <c r="R5" s="53" t="s">
        <v>88</v>
      </c>
      <c r="S5" s="71" t="s">
        <v>105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6" x14ac:dyDescent="0.15">
      <c r="A6" s="22" t="s">
        <v>5</v>
      </c>
      <c r="B6" s="23">
        <v>20</v>
      </c>
      <c r="C6" s="23">
        <v>19</v>
      </c>
      <c r="D6" s="23">
        <v>20</v>
      </c>
      <c r="E6" s="23">
        <v>20</v>
      </c>
      <c r="F6" s="23">
        <v>21</v>
      </c>
      <c r="G6" s="37">
        <v>20</v>
      </c>
      <c r="H6" s="23">
        <v>17</v>
      </c>
      <c r="I6" s="23">
        <v>20</v>
      </c>
      <c r="J6" s="23">
        <v>21</v>
      </c>
      <c r="K6" s="23">
        <v>18</v>
      </c>
      <c r="L6" s="37">
        <v>20</v>
      </c>
      <c r="M6" s="23">
        <v>19</v>
      </c>
      <c r="N6" s="23">
        <v>21</v>
      </c>
      <c r="O6" s="23">
        <v>20</v>
      </c>
      <c r="P6" s="23">
        <v>20</v>
      </c>
      <c r="Q6" s="37">
        <v>21</v>
      </c>
      <c r="R6" s="54">
        <v>18</v>
      </c>
      <c r="S6" s="72">
        <f>SUM(B6:R6)</f>
        <v>335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6" x14ac:dyDescent="0.15">
      <c r="A7" s="14" t="s">
        <v>6</v>
      </c>
      <c r="B7" s="8">
        <v>3</v>
      </c>
      <c r="C7" s="8">
        <v>1</v>
      </c>
      <c r="D7" s="8">
        <v>1</v>
      </c>
      <c r="E7" s="8">
        <v>2</v>
      </c>
      <c r="F7" s="8">
        <v>2</v>
      </c>
      <c r="G7" s="38"/>
      <c r="H7" s="8">
        <v>3</v>
      </c>
      <c r="I7" s="8">
        <v>2</v>
      </c>
      <c r="J7" s="8">
        <v>2</v>
      </c>
      <c r="K7" s="8">
        <v>2</v>
      </c>
      <c r="L7" s="39">
        <v>3</v>
      </c>
      <c r="M7" s="8">
        <v>1</v>
      </c>
      <c r="N7" s="8">
        <v>2</v>
      </c>
      <c r="O7" s="8">
        <v>3</v>
      </c>
      <c r="P7" s="8">
        <v>3</v>
      </c>
      <c r="Q7" s="39">
        <v>2</v>
      </c>
      <c r="R7" s="55">
        <v>2</v>
      </c>
      <c r="S7" s="73">
        <f>SUM(B7:R7)</f>
        <v>34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6" x14ac:dyDescent="0.15">
      <c r="A8" s="14" t="s">
        <v>7</v>
      </c>
      <c r="B8" s="8">
        <v>3</v>
      </c>
      <c r="C8" s="8">
        <v>1</v>
      </c>
      <c r="D8" s="8">
        <v>5</v>
      </c>
      <c r="E8" s="8">
        <v>1</v>
      </c>
      <c r="F8" s="8">
        <v>2</v>
      </c>
      <c r="G8" s="39">
        <v>5</v>
      </c>
      <c r="H8" s="8">
        <v>2</v>
      </c>
      <c r="I8" s="8">
        <v>3</v>
      </c>
      <c r="J8" s="8">
        <v>3</v>
      </c>
      <c r="K8" s="8">
        <v>2</v>
      </c>
      <c r="L8" s="39">
        <v>2</v>
      </c>
      <c r="M8" s="8">
        <v>5</v>
      </c>
      <c r="N8" s="8">
        <v>1</v>
      </c>
      <c r="O8" s="8">
        <v>1</v>
      </c>
      <c r="P8" s="8">
        <v>3</v>
      </c>
      <c r="Q8" s="39">
        <v>2</v>
      </c>
      <c r="R8" s="55">
        <v>3</v>
      </c>
      <c r="S8" s="73">
        <f>SUM(B8:R8)</f>
        <v>44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6" x14ac:dyDescent="0.15">
      <c r="A9" s="14" t="s">
        <v>8</v>
      </c>
      <c r="B9" s="9"/>
      <c r="C9" s="9"/>
      <c r="D9" s="9"/>
      <c r="E9" s="9"/>
      <c r="F9" s="9"/>
      <c r="G9" s="38"/>
      <c r="H9" s="9"/>
      <c r="I9" s="9"/>
      <c r="J9" s="9"/>
      <c r="K9" s="9"/>
      <c r="L9" s="38"/>
      <c r="M9" s="9"/>
      <c r="N9" s="9"/>
      <c r="O9" s="9"/>
      <c r="P9" s="9"/>
      <c r="Q9" s="38"/>
      <c r="R9" s="56"/>
      <c r="S9" s="74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6" x14ac:dyDescent="0.15">
      <c r="A10" s="14" t="s">
        <v>9</v>
      </c>
      <c r="B10" s="9"/>
      <c r="C10" s="9"/>
      <c r="D10" s="9"/>
      <c r="E10" s="9"/>
      <c r="F10" s="9"/>
      <c r="G10" s="38"/>
      <c r="H10" s="9"/>
      <c r="I10" s="9"/>
      <c r="J10" s="9"/>
      <c r="K10" s="9"/>
      <c r="L10" s="38"/>
      <c r="M10" s="9"/>
      <c r="N10" s="9"/>
      <c r="O10" s="9"/>
      <c r="P10" s="9"/>
      <c r="Q10" s="38"/>
      <c r="R10" s="56"/>
      <c r="S10" s="74"/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6" x14ac:dyDescent="0.15">
      <c r="A11" s="14" t="s">
        <v>10</v>
      </c>
      <c r="B11" s="9"/>
      <c r="C11" s="9"/>
      <c r="D11" s="9"/>
      <c r="E11" s="9"/>
      <c r="F11" s="9"/>
      <c r="G11" s="38"/>
      <c r="H11" s="9"/>
      <c r="I11" s="9"/>
      <c r="J11" s="9"/>
      <c r="K11" s="9"/>
      <c r="L11" s="38"/>
      <c r="M11" s="9"/>
      <c r="N11" s="9"/>
      <c r="O11" s="9"/>
      <c r="P11" s="9"/>
      <c r="Q11" s="38"/>
      <c r="R11" s="56"/>
      <c r="S11" s="74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6" x14ac:dyDescent="0.15">
      <c r="A12" s="14" t="s">
        <v>11</v>
      </c>
      <c r="B12" s="8">
        <v>1</v>
      </c>
      <c r="C12" s="8">
        <v>2</v>
      </c>
      <c r="D12" s="8">
        <v>1</v>
      </c>
      <c r="E12" s="8">
        <v>1</v>
      </c>
      <c r="F12" s="9"/>
      <c r="G12" s="39">
        <v>1</v>
      </c>
      <c r="H12" s="8">
        <v>4</v>
      </c>
      <c r="I12" s="8">
        <v>1</v>
      </c>
      <c r="J12" s="9"/>
      <c r="K12" s="8">
        <v>3</v>
      </c>
      <c r="L12" s="39">
        <v>1</v>
      </c>
      <c r="M12" s="8">
        <v>2</v>
      </c>
      <c r="N12" s="9"/>
      <c r="O12" s="8">
        <v>1</v>
      </c>
      <c r="P12" s="8">
        <v>1</v>
      </c>
      <c r="Q12" s="38"/>
      <c r="R12" s="55">
        <v>3</v>
      </c>
      <c r="S12" s="73">
        <f>SUM(B12:R12)</f>
        <v>22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6" x14ac:dyDescent="0.15">
      <c r="A13" s="14" t="s">
        <v>12</v>
      </c>
      <c r="B13" s="9"/>
      <c r="C13" s="9"/>
      <c r="D13" s="9"/>
      <c r="E13" s="9"/>
      <c r="F13" s="9"/>
      <c r="G13" s="38"/>
      <c r="H13" s="9"/>
      <c r="I13" s="9"/>
      <c r="J13" s="9"/>
      <c r="K13" s="9"/>
      <c r="L13" s="38"/>
      <c r="M13" s="9"/>
      <c r="N13" s="9"/>
      <c r="O13" s="9"/>
      <c r="P13" s="9"/>
      <c r="Q13" s="38"/>
      <c r="R13" s="56"/>
      <c r="S13" s="7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6" x14ac:dyDescent="0.15">
      <c r="A14" s="14" t="s">
        <v>13</v>
      </c>
      <c r="B14" s="10">
        <v>2.4166666666666665</v>
      </c>
      <c r="C14" s="10">
        <v>1.3333333333333333</v>
      </c>
      <c r="D14" s="10">
        <v>1.5833333333333333</v>
      </c>
      <c r="E14" s="10">
        <v>2.4583333333333335</v>
      </c>
      <c r="F14" s="10">
        <v>2.2916666666666665</v>
      </c>
      <c r="G14" s="40">
        <v>2.5</v>
      </c>
      <c r="H14" s="10">
        <v>1.625</v>
      </c>
      <c r="I14" s="10">
        <v>2.7083333333333335</v>
      </c>
      <c r="J14" s="10">
        <v>2.875</v>
      </c>
      <c r="K14" s="10">
        <v>2.3333333333333335</v>
      </c>
      <c r="L14" s="40">
        <v>2.5</v>
      </c>
      <c r="M14" s="10">
        <v>1.75</v>
      </c>
      <c r="N14" s="10">
        <v>2.8333333333333335</v>
      </c>
      <c r="O14" s="10">
        <v>0.83333333333333337</v>
      </c>
      <c r="P14" s="10">
        <v>2.2083333333333335</v>
      </c>
      <c r="Q14" s="40">
        <v>2.1666666666666665</v>
      </c>
      <c r="R14" s="57">
        <v>2.0416666666666665</v>
      </c>
      <c r="S14" s="75">
        <f>SUM(B14:R14)</f>
        <v>36.458333333333321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6" x14ac:dyDescent="0.15">
      <c r="A15" s="14" t="s">
        <v>14</v>
      </c>
      <c r="B15" s="10">
        <v>1.25</v>
      </c>
      <c r="C15" s="10">
        <v>0.41666666666666669</v>
      </c>
      <c r="D15" s="10">
        <v>0.33333333333333331</v>
      </c>
      <c r="E15" s="10">
        <v>0.79166666666666663</v>
      </c>
      <c r="F15" s="10">
        <v>0.83333333333333337</v>
      </c>
      <c r="G15" s="38"/>
      <c r="H15" s="10">
        <v>1.6666666666666667</v>
      </c>
      <c r="I15" s="10">
        <v>0.95833333333333337</v>
      </c>
      <c r="J15" s="10">
        <v>1.0833333333333333</v>
      </c>
      <c r="K15" s="10">
        <v>0.91666666666666663</v>
      </c>
      <c r="L15" s="40">
        <v>1.0416666666666667</v>
      </c>
      <c r="M15" s="10">
        <v>0.33333333333333331</v>
      </c>
      <c r="N15" s="10">
        <v>0.75</v>
      </c>
      <c r="O15" s="10">
        <v>1</v>
      </c>
      <c r="P15" s="10">
        <v>1.0416666666666667</v>
      </c>
      <c r="Q15" s="40">
        <v>0.70833333333333337</v>
      </c>
      <c r="R15" s="57">
        <v>1</v>
      </c>
      <c r="S15" s="75">
        <f t="shared" ref="S15:S16" si="0">SUM(B15:R15)</f>
        <v>14.125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6" x14ac:dyDescent="0.15">
      <c r="A16" s="14" t="s">
        <v>15</v>
      </c>
      <c r="B16" s="10">
        <v>1</v>
      </c>
      <c r="C16" s="10">
        <v>0.25</v>
      </c>
      <c r="D16" s="10">
        <v>1.4166666666666667</v>
      </c>
      <c r="E16" s="10">
        <v>0.45833333333333331</v>
      </c>
      <c r="F16" s="10">
        <v>0.625</v>
      </c>
      <c r="G16" s="40">
        <v>2.1666666666666665</v>
      </c>
      <c r="H16" s="10">
        <v>0.875</v>
      </c>
      <c r="I16" s="10">
        <v>1.2916666666666667</v>
      </c>
      <c r="J16" s="10">
        <v>1.125</v>
      </c>
      <c r="K16" s="10">
        <v>0.83333333333333337</v>
      </c>
      <c r="L16" s="40">
        <v>0.54166666666666663</v>
      </c>
      <c r="M16" s="10">
        <v>1.25</v>
      </c>
      <c r="N16" s="10">
        <v>0.25</v>
      </c>
      <c r="O16" s="10">
        <v>0.29166666666666669</v>
      </c>
      <c r="P16" s="10">
        <v>0.83333333333333337</v>
      </c>
      <c r="Q16" s="40">
        <v>0.54166666666666663</v>
      </c>
      <c r="R16" s="57">
        <v>1.3333333333333333</v>
      </c>
      <c r="S16" s="75">
        <f t="shared" si="0"/>
        <v>15.083333333333334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4" t="s">
        <v>16</v>
      </c>
      <c r="B17" s="9"/>
      <c r="C17" s="9"/>
      <c r="D17" s="9"/>
      <c r="E17" s="9"/>
      <c r="F17" s="9"/>
      <c r="G17" s="38"/>
      <c r="H17" s="9"/>
      <c r="I17" s="9"/>
      <c r="J17" s="9"/>
      <c r="K17" s="9"/>
      <c r="L17" s="38"/>
      <c r="M17" s="9"/>
      <c r="N17" s="9"/>
      <c r="O17" s="9"/>
      <c r="P17" s="9"/>
      <c r="Q17" s="38"/>
      <c r="R17" s="56"/>
      <c r="S17" s="74"/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4" t="s">
        <v>17</v>
      </c>
      <c r="B18" s="9"/>
      <c r="C18" s="9"/>
      <c r="D18" s="9"/>
      <c r="E18" s="9"/>
      <c r="F18" s="9"/>
      <c r="G18" s="38"/>
      <c r="H18" s="9"/>
      <c r="I18" s="9"/>
      <c r="J18" s="9"/>
      <c r="K18" s="9"/>
      <c r="L18" s="38"/>
      <c r="M18" s="9"/>
      <c r="N18" s="9"/>
      <c r="O18" s="9"/>
      <c r="P18" s="9"/>
      <c r="Q18" s="38"/>
      <c r="R18" s="56"/>
      <c r="S18" s="74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4" t="s">
        <v>18</v>
      </c>
      <c r="B19" s="9"/>
      <c r="C19" s="9"/>
      <c r="D19" s="9"/>
      <c r="E19" s="9"/>
      <c r="F19" s="9"/>
      <c r="G19" s="38"/>
      <c r="H19" s="9"/>
      <c r="I19" s="9"/>
      <c r="J19" s="9"/>
      <c r="K19" s="9"/>
      <c r="L19" s="38"/>
      <c r="M19" s="9"/>
      <c r="N19" s="9"/>
      <c r="O19" s="9"/>
      <c r="P19" s="9"/>
      <c r="Q19" s="38"/>
      <c r="R19" s="56"/>
      <c r="S19" s="74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4" t="s">
        <v>19</v>
      </c>
      <c r="B20" s="9"/>
      <c r="C20" s="9"/>
      <c r="D20" s="9"/>
      <c r="E20" s="9"/>
      <c r="F20" s="9"/>
      <c r="G20" s="38"/>
      <c r="H20" s="9"/>
      <c r="I20" s="9"/>
      <c r="J20" s="9"/>
      <c r="K20" s="9"/>
      <c r="L20" s="38"/>
      <c r="M20" s="9"/>
      <c r="N20" s="9"/>
      <c r="O20" s="9"/>
      <c r="P20" s="9"/>
      <c r="Q20" s="38"/>
      <c r="R20" s="56"/>
      <c r="S20" s="74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4" t="s">
        <v>20</v>
      </c>
      <c r="B21" s="9"/>
      <c r="C21" s="9"/>
      <c r="D21" s="9"/>
      <c r="E21" s="9"/>
      <c r="F21" s="9"/>
      <c r="G21" s="38"/>
      <c r="H21" s="9"/>
      <c r="I21" s="9"/>
      <c r="J21" s="9"/>
      <c r="K21" s="9"/>
      <c r="L21" s="38"/>
      <c r="M21" s="9"/>
      <c r="N21" s="9"/>
      <c r="O21" s="9"/>
      <c r="P21" s="9"/>
      <c r="Q21" s="38"/>
      <c r="R21" s="56"/>
      <c r="S21" s="74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4" t="s">
        <v>21</v>
      </c>
      <c r="B22" s="25">
        <v>1.2083333333333333</v>
      </c>
      <c r="C22" s="25">
        <v>0.33333333333333331</v>
      </c>
      <c r="D22" s="25">
        <v>0.41666666666666669</v>
      </c>
      <c r="E22" s="25">
        <v>0.33333333333333331</v>
      </c>
      <c r="F22" s="34"/>
      <c r="G22" s="41">
        <v>1.3333333333333333</v>
      </c>
      <c r="H22" s="25">
        <v>1.4583333333333333</v>
      </c>
      <c r="I22" s="25">
        <v>1.8333333333333333</v>
      </c>
      <c r="J22" s="25">
        <v>1.7083333333333333</v>
      </c>
      <c r="K22" s="25">
        <v>0.20833333333333334</v>
      </c>
      <c r="L22" s="41">
        <v>0.16666666666666666</v>
      </c>
      <c r="M22" s="25">
        <v>0.20833333333333334</v>
      </c>
      <c r="N22" s="25">
        <v>1.1666666666666667</v>
      </c>
      <c r="O22" s="25">
        <v>4.1666666666666664E-2</v>
      </c>
      <c r="P22" s="25">
        <v>0.41666666666666669</v>
      </c>
      <c r="Q22" s="41">
        <v>0.25</v>
      </c>
      <c r="R22" s="68">
        <v>1.375</v>
      </c>
      <c r="S22" s="75">
        <f t="shared" ref="S22" si="1">SUM(B22:R22)</f>
        <v>12.458333333333332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2" t="s">
        <v>27</v>
      </c>
      <c r="B23" s="26">
        <v>170000</v>
      </c>
      <c r="C23" s="26">
        <v>175000</v>
      </c>
      <c r="D23" s="26">
        <v>182000</v>
      </c>
      <c r="E23" s="26">
        <v>187000</v>
      </c>
      <c r="F23" s="26">
        <v>192000</v>
      </c>
      <c r="G23" s="42">
        <v>192000</v>
      </c>
      <c r="H23" s="26">
        <v>182000</v>
      </c>
      <c r="I23" s="26">
        <v>192000</v>
      </c>
      <c r="J23" s="26">
        <v>187000</v>
      </c>
      <c r="K23" s="26">
        <v>172000</v>
      </c>
      <c r="L23" s="42">
        <v>172000</v>
      </c>
      <c r="M23" s="26">
        <v>172000</v>
      </c>
      <c r="N23" s="26">
        <v>177000</v>
      </c>
      <c r="O23" s="26">
        <v>170000</v>
      </c>
      <c r="P23" s="26">
        <v>175000</v>
      </c>
      <c r="Q23" s="42">
        <v>170000</v>
      </c>
      <c r="R23" s="59">
        <v>175000</v>
      </c>
      <c r="S23" s="76">
        <f>SUM(B23:R23)</f>
        <v>3042000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4" t="s">
        <v>28</v>
      </c>
      <c r="B24" s="9">
        <v>0</v>
      </c>
      <c r="C24" s="9">
        <v>0</v>
      </c>
      <c r="D24" s="9">
        <v>0</v>
      </c>
      <c r="E24" s="9">
        <v>0</v>
      </c>
      <c r="F24" s="9">
        <v>20000</v>
      </c>
      <c r="G24" s="38">
        <v>5000</v>
      </c>
      <c r="H24" s="9">
        <v>0</v>
      </c>
      <c r="I24" s="9">
        <v>20000</v>
      </c>
      <c r="J24" s="9">
        <v>5000</v>
      </c>
      <c r="K24" s="9">
        <v>0</v>
      </c>
      <c r="L24" s="38">
        <v>0</v>
      </c>
      <c r="M24" s="9">
        <v>0</v>
      </c>
      <c r="N24" s="9">
        <v>0</v>
      </c>
      <c r="O24" s="9">
        <v>0</v>
      </c>
      <c r="P24" s="9">
        <v>0</v>
      </c>
      <c r="Q24" s="38">
        <v>0</v>
      </c>
      <c r="R24" s="56">
        <v>0</v>
      </c>
      <c r="S24" s="74">
        <f t="shared" ref="S24:S73" si="2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4" t="s">
        <v>29</v>
      </c>
      <c r="B25" s="9">
        <v>0</v>
      </c>
      <c r="C25" s="9">
        <v>0</v>
      </c>
      <c r="D25" s="9">
        <v>0</v>
      </c>
      <c r="E25" s="9">
        <v>0</v>
      </c>
      <c r="F25" s="9">
        <v>3000</v>
      </c>
      <c r="G25" s="38">
        <v>0</v>
      </c>
      <c r="H25" s="9">
        <v>0</v>
      </c>
      <c r="I25" s="9">
        <v>0</v>
      </c>
      <c r="J25" s="9">
        <v>0</v>
      </c>
      <c r="K25" s="9">
        <v>0</v>
      </c>
      <c r="L25" s="38">
        <v>0</v>
      </c>
      <c r="M25" s="9">
        <v>0</v>
      </c>
      <c r="N25" s="9">
        <v>0</v>
      </c>
      <c r="O25" s="9">
        <v>0</v>
      </c>
      <c r="P25" s="9">
        <v>0</v>
      </c>
      <c r="Q25" s="38">
        <v>0</v>
      </c>
      <c r="R25" s="56">
        <v>0</v>
      </c>
      <c r="S25" s="74">
        <f t="shared" si="2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4" t="s">
        <v>30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38">
        <v>0</v>
      </c>
      <c r="H26" s="9">
        <v>0</v>
      </c>
      <c r="I26" s="9">
        <v>0</v>
      </c>
      <c r="J26" s="9">
        <v>0</v>
      </c>
      <c r="K26" s="9">
        <v>0</v>
      </c>
      <c r="L26" s="38">
        <v>0</v>
      </c>
      <c r="M26" s="9">
        <v>0</v>
      </c>
      <c r="N26" s="9">
        <v>0</v>
      </c>
      <c r="O26" s="9">
        <v>0</v>
      </c>
      <c r="P26" s="9">
        <v>0</v>
      </c>
      <c r="Q26" s="38">
        <v>0</v>
      </c>
      <c r="R26" s="56">
        <v>0</v>
      </c>
      <c r="S26" s="74">
        <f t="shared" si="2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4" t="s">
        <v>31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38">
        <v>0</v>
      </c>
      <c r="H27" s="9">
        <v>0</v>
      </c>
      <c r="I27" s="9">
        <v>0</v>
      </c>
      <c r="J27" s="9">
        <v>0</v>
      </c>
      <c r="K27" s="9">
        <v>0</v>
      </c>
      <c r="L27" s="38">
        <v>0</v>
      </c>
      <c r="M27" s="9">
        <v>0</v>
      </c>
      <c r="N27" s="9">
        <v>0</v>
      </c>
      <c r="O27" s="9">
        <v>0</v>
      </c>
      <c r="P27" s="9">
        <v>0</v>
      </c>
      <c r="Q27" s="38">
        <v>0</v>
      </c>
      <c r="R27" s="56">
        <v>0</v>
      </c>
      <c r="S27" s="74">
        <f t="shared" si="2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4" t="s">
        <v>32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38">
        <v>0</v>
      </c>
      <c r="H28" s="9">
        <v>0</v>
      </c>
      <c r="I28" s="9">
        <v>0</v>
      </c>
      <c r="J28" s="9">
        <v>0</v>
      </c>
      <c r="K28" s="9">
        <v>0</v>
      </c>
      <c r="L28" s="38">
        <v>0</v>
      </c>
      <c r="M28" s="9">
        <v>0</v>
      </c>
      <c r="N28" s="9">
        <v>0</v>
      </c>
      <c r="O28" s="9">
        <v>0</v>
      </c>
      <c r="P28" s="9">
        <v>0</v>
      </c>
      <c r="Q28" s="38">
        <v>0</v>
      </c>
      <c r="R28" s="56">
        <v>0</v>
      </c>
      <c r="S28" s="74">
        <f t="shared" si="2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4" t="s">
        <v>33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38">
        <v>0</v>
      </c>
      <c r="H29" s="9">
        <v>0</v>
      </c>
      <c r="I29" s="9">
        <v>0</v>
      </c>
      <c r="J29" s="9">
        <v>0</v>
      </c>
      <c r="K29" s="9">
        <v>0</v>
      </c>
      <c r="L29" s="38">
        <v>0</v>
      </c>
      <c r="M29" s="9">
        <v>0</v>
      </c>
      <c r="N29" s="9">
        <v>0</v>
      </c>
      <c r="O29" s="9">
        <v>0</v>
      </c>
      <c r="P29" s="9">
        <v>0</v>
      </c>
      <c r="Q29" s="38">
        <v>0</v>
      </c>
      <c r="R29" s="56">
        <v>0</v>
      </c>
      <c r="S29" s="74">
        <f t="shared" si="2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4" t="s">
        <v>34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38">
        <v>0</v>
      </c>
      <c r="H30" s="9">
        <v>0</v>
      </c>
      <c r="I30" s="9">
        <v>0</v>
      </c>
      <c r="J30" s="9">
        <v>0</v>
      </c>
      <c r="K30" s="9">
        <v>0</v>
      </c>
      <c r="L30" s="38">
        <v>0</v>
      </c>
      <c r="M30" s="9">
        <v>0</v>
      </c>
      <c r="N30" s="9">
        <v>0</v>
      </c>
      <c r="O30" s="9">
        <v>0</v>
      </c>
      <c r="P30" s="9">
        <v>0</v>
      </c>
      <c r="Q30" s="38">
        <v>0</v>
      </c>
      <c r="R30" s="56">
        <v>0</v>
      </c>
      <c r="S30" s="74">
        <f t="shared" si="2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4" t="s">
        <v>35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38">
        <v>0</v>
      </c>
      <c r="H31" s="9">
        <v>0</v>
      </c>
      <c r="I31" s="9">
        <v>0</v>
      </c>
      <c r="J31" s="9">
        <v>0</v>
      </c>
      <c r="K31" s="9">
        <v>0</v>
      </c>
      <c r="L31" s="38">
        <v>0</v>
      </c>
      <c r="M31" s="9">
        <v>0</v>
      </c>
      <c r="N31" s="9">
        <v>0</v>
      </c>
      <c r="O31" s="9">
        <v>0</v>
      </c>
      <c r="P31" s="9">
        <v>0</v>
      </c>
      <c r="Q31" s="38">
        <v>0</v>
      </c>
      <c r="R31" s="56">
        <v>0</v>
      </c>
      <c r="S31" s="74">
        <f t="shared" si="2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4" t="s">
        <v>36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38">
        <v>0</v>
      </c>
      <c r="H32" s="9">
        <v>0</v>
      </c>
      <c r="I32" s="9">
        <v>0</v>
      </c>
      <c r="J32" s="9">
        <v>0</v>
      </c>
      <c r="K32" s="9">
        <v>0</v>
      </c>
      <c r="L32" s="38">
        <v>0</v>
      </c>
      <c r="M32" s="9">
        <v>0</v>
      </c>
      <c r="N32" s="9">
        <v>0</v>
      </c>
      <c r="O32" s="9">
        <v>0</v>
      </c>
      <c r="P32" s="9">
        <v>0</v>
      </c>
      <c r="Q32" s="38">
        <v>0</v>
      </c>
      <c r="R32" s="56">
        <v>0</v>
      </c>
      <c r="S32" s="74">
        <f t="shared" si="2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4" t="s">
        <v>37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38">
        <v>0</v>
      </c>
      <c r="H33" s="9">
        <v>0</v>
      </c>
      <c r="I33" s="9">
        <v>0</v>
      </c>
      <c r="J33" s="9">
        <v>0</v>
      </c>
      <c r="K33" s="9">
        <v>0</v>
      </c>
      <c r="L33" s="38">
        <v>0</v>
      </c>
      <c r="M33" s="9">
        <v>0</v>
      </c>
      <c r="N33" s="9">
        <v>0</v>
      </c>
      <c r="O33" s="9">
        <v>0</v>
      </c>
      <c r="P33" s="9">
        <v>0</v>
      </c>
      <c r="Q33" s="38">
        <v>0</v>
      </c>
      <c r="R33" s="56">
        <v>0</v>
      </c>
      <c r="S33" s="74">
        <f t="shared" si="2"/>
        <v>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4" t="s">
        <v>38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38">
        <v>0</v>
      </c>
      <c r="H34" s="9">
        <v>0</v>
      </c>
      <c r="I34" s="9">
        <v>0</v>
      </c>
      <c r="J34" s="9">
        <v>0</v>
      </c>
      <c r="K34" s="9">
        <v>0</v>
      </c>
      <c r="L34" s="38">
        <v>0</v>
      </c>
      <c r="M34" s="9">
        <v>0</v>
      </c>
      <c r="N34" s="9">
        <v>0</v>
      </c>
      <c r="O34" s="9">
        <v>0</v>
      </c>
      <c r="P34" s="9">
        <v>0</v>
      </c>
      <c r="Q34" s="38">
        <v>0</v>
      </c>
      <c r="R34" s="56">
        <v>0</v>
      </c>
      <c r="S34" s="74">
        <f t="shared" si="2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4" t="s">
        <v>39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38">
        <v>0</v>
      </c>
      <c r="H35" s="9">
        <v>0</v>
      </c>
      <c r="I35" s="9">
        <v>0</v>
      </c>
      <c r="J35" s="9">
        <v>0</v>
      </c>
      <c r="K35" s="9">
        <v>0</v>
      </c>
      <c r="L35" s="38">
        <v>0</v>
      </c>
      <c r="M35" s="9">
        <v>0</v>
      </c>
      <c r="N35" s="9">
        <v>0</v>
      </c>
      <c r="O35" s="9">
        <v>0</v>
      </c>
      <c r="P35" s="9">
        <v>0</v>
      </c>
      <c r="Q35" s="38">
        <v>0</v>
      </c>
      <c r="R35" s="56">
        <v>0</v>
      </c>
      <c r="S35" s="74">
        <f t="shared" si="2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4" t="s">
        <v>40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38">
        <v>0</v>
      </c>
      <c r="H36" s="9">
        <v>0</v>
      </c>
      <c r="I36" s="9">
        <v>0</v>
      </c>
      <c r="J36" s="9">
        <v>0</v>
      </c>
      <c r="K36" s="9">
        <v>0</v>
      </c>
      <c r="L36" s="38">
        <v>0</v>
      </c>
      <c r="M36" s="9">
        <v>0</v>
      </c>
      <c r="N36" s="9">
        <v>0</v>
      </c>
      <c r="O36" s="9">
        <v>0</v>
      </c>
      <c r="P36" s="9">
        <v>0</v>
      </c>
      <c r="Q36" s="38">
        <v>0</v>
      </c>
      <c r="R36" s="56">
        <v>0</v>
      </c>
      <c r="S36" s="74">
        <f t="shared" si="2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4" t="s">
        <v>41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38">
        <v>0</v>
      </c>
      <c r="H37" s="9">
        <v>0</v>
      </c>
      <c r="I37" s="9">
        <v>0</v>
      </c>
      <c r="J37" s="9">
        <v>0</v>
      </c>
      <c r="K37" s="9">
        <v>0</v>
      </c>
      <c r="L37" s="38">
        <v>0</v>
      </c>
      <c r="M37" s="9">
        <v>0</v>
      </c>
      <c r="N37" s="9">
        <v>0</v>
      </c>
      <c r="O37" s="9">
        <v>0</v>
      </c>
      <c r="P37" s="9">
        <v>0</v>
      </c>
      <c r="Q37" s="38">
        <v>0</v>
      </c>
      <c r="R37" s="56">
        <v>0</v>
      </c>
      <c r="S37" s="74">
        <f t="shared" si="2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4" t="s">
        <v>42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38">
        <v>0</v>
      </c>
      <c r="H38" s="9">
        <v>0</v>
      </c>
      <c r="I38" s="9">
        <v>0</v>
      </c>
      <c r="J38" s="9">
        <v>0</v>
      </c>
      <c r="K38" s="9">
        <v>0</v>
      </c>
      <c r="L38" s="38">
        <v>0</v>
      </c>
      <c r="M38" s="9">
        <v>0</v>
      </c>
      <c r="N38" s="9">
        <v>0</v>
      </c>
      <c r="O38" s="9">
        <v>0</v>
      </c>
      <c r="P38" s="9">
        <v>0</v>
      </c>
      <c r="Q38" s="38">
        <v>0</v>
      </c>
      <c r="R38" s="56">
        <v>0</v>
      </c>
      <c r="S38" s="74">
        <f t="shared" si="2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4" t="s">
        <v>43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38">
        <v>0</v>
      </c>
      <c r="H39" s="9">
        <v>0</v>
      </c>
      <c r="I39" s="9">
        <v>0</v>
      </c>
      <c r="J39" s="9">
        <v>0</v>
      </c>
      <c r="K39" s="9">
        <v>0</v>
      </c>
      <c r="L39" s="38">
        <v>0</v>
      </c>
      <c r="M39" s="9">
        <v>0</v>
      </c>
      <c r="N39" s="9">
        <v>0</v>
      </c>
      <c r="O39" s="9">
        <v>0</v>
      </c>
      <c r="P39" s="9">
        <v>0</v>
      </c>
      <c r="Q39" s="38">
        <v>0</v>
      </c>
      <c r="R39" s="56">
        <v>0</v>
      </c>
      <c r="S39" s="74">
        <f t="shared" si="2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4" t="s">
        <v>44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38">
        <v>0</v>
      </c>
      <c r="H40" s="9">
        <v>0</v>
      </c>
      <c r="I40" s="9">
        <v>0</v>
      </c>
      <c r="J40" s="9">
        <v>0</v>
      </c>
      <c r="K40" s="9">
        <v>0</v>
      </c>
      <c r="L40" s="38">
        <v>0</v>
      </c>
      <c r="M40" s="9">
        <v>0</v>
      </c>
      <c r="N40" s="9">
        <v>0</v>
      </c>
      <c r="O40" s="9">
        <v>0</v>
      </c>
      <c r="P40" s="9">
        <v>0</v>
      </c>
      <c r="Q40" s="38">
        <v>0</v>
      </c>
      <c r="R40" s="56">
        <v>0</v>
      </c>
      <c r="S40" s="74">
        <f t="shared" si="2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4" t="s">
        <v>45</v>
      </c>
      <c r="B41" s="9">
        <v>-8133</v>
      </c>
      <c r="C41" s="9">
        <v>-16746</v>
      </c>
      <c r="D41" s="9">
        <v>-8708</v>
      </c>
      <c r="E41" s="9">
        <v>-8947</v>
      </c>
      <c r="F41" s="9">
        <v>0</v>
      </c>
      <c r="G41" s="38">
        <v>-9425</v>
      </c>
      <c r="H41" s="9">
        <v>-34832</v>
      </c>
      <c r="I41" s="9">
        <v>-10143</v>
      </c>
      <c r="J41" s="9">
        <v>0</v>
      </c>
      <c r="K41" s="9">
        <v>-24687</v>
      </c>
      <c r="L41" s="38">
        <v>-8229</v>
      </c>
      <c r="M41" s="9">
        <v>-16458</v>
      </c>
      <c r="N41" s="9">
        <v>0</v>
      </c>
      <c r="O41" s="9">
        <v>-8133</v>
      </c>
      <c r="P41" s="9">
        <v>-8373</v>
      </c>
      <c r="Q41" s="38">
        <v>0</v>
      </c>
      <c r="R41" s="56">
        <v>-25119</v>
      </c>
      <c r="S41" s="74">
        <f t="shared" si="2"/>
        <v>-187933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4" t="s">
        <v>46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38">
        <v>0</v>
      </c>
      <c r="H42" s="9">
        <v>0</v>
      </c>
      <c r="I42" s="9">
        <v>0</v>
      </c>
      <c r="J42" s="9">
        <v>0</v>
      </c>
      <c r="K42" s="9">
        <v>0</v>
      </c>
      <c r="L42" s="38">
        <v>0</v>
      </c>
      <c r="M42" s="9">
        <v>0</v>
      </c>
      <c r="N42" s="9">
        <v>0</v>
      </c>
      <c r="O42" s="9">
        <v>0</v>
      </c>
      <c r="P42" s="9">
        <v>0</v>
      </c>
      <c r="Q42" s="38">
        <v>0</v>
      </c>
      <c r="R42" s="56">
        <v>0</v>
      </c>
      <c r="S42" s="74">
        <f t="shared" si="2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4" t="s">
        <v>13</v>
      </c>
      <c r="B43" s="9">
        <v>73834</v>
      </c>
      <c r="C43" s="9">
        <v>41920</v>
      </c>
      <c r="D43" s="9">
        <v>51794</v>
      </c>
      <c r="E43" s="9">
        <v>82600</v>
      </c>
      <c r="F43" s="9">
        <v>88495</v>
      </c>
      <c r="G43" s="38">
        <v>88500</v>
      </c>
      <c r="H43" s="9">
        <v>53157</v>
      </c>
      <c r="I43" s="9">
        <v>103090</v>
      </c>
      <c r="J43" s="9">
        <v>99222</v>
      </c>
      <c r="K43" s="9">
        <v>72128</v>
      </c>
      <c r="L43" s="38">
        <v>77280</v>
      </c>
      <c r="M43" s="9">
        <v>54096</v>
      </c>
      <c r="N43" s="9">
        <v>90100</v>
      </c>
      <c r="O43" s="9">
        <v>25460</v>
      </c>
      <c r="P43" s="9">
        <v>69430</v>
      </c>
      <c r="Q43" s="38">
        <v>66196</v>
      </c>
      <c r="R43" s="56">
        <v>64190</v>
      </c>
      <c r="S43" s="74">
        <f t="shared" si="2"/>
        <v>1201492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4" t="s">
        <v>6</v>
      </c>
      <c r="B44" s="9">
        <v>41220</v>
      </c>
      <c r="C44" s="9">
        <v>14150</v>
      </c>
      <c r="D44" s="9">
        <v>11776</v>
      </c>
      <c r="E44" s="9">
        <v>28728</v>
      </c>
      <c r="F44" s="9">
        <v>34740</v>
      </c>
      <c r="G44" s="38">
        <v>0</v>
      </c>
      <c r="H44" s="9">
        <v>58880</v>
      </c>
      <c r="I44" s="9">
        <v>39399</v>
      </c>
      <c r="J44" s="9">
        <v>40378</v>
      </c>
      <c r="K44" s="9">
        <v>30602</v>
      </c>
      <c r="L44" s="38">
        <v>34775</v>
      </c>
      <c r="M44" s="9">
        <v>11128</v>
      </c>
      <c r="N44" s="9">
        <v>25758</v>
      </c>
      <c r="O44" s="9">
        <v>32976</v>
      </c>
      <c r="P44" s="9">
        <v>35375</v>
      </c>
      <c r="Q44" s="38">
        <v>23358</v>
      </c>
      <c r="R44" s="56">
        <v>33960</v>
      </c>
      <c r="S44" s="74">
        <f t="shared" si="2"/>
        <v>497203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4" t="s">
        <v>7</v>
      </c>
      <c r="B45" s="9">
        <v>32976</v>
      </c>
      <c r="C45" s="9">
        <v>8490</v>
      </c>
      <c r="D45" s="9">
        <v>50048</v>
      </c>
      <c r="E45" s="9">
        <v>16632</v>
      </c>
      <c r="F45" s="9">
        <v>26055</v>
      </c>
      <c r="G45" s="38">
        <v>82836</v>
      </c>
      <c r="H45" s="9">
        <v>30912</v>
      </c>
      <c r="I45" s="9">
        <v>53103</v>
      </c>
      <c r="J45" s="9">
        <v>41931</v>
      </c>
      <c r="K45" s="9">
        <v>27820</v>
      </c>
      <c r="L45" s="38">
        <v>18083</v>
      </c>
      <c r="M45" s="9">
        <v>41730</v>
      </c>
      <c r="N45" s="9">
        <v>8586</v>
      </c>
      <c r="O45" s="9">
        <v>9618</v>
      </c>
      <c r="P45" s="9">
        <v>28300</v>
      </c>
      <c r="Q45" s="38">
        <v>17862</v>
      </c>
      <c r="R45" s="56">
        <v>45280</v>
      </c>
      <c r="S45" s="74">
        <f t="shared" si="2"/>
        <v>540262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4" t="s">
        <v>47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38">
        <v>0</v>
      </c>
      <c r="H46" s="9">
        <v>0</v>
      </c>
      <c r="I46" s="9">
        <v>0</v>
      </c>
      <c r="J46" s="9">
        <v>0</v>
      </c>
      <c r="K46" s="9">
        <v>0</v>
      </c>
      <c r="L46" s="38">
        <v>0</v>
      </c>
      <c r="M46" s="9">
        <v>0</v>
      </c>
      <c r="N46" s="9">
        <v>0</v>
      </c>
      <c r="O46" s="9">
        <v>0</v>
      </c>
      <c r="P46" s="9">
        <v>0</v>
      </c>
      <c r="Q46" s="38">
        <v>0</v>
      </c>
      <c r="R46" s="56">
        <v>0</v>
      </c>
      <c r="S46" s="74">
        <f t="shared" si="2"/>
        <v>0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4" t="s">
        <v>48</v>
      </c>
      <c r="B47" s="9">
        <v>8133</v>
      </c>
      <c r="C47" s="9">
        <v>16746</v>
      </c>
      <c r="D47" s="9">
        <v>8708</v>
      </c>
      <c r="E47" s="9">
        <v>8947</v>
      </c>
      <c r="F47" s="9">
        <v>0</v>
      </c>
      <c r="G47" s="38">
        <v>9425</v>
      </c>
      <c r="H47" s="9">
        <v>34832</v>
      </c>
      <c r="I47" s="9">
        <v>10143</v>
      </c>
      <c r="J47" s="9">
        <v>0</v>
      </c>
      <c r="K47" s="9">
        <v>24687</v>
      </c>
      <c r="L47" s="38">
        <v>8229</v>
      </c>
      <c r="M47" s="9">
        <v>16458</v>
      </c>
      <c r="N47" s="9">
        <v>0</v>
      </c>
      <c r="O47" s="9">
        <v>8133</v>
      </c>
      <c r="P47" s="9">
        <v>8373</v>
      </c>
      <c r="Q47" s="38">
        <v>0</v>
      </c>
      <c r="R47" s="56">
        <v>25119</v>
      </c>
      <c r="S47" s="74">
        <f t="shared" si="2"/>
        <v>187933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4" t="s">
        <v>17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38">
        <v>0</v>
      </c>
      <c r="H48" s="9">
        <v>0</v>
      </c>
      <c r="I48" s="9">
        <v>0</v>
      </c>
      <c r="J48" s="9">
        <v>0</v>
      </c>
      <c r="K48" s="9">
        <v>0</v>
      </c>
      <c r="L48" s="38">
        <v>0</v>
      </c>
      <c r="M48" s="9">
        <v>0</v>
      </c>
      <c r="N48" s="9">
        <v>0</v>
      </c>
      <c r="O48" s="9">
        <v>0</v>
      </c>
      <c r="P48" s="9">
        <v>0</v>
      </c>
      <c r="Q48" s="38">
        <v>0</v>
      </c>
      <c r="R48" s="56">
        <v>0</v>
      </c>
      <c r="S48" s="74">
        <f t="shared" si="2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5" t="s">
        <v>49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43">
        <v>0</v>
      </c>
      <c r="H49" s="11">
        <v>0</v>
      </c>
      <c r="I49" s="11">
        <v>0</v>
      </c>
      <c r="J49" s="11">
        <v>0</v>
      </c>
      <c r="K49" s="11">
        <v>0</v>
      </c>
      <c r="L49" s="43">
        <v>0</v>
      </c>
      <c r="M49" s="11">
        <v>0</v>
      </c>
      <c r="N49" s="11">
        <v>0</v>
      </c>
      <c r="O49" s="11">
        <v>0</v>
      </c>
      <c r="P49" s="11">
        <v>0</v>
      </c>
      <c r="Q49" s="43">
        <v>0</v>
      </c>
      <c r="R49" s="60">
        <v>0</v>
      </c>
      <c r="S49" s="77">
        <f t="shared" si="2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5" t="s">
        <v>21</v>
      </c>
      <c r="B50" s="11">
        <v>7395</v>
      </c>
      <c r="C50" s="11">
        <v>2096</v>
      </c>
      <c r="D50" s="11">
        <v>2730</v>
      </c>
      <c r="E50" s="11">
        <v>2240</v>
      </c>
      <c r="F50" s="11">
        <v>0</v>
      </c>
      <c r="G50" s="43">
        <v>9440</v>
      </c>
      <c r="H50" s="11">
        <v>9555</v>
      </c>
      <c r="I50" s="11">
        <v>13948</v>
      </c>
      <c r="J50" s="11">
        <v>11808</v>
      </c>
      <c r="K50" s="11">
        <v>1290</v>
      </c>
      <c r="L50" s="43">
        <v>1032</v>
      </c>
      <c r="M50" s="11">
        <v>1290</v>
      </c>
      <c r="N50" s="11">
        <v>7420</v>
      </c>
      <c r="O50" s="11">
        <v>255</v>
      </c>
      <c r="P50" s="11">
        <v>2620</v>
      </c>
      <c r="Q50" s="43">
        <v>1530</v>
      </c>
      <c r="R50" s="60">
        <v>8646</v>
      </c>
      <c r="S50" s="77">
        <f t="shared" si="2"/>
        <v>83295</v>
      </c>
      <c r="T50" s="6"/>
      <c r="U50" s="6"/>
      <c r="V50" s="6"/>
      <c r="W50" s="6"/>
      <c r="X50" s="6"/>
      <c r="Y50" s="6"/>
      <c r="Z50" s="6"/>
    </row>
    <row r="51" spans="1:26" ht="14.25" thickBot="1" x14ac:dyDescent="0.2">
      <c r="A51" s="16" t="s">
        <v>50</v>
      </c>
      <c r="B51" s="29">
        <v>325425</v>
      </c>
      <c r="C51" s="29">
        <v>241656</v>
      </c>
      <c r="D51" s="29">
        <v>298348</v>
      </c>
      <c r="E51" s="29">
        <v>317200</v>
      </c>
      <c r="F51" s="29">
        <v>364290</v>
      </c>
      <c r="G51" s="44">
        <v>377776</v>
      </c>
      <c r="H51" s="29">
        <v>334504</v>
      </c>
      <c r="I51" s="29">
        <v>421540</v>
      </c>
      <c r="J51" s="29">
        <v>385339</v>
      </c>
      <c r="K51" s="29">
        <v>303840</v>
      </c>
      <c r="L51" s="44">
        <v>303170</v>
      </c>
      <c r="M51" s="29">
        <v>280244</v>
      </c>
      <c r="N51" s="29">
        <v>308864</v>
      </c>
      <c r="O51" s="29">
        <v>238309</v>
      </c>
      <c r="P51" s="29">
        <v>310725</v>
      </c>
      <c r="Q51" s="44">
        <v>278946</v>
      </c>
      <c r="R51" s="61">
        <v>327076</v>
      </c>
      <c r="S51" s="78">
        <f t="shared" si="2"/>
        <v>5417252</v>
      </c>
      <c r="T51" s="6"/>
      <c r="U51" s="6"/>
      <c r="V51" s="6"/>
      <c r="W51" s="6"/>
      <c r="X51" s="6"/>
      <c r="Y51" s="6"/>
      <c r="Z51" s="6"/>
    </row>
    <row r="52" spans="1:26" x14ac:dyDescent="0.15">
      <c r="A52" s="27" t="s">
        <v>51</v>
      </c>
      <c r="B52" s="28">
        <v>5420</v>
      </c>
      <c r="C52" s="28">
        <v>7443</v>
      </c>
      <c r="D52" s="28">
        <v>10840</v>
      </c>
      <c r="E52" s="28">
        <v>2398</v>
      </c>
      <c r="F52" s="28">
        <v>4691</v>
      </c>
      <c r="G52" s="45">
        <v>2606</v>
      </c>
      <c r="H52" s="28">
        <v>2752</v>
      </c>
      <c r="I52" s="28">
        <v>11987</v>
      </c>
      <c r="J52" s="28">
        <v>2168</v>
      </c>
      <c r="K52" s="28">
        <v>1835</v>
      </c>
      <c r="L52" s="45">
        <v>1043</v>
      </c>
      <c r="M52" s="28">
        <v>2606</v>
      </c>
      <c r="N52" s="28">
        <v>4003</v>
      </c>
      <c r="O52" s="28">
        <v>5004</v>
      </c>
      <c r="P52" s="28">
        <v>3794</v>
      </c>
      <c r="Q52" s="45">
        <v>6254</v>
      </c>
      <c r="R52" s="62">
        <v>2877</v>
      </c>
      <c r="S52" s="79">
        <f t="shared" si="2"/>
        <v>77721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0" t="s">
        <v>52</v>
      </c>
      <c r="B53" s="31">
        <v>5420</v>
      </c>
      <c r="C53" s="31">
        <v>7443</v>
      </c>
      <c r="D53" s="31">
        <v>10840</v>
      </c>
      <c r="E53" s="31">
        <v>2398</v>
      </c>
      <c r="F53" s="31">
        <v>4691</v>
      </c>
      <c r="G53" s="46">
        <v>2606</v>
      </c>
      <c r="H53" s="31">
        <v>2752</v>
      </c>
      <c r="I53" s="31">
        <v>11987</v>
      </c>
      <c r="J53" s="31">
        <v>2168</v>
      </c>
      <c r="K53" s="31">
        <v>1835</v>
      </c>
      <c r="L53" s="46">
        <v>1043</v>
      </c>
      <c r="M53" s="31">
        <v>2606</v>
      </c>
      <c r="N53" s="31">
        <v>4003</v>
      </c>
      <c r="O53" s="31">
        <v>5004</v>
      </c>
      <c r="P53" s="31">
        <v>3794</v>
      </c>
      <c r="Q53" s="46">
        <v>6254</v>
      </c>
      <c r="R53" s="63">
        <v>2877</v>
      </c>
      <c r="S53" s="80">
        <f t="shared" si="2"/>
        <v>77721</v>
      </c>
    </row>
    <row r="54" spans="1:26" ht="14.25" thickBot="1" x14ac:dyDescent="0.2">
      <c r="A54" s="32" t="s">
        <v>53</v>
      </c>
      <c r="B54" s="33">
        <v>330845</v>
      </c>
      <c r="C54" s="33">
        <v>249099</v>
      </c>
      <c r="D54" s="33">
        <v>309188</v>
      </c>
      <c r="E54" s="33">
        <v>319598</v>
      </c>
      <c r="F54" s="33">
        <v>368981</v>
      </c>
      <c r="G54" s="47">
        <v>380382</v>
      </c>
      <c r="H54" s="33">
        <v>337256</v>
      </c>
      <c r="I54" s="33">
        <v>433527</v>
      </c>
      <c r="J54" s="33">
        <v>387507</v>
      </c>
      <c r="K54" s="33">
        <v>305675</v>
      </c>
      <c r="L54" s="47">
        <v>304213</v>
      </c>
      <c r="M54" s="33">
        <v>282850</v>
      </c>
      <c r="N54" s="33">
        <v>312867</v>
      </c>
      <c r="O54" s="33">
        <v>243313</v>
      </c>
      <c r="P54" s="33">
        <v>314519</v>
      </c>
      <c r="Q54" s="47">
        <v>285200</v>
      </c>
      <c r="R54" s="64">
        <v>329953</v>
      </c>
      <c r="S54" s="81">
        <f t="shared" si="2"/>
        <v>5494973</v>
      </c>
    </row>
    <row r="55" spans="1:26" x14ac:dyDescent="0.15">
      <c r="A55" s="27" t="s">
        <v>54</v>
      </c>
      <c r="B55" s="28">
        <v>16320</v>
      </c>
      <c r="C55" s="28">
        <v>12240</v>
      </c>
      <c r="D55" s="28">
        <v>15300</v>
      </c>
      <c r="E55" s="28">
        <v>16320</v>
      </c>
      <c r="F55" s="28">
        <v>17340</v>
      </c>
      <c r="G55" s="45">
        <v>17340</v>
      </c>
      <c r="H55" s="28">
        <v>18360</v>
      </c>
      <c r="I55" s="28">
        <v>17340</v>
      </c>
      <c r="J55" s="28">
        <v>19380</v>
      </c>
      <c r="K55" s="28">
        <v>16320</v>
      </c>
      <c r="L55" s="45">
        <v>15300</v>
      </c>
      <c r="M55" s="28">
        <v>15300</v>
      </c>
      <c r="N55" s="28">
        <v>16320</v>
      </c>
      <c r="O55" s="28">
        <v>14280</v>
      </c>
      <c r="P55" s="28">
        <v>16320</v>
      </c>
      <c r="Q55" s="45">
        <v>15300</v>
      </c>
      <c r="R55" s="62">
        <v>15300</v>
      </c>
      <c r="S55" s="79">
        <f t="shared" si="2"/>
        <v>274380</v>
      </c>
    </row>
    <row r="56" spans="1:26" x14ac:dyDescent="0.15">
      <c r="A56" s="15" t="s">
        <v>55</v>
      </c>
      <c r="B56" s="11">
        <v>2880</v>
      </c>
      <c r="C56" s="11">
        <v>2160</v>
      </c>
      <c r="D56" s="11">
        <v>2700</v>
      </c>
      <c r="E56" s="11">
        <v>2880</v>
      </c>
      <c r="F56" s="11">
        <v>3060</v>
      </c>
      <c r="G56" s="43">
        <v>3060</v>
      </c>
      <c r="H56" s="11">
        <v>3240</v>
      </c>
      <c r="I56" s="11">
        <v>3060</v>
      </c>
      <c r="J56" s="11">
        <v>3420</v>
      </c>
      <c r="K56" s="11">
        <v>2880</v>
      </c>
      <c r="L56" s="43">
        <v>2700</v>
      </c>
      <c r="M56" s="11">
        <v>2700</v>
      </c>
      <c r="N56" s="11">
        <v>2880</v>
      </c>
      <c r="O56" s="11">
        <v>2520</v>
      </c>
      <c r="P56" s="11">
        <v>0</v>
      </c>
      <c r="Q56" s="43">
        <v>2700</v>
      </c>
      <c r="R56" s="60">
        <v>2700</v>
      </c>
      <c r="S56" s="77">
        <f t="shared" si="2"/>
        <v>45540</v>
      </c>
    </row>
    <row r="57" spans="1:26" x14ac:dyDescent="0.15">
      <c r="A57" s="15" t="s">
        <v>56</v>
      </c>
      <c r="B57" s="11">
        <v>29280</v>
      </c>
      <c r="C57" s="11">
        <v>21960</v>
      </c>
      <c r="D57" s="11">
        <v>27450</v>
      </c>
      <c r="E57" s="11">
        <v>29280</v>
      </c>
      <c r="F57" s="11">
        <v>31110</v>
      </c>
      <c r="G57" s="43">
        <v>31110</v>
      </c>
      <c r="H57" s="11">
        <v>32940</v>
      </c>
      <c r="I57" s="11">
        <v>31110</v>
      </c>
      <c r="J57" s="11">
        <v>34770</v>
      </c>
      <c r="K57" s="11">
        <v>29280</v>
      </c>
      <c r="L57" s="43">
        <v>27450</v>
      </c>
      <c r="M57" s="11">
        <v>27450</v>
      </c>
      <c r="N57" s="11">
        <v>29280</v>
      </c>
      <c r="O57" s="11">
        <v>25620</v>
      </c>
      <c r="P57" s="11">
        <v>29280</v>
      </c>
      <c r="Q57" s="43">
        <v>27450</v>
      </c>
      <c r="R57" s="60">
        <v>27450</v>
      </c>
      <c r="S57" s="77">
        <f t="shared" si="2"/>
        <v>492270</v>
      </c>
    </row>
    <row r="58" spans="1:26" x14ac:dyDescent="0.15">
      <c r="A58" s="15" t="s">
        <v>57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43">
        <v>0</v>
      </c>
      <c r="H58" s="11">
        <v>0</v>
      </c>
      <c r="I58" s="11">
        <v>0</v>
      </c>
      <c r="J58" s="11">
        <v>0</v>
      </c>
      <c r="K58" s="11">
        <v>0</v>
      </c>
      <c r="L58" s="43">
        <v>0</v>
      </c>
      <c r="M58" s="11">
        <v>0</v>
      </c>
      <c r="N58" s="11">
        <v>0</v>
      </c>
      <c r="O58" s="11">
        <v>0</v>
      </c>
      <c r="P58" s="11">
        <v>0</v>
      </c>
      <c r="Q58" s="43">
        <v>0</v>
      </c>
      <c r="R58" s="60">
        <v>0</v>
      </c>
      <c r="S58" s="77">
        <f t="shared" si="2"/>
        <v>0</v>
      </c>
    </row>
    <row r="59" spans="1:26" x14ac:dyDescent="0.15">
      <c r="A59" s="15" t="s">
        <v>58</v>
      </c>
      <c r="B59" s="11">
        <v>993</v>
      </c>
      <c r="C59" s="11">
        <v>747</v>
      </c>
      <c r="D59" s="11">
        <v>928</v>
      </c>
      <c r="E59" s="11">
        <v>959</v>
      </c>
      <c r="F59" s="11">
        <v>1107</v>
      </c>
      <c r="G59" s="43">
        <v>1141</v>
      </c>
      <c r="H59" s="11">
        <v>1012</v>
      </c>
      <c r="I59" s="11">
        <v>1301</v>
      </c>
      <c r="J59" s="11">
        <v>1163</v>
      </c>
      <c r="K59" s="11">
        <v>917</v>
      </c>
      <c r="L59" s="43">
        <v>913</v>
      </c>
      <c r="M59" s="11">
        <v>849</v>
      </c>
      <c r="N59" s="11">
        <v>939</v>
      </c>
      <c r="O59" s="11">
        <v>730</v>
      </c>
      <c r="P59" s="11">
        <v>944</v>
      </c>
      <c r="Q59" s="43">
        <v>856</v>
      </c>
      <c r="R59" s="60">
        <v>990</v>
      </c>
      <c r="S59" s="77">
        <f t="shared" si="2"/>
        <v>16489</v>
      </c>
    </row>
    <row r="60" spans="1:26" x14ac:dyDescent="0.15">
      <c r="A60" s="15" t="s">
        <v>59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43">
        <v>0</v>
      </c>
      <c r="H60" s="11">
        <v>0</v>
      </c>
      <c r="I60" s="11">
        <v>0</v>
      </c>
      <c r="J60" s="11">
        <v>0</v>
      </c>
      <c r="K60" s="11">
        <v>0</v>
      </c>
      <c r="L60" s="43">
        <v>0</v>
      </c>
      <c r="M60" s="11">
        <v>0</v>
      </c>
      <c r="N60" s="11">
        <v>0</v>
      </c>
      <c r="O60" s="11">
        <v>0</v>
      </c>
      <c r="P60" s="11">
        <v>0</v>
      </c>
      <c r="Q60" s="43">
        <v>0</v>
      </c>
      <c r="R60" s="60">
        <v>0</v>
      </c>
      <c r="S60" s="77">
        <f t="shared" si="2"/>
        <v>0</v>
      </c>
    </row>
    <row r="61" spans="1:26" ht="14.25" thickBot="1" x14ac:dyDescent="0.2">
      <c r="A61" s="30" t="s">
        <v>60</v>
      </c>
      <c r="B61" s="31">
        <v>49473</v>
      </c>
      <c r="C61" s="31">
        <v>37107</v>
      </c>
      <c r="D61" s="31">
        <v>46378</v>
      </c>
      <c r="E61" s="31">
        <v>49439</v>
      </c>
      <c r="F61" s="31">
        <v>52617</v>
      </c>
      <c r="G61" s="46">
        <v>52651</v>
      </c>
      <c r="H61" s="31">
        <v>55552</v>
      </c>
      <c r="I61" s="31">
        <v>52811</v>
      </c>
      <c r="J61" s="31">
        <v>58733</v>
      </c>
      <c r="K61" s="31">
        <v>49397</v>
      </c>
      <c r="L61" s="46">
        <v>46363</v>
      </c>
      <c r="M61" s="31">
        <v>46299</v>
      </c>
      <c r="N61" s="31">
        <v>49419</v>
      </c>
      <c r="O61" s="31">
        <v>43150</v>
      </c>
      <c r="P61" s="31">
        <v>46544</v>
      </c>
      <c r="Q61" s="46">
        <v>46306</v>
      </c>
      <c r="R61" s="63">
        <v>46440</v>
      </c>
      <c r="S61" s="80">
        <f t="shared" si="2"/>
        <v>828679</v>
      </c>
    </row>
    <row r="62" spans="1:26" ht="14.25" thickBot="1" x14ac:dyDescent="0.2">
      <c r="A62" s="32" t="s">
        <v>61</v>
      </c>
      <c r="B62" s="33">
        <v>275952</v>
      </c>
      <c r="C62" s="33">
        <v>204549</v>
      </c>
      <c r="D62" s="33">
        <v>251970</v>
      </c>
      <c r="E62" s="33">
        <v>267761</v>
      </c>
      <c r="F62" s="33">
        <v>311673</v>
      </c>
      <c r="G62" s="47">
        <v>325125</v>
      </c>
      <c r="H62" s="33">
        <v>278952</v>
      </c>
      <c r="I62" s="33">
        <v>368729</v>
      </c>
      <c r="J62" s="33">
        <v>326606</v>
      </c>
      <c r="K62" s="33">
        <v>254443</v>
      </c>
      <c r="L62" s="47">
        <v>256807</v>
      </c>
      <c r="M62" s="33">
        <v>233945</v>
      </c>
      <c r="N62" s="33">
        <v>259445</v>
      </c>
      <c r="O62" s="33">
        <v>195159</v>
      </c>
      <c r="P62" s="33">
        <v>264181</v>
      </c>
      <c r="Q62" s="47">
        <v>232640</v>
      </c>
      <c r="R62" s="64">
        <v>280636</v>
      </c>
      <c r="S62" s="81">
        <f t="shared" si="2"/>
        <v>4588573</v>
      </c>
    </row>
    <row r="63" spans="1:26" x14ac:dyDescent="0.15">
      <c r="A63" s="27" t="s">
        <v>62</v>
      </c>
      <c r="B63" s="28">
        <v>2630</v>
      </c>
      <c r="C63" s="28">
        <v>4930</v>
      </c>
      <c r="D63" s="28">
        <v>5010</v>
      </c>
      <c r="E63" s="28">
        <v>7190</v>
      </c>
      <c r="F63" s="28">
        <v>7200</v>
      </c>
      <c r="G63" s="45">
        <v>10430</v>
      </c>
      <c r="H63" s="28">
        <v>5970</v>
      </c>
      <c r="I63" s="28">
        <v>10760</v>
      </c>
      <c r="J63" s="28">
        <v>10550</v>
      </c>
      <c r="K63" s="28">
        <v>6710</v>
      </c>
      <c r="L63" s="45">
        <v>5180</v>
      </c>
      <c r="M63" s="28">
        <v>5980</v>
      </c>
      <c r="N63" s="28">
        <v>6890</v>
      </c>
      <c r="O63" s="28">
        <v>4590</v>
      </c>
      <c r="P63" s="28">
        <v>7060</v>
      </c>
      <c r="Q63" s="45">
        <v>5930</v>
      </c>
      <c r="R63" s="62">
        <v>7650</v>
      </c>
      <c r="S63" s="79">
        <f t="shared" si="2"/>
        <v>114660</v>
      </c>
    </row>
    <row r="64" spans="1:26" x14ac:dyDescent="0.15">
      <c r="A64" s="15" t="s">
        <v>63</v>
      </c>
      <c r="B64" s="11">
        <v>1300</v>
      </c>
      <c r="C64" s="11">
        <v>0</v>
      </c>
      <c r="D64" s="11">
        <v>1300</v>
      </c>
      <c r="E64" s="11">
        <v>1300</v>
      </c>
      <c r="F64" s="11">
        <v>1300</v>
      </c>
      <c r="G64" s="43">
        <v>0</v>
      </c>
      <c r="H64" s="11">
        <v>1300</v>
      </c>
      <c r="I64" s="11">
        <v>1300</v>
      </c>
      <c r="J64" s="11">
        <v>1300</v>
      </c>
      <c r="K64" s="11">
        <v>1300</v>
      </c>
      <c r="L64" s="43">
        <v>1300</v>
      </c>
      <c r="M64" s="11">
        <v>1300</v>
      </c>
      <c r="N64" s="11">
        <v>1300</v>
      </c>
      <c r="O64" s="11">
        <v>0</v>
      </c>
      <c r="P64" s="11">
        <v>0</v>
      </c>
      <c r="Q64" s="43">
        <v>1300</v>
      </c>
      <c r="R64" s="60">
        <v>1300</v>
      </c>
      <c r="S64" s="77">
        <f t="shared" si="2"/>
        <v>16900</v>
      </c>
    </row>
    <row r="65" spans="1:19" x14ac:dyDescent="0.15">
      <c r="A65" s="15" t="s">
        <v>64</v>
      </c>
      <c r="B65" s="11">
        <v>2400</v>
      </c>
      <c r="C65" s="11">
        <v>0</v>
      </c>
      <c r="D65" s="11">
        <v>8100</v>
      </c>
      <c r="E65" s="11">
        <v>14700</v>
      </c>
      <c r="F65" s="11">
        <v>13700</v>
      </c>
      <c r="G65" s="43">
        <v>16600</v>
      </c>
      <c r="H65" s="11">
        <v>8000</v>
      </c>
      <c r="I65" s="11">
        <v>13400</v>
      </c>
      <c r="J65" s="11">
        <v>17300</v>
      </c>
      <c r="K65" s="11">
        <v>13600</v>
      </c>
      <c r="L65" s="43">
        <v>8100</v>
      </c>
      <c r="M65" s="11">
        <v>13300</v>
      </c>
      <c r="N65" s="11">
        <v>9200</v>
      </c>
      <c r="O65" s="11">
        <v>9600</v>
      </c>
      <c r="P65" s="11">
        <v>13700</v>
      </c>
      <c r="Q65" s="43">
        <v>12300</v>
      </c>
      <c r="R65" s="60">
        <v>11200</v>
      </c>
      <c r="S65" s="77">
        <f t="shared" si="2"/>
        <v>185200</v>
      </c>
    </row>
    <row r="66" spans="1:19" x14ac:dyDescent="0.15">
      <c r="A66" s="15" t="s">
        <v>65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43">
        <v>10000</v>
      </c>
      <c r="H66" s="11">
        <v>0</v>
      </c>
      <c r="I66" s="11">
        <v>0</v>
      </c>
      <c r="J66" s="11">
        <v>0</v>
      </c>
      <c r="K66" s="11">
        <v>0</v>
      </c>
      <c r="L66" s="43">
        <v>0</v>
      </c>
      <c r="M66" s="11">
        <v>0</v>
      </c>
      <c r="N66" s="11">
        <v>0</v>
      </c>
      <c r="O66" s="11">
        <v>0</v>
      </c>
      <c r="P66" s="11">
        <v>0</v>
      </c>
      <c r="Q66" s="43">
        <v>0</v>
      </c>
      <c r="R66" s="60">
        <v>0</v>
      </c>
      <c r="S66" s="77">
        <f t="shared" si="2"/>
        <v>10000</v>
      </c>
    </row>
    <row r="67" spans="1:19" x14ac:dyDescent="0.15">
      <c r="A67" s="15" t="s">
        <v>66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43">
        <v>0</v>
      </c>
      <c r="H67" s="11">
        <v>0</v>
      </c>
      <c r="I67" s="11">
        <v>0</v>
      </c>
      <c r="J67" s="11">
        <v>0</v>
      </c>
      <c r="K67" s="11">
        <v>0</v>
      </c>
      <c r="L67" s="43">
        <v>0</v>
      </c>
      <c r="M67" s="11">
        <v>0</v>
      </c>
      <c r="N67" s="11">
        <v>0</v>
      </c>
      <c r="O67" s="11">
        <v>0</v>
      </c>
      <c r="P67" s="11">
        <v>0</v>
      </c>
      <c r="Q67" s="43">
        <v>0</v>
      </c>
      <c r="R67" s="60">
        <v>0</v>
      </c>
      <c r="S67" s="77">
        <f t="shared" si="2"/>
        <v>0</v>
      </c>
    </row>
    <row r="68" spans="1:19" x14ac:dyDescent="0.15">
      <c r="A68" s="15" t="s">
        <v>67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43">
        <v>0</v>
      </c>
      <c r="H68" s="11">
        <v>0</v>
      </c>
      <c r="I68" s="11">
        <v>0</v>
      </c>
      <c r="J68" s="11">
        <v>0</v>
      </c>
      <c r="K68" s="11">
        <v>0</v>
      </c>
      <c r="L68" s="43">
        <v>0</v>
      </c>
      <c r="M68" s="11">
        <v>0</v>
      </c>
      <c r="N68" s="11">
        <v>0</v>
      </c>
      <c r="O68" s="11">
        <v>0</v>
      </c>
      <c r="P68" s="11">
        <v>0</v>
      </c>
      <c r="Q68" s="43">
        <v>0</v>
      </c>
      <c r="R68" s="60">
        <v>0</v>
      </c>
      <c r="S68" s="77">
        <f t="shared" si="2"/>
        <v>0</v>
      </c>
    </row>
    <row r="69" spans="1:19" ht="14.25" thickBot="1" x14ac:dyDescent="0.2">
      <c r="A69" s="30" t="s">
        <v>68</v>
      </c>
      <c r="B69" s="31">
        <v>6330</v>
      </c>
      <c r="C69" s="31">
        <v>4930</v>
      </c>
      <c r="D69" s="31">
        <v>14410</v>
      </c>
      <c r="E69" s="31">
        <v>23190</v>
      </c>
      <c r="F69" s="31">
        <v>22200</v>
      </c>
      <c r="G69" s="46">
        <v>37030</v>
      </c>
      <c r="H69" s="31">
        <v>15270</v>
      </c>
      <c r="I69" s="31">
        <v>25460</v>
      </c>
      <c r="J69" s="31">
        <v>29150</v>
      </c>
      <c r="K69" s="31">
        <v>21610</v>
      </c>
      <c r="L69" s="46">
        <v>14580</v>
      </c>
      <c r="M69" s="31">
        <v>20580</v>
      </c>
      <c r="N69" s="31">
        <v>17390</v>
      </c>
      <c r="O69" s="31">
        <v>14190</v>
      </c>
      <c r="P69" s="31">
        <v>20760</v>
      </c>
      <c r="Q69" s="46">
        <v>19530</v>
      </c>
      <c r="R69" s="63">
        <v>20150</v>
      </c>
      <c r="S69" s="80">
        <f t="shared" si="2"/>
        <v>326760</v>
      </c>
    </row>
    <row r="70" spans="1:19" ht="14.25" thickBot="1" x14ac:dyDescent="0.2">
      <c r="A70" s="32" t="s">
        <v>69</v>
      </c>
      <c r="B70" s="33">
        <v>55803</v>
      </c>
      <c r="C70" s="33">
        <v>42037</v>
      </c>
      <c r="D70" s="33">
        <v>60788</v>
      </c>
      <c r="E70" s="33">
        <v>72629</v>
      </c>
      <c r="F70" s="33">
        <v>74817</v>
      </c>
      <c r="G70" s="47">
        <v>89681</v>
      </c>
      <c r="H70" s="33">
        <v>70822</v>
      </c>
      <c r="I70" s="33">
        <v>78271</v>
      </c>
      <c r="J70" s="33">
        <v>87883</v>
      </c>
      <c r="K70" s="33">
        <v>71007</v>
      </c>
      <c r="L70" s="47">
        <v>60943</v>
      </c>
      <c r="M70" s="33">
        <v>66879</v>
      </c>
      <c r="N70" s="33">
        <v>66809</v>
      </c>
      <c r="O70" s="33">
        <v>57340</v>
      </c>
      <c r="P70" s="33">
        <v>67304</v>
      </c>
      <c r="Q70" s="47">
        <v>65836</v>
      </c>
      <c r="R70" s="64">
        <v>66590</v>
      </c>
      <c r="S70" s="81">
        <f t="shared" si="2"/>
        <v>1155439</v>
      </c>
    </row>
    <row r="71" spans="1:19" ht="14.25" thickBot="1" x14ac:dyDescent="0.2">
      <c r="A71" s="32" t="s">
        <v>70</v>
      </c>
      <c r="B71" s="33">
        <v>275042</v>
      </c>
      <c r="C71" s="33">
        <v>207062</v>
      </c>
      <c r="D71" s="33">
        <v>248400</v>
      </c>
      <c r="E71" s="33">
        <v>246969</v>
      </c>
      <c r="F71" s="33">
        <v>294164</v>
      </c>
      <c r="G71" s="47">
        <v>290701</v>
      </c>
      <c r="H71" s="33">
        <v>266434</v>
      </c>
      <c r="I71" s="33">
        <v>355256</v>
      </c>
      <c r="J71" s="33">
        <v>299624</v>
      </c>
      <c r="K71" s="33">
        <v>234668</v>
      </c>
      <c r="L71" s="47">
        <v>243270</v>
      </c>
      <c r="M71" s="33">
        <v>215971</v>
      </c>
      <c r="N71" s="33">
        <v>246058</v>
      </c>
      <c r="O71" s="33">
        <v>185973</v>
      </c>
      <c r="P71" s="33">
        <v>247215</v>
      </c>
      <c r="Q71" s="47">
        <v>219364</v>
      </c>
      <c r="R71" s="64">
        <v>263363</v>
      </c>
      <c r="S71" s="81">
        <f t="shared" si="2"/>
        <v>4339534</v>
      </c>
    </row>
    <row r="72" spans="1:19" x14ac:dyDescent="0.15">
      <c r="A72" s="27" t="s">
        <v>71</v>
      </c>
      <c r="B72" s="28">
        <v>0</v>
      </c>
      <c r="C72" s="28">
        <v>0</v>
      </c>
      <c r="D72" s="28">
        <v>0</v>
      </c>
      <c r="E72" s="28">
        <v>0</v>
      </c>
      <c r="F72" s="28">
        <v>0</v>
      </c>
      <c r="G72" s="45">
        <v>0</v>
      </c>
      <c r="H72" s="28">
        <v>0</v>
      </c>
      <c r="I72" s="28">
        <v>0</v>
      </c>
      <c r="J72" s="28">
        <v>0</v>
      </c>
      <c r="K72" s="28">
        <v>0</v>
      </c>
      <c r="L72" s="45">
        <v>0</v>
      </c>
      <c r="M72" s="28">
        <v>0</v>
      </c>
      <c r="N72" s="28">
        <v>0</v>
      </c>
      <c r="O72" s="28">
        <v>0</v>
      </c>
      <c r="P72" s="28">
        <v>0</v>
      </c>
      <c r="Q72" s="45">
        <v>0</v>
      </c>
      <c r="R72" s="62">
        <v>0</v>
      </c>
      <c r="S72" s="79">
        <f t="shared" si="2"/>
        <v>0</v>
      </c>
    </row>
    <row r="73" spans="1:19" x14ac:dyDescent="0.15">
      <c r="A73" s="15" t="s">
        <v>72</v>
      </c>
      <c r="B73" s="11">
        <v>275042</v>
      </c>
      <c r="C73" s="11">
        <v>207062</v>
      </c>
      <c r="D73" s="11">
        <v>248400</v>
      </c>
      <c r="E73" s="11">
        <v>246969</v>
      </c>
      <c r="F73" s="11">
        <v>294164</v>
      </c>
      <c r="G73" s="43">
        <v>290701</v>
      </c>
      <c r="H73" s="11">
        <v>266434</v>
      </c>
      <c r="I73" s="11">
        <v>355256</v>
      </c>
      <c r="J73" s="11">
        <v>299624</v>
      </c>
      <c r="K73" s="11">
        <v>234668</v>
      </c>
      <c r="L73" s="43">
        <v>243270</v>
      </c>
      <c r="M73" s="11">
        <v>215971</v>
      </c>
      <c r="N73" s="11">
        <v>246058</v>
      </c>
      <c r="O73" s="11">
        <v>185973</v>
      </c>
      <c r="P73" s="11">
        <v>247215</v>
      </c>
      <c r="Q73" s="43">
        <v>219364</v>
      </c>
      <c r="R73" s="60">
        <v>263363</v>
      </c>
      <c r="S73" s="77">
        <f t="shared" si="2"/>
        <v>4339534</v>
      </c>
    </row>
    <row r="74" spans="1:19" x14ac:dyDescent="0.15">
      <c r="A74" s="15" t="s">
        <v>73</v>
      </c>
      <c r="B74" s="12">
        <v>16</v>
      </c>
      <c r="C74" s="12">
        <v>13</v>
      </c>
      <c r="D74" s="12">
        <v>33</v>
      </c>
      <c r="E74" s="12">
        <v>34</v>
      </c>
      <c r="F74" s="12">
        <v>39</v>
      </c>
      <c r="G74" s="48">
        <v>39</v>
      </c>
      <c r="H74" s="12">
        <v>30</v>
      </c>
      <c r="I74" s="12">
        <v>30</v>
      </c>
      <c r="J74" s="12">
        <v>35</v>
      </c>
      <c r="K74" s="12">
        <v>38</v>
      </c>
      <c r="L74" s="48">
        <v>39</v>
      </c>
      <c r="M74" s="12">
        <v>22</v>
      </c>
      <c r="N74" s="12">
        <v>31</v>
      </c>
      <c r="O74" s="12">
        <v>11</v>
      </c>
      <c r="P74" s="12">
        <v>16</v>
      </c>
      <c r="Q74" s="48">
        <v>22</v>
      </c>
      <c r="R74" s="65">
        <v>12</v>
      </c>
      <c r="S74" s="82"/>
    </row>
    <row r="75" spans="1:19" x14ac:dyDescent="0.15">
      <c r="A75" s="15" t="s">
        <v>74</v>
      </c>
      <c r="B75" s="13">
        <v>3</v>
      </c>
      <c r="C75" s="13"/>
      <c r="D75" s="13">
        <v>1</v>
      </c>
      <c r="E75" s="13"/>
      <c r="F75" s="13">
        <v>1</v>
      </c>
      <c r="G75" s="49"/>
      <c r="H75" s="13">
        <v>1</v>
      </c>
      <c r="I75" s="13">
        <v>1</v>
      </c>
      <c r="J75" s="13"/>
      <c r="K75" s="13"/>
      <c r="L75" s="49">
        <v>1</v>
      </c>
      <c r="M75" s="13"/>
      <c r="N75" s="13"/>
      <c r="O75" s="13"/>
      <c r="P75" s="13"/>
      <c r="Q75" s="49"/>
      <c r="R75" s="66"/>
      <c r="S75" s="83"/>
    </row>
    <row r="76" spans="1:19" ht="14.25" thickBot="1" x14ac:dyDescent="0.2">
      <c r="A76" s="16" t="s">
        <v>75</v>
      </c>
      <c r="B76" s="17" t="s">
        <v>76</v>
      </c>
      <c r="C76" s="17" t="s">
        <v>76</v>
      </c>
      <c r="D76" s="17" t="s">
        <v>76</v>
      </c>
      <c r="E76" s="17" t="s">
        <v>76</v>
      </c>
      <c r="F76" s="17" t="s">
        <v>76</v>
      </c>
      <c r="G76" s="50" t="s">
        <v>76</v>
      </c>
      <c r="H76" s="17" t="s">
        <v>76</v>
      </c>
      <c r="I76" s="17" t="s">
        <v>76</v>
      </c>
      <c r="J76" s="17" t="s">
        <v>76</v>
      </c>
      <c r="K76" s="17" t="s">
        <v>76</v>
      </c>
      <c r="L76" s="50" t="s">
        <v>76</v>
      </c>
      <c r="M76" s="17" t="s">
        <v>76</v>
      </c>
      <c r="N76" s="17" t="s">
        <v>76</v>
      </c>
      <c r="O76" s="17" t="s">
        <v>76</v>
      </c>
      <c r="P76" s="17" t="s">
        <v>76</v>
      </c>
      <c r="Q76" s="50" t="s">
        <v>76</v>
      </c>
      <c r="R76" s="67" t="s">
        <v>76</v>
      </c>
      <c r="S76" s="84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1頁 (3)</vt:lpstr>
      <vt:lpstr>1頁 (4)</vt:lpstr>
      <vt:lpstr>'1頁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2020-10-13T05:58:40Z</cp:lastPrinted>
  <dcterms:created xsi:type="dcterms:W3CDTF">2011-10-11T01:59:58Z</dcterms:created>
  <dcterms:modified xsi:type="dcterms:W3CDTF">2020-10-13T07:25:30Z</dcterms:modified>
</cp:coreProperties>
</file>