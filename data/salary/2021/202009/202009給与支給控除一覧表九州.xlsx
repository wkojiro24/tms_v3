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069C9469-AE58-4482-B008-C04684E5D75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(2)'!$A$1:$L$78</definedName>
  </definedName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23" i="2"/>
  <c r="K22" i="2"/>
  <c r="K15" i="2"/>
  <c r="K16" i="2"/>
  <c r="K14" i="2"/>
  <c r="K12" i="2"/>
  <c r="K8" i="2"/>
  <c r="K7" i="2"/>
  <c r="K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23" i="2"/>
  <c r="D21" i="2"/>
  <c r="D13" i="2"/>
  <c r="D10" i="2"/>
  <c r="D7" i="2"/>
  <c r="D6" i="2"/>
</calcChain>
</file>

<file path=xl/sharedStrings.xml><?xml version="1.0" encoding="utf-8"?>
<sst xmlns="http://schemas.openxmlformats.org/spreadsheetml/2006/main" count="106" uniqueCount="86">
  <si>
    <t>所　属</t>
  </si>
  <si>
    <t>社　員</t>
  </si>
  <si>
    <t>２０20年9月分</t>
  </si>
  <si>
    <t>九州</t>
  </si>
  <si>
    <t>河村　智春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</si>
  <si>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</si>
  <si>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</si>
  <si>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</si>
  <si>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</si>
  <si>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</si>
  <si>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</si>
  <si>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</si>
  <si>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</si>
  <si>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</si>
  <si>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</si>
  <si>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</si>
  <si>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</si>
  <si>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</si>
  <si>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</si>
  <si>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</si>
  <si>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</si>
  <si>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</si>
  <si>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赤崎　功幸</t>
  </si>
  <si>
    <t>江崎　秀明</t>
  </si>
  <si>
    <t>櫻木　諭治</t>
  </si>
  <si>
    <t>米澤　敬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</si>
  <si>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</si>
  <si>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</si>
  <si>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</si>
  <si>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</si>
  <si>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</si>
  <si>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</si>
  <si>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</si>
  <si>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</si>
  <si>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</si>
  <si>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</si>
  <si>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</si>
  <si>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</si>
  <si>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</si>
  <si>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</si>
  <si>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</si>
  <si>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</si>
  <si>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</si>
  <si>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</si>
  <si>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</si>
  <si>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</si>
  <si>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</si>
  <si>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</si>
  <si>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</si>
  <si>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</si>
  <si>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</si>
  <si>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</si>
  <si>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</si>
  <si>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</si>
  <si>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</si>
  <si>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</si>
  <si>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</si>
  <si>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</si>
  <si>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</si>
  <si>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</si>
  <si>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</si>
  <si>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</si>
  <si>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</si>
  <si>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</si>
  <si>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</si>
  <si>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</si>
  <si>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</si>
  <si>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</si>
  <si>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</si>
  <si>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</si>
  <si>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</si>
  <si>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</si>
  <si>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</si>
  <si>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</si>
  <si>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</si>
  <si>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</si>
  <si>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</si>
  <si>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</si>
  <si>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大賀　勇也</t>
  </si>
  <si>
    <t>西口　真樹</t>
  </si>
  <si>
    <t>木下　知美</t>
  </si>
  <si>
    <t>8名</t>
  </si>
  <si>
    <t>全社計</t>
  </si>
  <si>
    <t>小計</t>
    <rPh sb="0" eb="2">
      <t>ショウケイ</t>
    </rPh>
    <phoneticPr fontId="1"/>
  </si>
  <si>
    <t>２名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</si>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</sst>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7" fontId="2" fillId="0" borderId="38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B400-4E12-421E-94E7-2042CAB26627}">
  <sheetPr>
    <pageSetUpPr fitToPage="1"/>
  </sheetPr>
  <dimension ref="A1:AL78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1.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7"/>
      <c r="C1" s="7"/>
      <c r="D1" s="7"/>
      <c r="E1" s="1"/>
      <c r="F1" s="1"/>
      <c r="G1" s="8"/>
      <c r="H1" s="1"/>
      <c r="I1" s="1"/>
      <c r="J1" s="7"/>
      <c r="K1" s="7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3</v>
      </c>
      <c r="C3" s="52" t="s">
        <v>3</v>
      </c>
      <c r="D3" s="70" t="s">
        <v>83</v>
      </c>
      <c r="E3" s="36" t="s">
        <v>3</v>
      </c>
      <c r="F3" s="20" t="s">
        <v>3</v>
      </c>
      <c r="G3" s="20" t="s">
        <v>3</v>
      </c>
      <c r="H3" s="36" t="s">
        <v>3</v>
      </c>
      <c r="I3" s="20" t="s">
        <v>3</v>
      </c>
      <c r="J3" s="52" t="s">
        <v>3</v>
      </c>
      <c r="K3" s="70" t="s">
        <v>83</v>
      </c>
      <c r="L3" s="87" t="s">
        <v>82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1057</v>
      </c>
      <c r="C4" s="53">
        <v>1063</v>
      </c>
      <c r="D4" s="71"/>
      <c r="E4" s="37">
        <v>1059</v>
      </c>
      <c r="F4" s="22">
        <v>1061</v>
      </c>
      <c r="G4" s="22">
        <v>1067</v>
      </c>
      <c r="H4" s="37">
        <v>1071</v>
      </c>
      <c r="I4" s="22">
        <v>1056</v>
      </c>
      <c r="J4" s="53">
        <v>1092</v>
      </c>
      <c r="K4" s="71"/>
      <c r="L4" s="8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22</v>
      </c>
      <c r="C5" s="53" t="s">
        <v>80</v>
      </c>
      <c r="D5" s="72" t="s">
        <v>84</v>
      </c>
      <c r="E5" s="37" t="s">
        <v>23</v>
      </c>
      <c r="F5" s="22" t="s">
        <v>24</v>
      </c>
      <c r="G5" s="22" t="s">
        <v>25</v>
      </c>
      <c r="H5" s="37" t="s">
        <v>78</v>
      </c>
      <c r="I5" s="22" t="s">
        <v>4</v>
      </c>
      <c r="J5" s="53" t="s">
        <v>79</v>
      </c>
      <c r="K5" s="72" t="s">
        <v>85</v>
      </c>
      <c r="L5" s="89" t="s">
        <v>81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5</v>
      </c>
      <c r="B6" s="24">
        <v>21</v>
      </c>
      <c r="C6" s="54">
        <v>14</v>
      </c>
      <c r="D6" s="73">
        <f>SUM(B6:C6)</f>
        <v>35</v>
      </c>
      <c r="E6" s="38">
        <v>17</v>
      </c>
      <c r="F6" s="24">
        <v>18</v>
      </c>
      <c r="G6" s="24">
        <v>20</v>
      </c>
      <c r="H6" s="38">
        <v>19</v>
      </c>
      <c r="I6" s="24">
        <v>18</v>
      </c>
      <c r="J6" s="54">
        <v>20</v>
      </c>
      <c r="K6" s="73">
        <f>SUM(E6:J6)</f>
        <v>112</v>
      </c>
      <c r="L6" s="90">
        <v>147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6</v>
      </c>
      <c r="B7" s="9">
        <v>3</v>
      </c>
      <c r="C7" s="56"/>
      <c r="D7" s="74">
        <f>SUM(B7:C7)</f>
        <v>3</v>
      </c>
      <c r="E7" s="39">
        <v>2</v>
      </c>
      <c r="F7" s="9">
        <v>3</v>
      </c>
      <c r="G7" s="9">
        <v>2</v>
      </c>
      <c r="H7" s="39">
        <v>2</v>
      </c>
      <c r="I7" s="9">
        <v>2</v>
      </c>
      <c r="J7" s="55">
        <v>2</v>
      </c>
      <c r="K7" s="74">
        <f>SUM(E7:J7)</f>
        <v>13</v>
      </c>
      <c r="L7" s="91">
        <v>16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7</v>
      </c>
      <c r="B8" s="10"/>
      <c r="C8" s="56"/>
      <c r="D8" s="75"/>
      <c r="E8" s="39">
        <v>2</v>
      </c>
      <c r="F8" s="10"/>
      <c r="G8" s="10"/>
      <c r="H8" s="39">
        <v>1</v>
      </c>
      <c r="I8" s="9">
        <v>1</v>
      </c>
      <c r="J8" s="56"/>
      <c r="K8" s="74">
        <f>SUM(E8:J8)</f>
        <v>4</v>
      </c>
      <c r="L8" s="91">
        <v>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8</v>
      </c>
      <c r="B9" s="10"/>
      <c r="C9" s="56"/>
      <c r="D9" s="75"/>
      <c r="E9" s="40"/>
      <c r="F9" s="10"/>
      <c r="G9" s="10"/>
      <c r="H9" s="40"/>
      <c r="I9" s="10"/>
      <c r="J9" s="56"/>
      <c r="K9" s="75"/>
      <c r="L9" s="9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9</v>
      </c>
      <c r="B10" s="10"/>
      <c r="C10" s="55">
        <v>5</v>
      </c>
      <c r="D10" s="74">
        <f>SUM(B10:C10)</f>
        <v>5</v>
      </c>
      <c r="E10" s="40"/>
      <c r="F10" s="10"/>
      <c r="G10" s="10"/>
      <c r="H10" s="40"/>
      <c r="I10" s="10"/>
      <c r="J10" s="56"/>
      <c r="K10" s="75"/>
      <c r="L10" s="91">
        <v>5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10</v>
      </c>
      <c r="B11" s="10"/>
      <c r="C11" s="56"/>
      <c r="D11" s="75"/>
      <c r="E11" s="40"/>
      <c r="F11" s="10"/>
      <c r="G11" s="10"/>
      <c r="H11" s="40"/>
      <c r="I11" s="10"/>
      <c r="J11" s="56"/>
      <c r="K11" s="75"/>
      <c r="L11" s="9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11</v>
      </c>
      <c r="B12" s="10"/>
      <c r="C12" s="56"/>
      <c r="D12" s="75"/>
      <c r="E12" s="39">
        <v>4</v>
      </c>
      <c r="F12" s="9">
        <v>3</v>
      </c>
      <c r="G12" s="9">
        <v>1</v>
      </c>
      <c r="H12" s="39">
        <v>2</v>
      </c>
      <c r="I12" s="9">
        <v>3</v>
      </c>
      <c r="J12" s="55">
        <v>1</v>
      </c>
      <c r="K12" s="74">
        <f>SUM(E12:J12)</f>
        <v>14</v>
      </c>
      <c r="L12" s="91">
        <v>14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12</v>
      </c>
      <c r="B13" s="10"/>
      <c r="C13" s="57">
        <v>2.9166666666666665</v>
      </c>
      <c r="D13" s="76">
        <f>SUM(B13:C13)</f>
        <v>2.9166666666666665</v>
      </c>
      <c r="E13" s="40"/>
      <c r="F13" s="10"/>
      <c r="G13" s="10"/>
      <c r="H13" s="40"/>
      <c r="I13" s="10"/>
      <c r="J13" s="56"/>
      <c r="K13" s="75"/>
      <c r="L13" s="93">
        <v>2.9166666666666665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13</v>
      </c>
      <c r="B14" s="10"/>
      <c r="C14" s="56"/>
      <c r="D14" s="75"/>
      <c r="E14" s="41">
        <v>1.25</v>
      </c>
      <c r="F14" s="11">
        <v>1.1666666666666667</v>
      </c>
      <c r="G14" s="11">
        <v>1.2916666666666667</v>
      </c>
      <c r="H14" s="41">
        <v>1.125</v>
      </c>
      <c r="I14" s="11">
        <v>0.79166666666666663</v>
      </c>
      <c r="J14" s="57">
        <v>1.2916666666666667</v>
      </c>
      <c r="K14" s="76">
        <f>SUM(E14:J14)</f>
        <v>6.9166666666666679</v>
      </c>
      <c r="L14" s="93">
        <v>6.916666666666667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14</v>
      </c>
      <c r="B15" s="10"/>
      <c r="C15" s="56"/>
      <c r="D15" s="75"/>
      <c r="E15" s="41">
        <v>0.91666666666666663</v>
      </c>
      <c r="F15" s="11">
        <v>1.2083333333333333</v>
      </c>
      <c r="G15" s="11">
        <v>0.66666666666666663</v>
      </c>
      <c r="H15" s="41">
        <v>0.75</v>
      </c>
      <c r="I15" s="11">
        <v>0.70833333333333337</v>
      </c>
      <c r="J15" s="57">
        <v>0.41666666666666669</v>
      </c>
      <c r="K15" s="76">
        <f t="shared" ref="K15:K16" si="0">SUM(E15:J15)</f>
        <v>4.666666666666667</v>
      </c>
      <c r="L15" s="93">
        <v>4.666666666666667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15</v>
      </c>
      <c r="B16" s="10"/>
      <c r="C16" s="56"/>
      <c r="D16" s="75"/>
      <c r="E16" s="41">
        <v>0.75</v>
      </c>
      <c r="F16" s="10"/>
      <c r="G16" s="10"/>
      <c r="H16" s="41">
        <v>0.33333333333333331</v>
      </c>
      <c r="I16" s="11">
        <v>0.41666666666666669</v>
      </c>
      <c r="J16" s="56"/>
      <c r="K16" s="76">
        <f t="shared" si="0"/>
        <v>1.5</v>
      </c>
      <c r="L16" s="93">
        <v>1.5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16</v>
      </c>
      <c r="B17" s="10"/>
      <c r="C17" s="56"/>
      <c r="D17" s="75"/>
      <c r="E17" s="40"/>
      <c r="F17" s="10"/>
      <c r="G17" s="10"/>
      <c r="H17" s="40"/>
      <c r="I17" s="10"/>
      <c r="J17" s="56"/>
      <c r="K17" s="75"/>
      <c r="L17" s="92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17</v>
      </c>
      <c r="B18" s="10"/>
      <c r="C18" s="56"/>
      <c r="D18" s="75"/>
      <c r="E18" s="40"/>
      <c r="F18" s="10"/>
      <c r="G18" s="10"/>
      <c r="H18" s="40"/>
      <c r="I18" s="10"/>
      <c r="J18" s="56"/>
      <c r="K18" s="75"/>
      <c r="L18" s="92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18</v>
      </c>
      <c r="B19" s="10"/>
      <c r="C19" s="56"/>
      <c r="D19" s="75"/>
      <c r="E19" s="40"/>
      <c r="F19" s="10"/>
      <c r="G19" s="10"/>
      <c r="H19" s="40"/>
      <c r="I19" s="10"/>
      <c r="J19" s="56"/>
      <c r="K19" s="75"/>
      <c r="L19" s="92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19</v>
      </c>
      <c r="B20" s="10"/>
      <c r="C20" s="56"/>
      <c r="D20" s="76"/>
      <c r="E20" s="40"/>
      <c r="F20" s="10"/>
      <c r="G20" s="10"/>
      <c r="H20" s="40"/>
      <c r="I20" s="10"/>
      <c r="J20" s="56"/>
      <c r="K20" s="75"/>
      <c r="L20" s="92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20</v>
      </c>
      <c r="B21" s="10"/>
      <c r="C21" s="57">
        <v>1.0416666666666667</v>
      </c>
      <c r="D21" s="76">
        <f>SUM(B21:C21)</f>
        <v>1.0416666666666667</v>
      </c>
      <c r="E21" s="40"/>
      <c r="F21" s="10"/>
      <c r="G21" s="10"/>
      <c r="H21" s="40"/>
      <c r="I21" s="10"/>
      <c r="J21" s="56"/>
      <c r="K21" s="75"/>
      <c r="L21" s="93">
        <v>1.0416666666666667</v>
      </c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5" t="s">
        <v>21</v>
      </c>
      <c r="B22" s="27"/>
      <c r="C22" s="68"/>
      <c r="D22" s="77"/>
      <c r="E22" s="69">
        <v>0.125</v>
      </c>
      <c r="F22" s="26">
        <v>8.3333333333333329E-2</v>
      </c>
      <c r="G22" s="27"/>
      <c r="H22" s="42"/>
      <c r="I22" s="26">
        <v>8.3333333333333329E-2</v>
      </c>
      <c r="J22" s="58">
        <v>4.1666666666666664E-2</v>
      </c>
      <c r="K22" s="104">
        <f>SUM(E22:J22)</f>
        <v>0.33333333333333331</v>
      </c>
      <c r="L22" s="94">
        <v>0.33333333333333331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26</v>
      </c>
      <c r="B23" s="28">
        <v>365000</v>
      </c>
      <c r="C23" s="59">
        <v>0</v>
      </c>
      <c r="D23" s="78">
        <f>SUM(B23:C23)</f>
        <v>365000</v>
      </c>
      <c r="E23" s="43">
        <v>187000</v>
      </c>
      <c r="F23" s="28">
        <v>187000</v>
      </c>
      <c r="G23" s="28">
        <v>177000</v>
      </c>
      <c r="H23" s="43">
        <v>187000</v>
      </c>
      <c r="I23" s="28">
        <v>177000</v>
      </c>
      <c r="J23" s="59">
        <v>170000</v>
      </c>
      <c r="K23" s="78">
        <f>SUM(E23:J23)</f>
        <v>1085000</v>
      </c>
      <c r="L23" s="95">
        <v>1450000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27</v>
      </c>
      <c r="B24" s="10">
        <v>0</v>
      </c>
      <c r="C24" s="56">
        <v>0</v>
      </c>
      <c r="D24" s="75">
        <f t="shared" ref="D24:D75" si="1">SUM(B24:C24)</f>
        <v>0</v>
      </c>
      <c r="E24" s="40">
        <v>5000</v>
      </c>
      <c r="F24" s="10">
        <v>0</v>
      </c>
      <c r="G24" s="10">
        <v>0</v>
      </c>
      <c r="H24" s="40">
        <v>0</v>
      </c>
      <c r="I24" s="10">
        <v>0</v>
      </c>
      <c r="J24" s="56">
        <v>0</v>
      </c>
      <c r="K24" s="75">
        <f t="shared" ref="K24:K75" si="2">SUM(E24:J24)</f>
        <v>5000</v>
      </c>
      <c r="L24" s="92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28</v>
      </c>
      <c r="B25" s="10">
        <v>0</v>
      </c>
      <c r="C25" s="56">
        <v>0</v>
      </c>
      <c r="D25" s="75">
        <f t="shared" si="1"/>
        <v>0</v>
      </c>
      <c r="E25" s="40">
        <v>0</v>
      </c>
      <c r="F25" s="10">
        <v>0</v>
      </c>
      <c r="G25" s="10">
        <v>6000</v>
      </c>
      <c r="H25" s="40">
        <v>0</v>
      </c>
      <c r="I25" s="10">
        <v>0</v>
      </c>
      <c r="J25" s="56">
        <v>0</v>
      </c>
      <c r="K25" s="75">
        <f t="shared" si="2"/>
        <v>6000</v>
      </c>
      <c r="L25" s="92">
        <v>6000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29</v>
      </c>
      <c r="B26" s="10">
        <v>0</v>
      </c>
      <c r="C26" s="56">
        <v>0</v>
      </c>
      <c r="D26" s="75">
        <f t="shared" si="1"/>
        <v>0</v>
      </c>
      <c r="E26" s="40">
        <v>0</v>
      </c>
      <c r="F26" s="10">
        <v>0</v>
      </c>
      <c r="G26" s="10">
        <v>0</v>
      </c>
      <c r="H26" s="40">
        <v>0</v>
      </c>
      <c r="I26" s="10">
        <v>0</v>
      </c>
      <c r="J26" s="56">
        <v>0</v>
      </c>
      <c r="K26" s="75">
        <f t="shared" si="2"/>
        <v>0</v>
      </c>
      <c r="L26" s="92">
        <v>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30</v>
      </c>
      <c r="B27" s="10">
        <v>0</v>
      </c>
      <c r="C27" s="56">
        <v>0</v>
      </c>
      <c r="D27" s="75">
        <f t="shared" si="1"/>
        <v>0</v>
      </c>
      <c r="E27" s="40">
        <v>56082</v>
      </c>
      <c r="F27" s="10">
        <v>57400</v>
      </c>
      <c r="G27" s="10">
        <v>54800</v>
      </c>
      <c r="H27" s="40">
        <v>58800</v>
      </c>
      <c r="I27" s="10">
        <v>78175</v>
      </c>
      <c r="J27" s="56">
        <v>36917</v>
      </c>
      <c r="K27" s="75">
        <f t="shared" si="2"/>
        <v>342174</v>
      </c>
      <c r="L27" s="92">
        <v>342174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31</v>
      </c>
      <c r="B28" s="10">
        <v>0</v>
      </c>
      <c r="C28" s="56">
        <v>0</v>
      </c>
      <c r="D28" s="75">
        <f t="shared" si="1"/>
        <v>0</v>
      </c>
      <c r="E28" s="40">
        <v>0</v>
      </c>
      <c r="F28" s="10">
        <v>0</v>
      </c>
      <c r="G28" s="10">
        <v>0</v>
      </c>
      <c r="H28" s="40">
        <v>0</v>
      </c>
      <c r="I28" s="10">
        <v>0</v>
      </c>
      <c r="J28" s="56">
        <v>0</v>
      </c>
      <c r="K28" s="75">
        <f t="shared" si="2"/>
        <v>0</v>
      </c>
      <c r="L28" s="92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32</v>
      </c>
      <c r="B29" s="10">
        <v>0</v>
      </c>
      <c r="C29" s="56">
        <v>0</v>
      </c>
      <c r="D29" s="75">
        <f t="shared" si="1"/>
        <v>0</v>
      </c>
      <c r="E29" s="40">
        <v>0</v>
      </c>
      <c r="F29" s="10">
        <v>0</v>
      </c>
      <c r="G29" s="10">
        <v>0</v>
      </c>
      <c r="H29" s="40">
        <v>0</v>
      </c>
      <c r="I29" s="10">
        <v>0</v>
      </c>
      <c r="J29" s="56">
        <v>0</v>
      </c>
      <c r="K29" s="75">
        <f t="shared" si="2"/>
        <v>0</v>
      </c>
      <c r="L29" s="92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33</v>
      </c>
      <c r="B30" s="10">
        <v>0</v>
      </c>
      <c r="C30" s="56">
        <v>0</v>
      </c>
      <c r="D30" s="75">
        <f t="shared" si="1"/>
        <v>0</v>
      </c>
      <c r="E30" s="40">
        <v>0</v>
      </c>
      <c r="F30" s="10">
        <v>0</v>
      </c>
      <c r="G30" s="10">
        <v>0</v>
      </c>
      <c r="H30" s="40">
        <v>0</v>
      </c>
      <c r="I30" s="10">
        <v>0</v>
      </c>
      <c r="J30" s="56">
        <v>0</v>
      </c>
      <c r="K30" s="75">
        <f t="shared" si="2"/>
        <v>0</v>
      </c>
      <c r="L30" s="92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34</v>
      </c>
      <c r="B31" s="10">
        <v>0</v>
      </c>
      <c r="C31" s="56">
        <v>63700</v>
      </c>
      <c r="D31" s="75">
        <f t="shared" si="1"/>
        <v>63700</v>
      </c>
      <c r="E31" s="40">
        <v>0</v>
      </c>
      <c r="F31" s="10">
        <v>0</v>
      </c>
      <c r="G31" s="10">
        <v>0</v>
      </c>
      <c r="H31" s="40">
        <v>0</v>
      </c>
      <c r="I31" s="10">
        <v>0</v>
      </c>
      <c r="J31" s="56">
        <v>0</v>
      </c>
      <c r="K31" s="75">
        <f t="shared" si="2"/>
        <v>0</v>
      </c>
      <c r="L31" s="92">
        <v>63700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35</v>
      </c>
      <c r="B32" s="10">
        <v>0</v>
      </c>
      <c r="C32" s="56">
        <v>0</v>
      </c>
      <c r="D32" s="75">
        <f t="shared" si="1"/>
        <v>0</v>
      </c>
      <c r="E32" s="40">
        <v>0</v>
      </c>
      <c r="F32" s="10">
        <v>0</v>
      </c>
      <c r="G32" s="10">
        <v>0</v>
      </c>
      <c r="H32" s="40">
        <v>0</v>
      </c>
      <c r="I32" s="10">
        <v>0</v>
      </c>
      <c r="J32" s="56">
        <v>0</v>
      </c>
      <c r="K32" s="75">
        <f t="shared" si="2"/>
        <v>0</v>
      </c>
      <c r="L32" s="92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36</v>
      </c>
      <c r="B33" s="10">
        <v>0</v>
      </c>
      <c r="C33" s="56">
        <v>0</v>
      </c>
      <c r="D33" s="75">
        <f t="shared" si="1"/>
        <v>0</v>
      </c>
      <c r="E33" s="40">
        <v>0</v>
      </c>
      <c r="F33" s="10">
        <v>0</v>
      </c>
      <c r="G33" s="10">
        <v>0</v>
      </c>
      <c r="H33" s="40">
        <v>0</v>
      </c>
      <c r="I33" s="10">
        <v>0</v>
      </c>
      <c r="J33" s="56">
        <v>0</v>
      </c>
      <c r="K33" s="75">
        <f t="shared" si="2"/>
        <v>0</v>
      </c>
      <c r="L33" s="92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37</v>
      </c>
      <c r="B34" s="10">
        <v>0</v>
      </c>
      <c r="C34" s="56">
        <v>22750</v>
      </c>
      <c r="D34" s="75">
        <f t="shared" si="1"/>
        <v>22750</v>
      </c>
      <c r="E34" s="40">
        <v>0</v>
      </c>
      <c r="F34" s="10">
        <v>0</v>
      </c>
      <c r="G34" s="10">
        <v>0</v>
      </c>
      <c r="H34" s="40">
        <v>0</v>
      </c>
      <c r="I34" s="10">
        <v>0</v>
      </c>
      <c r="J34" s="56">
        <v>0</v>
      </c>
      <c r="K34" s="75">
        <f t="shared" si="2"/>
        <v>0</v>
      </c>
      <c r="L34" s="92">
        <v>22750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38</v>
      </c>
      <c r="B35" s="10">
        <v>0</v>
      </c>
      <c r="C35" s="56">
        <v>0</v>
      </c>
      <c r="D35" s="75">
        <f t="shared" si="1"/>
        <v>0</v>
      </c>
      <c r="E35" s="40">
        <v>0</v>
      </c>
      <c r="F35" s="10">
        <v>0</v>
      </c>
      <c r="G35" s="10">
        <v>0</v>
      </c>
      <c r="H35" s="40">
        <v>0</v>
      </c>
      <c r="I35" s="10">
        <v>0</v>
      </c>
      <c r="J35" s="56">
        <v>0</v>
      </c>
      <c r="K35" s="75">
        <f t="shared" si="2"/>
        <v>0</v>
      </c>
      <c r="L35" s="92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39</v>
      </c>
      <c r="B36" s="10">
        <v>0</v>
      </c>
      <c r="C36" s="56">
        <v>0</v>
      </c>
      <c r="D36" s="75">
        <f t="shared" si="1"/>
        <v>0</v>
      </c>
      <c r="E36" s="40">
        <v>0</v>
      </c>
      <c r="F36" s="10">
        <v>0</v>
      </c>
      <c r="G36" s="10">
        <v>0</v>
      </c>
      <c r="H36" s="40">
        <v>0</v>
      </c>
      <c r="I36" s="10">
        <v>0</v>
      </c>
      <c r="J36" s="56">
        <v>0</v>
      </c>
      <c r="K36" s="75">
        <f t="shared" si="2"/>
        <v>0</v>
      </c>
      <c r="L36" s="92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40</v>
      </c>
      <c r="B37" s="10">
        <v>0</v>
      </c>
      <c r="C37" s="56">
        <v>0</v>
      </c>
      <c r="D37" s="75">
        <f t="shared" si="1"/>
        <v>0</v>
      </c>
      <c r="E37" s="40">
        <v>0</v>
      </c>
      <c r="F37" s="10">
        <v>0</v>
      </c>
      <c r="G37" s="10">
        <v>0</v>
      </c>
      <c r="H37" s="40">
        <v>0</v>
      </c>
      <c r="I37" s="10">
        <v>0</v>
      </c>
      <c r="J37" s="56">
        <v>0</v>
      </c>
      <c r="K37" s="75">
        <f t="shared" si="2"/>
        <v>0</v>
      </c>
      <c r="L37" s="92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41</v>
      </c>
      <c r="B38" s="10">
        <v>0</v>
      </c>
      <c r="C38" s="56">
        <v>0</v>
      </c>
      <c r="D38" s="75">
        <f t="shared" si="1"/>
        <v>0</v>
      </c>
      <c r="E38" s="40">
        <v>0</v>
      </c>
      <c r="F38" s="10">
        <v>0</v>
      </c>
      <c r="G38" s="10">
        <v>0</v>
      </c>
      <c r="H38" s="40">
        <v>0</v>
      </c>
      <c r="I38" s="10">
        <v>0</v>
      </c>
      <c r="J38" s="56">
        <v>0</v>
      </c>
      <c r="K38" s="75">
        <f t="shared" si="2"/>
        <v>0</v>
      </c>
      <c r="L38" s="92">
        <v>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42</v>
      </c>
      <c r="B39" s="10">
        <v>0</v>
      </c>
      <c r="C39" s="56">
        <v>0</v>
      </c>
      <c r="D39" s="75">
        <f t="shared" si="1"/>
        <v>0</v>
      </c>
      <c r="E39" s="40">
        <v>0</v>
      </c>
      <c r="F39" s="10">
        <v>0</v>
      </c>
      <c r="G39" s="10">
        <v>0</v>
      </c>
      <c r="H39" s="40">
        <v>0</v>
      </c>
      <c r="I39" s="10">
        <v>0</v>
      </c>
      <c r="J39" s="56">
        <v>0</v>
      </c>
      <c r="K39" s="75">
        <f t="shared" si="2"/>
        <v>0</v>
      </c>
      <c r="L39" s="92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43</v>
      </c>
      <c r="B40" s="10">
        <v>0</v>
      </c>
      <c r="C40" s="56">
        <v>0</v>
      </c>
      <c r="D40" s="75">
        <f t="shared" si="1"/>
        <v>0</v>
      </c>
      <c r="E40" s="40">
        <v>0</v>
      </c>
      <c r="F40" s="10">
        <v>0</v>
      </c>
      <c r="G40" s="10">
        <v>0</v>
      </c>
      <c r="H40" s="40">
        <v>0</v>
      </c>
      <c r="I40" s="10">
        <v>0</v>
      </c>
      <c r="J40" s="56">
        <v>0</v>
      </c>
      <c r="K40" s="75">
        <f t="shared" si="2"/>
        <v>0</v>
      </c>
      <c r="L40" s="92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44</v>
      </c>
      <c r="B41" s="10">
        <v>0</v>
      </c>
      <c r="C41" s="56">
        <v>0</v>
      </c>
      <c r="D41" s="75">
        <f t="shared" si="1"/>
        <v>0</v>
      </c>
      <c r="E41" s="40">
        <v>-36744</v>
      </c>
      <c r="F41" s="10">
        <v>-26841</v>
      </c>
      <c r="G41" s="10">
        <v>-8755</v>
      </c>
      <c r="H41" s="40">
        <v>-17894</v>
      </c>
      <c r="I41" s="10">
        <v>-25404</v>
      </c>
      <c r="J41" s="56">
        <v>-8133</v>
      </c>
      <c r="K41" s="75">
        <f t="shared" si="2"/>
        <v>-123771</v>
      </c>
      <c r="L41" s="92">
        <v>-123771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45</v>
      </c>
      <c r="B42" s="10">
        <v>0</v>
      </c>
      <c r="C42" s="56">
        <v>0</v>
      </c>
      <c r="D42" s="75">
        <f t="shared" si="1"/>
        <v>0</v>
      </c>
      <c r="E42" s="40">
        <v>0</v>
      </c>
      <c r="F42" s="10">
        <v>0</v>
      </c>
      <c r="G42" s="10">
        <v>0</v>
      </c>
      <c r="H42" s="40">
        <v>0</v>
      </c>
      <c r="I42" s="10">
        <v>0</v>
      </c>
      <c r="J42" s="56">
        <v>0</v>
      </c>
      <c r="K42" s="75">
        <f t="shared" si="2"/>
        <v>0</v>
      </c>
      <c r="L42" s="92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13</v>
      </c>
      <c r="B43" s="10">
        <v>0</v>
      </c>
      <c r="C43" s="56">
        <v>0</v>
      </c>
      <c r="D43" s="75">
        <f t="shared" si="1"/>
        <v>0</v>
      </c>
      <c r="E43" s="40">
        <v>43140</v>
      </c>
      <c r="F43" s="10">
        <v>39200</v>
      </c>
      <c r="G43" s="10">
        <v>42470</v>
      </c>
      <c r="H43" s="40">
        <v>37800</v>
      </c>
      <c r="I43" s="10">
        <v>25175</v>
      </c>
      <c r="J43" s="56">
        <v>39463</v>
      </c>
      <c r="K43" s="75">
        <f t="shared" si="2"/>
        <v>227248</v>
      </c>
      <c r="L43" s="92">
        <v>227248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6</v>
      </c>
      <c r="B44" s="10">
        <v>0</v>
      </c>
      <c r="C44" s="56">
        <v>0</v>
      </c>
      <c r="D44" s="75">
        <f t="shared" si="1"/>
        <v>0</v>
      </c>
      <c r="E44" s="40">
        <v>34166</v>
      </c>
      <c r="F44" s="10">
        <v>43848</v>
      </c>
      <c r="G44" s="10">
        <v>23680</v>
      </c>
      <c r="H44" s="40">
        <v>27216</v>
      </c>
      <c r="I44" s="10">
        <v>24327</v>
      </c>
      <c r="J44" s="56">
        <v>13740</v>
      </c>
      <c r="K44" s="75">
        <f t="shared" si="2"/>
        <v>166977</v>
      </c>
      <c r="L44" s="92">
        <v>166977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7</v>
      </c>
      <c r="B45" s="10">
        <v>0</v>
      </c>
      <c r="C45" s="56">
        <v>0</v>
      </c>
      <c r="D45" s="75">
        <f t="shared" si="1"/>
        <v>0</v>
      </c>
      <c r="E45" s="40">
        <v>27954</v>
      </c>
      <c r="F45" s="10">
        <v>0</v>
      </c>
      <c r="G45" s="10">
        <v>0</v>
      </c>
      <c r="H45" s="40">
        <v>12096</v>
      </c>
      <c r="I45" s="10">
        <v>14310</v>
      </c>
      <c r="J45" s="56">
        <v>0</v>
      </c>
      <c r="K45" s="75">
        <f t="shared" si="2"/>
        <v>54360</v>
      </c>
      <c r="L45" s="92">
        <v>54360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46</v>
      </c>
      <c r="B46" s="10">
        <v>0</v>
      </c>
      <c r="C46" s="56">
        <v>0</v>
      </c>
      <c r="D46" s="75">
        <f t="shared" si="1"/>
        <v>0</v>
      </c>
      <c r="E46" s="40">
        <v>0</v>
      </c>
      <c r="F46" s="10">
        <v>0</v>
      </c>
      <c r="G46" s="10">
        <v>0</v>
      </c>
      <c r="H46" s="40">
        <v>0</v>
      </c>
      <c r="I46" s="10">
        <v>0</v>
      </c>
      <c r="J46" s="56">
        <v>0</v>
      </c>
      <c r="K46" s="75">
        <f t="shared" si="2"/>
        <v>0</v>
      </c>
      <c r="L46" s="92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5" t="s">
        <v>47</v>
      </c>
      <c r="B47" s="10">
        <v>0</v>
      </c>
      <c r="C47" s="56">
        <v>0</v>
      </c>
      <c r="D47" s="75">
        <f t="shared" si="1"/>
        <v>0</v>
      </c>
      <c r="E47" s="40">
        <v>36744</v>
      </c>
      <c r="F47" s="10">
        <v>26841</v>
      </c>
      <c r="G47" s="10">
        <v>8755</v>
      </c>
      <c r="H47" s="40">
        <v>17894</v>
      </c>
      <c r="I47" s="10">
        <v>25404</v>
      </c>
      <c r="J47" s="56">
        <v>8133</v>
      </c>
      <c r="K47" s="75">
        <f t="shared" si="2"/>
        <v>123771</v>
      </c>
      <c r="L47" s="92">
        <v>123771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17</v>
      </c>
      <c r="B48" s="10">
        <v>0</v>
      </c>
      <c r="C48" s="56">
        <v>0</v>
      </c>
      <c r="D48" s="79">
        <f t="shared" si="1"/>
        <v>0</v>
      </c>
      <c r="E48" s="40">
        <v>0</v>
      </c>
      <c r="F48" s="10">
        <v>0</v>
      </c>
      <c r="G48" s="10">
        <v>0</v>
      </c>
      <c r="H48" s="40">
        <v>0</v>
      </c>
      <c r="I48" s="10">
        <v>0</v>
      </c>
      <c r="J48" s="56">
        <v>0</v>
      </c>
      <c r="K48" s="75">
        <f t="shared" si="2"/>
        <v>0</v>
      </c>
      <c r="L48" s="92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48</v>
      </c>
      <c r="B49" s="12">
        <v>0</v>
      </c>
      <c r="C49" s="60">
        <v>0</v>
      </c>
      <c r="D49" s="79">
        <f t="shared" si="1"/>
        <v>0</v>
      </c>
      <c r="E49" s="44">
        <v>0</v>
      </c>
      <c r="F49" s="12">
        <v>0</v>
      </c>
      <c r="G49" s="12">
        <v>0</v>
      </c>
      <c r="H49" s="44">
        <v>0</v>
      </c>
      <c r="I49" s="12">
        <v>0</v>
      </c>
      <c r="J49" s="60">
        <v>0</v>
      </c>
      <c r="K49" s="79">
        <f t="shared" si="2"/>
        <v>0</v>
      </c>
      <c r="L49" s="96">
        <v>0</v>
      </c>
      <c r="M49" s="6"/>
      <c r="N49" s="6"/>
      <c r="O49" s="6"/>
      <c r="P49" s="6"/>
      <c r="Q49" s="6"/>
      <c r="R49" s="6"/>
      <c r="S49" s="6"/>
    </row>
    <row r="50" spans="1:19" x14ac:dyDescent="0.15">
      <c r="A50" s="16" t="s">
        <v>21</v>
      </c>
      <c r="B50" s="12">
        <v>0</v>
      </c>
      <c r="C50" s="60">
        <v>0</v>
      </c>
      <c r="D50" s="79">
        <f t="shared" si="1"/>
        <v>0</v>
      </c>
      <c r="E50" s="44">
        <v>864</v>
      </c>
      <c r="F50" s="12">
        <v>560</v>
      </c>
      <c r="G50" s="12">
        <v>0</v>
      </c>
      <c r="H50" s="44">
        <v>0</v>
      </c>
      <c r="I50" s="12">
        <v>530</v>
      </c>
      <c r="J50" s="60">
        <v>255</v>
      </c>
      <c r="K50" s="79">
        <f t="shared" si="2"/>
        <v>2209</v>
      </c>
      <c r="L50" s="96">
        <v>2209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7" t="s">
        <v>49</v>
      </c>
      <c r="B51" s="31">
        <v>365000</v>
      </c>
      <c r="C51" s="61">
        <v>86450</v>
      </c>
      <c r="D51" s="80">
        <f t="shared" si="1"/>
        <v>451450</v>
      </c>
      <c r="E51" s="45">
        <v>354206</v>
      </c>
      <c r="F51" s="31">
        <v>328008</v>
      </c>
      <c r="G51" s="31">
        <v>303950</v>
      </c>
      <c r="H51" s="45">
        <v>322912</v>
      </c>
      <c r="I51" s="31">
        <v>319517</v>
      </c>
      <c r="J51" s="61">
        <v>260375</v>
      </c>
      <c r="K51" s="80">
        <f t="shared" si="2"/>
        <v>1888968</v>
      </c>
      <c r="L51" s="97">
        <v>2340418</v>
      </c>
      <c r="M51" s="6"/>
      <c r="N51" s="6"/>
      <c r="O51" s="6"/>
      <c r="P51" s="6"/>
      <c r="Q51" s="6"/>
      <c r="R51" s="6"/>
      <c r="S51" s="6"/>
    </row>
    <row r="52" spans="1:19" x14ac:dyDescent="0.15">
      <c r="A52" s="29" t="s">
        <v>50</v>
      </c>
      <c r="B52" s="30">
        <v>3944</v>
      </c>
      <c r="C52" s="62">
        <v>2013</v>
      </c>
      <c r="D52" s="81">
        <f t="shared" si="1"/>
        <v>5957</v>
      </c>
      <c r="E52" s="46">
        <v>3882</v>
      </c>
      <c r="F52" s="30">
        <v>3882</v>
      </c>
      <c r="G52" s="30">
        <v>7682</v>
      </c>
      <c r="H52" s="46">
        <v>4519</v>
      </c>
      <c r="I52" s="30">
        <v>4314</v>
      </c>
      <c r="J52" s="62">
        <v>10845</v>
      </c>
      <c r="K52" s="81">
        <f t="shared" si="2"/>
        <v>35124</v>
      </c>
      <c r="L52" s="98">
        <v>41081</v>
      </c>
      <c r="M52" s="6"/>
      <c r="N52" s="6"/>
      <c r="O52" s="6"/>
      <c r="P52" s="6"/>
      <c r="Q52" s="6"/>
      <c r="R52" s="6"/>
      <c r="S52" s="6"/>
    </row>
    <row r="53" spans="1:19" x14ac:dyDescent="0.15">
      <c r="A53" s="16" t="s">
        <v>51</v>
      </c>
      <c r="B53" s="12">
        <v>0</v>
      </c>
      <c r="C53" s="60">
        <v>0</v>
      </c>
      <c r="D53" s="79">
        <f t="shared" si="1"/>
        <v>0</v>
      </c>
      <c r="E53" s="44">
        <v>0</v>
      </c>
      <c r="F53" s="12">
        <v>0</v>
      </c>
      <c r="G53" s="12">
        <v>0</v>
      </c>
      <c r="H53" s="44">
        <v>0</v>
      </c>
      <c r="I53" s="12">
        <v>0</v>
      </c>
      <c r="J53" s="60">
        <v>0</v>
      </c>
      <c r="K53" s="79">
        <f t="shared" si="2"/>
        <v>0</v>
      </c>
      <c r="L53" s="96">
        <v>0</v>
      </c>
    </row>
    <row r="54" spans="1:19" ht="14.25" thickBot="1" x14ac:dyDescent="0.2">
      <c r="A54" s="32" t="s">
        <v>52</v>
      </c>
      <c r="B54" s="33">
        <v>3944</v>
      </c>
      <c r="C54" s="63">
        <v>2013</v>
      </c>
      <c r="D54" s="82">
        <f t="shared" si="1"/>
        <v>5957</v>
      </c>
      <c r="E54" s="47">
        <v>3882</v>
      </c>
      <c r="F54" s="33">
        <v>3882</v>
      </c>
      <c r="G54" s="33">
        <v>7682</v>
      </c>
      <c r="H54" s="47">
        <v>4519</v>
      </c>
      <c r="I54" s="33">
        <v>4314</v>
      </c>
      <c r="J54" s="63">
        <v>10845</v>
      </c>
      <c r="K54" s="82">
        <f t="shared" si="2"/>
        <v>35124</v>
      </c>
      <c r="L54" s="99">
        <v>41081</v>
      </c>
    </row>
    <row r="55" spans="1:19" ht="14.25" thickBot="1" x14ac:dyDescent="0.2">
      <c r="A55" s="34" t="s">
        <v>53</v>
      </c>
      <c r="B55" s="35">
        <v>368944</v>
      </c>
      <c r="C55" s="64">
        <v>88463</v>
      </c>
      <c r="D55" s="83">
        <f t="shared" si="1"/>
        <v>457407</v>
      </c>
      <c r="E55" s="48">
        <v>358088</v>
      </c>
      <c r="F55" s="35">
        <v>331890</v>
      </c>
      <c r="G55" s="35">
        <v>311632</v>
      </c>
      <c r="H55" s="48">
        <v>327431</v>
      </c>
      <c r="I55" s="35">
        <v>323831</v>
      </c>
      <c r="J55" s="64">
        <v>271220</v>
      </c>
      <c r="K55" s="83">
        <f t="shared" si="2"/>
        <v>1924092</v>
      </c>
      <c r="L55" s="100">
        <v>2381499</v>
      </c>
    </row>
    <row r="56" spans="1:19" x14ac:dyDescent="0.15">
      <c r="A56" s="29" t="s">
        <v>54</v>
      </c>
      <c r="B56" s="30">
        <v>18360</v>
      </c>
      <c r="C56" s="62">
        <v>0</v>
      </c>
      <c r="D56" s="81">
        <f t="shared" si="1"/>
        <v>18360</v>
      </c>
      <c r="E56" s="46">
        <v>18360</v>
      </c>
      <c r="F56" s="30">
        <v>16320</v>
      </c>
      <c r="G56" s="30">
        <v>16320</v>
      </c>
      <c r="H56" s="46">
        <v>16320</v>
      </c>
      <c r="I56" s="30">
        <v>15300</v>
      </c>
      <c r="J56" s="62">
        <v>13260</v>
      </c>
      <c r="K56" s="81">
        <f t="shared" si="2"/>
        <v>95880</v>
      </c>
      <c r="L56" s="98">
        <v>114240</v>
      </c>
    </row>
    <row r="57" spans="1:19" x14ac:dyDescent="0.15">
      <c r="A57" s="16" t="s">
        <v>55</v>
      </c>
      <c r="B57" s="12">
        <v>3240</v>
      </c>
      <c r="C57" s="60">
        <v>0</v>
      </c>
      <c r="D57" s="79">
        <f t="shared" si="1"/>
        <v>3240</v>
      </c>
      <c r="E57" s="44">
        <v>3240</v>
      </c>
      <c r="F57" s="12">
        <v>2880</v>
      </c>
      <c r="G57" s="12">
        <v>2880</v>
      </c>
      <c r="H57" s="44">
        <v>2880</v>
      </c>
      <c r="I57" s="12">
        <v>0</v>
      </c>
      <c r="J57" s="60">
        <v>0</v>
      </c>
      <c r="K57" s="79">
        <f t="shared" si="2"/>
        <v>11880</v>
      </c>
      <c r="L57" s="96">
        <v>15120</v>
      </c>
    </row>
    <row r="58" spans="1:19" x14ac:dyDescent="0.15">
      <c r="A58" s="16" t="s">
        <v>56</v>
      </c>
      <c r="B58" s="12">
        <v>32940</v>
      </c>
      <c r="C58" s="60">
        <v>0</v>
      </c>
      <c r="D58" s="79">
        <f t="shared" si="1"/>
        <v>32940</v>
      </c>
      <c r="E58" s="44">
        <v>32940</v>
      </c>
      <c r="F58" s="12">
        <v>29280</v>
      </c>
      <c r="G58" s="12">
        <v>29280</v>
      </c>
      <c r="H58" s="44">
        <v>29280</v>
      </c>
      <c r="I58" s="12">
        <v>27450</v>
      </c>
      <c r="J58" s="60">
        <v>23790</v>
      </c>
      <c r="K58" s="79">
        <f t="shared" si="2"/>
        <v>172020</v>
      </c>
      <c r="L58" s="96">
        <v>204960</v>
      </c>
    </row>
    <row r="59" spans="1:19" x14ac:dyDescent="0.15">
      <c r="A59" s="16" t="s">
        <v>57</v>
      </c>
      <c r="B59" s="12">
        <v>0</v>
      </c>
      <c r="C59" s="60">
        <v>0</v>
      </c>
      <c r="D59" s="79">
        <f t="shared" si="1"/>
        <v>0</v>
      </c>
      <c r="E59" s="44">
        <v>0</v>
      </c>
      <c r="F59" s="12">
        <v>0</v>
      </c>
      <c r="G59" s="12">
        <v>0</v>
      </c>
      <c r="H59" s="44">
        <v>0</v>
      </c>
      <c r="I59" s="12">
        <v>0</v>
      </c>
      <c r="J59" s="60">
        <v>0</v>
      </c>
      <c r="K59" s="79">
        <f t="shared" si="2"/>
        <v>0</v>
      </c>
      <c r="L59" s="96">
        <v>0</v>
      </c>
    </row>
    <row r="60" spans="1:19" x14ac:dyDescent="0.15">
      <c r="A60" s="16" t="s">
        <v>58</v>
      </c>
      <c r="B60" s="12">
        <v>1107</v>
      </c>
      <c r="C60" s="60">
        <v>265</v>
      </c>
      <c r="D60" s="79">
        <f t="shared" si="1"/>
        <v>1372</v>
      </c>
      <c r="E60" s="44">
        <v>1074</v>
      </c>
      <c r="F60" s="12">
        <v>996</v>
      </c>
      <c r="G60" s="12">
        <v>935</v>
      </c>
      <c r="H60" s="44">
        <v>982</v>
      </c>
      <c r="I60" s="12">
        <v>971</v>
      </c>
      <c r="J60" s="60">
        <v>814</v>
      </c>
      <c r="K60" s="79">
        <f t="shared" si="2"/>
        <v>5772</v>
      </c>
      <c r="L60" s="96">
        <v>7144</v>
      </c>
    </row>
    <row r="61" spans="1:19" x14ac:dyDescent="0.15">
      <c r="A61" s="16" t="s">
        <v>59</v>
      </c>
      <c r="B61" s="12">
        <v>0</v>
      </c>
      <c r="C61" s="60">
        <v>0</v>
      </c>
      <c r="D61" s="79">
        <f t="shared" si="1"/>
        <v>0</v>
      </c>
      <c r="E61" s="44">
        <v>0</v>
      </c>
      <c r="F61" s="12">
        <v>0</v>
      </c>
      <c r="G61" s="12">
        <v>0</v>
      </c>
      <c r="H61" s="44">
        <v>0</v>
      </c>
      <c r="I61" s="12">
        <v>0</v>
      </c>
      <c r="J61" s="60">
        <v>0</v>
      </c>
      <c r="K61" s="79">
        <f t="shared" si="2"/>
        <v>0</v>
      </c>
      <c r="L61" s="96">
        <v>0</v>
      </c>
    </row>
    <row r="62" spans="1:19" ht="14.25" thickBot="1" x14ac:dyDescent="0.2">
      <c r="A62" s="32" t="s">
        <v>60</v>
      </c>
      <c r="B62" s="33">
        <v>55647</v>
      </c>
      <c r="C62" s="63">
        <v>265</v>
      </c>
      <c r="D62" s="82">
        <f t="shared" si="1"/>
        <v>55912</v>
      </c>
      <c r="E62" s="47">
        <v>55614</v>
      </c>
      <c r="F62" s="33">
        <v>49476</v>
      </c>
      <c r="G62" s="33">
        <v>49415</v>
      </c>
      <c r="H62" s="47">
        <v>49462</v>
      </c>
      <c r="I62" s="33">
        <v>43721</v>
      </c>
      <c r="J62" s="63">
        <v>37864</v>
      </c>
      <c r="K62" s="82">
        <f t="shared" si="2"/>
        <v>285552</v>
      </c>
      <c r="L62" s="99">
        <v>341464</v>
      </c>
    </row>
    <row r="63" spans="1:19" ht="14.25" thickBot="1" x14ac:dyDescent="0.2">
      <c r="A63" s="34" t="s">
        <v>61</v>
      </c>
      <c r="B63" s="35">
        <v>309353</v>
      </c>
      <c r="C63" s="64">
        <v>86185</v>
      </c>
      <c r="D63" s="83">
        <f t="shared" si="1"/>
        <v>395538</v>
      </c>
      <c r="E63" s="48">
        <v>298592</v>
      </c>
      <c r="F63" s="35">
        <v>278532</v>
      </c>
      <c r="G63" s="35">
        <v>254535</v>
      </c>
      <c r="H63" s="48">
        <v>273450</v>
      </c>
      <c r="I63" s="35">
        <v>275796</v>
      </c>
      <c r="J63" s="64">
        <v>222511</v>
      </c>
      <c r="K63" s="83">
        <f t="shared" si="2"/>
        <v>1603416</v>
      </c>
      <c r="L63" s="100">
        <v>1998954</v>
      </c>
    </row>
    <row r="64" spans="1:19" x14ac:dyDescent="0.15">
      <c r="A64" s="29" t="s">
        <v>62</v>
      </c>
      <c r="B64" s="30">
        <v>9140</v>
      </c>
      <c r="C64" s="62">
        <v>20</v>
      </c>
      <c r="D64" s="81">
        <f t="shared" si="1"/>
        <v>9160</v>
      </c>
      <c r="E64" s="46">
        <v>8290</v>
      </c>
      <c r="F64" s="30">
        <v>5950</v>
      </c>
      <c r="G64" s="30">
        <v>6710</v>
      </c>
      <c r="H64" s="46">
        <v>5770</v>
      </c>
      <c r="I64" s="30">
        <v>7470</v>
      </c>
      <c r="J64" s="62">
        <v>3950</v>
      </c>
      <c r="K64" s="81">
        <f t="shared" si="2"/>
        <v>38140</v>
      </c>
      <c r="L64" s="98">
        <v>47300</v>
      </c>
    </row>
    <row r="65" spans="1:12" x14ac:dyDescent="0.15">
      <c r="A65" s="16" t="s">
        <v>63</v>
      </c>
      <c r="B65" s="12">
        <v>0</v>
      </c>
      <c r="C65" s="60">
        <v>0</v>
      </c>
      <c r="D65" s="79">
        <f t="shared" si="1"/>
        <v>0</v>
      </c>
      <c r="E65" s="44">
        <v>0</v>
      </c>
      <c r="F65" s="12">
        <v>0</v>
      </c>
      <c r="G65" s="12">
        <v>0</v>
      </c>
      <c r="H65" s="44">
        <v>0</v>
      </c>
      <c r="I65" s="12">
        <v>0</v>
      </c>
      <c r="J65" s="60">
        <v>0</v>
      </c>
      <c r="K65" s="79">
        <f t="shared" si="2"/>
        <v>0</v>
      </c>
      <c r="L65" s="96">
        <v>0</v>
      </c>
    </row>
    <row r="66" spans="1:12" x14ac:dyDescent="0.15">
      <c r="A66" s="16" t="s">
        <v>64</v>
      </c>
      <c r="B66" s="12">
        <v>18600</v>
      </c>
      <c r="C66" s="60">
        <v>500</v>
      </c>
      <c r="D66" s="79">
        <f t="shared" si="1"/>
        <v>19100</v>
      </c>
      <c r="E66" s="44">
        <v>14000</v>
      </c>
      <c r="F66" s="12">
        <v>2100</v>
      </c>
      <c r="G66" s="12">
        <v>4000</v>
      </c>
      <c r="H66" s="44">
        <v>9700</v>
      </c>
      <c r="I66" s="12">
        <v>11400</v>
      </c>
      <c r="J66" s="60">
        <v>0</v>
      </c>
      <c r="K66" s="79">
        <f t="shared" si="2"/>
        <v>41200</v>
      </c>
      <c r="L66" s="96">
        <v>60300</v>
      </c>
    </row>
    <row r="67" spans="1:12" x14ac:dyDescent="0.15">
      <c r="A67" s="16" t="s">
        <v>65</v>
      </c>
      <c r="B67" s="12">
        <v>0</v>
      </c>
      <c r="C67" s="60">
        <v>0</v>
      </c>
      <c r="D67" s="79">
        <f t="shared" si="1"/>
        <v>0</v>
      </c>
      <c r="E67" s="44">
        <v>0</v>
      </c>
      <c r="F67" s="12">
        <v>5000</v>
      </c>
      <c r="G67" s="12">
        <v>0</v>
      </c>
      <c r="H67" s="44">
        <v>0</v>
      </c>
      <c r="I67" s="12">
        <v>0</v>
      </c>
      <c r="J67" s="60">
        <v>0</v>
      </c>
      <c r="K67" s="79">
        <f t="shared" si="2"/>
        <v>5000</v>
      </c>
      <c r="L67" s="96">
        <v>5000</v>
      </c>
    </row>
    <row r="68" spans="1:12" x14ac:dyDescent="0.15">
      <c r="A68" s="16" t="s">
        <v>66</v>
      </c>
      <c r="B68" s="12">
        <v>0</v>
      </c>
      <c r="C68" s="60">
        <v>0</v>
      </c>
      <c r="D68" s="79">
        <f t="shared" si="1"/>
        <v>0</v>
      </c>
      <c r="E68" s="44">
        <v>0</v>
      </c>
      <c r="F68" s="12">
        <v>0</v>
      </c>
      <c r="G68" s="12">
        <v>0</v>
      </c>
      <c r="H68" s="44">
        <v>0</v>
      </c>
      <c r="I68" s="12">
        <v>0</v>
      </c>
      <c r="J68" s="60">
        <v>0</v>
      </c>
      <c r="K68" s="79">
        <f t="shared" si="2"/>
        <v>0</v>
      </c>
      <c r="L68" s="96">
        <v>0</v>
      </c>
    </row>
    <row r="69" spans="1:12" x14ac:dyDescent="0.15">
      <c r="A69" s="16" t="s">
        <v>67</v>
      </c>
      <c r="B69" s="12">
        <v>0</v>
      </c>
      <c r="C69" s="60">
        <v>0</v>
      </c>
      <c r="D69" s="79">
        <f t="shared" si="1"/>
        <v>0</v>
      </c>
      <c r="E69" s="44">
        <v>0</v>
      </c>
      <c r="F69" s="12">
        <v>0</v>
      </c>
      <c r="G69" s="12">
        <v>0</v>
      </c>
      <c r="H69" s="44">
        <v>0</v>
      </c>
      <c r="I69" s="12">
        <v>0</v>
      </c>
      <c r="J69" s="60">
        <v>0</v>
      </c>
      <c r="K69" s="79">
        <f t="shared" si="2"/>
        <v>0</v>
      </c>
      <c r="L69" s="96">
        <v>0</v>
      </c>
    </row>
    <row r="70" spans="1:12" x14ac:dyDescent="0.15">
      <c r="A70" s="16" t="s">
        <v>68</v>
      </c>
      <c r="B70" s="12">
        <v>0</v>
      </c>
      <c r="C70" s="60">
        <v>0</v>
      </c>
      <c r="D70" s="79">
        <f t="shared" si="1"/>
        <v>0</v>
      </c>
      <c r="E70" s="44">
        <v>0</v>
      </c>
      <c r="F70" s="12">
        <v>0</v>
      </c>
      <c r="G70" s="12">
        <v>0</v>
      </c>
      <c r="H70" s="44">
        <v>0</v>
      </c>
      <c r="I70" s="12">
        <v>0</v>
      </c>
      <c r="J70" s="60">
        <v>0</v>
      </c>
      <c r="K70" s="79">
        <f t="shared" si="2"/>
        <v>0</v>
      </c>
      <c r="L70" s="96">
        <v>0</v>
      </c>
    </row>
    <row r="71" spans="1:12" ht="14.25" thickBot="1" x14ac:dyDescent="0.2">
      <c r="A71" s="32" t="s">
        <v>69</v>
      </c>
      <c r="B71" s="33">
        <v>27740</v>
      </c>
      <c r="C71" s="63">
        <v>520</v>
      </c>
      <c r="D71" s="82">
        <f t="shared" si="1"/>
        <v>28260</v>
      </c>
      <c r="E71" s="47">
        <v>22290</v>
      </c>
      <c r="F71" s="33">
        <v>13050</v>
      </c>
      <c r="G71" s="33">
        <v>10710</v>
      </c>
      <c r="H71" s="47">
        <v>15470</v>
      </c>
      <c r="I71" s="33">
        <v>18870</v>
      </c>
      <c r="J71" s="63">
        <v>3950</v>
      </c>
      <c r="K71" s="82">
        <f t="shared" si="2"/>
        <v>84340</v>
      </c>
      <c r="L71" s="99">
        <v>112600</v>
      </c>
    </row>
    <row r="72" spans="1:12" ht="14.25" thickBot="1" x14ac:dyDescent="0.2">
      <c r="A72" s="34" t="s">
        <v>70</v>
      </c>
      <c r="B72" s="35">
        <v>83387</v>
      </c>
      <c r="C72" s="64">
        <v>785</v>
      </c>
      <c r="D72" s="83">
        <f t="shared" si="1"/>
        <v>84172</v>
      </c>
      <c r="E72" s="48">
        <v>77904</v>
      </c>
      <c r="F72" s="35">
        <v>62526</v>
      </c>
      <c r="G72" s="35">
        <v>60125</v>
      </c>
      <c r="H72" s="48">
        <v>64932</v>
      </c>
      <c r="I72" s="35">
        <v>62591</v>
      </c>
      <c r="J72" s="64">
        <v>41814</v>
      </c>
      <c r="K72" s="83">
        <f t="shared" si="2"/>
        <v>369892</v>
      </c>
      <c r="L72" s="100">
        <v>454064</v>
      </c>
    </row>
    <row r="73" spans="1:12" ht="14.25" thickBot="1" x14ac:dyDescent="0.2">
      <c r="A73" s="34" t="s">
        <v>71</v>
      </c>
      <c r="B73" s="35">
        <v>285557</v>
      </c>
      <c r="C73" s="64">
        <v>87678</v>
      </c>
      <c r="D73" s="83">
        <f t="shared" si="1"/>
        <v>373235</v>
      </c>
      <c r="E73" s="48">
        <v>280184</v>
      </c>
      <c r="F73" s="35">
        <v>269364</v>
      </c>
      <c r="G73" s="35">
        <v>251507</v>
      </c>
      <c r="H73" s="48">
        <v>262499</v>
      </c>
      <c r="I73" s="35">
        <v>261240</v>
      </c>
      <c r="J73" s="64">
        <v>229406</v>
      </c>
      <c r="K73" s="83">
        <f t="shared" si="2"/>
        <v>1554200</v>
      </c>
      <c r="L73" s="100">
        <v>1927435</v>
      </c>
    </row>
    <row r="74" spans="1:12" x14ac:dyDescent="0.15">
      <c r="A74" s="29" t="s">
        <v>72</v>
      </c>
      <c r="B74" s="30">
        <v>0</v>
      </c>
      <c r="C74" s="62">
        <v>0</v>
      </c>
      <c r="D74" s="81">
        <f t="shared" si="1"/>
        <v>0</v>
      </c>
      <c r="E74" s="46">
        <v>0</v>
      </c>
      <c r="F74" s="30">
        <v>0</v>
      </c>
      <c r="G74" s="30">
        <v>0</v>
      </c>
      <c r="H74" s="46">
        <v>0</v>
      </c>
      <c r="I74" s="30">
        <v>0</v>
      </c>
      <c r="J74" s="62">
        <v>0</v>
      </c>
      <c r="K74" s="81">
        <f t="shared" si="2"/>
        <v>0</v>
      </c>
      <c r="L74" s="98">
        <v>0</v>
      </c>
    </row>
    <row r="75" spans="1:12" x14ac:dyDescent="0.15">
      <c r="A75" s="16" t="s">
        <v>73</v>
      </c>
      <c r="B75" s="12">
        <v>285557</v>
      </c>
      <c r="C75" s="60">
        <v>87678</v>
      </c>
      <c r="D75" s="79">
        <f t="shared" si="1"/>
        <v>373235</v>
      </c>
      <c r="E75" s="44">
        <v>280184</v>
      </c>
      <c r="F75" s="12">
        <v>269364</v>
      </c>
      <c r="G75" s="12">
        <v>251507</v>
      </c>
      <c r="H75" s="44">
        <v>262499</v>
      </c>
      <c r="I75" s="12">
        <v>261240</v>
      </c>
      <c r="J75" s="60">
        <v>229406</v>
      </c>
      <c r="K75" s="79">
        <f t="shared" si="2"/>
        <v>1554200</v>
      </c>
      <c r="L75" s="96">
        <v>1927435</v>
      </c>
    </row>
    <row r="76" spans="1:12" x14ac:dyDescent="0.15">
      <c r="A76" s="16" t="s">
        <v>74</v>
      </c>
      <c r="B76" s="13">
        <v>23</v>
      </c>
      <c r="C76" s="65">
        <v>14</v>
      </c>
      <c r="D76" s="84"/>
      <c r="E76" s="49">
        <v>15</v>
      </c>
      <c r="F76" s="13">
        <v>6</v>
      </c>
      <c r="G76" s="13">
        <v>16</v>
      </c>
      <c r="H76" s="49">
        <v>18</v>
      </c>
      <c r="I76" s="13">
        <v>10</v>
      </c>
      <c r="J76" s="65"/>
      <c r="K76" s="84"/>
      <c r="L76" s="101">
        <v>102</v>
      </c>
    </row>
    <row r="77" spans="1:12" x14ac:dyDescent="0.15">
      <c r="A77" s="16" t="s">
        <v>75</v>
      </c>
      <c r="B77" s="14"/>
      <c r="C77" s="66"/>
      <c r="D77" s="85"/>
      <c r="E77" s="50"/>
      <c r="F77" s="14">
        <v>1</v>
      </c>
      <c r="G77" s="14"/>
      <c r="H77" s="50">
        <v>1</v>
      </c>
      <c r="I77" s="14"/>
      <c r="J77" s="66">
        <v>1</v>
      </c>
      <c r="K77" s="85"/>
      <c r="L77" s="102"/>
    </row>
    <row r="78" spans="1:12" ht="14.25" thickBot="1" x14ac:dyDescent="0.2">
      <c r="A78" s="17" t="s">
        <v>76</v>
      </c>
      <c r="B78" s="18" t="s">
        <v>77</v>
      </c>
      <c r="C78" s="67" t="s">
        <v>77</v>
      </c>
      <c r="D78" s="86"/>
      <c r="E78" s="51" t="s">
        <v>77</v>
      </c>
      <c r="F78" s="18" t="s">
        <v>77</v>
      </c>
      <c r="G78" s="18" t="s">
        <v>77</v>
      </c>
      <c r="H78" s="51" t="s">
        <v>77</v>
      </c>
      <c r="I78" s="18" t="s">
        <v>77</v>
      </c>
      <c r="J78" s="67" t="s">
        <v>77</v>
      </c>
      <c r="K78" s="86"/>
      <c r="L78" s="103"/>
    </row>
  </sheetData>
  <phoneticPr fontId="1"/>
  <pageMargins left="0.43307086614173229" right="0.35433070866141736" top="0.51181102362204722" bottom="0.35433070866141736" header="0.19685039370078741" footer="0.27559055118110237"/>
  <pageSetup paperSize="12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2020-10-13T05:38:52Z</cp:lastPrinted>
  <dcterms:created xsi:type="dcterms:W3CDTF">2011-10-11T01:59:58Z</dcterms:created>
  <dcterms:modified xsi:type="dcterms:W3CDTF">2020-10-13T07:24:15Z</dcterms:modified>
</cp:coreProperties>
</file>