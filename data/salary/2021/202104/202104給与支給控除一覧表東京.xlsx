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C7D96E95-30EF-4B0A-ACEF-A0707486A1E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D22" i="3"/>
  <c r="D21" i="3"/>
  <c r="K16" i="3"/>
  <c r="K15" i="3"/>
  <c r="K14" i="3"/>
  <c r="D13" i="3"/>
  <c r="K12" i="3"/>
  <c r="K10" i="3"/>
  <c r="D10" i="3"/>
  <c r="K8" i="3"/>
  <c r="K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8" i="2"/>
  <c r="K10" i="2"/>
  <c r="K12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21" i="2"/>
  <c r="D13" i="2"/>
  <c r="D10" i="2"/>
  <c r="D6" i="2"/>
</calcChain>
</file>

<file path=xl/sharedStrings.xml><?xml version="1.0" encoding="utf-8"?>
<sst xmlns="http://schemas.openxmlformats.org/spreadsheetml/2006/main" count="210" uniqueCount="85">
  <si>
    <t>所　属</t>
  </si>
  <si>
    <t>社　員</t>
  </si>
  <si>
    <t>2021年4月分</t>
  </si>
  <si>
    <t>東京営業所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</si>
  <si>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</si>
  <si>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</si>
  <si>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</si>
  <si>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</si>
  <si>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</si>
  <si>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</si>
  <si>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</si>
  <si>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</si>
  <si>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</si>
  <si>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</si>
  <si>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</si>
  <si>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</si>
  <si>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</si>
  <si>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</si>
  <si>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</si>
  <si>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</si>
  <si>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</si>
  <si>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</si>
  <si>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</si>
  <si>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</si>
  <si>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</si>
  <si>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</si>
  <si>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</si>
  <si>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</si>
  <si>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</si>
  <si>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</si>
  <si>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</si>
  <si>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</si>
  <si>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</si>
  <si>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</si>
  <si>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</si>
  <si>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</si>
  <si>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</si>
  <si>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</si>
  <si>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</si>
  <si>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</si>
  <si>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</si>
  <si>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</si>
  <si>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</si>
  <si>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</si>
  <si>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</si>
  <si>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</si>
  <si>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</si>
  <si>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</si>
  <si>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</si>
  <si>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</si>
  <si>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</si>
  <si>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</si>
  <si>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</si>
  <si>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</si>
  <si>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</si>
  <si>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</si>
  <si>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</si>
  <si>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</si>
  <si>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</si>
  <si>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</si>
  <si>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</si>
  <si>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</si>
  <si>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</si>
  <si>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</si>
  <si>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</si>
  <si>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</si>
  <si>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</si>
  <si>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</si>
  <si>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</si>
  <si>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</si>
  <si>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</si>
  <si>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</si>
  <si>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</si>
  <si>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</si>
  <si>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</si>
  <si>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</si>
  <si>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</si>
  <si>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</si>
  <si>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</si>
  <si>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新治　泰子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</si>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</sst>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6" fontId="2" fillId="2" borderId="45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9" fontId="2" fillId="2" borderId="45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EE12-1148-4FE8-BB3C-C8CD04D96CFE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3.3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1" t="s">
        <v>3</v>
      </c>
      <c r="D3" s="84" t="s">
        <v>82</v>
      </c>
      <c r="E3" s="35" t="s">
        <v>3</v>
      </c>
      <c r="F3" s="20" t="s">
        <v>3</v>
      </c>
      <c r="G3" s="20" t="s">
        <v>3</v>
      </c>
      <c r="H3" s="20" t="s">
        <v>3</v>
      </c>
      <c r="I3" s="35" t="s">
        <v>3</v>
      </c>
      <c r="J3" s="51" t="s">
        <v>3</v>
      </c>
      <c r="K3" s="84" t="s">
        <v>82</v>
      </c>
      <c r="L3" s="67" t="s">
        <v>81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85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85"/>
      <c r="L4" s="6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23</v>
      </c>
      <c r="C5" s="52" t="s">
        <v>79</v>
      </c>
      <c r="D5" s="86" t="s">
        <v>83</v>
      </c>
      <c r="E5" s="36" t="s">
        <v>4</v>
      </c>
      <c r="F5" s="22" t="s">
        <v>22</v>
      </c>
      <c r="G5" s="22" t="s">
        <v>24</v>
      </c>
      <c r="H5" s="22" t="s">
        <v>25</v>
      </c>
      <c r="I5" s="36" t="s">
        <v>77</v>
      </c>
      <c r="J5" s="52" t="s">
        <v>78</v>
      </c>
      <c r="K5" s="86" t="s">
        <v>84</v>
      </c>
      <c r="L5" s="69" t="s">
        <v>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21</v>
      </c>
      <c r="C6" s="53">
        <v>11</v>
      </c>
      <c r="D6" s="87">
        <f>SUM(B6:C6)</f>
        <v>32</v>
      </c>
      <c r="E6" s="37">
        <v>21</v>
      </c>
      <c r="F6" s="24">
        <v>21</v>
      </c>
      <c r="G6" s="24">
        <v>19</v>
      </c>
      <c r="H6" s="24">
        <v>21</v>
      </c>
      <c r="I6" s="37">
        <v>19</v>
      </c>
      <c r="J6" s="53">
        <v>21</v>
      </c>
      <c r="K6" s="87">
        <f>SUM(E6:J6)</f>
        <v>122</v>
      </c>
      <c r="L6" s="70">
        <v>154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10"/>
      <c r="C7" s="55"/>
      <c r="D7" s="102"/>
      <c r="E7" s="39"/>
      <c r="F7" s="9">
        <v>1</v>
      </c>
      <c r="G7" s="10"/>
      <c r="H7" s="9">
        <v>1</v>
      </c>
      <c r="I7" s="38">
        <v>4</v>
      </c>
      <c r="J7" s="54">
        <v>3</v>
      </c>
      <c r="K7" s="88">
        <f>SUM(E7:J7)</f>
        <v>9</v>
      </c>
      <c r="L7" s="71">
        <v>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10"/>
      <c r="C8" s="55"/>
      <c r="D8" s="102"/>
      <c r="E8" s="38">
        <v>1</v>
      </c>
      <c r="F8" s="10"/>
      <c r="G8" s="10"/>
      <c r="H8" s="10"/>
      <c r="I8" s="38">
        <v>1</v>
      </c>
      <c r="J8" s="55"/>
      <c r="K8" s="88">
        <f t="shared" ref="K8:K12" si="0">SUM(E8:J8)</f>
        <v>2</v>
      </c>
      <c r="L8" s="71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5"/>
      <c r="D9" s="102"/>
      <c r="E9" s="39"/>
      <c r="F9" s="10"/>
      <c r="G9" s="10"/>
      <c r="H9" s="10"/>
      <c r="I9" s="39"/>
      <c r="J9" s="55"/>
      <c r="K9" s="88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4">
        <v>1</v>
      </c>
      <c r="D10" s="88">
        <f>SUM(B10:C10)</f>
        <v>1</v>
      </c>
      <c r="E10" s="39"/>
      <c r="F10" s="10"/>
      <c r="G10" s="9">
        <v>1</v>
      </c>
      <c r="H10" s="10"/>
      <c r="I10" s="39"/>
      <c r="J10" s="55"/>
      <c r="K10" s="88">
        <f t="shared" si="0"/>
        <v>1</v>
      </c>
      <c r="L10" s="7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5"/>
      <c r="D11" s="102"/>
      <c r="E11" s="39"/>
      <c r="F11" s="10"/>
      <c r="G11" s="10"/>
      <c r="H11" s="10"/>
      <c r="I11" s="39"/>
      <c r="J11" s="55"/>
      <c r="K11" s="88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10"/>
      <c r="C12" s="55"/>
      <c r="D12" s="102"/>
      <c r="E12" s="39"/>
      <c r="F12" s="10"/>
      <c r="G12" s="9">
        <v>1</v>
      </c>
      <c r="H12" s="10"/>
      <c r="I12" s="38">
        <v>2</v>
      </c>
      <c r="J12" s="55"/>
      <c r="K12" s="88">
        <f t="shared" si="0"/>
        <v>3</v>
      </c>
      <c r="L12" s="71">
        <v>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6">
        <v>3.1666666666666665</v>
      </c>
      <c r="D13" s="90">
        <f>SUM(B13:C13)</f>
        <v>3.1666666666666665</v>
      </c>
      <c r="E13" s="39"/>
      <c r="F13" s="10"/>
      <c r="G13" s="10"/>
      <c r="H13" s="10"/>
      <c r="I13" s="39"/>
      <c r="J13" s="55"/>
      <c r="K13" s="89"/>
      <c r="L13" s="73">
        <v>3.1666666666666665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5"/>
      <c r="D14" s="102"/>
      <c r="E14" s="40">
        <v>1.875</v>
      </c>
      <c r="F14" s="11">
        <v>1.9166666666666667</v>
      </c>
      <c r="G14" s="11">
        <v>0.25</v>
      </c>
      <c r="H14" s="11">
        <v>2</v>
      </c>
      <c r="I14" s="40">
        <v>1.4583333333333333</v>
      </c>
      <c r="J14" s="56">
        <v>1.7916666666666667</v>
      </c>
      <c r="K14" s="90">
        <f>SUM(E14:J14)</f>
        <v>9.2916666666666661</v>
      </c>
      <c r="L14" s="73">
        <v>9.2916666666666661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5"/>
      <c r="D15" s="102"/>
      <c r="E15" s="39"/>
      <c r="F15" s="11">
        <v>0.20833333333333334</v>
      </c>
      <c r="G15" s="10"/>
      <c r="H15" s="11">
        <v>0.20833333333333334</v>
      </c>
      <c r="I15" s="40">
        <v>1.375</v>
      </c>
      <c r="J15" s="56">
        <v>0.83333333333333337</v>
      </c>
      <c r="K15" s="90">
        <f t="shared" ref="K15:K16" si="1">SUM(E15:J15)</f>
        <v>2.625</v>
      </c>
      <c r="L15" s="73">
        <v>2.625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5"/>
      <c r="D16" s="102"/>
      <c r="E16" s="40">
        <v>0.41666666666666669</v>
      </c>
      <c r="F16" s="10"/>
      <c r="G16" s="10"/>
      <c r="H16" s="10"/>
      <c r="I16" s="40">
        <v>0.20833333333333334</v>
      </c>
      <c r="J16" s="55"/>
      <c r="K16" s="90">
        <f t="shared" si="1"/>
        <v>0.625</v>
      </c>
      <c r="L16" s="73">
        <v>0.625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5"/>
      <c r="D17" s="102"/>
      <c r="E17" s="39"/>
      <c r="F17" s="10"/>
      <c r="G17" s="10"/>
      <c r="H17" s="10"/>
      <c r="I17" s="39"/>
      <c r="J17" s="55"/>
      <c r="K17" s="89"/>
      <c r="L17" s="7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5"/>
      <c r="D18" s="102"/>
      <c r="E18" s="39"/>
      <c r="F18" s="10"/>
      <c r="G18" s="10"/>
      <c r="H18" s="10"/>
      <c r="I18" s="39"/>
      <c r="J18" s="55"/>
      <c r="K18" s="89"/>
      <c r="L18" s="7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5"/>
      <c r="D19" s="102"/>
      <c r="E19" s="39"/>
      <c r="F19" s="10"/>
      <c r="G19" s="10"/>
      <c r="H19" s="10"/>
      <c r="I19" s="39"/>
      <c r="J19" s="55"/>
      <c r="K19" s="89"/>
      <c r="L19" s="7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5"/>
      <c r="D20" s="102"/>
      <c r="E20" s="39"/>
      <c r="F20" s="10"/>
      <c r="G20" s="10"/>
      <c r="H20" s="10"/>
      <c r="I20" s="39"/>
      <c r="J20" s="55"/>
      <c r="K20" s="89"/>
      <c r="L20" s="7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6">
        <v>0.29166666666666669</v>
      </c>
      <c r="D21" s="90">
        <f>SUM(B21:C21)</f>
        <v>0.29166666666666669</v>
      </c>
      <c r="E21" s="39"/>
      <c r="F21" s="10"/>
      <c r="G21" s="10"/>
      <c r="H21" s="10"/>
      <c r="I21" s="39"/>
      <c r="J21" s="55"/>
      <c r="K21" s="89"/>
      <c r="L21" s="73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21</v>
      </c>
      <c r="B22" s="26">
        <v>4.1666666666666664E-2</v>
      </c>
      <c r="C22" s="101"/>
      <c r="D22" s="90">
        <f>SUM(B22:C22)</f>
        <v>4.1666666666666664E-2</v>
      </c>
      <c r="E22" s="41">
        <v>0.54166666666666663</v>
      </c>
      <c r="F22" s="26">
        <v>0.83333333333333337</v>
      </c>
      <c r="G22" s="26">
        <v>8.3333333333333329E-2</v>
      </c>
      <c r="H22" s="26">
        <v>0.95833333333333337</v>
      </c>
      <c r="I22" s="41">
        <v>0.125</v>
      </c>
      <c r="J22" s="57">
        <v>0.20833333333333334</v>
      </c>
      <c r="K22" s="91">
        <f>SUM(E22:J22)</f>
        <v>2.75</v>
      </c>
      <c r="L22" s="74">
        <v>2.7916666666666665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7">
        <v>355000</v>
      </c>
      <c r="C23" s="58">
        <v>0</v>
      </c>
      <c r="D23" s="92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92">
        <f>SUM(E23:J23)</f>
        <v>1063000</v>
      </c>
      <c r="L23" s="75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5">
        <v>0</v>
      </c>
      <c r="D24" s="89">
        <f t="shared" ref="D24:D74" si="2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89">
        <f t="shared" ref="K24:K74" si="3">SUM(E24:J24)</f>
        <v>5000</v>
      </c>
      <c r="L24" s="7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5">
        <v>0</v>
      </c>
      <c r="D25" s="89">
        <f t="shared" si="2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89">
        <f t="shared" si="3"/>
        <v>9000</v>
      </c>
      <c r="L25" s="72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50000</v>
      </c>
      <c r="C26" s="55">
        <v>0</v>
      </c>
      <c r="D26" s="89">
        <f t="shared" si="2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89">
        <f t="shared" si="3"/>
        <v>300000</v>
      </c>
      <c r="L26" s="72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5">
        <v>0</v>
      </c>
      <c r="D27" s="89">
        <f t="shared" si="2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89">
        <f t="shared" si="3"/>
        <v>0</v>
      </c>
      <c r="L27" s="7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5">
        <v>0</v>
      </c>
      <c r="D28" s="89">
        <f t="shared" si="2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89">
        <f t="shared" si="3"/>
        <v>0</v>
      </c>
      <c r="L28" s="7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5">
        <v>0</v>
      </c>
      <c r="D29" s="89">
        <f t="shared" si="2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89">
        <f t="shared" si="3"/>
        <v>0</v>
      </c>
      <c r="L29" s="7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5">
        <v>0</v>
      </c>
      <c r="D30" s="89">
        <f t="shared" si="2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89">
        <f t="shared" si="3"/>
        <v>0</v>
      </c>
      <c r="L30" s="7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5">
        <v>83980</v>
      </c>
      <c r="D31" s="89">
        <f t="shared" si="2"/>
        <v>83980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89">
        <f t="shared" si="3"/>
        <v>0</v>
      </c>
      <c r="L31" s="72">
        <v>83980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5">
        <v>0</v>
      </c>
      <c r="D32" s="89">
        <f t="shared" si="2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89">
        <f t="shared" si="3"/>
        <v>0</v>
      </c>
      <c r="L32" s="7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5">
        <v>0</v>
      </c>
      <c r="D33" s="89">
        <f t="shared" si="2"/>
        <v>0</v>
      </c>
      <c r="E33" s="39">
        <v>24200</v>
      </c>
      <c r="F33" s="10">
        <v>24400</v>
      </c>
      <c r="G33" s="10">
        <v>1200</v>
      </c>
      <c r="H33" s="10">
        <v>24200</v>
      </c>
      <c r="I33" s="39">
        <v>28400</v>
      </c>
      <c r="J33" s="55">
        <v>0</v>
      </c>
      <c r="K33" s="89">
        <f t="shared" si="3"/>
        <v>102400</v>
      </c>
      <c r="L33" s="72">
        <v>102400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5">
        <v>7735</v>
      </c>
      <c r="D34" s="89">
        <f t="shared" si="2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89">
        <f t="shared" si="3"/>
        <v>0</v>
      </c>
      <c r="L34" s="72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5">
        <v>0</v>
      </c>
      <c r="D35" s="89">
        <f t="shared" si="2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89">
        <f t="shared" si="3"/>
        <v>0</v>
      </c>
      <c r="L35" s="7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5">
        <v>0</v>
      </c>
      <c r="D36" s="89">
        <f t="shared" si="2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89">
        <f t="shared" si="3"/>
        <v>0</v>
      </c>
      <c r="L36" s="7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5">
        <v>0</v>
      </c>
      <c r="D37" s="89">
        <f t="shared" si="2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89">
        <f t="shared" si="3"/>
        <v>0</v>
      </c>
      <c r="L37" s="7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5">
        <v>0</v>
      </c>
      <c r="D38" s="89">
        <f t="shared" si="2"/>
        <v>0</v>
      </c>
      <c r="E38" s="39">
        <v>30500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89">
        <f t="shared" si="3"/>
        <v>97500</v>
      </c>
      <c r="L38" s="72">
        <v>97500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0</v>
      </c>
      <c r="C39" s="55">
        <v>0</v>
      </c>
      <c r="D39" s="89">
        <f t="shared" si="2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0</v>
      </c>
      <c r="K39" s="89">
        <f t="shared" si="3"/>
        <v>0</v>
      </c>
      <c r="L39" s="7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5">
        <v>0</v>
      </c>
      <c r="D40" s="89">
        <f t="shared" si="2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89">
        <f t="shared" si="3"/>
        <v>0</v>
      </c>
      <c r="L40" s="7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5">
        <v>0</v>
      </c>
      <c r="D41" s="89">
        <f t="shared" si="2"/>
        <v>0</v>
      </c>
      <c r="E41" s="39">
        <v>0</v>
      </c>
      <c r="F41" s="10">
        <v>0</v>
      </c>
      <c r="G41" s="10">
        <v>-11650</v>
      </c>
      <c r="H41" s="10">
        <v>0</v>
      </c>
      <c r="I41" s="39">
        <v>-22966</v>
      </c>
      <c r="J41" s="55">
        <v>0</v>
      </c>
      <c r="K41" s="89">
        <f t="shared" si="3"/>
        <v>-34616</v>
      </c>
      <c r="L41" s="72">
        <v>-34616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5">
        <v>0</v>
      </c>
      <c r="D42" s="89">
        <f t="shared" si="2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89">
        <f t="shared" si="3"/>
        <v>0</v>
      </c>
      <c r="L42" s="7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5">
        <v>0</v>
      </c>
      <c r="D43" s="89">
        <f t="shared" si="2"/>
        <v>0</v>
      </c>
      <c r="E43" s="39">
        <v>88785</v>
      </c>
      <c r="F43" s="10">
        <v>88688</v>
      </c>
      <c r="G43" s="10">
        <v>10938</v>
      </c>
      <c r="H43" s="10">
        <v>86208</v>
      </c>
      <c r="I43" s="39">
        <v>62860</v>
      </c>
      <c r="J43" s="55">
        <v>74003</v>
      </c>
      <c r="K43" s="89">
        <f t="shared" si="3"/>
        <v>411482</v>
      </c>
      <c r="L43" s="72">
        <v>411482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5">
        <v>0</v>
      </c>
      <c r="D44" s="89">
        <f t="shared" si="2"/>
        <v>0</v>
      </c>
      <c r="E44" s="39">
        <v>0</v>
      </c>
      <c r="F44" s="10">
        <v>10410</v>
      </c>
      <c r="G44" s="10">
        <v>0</v>
      </c>
      <c r="H44" s="10">
        <v>9700</v>
      </c>
      <c r="I44" s="39">
        <v>64020</v>
      </c>
      <c r="J44" s="55">
        <v>37180</v>
      </c>
      <c r="K44" s="89">
        <f t="shared" si="3"/>
        <v>121310</v>
      </c>
      <c r="L44" s="72">
        <v>121310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5">
        <v>0</v>
      </c>
      <c r="D45" s="89">
        <f t="shared" si="2"/>
        <v>0</v>
      </c>
      <c r="E45" s="39">
        <v>21300</v>
      </c>
      <c r="F45" s="10">
        <v>0</v>
      </c>
      <c r="G45" s="10">
        <v>0</v>
      </c>
      <c r="H45" s="10">
        <v>0</v>
      </c>
      <c r="I45" s="39">
        <v>9700</v>
      </c>
      <c r="J45" s="55">
        <v>0</v>
      </c>
      <c r="K45" s="89">
        <f t="shared" si="3"/>
        <v>31000</v>
      </c>
      <c r="L45" s="72">
        <v>31000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5">
        <v>0</v>
      </c>
      <c r="D46" s="89">
        <f t="shared" si="2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89">
        <f t="shared" si="3"/>
        <v>0</v>
      </c>
      <c r="L46" s="7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47</v>
      </c>
      <c r="B47" s="10">
        <v>0</v>
      </c>
      <c r="C47" s="55">
        <v>0</v>
      </c>
      <c r="D47" s="89">
        <f t="shared" si="2"/>
        <v>0</v>
      </c>
      <c r="E47" s="39">
        <v>0</v>
      </c>
      <c r="F47" s="10">
        <v>0</v>
      </c>
      <c r="G47" s="10">
        <v>11650</v>
      </c>
      <c r="H47" s="10">
        <v>0</v>
      </c>
      <c r="I47" s="39">
        <v>22966</v>
      </c>
      <c r="J47" s="55">
        <v>0</v>
      </c>
      <c r="K47" s="89">
        <f t="shared" si="3"/>
        <v>34616</v>
      </c>
      <c r="L47" s="72">
        <v>34616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5">
        <v>0</v>
      </c>
      <c r="D48" s="89">
        <f t="shared" si="2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89">
        <f t="shared" si="3"/>
        <v>0</v>
      </c>
      <c r="L48" s="7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59">
        <v>0</v>
      </c>
      <c r="D49" s="93">
        <f t="shared" si="2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93">
        <f t="shared" si="3"/>
        <v>0</v>
      </c>
      <c r="L49" s="7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606</v>
      </c>
      <c r="C50" s="59">
        <v>0</v>
      </c>
      <c r="D50" s="93">
        <f t="shared" si="2"/>
        <v>606</v>
      </c>
      <c r="E50" s="43">
        <v>5135</v>
      </c>
      <c r="F50" s="12">
        <v>7720</v>
      </c>
      <c r="G50" s="12">
        <v>730</v>
      </c>
      <c r="H50" s="12">
        <v>8257</v>
      </c>
      <c r="I50" s="43">
        <v>1077</v>
      </c>
      <c r="J50" s="59">
        <v>1720</v>
      </c>
      <c r="K50" s="93">
        <f t="shared" si="3"/>
        <v>24639</v>
      </c>
      <c r="L50" s="76">
        <v>25245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0">
        <v>405606</v>
      </c>
      <c r="C51" s="60">
        <v>91715</v>
      </c>
      <c r="D51" s="94">
        <f t="shared" si="2"/>
        <v>497321</v>
      </c>
      <c r="E51" s="44">
        <v>402920</v>
      </c>
      <c r="F51" s="30">
        <v>388718</v>
      </c>
      <c r="G51" s="30">
        <v>256368</v>
      </c>
      <c r="H51" s="30">
        <v>368365</v>
      </c>
      <c r="I51" s="44">
        <v>406057</v>
      </c>
      <c r="J51" s="60">
        <v>342903</v>
      </c>
      <c r="K51" s="94">
        <f t="shared" si="3"/>
        <v>2165331</v>
      </c>
      <c r="L51" s="77">
        <v>2662652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50</v>
      </c>
      <c r="B52" s="29">
        <v>11057</v>
      </c>
      <c r="C52" s="61">
        <v>3600</v>
      </c>
      <c r="D52" s="95">
        <f t="shared" si="2"/>
        <v>14657</v>
      </c>
      <c r="E52" s="45">
        <v>5310</v>
      </c>
      <c r="F52" s="29">
        <v>4827</v>
      </c>
      <c r="G52" s="29">
        <v>6819</v>
      </c>
      <c r="H52" s="29">
        <v>4442</v>
      </c>
      <c r="I52" s="45">
        <v>3686</v>
      </c>
      <c r="J52" s="61">
        <v>5266</v>
      </c>
      <c r="K52" s="95">
        <f t="shared" si="3"/>
        <v>30350</v>
      </c>
      <c r="L52" s="78">
        <v>45007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51</v>
      </c>
      <c r="B53" s="32">
        <v>11057</v>
      </c>
      <c r="C53" s="62">
        <v>3600</v>
      </c>
      <c r="D53" s="96">
        <f t="shared" si="2"/>
        <v>14657</v>
      </c>
      <c r="E53" s="46">
        <v>5310</v>
      </c>
      <c r="F53" s="32">
        <v>4827</v>
      </c>
      <c r="G53" s="32">
        <v>6819</v>
      </c>
      <c r="H53" s="32">
        <v>4442</v>
      </c>
      <c r="I53" s="46">
        <v>3686</v>
      </c>
      <c r="J53" s="62">
        <v>5266</v>
      </c>
      <c r="K53" s="96">
        <f t="shared" si="3"/>
        <v>30350</v>
      </c>
      <c r="L53" s="79">
        <v>45007</v>
      </c>
    </row>
    <row r="54" spans="1:19" ht="14.25" thickBot="1" x14ac:dyDescent="0.2">
      <c r="A54" s="33" t="s">
        <v>52</v>
      </c>
      <c r="B54" s="34">
        <v>416663</v>
      </c>
      <c r="C54" s="63">
        <v>95315</v>
      </c>
      <c r="D54" s="97">
        <f t="shared" si="2"/>
        <v>511978</v>
      </c>
      <c r="E54" s="47">
        <v>408230</v>
      </c>
      <c r="F54" s="34">
        <v>393545</v>
      </c>
      <c r="G54" s="34">
        <v>263187</v>
      </c>
      <c r="H54" s="34">
        <v>372807</v>
      </c>
      <c r="I54" s="47">
        <v>409743</v>
      </c>
      <c r="J54" s="63">
        <v>348169</v>
      </c>
      <c r="K54" s="97">
        <f t="shared" si="3"/>
        <v>2195681</v>
      </c>
      <c r="L54" s="80">
        <v>2707659</v>
      </c>
    </row>
    <row r="55" spans="1:19" x14ac:dyDescent="0.15">
      <c r="A55" s="28" t="s">
        <v>53</v>
      </c>
      <c r="B55" s="29">
        <v>20910</v>
      </c>
      <c r="C55" s="61">
        <v>0</v>
      </c>
      <c r="D55" s="95">
        <f t="shared" si="2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95">
        <f t="shared" si="3"/>
        <v>115770</v>
      </c>
      <c r="L55" s="78">
        <v>136680</v>
      </c>
    </row>
    <row r="56" spans="1:19" x14ac:dyDescent="0.15">
      <c r="A56" s="16" t="s">
        <v>54</v>
      </c>
      <c r="B56" s="12">
        <v>3690</v>
      </c>
      <c r="C56" s="59">
        <v>0</v>
      </c>
      <c r="D56" s="93">
        <f t="shared" si="2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93">
        <f t="shared" si="3"/>
        <v>20430</v>
      </c>
      <c r="L56" s="76">
        <v>24120</v>
      </c>
    </row>
    <row r="57" spans="1:19" x14ac:dyDescent="0.15">
      <c r="A57" s="16" t="s">
        <v>55</v>
      </c>
      <c r="B57" s="12">
        <v>37515</v>
      </c>
      <c r="C57" s="59">
        <v>0</v>
      </c>
      <c r="D57" s="93">
        <f t="shared" si="2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93">
        <f t="shared" si="3"/>
        <v>207705</v>
      </c>
      <c r="L57" s="76">
        <v>245220</v>
      </c>
    </row>
    <row r="58" spans="1:19" x14ac:dyDescent="0.15">
      <c r="A58" s="16" t="s">
        <v>56</v>
      </c>
      <c r="B58" s="12">
        <v>0</v>
      </c>
      <c r="C58" s="59">
        <v>0</v>
      </c>
      <c r="D58" s="93">
        <f t="shared" si="2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93">
        <f t="shared" si="3"/>
        <v>0</v>
      </c>
      <c r="L58" s="76">
        <v>0</v>
      </c>
    </row>
    <row r="59" spans="1:19" x14ac:dyDescent="0.15">
      <c r="A59" s="16" t="s">
        <v>57</v>
      </c>
      <c r="B59" s="12">
        <v>1250</v>
      </c>
      <c r="C59" s="59">
        <v>286</v>
      </c>
      <c r="D59" s="93">
        <f t="shared" si="2"/>
        <v>1536</v>
      </c>
      <c r="E59" s="43">
        <v>1225</v>
      </c>
      <c r="F59" s="12">
        <v>1181</v>
      </c>
      <c r="G59" s="12">
        <v>790</v>
      </c>
      <c r="H59" s="12">
        <v>1118</v>
      </c>
      <c r="I59" s="43">
        <v>1229</v>
      </c>
      <c r="J59" s="59">
        <v>1045</v>
      </c>
      <c r="K59" s="93">
        <f t="shared" si="3"/>
        <v>6588</v>
      </c>
      <c r="L59" s="76">
        <v>8124</v>
      </c>
    </row>
    <row r="60" spans="1:19" x14ac:dyDescent="0.15">
      <c r="A60" s="16" t="s">
        <v>58</v>
      </c>
      <c r="B60" s="12">
        <v>0</v>
      </c>
      <c r="C60" s="59">
        <v>0</v>
      </c>
      <c r="D60" s="93">
        <f t="shared" si="2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93">
        <f t="shared" si="3"/>
        <v>0</v>
      </c>
      <c r="L60" s="76">
        <v>0</v>
      </c>
    </row>
    <row r="61" spans="1:19" ht="14.25" thickBot="1" x14ac:dyDescent="0.2">
      <c r="A61" s="31" t="s">
        <v>59</v>
      </c>
      <c r="B61" s="32">
        <v>63365</v>
      </c>
      <c r="C61" s="62">
        <v>286</v>
      </c>
      <c r="D61" s="96">
        <f t="shared" si="2"/>
        <v>63651</v>
      </c>
      <c r="E61" s="46">
        <v>63340</v>
      </c>
      <c r="F61" s="32">
        <v>58751</v>
      </c>
      <c r="G61" s="32">
        <v>55330</v>
      </c>
      <c r="H61" s="32">
        <v>55658</v>
      </c>
      <c r="I61" s="46">
        <v>58799</v>
      </c>
      <c r="J61" s="62">
        <v>58615</v>
      </c>
      <c r="K61" s="96">
        <f t="shared" si="3"/>
        <v>350493</v>
      </c>
      <c r="L61" s="79">
        <v>414144</v>
      </c>
    </row>
    <row r="62" spans="1:19" ht="14.25" thickBot="1" x14ac:dyDescent="0.2">
      <c r="A62" s="33" t="s">
        <v>60</v>
      </c>
      <c r="B62" s="34">
        <v>342241</v>
      </c>
      <c r="C62" s="63">
        <v>91429</v>
      </c>
      <c r="D62" s="97">
        <f t="shared" si="2"/>
        <v>433670</v>
      </c>
      <c r="E62" s="47">
        <v>339580</v>
      </c>
      <c r="F62" s="34">
        <v>329967</v>
      </c>
      <c r="G62" s="34">
        <v>201038</v>
      </c>
      <c r="H62" s="34">
        <v>312707</v>
      </c>
      <c r="I62" s="47">
        <v>347258</v>
      </c>
      <c r="J62" s="63">
        <v>284288</v>
      </c>
      <c r="K62" s="97">
        <f t="shared" si="3"/>
        <v>1814838</v>
      </c>
      <c r="L62" s="80">
        <v>2248508</v>
      </c>
    </row>
    <row r="63" spans="1:19" x14ac:dyDescent="0.15">
      <c r="A63" s="28" t="s">
        <v>61</v>
      </c>
      <c r="B63" s="29">
        <v>8600</v>
      </c>
      <c r="C63" s="61">
        <v>290</v>
      </c>
      <c r="D63" s="95">
        <f t="shared" si="2"/>
        <v>8890</v>
      </c>
      <c r="E63" s="45">
        <v>8380</v>
      </c>
      <c r="F63" s="29">
        <v>10830</v>
      </c>
      <c r="G63" s="29">
        <v>3190</v>
      </c>
      <c r="H63" s="29">
        <v>7240</v>
      </c>
      <c r="I63" s="45">
        <v>12240</v>
      </c>
      <c r="J63" s="61">
        <v>4540</v>
      </c>
      <c r="K63" s="95">
        <f t="shared" si="3"/>
        <v>46420</v>
      </c>
      <c r="L63" s="78">
        <v>55310</v>
      </c>
    </row>
    <row r="64" spans="1:19" x14ac:dyDescent="0.15">
      <c r="A64" s="16" t="s">
        <v>62</v>
      </c>
      <c r="B64" s="12">
        <v>0</v>
      </c>
      <c r="C64" s="59">
        <v>0</v>
      </c>
      <c r="D64" s="93">
        <f t="shared" si="2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93">
        <f t="shared" si="3"/>
        <v>0</v>
      </c>
      <c r="L64" s="76">
        <v>0</v>
      </c>
    </row>
    <row r="65" spans="1:12" x14ac:dyDescent="0.15">
      <c r="A65" s="16" t="s">
        <v>63</v>
      </c>
      <c r="B65" s="12">
        <v>26000</v>
      </c>
      <c r="C65" s="59">
        <v>1000</v>
      </c>
      <c r="D65" s="93">
        <f t="shared" si="2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93">
        <f t="shared" si="3"/>
        <v>94700</v>
      </c>
      <c r="L65" s="76">
        <v>121700</v>
      </c>
    </row>
    <row r="66" spans="1:12" x14ac:dyDescent="0.15">
      <c r="A66" s="16" t="s">
        <v>64</v>
      </c>
      <c r="B66" s="12">
        <v>0</v>
      </c>
      <c r="C66" s="59">
        <v>0</v>
      </c>
      <c r="D66" s="93">
        <f t="shared" si="2"/>
        <v>0</v>
      </c>
      <c r="E66" s="43">
        <v>24200</v>
      </c>
      <c r="F66" s="12">
        <v>24400</v>
      </c>
      <c r="G66" s="12">
        <v>1200</v>
      </c>
      <c r="H66" s="12">
        <v>24200</v>
      </c>
      <c r="I66" s="43">
        <v>28400</v>
      </c>
      <c r="J66" s="59">
        <v>0</v>
      </c>
      <c r="K66" s="93">
        <f t="shared" si="3"/>
        <v>102400</v>
      </c>
      <c r="L66" s="76">
        <v>102400</v>
      </c>
    </row>
    <row r="67" spans="1:12" x14ac:dyDescent="0.15">
      <c r="A67" s="16" t="s">
        <v>65</v>
      </c>
      <c r="B67" s="12">
        <v>0</v>
      </c>
      <c r="C67" s="59">
        <v>0</v>
      </c>
      <c r="D67" s="93">
        <f t="shared" si="2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93">
        <f t="shared" si="3"/>
        <v>0</v>
      </c>
      <c r="L67" s="76">
        <v>0</v>
      </c>
    </row>
    <row r="68" spans="1:12" x14ac:dyDescent="0.15">
      <c r="A68" s="16" t="s">
        <v>66</v>
      </c>
      <c r="B68" s="12">
        <v>0</v>
      </c>
      <c r="C68" s="59">
        <v>0</v>
      </c>
      <c r="D68" s="93">
        <f t="shared" si="2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93">
        <f t="shared" si="3"/>
        <v>0</v>
      </c>
      <c r="L68" s="76">
        <v>0</v>
      </c>
    </row>
    <row r="69" spans="1:12" x14ac:dyDescent="0.15">
      <c r="A69" s="16" t="s">
        <v>67</v>
      </c>
      <c r="B69" s="12">
        <v>0</v>
      </c>
      <c r="C69" s="59">
        <v>0</v>
      </c>
      <c r="D69" s="93">
        <f t="shared" si="2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93">
        <f t="shared" si="3"/>
        <v>0</v>
      </c>
      <c r="L69" s="76">
        <v>0</v>
      </c>
    </row>
    <row r="70" spans="1:12" ht="14.25" thickBot="1" x14ac:dyDescent="0.2">
      <c r="A70" s="31" t="s">
        <v>68</v>
      </c>
      <c r="B70" s="32">
        <v>34600</v>
      </c>
      <c r="C70" s="62">
        <v>1290</v>
      </c>
      <c r="D70" s="96">
        <f t="shared" si="2"/>
        <v>35890</v>
      </c>
      <c r="E70" s="46">
        <v>48880</v>
      </c>
      <c r="F70" s="32">
        <v>52630</v>
      </c>
      <c r="G70" s="32">
        <v>17890</v>
      </c>
      <c r="H70" s="32">
        <v>40940</v>
      </c>
      <c r="I70" s="46">
        <v>56440</v>
      </c>
      <c r="J70" s="62">
        <v>26740</v>
      </c>
      <c r="K70" s="96">
        <f t="shared" si="3"/>
        <v>243520</v>
      </c>
      <c r="L70" s="79">
        <v>279410</v>
      </c>
    </row>
    <row r="71" spans="1:12" ht="14.25" thickBot="1" x14ac:dyDescent="0.2">
      <c r="A71" s="33" t="s">
        <v>69</v>
      </c>
      <c r="B71" s="34">
        <v>97965</v>
      </c>
      <c r="C71" s="63">
        <v>1576</v>
      </c>
      <c r="D71" s="97">
        <f t="shared" si="2"/>
        <v>99541</v>
      </c>
      <c r="E71" s="47">
        <v>112220</v>
      </c>
      <c r="F71" s="34">
        <v>111381</v>
      </c>
      <c r="G71" s="34">
        <v>73220</v>
      </c>
      <c r="H71" s="34">
        <v>96598</v>
      </c>
      <c r="I71" s="47">
        <v>115239</v>
      </c>
      <c r="J71" s="63">
        <v>85355</v>
      </c>
      <c r="K71" s="97">
        <f t="shared" si="3"/>
        <v>594013</v>
      </c>
      <c r="L71" s="80">
        <v>693554</v>
      </c>
    </row>
    <row r="72" spans="1:12" ht="14.25" thickBot="1" x14ac:dyDescent="0.2">
      <c r="A72" s="33" t="s">
        <v>70</v>
      </c>
      <c r="B72" s="34">
        <v>318698</v>
      </c>
      <c r="C72" s="63">
        <v>93739</v>
      </c>
      <c r="D72" s="97">
        <f t="shared" si="2"/>
        <v>412437</v>
      </c>
      <c r="E72" s="47">
        <v>296010</v>
      </c>
      <c r="F72" s="34">
        <v>282164</v>
      </c>
      <c r="G72" s="34">
        <v>189967</v>
      </c>
      <c r="H72" s="34">
        <v>276209</v>
      </c>
      <c r="I72" s="47">
        <v>294504</v>
      </c>
      <c r="J72" s="63">
        <v>262814</v>
      </c>
      <c r="K72" s="97">
        <f t="shared" si="3"/>
        <v>1601668</v>
      </c>
      <c r="L72" s="80">
        <v>2014105</v>
      </c>
    </row>
    <row r="73" spans="1:12" x14ac:dyDescent="0.15">
      <c r="A73" s="28" t="s">
        <v>71</v>
      </c>
      <c r="B73" s="29">
        <v>0</v>
      </c>
      <c r="C73" s="61">
        <v>0</v>
      </c>
      <c r="D73" s="95">
        <f t="shared" si="2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95">
        <f t="shared" si="3"/>
        <v>0</v>
      </c>
      <c r="L73" s="78">
        <v>0</v>
      </c>
    </row>
    <row r="74" spans="1:12" x14ac:dyDescent="0.15">
      <c r="A74" s="16" t="s">
        <v>72</v>
      </c>
      <c r="B74" s="12">
        <v>318698</v>
      </c>
      <c r="C74" s="59">
        <v>93739</v>
      </c>
      <c r="D74" s="93">
        <f t="shared" si="2"/>
        <v>412437</v>
      </c>
      <c r="E74" s="43">
        <v>296010</v>
      </c>
      <c r="F74" s="12">
        <v>282164</v>
      </c>
      <c r="G74" s="12">
        <v>189967</v>
      </c>
      <c r="H74" s="12">
        <v>276209</v>
      </c>
      <c r="I74" s="43">
        <v>294504</v>
      </c>
      <c r="J74" s="59">
        <v>262814</v>
      </c>
      <c r="K74" s="93">
        <f t="shared" si="3"/>
        <v>1601668</v>
      </c>
      <c r="L74" s="76">
        <v>2014105</v>
      </c>
    </row>
    <row r="75" spans="1:12" x14ac:dyDescent="0.15">
      <c r="A75" s="16" t="s">
        <v>73</v>
      </c>
      <c r="B75" s="13">
        <v>40</v>
      </c>
      <c r="C75" s="64">
        <v>21</v>
      </c>
      <c r="D75" s="98"/>
      <c r="E75" s="48">
        <v>40</v>
      </c>
      <c r="F75" s="13">
        <v>40</v>
      </c>
      <c r="G75" s="13">
        <v>39</v>
      </c>
      <c r="H75" s="13">
        <v>30</v>
      </c>
      <c r="I75" s="48">
        <v>30</v>
      </c>
      <c r="J75" s="64">
        <v>30</v>
      </c>
      <c r="K75" s="98"/>
      <c r="L75" s="81">
        <v>270</v>
      </c>
    </row>
    <row r="76" spans="1:12" x14ac:dyDescent="0.15">
      <c r="A76" s="16" t="s">
        <v>74</v>
      </c>
      <c r="B76" s="14">
        <v>1</v>
      </c>
      <c r="C76" s="65"/>
      <c r="D76" s="99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99"/>
      <c r="L76" s="82"/>
    </row>
    <row r="77" spans="1:12" ht="14.25" thickBot="1" x14ac:dyDescent="0.2">
      <c r="A77" s="17" t="s">
        <v>75</v>
      </c>
      <c r="B77" s="18" t="s">
        <v>76</v>
      </c>
      <c r="C77" s="66" t="s">
        <v>76</v>
      </c>
      <c r="D77" s="100"/>
      <c r="E77" s="50" t="s">
        <v>76</v>
      </c>
      <c r="F77" s="18" t="s">
        <v>76</v>
      </c>
      <c r="G77" s="18" t="s">
        <v>76</v>
      </c>
      <c r="H77" s="18" t="s">
        <v>76</v>
      </c>
      <c r="I77" s="50" t="s">
        <v>76</v>
      </c>
      <c r="J77" s="66" t="s">
        <v>76</v>
      </c>
      <c r="K77" s="100"/>
      <c r="L77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AE05-7AF5-4844-B0A9-38BA399F04A8}">
  <sheetPr>
    <pageSetUpPr fitToPage="1"/>
  </sheetPr>
  <dimension ref="A1:AL77"/>
  <sheetViews>
    <sheetView zoomScale="80" zoomScaleNormal="80" workbookViewId="0">
      <selection activeCell="A47" sqref="A47:L47"/>
    </sheetView>
  </sheetViews>
  <sheetFormatPr defaultRowHeight="13.5" x14ac:dyDescent="0.15"/>
  <cols>
    <col min="1" max="1" width="17.625" style="2" customWidth="1"/>
    <col min="2" max="12" width="13.3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1" t="s">
        <v>3</v>
      </c>
      <c r="D3" s="84" t="s">
        <v>82</v>
      </c>
      <c r="E3" s="35" t="s">
        <v>3</v>
      </c>
      <c r="F3" s="20" t="s">
        <v>3</v>
      </c>
      <c r="G3" s="20" t="s">
        <v>3</v>
      </c>
      <c r="H3" s="20" t="s">
        <v>3</v>
      </c>
      <c r="I3" s="35" t="s">
        <v>3</v>
      </c>
      <c r="J3" s="51" t="s">
        <v>3</v>
      </c>
      <c r="K3" s="84" t="s">
        <v>82</v>
      </c>
      <c r="L3" s="67" t="s">
        <v>81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85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85"/>
      <c r="L4" s="6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23</v>
      </c>
      <c r="C5" s="52" t="s">
        <v>79</v>
      </c>
      <c r="D5" s="86" t="s">
        <v>83</v>
      </c>
      <c r="E5" s="36" t="s">
        <v>4</v>
      </c>
      <c r="F5" s="22" t="s">
        <v>22</v>
      </c>
      <c r="G5" s="22" t="s">
        <v>24</v>
      </c>
      <c r="H5" s="22" t="s">
        <v>25</v>
      </c>
      <c r="I5" s="36" t="s">
        <v>77</v>
      </c>
      <c r="J5" s="52" t="s">
        <v>78</v>
      </c>
      <c r="K5" s="86" t="s">
        <v>84</v>
      </c>
      <c r="L5" s="69" t="s">
        <v>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21</v>
      </c>
      <c r="C6" s="53">
        <v>11</v>
      </c>
      <c r="D6" s="87">
        <f>SUM(B6:C6)</f>
        <v>32</v>
      </c>
      <c r="E6" s="37">
        <v>21</v>
      </c>
      <c r="F6" s="24">
        <v>21</v>
      </c>
      <c r="G6" s="24">
        <v>19</v>
      </c>
      <c r="H6" s="24">
        <v>21</v>
      </c>
      <c r="I6" s="37">
        <v>19</v>
      </c>
      <c r="J6" s="53">
        <v>21</v>
      </c>
      <c r="K6" s="87">
        <f>SUM(E6:J6)</f>
        <v>122</v>
      </c>
      <c r="L6" s="70">
        <v>154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10"/>
      <c r="C7" s="55"/>
      <c r="D7" s="102"/>
      <c r="E7" s="39"/>
      <c r="F7" s="9">
        <v>1</v>
      </c>
      <c r="G7" s="10"/>
      <c r="H7" s="9">
        <v>1</v>
      </c>
      <c r="I7" s="38">
        <v>4</v>
      </c>
      <c r="J7" s="54">
        <v>3</v>
      </c>
      <c r="K7" s="88">
        <f>SUM(E7:J7)</f>
        <v>9</v>
      </c>
      <c r="L7" s="71">
        <v>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10"/>
      <c r="C8" s="55"/>
      <c r="D8" s="102"/>
      <c r="E8" s="38">
        <v>1</v>
      </c>
      <c r="F8" s="10"/>
      <c r="G8" s="10"/>
      <c r="H8" s="10"/>
      <c r="I8" s="38">
        <v>1</v>
      </c>
      <c r="J8" s="55"/>
      <c r="K8" s="88">
        <f t="shared" ref="K8:K12" si="0">SUM(E8:J8)</f>
        <v>2</v>
      </c>
      <c r="L8" s="71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5"/>
      <c r="D9" s="102"/>
      <c r="E9" s="39"/>
      <c r="F9" s="10"/>
      <c r="G9" s="10"/>
      <c r="H9" s="10"/>
      <c r="I9" s="39"/>
      <c r="J9" s="55"/>
      <c r="K9" s="88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4">
        <v>1</v>
      </c>
      <c r="D10" s="88">
        <f>SUM(B10:C10)</f>
        <v>1</v>
      </c>
      <c r="E10" s="39"/>
      <c r="F10" s="10"/>
      <c r="G10" s="9">
        <v>1</v>
      </c>
      <c r="H10" s="10"/>
      <c r="I10" s="39"/>
      <c r="J10" s="55"/>
      <c r="K10" s="88">
        <f t="shared" si="0"/>
        <v>1</v>
      </c>
      <c r="L10" s="7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5"/>
      <c r="D11" s="102"/>
      <c r="E11" s="39"/>
      <c r="F11" s="10"/>
      <c r="G11" s="10"/>
      <c r="H11" s="10"/>
      <c r="I11" s="39"/>
      <c r="J11" s="55"/>
      <c r="K11" s="88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03" t="s">
        <v>11</v>
      </c>
      <c r="B12" s="10"/>
      <c r="C12" s="55"/>
      <c r="D12" s="102"/>
      <c r="E12" s="104"/>
      <c r="F12" s="105"/>
      <c r="G12" s="106">
        <v>1</v>
      </c>
      <c r="H12" s="105"/>
      <c r="I12" s="107">
        <v>2</v>
      </c>
      <c r="J12" s="108"/>
      <c r="K12" s="109">
        <f t="shared" si="0"/>
        <v>3</v>
      </c>
      <c r="L12" s="110">
        <v>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6">
        <v>3.1666666666666665</v>
      </c>
      <c r="D13" s="90">
        <f>SUM(B13:C13)</f>
        <v>3.1666666666666665</v>
      </c>
      <c r="E13" s="39"/>
      <c r="F13" s="10"/>
      <c r="G13" s="10"/>
      <c r="H13" s="10"/>
      <c r="I13" s="39"/>
      <c r="J13" s="55"/>
      <c r="K13" s="89"/>
      <c r="L13" s="73">
        <v>3.1666666666666665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5"/>
      <c r="D14" s="102"/>
      <c r="E14" s="40">
        <v>1.875</v>
      </c>
      <c r="F14" s="11">
        <v>1.9166666666666667</v>
      </c>
      <c r="G14" s="11">
        <v>0.25</v>
      </c>
      <c r="H14" s="11">
        <v>2</v>
      </c>
      <c r="I14" s="40">
        <v>1.4583333333333333</v>
      </c>
      <c r="J14" s="56">
        <v>1.7916666666666667</v>
      </c>
      <c r="K14" s="90">
        <f>SUM(E14:J14)</f>
        <v>9.2916666666666661</v>
      </c>
      <c r="L14" s="73">
        <v>9.2916666666666661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5"/>
      <c r="D15" s="102"/>
      <c r="E15" s="39"/>
      <c r="F15" s="11">
        <v>0.20833333333333334</v>
      </c>
      <c r="G15" s="10"/>
      <c r="H15" s="11">
        <v>0.20833333333333334</v>
      </c>
      <c r="I15" s="40">
        <v>1.375</v>
      </c>
      <c r="J15" s="56">
        <v>0.83333333333333337</v>
      </c>
      <c r="K15" s="90">
        <f t="shared" ref="K15:K16" si="1">SUM(E15:J15)</f>
        <v>2.625</v>
      </c>
      <c r="L15" s="73">
        <v>2.625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5"/>
      <c r="D16" s="102"/>
      <c r="E16" s="40">
        <v>0.41666666666666669</v>
      </c>
      <c r="F16" s="10"/>
      <c r="G16" s="10"/>
      <c r="H16" s="10"/>
      <c r="I16" s="40">
        <v>0.20833333333333334</v>
      </c>
      <c r="J16" s="55"/>
      <c r="K16" s="90">
        <f t="shared" si="1"/>
        <v>0.625</v>
      </c>
      <c r="L16" s="73">
        <v>0.625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5"/>
      <c r="D17" s="102"/>
      <c r="E17" s="39"/>
      <c r="F17" s="10"/>
      <c r="G17" s="10"/>
      <c r="H17" s="10"/>
      <c r="I17" s="39"/>
      <c r="J17" s="55"/>
      <c r="K17" s="89"/>
      <c r="L17" s="7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5"/>
      <c r="D18" s="102"/>
      <c r="E18" s="39"/>
      <c r="F18" s="10"/>
      <c r="G18" s="10"/>
      <c r="H18" s="10"/>
      <c r="I18" s="39"/>
      <c r="J18" s="55"/>
      <c r="K18" s="89"/>
      <c r="L18" s="7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5"/>
      <c r="D19" s="102"/>
      <c r="E19" s="39"/>
      <c r="F19" s="10"/>
      <c r="G19" s="10"/>
      <c r="H19" s="10"/>
      <c r="I19" s="39"/>
      <c r="J19" s="55"/>
      <c r="K19" s="89"/>
      <c r="L19" s="7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5"/>
      <c r="D20" s="102"/>
      <c r="E20" s="39"/>
      <c r="F20" s="10"/>
      <c r="G20" s="10"/>
      <c r="H20" s="10"/>
      <c r="I20" s="39"/>
      <c r="J20" s="55"/>
      <c r="K20" s="89"/>
      <c r="L20" s="7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6">
        <v>0.29166666666666669</v>
      </c>
      <c r="D21" s="90">
        <f>SUM(B21:C21)</f>
        <v>0.29166666666666669</v>
      </c>
      <c r="E21" s="39"/>
      <c r="F21" s="10"/>
      <c r="G21" s="10"/>
      <c r="H21" s="10"/>
      <c r="I21" s="39"/>
      <c r="J21" s="55"/>
      <c r="K21" s="89"/>
      <c r="L21" s="73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21</v>
      </c>
      <c r="B22" s="26">
        <v>4.1666666666666664E-2</v>
      </c>
      <c r="C22" s="101"/>
      <c r="D22" s="90">
        <f>SUM(B22:C22)</f>
        <v>4.1666666666666664E-2</v>
      </c>
      <c r="E22" s="41">
        <v>0.54166666666666663</v>
      </c>
      <c r="F22" s="26">
        <v>0.83333333333333337</v>
      </c>
      <c r="G22" s="26">
        <v>8.3333333333333329E-2</v>
      </c>
      <c r="H22" s="26">
        <v>0.95833333333333337</v>
      </c>
      <c r="I22" s="41">
        <v>0.125</v>
      </c>
      <c r="J22" s="57">
        <v>0.20833333333333334</v>
      </c>
      <c r="K22" s="91">
        <f>SUM(E22:J22)</f>
        <v>2.75</v>
      </c>
      <c r="L22" s="74">
        <v>2.7916666666666665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7">
        <v>355000</v>
      </c>
      <c r="C23" s="58">
        <v>0</v>
      </c>
      <c r="D23" s="92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92">
        <f>SUM(E23:J23)</f>
        <v>1063000</v>
      </c>
      <c r="L23" s="75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5">
        <v>0</v>
      </c>
      <c r="D24" s="89">
        <f t="shared" ref="D24:D74" si="2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89">
        <f t="shared" ref="K24:K74" si="3">SUM(E24:J24)</f>
        <v>5000</v>
      </c>
      <c r="L24" s="7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5">
        <v>0</v>
      </c>
      <c r="D25" s="89">
        <f t="shared" si="2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89">
        <f t="shared" si="3"/>
        <v>9000</v>
      </c>
      <c r="L25" s="72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50000</v>
      </c>
      <c r="C26" s="55">
        <v>0</v>
      </c>
      <c r="D26" s="89">
        <f t="shared" si="2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89">
        <f t="shared" si="3"/>
        <v>300000</v>
      </c>
      <c r="L26" s="72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5">
        <v>0</v>
      </c>
      <c r="D27" s="89">
        <f t="shared" si="2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89">
        <f t="shared" si="3"/>
        <v>0</v>
      </c>
      <c r="L27" s="7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5">
        <v>0</v>
      </c>
      <c r="D28" s="89">
        <f t="shared" si="2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89">
        <f t="shared" si="3"/>
        <v>0</v>
      </c>
      <c r="L28" s="7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5">
        <v>0</v>
      </c>
      <c r="D29" s="89">
        <f t="shared" si="2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89">
        <f t="shared" si="3"/>
        <v>0</v>
      </c>
      <c r="L29" s="7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5">
        <v>0</v>
      </c>
      <c r="D30" s="89">
        <f t="shared" si="2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89">
        <f t="shared" si="3"/>
        <v>0</v>
      </c>
      <c r="L30" s="7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5">
        <v>83980</v>
      </c>
      <c r="D31" s="89">
        <f t="shared" si="2"/>
        <v>83980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89">
        <f t="shared" si="3"/>
        <v>0</v>
      </c>
      <c r="L31" s="72">
        <v>83980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5">
        <v>0</v>
      </c>
      <c r="D32" s="89">
        <f t="shared" si="2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89">
        <f t="shared" si="3"/>
        <v>0</v>
      </c>
      <c r="L32" s="7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5">
        <v>0</v>
      </c>
      <c r="D33" s="89">
        <f t="shared" si="2"/>
        <v>0</v>
      </c>
      <c r="E33" s="39">
        <v>24200</v>
      </c>
      <c r="F33" s="10">
        <v>24400</v>
      </c>
      <c r="G33" s="10">
        <v>1200</v>
      </c>
      <c r="H33" s="10">
        <v>24200</v>
      </c>
      <c r="I33" s="39">
        <v>28400</v>
      </c>
      <c r="J33" s="55">
        <v>0</v>
      </c>
      <c r="K33" s="89">
        <f t="shared" si="3"/>
        <v>102400</v>
      </c>
      <c r="L33" s="72">
        <v>102400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5">
        <v>7735</v>
      </c>
      <c r="D34" s="89">
        <f t="shared" si="2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89">
        <f t="shared" si="3"/>
        <v>0</v>
      </c>
      <c r="L34" s="72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5">
        <v>0</v>
      </c>
      <c r="D35" s="89">
        <f t="shared" si="2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89">
        <f t="shared" si="3"/>
        <v>0</v>
      </c>
      <c r="L35" s="7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5">
        <v>0</v>
      </c>
      <c r="D36" s="89">
        <f t="shared" si="2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89">
        <f t="shared" si="3"/>
        <v>0</v>
      </c>
      <c r="L36" s="7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5">
        <v>0</v>
      </c>
      <c r="D37" s="89">
        <f t="shared" si="2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89">
        <f t="shared" si="3"/>
        <v>0</v>
      </c>
      <c r="L37" s="7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5">
        <v>0</v>
      </c>
      <c r="D38" s="89">
        <f t="shared" si="2"/>
        <v>0</v>
      </c>
      <c r="E38" s="39">
        <v>30500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89">
        <f t="shared" si="3"/>
        <v>97500</v>
      </c>
      <c r="L38" s="72">
        <v>97500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0</v>
      </c>
      <c r="C39" s="55">
        <v>0</v>
      </c>
      <c r="D39" s="89">
        <f t="shared" si="2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0</v>
      </c>
      <c r="K39" s="89">
        <f t="shared" si="3"/>
        <v>0</v>
      </c>
      <c r="L39" s="7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5">
        <v>0</v>
      </c>
      <c r="D40" s="89">
        <f t="shared" si="2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89">
        <f t="shared" si="3"/>
        <v>0</v>
      </c>
      <c r="L40" s="7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5">
        <v>0</v>
      </c>
      <c r="D41" s="89">
        <f t="shared" si="2"/>
        <v>0</v>
      </c>
      <c r="E41" s="39">
        <v>0</v>
      </c>
      <c r="F41" s="10">
        <v>0</v>
      </c>
      <c r="G41" s="10">
        <v>-11650</v>
      </c>
      <c r="H41" s="10">
        <v>0</v>
      </c>
      <c r="I41" s="39">
        <v>-22966</v>
      </c>
      <c r="J41" s="55">
        <v>0</v>
      </c>
      <c r="K41" s="89">
        <f t="shared" si="3"/>
        <v>-34616</v>
      </c>
      <c r="L41" s="72">
        <v>-34616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5">
        <v>0</v>
      </c>
      <c r="D42" s="89">
        <f t="shared" si="2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89">
        <f t="shared" si="3"/>
        <v>0</v>
      </c>
      <c r="L42" s="7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5">
        <v>0</v>
      </c>
      <c r="D43" s="89">
        <f t="shared" si="2"/>
        <v>0</v>
      </c>
      <c r="E43" s="39">
        <v>88785</v>
      </c>
      <c r="F43" s="10">
        <v>88688</v>
      </c>
      <c r="G43" s="10">
        <v>10938</v>
      </c>
      <c r="H43" s="10">
        <v>86208</v>
      </c>
      <c r="I43" s="39">
        <v>62860</v>
      </c>
      <c r="J43" s="55">
        <v>74003</v>
      </c>
      <c r="K43" s="89">
        <f t="shared" si="3"/>
        <v>411482</v>
      </c>
      <c r="L43" s="72">
        <v>411482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5">
        <v>0</v>
      </c>
      <c r="D44" s="89">
        <f t="shared" si="2"/>
        <v>0</v>
      </c>
      <c r="E44" s="39">
        <v>0</v>
      </c>
      <c r="F44" s="10">
        <v>10410</v>
      </c>
      <c r="G44" s="10">
        <v>0</v>
      </c>
      <c r="H44" s="10">
        <v>9700</v>
      </c>
      <c r="I44" s="39">
        <v>64020</v>
      </c>
      <c r="J44" s="55">
        <v>37180</v>
      </c>
      <c r="K44" s="89">
        <f t="shared" si="3"/>
        <v>121310</v>
      </c>
      <c r="L44" s="72">
        <v>121310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5">
        <v>0</v>
      </c>
      <c r="D45" s="89">
        <f t="shared" si="2"/>
        <v>0</v>
      </c>
      <c r="E45" s="39">
        <v>21300</v>
      </c>
      <c r="F45" s="10">
        <v>0</v>
      </c>
      <c r="G45" s="10">
        <v>0</v>
      </c>
      <c r="H45" s="10">
        <v>0</v>
      </c>
      <c r="I45" s="39">
        <v>9700</v>
      </c>
      <c r="J45" s="55">
        <v>0</v>
      </c>
      <c r="K45" s="89">
        <f t="shared" si="3"/>
        <v>31000</v>
      </c>
      <c r="L45" s="72">
        <v>31000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5">
        <v>0</v>
      </c>
      <c r="D46" s="89">
        <f t="shared" si="2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89">
        <f t="shared" si="3"/>
        <v>0</v>
      </c>
      <c r="L46" s="7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15">
      <c r="A47" s="103" t="s">
        <v>47</v>
      </c>
      <c r="B47" s="105">
        <v>0</v>
      </c>
      <c r="C47" s="108">
        <v>0</v>
      </c>
      <c r="D47" s="111">
        <f t="shared" si="2"/>
        <v>0</v>
      </c>
      <c r="E47" s="104">
        <v>0</v>
      </c>
      <c r="F47" s="105">
        <v>0</v>
      </c>
      <c r="G47" s="105">
        <v>11650</v>
      </c>
      <c r="H47" s="105">
        <v>0</v>
      </c>
      <c r="I47" s="104">
        <v>22966</v>
      </c>
      <c r="J47" s="108">
        <v>0</v>
      </c>
      <c r="K47" s="111">
        <f t="shared" si="3"/>
        <v>34616</v>
      </c>
      <c r="L47" s="112">
        <v>34616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5">
        <v>0</v>
      </c>
      <c r="D48" s="89">
        <f t="shared" si="2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89">
        <f t="shared" si="3"/>
        <v>0</v>
      </c>
      <c r="L48" s="7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59">
        <v>0</v>
      </c>
      <c r="D49" s="93">
        <f t="shared" si="2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93">
        <f t="shared" si="3"/>
        <v>0</v>
      </c>
      <c r="L49" s="7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606</v>
      </c>
      <c r="C50" s="59">
        <v>0</v>
      </c>
      <c r="D50" s="93">
        <f t="shared" si="2"/>
        <v>606</v>
      </c>
      <c r="E50" s="43">
        <v>5135</v>
      </c>
      <c r="F50" s="12">
        <v>7720</v>
      </c>
      <c r="G50" s="12">
        <v>730</v>
      </c>
      <c r="H50" s="12">
        <v>8257</v>
      </c>
      <c r="I50" s="43">
        <v>1077</v>
      </c>
      <c r="J50" s="59">
        <v>1720</v>
      </c>
      <c r="K50" s="93">
        <f t="shared" si="3"/>
        <v>24639</v>
      </c>
      <c r="L50" s="76">
        <v>25245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0">
        <v>405606</v>
      </c>
      <c r="C51" s="60">
        <v>91715</v>
      </c>
      <c r="D51" s="94">
        <f t="shared" si="2"/>
        <v>497321</v>
      </c>
      <c r="E51" s="44">
        <v>402920</v>
      </c>
      <c r="F51" s="30">
        <v>388718</v>
      </c>
      <c r="G51" s="30">
        <v>256368</v>
      </c>
      <c r="H51" s="30">
        <v>368365</v>
      </c>
      <c r="I51" s="44">
        <v>406057</v>
      </c>
      <c r="J51" s="60">
        <v>342903</v>
      </c>
      <c r="K51" s="94">
        <f t="shared" si="3"/>
        <v>2165331</v>
      </c>
      <c r="L51" s="77">
        <v>2662652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50</v>
      </c>
      <c r="B52" s="29">
        <v>11057</v>
      </c>
      <c r="C52" s="61">
        <v>3600</v>
      </c>
      <c r="D52" s="95">
        <f t="shared" si="2"/>
        <v>14657</v>
      </c>
      <c r="E52" s="45">
        <v>5310</v>
      </c>
      <c r="F52" s="29">
        <v>4827</v>
      </c>
      <c r="G52" s="29">
        <v>6819</v>
      </c>
      <c r="H52" s="29">
        <v>4442</v>
      </c>
      <c r="I52" s="45">
        <v>3686</v>
      </c>
      <c r="J52" s="61">
        <v>5266</v>
      </c>
      <c r="K52" s="95">
        <f t="shared" si="3"/>
        <v>30350</v>
      </c>
      <c r="L52" s="78">
        <v>45007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51</v>
      </c>
      <c r="B53" s="32">
        <v>11057</v>
      </c>
      <c r="C53" s="62">
        <v>3600</v>
      </c>
      <c r="D53" s="96">
        <f t="shared" si="2"/>
        <v>14657</v>
      </c>
      <c r="E53" s="46">
        <v>5310</v>
      </c>
      <c r="F53" s="32">
        <v>4827</v>
      </c>
      <c r="G53" s="32">
        <v>6819</v>
      </c>
      <c r="H53" s="32">
        <v>4442</v>
      </c>
      <c r="I53" s="46">
        <v>3686</v>
      </c>
      <c r="J53" s="62">
        <v>5266</v>
      </c>
      <c r="K53" s="96">
        <f t="shared" si="3"/>
        <v>30350</v>
      </c>
      <c r="L53" s="79">
        <v>45007</v>
      </c>
    </row>
    <row r="54" spans="1:19" ht="14.25" thickBot="1" x14ac:dyDescent="0.2">
      <c r="A54" s="33" t="s">
        <v>52</v>
      </c>
      <c r="B54" s="34">
        <v>416663</v>
      </c>
      <c r="C54" s="63">
        <v>95315</v>
      </c>
      <c r="D54" s="97">
        <f t="shared" si="2"/>
        <v>511978</v>
      </c>
      <c r="E54" s="47">
        <v>408230</v>
      </c>
      <c r="F54" s="34">
        <v>393545</v>
      </c>
      <c r="G54" s="34">
        <v>263187</v>
      </c>
      <c r="H54" s="34">
        <v>372807</v>
      </c>
      <c r="I54" s="47">
        <v>409743</v>
      </c>
      <c r="J54" s="63">
        <v>348169</v>
      </c>
      <c r="K54" s="97">
        <f t="shared" si="3"/>
        <v>2195681</v>
      </c>
      <c r="L54" s="80">
        <v>2707659</v>
      </c>
    </row>
    <row r="55" spans="1:19" x14ac:dyDescent="0.15">
      <c r="A55" s="28" t="s">
        <v>53</v>
      </c>
      <c r="B55" s="29">
        <v>20910</v>
      </c>
      <c r="C55" s="61">
        <v>0</v>
      </c>
      <c r="D55" s="95">
        <f t="shared" si="2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95">
        <f t="shared" si="3"/>
        <v>115770</v>
      </c>
      <c r="L55" s="78">
        <v>136680</v>
      </c>
    </row>
    <row r="56" spans="1:19" x14ac:dyDescent="0.15">
      <c r="A56" s="16" t="s">
        <v>54</v>
      </c>
      <c r="B56" s="12">
        <v>3690</v>
      </c>
      <c r="C56" s="59">
        <v>0</v>
      </c>
      <c r="D56" s="93">
        <f t="shared" si="2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93">
        <f t="shared" si="3"/>
        <v>20430</v>
      </c>
      <c r="L56" s="76">
        <v>24120</v>
      </c>
    </row>
    <row r="57" spans="1:19" x14ac:dyDescent="0.15">
      <c r="A57" s="16" t="s">
        <v>55</v>
      </c>
      <c r="B57" s="12">
        <v>37515</v>
      </c>
      <c r="C57" s="59">
        <v>0</v>
      </c>
      <c r="D57" s="93">
        <f t="shared" si="2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93">
        <f t="shared" si="3"/>
        <v>207705</v>
      </c>
      <c r="L57" s="76">
        <v>245220</v>
      </c>
    </row>
    <row r="58" spans="1:19" x14ac:dyDescent="0.15">
      <c r="A58" s="16" t="s">
        <v>56</v>
      </c>
      <c r="B58" s="12">
        <v>0</v>
      </c>
      <c r="C58" s="59">
        <v>0</v>
      </c>
      <c r="D58" s="93">
        <f t="shared" si="2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93">
        <f t="shared" si="3"/>
        <v>0</v>
      </c>
      <c r="L58" s="76">
        <v>0</v>
      </c>
    </row>
    <row r="59" spans="1:19" x14ac:dyDescent="0.15">
      <c r="A59" s="16" t="s">
        <v>57</v>
      </c>
      <c r="B59" s="12">
        <v>1250</v>
      </c>
      <c r="C59" s="59">
        <v>286</v>
      </c>
      <c r="D59" s="93">
        <f t="shared" si="2"/>
        <v>1536</v>
      </c>
      <c r="E59" s="43">
        <v>1225</v>
      </c>
      <c r="F59" s="12">
        <v>1181</v>
      </c>
      <c r="G59" s="12">
        <v>790</v>
      </c>
      <c r="H59" s="12">
        <v>1118</v>
      </c>
      <c r="I59" s="43">
        <v>1229</v>
      </c>
      <c r="J59" s="59">
        <v>1045</v>
      </c>
      <c r="K59" s="93">
        <f t="shared" si="3"/>
        <v>6588</v>
      </c>
      <c r="L59" s="76">
        <v>8124</v>
      </c>
    </row>
    <row r="60" spans="1:19" x14ac:dyDescent="0.15">
      <c r="A60" s="16" t="s">
        <v>58</v>
      </c>
      <c r="B60" s="12">
        <v>0</v>
      </c>
      <c r="C60" s="59">
        <v>0</v>
      </c>
      <c r="D60" s="93">
        <f t="shared" si="2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93">
        <f t="shared" si="3"/>
        <v>0</v>
      </c>
      <c r="L60" s="76">
        <v>0</v>
      </c>
    </row>
    <row r="61" spans="1:19" ht="14.25" thickBot="1" x14ac:dyDescent="0.2">
      <c r="A61" s="31" t="s">
        <v>59</v>
      </c>
      <c r="B61" s="32">
        <v>63365</v>
      </c>
      <c r="C61" s="62">
        <v>286</v>
      </c>
      <c r="D61" s="96">
        <f t="shared" si="2"/>
        <v>63651</v>
      </c>
      <c r="E61" s="46">
        <v>63340</v>
      </c>
      <c r="F61" s="32">
        <v>58751</v>
      </c>
      <c r="G61" s="32">
        <v>55330</v>
      </c>
      <c r="H61" s="32">
        <v>55658</v>
      </c>
      <c r="I61" s="46">
        <v>58799</v>
      </c>
      <c r="J61" s="62">
        <v>58615</v>
      </c>
      <c r="K61" s="96">
        <f t="shared" si="3"/>
        <v>350493</v>
      </c>
      <c r="L61" s="79">
        <v>414144</v>
      </c>
    </row>
    <row r="62" spans="1:19" ht="14.25" thickBot="1" x14ac:dyDescent="0.2">
      <c r="A62" s="33" t="s">
        <v>60</v>
      </c>
      <c r="B62" s="34">
        <v>342241</v>
      </c>
      <c r="C62" s="63">
        <v>91429</v>
      </c>
      <c r="D62" s="97">
        <f t="shared" si="2"/>
        <v>433670</v>
      </c>
      <c r="E62" s="47">
        <v>339580</v>
      </c>
      <c r="F62" s="34">
        <v>329967</v>
      </c>
      <c r="G62" s="34">
        <v>201038</v>
      </c>
      <c r="H62" s="34">
        <v>312707</v>
      </c>
      <c r="I62" s="47">
        <v>347258</v>
      </c>
      <c r="J62" s="63">
        <v>284288</v>
      </c>
      <c r="K62" s="97">
        <f t="shared" si="3"/>
        <v>1814838</v>
      </c>
      <c r="L62" s="80">
        <v>2248508</v>
      </c>
    </row>
    <row r="63" spans="1:19" x14ac:dyDescent="0.15">
      <c r="A63" s="28" t="s">
        <v>61</v>
      </c>
      <c r="B63" s="29">
        <v>8600</v>
      </c>
      <c r="C63" s="61">
        <v>290</v>
      </c>
      <c r="D63" s="95">
        <f t="shared" si="2"/>
        <v>8890</v>
      </c>
      <c r="E63" s="45">
        <v>8380</v>
      </c>
      <c r="F63" s="29">
        <v>10830</v>
      </c>
      <c r="G63" s="29">
        <v>3190</v>
      </c>
      <c r="H63" s="29">
        <v>7240</v>
      </c>
      <c r="I63" s="45">
        <v>12240</v>
      </c>
      <c r="J63" s="61">
        <v>4540</v>
      </c>
      <c r="K63" s="95">
        <f t="shared" si="3"/>
        <v>46420</v>
      </c>
      <c r="L63" s="78">
        <v>55310</v>
      </c>
    </row>
    <row r="64" spans="1:19" x14ac:dyDescent="0.15">
      <c r="A64" s="16" t="s">
        <v>62</v>
      </c>
      <c r="B64" s="12">
        <v>0</v>
      </c>
      <c r="C64" s="59">
        <v>0</v>
      </c>
      <c r="D64" s="93">
        <f t="shared" si="2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93">
        <f t="shared" si="3"/>
        <v>0</v>
      </c>
      <c r="L64" s="76">
        <v>0</v>
      </c>
    </row>
    <row r="65" spans="1:12" x14ac:dyDescent="0.15">
      <c r="A65" s="16" t="s">
        <v>63</v>
      </c>
      <c r="B65" s="12">
        <v>26000</v>
      </c>
      <c r="C65" s="59">
        <v>1000</v>
      </c>
      <c r="D65" s="93">
        <f t="shared" si="2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93">
        <f t="shared" si="3"/>
        <v>94700</v>
      </c>
      <c r="L65" s="76">
        <v>121700</v>
      </c>
    </row>
    <row r="66" spans="1:12" x14ac:dyDescent="0.15">
      <c r="A66" s="16" t="s">
        <v>64</v>
      </c>
      <c r="B66" s="12">
        <v>0</v>
      </c>
      <c r="C66" s="59">
        <v>0</v>
      </c>
      <c r="D66" s="93">
        <f t="shared" si="2"/>
        <v>0</v>
      </c>
      <c r="E66" s="43">
        <v>24200</v>
      </c>
      <c r="F66" s="12">
        <v>24400</v>
      </c>
      <c r="G66" s="12">
        <v>1200</v>
      </c>
      <c r="H66" s="12">
        <v>24200</v>
      </c>
      <c r="I66" s="43">
        <v>28400</v>
      </c>
      <c r="J66" s="59">
        <v>0</v>
      </c>
      <c r="K66" s="93">
        <f t="shared" si="3"/>
        <v>102400</v>
      </c>
      <c r="L66" s="76">
        <v>102400</v>
      </c>
    </row>
    <row r="67" spans="1:12" x14ac:dyDescent="0.15">
      <c r="A67" s="16" t="s">
        <v>65</v>
      </c>
      <c r="B67" s="12">
        <v>0</v>
      </c>
      <c r="C67" s="59">
        <v>0</v>
      </c>
      <c r="D67" s="93">
        <f t="shared" si="2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93">
        <f t="shared" si="3"/>
        <v>0</v>
      </c>
      <c r="L67" s="76">
        <v>0</v>
      </c>
    </row>
    <row r="68" spans="1:12" x14ac:dyDescent="0.15">
      <c r="A68" s="16" t="s">
        <v>66</v>
      </c>
      <c r="B68" s="12">
        <v>0</v>
      </c>
      <c r="C68" s="59">
        <v>0</v>
      </c>
      <c r="D68" s="93">
        <f t="shared" si="2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93">
        <f t="shared" si="3"/>
        <v>0</v>
      </c>
      <c r="L68" s="76">
        <v>0</v>
      </c>
    </row>
    <row r="69" spans="1:12" x14ac:dyDescent="0.15">
      <c r="A69" s="16" t="s">
        <v>67</v>
      </c>
      <c r="B69" s="12">
        <v>0</v>
      </c>
      <c r="C69" s="59">
        <v>0</v>
      </c>
      <c r="D69" s="93">
        <f t="shared" si="2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93">
        <f t="shared" si="3"/>
        <v>0</v>
      </c>
      <c r="L69" s="76">
        <v>0</v>
      </c>
    </row>
    <row r="70" spans="1:12" ht="14.25" thickBot="1" x14ac:dyDescent="0.2">
      <c r="A70" s="31" t="s">
        <v>68</v>
      </c>
      <c r="B70" s="32">
        <v>34600</v>
      </c>
      <c r="C70" s="62">
        <v>1290</v>
      </c>
      <c r="D70" s="96">
        <f t="shared" si="2"/>
        <v>35890</v>
      </c>
      <c r="E70" s="46">
        <v>48880</v>
      </c>
      <c r="F70" s="32">
        <v>52630</v>
      </c>
      <c r="G70" s="32">
        <v>17890</v>
      </c>
      <c r="H70" s="32">
        <v>40940</v>
      </c>
      <c r="I70" s="46">
        <v>56440</v>
      </c>
      <c r="J70" s="62">
        <v>26740</v>
      </c>
      <c r="K70" s="96">
        <f t="shared" si="3"/>
        <v>243520</v>
      </c>
      <c r="L70" s="79">
        <v>279410</v>
      </c>
    </row>
    <row r="71" spans="1:12" ht="14.25" thickBot="1" x14ac:dyDescent="0.2">
      <c r="A71" s="33" t="s">
        <v>69</v>
      </c>
      <c r="B71" s="34">
        <v>97965</v>
      </c>
      <c r="C71" s="63">
        <v>1576</v>
      </c>
      <c r="D71" s="97">
        <f t="shared" si="2"/>
        <v>99541</v>
      </c>
      <c r="E71" s="47">
        <v>112220</v>
      </c>
      <c r="F71" s="34">
        <v>111381</v>
      </c>
      <c r="G71" s="34">
        <v>73220</v>
      </c>
      <c r="H71" s="34">
        <v>96598</v>
      </c>
      <c r="I71" s="47">
        <v>115239</v>
      </c>
      <c r="J71" s="63">
        <v>85355</v>
      </c>
      <c r="K71" s="97">
        <f t="shared" si="3"/>
        <v>594013</v>
      </c>
      <c r="L71" s="80">
        <v>693554</v>
      </c>
    </row>
    <row r="72" spans="1:12" ht="14.25" thickBot="1" x14ac:dyDescent="0.2">
      <c r="A72" s="33" t="s">
        <v>70</v>
      </c>
      <c r="B72" s="34">
        <v>318698</v>
      </c>
      <c r="C72" s="63">
        <v>93739</v>
      </c>
      <c r="D72" s="97">
        <f t="shared" si="2"/>
        <v>412437</v>
      </c>
      <c r="E72" s="47">
        <v>296010</v>
      </c>
      <c r="F72" s="34">
        <v>282164</v>
      </c>
      <c r="G72" s="34">
        <v>189967</v>
      </c>
      <c r="H72" s="34">
        <v>276209</v>
      </c>
      <c r="I72" s="47">
        <v>294504</v>
      </c>
      <c r="J72" s="63">
        <v>262814</v>
      </c>
      <c r="K72" s="97">
        <f t="shared" si="3"/>
        <v>1601668</v>
      </c>
      <c r="L72" s="80">
        <v>2014105</v>
      </c>
    </row>
    <row r="73" spans="1:12" x14ac:dyDescent="0.15">
      <c r="A73" s="28" t="s">
        <v>71</v>
      </c>
      <c r="B73" s="29">
        <v>0</v>
      </c>
      <c r="C73" s="61">
        <v>0</v>
      </c>
      <c r="D73" s="95">
        <f t="shared" si="2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95">
        <f t="shared" si="3"/>
        <v>0</v>
      </c>
      <c r="L73" s="78">
        <v>0</v>
      </c>
    </row>
    <row r="74" spans="1:12" x14ac:dyDescent="0.15">
      <c r="A74" s="16" t="s">
        <v>72</v>
      </c>
      <c r="B74" s="12">
        <v>318698</v>
      </c>
      <c r="C74" s="59">
        <v>93739</v>
      </c>
      <c r="D74" s="93">
        <f t="shared" si="2"/>
        <v>412437</v>
      </c>
      <c r="E74" s="43">
        <v>296010</v>
      </c>
      <c r="F74" s="12">
        <v>282164</v>
      </c>
      <c r="G74" s="12">
        <v>189967</v>
      </c>
      <c r="H74" s="12">
        <v>276209</v>
      </c>
      <c r="I74" s="43">
        <v>294504</v>
      </c>
      <c r="J74" s="59">
        <v>262814</v>
      </c>
      <c r="K74" s="93">
        <f t="shared" si="3"/>
        <v>1601668</v>
      </c>
      <c r="L74" s="76">
        <v>2014105</v>
      </c>
    </row>
    <row r="75" spans="1:12" x14ac:dyDescent="0.15">
      <c r="A75" s="16" t="s">
        <v>73</v>
      </c>
      <c r="B75" s="13">
        <v>40</v>
      </c>
      <c r="C75" s="64">
        <v>21</v>
      </c>
      <c r="D75" s="98"/>
      <c r="E75" s="48">
        <v>40</v>
      </c>
      <c r="F75" s="13">
        <v>40</v>
      </c>
      <c r="G75" s="13">
        <v>39</v>
      </c>
      <c r="H75" s="13">
        <v>30</v>
      </c>
      <c r="I75" s="48">
        <v>30</v>
      </c>
      <c r="J75" s="64">
        <v>30</v>
      </c>
      <c r="K75" s="98"/>
      <c r="L75" s="81">
        <v>270</v>
      </c>
    </row>
    <row r="76" spans="1:12" x14ac:dyDescent="0.15">
      <c r="A76" s="16" t="s">
        <v>74</v>
      </c>
      <c r="B76" s="14">
        <v>1</v>
      </c>
      <c r="C76" s="65"/>
      <c r="D76" s="99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99"/>
      <c r="L76" s="82"/>
    </row>
    <row r="77" spans="1:12" ht="14.25" thickBot="1" x14ac:dyDescent="0.2">
      <c r="A77" s="17" t="s">
        <v>75</v>
      </c>
      <c r="B77" s="18" t="s">
        <v>76</v>
      </c>
      <c r="C77" s="66" t="s">
        <v>76</v>
      </c>
      <c r="D77" s="100"/>
      <c r="E77" s="50" t="s">
        <v>76</v>
      </c>
      <c r="F77" s="18" t="s">
        <v>76</v>
      </c>
      <c r="G77" s="18" t="s">
        <v>76</v>
      </c>
      <c r="H77" s="18" t="s">
        <v>76</v>
      </c>
      <c r="I77" s="50" t="s">
        <v>76</v>
      </c>
      <c r="J77" s="66" t="s">
        <v>76</v>
      </c>
      <c r="K77" s="100"/>
      <c r="L77" s="83"/>
    </row>
  </sheetData>
  <phoneticPr fontId="1"/>
  <pageMargins left="0.43307086614173229" right="0.35433070866141736" top="0.51181102362204722" bottom="0.35433070866141736" header="0.19685039370078741" footer="0.27559055118110237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2021-05-13T06:10:02Z</cp:lastPrinted>
  <dcterms:created xsi:type="dcterms:W3CDTF">2011-10-11T01:59:58Z</dcterms:created>
  <dcterms:modified xsi:type="dcterms:W3CDTF">2021-05-13T06:10:07Z</dcterms:modified>
</cp:coreProperties>
</file>