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012\"/>
    </mc:Choice>
  </mc:AlternateContent>
  <xr:revisionPtr revIDLastSave="0" documentId="13_ncr:1_{C859C0D8-9F22-4609-9A4A-7E22FA4BDA81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(2)'!$A$1:$L$77</definedName>
  </definedNames>
  <calcPr calcId="191029"/>
</workbook>
</file>

<file path=xl/calcChain.xml><?xml version="1.0" encoding="utf-8"?>
<calcChain xmlns="http://schemas.openxmlformats.org/spreadsheetml/2006/main">
  <c r="K24" i="2" l="1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23" i="2"/>
  <c r="K22" i="2"/>
  <c r="K15" i="2"/>
  <c r="K16" i="2"/>
  <c r="K14" i="2"/>
  <c r="K10" i="2"/>
  <c r="K8" i="2"/>
  <c r="K7" i="2"/>
  <c r="K6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23" i="2"/>
  <c r="D13" i="2"/>
  <c r="D10" i="2"/>
  <c r="D8" i="2"/>
  <c r="D7" i="2"/>
  <c r="D6" i="2"/>
</calcChain>
</file>

<file path=xl/sharedStrings.xml><?xml version="1.0" encoding="utf-8"?>
<sst xmlns="http://schemas.openxmlformats.org/spreadsheetml/2006/main" count="108" uniqueCount="88">
  <si>
    <t>所　属</t>
  </si>
  <si>
    <t>社　員</t>
  </si>
  <si>
    <t>2020年12月分</t>
  </si>
  <si>
    <t>若林運送株式会社</t>
  </si>
  <si>
    <t>締日:12/31</t>
  </si>
  <si>
    <t>支給日:01/15</t>
  </si>
  <si>
    <t>九州</t>
  </si>
  <si>
    <t>河村　智春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</si>
  <si>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</si>
  <si>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</si>
  <si>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</si>
  <si>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</si>
  <si>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</si>
  <si>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</si>
  <si>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</si>
  <si>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</si>
  <si>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</si>
  <si>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</si>
  <si>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</si>
  <si>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</si>
  <si>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</si>
  <si>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</si>
  <si>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</si>
  <si>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</si>
  <si>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</si>
  <si>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赤崎　功幸</t>
  </si>
  <si>
    <t>江崎　秀明</t>
  </si>
  <si>
    <t>櫻木　諭治</t>
  </si>
  <si>
    <t>米澤　敬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</si>
  <si>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</si>
  <si>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</si>
  <si>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</si>
  <si>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</si>
  <si>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</si>
  <si>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</si>
  <si>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</si>
  <si>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</si>
  <si>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</si>
  <si>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</si>
  <si>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</si>
  <si>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</si>
  <si>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</si>
  <si>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</si>
  <si>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</si>
  <si>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</si>
  <si>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</si>
  <si>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</si>
  <si>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</si>
  <si>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</si>
  <si>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</si>
  <si>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所定内時間残業</t>
  </si>
  <si>
    <t>課税支給合計</t>
  </si>
  <si>
    <t>非課税通勤手当</t>
  </si>
  <si>
    <t>休業見舞金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</si>
  <si>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</si>
  <si>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</si>
  <si>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</si>
  <si>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</si>
  <si>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</si>
  <si>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</si>
  <si>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</si>
  <si>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</si>
  <si>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</si>
  <si>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</si>
  <si>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</si>
  <si>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</si>
  <si>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</si>
  <si>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</si>
  <si>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</si>
  <si>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</si>
  <si>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</si>
  <si>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</si>
  <si>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</si>
  <si>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</si>
  <si>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</si>
  <si>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</si>
  <si>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</si>
  <si>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</si>
  <si>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</si>
  <si>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</si>
  <si>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大賀　勇也</t>
  </si>
  <si>
    <t>西口　真樹</t>
  </si>
  <si>
    <t>木下　知美</t>
  </si>
  <si>
    <t>全社計</t>
  </si>
  <si>
    <t>8名</t>
  </si>
  <si>
    <t>小計</t>
    <rPh sb="0" eb="2">
      <t>ショウケイ</t>
    </rPh>
    <phoneticPr fontId="1"/>
  </si>
  <si>
    <t>２名</t>
    <rPh sb="1" eb="2">
      <t>メイ</t>
    </rPh>
    <phoneticPr fontId="1"/>
  </si>
  <si>
    <t>6名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</si>
</sst>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4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5" xfId="0" applyFont="1" applyFill="1" applyBorder="1" applyAlignment="1">
      <alignment horizontal="center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0" fontId="2" fillId="0" borderId="37" xfId="0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0" fontId="2" fillId="0" borderId="38" xfId="0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79" fontId="2" fillId="0" borderId="38" xfId="0" applyNumberFormat="1" applyFont="1" applyFill="1" applyBorder="1">
      <alignment vertical="center"/>
    </xf>
    <xf numFmtId="0" fontId="2" fillId="0" borderId="34" xfId="0" applyFont="1" applyFill="1" applyBorder="1" applyAlignment="1">
      <alignment horizontal="left" vertical="center"/>
    </xf>
    <xf numFmtId="0" fontId="2" fillId="0" borderId="35" xfId="0" applyFont="1" applyFill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7B672-C657-4BBF-B1FE-C352479DDC8C}">
  <sheetPr>
    <pageSetUpPr fitToPage="1"/>
  </sheetPr>
  <dimension ref="A1:AL77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2" width="12.375" style="2" customWidth="1"/>
    <col min="13" max="19" width="10.5" style="2" customWidth="1"/>
    <col min="20" max="16384" width="9" style="2"/>
  </cols>
  <sheetData>
    <row r="1" spans="1:38" ht="18.75" x14ac:dyDescent="0.15">
      <c r="A1" s="1" t="s">
        <v>2</v>
      </c>
      <c r="B1" s="1"/>
      <c r="C1" s="1"/>
      <c r="D1" s="1"/>
      <c r="E1" s="1"/>
      <c r="F1" s="1"/>
      <c r="G1" s="1"/>
      <c r="H1" s="8"/>
      <c r="I1" s="1"/>
      <c r="J1" s="7"/>
      <c r="K1" s="7"/>
      <c r="L1" s="1" t="s">
        <v>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4.25" thickBot="1" x14ac:dyDescent="0.2">
      <c r="A2" s="1">
        <v>13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 t="s">
        <v>5</v>
      </c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15">
      <c r="A3" s="19" t="s">
        <v>0</v>
      </c>
      <c r="B3" s="20" t="s">
        <v>6</v>
      </c>
      <c r="C3" s="52" t="s">
        <v>6</v>
      </c>
      <c r="D3" s="102" t="s">
        <v>85</v>
      </c>
      <c r="E3" s="36" t="s">
        <v>6</v>
      </c>
      <c r="F3" s="20" t="s">
        <v>6</v>
      </c>
      <c r="G3" s="20" t="s">
        <v>6</v>
      </c>
      <c r="H3" s="20" t="s">
        <v>6</v>
      </c>
      <c r="I3" s="36" t="s">
        <v>6</v>
      </c>
      <c r="J3" s="52" t="s">
        <v>6</v>
      </c>
      <c r="K3" s="102" t="s">
        <v>85</v>
      </c>
      <c r="L3" s="84" t="s">
        <v>83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15">
      <c r="A4" s="21"/>
      <c r="B4" s="22">
        <v>1057</v>
      </c>
      <c r="C4" s="53">
        <v>1063</v>
      </c>
      <c r="D4" s="68"/>
      <c r="E4" s="37">
        <v>1056</v>
      </c>
      <c r="F4" s="22">
        <v>1059</v>
      </c>
      <c r="G4" s="22">
        <v>1061</v>
      </c>
      <c r="H4" s="22">
        <v>1067</v>
      </c>
      <c r="I4" s="37">
        <v>1071</v>
      </c>
      <c r="J4" s="53">
        <v>1092</v>
      </c>
      <c r="K4" s="68"/>
      <c r="L4" s="8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4.25" thickBot="1" x14ac:dyDescent="0.2">
      <c r="A5" s="21" t="s">
        <v>1</v>
      </c>
      <c r="B5" s="22" t="s">
        <v>25</v>
      </c>
      <c r="C5" s="53" t="s">
        <v>82</v>
      </c>
      <c r="D5" s="103" t="s">
        <v>86</v>
      </c>
      <c r="E5" s="37" t="s">
        <v>7</v>
      </c>
      <c r="F5" s="22" t="s">
        <v>26</v>
      </c>
      <c r="G5" s="22" t="s">
        <v>27</v>
      </c>
      <c r="H5" s="22" t="s">
        <v>28</v>
      </c>
      <c r="I5" s="37" t="s">
        <v>80</v>
      </c>
      <c r="J5" s="53" t="s">
        <v>81</v>
      </c>
      <c r="K5" s="103" t="s">
        <v>87</v>
      </c>
      <c r="L5" s="86" t="s">
        <v>84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15">
      <c r="A6" s="23" t="s">
        <v>8</v>
      </c>
      <c r="B6" s="24">
        <v>21</v>
      </c>
      <c r="C6" s="54">
        <v>21</v>
      </c>
      <c r="D6" s="69">
        <f>SUM(B6:C6)</f>
        <v>42</v>
      </c>
      <c r="E6" s="38">
        <v>20</v>
      </c>
      <c r="F6" s="24">
        <v>19</v>
      </c>
      <c r="G6" s="24">
        <v>20</v>
      </c>
      <c r="H6" s="24">
        <v>21</v>
      </c>
      <c r="I6" s="38">
        <v>21</v>
      </c>
      <c r="J6" s="54">
        <v>22</v>
      </c>
      <c r="K6" s="69">
        <f>SUM(E6:J6)</f>
        <v>123</v>
      </c>
      <c r="L6" s="87">
        <v>165</v>
      </c>
      <c r="M6" s="3"/>
      <c r="N6" s="3"/>
      <c r="O6" s="3"/>
      <c r="P6" s="3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15">
      <c r="A7" s="15" t="s">
        <v>9</v>
      </c>
      <c r="B7" s="9">
        <v>1</v>
      </c>
      <c r="C7" s="56"/>
      <c r="D7" s="70">
        <f>SUM(B7:C7)</f>
        <v>1</v>
      </c>
      <c r="E7" s="39">
        <v>1</v>
      </c>
      <c r="F7" s="9">
        <v>3</v>
      </c>
      <c r="G7" s="9">
        <v>3</v>
      </c>
      <c r="H7" s="9">
        <v>2</v>
      </c>
      <c r="I7" s="39">
        <v>1</v>
      </c>
      <c r="J7" s="55">
        <v>2</v>
      </c>
      <c r="K7" s="70">
        <f>SUM(E7:J7)</f>
        <v>12</v>
      </c>
      <c r="L7" s="88">
        <v>13</v>
      </c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15">
      <c r="A8" s="15" t="s">
        <v>10</v>
      </c>
      <c r="B8" s="9">
        <v>2</v>
      </c>
      <c r="C8" s="56"/>
      <c r="D8" s="70">
        <f>SUM(B8:C8)</f>
        <v>2</v>
      </c>
      <c r="E8" s="40"/>
      <c r="F8" s="10"/>
      <c r="G8" s="9">
        <v>2</v>
      </c>
      <c r="H8" s="9">
        <v>2</v>
      </c>
      <c r="I8" s="39">
        <v>1</v>
      </c>
      <c r="J8" s="56"/>
      <c r="K8" s="70">
        <f>SUM(E8:J8)</f>
        <v>5</v>
      </c>
      <c r="L8" s="88">
        <v>7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15">
      <c r="A9" s="15" t="s">
        <v>11</v>
      </c>
      <c r="B9" s="10"/>
      <c r="C9" s="56"/>
      <c r="D9" s="71"/>
      <c r="E9" s="40"/>
      <c r="F9" s="10"/>
      <c r="G9" s="10"/>
      <c r="H9" s="10"/>
      <c r="I9" s="40"/>
      <c r="J9" s="56"/>
      <c r="K9" s="75"/>
      <c r="L9" s="89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15">
      <c r="A10" s="15" t="s">
        <v>12</v>
      </c>
      <c r="B10" s="9">
        <v>1</v>
      </c>
      <c r="C10" s="56"/>
      <c r="D10" s="70">
        <f>SUM(B10:C10)</f>
        <v>1</v>
      </c>
      <c r="E10" s="39">
        <v>2</v>
      </c>
      <c r="F10" s="9">
        <v>3</v>
      </c>
      <c r="G10" s="9">
        <v>1</v>
      </c>
      <c r="H10" s="9">
        <v>1</v>
      </c>
      <c r="I10" s="39">
        <v>1</v>
      </c>
      <c r="J10" s="56"/>
      <c r="K10" s="70">
        <f>SUM(E10:J10)</f>
        <v>8</v>
      </c>
      <c r="L10" s="88">
        <v>9</v>
      </c>
      <c r="M10" s="1"/>
      <c r="N10" s="3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15">
      <c r="A11" s="15" t="s">
        <v>13</v>
      </c>
      <c r="B11" s="10"/>
      <c r="C11" s="56"/>
      <c r="D11" s="71"/>
      <c r="E11" s="40"/>
      <c r="F11" s="10"/>
      <c r="G11" s="9">
        <v>1</v>
      </c>
      <c r="H11" s="10"/>
      <c r="I11" s="40"/>
      <c r="J11" s="56"/>
      <c r="K11" s="75"/>
      <c r="L11" s="88">
        <v>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15">
      <c r="A12" s="15" t="s">
        <v>14</v>
      </c>
      <c r="B12" s="10"/>
      <c r="C12" s="56"/>
      <c r="D12" s="71"/>
      <c r="E12" s="40"/>
      <c r="F12" s="10"/>
      <c r="G12" s="10"/>
      <c r="H12" s="10"/>
      <c r="I12" s="40"/>
      <c r="J12" s="56"/>
      <c r="K12" s="75"/>
      <c r="L12" s="89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15">
      <c r="A13" s="15" t="s">
        <v>15</v>
      </c>
      <c r="B13" s="10"/>
      <c r="C13" s="57">
        <v>4.291666666666667</v>
      </c>
      <c r="D13" s="72">
        <f>SUM(B13:C13)</f>
        <v>4.291666666666667</v>
      </c>
      <c r="E13" s="40"/>
      <c r="F13" s="10"/>
      <c r="G13" s="10"/>
      <c r="H13" s="10"/>
      <c r="I13" s="40"/>
      <c r="J13" s="56"/>
      <c r="K13" s="75"/>
      <c r="L13" s="90">
        <v>4.291666666666667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15">
      <c r="A14" s="15" t="s">
        <v>16</v>
      </c>
      <c r="B14" s="10"/>
      <c r="C14" s="56"/>
      <c r="D14" s="71"/>
      <c r="E14" s="41">
        <v>0.625</v>
      </c>
      <c r="F14" s="11">
        <v>0.70833333333333337</v>
      </c>
      <c r="G14" s="11">
        <v>0.875</v>
      </c>
      <c r="H14" s="11">
        <v>1.2083333333333333</v>
      </c>
      <c r="I14" s="41">
        <v>0.79166666666666663</v>
      </c>
      <c r="J14" s="57">
        <v>1.4166666666666667</v>
      </c>
      <c r="K14" s="72">
        <f>SUM(E14:J14)</f>
        <v>5.6250000000000009</v>
      </c>
      <c r="L14" s="90">
        <v>5.625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15">
      <c r="A15" s="15" t="s">
        <v>17</v>
      </c>
      <c r="B15" s="10"/>
      <c r="C15" s="56"/>
      <c r="D15" s="71"/>
      <c r="E15" s="41">
        <v>0.375</v>
      </c>
      <c r="F15" s="11">
        <v>1.125</v>
      </c>
      <c r="G15" s="11">
        <v>1.2083333333333333</v>
      </c>
      <c r="H15" s="11">
        <v>0.91666666666666663</v>
      </c>
      <c r="I15" s="41">
        <v>0.375</v>
      </c>
      <c r="J15" s="57">
        <v>1</v>
      </c>
      <c r="K15" s="72">
        <f t="shared" ref="K15:K16" si="0">SUM(E15:J15)</f>
        <v>5</v>
      </c>
      <c r="L15" s="90">
        <v>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15">
      <c r="A16" s="15" t="s">
        <v>18</v>
      </c>
      <c r="B16" s="10"/>
      <c r="C16" s="56"/>
      <c r="D16" s="71"/>
      <c r="E16" s="40"/>
      <c r="F16" s="10"/>
      <c r="G16" s="11">
        <v>0.75</v>
      </c>
      <c r="H16" s="11">
        <v>0.625</v>
      </c>
      <c r="I16" s="41">
        <v>0.5</v>
      </c>
      <c r="J16" s="56"/>
      <c r="K16" s="72">
        <f t="shared" si="0"/>
        <v>1.875</v>
      </c>
      <c r="L16" s="90">
        <v>1.875</v>
      </c>
      <c r="M16" s="5"/>
      <c r="N16" s="5"/>
      <c r="O16" s="5"/>
      <c r="P16" s="5"/>
      <c r="Q16" s="5"/>
      <c r="R16" s="5"/>
      <c r="S16" s="5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15">
      <c r="A17" s="15" t="s">
        <v>19</v>
      </c>
      <c r="B17" s="10"/>
      <c r="C17" s="56"/>
      <c r="D17" s="71"/>
      <c r="E17" s="40"/>
      <c r="F17" s="10"/>
      <c r="G17" s="10"/>
      <c r="H17" s="10"/>
      <c r="I17" s="40"/>
      <c r="J17" s="56"/>
      <c r="K17" s="75"/>
      <c r="L17" s="89"/>
      <c r="M17" s="5"/>
      <c r="N17" s="5"/>
      <c r="O17" s="5"/>
      <c r="P17" s="5"/>
      <c r="Q17" s="5"/>
      <c r="R17" s="5"/>
      <c r="S17" s="5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15">
      <c r="A18" s="15" t="s">
        <v>20</v>
      </c>
      <c r="B18" s="10"/>
      <c r="C18" s="56"/>
      <c r="D18" s="71"/>
      <c r="E18" s="40"/>
      <c r="F18" s="10"/>
      <c r="G18" s="10"/>
      <c r="H18" s="10"/>
      <c r="I18" s="40"/>
      <c r="J18" s="56"/>
      <c r="K18" s="75"/>
      <c r="L18" s="89"/>
      <c r="M18" s="5"/>
      <c r="N18" s="5"/>
      <c r="O18" s="5"/>
      <c r="P18" s="5"/>
      <c r="Q18" s="5"/>
      <c r="R18" s="5"/>
      <c r="S18" s="5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15">
      <c r="A19" s="15" t="s">
        <v>21</v>
      </c>
      <c r="B19" s="10"/>
      <c r="C19" s="56"/>
      <c r="D19" s="71"/>
      <c r="E19" s="40"/>
      <c r="F19" s="10"/>
      <c r="G19" s="10"/>
      <c r="H19" s="10"/>
      <c r="I19" s="40"/>
      <c r="J19" s="56"/>
      <c r="K19" s="75"/>
      <c r="L19" s="89"/>
      <c r="M19" s="5"/>
      <c r="N19" s="5"/>
      <c r="O19" s="5"/>
      <c r="P19" s="5"/>
      <c r="Q19" s="5"/>
      <c r="R19" s="5"/>
      <c r="S19" s="5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15">
      <c r="A20" s="15" t="s">
        <v>22</v>
      </c>
      <c r="B20" s="10"/>
      <c r="C20" s="56"/>
      <c r="D20" s="71"/>
      <c r="E20" s="40"/>
      <c r="F20" s="10"/>
      <c r="G20" s="10"/>
      <c r="H20" s="10"/>
      <c r="I20" s="40"/>
      <c r="J20" s="56"/>
      <c r="K20" s="75"/>
      <c r="L20" s="89"/>
      <c r="M20" s="5"/>
      <c r="N20" s="5"/>
      <c r="O20" s="5"/>
      <c r="P20" s="5"/>
      <c r="Q20" s="5"/>
      <c r="R20" s="5"/>
      <c r="S20" s="5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15">
      <c r="A21" s="15" t="s">
        <v>23</v>
      </c>
      <c r="B21" s="10"/>
      <c r="C21" s="56"/>
      <c r="D21" s="71"/>
      <c r="E21" s="40"/>
      <c r="F21" s="10"/>
      <c r="G21" s="10"/>
      <c r="H21" s="10"/>
      <c r="I21" s="40"/>
      <c r="J21" s="56"/>
      <c r="K21" s="75"/>
      <c r="L21" s="89"/>
      <c r="M21" s="5"/>
      <c r="N21" s="5"/>
      <c r="O21" s="5"/>
      <c r="P21" s="5"/>
      <c r="Q21" s="5"/>
      <c r="R21" s="5"/>
      <c r="S21" s="5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4.25" thickBot="1" x14ac:dyDescent="0.2">
      <c r="A22" s="25" t="s">
        <v>24</v>
      </c>
      <c r="B22" s="27"/>
      <c r="C22" s="58"/>
      <c r="D22" s="73"/>
      <c r="E22" s="42">
        <v>4.1666666666666664E-2</v>
      </c>
      <c r="F22" s="26">
        <v>4.1666666666666664E-2</v>
      </c>
      <c r="G22" s="26">
        <v>4.1666666666666664E-2</v>
      </c>
      <c r="H22" s="27"/>
      <c r="I22" s="42">
        <v>4.1666666666666664E-2</v>
      </c>
      <c r="J22" s="58"/>
      <c r="K22" s="101">
        <f>SUM(E22:J22)</f>
        <v>0.16666666666666666</v>
      </c>
      <c r="L22" s="91">
        <v>0.16666666666666666</v>
      </c>
      <c r="M22" s="5"/>
      <c r="N22" s="5"/>
      <c r="O22" s="5"/>
      <c r="P22" s="5"/>
      <c r="Q22" s="5"/>
      <c r="R22" s="5"/>
      <c r="S22" s="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15">
      <c r="A23" s="23" t="s">
        <v>29</v>
      </c>
      <c r="B23" s="28">
        <v>365000</v>
      </c>
      <c r="C23" s="59">
        <v>0</v>
      </c>
      <c r="D23" s="74">
        <f>SUM(B23:C23)</f>
        <v>365000</v>
      </c>
      <c r="E23" s="43">
        <v>177000</v>
      </c>
      <c r="F23" s="28">
        <v>187000</v>
      </c>
      <c r="G23" s="28">
        <v>187000</v>
      </c>
      <c r="H23" s="28">
        <v>177000</v>
      </c>
      <c r="I23" s="43">
        <v>187000</v>
      </c>
      <c r="J23" s="59">
        <v>170000</v>
      </c>
      <c r="K23" s="74">
        <f>SUM(E23:J23)</f>
        <v>1085000</v>
      </c>
      <c r="L23" s="92">
        <v>1450000</v>
      </c>
      <c r="M23" s="5"/>
      <c r="N23" s="5"/>
      <c r="O23" s="5"/>
      <c r="P23" s="5"/>
      <c r="Q23" s="5"/>
      <c r="R23" s="5"/>
      <c r="S23" s="5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15">
      <c r="A24" s="15" t="s">
        <v>30</v>
      </c>
      <c r="B24" s="10">
        <v>0</v>
      </c>
      <c r="C24" s="56">
        <v>0</v>
      </c>
      <c r="D24" s="75">
        <f t="shared" ref="D24:D74" si="1">SUM(B24:C24)</f>
        <v>0</v>
      </c>
      <c r="E24" s="40">
        <v>0</v>
      </c>
      <c r="F24" s="10">
        <v>5000</v>
      </c>
      <c r="G24" s="10">
        <v>0</v>
      </c>
      <c r="H24" s="10">
        <v>0</v>
      </c>
      <c r="I24" s="40">
        <v>0</v>
      </c>
      <c r="J24" s="56">
        <v>0</v>
      </c>
      <c r="K24" s="75">
        <f t="shared" ref="K24:K74" si="2">SUM(E24:J24)</f>
        <v>5000</v>
      </c>
      <c r="L24" s="89">
        <v>5000</v>
      </c>
      <c r="M24" s="5"/>
      <c r="N24" s="5"/>
      <c r="O24" s="5"/>
      <c r="P24" s="5"/>
      <c r="Q24" s="5"/>
      <c r="R24" s="5"/>
      <c r="S24" s="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15">
      <c r="A25" s="15" t="s">
        <v>31</v>
      </c>
      <c r="B25" s="10">
        <v>0</v>
      </c>
      <c r="C25" s="56">
        <v>0</v>
      </c>
      <c r="D25" s="75">
        <f t="shared" si="1"/>
        <v>0</v>
      </c>
      <c r="E25" s="40">
        <v>0</v>
      </c>
      <c r="F25" s="10">
        <v>0</v>
      </c>
      <c r="G25" s="10">
        <v>0</v>
      </c>
      <c r="H25" s="10">
        <v>6000</v>
      </c>
      <c r="I25" s="40">
        <v>0</v>
      </c>
      <c r="J25" s="56">
        <v>0</v>
      </c>
      <c r="K25" s="75">
        <f t="shared" si="2"/>
        <v>6000</v>
      </c>
      <c r="L25" s="89">
        <v>6000</v>
      </c>
      <c r="M25" s="5"/>
      <c r="N25" s="5"/>
      <c r="O25" s="5"/>
      <c r="P25" s="5"/>
      <c r="Q25" s="5"/>
      <c r="R25" s="5"/>
      <c r="S25" s="5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15">
      <c r="A26" s="15" t="s">
        <v>32</v>
      </c>
      <c r="B26" s="10">
        <v>0</v>
      </c>
      <c r="C26" s="56">
        <v>0</v>
      </c>
      <c r="D26" s="75">
        <f t="shared" si="1"/>
        <v>0</v>
      </c>
      <c r="E26" s="40">
        <v>0</v>
      </c>
      <c r="F26" s="10">
        <v>0</v>
      </c>
      <c r="G26" s="10">
        <v>0</v>
      </c>
      <c r="H26" s="10">
        <v>0</v>
      </c>
      <c r="I26" s="40">
        <v>0</v>
      </c>
      <c r="J26" s="56">
        <v>0</v>
      </c>
      <c r="K26" s="75">
        <f t="shared" si="2"/>
        <v>0</v>
      </c>
      <c r="L26" s="89">
        <v>0</v>
      </c>
      <c r="M26" s="5"/>
      <c r="N26" s="5"/>
      <c r="O26" s="5"/>
      <c r="P26" s="5"/>
      <c r="Q26" s="5"/>
      <c r="R26" s="5"/>
      <c r="S26" s="5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15">
      <c r="A27" s="15" t="s">
        <v>33</v>
      </c>
      <c r="B27" s="10">
        <v>0</v>
      </c>
      <c r="C27" s="56">
        <v>0</v>
      </c>
      <c r="D27" s="75">
        <f t="shared" si="1"/>
        <v>0</v>
      </c>
      <c r="E27" s="40">
        <v>83475</v>
      </c>
      <c r="F27" s="10">
        <v>74776</v>
      </c>
      <c r="G27" s="10">
        <v>67200</v>
      </c>
      <c r="H27" s="10">
        <v>57540</v>
      </c>
      <c r="I27" s="40">
        <v>70000</v>
      </c>
      <c r="J27" s="56">
        <v>33098</v>
      </c>
      <c r="K27" s="75">
        <f t="shared" si="2"/>
        <v>386089</v>
      </c>
      <c r="L27" s="89">
        <v>386089</v>
      </c>
      <c r="M27" s="5"/>
      <c r="N27" s="5"/>
      <c r="O27" s="5"/>
      <c r="P27" s="5"/>
      <c r="Q27" s="5"/>
      <c r="R27" s="5"/>
      <c r="S27" s="5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15">
      <c r="A28" s="15" t="s">
        <v>34</v>
      </c>
      <c r="B28" s="10">
        <v>0</v>
      </c>
      <c r="C28" s="56">
        <v>0</v>
      </c>
      <c r="D28" s="75">
        <f t="shared" si="1"/>
        <v>0</v>
      </c>
      <c r="E28" s="40">
        <v>0</v>
      </c>
      <c r="F28" s="10">
        <v>0</v>
      </c>
      <c r="G28" s="10">
        <v>0</v>
      </c>
      <c r="H28" s="10">
        <v>0</v>
      </c>
      <c r="I28" s="40">
        <v>0</v>
      </c>
      <c r="J28" s="56">
        <v>0</v>
      </c>
      <c r="K28" s="75">
        <f t="shared" si="2"/>
        <v>0</v>
      </c>
      <c r="L28" s="89">
        <v>0</v>
      </c>
      <c r="M28" s="5"/>
      <c r="N28" s="5"/>
      <c r="O28" s="5"/>
      <c r="P28" s="5"/>
      <c r="Q28" s="5"/>
      <c r="R28" s="5"/>
      <c r="S28" s="5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15">
      <c r="A29" s="15" t="s">
        <v>35</v>
      </c>
      <c r="B29" s="10">
        <v>0</v>
      </c>
      <c r="C29" s="56">
        <v>0</v>
      </c>
      <c r="D29" s="75">
        <f t="shared" si="1"/>
        <v>0</v>
      </c>
      <c r="E29" s="40">
        <v>0</v>
      </c>
      <c r="F29" s="10">
        <v>0</v>
      </c>
      <c r="G29" s="10">
        <v>0</v>
      </c>
      <c r="H29" s="10">
        <v>0</v>
      </c>
      <c r="I29" s="40">
        <v>0</v>
      </c>
      <c r="J29" s="56">
        <v>0</v>
      </c>
      <c r="K29" s="75">
        <f t="shared" si="2"/>
        <v>0</v>
      </c>
      <c r="L29" s="89">
        <v>0</v>
      </c>
      <c r="M29" s="5"/>
      <c r="N29" s="5"/>
      <c r="O29" s="5"/>
      <c r="P29" s="5"/>
      <c r="Q29" s="5"/>
      <c r="R29" s="5"/>
      <c r="S29" s="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15">
      <c r="A30" s="15" t="s">
        <v>36</v>
      </c>
      <c r="B30" s="10">
        <v>0</v>
      </c>
      <c r="C30" s="56">
        <v>0</v>
      </c>
      <c r="D30" s="75">
        <f t="shared" si="1"/>
        <v>0</v>
      </c>
      <c r="E30" s="40">
        <v>0</v>
      </c>
      <c r="F30" s="10">
        <v>0</v>
      </c>
      <c r="G30" s="10">
        <v>0</v>
      </c>
      <c r="H30" s="10">
        <v>0</v>
      </c>
      <c r="I30" s="40">
        <v>0</v>
      </c>
      <c r="J30" s="56">
        <v>0</v>
      </c>
      <c r="K30" s="75">
        <f t="shared" si="2"/>
        <v>0</v>
      </c>
      <c r="L30" s="89">
        <v>0</v>
      </c>
      <c r="M30" s="5"/>
      <c r="N30" s="5"/>
      <c r="O30" s="5"/>
      <c r="P30" s="5"/>
      <c r="Q30" s="5"/>
      <c r="R30" s="5"/>
      <c r="S30" s="5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15">
      <c r="A31" s="15" t="s">
        <v>37</v>
      </c>
      <c r="B31" s="10">
        <v>0</v>
      </c>
      <c r="C31" s="56">
        <v>93730</v>
      </c>
      <c r="D31" s="75">
        <f t="shared" si="1"/>
        <v>93730</v>
      </c>
      <c r="E31" s="40">
        <v>0</v>
      </c>
      <c r="F31" s="10">
        <v>0</v>
      </c>
      <c r="G31" s="10">
        <v>0</v>
      </c>
      <c r="H31" s="10">
        <v>0</v>
      </c>
      <c r="I31" s="40">
        <v>0</v>
      </c>
      <c r="J31" s="56">
        <v>0</v>
      </c>
      <c r="K31" s="75">
        <f t="shared" si="2"/>
        <v>0</v>
      </c>
      <c r="L31" s="89">
        <v>93730</v>
      </c>
      <c r="M31" s="5"/>
      <c r="N31" s="5"/>
      <c r="O31" s="5"/>
      <c r="P31" s="5"/>
      <c r="Q31" s="5"/>
      <c r="R31" s="5"/>
      <c r="S31" s="5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15">
      <c r="A32" s="15" t="s">
        <v>38</v>
      </c>
      <c r="B32" s="10">
        <v>0</v>
      </c>
      <c r="C32" s="56">
        <v>0</v>
      </c>
      <c r="D32" s="75">
        <f t="shared" si="1"/>
        <v>0</v>
      </c>
      <c r="E32" s="40">
        <v>0</v>
      </c>
      <c r="F32" s="10">
        <v>0</v>
      </c>
      <c r="G32" s="10">
        <v>0</v>
      </c>
      <c r="H32" s="10">
        <v>0</v>
      </c>
      <c r="I32" s="40">
        <v>0</v>
      </c>
      <c r="J32" s="56">
        <v>0</v>
      </c>
      <c r="K32" s="75">
        <f t="shared" si="2"/>
        <v>0</v>
      </c>
      <c r="L32" s="89">
        <v>0</v>
      </c>
      <c r="M32" s="5"/>
      <c r="N32" s="5"/>
      <c r="O32" s="5"/>
      <c r="P32" s="5"/>
      <c r="Q32" s="5"/>
      <c r="R32" s="5"/>
      <c r="S32" s="5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15">
      <c r="A33" s="15" t="s">
        <v>39</v>
      </c>
      <c r="B33" s="10">
        <v>0</v>
      </c>
      <c r="C33" s="56">
        <v>0</v>
      </c>
      <c r="D33" s="75">
        <f t="shared" si="1"/>
        <v>0</v>
      </c>
      <c r="E33" s="40">
        <v>0</v>
      </c>
      <c r="F33" s="10">
        <v>0</v>
      </c>
      <c r="G33" s="10">
        <v>0</v>
      </c>
      <c r="H33" s="10">
        <v>0</v>
      </c>
      <c r="I33" s="40">
        <v>0</v>
      </c>
      <c r="J33" s="56">
        <v>0</v>
      </c>
      <c r="K33" s="75">
        <f t="shared" si="2"/>
        <v>0</v>
      </c>
      <c r="L33" s="89">
        <v>0</v>
      </c>
      <c r="M33" s="5"/>
      <c r="N33" s="5"/>
      <c r="O33" s="5"/>
      <c r="P33" s="5"/>
      <c r="Q33" s="5"/>
      <c r="R33" s="5"/>
      <c r="S33" s="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15">
      <c r="A34" s="15" t="s">
        <v>40</v>
      </c>
      <c r="B34" s="10">
        <v>0</v>
      </c>
      <c r="C34" s="56">
        <v>0</v>
      </c>
      <c r="D34" s="75">
        <f t="shared" si="1"/>
        <v>0</v>
      </c>
      <c r="E34" s="40">
        <v>0</v>
      </c>
      <c r="F34" s="10">
        <v>0</v>
      </c>
      <c r="G34" s="10">
        <v>0</v>
      </c>
      <c r="H34" s="10">
        <v>0</v>
      </c>
      <c r="I34" s="40">
        <v>0</v>
      </c>
      <c r="J34" s="56">
        <v>0</v>
      </c>
      <c r="K34" s="75">
        <f t="shared" si="2"/>
        <v>0</v>
      </c>
      <c r="L34" s="89">
        <v>0</v>
      </c>
      <c r="M34" s="5"/>
      <c r="N34" s="5"/>
      <c r="O34" s="5"/>
      <c r="P34" s="5"/>
      <c r="Q34" s="5"/>
      <c r="R34" s="5"/>
      <c r="S34" s="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15">
      <c r="A35" s="15" t="s">
        <v>41</v>
      </c>
      <c r="B35" s="10">
        <v>0</v>
      </c>
      <c r="C35" s="56">
        <v>0</v>
      </c>
      <c r="D35" s="75">
        <f t="shared" si="1"/>
        <v>0</v>
      </c>
      <c r="E35" s="40">
        <v>0</v>
      </c>
      <c r="F35" s="10">
        <v>0</v>
      </c>
      <c r="G35" s="10">
        <v>0</v>
      </c>
      <c r="H35" s="10">
        <v>0</v>
      </c>
      <c r="I35" s="40">
        <v>0</v>
      </c>
      <c r="J35" s="56">
        <v>0</v>
      </c>
      <c r="K35" s="75">
        <f t="shared" si="2"/>
        <v>0</v>
      </c>
      <c r="L35" s="89">
        <v>0</v>
      </c>
      <c r="M35" s="5"/>
      <c r="N35" s="5"/>
      <c r="O35" s="5"/>
      <c r="P35" s="5"/>
      <c r="Q35" s="5"/>
      <c r="R35" s="5"/>
      <c r="S35" s="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15">
      <c r="A36" s="15" t="s">
        <v>42</v>
      </c>
      <c r="B36" s="10">
        <v>0</v>
      </c>
      <c r="C36" s="56">
        <v>0</v>
      </c>
      <c r="D36" s="75">
        <f t="shared" si="1"/>
        <v>0</v>
      </c>
      <c r="E36" s="40">
        <v>0</v>
      </c>
      <c r="F36" s="10">
        <v>0</v>
      </c>
      <c r="G36" s="10">
        <v>0</v>
      </c>
      <c r="H36" s="10">
        <v>0</v>
      </c>
      <c r="I36" s="40">
        <v>0</v>
      </c>
      <c r="J36" s="56">
        <v>0</v>
      </c>
      <c r="K36" s="75">
        <f t="shared" si="2"/>
        <v>0</v>
      </c>
      <c r="L36" s="89">
        <v>0</v>
      </c>
      <c r="M36" s="5"/>
      <c r="N36" s="5"/>
      <c r="O36" s="5"/>
      <c r="P36" s="5"/>
      <c r="Q36" s="5"/>
      <c r="R36" s="5"/>
      <c r="S36" s="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15">
      <c r="A37" s="15" t="s">
        <v>43</v>
      </c>
      <c r="B37" s="10">
        <v>0</v>
      </c>
      <c r="C37" s="56">
        <v>0</v>
      </c>
      <c r="D37" s="75">
        <f t="shared" si="1"/>
        <v>0</v>
      </c>
      <c r="E37" s="40">
        <v>0</v>
      </c>
      <c r="F37" s="10">
        <v>0</v>
      </c>
      <c r="G37" s="10">
        <v>0</v>
      </c>
      <c r="H37" s="10">
        <v>0</v>
      </c>
      <c r="I37" s="40">
        <v>0</v>
      </c>
      <c r="J37" s="56">
        <v>0</v>
      </c>
      <c r="K37" s="75">
        <f t="shared" si="2"/>
        <v>0</v>
      </c>
      <c r="L37" s="89">
        <v>0</v>
      </c>
      <c r="M37" s="5"/>
      <c r="N37" s="5"/>
      <c r="O37" s="5"/>
      <c r="P37" s="5"/>
      <c r="Q37" s="5"/>
      <c r="R37" s="5"/>
      <c r="S37" s="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15">
      <c r="A38" s="15" t="s">
        <v>44</v>
      </c>
      <c r="B38" s="10">
        <v>0</v>
      </c>
      <c r="C38" s="56">
        <v>0</v>
      </c>
      <c r="D38" s="75">
        <f t="shared" si="1"/>
        <v>0</v>
      </c>
      <c r="E38" s="40">
        <v>0</v>
      </c>
      <c r="F38" s="10">
        <v>0</v>
      </c>
      <c r="G38" s="10">
        <v>0</v>
      </c>
      <c r="H38" s="10">
        <v>0</v>
      </c>
      <c r="I38" s="40">
        <v>0</v>
      </c>
      <c r="J38" s="56">
        <v>0</v>
      </c>
      <c r="K38" s="75">
        <f t="shared" si="2"/>
        <v>0</v>
      </c>
      <c r="L38" s="89">
        <v>0</v>
      </c>
      <c r="M38" s="5"/>
      <c r="N38" s="5"/>
      <c r="O38" s="5"/>
      <c r="P38" s="5"/>
      <c r="Q38" s="5"/>
      <c r="R38" s="5"/>
      <c r="S38" s="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15">
      <c r="A39" s="15" t="s">
        <v>45</v>
      </c>
      <c r="B39" s="10">
        <v>0</v>
      </c>
      <c r="C39" s="56">
        <v>0</v>
      </c>
      <c r="D39" s="75">
        <f t="shared" si="1"/>
        <v>0</v>
      </c>
      <c r="E39" s="40">
        <v>0</v>
      </c>
      <c r="F39" s="10">
        <v>0</v>
      </c>
      <c r="G39" s="10">
        <v>0</v>
      </c>
      <c r="H39" s="10">
        <v>0</v>
      </c>
      <c r="I39" s="40">
        <v>0</v>
      </c>
      <c r="J39" s="56">
        <v>0</v>
      </c>
      <c r="K39" s="75">
        <f t="shared" si="2"/>
        <v>0</v>
      </c>
      <c r="L39" s="89">
        <v>0</v>
      </c>
      <c r="M39" s="5"/>
      <c r="N39" s="5"/>
      <c r="O39" s="5"/>
      <c r="P39" s="5"/>
      <c r="Q39" s="5"/>
      <c r="R39" s="5"/>
      <c r="S39" s="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15">
      <c r="A40" s="15" t="s">
        <v>46</v>
      </c>
      <c r="B40" s="10">
        <v>0</v>
      </c>
      <c r="C40" s="56">
        <v>0</v>
      </c>
      <c r="D40" s="75">
        <f t="shared" si="1"/>
        <v>0</v>
      </c>
      <c r="E40" s="40">
        <v>0</v>
      </c>
      <c r="F40" s="10">
        <v>0</v>
      </c>
      <c r="G40" s="10">
        <v>0</v>
      </c>
      <c r="H40" s="10">
        <v>0</v>
      </c>
      <c r="I40" s="40">
        <v>0</v>
      </c>
      <c r="J40" s="56">
        <v>0</v>
      </c>
      <c r="K40" s="75">
        <f t="shared" si="2"/>
        <v>0</v>
      </c>
      <c r="L40" s="89">
        <v>0</v>
      </c>
      <c r="M40" s="5"/>
      <c r="N40" s="5"/>
      <c r="O40" s="5"/>
      <c r="P40" s="5"/>
      <c r="Q40" s="5"/>
      <c r="R40" s="5"/>
      <c r="S40" s="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15">
      <c r="A41" s="15" t="s">
        <v>47</v>
      </c>
      <c r="B41" s="10">
        <v>0</v>
      </c>
      <c r="C41" s="56">
        <v>0</v>
      </c>
      <c r="D41" s="75">
        <f t="shared" si="1"/>
        <v>0</v>
      </c>
      <c r="E41" s="40">
        <v>0</v>
      </c>
      <c r="F41" s="10">
        <v>0</v>
      </c>
      <c r="G41" s="10">
        <v>0</v>
      </c>
      <c r="H41" s="10">
        <v>0</v>
      </c>
      <c r="I41" s="40">
        <v>0</v>
      </c>
      <c r="J41" s="56">
        <v>0</v>
      </c>
      <c r="K41" s="75">
        <f t="shared" si="2"/>
        <v>0</v>
      </c>
      <c r="L41" s="89">
        <v>0</v>
      </c>
      <c r="M41" s="5"/>
      <c r="N41" s="5"/>
      <c r="O41" s="5"/>
      <c r="P41" s="5"/>
      <c r="Q41" s="5"/>
      <c r="R41" s="5"/>
      <c r="S41" s="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15">
      <c r="A42" s="15" t="s">
        <v>48</v>
      </c>
      <c r="B42" s="10">
        <v>0</v>
      </c>
      <c r="C42" s="56">
        <v>0</v>
      </c>
      <c r="D42" s="75">
        <f t="shared" si="1"/>
        <v>0</v>
      </c>
      <c r="E42" s="40">
        <v>0</v>
      </c>
      <c r="F42" s="10">
        <v>0</v>
      </c>
      <c r="G42" s="10">
        <v>0</v>
      </c>
      <c r="H42" s="10">
        <v>0</v>
      </c>
      <c r="I42" s="40">
        <v>0</v>
      </c>
      <c r="J42" s="56">
        <v>0</v>
      </c>
      <c r="K42" s="75">
        <f t="shared" si="2"/>
        <v>0</v>
      </c>
      <c r="L42" s="89">
        <v>0</v>
      </c>
      <c r="M42" s="5"/>
      <c r="N42" s="5"/>
      <c r="O42" s="5"/>
      <c r="P42" s="5"/>
      <c r="Q42" s="5"/>
      <c r="R42" s="5"/>
      <c r="S42" s="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15">
      <c r="A43" s="15" t="s">
        <v>16</v>
      </c>
      <c r="B43" s="10">
        <v>0</v>
      </c>
      <c r="C43" s="56">
        <v>0</v>
      </c>
      <c r="D43" s="75">
        <f t="shared" si="1"/>
        <v>0</v>
      </c>
      <c r="E43" s="40">
        <v>19875</v>
      </c>
      <c r="F43" s="10">
        <v>24446</v>
      </c>
      <c r="G43" s="10">
        <v>29400</v>
      </c>
      <c r="H43" s="10">
        <v>39730</v>
      </c>
      <c r="I43" s="40">
        <v>26600</v>
      </c>
      <c r="J43" s="56">
        <v>43282</v>
      </c>
      <c r="K43" s="75">
        <f t="shared" si="2"/>
        <v>183333</v>
      </c>
      <c r="L43" s="89">
        <v>183333</v>
      </c>
      <c r="M43" s="5"/>
      <c r="N43" s="5"/>
      <c r="O43" s="5"/>
      <c r="P43" s="5"/>
      <c r="Q43" s="5"/>
      <c r="R43" s="5"/>
      <c r="S43" s="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15">
      <c r="A44" s="15" t="s">
        <v>9</v>
      </c>
      <c r="B44" s="10">
        <v>0</v>
      </c>
      <c r="C44" s="56">
        <v>0</v>
      </c>
      <c r="D44" s="75">
        <f t="shared" si="1"/>
        <v>0</v>
      </c>
      <c r="E44" s="40">
        <v>12879</v>
      </c>
      <c r="F44" s="10">
        <v>41931</v>
      </c>
      <c r="G44" s="10">
        <v>43848</v>
      </c>
      <c r="H44" s="10">
        <v>32560</v>
      </c>
      <c r="I44" s="40">
        <v>13608</v>
      </c>
      <c r="J44" s="56">
        <v>32976</v>
      </c>
      <c r="K44" s="75">
        <f t="shared" si="2"/>
        <v>177802</v>
      </c>
      <c r="L44" s="89">
        <v>177802</v>
      </c>
      <c r="M44" s="5"/>
      <c r="N44" s="5"/>
      <c r="O44" s="5"/>
      <c r="P44" s="5"/>
      <c r="Q44" s="5"/>
      <c r="R44" s="5"/>
      <c r="S44" s="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15">
      <c r="A45" s="15" t="s">
        <v>10</v>
      </c>
      <c r="B45" s="10">
        <v>0</v>
      </c>
      <c r="C45" s="56">
        <v>0</v>
      </c>
      <c r="D45" s="75">
        <f t="shared" si="1"/>
        <v>0</v>
      </c>
      <c r="E45" s="40">
        <v>0</v>
      </c>
      <c r="F45" s="10">
        <v>0</v>
      </c>
      <c r="G45" s="10">
        <v>27216</v>
      </c>
      <c r="H45" s="10">
        <v>22200</v>
      </c>
      <c r="I45" s="40">
        <v>18144</v>
      </c>
      <c r="J45" s="56">
        <v>0</v>
      </c>
      <c r="K45" s="75">
        <f t="shared" si="2"/>
        <v>67560</v>
      </c>
      <c r="L45" s="89">
        <v>67560</v>
      </c>
      <c r="M45" s="5"/>
      <c r="N45" s="5"/>
      <c r="O45" s="5"/>
      <c r="P45" s="5"/>
      <c r="Q45" s="5"/>
      <c r="R45" s="5"/>
      <c r="S45" s="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15">
      <c r="A46" s="15" t="s">
        <v>49</v>
      </c>
      <c r="B46" s="10">
        <v>0</v>
      </c>
      <c r="C46" s="56">
        <v>0</v>
      </c>
      <c r="D46" s="75">
        <f t="shared" si="1"/>
        <v>0</v>
      </c>
      <c r="E46" s="40">
        <v>0</v>
      </c>
      <c r="F46" s="10">
        <v>0</v>
      </c>
      <c r="G46" s="10">
        <v>0</v>
      </c>
      <c r="H46" s="10">
        <v>0</v>
      </c>
      <c r="I46" s="40">
        <v>0</v>
      </c>
      <c r="J46" s="56">
        <v>0</v>
      </c>
      <c r="K46" s="75">
        <f t="shared" si="2"/>
        <v>0</v>
      </c>
      <c r="L46" s="89">
        <v>0</v>
      </c>
      <c r="M46" s="5"/>
      <c r="N46" s="5"/>
      <c r="O46" s="5"/>
      <c r="P46" s="5"/>
      <c r="Q46" s="5"/>
      <c r="R46" s="5"/>
      <c r="S46" s="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15">
      <c r="A47" s="15" t="s">
        <v>20</v>
      </c>
      <c r="B47" s="10">
        <v>0</v>
      </c>
      <c r="C47" s="56">
        <v>0</v>
      </c>
      <c r="D47" s="75">
        <f t="shared" si="1"/>
        <v>0</v>
      </c>
      <c r="E47" s="40">
        <v>0</v>
      </c>
      <c r="F47" s="10">
        <v>0</v>
      </c>
      <c r="G47" s="10">
        <v>0</v>
      </c>
      <c r="H47" s="10">
        <v>0</v>
      </c>
      <c r="I47" s="40">
        <v>0</v>
      </c>
      <c r="J47" s="56">
        <v>0</v>
      </c>
      <c r="K47" s="75">
        <f t="shared" si="2"/>
        <v>0</v>
      </c>
      <c r="L47" s="89">
        <v>0</v>
      </c>
      <c r="M47" s="5"/>
      <c r="N47" s="5"/>
      <c r="O47" s="5"/>
      <c r="P47" s="5"/>
      <c r="Q47" s="5"/>
      <c r="R47" s="5"/>
      <c r="S47" s="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15">
      <c r="A48" s="15" t="s">
        <v>50</v>
      </c>
      <c r="B48" s="10">
        <v>0</v>
      </c>
      <c r="C48" s="56">
        <v>0</v>
      </c>
      <c r="D48" s="75">
        <f t="shared" si="1"/>
        <v>0</v>
      </c>
      <c r="E48" s="40">
        <v>0</v>
      </c>
      <c r="F48" s="10">
        <v>0</v>
      </c>
      <c r="G48" s="10">
        <v>0</v>
      </c>
      <c r="H48" s="10">
        <v>0</v>
      </c>
      <c r="I48" s="40">
        <v>0</v>
      </c>
      <c r="J48" s="56">
        <v>0</v>
      </c>
      <c r="K48" s="75">
        <f t="shared" si="2"/>
        <v>0</v>
      </c>
      <c r="L48" s="89">
        <v>0</v>
      </c>
      <c r="M48" s="5"/>
      <c r="N48" s="5"/>
      <c r="O48" s="5"/>
      <c r="P48" s="5"/>
      <c r="Q48" s="5"/>
      <c r="R48" s="5"/>
      <c r="S48" s="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19" x14ac:dyDescent="0.15">
      <c r="A49" s="16" t="s">
        <v>24</v>
      </c>
      <c r="B49" s="12">
        <v>0</v>
      </c>
      <c r="C49" s="60">
        <v>0</v>
      </c>
      <c r="D49" s="76">
        <f t="shared" si="1"/>
        <v>0</v>
      </c>
      <c r="E49" s="44">
        <v>265</v>
      </c>
      <c r="F49" s="12">
        <v>288</v>
      </c>
      <c r="G49" s="12">
        <v>280</v>
      </c>
      <c r="H49" s="12">
        <v>0</v>
      </c>
      <c r="I49" s="44">
        <v>280</v>
      </c>
      <c r="J49" s="60">
        <v>0</v>
      </c>
      <c r="K49" s="76">
        <f t="shared" si="2"/>
        <v>1113</v>
      </c>
      <c r="L49" s="93">
        <v>1113</v>
      </c>
      <c r="M49" s="6"/>
      <c r="N49" s="6"/>
      <c r="O49" s="6"/>
      <c r="P49" s="6"/>
      <c r="Q49" s="6"/>
      <c r="R49" s="6"/>
      <c r="S49" s="6"/>
    </row>
    <row r="50" spans="1:19" ht="14.25" thickBot="1" x14ac:dyDescent="0.2">
      <c r="A50" s="17" t="s">
        <v>51</v>
      </c>
      <c r="B50" s="31">
        <v>365000</v>
      </c>
      <c r="C50" s="61">
        <v>93730</v>
      </c>
      <c r="D50" s="77">
        <f t="shared" si="1"/>
        <v>458730</v>
      </c>
      <c r="E50" s="45">
        <v>293494</v>
      </c>
      <c r="F50" s="31">
        <v>333441</v>
      </c>
      <c r="G50" s="31">
        <v>354944</v>
      </c>
      <c r="H50" s="31">
        <v>335030</v>
      </c>
      <c r="I50" s="45">
        <v>315632</v>
      </c>
      <c r="J50" s="61">
        <v>279356</v>
      </c>
      <c r="K50" s="77">
        <f t="shared" si="2"/>
        <v>1911897</v>
      </c>
      <c r="L50" s="94">
        <v>2370627</v>
      </c>
      <c r="M50" s="6"/>
      <c r="N50" s="6"/>
      <c r="O50" s="6"/>
      <c r="P50" s="6"/>
      <c r="Q50" s="6"/>
      <c r="R50" s="6"/>
      <c r="S50" s="6"/>
    </row>
    <row r="51" spans="1:19" x14ac:dyDescent="0.15">
      <c r="A51" s="29" t="s">
        <v>52</v>
      </c>
      <c r="B51" s="30">
        <v>3849</v>
      </c>
      <c r="C51" s="62">
        <v>2947</v>
      </c>
      <c r="D51" s="78">
        <f t="shared" si="1"/>
        <v>6796</v>
      </c>
      <c r="E51" s="46">
        <v>4210</v>
      </c>
      <c r="F51" s="30">
        <v>3970</v>
      </c>
      <c r="G51" s="30">
        <v>4511</v>
      </c>
      <c r="H51" s="30">
        <v>8520</v>
      </c>
      <c r="I51" s="46">
        <v>4611</v>
      </c>
      <c r="J51" s="62">
        <v>11547</v>
      </c>
      <c r="K51" s="78">
        <f t="shared" si="2"/>
        <v>37369</v>
      </c>
      <c r="L51" s="95">
        <v>44165</v>
      </c>
      <c r="M51" s="6"/>
      <c r="N51" s="6"/>
      <c r="O51" s="6"/>
      <c r="P51" s="6"/>
      <c r="Q51" s="6"/>
      <c r="R51" s="6"/>
      <c r="S51" s="6"/>
    </row>
    <row r="52" spans="1:19" x14ac:dyDescent="0.15">
      <c r="A52" s="16" t="s">
        <v>53</v>
      </c>
      <c r="B52" s="12">
        <v>0</v>
      </c>
      <c r="C52" s="60">
        <v>0</v>
      </c>
      <c r="D52" s="76">
        <f t="shared" si="1"/>
        <v>0</v>
      </c>
      <c r="E52" s="44">
        <v>0</v>
      </c>
      <c r="F52" s="12">
        <v>0</v>
      </c>
      <c r="G52" s="12">
        <v>0</v>
      </c>
      <c r="H52" s="12">
        <v>0</v>
      </c>
      <c r="I52" s="44">
        <v>0</v>
      </c>
      <c r="J52" s="60">
        <v>0</v>
      </c>
      <c r="K52" s="76">
        <f t="shared" si="2"/>
        <v>0</v>
      </c>
      <c r="L52" s="93">
        <v>0</v>
      </c>
      <c r="M52" s="6"/>
      <c r="N52" s="6"/>
      <c r="O52" s="6"/>
      <c r="P52" s="6"/>
      <c r="Q52" s="6"/>
      <c r="R52" s="6"/>
      <c r="S52" s="6"/>
    </row>
    <row r="53" spans="1:19" ht="14.25" thickBot="1" x14ac:dyDescent="0.2">
      <c r="A53" s="32" t="s">
        <v>54</v>
      </c>
      <c r="B53" s="33">
        <v>3849</v>
      </c>
      <c r="C53" s="63">
        <v>2947</v>
      </c>
      <c r="D53" s="79">
        <f t="shared" si="1"/>
        <v>6796</v>
      </c>
      <c r="E53" s="47">
        <v>4210</v>
      </c>
      <c r="F53" s="33">
        <v>3970</v>
      </c>
      <c r="G53" s="33">
        <v>4511</v>
      </c>
      <c r="H53" s="33">
        <v>8520</v>
      </c>
      <c r="I53" s="47">
        <v>4611</v>
      </c>
      <c r="J53" s="63">
        <v>11547</v>
      </c>
      <c r="K53" s="79">
        <f t="shared" si="2"/>
        <v>37369</v>
      </c>
      <c r="L53" s="96">
        <v>44165</v>
      </c>
    </row>
    <row r="54" spans="1:19" ht="14.25" thickBot="1" x14ac:dyDescent="0.2">
      <c r="A54" s="34" t="s">
        <v>55</v>
      </c>
      <c r="B54" s="35">
        <v>368849</v>
      </c>
      <c r="C54" s="64">
        <v>96677</v>
      </c>
      <c r="D54" s="80">
        <f t="shared" si="1"/>
        <v>465526</v>
      </c>
      <c r="E54" s="48">
        <v>297704</v>
      </c>
      <c r="F54" s="35">
        <v>337411</v>
      </c>
      <c r="G54" s="35">
        <v>359455</v>
      </c>
      <c r="H54" s="35">
        <v>343550</v>
      </c>
      <c r="I54" s="48">
        <v>320243</v>
      </c>
      <c r="J54" s="64">
        <v>290903</v>
      </c>
      <c r="K54" s="80">
        <f t="shared" si="2"/>
        <v>1949266</v>
      </c>
      <c r="L54" s="97">
        <v>2414792</v>
      </c>
    </row>
    <row r="55" spans="1:19" x14ac:dyDescent="0.15">
      <c r="A55" s="29" t="s">
        <v>56</v>
      </c>
      <c r="B55" s="30">
        <v>18360</v>
      </c>
      <c r="C55" s="62">
        <v>0</v>
      </c>
      <c r="D55" s="78">
        <f t="shared" si="1"/>
        <v>18360</v>
      </c>
      <c r="E55" s="46">
        <v>15300</v>
      </c>
      <c r="F55" s="30">
        <v>18360</v>
      </c>
      <c r="G55" s="30">
        <v>16320</v>
      </c>
      <c r="H55" s="30">
        <v>16320</v>
      </c>
      <c r="I55" s="46">
        <v>16320</v>
      </c>
      <c r="J55" s="62">
        <v>13260</v>
      </c>
      <c r="K55" s="78">
        <f t="shared" si="2"/>
        <v>95880</v>
      </c>
      <c r="L55" s="95">
        <v>114240</v>
      </c>
    </row>
    <row r="56" spans="1:19" x14ac:dyDescent="0.15">
      <c r="A56" s="16" t="s">
        <v>57</v>
      </c>
      <c r="B56" s="12">
        <v>3240</v>
      </c>
      <c r="C56" s="60">
        <v>0</v>
      </c>
      <c r="D56" s="76">
        <f t="shared" si="1"/>
        <v>3240</v>
      </c>
      <c r="E56" s="44">
        <v>0</v>
      </c>
      <c r="F56" s="12">
        <v>3240</v>
      </c>
      <c r="G56" s="12">
        <v>2880</v>
      </c>
      <c r="H56" s="12">
        <v>2880</v>
      </c>
      <c r="I56" s="44">
        <v>2880</v>
      </c>
      <c r="J56" s="60">
        <v>2340</v>
      </c>
      <c r="K56" s="76">
        <f t="shared" si="2"/>
        <v>14220</v>
      </c>
      <c r="L56" s="93">
        <v>17460</v>
      </c>
    </row>
    <row r="57" spans="1:19" x14ac:dyDescent="0.15">
      <c r="A57" s="16" t="s">
        <v>58</v>
      </c>
      <c r="B57" s="12">
        <v>32940</v>
      </c>
      <c r="C57" s="60">
        <v>0</v>
      </c>
      <c r="D57" s="76">
        <f t="shared" si="1"/>
        <v>32940</v>
      </c>
      <c r="E57" s="44">
        <v>27450</v>
      </c>
      <c r="F57" s="12">
        <v>32940</v>
      </c>
      <c r="G57" s="12">
        <v>29280</v>
      </c>
      <c r="H57" s="12">
        <v>29280</v>
      </c>
      <c r="I57" s="44">
        <v>29280</v>
      </c>
      <c r="J57" s="60">
        <v>23790</v>
      </c>
      <c r="K57" s="76">
        <f t="shared" si="2"/>
        <v>172020</v>
      </c>
      <c r="L57" s="93">
        <v>204960</v>
      </c>
    </row>
    <row r="58" spans="1:19" x14ac:dyDescent="0.15">
      <c r="A58" s="16" t="s">
        <v>59</v>
      </c>
      <c r="B58" s="12">
        <v>0</v>
      </c>
      <c r="C58" s="60">
        <v>0</v>
      </c>
      <c r="D58" s="76">
        <f t="shared" si="1"/>
        <v>0</v>
      </c>
      <c r="E58" s="44">
        <v>0</v>
      </c>
      <c r="F58" s="12">
        <v>0</v>
      </c>
      <c r="G58" s="12">
        <v>0</v>
      </c>
      <c r="H58" s="12">
        <v>0</v>
      </c>
      <c r="I58" s="44">
        <v>0</v>
      </c>
      <c r="J58" s="60">
        <v>0</v>
      </c>
      <c r="K58" s="76">
        <f t="shared" si="2"/>
        <v>0</v>
      </c>
      <c r="L58" s="93">
        <v>0</v>
      </c>
    </row>
    <row r="59" spans="1:19" x14ac:dyDescent="0.15">
      <c r="A59" s="16" t="s">
        <v>60</v>
      </c>
      <c r="B59" s="12">
        <v>1107</v>
      </c>
      <c r="C59" s="60">
        <v>290</v>
      </c>
      <c r="D59" s="76">
        <f t="shared" si="1"/>
        <v>1397</v>
      </c>
      <c r="E59" s="44">
        <v>893</v>
      </c>
      <c r="F59" s="12">
        <v>1012</v>
      </c>
      <c r="G59" s="12">
        <v>1078</v>
      </c>
      <c r="H59" s="12">
        <v>1031</v>
      </c>
      <c r="I59" s="44">
        <v>961</v>
      </c>
      <c r="J59" s="60">
        <v>873</v>
      </c>
      <c r="K59" s="76">
        <f t="shared" si="2"/>
        <v>5848</v>
      </c>
      <c r="L59" s="93">
        <v>7245</v>
      </c>
    </row>
    <row r="60" spans="1:19" x14ac:dyDescent="0.15">
      <c r="A60" s="16" t="s">
        <v>61</v>
      </c>
      <c r="B60" s="12">
        <v>0</v>
      </c>
      <c r="C60" s="60">
        <v>0</v>
      </c>
      <c r="D60" s="76">
        <f t="shared" si="1"/>
        <v>0</v>
      </c>
      <c r="E60" s="44">
        <v>0</v>
      </c>
      <c r="F60" s="12">
        <v>0</v>
      </c>
      <c r="G60" s="12">
        <v>0</v>
      </c>
      <c r="H60" s="12">
        <v>0</v>
      </c>
      <c r="I60" s="44">
        <v>0</v>
      </c>
      <c r="J60" s="60">
        <v>0</v>
      </c>
      <c r="K60" s="76">
        <f t="shared" si="2"/>
        <v>0</v>
      </c>
      <c r="L60" s="93">
        <v>0</v>
      </c>
    </row>
    <row r="61" spans="1:19" ht="14.25" thickBot="1" x14ac:dyDescent="0.2">
      <c r="A61" s="32" t="s">
        <v>62</v>
      </c>
      <c r="B61" s="33">
        <v>55647</v>
      </c>
      <c r="C61" s="63">
        <v>290</v>
      </c>
      <c r="D61" s="79">
        <f t="shared" si="1"/>
        <v>55937</v>
      </c>
      <c r="E61" s="47">
        <v>43643</v>
      </c>
      <c r="F61" s="33">
        <v>55552</v>
      </c>
      <c r="G61" s="33">
        <v>49558</v>
      </c>
      <c r="H61" s="33">
        <v>49511</v>
      </c>
      <c r="I61" s="47">
        <v>49441</v>
      </c>
      <c r="J61" s="63">
        <v>40263</v>
      </c>
      <c r="K61" s="79">
        <f t="shared" si="2"/>
        <v>287968</v>
      </c>
      <c r="L61" s="96">
        <v>343905</v>
      </c>
    </row>
    <row r="62" spans="1:19" ht="14.25" thickBot="1" x14ac:dyDescent="0.2">
      <c r="A62" s="34" t="s">
        <v>63</v>
      </c>
      <c r="B62" s="35">
        <v>309353</v>
      </c>
      <c r="C62" s="64">
        <v>93440</v>
      </c>
      <c r="D62" s="80">
        <f t="shared" si="1"/>
        <v>402793</v>
      </c>
      <c r="E62" s="48">
        <v>249851</v>
      </c>
      <c r="F62" s="35">
        <v>277889</v>
      </c>
      <c r="G62" s="35">
        <v>305386</v>
      </c>
      <c r="H62" s="35">
        <v>285519</v>
      </c>
      <c r="I62" s="48">
        <v>266191</v>
      </c>
      <c r="J62" s="64">
        <v>239093</v>
      </c>
      <c r="K62" s="80">
        <f t="shared" si="2"/>
        <v>1623929</v>
      </c>
      <c r="L62" s="97">
        <v>2026722</v>
      </c>
    </row>
    <row r="63" spans="1:19" x14ac:dyDescent="0.15">
      <c r="A63" s="29" t="s">
        <v>64</v>
      </c>
      <c r="B63" s="30">
        <v>9140</v>
      </c>
      <c r="C63" s="62">
        <v>390</v>
      </c>
      <c r="D63" s="78">
        <f t="shared" si="1"/>
        <v>9530</v>
      </c>
      <c r="E63" s="46">
        <v>6550</v>
      </c>
      <c r="F63" s="30">
        <v>7550</v>
      </c>
      <c r="G63" s="30">
        <v>6940</v>
      </c>
      <c r="H63" s="30">
        <v>7820</v>
      </c>
      <c r="I63" s="46">
        <v>5510</v>
      </c>
      <c r="J63" s="62">
        <v>4550</v>
      </c>
      <c r="K63" s="78">
        <f t="shared" si="2"/>
        <v>38920</v>
      </c>
      <c r="L63" s="95">
        <v>48450</v>
      </c>
    </row>
    <row r="64" spans="1:19" x14ac:dyDescent="0.15">
      <c r="A64" s="16" t="s">
        <v>65</v>
      </c>
      <c r="B64" s="12">
        <v>0</v>
      </c>
      <c r="C64" s="60">
        <v>0</v>
      </c>
      <c r="D64" s="76">
        <f t="shared" si="1"/>
        <v>0</v>
      </c>
      <c r="E64" s="44">
        <v>0</v>
      </c>
      <c r="F64" s="12">
        <v>0</v>
      </c>
      <c r="G64" s="12">
        <v>0</v>
      </c>
      <c r="H64" s="12">
        <v>0</v>
      </c>
      <c r="I64" s="44">
        <v>0</v>
      </c>
      <c r="J64" s="60">
        <v>0</v>
      </c>
      <c r="K64" s="76">
        <f t="shared" si="2"/>
        <v>0</v>
      </c>
      <c r="L64" s="93">
        <v>0</v>
      </c>
    </row>
    <row r="65" spans="1:12" x14ac:dyDescent="0.15">
      <c r="A65" s="16" t="s">
        <v>66</v>
      </c>
      <c r="B65" s="12">
        <v>18600</v>
      </c>
      <c r="C65" s="60">
        <v>500</v>
      </c>
      <c r="D65" s="76">
        <f t="shared" si="1"/>
        <v>19100</v>
      </c>
      <c r="E65" s="44">
        <v>11400</v>
      </c>
      <c r="F65" s="12">
        <v>14000</v>
      </c>
      <c r="G65" s="12">
        <v>1500</v>
      </c>
      <c r="H65" s="12">
        <v>4000</v>
      </c>
      <c r="I65" s="44">
        <v>9700</v>
      </c>
      <c r="J65" s="60">
        <v>0</v>
      </c>
      <c r="K65" s="76">
        <f t="shared" si="2"/>
        <v>40600</v>
      </c>
      <c r="L65" s="93">
        <v>59700</v>
      </c>
    </row>
    <row r="66" spans="1:12" x14ac:dyDescent="0.15">
      <c r="A66" s="16" t="s">
        <v>67</v>
      </c>
      <c r="B66" s="12">
        <v>0</v>
      </c>
      <c r="C66" s="60">
        <v>0</v>
      </c>
      <c r="D66" s="76">
        <f t="shared" si="1"/>
        <v>0</v>
      </c>
      <c r="E66" s="44">
        <v>0</v>
      </c>
      <c r="F66" s="12">
        <v>0</v>
      </c>
      <c r="G66" s="12">
        <v>5000</v>
      </c>
      <c r="H66" s="12">
        <v>0</v>
      </c>
      <c r="I66" s="44">
        <v>0</v>
      </c>
      <c r="J66" s="60">
        <v>0</v>
      </c>
      <c r="K66" s="76">
        <f t="shared" si="2"/>
        <v>5000</v>
      </c>
      <c r="L66" s="93">
        <v>5000</v>
      </c>
    </row>
    <row r="67" spans="1:12" x14ac:dyDescent="0.15">
      <c r="A67" s="16" t="s">
        <v>68</v>
      </c>
      <c r="B67" s="12">
        <v>0</v>
      </c>
      <c r="C67" s="60">
        <v>0</v>
      </c>
      <c r="D67" s="76">
        <f t="shared" si="1"/>
        <v>0</v>
      </c>
      <c r="E67" s="44">
        <v>0</v>
      </c>
      <c r="F67" s="12">
        <v>0</v>
      </c>
      <c r="G67" s="12">
        <v>0</v>
      </c>
      <c r="H67" s="12">
        <v>0</v>
      </c>
      <c r="I67" s="44">
        <v>0</v>
      </c>
      <c r="J67" s="60">
        <v>0</v>
      </c>
      <c r="K67" s="76">
        <f t="shared" si="2"/>
        <v>0</v>
      </c>
      <c r="L67" s="93">
        <v>0</v>
      </c>
    </row>
    <row r="68" spans="1:12" x14ac:dyDescent="0.15">
      <c r="A68" s="16" t="s">
        <v>69</v>
      </c>
      <c r="B68" s="12">
        <v>0</v>
      </c>
      <c r="C68" s="60">
        <v>0</v>
      </c>
      <c r="D68" s="76">
        <f t="shared" si="1"/>
        <v>0</v>
      </c>
      <c r="E68" s="44">
        <v>0</v>
      </c>
      <c r="F68" s="12">
        <v>0</v>
      </c>
      <c r="G68" s="12">
        <v>0</v>
      </c>
      <c r="H68" s="12">
        <v>0</v>
      </c>
      <c r="I68" s="44">
        <v>0</v>
      </c>
      <c r="J68" s="60">
        <v>0</v>
      </c>
      <c r="K68" s="76">
        <f t="shared" si="2"/>
        <v>0</v>
      </c>
      <c r="L68" s="93">
        <v>0</v>
      </c>
    </row>
    <row r="69" spans="1:12" x14ac:dyDescent="0.15">
      <c r="A69" s="16" t="s">
        <v>70</v>
      </c>
      <c r="B69" s="12">
        <v>0</v>
      </c>
      <c r="C69" s="60">
        <v>0</v>
      </c>
      <c r="D69" s="76">
        <f t="shared" si="1"/>
        <v>0</v>
      </c>
      <c r="E69" s="44">
        <v>0</v>
      </c>
      <c r="F69" s="12">
        <v>0</v>
      </c>
      <c r="G69" s="12">
        <v>0</v>
      </c>
      <c r="H69" s="12">
        <v>0</v>
      </c>
      <c r="I69" s="44">
        <v>0</v>
      </c>
      <c r="J69" s="60">
        <v>0</v>
      </c>
      <c r="K69" s="76">
        <f t="shared" si="2"/>
        <v>0</v>
      </c>
      <c r="L69" s="93">
        <v>0</v>
      </c>
    </row>
    <row r="70" spans="1:12" ht="14.25" thickBot="1" x14ac:dyDescent="0.2">
      <c r="A70" s="32" t="s">
        <v>71</v>
      </c>
      <c r="B70" s="33">
        <v>27740</v>
      </c>
      <c r="C70" s="63">
        <v>890</v>
      </c>
      <c r="D70" s="79">
        <f t="shared" si="1"/>
        <v>28630</v>
      </c>
      <c r="E70" s="47">
        <v>17950</v>
      </c>
      <c r="F70" s="33">
        <v>21550</v>
      </c>
      <c r="G70" s="33">
        <v>13440</v>
      </c>
      <c r="H70" s="33">
        <v>11820</v>
      </c>
      <c r="I70" s="47">
        <v>15210</v>
      </c>
      <c r="J70" s="63">
        <v>4550</v>
      </c>
      <c r="K70" s="79">
        <f t="shared" si="2"/>
        <v>84520</v>
      </c>
      <c r="L70" s="96">
        <v>113150</v>
      </c>
    </row>
    <row r="71" spans="1:12" ht="14.25" thickBot="1" x14ac:dyDescent="0.2">
      <c r="A71" s="34" t="s">
        <v>72</v>
      </c>
      <c r="B71" s="35">
        <v>83387</v>
      </c>
      <c r="C71" s="64">
        <v>1180</v>
      </c>
      <c r="D71" s="80">
        <f t="shared" si="1"/>
        <v>84567</v>
      </c>
      <c r="E71" s="48">
        <v>61593</v>
      </c>
      <c r="F71" s="35">
        <v>77102</v>
      </c>
      <c r="G71" s="35">
        <v>62998</v>
      </c>
      <c r="H71" s="35">
        <v>61331</v>
      </c>
      <c r="I71" s="48">
        <v>64651</v>
      </c>
      <c r="J71" s="64">
        <v>44813</v>
      </c>
      <c r="K71" s="80">
        <f t="shared" si="2"/>
        <v>372488</v>
      </c>
      <c r="L71" s="97">
        <v>457055</v>
      </c>
    </row>
    <row r="72" spans="1:12" ht="14.25" thickBot="1" x14ac:dyDescent="0.2">
      <c r="A72" s="34" t="s">
        <v>73</v>
      </c>
      <c r="B72" s="35">
        <v>285462</v>
      </c>
      <c r="C72" s="64">
        <v>95497</v>
      </c>
      <c r="D72" s="80">
        <f t="shared" si="1"/>
        <v>380959</v>
      </c>
      <c r="E72" s="48">
        <v>236111</v>
      </c>
      <c r="F72" s="35">
        <v>260309</v>
      </c>
      <c r="G72" s="35">
        <v>296457</v>
      </c>
      <c r="H72" s="35">
        <v>282219</v>
      </c>
      <c r="I72" s="48">
        <v>255592</v>
      </c>
      <c r="J72" s="64">
        <v>246090</v>
      </c>
      <c r="K72" s="80">
        <f t="shared" si="2"/>
        <v>1576778</v>
      </c>
      <c r="L72" s="97">
        <v>1957737</v>
      </c>
    </row>
    <row r="73" spans="1:12" x14ac:dyDescent="0.15">
      <c r="A73" s="29" t="s">
        <v>74</v>
      </c>
      <c r="B73" s="30">
        <v>0</v>
      </c>
      <c r="C73" s="62">
        <v>0</v>
      </c>
      <c r="D73" s="78">
        <f t="shared" si="1"/>
        <v>0</v>
      </c>
      <c r="E73" s="46">
        <v>0</v>
      </c>
      <c r="F73" s="30">
        <v>0</v>
      </c>
      <c r="G73" s="30">
        <v>0</v>
      </c>
      <c r="H73" s="30">
        <v>0</v>
      </c>
      <c r="I73" s="46">
        <v>0</v>
      </c>
      <c r="J73" s="62">
        <v>0</v>
      </c>
      <c r="K73" s="78">
        <f t="shared" si="2"/>
        <v>0</v>
      </c>
      <c r="L73" s="95">
        <v>0</v>
      </c>
    </row>
    <row r="74" spans="1:12" x14ac:dyDescent="0.15">
      <c r="A74" s="16" t="s">
        <v>75</v>
      </c>
      <c r="B74" s="12">
        <v>285462</v>
      </c>
      <c r="C74" s="60">
        <v>95497</v>
      </c>
      <c r="D74" s="76">
        <f t="shared" si="1"/>
        <v>380959</v>
      </c>
      <c r="E74" s="44">
        <v>236111</v>
      </c>
      <c r="F74" s="12">
        <v>260309</v>
      </c>
      <c r="G74" s="12">
        <v>296457</v>
      </c>
      <c r="H74" s="12">
        <v>282219</v>
      </c>
      <c r="I74" s="44">
        <v>255592</v>
      </c>
      <c r="J74" s="60">
        <v>246090</v>
      </c>
      <c r="K74" s="76">
        <f t="shared" si="2"/>
        <v>1576778</v>
      </c>
      <c r="L74" s="93">
        <v>1957737</v>
      </c>
    </row>
    <row r="75" spans="1:12" x14ac:dyDescent="0.15">
      <c r="A75" s="16" t="s">
        <v>76</v>
      </c>
      <c r="B75" s="13">
        <v>21</v>
      </c>
      <c r="C75" s="65">
        <v>7</v>
      </c>
      <c r="D75" s="81"/>
      <c r="E75" s="49">
        <v>4</v>
      </c>
      <c r="F75" s="13">
        <v>10</v>
      </c>
      <c r="G75" s="13">
        <v>2</v>
      </c>
      <c r="H75" s="13">
        <v>14</v>
      </c>
      <c r="I75" s="49">
        <v>14</v>
      </c>
      <c r="J75" s="65">
        <v>8</v>
      </c>
      <c r="K75" s="81"/>
      <c r="L75" s="98">
        <v>80</v>
      </c>
    </row>
    <row r="76" spans="1:12" x14ac:dyDescent="0.15">
      <c r="A76" s="16" t="s">
        <v>77</v>
      </c>
      <c r="B76" s="14"/>
      <c r="C76" s="66"/>
      <c r="D76" s="82"/>
      <c r="E76" s="50"/>
      <c r="F76" s="14"/>
      <c r="G76" s="14">
        <v>1</v>
      </c>
      <c r="H76" s="14"/>
      <c r="I76" s="50">
        <v>1</v>
      </c>
      <c r="J76" s="66">
        <v>1</v>
      </c>
      <c r="K76" s="82"/>
      <c r="L76" s="99"/>
    </row>
    <row r="77" spans="1:12" ht="14.25" thickBot="1" x14ac:dyDescent="0.2">
      <c r="A77" s="17" t="s">
        <v>78</v>
      </c>
      <c r="B77" s="18" t="s">
        <v>79</v>
      </c>
      <c r="C77" s="67" t="s">
        <v>79</v>
      </c>
      <c r="D77" s="83"/>
      <c r="E77" s="51" t="s">
        <v>79</v>
      </c>
      <c r="F77" s="18" t="s">
        <v>79</v>
      </c>
      <c r="G77" s="18" t="s">
        <v>79</v>
      </c>
      <c r="H77" s="18" t="s">
        <v>79</v>
      </c>
      <c r="I77" s="51" t="s">
        <v>79</v>
      </c>
      <c r="J77" s="67" t="s">
        <v>79</v>
      </c>
      <c r="K77" s="83"/>
      <c r="L77" s="100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2021-01-13T05:46:36Z</cp:lastPrinted>
  <dcterms:created xsi:type="dcterms:W3CDTF">2011-10-11T01:59:58Z</dcterms:created>
  <dcterms:modified xsi:type="dcterms:W3CDTF">2021-01-13T06:47:00Z</dcterms:modified>
</cp:coreProperties>
</file>