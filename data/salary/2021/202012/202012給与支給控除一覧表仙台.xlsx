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2\"/>
    </mc:Choice>
  </mc:AlternateContent>
  <xr:revisionPtr revIDLastSave="0" documentId="13_ncr:1_{B89C06D6-E2F8-414B-95FF-26C0664DA6F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(2)'!$A$1:$N$75</definedName>
  </definedNames>
  <calcPr calcId="191029"/>
</workbook>
</file>

<file path=xl/calcChain.xml><?xml version="1.0" encoding="utf-8"?>
<calcChain xmlns="http://schemas.openxmlformats.org/spreadsheetml/2006/main">
  <c r="M24" i="2" l="1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23" i="2"/>
  <c r="M22" i="2"/>
  <c r="M18" i="2"/>
  <c r="M15" i="2"/>
  <c r="M16" i="2"/>
  <c r="M14" i="2"/>
  <c r="M8" i="2"/>
  <c r="M9" i="2"/>
  <c r="M10" i="2"/>
  <c r="M7" i="2"/>
  <c r="M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23" i="2"/>
  <c r="E22" i="2"/>
  <c r="E21" i="2"/>
  <c r="E15" i="2"/>
  <c r="E13" i="2"/>
  <c r="E10" i="2"/>
  <c r="E8" i="2"/>
  <c r="E9" i="2"/>
  <c r="E7" i="2"/>
  <c r="E6" i="2"/>
</calcChain>
</file>

<file path=xl/sharedStrings.xml><?xml version="1.0" encoding="utf-8"?>
<sst xmlns="http://schemas.openxmlformats.org/spreadsheetml/2006/main" count="112" uniqueCount="88">
  <si>
    <t>所　属</t>
  </si>
  <si>
    <t>社　員</t>
  </si>
  <si>
    <t>2020年12月分</t>
  </si>
  <si>
    <t>若林運送株式会社</t>
  </si>
  <si>
    <t>締日:12/31</t>
  </si>
  <si>
    <t>支給日:01/15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</si>
  <si>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</si>
  <si>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</si>
  <si>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</si>
  <si>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</si>
  <si>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</si>
  <si>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</si>
  <si>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</si>
  <si>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</si>
  <si>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</si>
  <si>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</si>
  <si>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</si>
  <si>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</si>
  <si>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</si>
  <si>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</si>
  <si>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</si>
  <si>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</si>
  <si>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</si>
  <si>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</si>
  <si>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</si>
  <si>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</si>
  <si>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</si>
  <si>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佐藤　禎尚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</si>
  <si>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</si>
  <si>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</si>
  <si>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</si>
  <si>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</si>
  <si>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</si>
  <si>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</si>
  <si>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</si>
  <si>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</si>
  <si>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</si>
  <si>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</si>
  <si>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</si>
  <si>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</si>
  <si>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</si>
  <si>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</si>
  <si>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</si>
  <si>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</si>
  <si>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</si>
  <si>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</si>
  <si>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</si>
  <si>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</si>
  <si>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</si>
  <si>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</si>
  <si>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</si>
  <si>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</si>
  <si>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</si>
  <si>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</si>
  <si>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</si>
  <si>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</si>
  <si>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</si>
  <si>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</si>
  <si>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</si>
  <si>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</si>
  <si>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</si>
  <si>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</si>
  <si>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</si>
  <si>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</si>
  <si>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</si>
  <si>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</si>
  <si>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</si>
  <si>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</si>
  <si>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</si>
  <si>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</si>
  <si>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</si>
  <si>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</si>
  <si>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</si>
  <si>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</si>
  <si>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</si>
  <si>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</si>
  <si>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</si>
  <si>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</si>
  <si>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</si>
  <si>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</si>
  <si>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</si>
  <si>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</si>
  <si>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佐藤　ゆうこ</t>
  </si>
  <si>
    <t>全社計</t>
  </si>
  <si>
    <t>10名</t>
  </si>
  <si>
    <t>小計</t>
    <rPh sb="0" eb="2">
      <t>ショウケイ</t>
    </rPh>
    <phoneticPr fontId="1"/>
  </si>
  <si>
    <t>３名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</si>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</sst>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40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EFA2-19FE-4976-AA60-59E98677BF51}">
  <sheetPr>
    <pageSetUpPr fitToPage="1"/>
  </sheetPr>
  <dimension ref="A1:AN75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4" width="12.2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6</v>
      </c>
      <c r="C3" s="20" t="s">
        <v>6</v>
      </c>
      <c r="D3" s="52" t="s">
        <v>6</v>
      </c>
      <c r="E3" s="69" t="s">
        <v>85</v>
      </c>
      <c r="F3" s="36" t="s">
        <v>6</v>
      </c>
      <c r="G3" s="20" t="s">
        <v>6</v>
      </c>
      <c r="H3" s="20" t="s">
        <v>6</v>
      </c>
      <c r="I3" s="20" t="s">
        <v>6</v>
      </c>
      <c r="J3" s="36" t="s">
        <v>6</v>
      </c>
      <c r="K3" s="20" t="s">
        <v>6</v>
      </c>
      <c r="L3" s="52" t="s">
        <v>6</v>
      </c>
      <c r="M3" s="69" t="s">
        <v>85</v>
      </c>
      <c r="N3" s="86" t="s">
        <v>83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8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80</v>
      </c>
      <c r="C5" s="22" t="s">
        <v>27</v>
      </c>
      <c r="D5" s="53" t="s">
        <v>82</v>
      </c>
      <c r="E5" s="71" t="s">
        <v>86</v>
      </c>
      <c r="F5" s="37" t="s">
        <v>7</v>
      </c>
      <c r="G5" s="22" t="s">
        <v>25</v>
      </c>
      <c r="H5" s="22" t="s">
        <v>26</v>
      </c>
      <c r="I5" s="22" t="s">
        <v>28</v>
      </c>
      <c r="J5" s="37" t="s">
        <v>78</v>
      </c>
      <c r="K5" s="22" t="s">
        <v>79</v>
      </c>
      <c r="L5" s="53" t="s">
        <v>81</v>
      </c>
      <c r="M5" s="71" t="s">
        <v>87</v>
      </c>
      <c r="N5" s="88" t="s">
        <v>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8</v>
      </c>
      <c r="B6" s="24">
        <v>20</v>
      </c>
      <c r="C6" s="24">
        <v>21</v>
      </c>
      <c r="D6" s="54">
        <v>21</v>
      </c>
      <c r="E6" s="72">
        <f>SUM(B6:D6)</f>
        <v>62</v>
      </c>
      <c r="F6" s="38">
        <v>20</v>
      </c>
      <c r="G6" s="24">
        <v>20</v>
      </c>
      <c r="H6" s="24">
        <v>20</v>
      </c>
      <c r="I6" s="24">
        <v>21</v>
      </c>
      <c r="J6" s="38">
        <v>16</v>
      </c>
      <c r="K6" s="24">
        <v>18</v>
      </c>
      <c r="L6" s="54">
        <v>21</v>
      </c>
      <c r="M6" s="72">
        <f>SUM(F6:L6)</f>
        <v>136</v>
      </c>
      <c r="N6" s="89">
        <v>198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9</v>
      </c>
      <c r="B7" s="10"/>
      <c r="C7" s="9">
        <v>1</v>
      </c>
      <c r="D7" s="55">
        <v>2</v>
      </c>
      <c r="E7" s="73">
        <f>SUM(B7:D7)</f>
        <v>3</v>
      </c>
      <c r="F7" s="39">
        <v>3</v>
      </c>
      <c r="G7" s="9">
        <v>2</v>
      </c>
      <c r="H7" s="9">
        <v>2</v>
      </c>
      <c r="I7" s="9">
        <v>3</v>
      </c>
      <c r="J7" s="39">
        <v>3</v>
      </c>
      <c r="K7" s="9">
        <v>3</v>
      </c>
      <c r="L7" s="55">
        <v>1</v>
      </c>
      <c r="M7" s="73">
        <f>SUM(F7:L7)</f>
        <v>17</v>
      </c>
      <c r="N7" s="90">
        <v>20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10</v>
      </c>
      <c r="B8" s="9">
        <v>1</v>
      </c>
      <c r="C8" s="9">
        <v>2</v>
      </c>
      <c r="D8" s="56"/>
      <c r="E8" s="73">
        <f t="shared" ref="E8:E10" si="0">SUM(B8:D8)</f>
        <v>3</v>
      </c>
      <c r="F8" s="39">
        <v>1</v>
      </c>
      <c r="G8" s="9">
        <v>3</v>
      </c>
      <c r="H8" s="9">
        <v>1</v>
      </c>
      <c r="I8" s="9">
        <v>2</v>
      </c>
      <c r="J8" s="39">
        <v>2</v>
      </c>
      <c r="K8" s="9">
        <v>2</v>
      </c>
      <c r="L8" s="55">
        <v>3</v>
      </c>
      <c r="M8" s="73">
        <f t="shared" ref="M8:M10" si="1">SUM(F8:L8)</f>
        <v>14</v>
      </c>
      <c r="N8" s="90">
        <v>17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11</v>
      </c>
      <c r="B9" s="10"/>
      <c r="C9" s="9">
        <v>1</v>
      </c>
      <c r="D9" s="56"/>
      <c r="E9" s="73">
        <f t="shared" si="0"/>
        <v>1</v>
      </c>
      <c r="F9" s="40"/>
      <c r="G9" s="9">
        <v>2</v>
      </c>
      <c r="H9" s="10"/>
      <c r="I9" s="10"/>
      <c r="J9" s="39">
        <v>2</v>
      </c>
      <c r="K9" s="9">
        <v>1</v>
      </c>
      <c r="L9" s="55">
        <v>1</v>
      </c>
      <c r="M9" s="73">
        <f t="shared" si="1"/>
        <v>6</v>
      </c>
      <c r="N9" s="90">
        <v>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12</v>
      </c>
      <c r="B10" s="9">
        <v>2</v>
      </c>
      <c r="C10" s="10"/>
      <c r="D10" s="55">
        <v>1</v>
      </c>
      <c r="E10" s="73">
        <f t="shared" si="0"/>
        <v>3</v>
      </c>
      <c r="F10" s="39">
        <v>2</v>
      </c>
      <c r="G10" s="10"/>
      <c r="H10" s="9">
        <v>2</v>
      </c>
      <c r="I10" s="9">
        <v>1</v>
      </c>
      <c r="J10" s="39">
        <v>4</v>
      </c>
      <c r="K10" s="9">
        <v>3</v>
      </c>
      <c r="L10" s="56"/>
      <c r="M10" s="73">
        <f t="shared" si="1"/>
        <v>12</v>
      </c>
      <c r="N10" s="90">
        <v>15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13</v>
      </c>
      <c r="B11" s="10"/>
      <c r="C11" s="10"/>
      <c r="D11" s="56"/>
      <c r="E11" s="74"/>
      <c r="F11" s="40"/>
      <c r="G11" s="10"/>
      <c r="H11" s="10"/>
      <c r="I11" s="10"/>
      <c r="J11" s="40"/>
      <c r="K11" s="10"/>
      <c r="L11" s="56"/>
      <c r="M11" s="77"/>
      <c r="N11" s="9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14</v>
      </c>
      <c r="B12" s="10"/>
      <c r="C12" s="10"/>
      <c r="D12" s="56"/>
      <c r="E12" s="74"/>
      <c r="F12" s="40"/>
      <c r="G12" s="10"/>
      <c r="H12" s="10"/>
      <c r="I12" s="10"/>
      <c r="J12" s="40"/>
      <c r="K12" s="10"/>
      <c r="L12" s="56"/>
      <c r="M12" s="77"/>
      <c r="N12" s="9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15</v>
      </c>
      <c r="B13" s="10"/>
      <c r="C13" s="10"/>
      <c r="D13" s="57">
        <v>4.75</v>
      </c>
      <c r="E13" s="75">
        <f>SUM(B13:D13)</f>
        <v>4.75</v>
      </c>
      <c r="F13" s="40"/>
      <c r="G13" s="10"/>
      <c r="H13" s="10"/>
      <c r="I13" s="10"/>
      <c r="J13" s="40"/>
      <c r="K13" s="10"/>
      <c r="L13" s="56"/>
      <c r="M13" s="77"/>
      <c r="N13" s="92">
        <v>4.75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16</v>
      </c>
      <c r="B14" s="10"/>
      <c r="C14" s="10"/>
      <c r="D14" s="56"/>
      <c r="E14" s="74"/>
      <c r="F14" s="41">
        <v>2.7916666666666665</v>
      </c>
      <c r="G14" s="11">
        <v>1.8333333333333333</v>
      </c>
      <c r="H14" s="11">
        <v>2.2916666666666665</v>
      </c>
      <c r="I14" s="11">
        <v>2.2083333333333335</v>
      </c>
      <c r="J14" s="41">
        <v>0.83333333333333337</v>
      </c>
      <c r="K14" s="11">
        <v>2.4166666666666665</v>
      </c>
      <c r="L14" s="57">
        <v>2.0416666666666665</v>
      </c>
      <c r="M14" s="75">
        <f>SUM(F14:L14)</f>
        <v>14.416666666666666</v>
      </c>
      <c r="N14" s="92">
        <v>14.416666666666666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17</v>
      </c>
      <c r="B15" s="10"/>
      <c r="C15" s="10"/>
      <c r="D15" s="57">
        <v>0.375</v>
      </c>
      <c r="E15" s="75">
        <f>SUM(B15:D15)</f>
        <v>0.375</v>
      </c>
      <c r="F15" s="41">
        <v>1.25</v>
      </c>
      <c r="G15" s="11">
        <v>0.625</v>
      </c>
      <c r="H15" s="11">
        <v>0.875</v>
      </c>
      <c r="I15" s="11">
        <v>1.2916666666666667</v>
      </c>
      <c r="J15" s="41">
        <v>1.1666666666666667</v>
      </c>
      <c r="K15" s="11">
        <v>1.2916666666666667</v>
      </c>
      <c r="L15" s="57">
        <v>0.5</v>
      </c>
      <c r="M15" s="75">
        <f t="shared" ref="M15:M16" si="2">SUM(F15:L15)</f>
        <v>7.0000000000000009</v>
      </c>
      <c r="N15" s="92">
        <v>7.375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18</v>
      </c>
      <c r="B16" s="10"/>
      <c r="C16" s="10"/>
      <c r="D16" s="56"/>
      <c r="E16" s="74"/>
      <c r="F16" s="41">
        <v>0.45833333333333331</v>
      </c>
      <c r="G16" s="11">
        <v>0.29166666666666669</v>
      </c>
      <c r="H16" s="11">
        <v>0.5</v>
      </c>
      <c r="I16" s="11">
        <v>1.125</v>
      </c>
      <c r="J16" s="40"/>
      <c r="K16" s="11">
        <v>0.33333333333333331</v>
      </c>
      <c r="L16" s="57">
        <v>0.625</v>
      </c>
      <c r="M16" s="75">
        <f t="shared" si="2"/>
        <v>3.3333333333333335</v>
      </c>
      <c r="N16" s="92">
        <v>3.3333333333333335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19</v>
      </c>
      <c r="B17" s="10"/>
      <c r="C17" s="10"/>
      <c r="D17" s="56"/>
      <c r="E17" s="74"/>
      <c r="F17" s="40"/>
      <c r="G17" s="10"/>
      <c r="H17" s="10"/>
      <c r="I17" s="10"/>
      <c r="J17" s="40"/>
      <c r="K17" s="10"/>
      <c r="L17" s="56"/>
      <c r="M17" s="77"/>
      <c r="N17" s="91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20</v>
      </c>
      <c r="B18" s="10"/>
      <c r="C18" s="10"/>
      <c r="D18" s="56"/>
      <c r="E18" s="74"/>
      <c r="F18" s="40"/>
      <c r="G18" s="11">
        <v>0.54166666666666663</v>
      </c>
      <c r="H18" s="10"/>
      <c r="I18" s="10"/>
      <c r="J18" s="41">
        <v>0.66666666666666663</v>
      </c>
      <c r="K18" s="11">
        <v>0.33333333333333331</v>
      </c>
      <c r="L18" s="57">
        <v>0.41666666666666669</v>
      </c>
      <c r="M18" s="75">
        <f>SUM(F18:L18)</f>
        <v>1.9583333333333333</v>
      </c>
      <c r="N18" s="92">
        <v>1.9583333333333333</v>
      </c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21</v>
      </c>
      <c r="B19" s="10"/>
      <c r="C19" s="10"/>
      <c r="D19" s="56"/>
      <c r="E19" s="74"/>
      <c r="F19" s="40"/>
      <c r="G19" s="10"/>
      <c r="H19" s="10"/>
      <c r="I19" s="10"/>
      <c r="J19" s="40"/>
      <c r="K19" s="10"/>
      <c r="L19" s="56"/>
      <c r="M19" s="77"/>
      <c r="N19" s="91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22</v>
      </c>
      <c r="B20" s="10"/>
      <c r="C20" s="10"/>
      <c r="D20" s="56"/>
      <c r="E20" s="74"/>
      <c r="F20" s="40"/>
      <c r="G20" s="10"/>
      <c r="H20" s="10"/>
      <c r="I20" s="10"/>
      <c r="J20" s="40"/>
      <c r="K20" s="10"/>
      <c r="L20" s="56"/>
      <c r="M20" s="77"/>
      <c r="N20" s="91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23</v>
      </c>
      <c r="B21" s="10"/>
      <c r="C21" s="10"/>
      <c r="D21" s="57">
        <v>0.20833333333333334</v>
      </c>
      <c r="E21" s="75">
        <f>SUM(B21:D21)</f>
        <v>0.20833333333333334</v>
      </c>
      <c r="F21" s="40"/>
      <c r="G21" s="10"/>
      <c r="H21" s="10"/>
      <c r="I21" s="10"/>
      <c r="J21" s="40"/>
      <c r="K21" s="10"/>
      <c r="L21" s="56"/>
      <c r="M21" s="77"/>
      <c r="N21" s="92">
        <v>0.20833333333333334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24</v>
      </c>
      <c r="B22" s="26">
        <v>0.91666666666666663</v>
      </c>
      <c r="C22" s="27"/>
      <c r="D22" s="68"/>
      <c r="E22" s="75">
        <f>SUM(B22:D22)</f>
        <v>0.91666666666666663</v>
      </c>
      <c r="F22" s="42">
        <v>0.58333333333333337</v>
      </c>
      <c r="G22" s="26">
        <v>1.1666666666666667</v>
      </c>
      <c r="H22" s="26">
        <v>1.5833333333333333</v>
      </c>
      <c r="I22" s="26">
        <v>1.2916666666666667</v>
      </c>
      <c r="J22" s="42">
        <v>3.3333333333333335</v>
      </c>
      <c r="K22" s="26">
        <v>2.3333333333333335</v>
      </c>
      <c r="L22" s="58">
        <v>0.41666666666666669</v>
      </c>
      <c r="M22" s="103">
        <f>SUM(F22:L22)</f>
        <v>10.708333333333334</v>
      </c>
      <c r="N22" s="93">
        <v>11.625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29</v>
      </c>
      <c r="B23" s="28">
        <v>335000</v>
      </c>
      <c r="C23" s="28">
        <v>335000</v>
      </c>
      <c r="D23" s="59">
        <v>0</v>
      </c>
      <c r="E23" s="76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6">
        <f>SUM(F23:L23)</f>
        <v>1228000</v>
      </c>
      <c r="N23" s="94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30</v>
      </c>
      <c r="B24" s="10">
        <v>0</v>
      </c>
      <c r="C24" s="10">
        <v>0</v>
      </c>
      <c r="D24" s="56">
        <v>0</v>
      </c>
      <c r="E24" s="77">
        <f t="shared" ref="E24:E72" si="3">SUM(B24:D24)</f>
        <v>0</v>
      </c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6">
        <v>0</v>
      </c>
      <c r="M24" s="77">
        <f t="shared" ref="M24:M73" si="4">SUM(F24:L24)</f>
        <v>5000</v>
      </c>
      <c r="N24" s="91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31</v>
      </c>
      <c r="B25" s="10">
        <v>0</v>
      </c>
      <c r="C25" s="10">
        <v>0</v>
      </c>
      <c r="D25" s="56">
        <v>0</v>
      </c>
      <c r="E25" s="77">
        <f t="shared" si="3"/>
        <v>0</v>
      </c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6">
        <v>0</v>
      </c>
      <c r="M25" s="77">
        <f t="shared" si="4"/>
        <v>13000</v>
      </c>
      <c r="N25" s="91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32</v>
      </c>
      <c r="B26" s="10">
        <v>0</v>
      </c>
      <c r="C26" s="10">
        <v>0</v>
      </c>
      <c r="D26" s="56">
        <v>0</v>
      </c>
      <c r="E26" s="77">
        <f t="shared" si="3"/>
        <v>0</v>
      </c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6">
        <v>0</v>
      </c>
      <c r="M26" s="77">
        <f t="shared" si="4"/>
        <v>0</v>
      </c>
      <c r="N26" s="91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33</v>
      </c>
      <c r="B27" s="10">
        <v>0</v>
      </c>
      <c r="C27" s="10">
        <v>0</v>
      </c>
      <c r="D27" s="56">
        <v>0</v>
      </c>
      <c r="E27" s="77">
        <f t="shared" si="3"/>
        <v>0</v>
      </c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6">
        <v>0</v>
      </c>
      <c r="M27" s="77">
        <f t="shared" si="4"/>
        <v>0</v>
      </c>
      <c r="N27" s="91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34</v>
      </c>
      <c r="B28" s="10">
        <v>0</v>
      </c>
      <c r="C28" s="10">
        <v>0</v>
      </c>
      <c r="D28" s="56">
        <v>0</v>
      </c>
      <c r="E28" s="77">
        <f t="shared" si="3"/>
        <v>0</v>
      </c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6">
        <v>0</v>
      </c>
      <c r="M28" s="77">
        <f t="shared" si="4"/>
        <v>0</v>
      </c>
      <c r="N28" s="91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35</v>
      </c>
      <c r="B29" s="10">
        <v>0</v>
      </c>
      <c r="C29" s="10">
        <v>0</v>
      </c>
      <c r="D29" s="56">
        <v>0</v>
      </c>
      <c r="E29" s="77">
        <f t="shared" si="3"/>
        <v>0</v>
      </c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6">
        <v>0</v>
      </c>
      <c r="M29" s="77">
        <f t="shared" si="4"/>
        <v>0</v>
      </c>
      <c r="N29" s="91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36</v>
      </c>
      <c r="B30" s="10">
        <v>0</v>
      </c>
      <c r="C30" s="10">
        <v>0</v>
      </c>
      <c r="D30" s="56">
        <v>0</v>
      </c>
      <c r="E30" s="77">
        <f t="shared" si="3"/>
        <v>0</v>
      </c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6">
        <v>0</v>
      </c>
      <c r="M30" s="77">
        <f t="shared" si="4"/>
        <v>0</v>
      </c>
      <c r="N30" s="91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37</v>
      </c>
      <c r="B31" s="10">
        <v>0</v>
      </c>
      <c r="C31" s="10">
        <v>0</v>
      </c>
      <c r="D31" s="56">
        <v>99180</v>
      </c>
      <c r="E31" s="77">
        <f t="shared" si="3"/>
        <v>99180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6">
        <v>0</v>
      </c>
      <c r="M31" s="77">
        <f t="shared" si="4"/>
        <v>0</v>
      </c>
      <c r="N31" s="91">
        <v>99180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38</v>
      </c>
      <c r="B32" s="10">
        <v>0</v>
      </c>
      <c r="C32" s="10">
        <v>0</v>
      </c>
      <c r="D32" s="56">
        <v>0</v>
      </c>
      <c r="E32" s="77">
        <f t="shared" si="3"/>
        <v>0</v>
      </c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6">
        <v>0</v>
      </c>
      <c r="M32" s="77">
        <f t="shared" si="4"/>
        <v>0</v>
      </c>
      <c r="N32" s="91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39</v>
      </c>
      <c r="B33" s="10">
        <v>0</v>
      </c>
      <c r="C33" s="10">
        <v>0</v>
      </c>
      <c r="D33" s="56">
        <v>0</v>
      </c>
      <c r="E33" s="77">
        <f t="shared" si="3"/>
        <v>0</v>
      </c>
      <c r="F33" s="40">
        <v>0</v>
      </c>
      <c r="G33" s="10">
        <v>0</v>
      </c>
      <c r="H33" s="10">
        <v>0</v>
      </c>
      <c r="I33" s="10">
        <v>0</v>
      </c>
      <c r="J33" s="40">
        <v>0</v>
      </c>
      <c r="K33" s="10">
        <v>0</v>
      </c>
      <c r="L33" s="56">
        <v>0</v>
      </c>
      <c r="M33" s="77">
        <f t="shared" si="4"/>
        <v>0</v>
      </c>
      <c r="N33" s="91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40</v>
      </c>
      <c r="B34" s="10">
        <v>0</v>
      </c>
      <c r="C34" s="10">
        <v>0</v>
      </c>
      <c r="D34" s="56">
        <v>4350</v>
      </c>
      <c r="E34" s="77">
        <f t="shared" si="3"/>
        <v>4350</v>
      </c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6">
        <v>0</v>
      </c>
      <c r="M34" s="77">
        <f t="shared" si="4"/>
        <v>0</v>
      </c>
      <c r="N34" s="91">
        <v>4350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41</v>
      </c>
      <c r="B35" s="10">
        <v>0</v>
      </c>
      <c r="C35" s="10">
        <v>0</v>
      </c>
      <c r="D35" s="56">
        <v>0</v>
      </c>
      <c r="E35" s="77">
        <f t="shared" si="3"/>
        <v>0</v>
      </c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6">
        <v>0</v>
      </c>
      <c r="M35" s="77">
        <f t="shared" si="4"/>
        <v>0</v>
      </c>
      <c r="N35" s="91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42</v>
      </c>
      <c r="B36" s="10">
        <v>0</v>
      </c>
      <c r="C36" s="10">
        <v>0</v>
      </c>
      <c r="D36" s="56">
        <v>0</v>
      </c>
      <c r="E36" s="77">
        <f t="shared" si="3"/>
        <v>0</v>
      </c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6">
        <v>0</v>
      </c>
      <c r="M36" s="77">
        <f t="shared" si="4"/>
        <v>0</v>
      </c>
      <c r="N36" s="91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43</v>
      </c>
      <c r="B37" s="10">
        <v>0</v>
      </c>
      <c r="C37" s="10">
        <v>0</v>
      </c>
      <c r="D37" s="56">
        <v>0</v>
      </c>
      <c r="E37" s="77">
        <f t="shared" si="3"/>
        <v>0</v>
      </c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6">
        <v>0</v>
      </c>
      <c r="M37" s="77">
        <f t="shared" si="4"/>
        <v>0</v>
      </c>
      <c r="N37" s="91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44</v>
      </c>
      <c r="B38" s="10">
        <v>0</v>
      </c>
      <c r="C38" s="10">
        <v>0</v>
      </c>
      <c r="D38" s="56">
        <v>0</v>
      </c>
      <c r="E38" s="77">
        <f t="shared" si="3"/>
        <v>0</v>
      </c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6">
        <v>0</v>
      </c>
      <c r="M38" s="77">
        <f t="shared" si="4"/>
        <v>12600</v>
      </c>
      <c r="N38" s="91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45</v>
      </c>
      <c r="B39" s="10">
        <v>0</v>
      </c>
      <c r="C39" s="10">
        <v>0</v>
      </c>
      <c r="D39" s="56">
        <v>0</v>
      </c>
      <c r="E39" s="77">
        <f t="shared" si="3"/>
        <v>0</v>
      </c>
      <c r="F39" s="40">
        <v>0</v>
      </c>
      <c r="G39" s="10">
        <v>0</v>
      </c>
      <c r="H39" s="10">
        <v>0</v>
      </c>
      <c r="I39" s="10">
        <v>0</v>
      </c>
      <c r="J39" s="40">
        <v>0</v>
      </c>
      <c r="K39" s="10">
        <v>0</v>
      </c>
      <c r="L39" s="56">
        <v>0</v>
      </c>
      <c r="M39" s="77">
        <f t="shared" si="4"/>
        <v>0</v>
      </c>
      <c r="N39" s="91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46</v>
      </c>
      <c r="B40" s="10">
        <v>0</v>
      </c>
      <c r="C40" s="10">
        <v>0</v>
      </c>
      <c r="D40" s="56">
        <v>0</v>
      </c>
      <c r="E40" s="77">
        <f t="shared" si="3"/>
        <v>0</v>
      </c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6">
        <v>0</v>
      </c>
      <c r="M40" s="77">
        <f t="shared" si="4"/>
        <v>0</v>
      </c>
      <c r="N40" s="91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47</v>
      </c>
      <c r="B41" s="10">
        <v>0</v>
      </c>
      <c r="C41" s="10">
        <v>0</v>
      </c>
      <c r="D41" s="56">
        <v>0</v>
      </c>
      <c r="E41" s="77">
        <f t="shared" si="3"/>
        <v>0</v>
      </c>
      <c r="F41" s="40">
        <v>0</v>
      </c>
      <c r="G41" s="10">
        <v>0</v>
      </c>
      <c r="H41" s="10">
        <v>0</v>
      </c>
      <c r="I41" s="10">
        <v>0</v>
      </c>
      <c r="J41" s="40">
        <v>0</v>
      </c>
      <c r="K41" s="10">
        <v>0</v>
      </c>
      <c r="L41" s="56">
        <v>0</v>
      </c>
      <c r="M41" s="77">
        <f t="shared" si="4"/>
        <v>0</v>
      </c>
      <c r="N41" s="91">
        <v>0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48</v>
      </c>
      <c r="B42" s="10">
        <v>0</v>
      </c>
      <c r="C42" s="10">
        <v>0</v>
      </c>
      <c r="D42" s="56">
        <v>0</v>
      </c>
      <c r="E42" s="77">
        <f t="shared" si="3"/>
        <v>0</v>
      </c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6">
        <v>0</v>
      </c>
      <c r="M42" s="77">
        <f t="shared" si="4"/>
        <v>0</v>
      </c>
      <c r="N42" s="91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16</v>
      </c>
      <c r="B43" s="10">
        <v>0</v>
      </c>
      <c r="C43" s="10">
        <v>0</v>
      </c>
      <c r="D43" s="56">
        <v>0</v>
      </c>
      <c r="E43" s="77">
        <f t="shared" si="3"/>
        <v>0</v>
      </c>
      <c r="F43" s="40">
        <v>91321</v>
      </c>
      <c r="G43" s="10">
        <v>56012</v>
      </c>
      <c r="H43" s="10">
        <v>70015</v>
      </c>
      <c r="I43" s="10">
        <v>75419</v>
      </c>
      <c r="J43" s="40">
        <v>29880</v>
      </c>
      <c r="K43" s="10">
        <v>76850</v>
      </c>
      <c r="L43" s="56">
        <v>62377</v>
      </c>
      <c r="M43" s="77">
        <f t="shared" si="4"/>
        <v>461874</v>
      </c>
      <c r="N43" s="91">
        <v>461874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9</v>
      </c>
      <c r="B44" s="10">
        <v>0</v>
      </c>
      <c r="C44" s="10">
        <v>0</v>
      </c>
      <c r="D44" s="56">
        <v>10575</v>
      </c>
      <c r="E44" s="77">
        <f t="shared" si="3"/>
        <v>10575</v>
      </c>
      <c r="F44" s="40">
        <v>44160</v>
      </c>
      <c r="G44" s="10">
        <v>20610</v>
      </c>
      <c r="H44" s="10">
        <v>28854</v>
      </c>
      <c r="I44" s="10">
        <v>47616</v>
      </c>
      <c r="J44" s="40">
        <v>45164</v>
      </c>
      <c r="K44" s="10">
        <v>44361</v>
      </c>
      <c r="L44" s="56">
        <v>16488</v>
      </c>
      <c r="M44" s="77">
        <f t="shared" si="4"/>
        <v>247253</v>
      </c>
      <c r="N44" s="91">
        <v>257828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10</v>
      </c>
      <c r="B45" s="10">
        <v>0</v>
      </c>
      <c r="C45" s="10">
        <v>0</v>
      </c>
      <c r="D45" s="56">
        <v>0</v>
      </c>
      <c r="E45" s="77">
        <f t="shared" si="3"/>
        <v>0</v>
      </c>
      <c r="F45" s="40">
        <v>16192</v>
      </c>
      <c r="G45" s="10">
        <v>9618</v>
      </c>
      <c r="H45" s="10">
        <v>16488</v>
      </c>
      <c r="I45" s="10">
        <v>41472</v>
      </c>
      <c r="J45" s="40">
        <v>0</v>
      </c>
      <c r="K45" s="10">
        <v>11448</v>
      </c>
      <c r="L45" s="56">
        <v>20610</v>
      </c>
      <c r="M45" s="77">
        <f t="shared" si="4"/>
        <v>115828</v>
      </c>
      <c r="N45" s="91">
        <v>115828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49</v>
      </c>
      <c r="B46" s="10">
        <v>0</v>
      </c>
      <c r="C46" s="10">
        <v>0</v>
      </c>
      <c r="D46" s="56">
        <v>0</v>
      </c>
      <c r="E46" s="77">
        <f t="shared" si="3"/>
        <v>0</v>
      </c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6">
        <v>0</v>
      </c>
      <c r="M46" s="77">
        <f t="shared" si="4"/>
        <v>0</v>
      </c>
      <c r="N46" s="91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20</v>
      </c>
      <c r="B47" s="10">
        <v>0</v>
      </c>
      <c r="C47" s="10">
        <v>0</v>
      </c>
      <c r="D47" s="56">
        <v>0</v>
      </c>
      <c r="E47" s="77">
        <f t="shared" si="3"/>
        <v>0</v>
      </c>
      <c r="F47" s="40">
        <v>0</v>
      </c>
      <c r="G47" s="10">
        <v>4628</v>
      </c>
      <c r="H47" s="10">
        <v>0</v>
      </c>
      <c r="I47" s="10">
        <v>0</v>
      </c>
      <c r="J47" s="40">
        <v>6688</v>
      </c>
      <c r="K47" s="10">
        <v>2968</v>
      </c>
      <c r="L47" s="56">
        <v>3560</v>
      </c>
      <c r="M47" s="77">
        <f t="shared" si="4"/>
        <v>17844</v>
      </c>
      <c r="N47" s="91">
        <v>17844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50</v>
      </c>
      <c r="B48" s="10">
        <v>0</v>
      </c>
      <c r="C48" s="10">
        <v>0</v>
      </c>
      <c r="D48" s="56">
        <v>0</v>
      </c>
      <c r="E48" s="77">
        <f t="shared" si="3"/>
        <v>0</v>
      </c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0</v>
      </c>
      <c r="L48" s="56">
        <v>0</v>
      </c>
      <c r="M48" s="77">
        <f t="shared" si="4"/>
        <v>0</v>
      </c>
      <c r="N48" s="91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24</v>
      </c>
      <c r="B49" s="12">
        <v>11044</v>
      </c>
      <c r="C49" s="12">
        <v>0</v>
      </c>
      <c r="D49" s="60">
        <v>0</v>
      </c>
      <c r="E49" s="78">
        <f t="shared" si="3"/>
        <v>11044</v>
      </c>
      <c r="F49" s="44">
        <v>3822</v>
      </c>
      <c r="G49" s="12">
        <v>7140</v>
      </c>
      <c r="H49" s="12">
        <v>9690</v>
      </c>
      <c r="I49" s="12">
        <v>8835</v>
      </c>
      <c r="J49" s="44">
        <v>23920</v>
      </c>
      <c r="K49" s="12">
        <v>14840</v>
      </c>
      <c r="L49" s="60">
        <v>2550</v>
      </c>
      <c r="M49" s="78">
        <f t="shared" si="4"/>
        <v>70797</v>
      </c>
      <c r="N49" s="95">
        <v>81841</v>
      </c>
      <c r="O49" s="6"/>
      <c r="P49" s="6"/>
      <c r="Q49" s="6"/>
      <c r="R49" s="6"/>
      <c r="S49" s="6"/>
      <c r="T49" s="6"/>
      <c r="U49" s="6"/>
    </row>
    <row r="50" spans="1:21" ht="14.25" thickBot="1" x14ac:dyDescent="0.2">
      <c r="A50" s="17" t="s">
        <v>51</v>
      </c>
      <c r="B50" s="31">
        <v>346044</v>
      </c>
      <c r="C50" s="31">
        <v>335000</v>
      </c>
      <c r="D50" s="61">
        <v>114105</v>
      </c>
      <c r="E50" s="79">
        <f t="shared" si="3"/>
        <v>795149</v>
      </c>
      <c r="F50" s="45">
        <v>337495</v>
      </c>
      <c r="G50" s="31">
        <v>268008</v>
      </c>
      <c r="H50" s="31">
        <v>295047</v>
      </c>
      <c r="I50" s="31">
        <v>363342</v>
      </c>
      <c r="J50" s="45">
        <v>305252</v>
      </c>
      <c r="K50" s="31">
        <v>327467</v>
      </c>
      <c r="L50" s="61">
        <v>275585</v>
      </c>
      <c r="M50" s="79">
        <f t="shared" si="4"/>
        <v>2172196</v>
      </c>
      <c r="N50" s="96">
        <v>2967345</v>
      </c>
      <c r="O50" s="6"/>
      <c r="P50" s="6"/>
      <c r="Q50" s="6"/>
      <c r="R50" s="6"/>
      <c r="S50" s="6"/>
      <c r="T50" s="6"/>
      <c r="U50" s="6"/>
    </row>
    <row r="51" spans="1:21" x14ac:dyDescent="0.15">
      <c r="A51" s="29" t="s">
        <v>52</v>
      </c>
      <c r="B51" s="30">
        <v>5389</v>
      </c>
      <c r="C51" s="30">
        <v>15160</v>
      </c>
      <c r="D51" s="62">
        <v>454</v>
      </c>
      <c r="E51" s="80">
        <f t="shared" si="3"/>
        <v>21003</v>
      </c>
      <c r="F51" s="46">
        <v>9949</v>
      </c>
      <c r="G51" s="30">
        <v>1481</v>
      </c>
      <c r="H51" s="30">
        <v>4086</v>
      </c>
      <c r="I51" s="30">
        <v>7698</v>
      </c>
      <c r="J51" s="46">
        <v>1659</v>
      </c>
      <c r="K51" s="30">
        <v>1816</v>
      </c>
      <c r="L51" s="62">
        <v>1481</v>
      </c>
      <c r="M51" s="80">
        <f t="shared" si="4"/>
        <v>28170</v>
      </c>
      <c r="N51" s="97">
        <v>49173</v>
      </c>
      <c r="O51" s="6"/>
      <c r="P51" s="6"/>
      <c r="Q51" s="6"/>
      <c r="R51" s="6"/>
      <c r="S51" s="6"/>
      <c r="T51" s="6"/>
      <c r="U51" s="6"/>
    </row>
    <row r="52" spans="1:21" ht="14.25" thickBot="1" x14ac:dyDescent="0.2">
      <c r="A52" s="32" t="s">
        <v>53</v>
      </c>
      <c r="B52" s="33">
        <v>5389</v>
      </c>
      <c r="C52" s="33">
        <v>15160</v>
      </c>
      <c r="D52" s="63">
        <v>454</v>
      </c>
      <c r="E52" s="81">
        <f t="shared" si="3"/>
        <v>21003</v>
      </c>
      <c r="F52" s="47">
        <v>9949</v>
      </c>
      <c r="G52" s="33">
        <v>1481</v>
      </c>
      <c r="H52" s="33">
        <v>4086</v>
      </c>
      <c r="I52" s="33">
        <v>7698</v>
      </c>
      <c r="J52" s="47">
        <v>1659</v>
      </c>
      <c r="K52" s="33">
        <v>1816</v>
      </c>
      <c r="L52" s="63">
        <v>1481</v>
      </c>
      <c r="M52" s="81">
        <f t="shared" si="4"/>
        <v>28170</v>
      </c>
      <c r="N52" s="98">
        <v>49173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4" t="s">
        <v>54</v>
      </c>
      <c r="B53" s="35">
        <v>351433</v>
      </c>
      <c r="C53" s="35">
        <v>350160</v>
      </c>
      <c r="D53" s="64">
        <v>114559</v>
      </c>
      <c r="E53" s="82">
        <f t="shared" si="3"/>
        <v>816152</v>
      </c>
      <c r="F53" s="48">
        <v>347444</v>
      </c>
      <c r="G53" s="35">
        <v>269489</v>
      </c>
      <c r="H53" s="35">
        <v>299133</v>
      </c>
      <c r="I53" s="35">
        <v>371040</v>
      </c>
      <c r="J53" s="48">
        <v>306911</v>
      </c>
      <c r="K53" s="35">
        <v>329283</v>
      </c>
      <c r="L53" s="64">
        <v>277066</v>
      </c>
      <c r="M53" s="82">
        <f t="shared" si="4"/>
        <v>2200366</v>
      </c>
      <c r="N53" s="99">
        <v>3016518</v>
      </c>
    </row>
    <row r="54" spans="1:21" x14ac:dyDescent="0.15">
      <c r="A54" s="29" t="s">
        <v>55</v>
      </c>
      <c r="B54" s="30">
        <v>17340</v>
      </c>
      <c r="C54" s="30">
        <v>17340</v>
      </c>
      <c r="D54" s="62">
        <v>0</v>
      </c>
      <c r="E54" s="80">
        <f t="shared" si="3"/>
        <v>34680</v>
      </c>
      <c r="F54" s="46">
        <v>16320</v>
      </c>
      <c r="G54" s="30">
        <v>14280</v>
      </c>
      <c r="H54" s="30">
        <v>14280</v>
      </c>
      <c r="I54" s="30">
        <v>16320</v>
      </c>
      <c r="J54" s="46">
        <v>15300</v>
      </c>
      <c r="K54" s="30">
        <v>14280</v>
      </c>
      <c r="L54" s="62">
        <v>13260</v>
      </c>
      <c r="M54" s="80">
        <f t="shared" si="4"/>
        <v>104040</v>
      </c>
      <c r="N54" s="97">
        <v>138720</v>
      </c>
    </row>
    <row r="55" spans="1:21" x14ac:dyDescent="0.15">
      <c r="A55" s="16" t="s">
        <v>56</v>
      </c>
      <c r="B55" s="12">
        <v>3060</v>
      </c>
      <c r="C55" s="12">
        <v>3060</v>
      </c>
      <c r="D55" s="60">
        <v>0</v>
      </c>
      <c r="E55" s="78">
        <f t="shared" si="3"/>
        <v>6120</v>
      </c>
      <c r="F55" s="44">
        <v>2880</v>
      </c>
      <c r="G55" s="12">
        <v>2520</v>
      </c>
      <c r="H55" s="12">
        <v>2520</v>
      </c>
      <c r="I55" s="12">
        <v>2880</v>
      </c>
      <c r="J55" s="44">
        <v>2700</v>
      </c>
      <c r="K55" s="12">
        <v>2520</v>
      </c>
      <c r="L55" s="60">
        <v>0</v>
      </c>
      <c r="M55" s="78">
        <f t="shared" si="4"/>
        <v>16020</v>
      </c>
      <c r="N55" s="95">
        <v>22140</v>
      </c>
    </row>
    <row r="56" spans="1:21" x14ac:dyDescent="0.15">
      <c r="A56" s="16" t="s">
        <v>57</v>
      </c>
      <c r="B56" s="12">
        <v>31110</v>
      </c>
      <c r="C56" s="12">
        <v>31110</v>
      </c>
      <c r="D56" s="60">
        <v>0</v>
      </c>
      <c r="E56" s="78">
        <f t="shared" si="3"/>
        <v>62220</v>
      </c>
      <c r="F56" s="44">
        <v>29280</v>
      </c>
      <c r="G56" s="12">
        <v>25620</v>
      </c>
      <c r="H56" s="12">
        <v>25620</v>
      </c>
      <c r="I56" s="12">
        <v>29280</v>
      </c>
      <c r="J56" s="44">
        <v>27450</v>
      </c>
      <c r="K56" s="12">
        <v>25620</v>
      </c>
      <c r="L56" s="60">
        <v>23790</v>
      </c>
      <c r="M56" s="78">
        <f t="shared" si="4"/>
        <v>186660</v>
      </c>
      <c r="N56" s="95">
        <v>248880</v>
      </c>
    </row>
    <row r="57" spans="1:21" x14ac:dyDescent="0.15">
      <c r="A57" s="16" t="s">
        <v>58</v>
      </c>
      <c r="B57" s="12">
        <v>0</v>
      </c>
      <c r="C57" s="12">
        <v>0</v>
      </c>
      <c r="D57" s="60">
        <v>0</v>
      </c>
      <c r="E57" s="78">
        <f t="shared" si="3"/>
        <v>0</v>
      </c>
      <c r="F57" s="44">
        <v>0</v>
      </c>
      <c r="G57" s="12">
        <v>0</v>
      </c>
      <c r="H57" s="12">
        <v>0</v>
      </c>
      <c r="I57" s="12">
        <v>0</v>
      </c>
      <c r="J57" s="44">
        <v>0</v>
      </c>
      <c r="K57" s="12">
        <v>0</v>
      </c>
      <c r="L57" s="60">
        <v>0</v>
      </c>
      <c r="M57" s="78">
        <f t="shared" si="4"/>
        <v>0</v>
      </c>
      <c r="N57" s="95">
        <v>0</v>
      </c>
    </row>
    <row r="58" spans="1:21" x14ac:dyDescent="0.15">
      <c r="A58" s="16" t="s">
        <v>59</v>
      </c>
      <c r="B58" s="12">
        <v>1054</v>
      </c>
      <c r="C58" s="12">
        <v>1050</v>
      </c>
      <c r="D58" s="60">
        <v>344</v>
      </c>
      <c r="E58" s="78">
        <f t="shared" si="3"/>
        <v>2448</v>
      </c>
      <c r="F58" s="44">
        <v>1042</v>
      </c>
      <c r="G58" s="12">
        <v>808</v>
      </c>
      <c r="H58" s="12">
        <v>897</v>
      </c>
      <c r="I58" s="12">
        <v>1113</v>
      </c>
      <c r="J58" s="44">
        <v>921</v>
      </c>
      <c r="K58" s="12">
        <v>988</v>
      </c>
      <c r="L58" s="60">
        <v>831</v>
      </c>
      <c r="M58" s="78">
        <f t="shared" si="4"/>
        <v>6600</v>
      </c>
      <c r="N58" s="95">
        <v>9048</v>
      </c>
    </row>
    <row r="59" spans="1:21" x14ac:dyDescent="0.15">
      <c r="A59" s="16" t="s">
        <v>60</v>
      </c>
      <c r="B59" s="12">
        <v>0</v>
      </c>
      <c r="C59" s="12">
        <v>0</v>
      </c>
      <c r="D59" s="60">
        <v>0</v>
      </c>
      <c r="E59" s="78">
        <f t="shared" si="3"/>
        <v>0</v>
      </c>
      <c r="F59" s="44">
        <v>0</v>
      </c>
      <c r="G59" s="12">
        <v>0</v>
      </c>
      <c r="H59" s="12">
        <v>0</v>
      </c>
      <c r="I59" s="12">
        <v>0</v>
      </c>
      <c r="J59" s="44">
        <v>0</v>
      </c>
      <c r="K59" s="12">
        <v>0</v>
      </c>
      <c r="L59" s="60">
        <v>0</v>
      </c>
      <c r="M59" s="78">
        <f t="shared" si="4"/>
        <v>0</v>
      </c>
      <c r="N59" s="95">
        <v>0</v>
      </c>
    </row>
    <row r="60" spans="1:21" ht="14.25" thickBot="1" x14ac:dyDescent="0.2">
      <c r="A60" s="32" t="s">
        <v>61</v>
      </c>
      <c r="B60" s="33">
        <v>52564</v>
      </c>
      <c r="C60" s="33">
        <v>52560</v>
      </c>
      <c r="D60" s="63">
        <v>344</v>
      </c>
      <c r="E60" s="81">
        <f t="shared" si="3"/>
        <v>105468</v>
      </c>
      <c r="F60" s="47">
        <v>49522</v>
      </c>
      <c r="G60" s="33">
        <v>43228</v>
      </c>
      <c r="H60" s="33">
        <v>43317</v>
      </c>
      <c r="I60" s="33">
        <v>49593</v>
      </c>
      <c r="J60" s="47">
        <v>46371</v>
      </c>
      <c r="K60" s="33">
        <v>43408</v>
      </c>
      <c r="L60" s="63">
        <v>37881</v>
      </c>
      <c r="M60" s="81">
        <f t="shared" si="4"/>
        <v>313320</v>
      </c>
      <c r="N60" s="98">
        <v>418788</v>
      </c>
    </row>
    <row r="61" spans="1:21" ht="14.25" thickBot="1" x14ac:dyDescent="0.2">
      <c r="A61" s="34" t="s">
        <v>62</v>
      </c>
      <c r="B61" s="35">
        <v>293480</v>
      </c>
      <c r="C61" s="35">
        <v>282440</v>
      </c>
      <c r="D61" s="64">
        <v>113761</v>
      </c>
      <c r="E61" s="82">
        <f t="shared" si="3"/>
        <v>689681</v>
      </c>
      <c r="F61" s="48">
        <v>287973</v>
      </c>
      <c r="G61" s="35">
        <v>224780</v>
      </c>
      <c r="H61" s="35">
        <v>251730</v>
      </c>
      <c r="I61" s="35">
        <v>313749</v>
      </c>
      <c r="J61" s="48">
        <v>258881</v>
      </c>
      <c r="K61" s="35">
        <v>284059</v>
      </c>
      <c r="L61" s="64">
        <v>237704</v>
      </c>
      <c r="M61" s="82">
        <f t="shared" si="4"/>
        <v>1858876</v>
      </c>
      <c r="N61" s="99">
        <v>2548557</v>
      </c>
    </row>
    <row r="62" spans="1:21" x14ac:dyDescent="0.15">
      <c r="A62" s="29" t="s">
        <v>63</v>
      </c>
      <c r="B62" s="30">
        <v>6490</v>
      </c>
      <c r="C62" s="30">
        <v>7710</v>
      </c>
      <c r="D62" s="62">
        <v>1430</v>
      </c>
      <c r="E62" s="80">
        <f t="shared" si="3"/>
        <v>15630</v>
      </c>
      <c r="F62" s="46">
        <v>7910</v>
      </c>
      <c r="G62" s="30">
        <v>5650</v>
      </c>
      <c r="H62" s="30">
        <v>5000</v>
      </c>
      <c r="I62" s="30">
        <v>5670</v>
      </c>
      <c r="J62" s="46">
        <v>3640</v>
      </c>
      <c r="K62" s="30">
        <v>7770</v>
      </c>
      <c r="L62" s="62">
        <v>4500</v>
      </c>
      <c r="M62" s="80">
        <f t="shared" si="4"/>
        <v>40140</v>
      </c>
      <c r="N62" s="97">
        <v>55770</v>
      </c>
    </row>
    <row r="63" spans="1:21" x14ac:dyDescent="0.15">
      <c r="A63" s="16" t="s">
        <v>64</v>
      </c>
      <c r="B63" s="12">
        <v>0</v>
      </c>
      <c r="C63" s="12">
        <v>0</v>
      </c>
      <c r="D63" s="60">
        <v>0</v>
      </c>
      <c r="E63" s="78">
        <f t="shared" si="3"/>
        <v>0</v>
      </c>
      <c r="F63" s="44">
        <v>0</v>
      </c>
      <c r="G63" s="12">
        <v>0</v>
      </c>
      <c r="H63" s="12">
        <v>0</v>
      </c>
      <c r="I63" s="12">
        <v>0</v>
      </c>
      <c r="J63" s="44">
        <v>0</v>
      </c>
      <c r="K63" s="12">
        <v>0</v>
      </c>
      <c r="L63" s="60">
        <v>0</v>
      </c>
      <c r="M63" s="78">
        <f t="shared" si="4"/>
        <v>0</v>
      </c>
      <c r="N63" s="95">
        <v>0</v>
      </c>
    </row>
    <row r="64" spans="1:21" x14ac:dyDescent="0.15">
      <c r="A64" s="16" t="s">
        <v>65</v>
      </c>
      <c r="B64" s="12">
        <v>8900</v>
      </c>
      <c r="C64" s="12">
        <v>0</v>
      </c>
      <c r="D64" s="60">
        <v>0</v>
      </c>
      <c r="E64" s="78">
        <f t="shared" si="3"/>
        <v>8900</v>
      </c>
      <c r="F64" s="44">
        <v>14200</v>
      </c>
      <c r="G64" s="12">
        <v>6100</v>
      </c>
      <c r="H64" s="12">
        <v>8900</v>
      </c>
      <c r="I64" s="12">
        <v>12000</v>
      </c>
      <c r="J64" s="44">
        <v>5900</v>
      </c>
      <c r="K64" s="12">
        <v>13100</v>
      </c>
      <c r="L64" s="60">
        <v>0</v>
      </c>
      <c r="M64" s="78">
        <f t="shared" si="4"/>
        <v>60200</v>
      </c>
      <c r="N64" s="95">
        <v>69100</v>
      </c>
    </row>
    <row r="65" spans="1:14" x14ac:dyDescent="0.15">
      <c r="A65" s="16" t="s">
        <v>66</v>
      </c>
      <c r="B65" s="12">
        <v>0</v>
      </c>
      <c r="C65" s="12">
        <v>0</v>
      </c>
      <c r="D65" s="60">
        <v>0</v>
      </c>
      <c r="E65" s="78">
        <f t="shared" si="3"/>
        <v>0</v>
      </c>
      <c r="F65" s="44">
        <v>0</v>
      </c>
      <c r="G65" s="12">
        <v>0</v>
      </c>
      <c r="H65" s="12">
        <v>0</v>
      </c>
      <c r="I65" s="12">
        <v>0</v>
      </c>
      <c r="J65" s="44">
        <v>0</v>
      </c>
      <c r="K65" s="12">
        <v>0</v>
      </c>
      <c r="L65" s="60">
        <v>0</v>
      </c>
      <c r="M65" s="78">
        <f t="shared" si="4"/>
        <v>0</v>
      </c>
      <c r="N65" s="95">
        <v>0</v>
      </c>
    </row>
    <row r="66" spans="1:14" x14ac:dyDescent="0.15">
      <c r="A66" s="16" t="s">
        <v>67</v>
      </c>
      <c r="B66" s="12">
        <v>0</v>
      </c>
      <c r="C66" s="12">
        <v>0</v>
      </c>
      <c r="D66" s="60">
        <v>0</v>
      </c>
      <c r="E66" s="78">
        <f t="shared" si="3"/>
        <v>0</v>
      </c>
      <c r="F66" s="44">
        <v>0</v>
      </c>
      <c r="G66" s="12">
        <v>0</v>
      </c>
      <c r="H66" s="12">
        <v>0</v>
      </c>
      <c r="I66" s="12">
        <v>0</v>
      </c>
      <c r="J66" s="44">
        <v>0</v>
      </c>
      <c r="K66" s="12">
        <v>0</v>
      </c>
      <c r="L66" s="60">
        <v>0</v>
      </c>
      <c r="M66" s="78">
        <f t="shared" si="4"/>
        <v>0</v>
      </c>
      <c r="N66" s="95">
        <v>0</v>
      </c>
    </row>
    <row r="67" spans="1:14" x14ac:dyDescent="0.15">
      <c r="A67" s="16" t="s">
        <v>68</v>
      </c>
      <c r="B67" s="12">
        <v>0</v>
      </c>
      <c r="C67" s="12">
        <v>0</v>
      </c>
      <c r="D67" s="60">
        <v>0</v>
      </c>
      <c r="E67" s="78">
        <f t="shared" si="3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78">
        <f t="shared" si="4"/>
        <v>0</v>
      </c>
      <c r="N67" s="95">
        <v>0</v>
      </c>
    </row>
    <row r="68" spans="1:14" ht="14.25" thickBot="1" x14ac:dyDescent="0.2">
      <c r="A68" s="32" t="s">
        <v>69</v>
      </c>
      <c r="B68" s="33">
        <v>15390</v>
      </c>
      <c r="C68" s="33">
        <v>7710</v>
      </c>
      <c r="D68" s="63">
        <v>1430</v>
      </c>
      <c r="E68" s="81">
        <f t="shared" si="3"/>
        <v>24530</v>
      </c>
      <c r="F68" s="47">
        <v>22110</v>
      </c>
      <c r="G68" s="33">
        <v>11750</v>
      </c>
      <c r="H68" s="33">
        <v>13900</v>
      </c>
      <c r="I68" s="33">
        <v>17670</v>
      </c>
      <c r="J68" s="47">
        <v>9540</v>
      </c>
      <c r="K68" s="33">
        <v>20870</v>
      </c>
      <c r="L68" s="63">
        <v>4500</v>
      </c>
      <c r="M68" s="81">
        <f t="shared" si="4"/>
        <v>100340</v>
      </c>
      <c r="N68" s="98">
        <v>124870</v>
      </c>
    </row>
    <row r="69" spans="1:14" ht="14.25" thickBot="1" x14ac:dyDescent="0.2">
      <c r="A69" s="34" t="s">
        <v>70</v>
      </c>
      <c r="B69" s="35">
        <v>67954</v>
      </c>
      <c r="C69" s="35">
        <v>60270</v>
      </c>
      <c r="D69" s="64">
        <v>1774</v>
      </c>
      <c r="E69" s="82">
        <f t="shared" si="3"/>
        <v>129998</v>
      </c>
      <c r="F69" s="48">
        <v>71632</v>
      </c>
      <c r="G69" s="35">
        <v>54978</v>
      </c>
      <c r="H69" s="35">
        <v>57217</v>
      </c>
      <c r="I69" s="35">
        <v>67263</v>
      </c>
      <c r="J69" s="48">
        <v>55911</v>
      </c>
      <c r="K69" s="35">
        <v>64278</v>
      </c>
      <c r="L69" s="64">
        <v>42381</v>
      </c>
      <c r="M69" s="82">
        <f t="shared" si="4"/>
        <v>413660</v>
      </c>
      <c r="N69" s="99">
        <v>543658</v>
      </c>
    </row>
    <row r="70" spans="1:14" ht="14.25" thickBot="1" x14ac:dyDescent="0.2">
      <c r="A70" s="34" t="s">
        <v>71</v>
      </c>
      <c r="B70" s="35">
        <v>283479</v>
      </c>
      <c r="C70" s="35">
        <v>289890</v>
      </c>
      <c r="D70" s="64">
        <v>112785</v>
      </c>
      <c r="E70" s="82">
        <f t="shared" si="3"/>
        <v>686154</v>
      </c>
      <c r="F70" s="48">
        <v>275812</v>
      </c>
      <c r="G70" s="35">
        <v>214511</v>
      </c>
      <c r="H70" s="35">
        <v>241916</v>
      </c>
      <c r="I70" s="35">
        <v>303777</v>
      </c>
      <c r="J70" s="48">
        <v>251000</v>
      </c>
      <c r="K70" s="35">
        <v>265005</v>
      </c>
      <c r="L70" s="64">
        <v>234685</v>
      </c>
      <c r="M70" s="82">
        <f t="shared" si="4"/>
        <v>1786706</v>
      </c>
      <c r="N70" s="99">
        <v>2472860</v>
      </c>
    </row>
    <row r="71" spans="1:14" x14ac:dyDescent="0.15">
      <c r="A71" s="29" t="s">
        <v>72</v>
      </c>
      <c r="B71" s="30">
        <v>0</v>
      </c>
      <c r="C71" s="30">
        <v>0</v>
      </c>
      <c r="D71" s="62">
        <v>0</v>
      </c>
      <c r="E71" s="80">
        <f t="shared" si="3"/>
        <v>0</v>
      </c>
      <c r="F71" s="46">
        <v>0</v>
      </c>
      <c r="G71" s="30">
        <v>0</v>
      </c>
      <c r="H71" s="30">
        <v>0</v>
      </c>
      <c r="I71" s="30">
        <v>0</v>
      </c>
      <c r="J71" s="46">
        <v>0</v>
      </c>
      <c r="K71" s="30">
        <v>0</v>
      </c>
      <c r="L71" s="62">
        <v>0</v>
      </c>
      <c r="M71" s="80">
        <f t="shared" si="4"/>
        <v>0</v>
      </c>
      <c r="N71" s="97">
        <v>0</v>
      </c>
    </row>
    <row r="72" spans="1:14" x14ac:dyDescent="0.15">
      <c r="A72" s="16" t="s">
        <v>73</v>
      </c>
      <c r="B72" s="12">
        <v>283479</v>
      </c>
      <c r="C72" s="12">
        <v>289890</v>
      </c>
      <c r="D72" s="60">
        <v>112785</v>
      </c>
      <c r="E72" s="78">
        <f t="shared" si="3"/>
        <v>686154</v>
      </c>
      <c r="F72" s="44">
        <v>275812</v>
      </c>
      <c r="G72" s="12">
        <v>214511</v>
      </c>
      <c r="H72" s="12">
        <v>241916</v>
      </c>
      <c r="I72" s="12">
        <v>303777</v>
      </c>
      <c r="J72" s="44">
        <v>251000</v>
      </c>
      <c r="K72" s="12">
        <v>265005</v>
      </c>
      <c r="L72" s="60">
        <v>234685</v>
      </c>
      <c r="M72" s="78">
        <f t="shared" si="4"/>
        <v>1786706</v>
      </c>
      <c r="N72" s="95">
        <v>2472860</v>
      </c>
    </row>
    <row r="73" spans="1:14" x14ac:dyDescent="0.15">
      <c r="A73" s="16" t="s">
        <v>74</v>
      </c>
      <c r="B73" s="13">
        <v>33</v>
      </c>
      <c r="C73" s="13"/>
      <c r="D73" s="65">
        <v>17</v>
      </c>
      <c r="E73" s="83"/>
      <c r="F73" s="49">
        <v>28</v>
      </c>
      <c r="G73" s="13">
        <v>7</v>
      </c>
      <c r="H73" s="13">
        <v>12</v>
      </c>
      <c r="I73" s="13">
        <v>34</v>
      </c>
      <c r="J73" s="49">
        <v>20</v>
      </c>
      <c r="K73" s="13">
        <v>24</v>
      </c>
      <c r="L73" s="65">
        <v>8</v>
      </c>
      <c r="M73" s="83">
        <f t="shared" si="4"/>
        <v>133</v>
      </c>
      <c r="N73" s="100">
        <v>183</v>
      </c>
    </row>
    <row r="74" spans="1:14" x14ac:dyDescent="0.15">
      <c r="A74" s="16" t="s">
        <v>75</v>
      </c>
      <c r="B74" s="14">
        <v>1</v>
      </c>
      <c r="C74" s="14"/>
      <c r="D74" s="66"/>
      <c r="E74" s="84"/>
      <c r="F74" s="50"/>
      <c r="G74" s="14"/>
      <c r="H74" s="14">
        <v>1</v>
      </c>
      <c r="I74" s="14">
        <v>2</v>
      </c>
      <c r="J74" s="50">
        <v>2</v>
      </c>
      <c r="K74" s="14"/>
      <c r="L74" s="66">
        <v>1</v>
      </c>
      <c r="M74" s="84"/>
      <c r="N74" s="101"/>
    </row>
    <row r="75" spans="1:14" ht="14.25" thickBot="1" x14ac:dyDescent="0.2">
      <c r="A75" s="17" t="s">
        <v>76</v>
      </c>
      <c r="B75" s="18" t="s">
        <v>77</v>
      </c>
      <c r="C75" s="18" t="s">
        <v>77</v>
      </c>
      <c r="D75" s="67" t="s">
        <v>77</v>
      </c>
      <c r="E75" s="85"/>
      <c r="F75" s="51" t="s">
        <v>77</v>
      </c>
      <c r="G75" s="18" t="s">
        <v>77</v>
      </c>
      <c r="H75" s="18" t="s">
        <v>77</v>
      </c>
      <c r="I75" s="18" t="s">
        <v>77</v>
      </c>
      <c r="J75" s="51" t="s">
        <v>77</v>
      </c>
      <c r="K75" s="18" t="s">
        <v>77</v>
      </c>
      <c r="L75" s="67" t="s">
        <v>77</v>
      </c>
      <c r="M75" s="85"/>
      <c r="N75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2021-01-13T06:07:28Z</cp:lastPrinted>
  <dcterms:created xsi:type="dcterms:W3CDTF">2011-10-11T01:59:58Z</dcterms:created>
  <dcterms:modified xsi:type="dcterms:W3CDTF">2021-01-13T06:47:16Z</dcterms:modified>
</cp:coreProperties>
</file>