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12\"/>
    </mc:Choice>
  </mc:AlternateContent>
  <xr:revisionPtr revIDLastSave="0" documentId="13_ncr:1_{5580176E-DA77-49AD-B02B-CF7AE77DC699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1頁 (3)" sheetId="4" r:id="rId1"/>
    <sheet name="1頁 (4)" sheetId="5" r:id="rId2"/>
  </sheets>
  <definedNames>
    <definedName name="_xlnm.Print_Area" localSheetId="0">'1頁 (3)'!$A$1:$O$75</definedName>
    <definedName name="_xlnm.Print_Area" localSheetId="1">'1頁 (4)'!$A$1:$R$75</definedName>
  </definedNames>
  <calcPr calcId="191029"/>
</workbook>
</file>

<file path=xl/calcChain.xml><?xml version="1.0" encoding="utf-8"?>
<calcChain xmlns="http://schemas.openxmlformats.org/spreadsheetml/2006/main">
  <c r="R72" i="5" l="1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16" i="5"/>
  <c r="R15" i="5"/>
  <c r="R14" i="5"/>
  <c r="R10" i="5"/>
  <c r="R8" i="5"/>
  <c r="R7" i="5"/>
  <c r="R6" i="5"/>
  <c r="N72" i="4"/>
  <c r="L72" i="4"/>
  <c r="N71" i="4"/>
  <c r="L71" i="4"/>
  <c r="N70" i="4"/>
  <c r="L70" i="4"/>
  <c r="N69" i="4"/>
  <c r="L69" i="4"/>
  <c r="N68" i="4"/>
  <c r="L68" i="4"/>
  <c r="N67" i="4"/>
  <c r="L67" i="4"/>
  <c r="N66" i="4"/>
  <c r="L66" i="4"/>
  <c r="N65" i="4"/>
  <c r="L65" i="4"/>
  <c r="N64" i="4"/>
  <c r="L64" i="4"/>
  <c r="N63" i="4"/>
  <c r="L63" i="4"/>
  <c r="N62" i="4"/>
  <c r="L62" i="4"/>
  <c r="N61" i="4"/>
  <c r="L61" i="4"/>
  <c r="N60" i="4"/>
  <c r="L60" i="4"/>
  <c r="N59" i="4"/>
  <c r="L59" i="4"/>
  <c r="N58" i="4"/>
  <c r="L58" i="4"/>
  <c r="N57" i="4"/>
  <c r="L57" i="4"/>
  <c r="N56" i="4"/>
  <c r="L56" i="4"/>
  <c r="N55" i="4"/>
  <c r="L55" i="4"/>
  <c r="N54" i="4"/>
  <c r="L54" i="4"/>
  <c r="N53" i="4"/>
  <c r="L53" i="4"/>
  <c r="N52" i="4"/>
  <c r="L52" i="4"/>
  <c r="N51" i="4"/>
  <c r="L51" i="4"/>
  <c r="N50" i="4"/>
  <c r="L50" i="4"/>
  <c r="N49" i="4"/>
  <c r="L49" i="4"/>
  <c r="N48" i="4"/>
  <c r="L48" i="4"/>
  <c r="N47" i="4"/>
  <c r="L47" i="4"/>
  <c r="N46" i="4"/>
  <c r="L46" i="4"/>
  <c r="N45" i="4"/>
  <c r="L45" i="4"/>
  <c r="N44" i="4"/>
  <c r="L44" i="4"/>
  <c r="N43" i="4"/>
  <c r="L43" i="4"/>
  <c r="N42" i="4"/>
  <c r="L42" i="4"/>
  <c r="N41" i="4"/>
  <c r="L41" i="4"/>
  <c r="N40" i="4"/>
  <c r="L40" i="4"/>
  <c r="N39" i="4"/>
  <c r="L39" i="4"/>
  <c r="N38" i="4"/>
  <c r="L38" i="4"/>
  <c r="N37" i="4"/>
  <c r="L37" i="4"/>
  <c r="N36" i="4"/>
  <c r="L36" i="4"/>
  <c r="N35" i="4"/>
  <c r="L35" i="4"/>
  <c r="N34" i="4"/>
  <c r="L34" i="4"/>
  <c r="N33" i="4"/>
  <c r="L33" i="4"/>
  <c r="N32" i="4"/>
  <c r="L32" i="4"/>
  <c r="N31" i="4"/>
  <c r="L31" i="4"/>
  <c r="N30" i="4"/>
  <c r="L30" i="4"/>
  <c r="N29" i="4"/>
  <c r="L29" i="4"/>
  <c r="N28" i="4"/>
  <c r="L28" i="4"/>
  <c r="N27" i="4"/>
  <c r="L27" i="4"/>
  <c r="N26" i="4"/>
  <c r="L26" i="4"/>
  <c r="N25" i="4"/>
  <c r="L25" i="4"/>
  <c r="N24" i="4"/>
  <c r="L24" i="4"/>
  <c r="N23" i="4"/>
  <c r="L23" i="4"/>
  <c r="L22" i="4"/>
  <c r="L21" i="4"/>
  <c r="L15" i="4"/>
  <c r="L14" i="4"/>
  <c r="L13" i="4"/>
  <c r="L10" i="4"/>
  <c r="L8" i="4"/>
  <c r="N7" i="4"/>
  <c r="L7" i="4"/>
  <c r="N6" i="4"/>
  <c r="L6" i="4"/>
</calcChain>
</file>

<file path=xl/sharedStrings.xml><?xml version="1.0" encoding="utf-8"?>
<sst xmlns="http://schemas.openxmlformats.org/spreadsheetml/2006/main" count="243" uniqueCount="107">
  <si>
    <t>所　属</t>
  </si>
  <si>
    <t>社　員</t>
  </si>
  <si>
    <t>2020年12月分</t>
  </si>
  <si>
    <t>若林運送株式会社</t>
  </si>
  <si>
    <t>締日:12/31</t>
  </si>
  <si>
    <t>支給日:01/15</t>
  </si>
  <si>
    <t>小名浜営業所</t>
  </si>
  <si>
    <t>渡邊　浩司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</si>
  <si>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</si>
  <si>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</si>
  <si>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</si>
  <si>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</si>
  <si>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</si>
  <si>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</si>
  <si>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</si>
  <si>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</si>
  <si>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</si>
  <si>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</si>
  <si>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</si>
  <si>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</si>
  <si>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</si>
  <si>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</si>
  <si>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</si>
  <si>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</si>
  <si>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</si>
  <si>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松本　誠治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</si>
  <si>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</si>
  <si>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</si>
  <si>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</si>
  <si>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</si>
  <si>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</si>
  <si>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</si>
  <si>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</si>
  <si>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</si>
  <si>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</si>
  <si>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</si>
  <si>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</si>
  <si>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</si>
  <si>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</si>
  <si>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</si>
  <si>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</si>
  <si>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</si>
  <si>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</si>
  <si>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</si>
  <si>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</si>
  <si>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</si>
  <si>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</si>
  <si>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</si>
  <si>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</si>
  <si>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</si>
  <si>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</si>
  <si>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</si>
  <si>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</si>
  <si>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</si>
  <si>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</si>
  <si>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</si>
  <si>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</si>
  <si>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</si>
  <si>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</si>
  <si>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</si>
  <si>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</si>
  <si>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</si>
  <si>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</si>
  <si>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</si>
  <si>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</si>
  <si>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</si>
  <si>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</si>
  <si>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</si>
  <si>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</si>
  <si>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</si>
  <si>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</si>
  <si>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</si>
  <si>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</si>
  <si>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</si>
  <si>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</si>
  <si>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馬目　公男</t>
  </si>
  <si>
    <t>小林　啓一</t>
  </si>
  <si>
    <t>鈴木　富雄</t>
  </si>
  <si>
    <t>雲藤　順</t>
  </si>
  <si>
    <t>鈴木　浩明</t>
  </si>
  <si>
    <t>小沼　康</t>
  </si>
  <si>
    <t>鵜沼　芳昭</t>
  </si>
  <si>
    <t>大平　正勝</t>
  </si>
  <si>
    <t>味戸　隆典</t>
  </si>
  <si>
    <t>荒木　正朋</t>
  </si>
  <si>
    <t>吉田　哲司</t>
  </si>
  <si>
    <t>神永　香織</t>
  </si>
  <si>
    <t>齋藤　秀行</t>
  </si>
  <si>
    <t>菊地　秀和</t>
  </si>
  <si>
    <t>若松　美宏</t>
  </si>
  <si>
    <t>小野　宏美</t>
  </si>
  <si>
    <t>金山　岳夫</t>
  </si>
  <si>
    <t>三澤　秀雄</t>
  </si>
  <si>
    <t>瀬野尾　勉</t>
  </si>
  <si>
    <t>鈴木　重夫</t>
  </si>
  <si>
    <t>渡辺　敏男</t>
  </si>
  <si>
    <t>蛭田　孝子</t>
  </si>
  <si>
    <t>非加入</t>
  </si>
  <si>
    <t>鈴木　紀子</t>
  </si>
  <si>
    <t>佐原　三夫</t>
  </si>
  <si>
    <t>下山田　英治</t>
  </si>
  <si>
    <t>全社計</t>
  </si>
  <si>
    <t>27名</t>
  </si>
  <si>
    <t>小計</t>
    <rPh sb="0" eb="2">
      <t>ショウケイ</t>
    </rPh>
    <phoneticPr fontId="1"/>
  </si>
  <si>
    <t>１６名</t>
    <rPh sb="2" eb="3">
      <t>メイ</t>
    </rPh>
    <phoneticPr fontId="1"/>
  </si>
  <si>
    <t>10名</t>
    <rPh sb="2" eb="3">
      <t>メイ</t>
    </rPh>
    <phoneticPr fontId="1"/>
  </si>
  <si>
    <t>1名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</si>
</sst>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8" xfId="0" applyFont="1" applyFill="1" applyBorder="1">
      <alignment vertical="center"/>
    </xf>
    <xf numFmtId="0" fontId="2" fillId="0" borderId="17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9" fontId="2" fillId="0" borderId="21" xfId="0" applyNumberFormat="1" applyFont="1" applyFill="1" applyBorder="1">
      <alignment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3" xfId="0" applyFont="1" applyFill="1" applyBorder="1">
      <alignment vertical="center"/>
    </xf>
    <xf numFmtId="176" fontId="2" fillId="0" borderId="34" xfId="0" applyNumberFormat="1" applyFont="1" applyFill="1" applyBorder="1">
      <alignment vertical="center"/>
    </xf>
    <xf numFmtId="176" fontId="2" fillId="0" borderId="35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4" xfId="0" applyNumberFormat="1" applyFont="1" applyFill="1" applyBorder="1">
      <alignment vertical="center"/>
    </xf>
    <xf numFmtId="179" fontId="2" fillId="0" borderId="35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6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0" fontId="2" fillId="0" borderId="35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176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0" fontId="2" fillId="0" borderId="49" xfId="0" applyFont="1" applyFill="1" applyBorder="1" applyAlignment="1">
      <alignment horizontal="right" vertical="center"/>
    </xf>
    <xf numFmtId="176" fontId="2" fillId="0" borderId="50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7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179" fontId="2" fillId="0" borderId="45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8989-8B60-4CC9-B0F5-D9284CB281F4}">
  <sheetPr>
    <pageSetUpPr fitToPage="1"/>
  </sheetPr>
  <dimension ref="A1:AO75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5" width="11.75" style="2" customWidth="1"/>
    <col min="16" max="22" width="10.5" style="2" customWidth="1"/>
    <col min="23" max="16384" width="9" style="2"/>
  </cols>
  <sheetData>
    <row r="1" spans="1:41" ht="18.75" x14ac:dyDescent="0.15">
      <c r="A1" s="1" t="s">
        <v>2</v>
      </c>
      <c r="B1" s="8"/>
      <c r="C1" s="8"/>
      <c r="D1" s="8"/>
      <c r="E1" s="8"/>
      <c r="F1" s="8"/>
      <c r="G1" s="1"/>
      <c r="H1" s="7"/>
      <c r="I1" s="1"/>
      <c r="J1" s="1"/>
      <c r="K1" s="7"/>
      <c r="L1" s="7"/>
      <c r="M1" s="7"/>
      <c r="N1" s="7"/>
      <c r="O1" s="1" t="s">
        <v>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5</v>
      </c>
      <c r="P2" s="1"/>
      <c r="Q2" s="1"/>
      <c r="R2" s="1"/>
      <c r="S2" s="1"/>
      <c r="T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15">
      <c r="A3" s="19" t="s">
        <v>0</v>
      </c>
      <c r="B3" s="36" t="s">
        <v>6</v>
      </c>
      <c r="C3" s="20" t="s">
        <v>6</v>
      </c>
      <c r="D3" s="20" t="s">
        <v>6</v>
      </c>
      <c r="E3" s="20" t="s">
        <v>6</v>
      </c>
      <c r="F3" s="36" t="s">
        <v>6</v>
      </c>
      <c r="G3" s="20" t="s">
        <v>6</v>
      </c>
      <c r="H3" s="20" t="s">
        <v>6</v>
      </c>
      <c r="I3" s="20" t="s">
        <v>6</v>
      </c>
      <c r="J3" s="20" t="s">
        <v>6</v>
      </c>
      <c r="K3" s="53" t="s">
        <v>6</v>
      </c>
      <c r="L3" s="84" t="s">
        <v>103</v>
      </c>
      <c r="M3" s="68" t="s">
        <v>6</v>
      </c>
      <c r="N3" s="84" t="s">
        <v>103</v>
      </c>
      <c r="O3" s="101" t="s">
        <v>101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15">
      <c r="A4" s="21"/>
      <c r="B4" s="37">
        <v>1009</v>
      </c>
      <c r="C4" s="22">
        <v>1013</v>
      </c>
      <c r="D4" s="22">
        <v>1094</v>
      </c>
      <c r="E4" s="22">
        <v>1026</v>
      </c>
      <c r="F4" s="37">
        <v>1027</v>
      </c>
      <c r="G4" s="22">
        <v>1001</v>
      </c>
      <c r="H4" s="22">
        <v>1002</v>
      </c>
      <c r="I4" s="22">
        <v>1003</v>
      </c>
      <c r="J4" s="22">
        <v>1005</v>
      </c>
      <c r="K4" s="54">
        <v>1085</v>
      </c>
      <c r="L4" s="85"/>
      <c r="M4" s="1">
        <v>1014</v>
      </c>
      <c r="N4" s="85"/>
      <c r="O4" s="102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4.25" thickBot="1" x14ac:dyDescent="0.2">
      <c r="A5" s="21" t="s">
        <v>1</v>
      </c>
      <c r="B5" s="37" t="s">
        <v>90</v>
      </c>
      <c r="C5" s="22" t="s">
        <v>100</v>
      </c>
      <c r="D5" s="22" t="s">
        <v>75</v>
      </c>
      <c r="E5" s="22" t="s">
        <v>96</v>
      </c>
      <c r="F5" s="37" t="s">
        <v>98</v>
      </c>
      <c r="G5" s="22" t="s">
        <v>92</v>
      </c>
      <c r="H5" s="22" t="s">
        <v>93</v>
      </c>
      <c r="I5" s="22" t="s">
        <v>94</v>
      </c>
      <c r="J5" s="22" t="s">
        <v>95</v>
      </c>
      <c r="K5" s="54" t="s">
        <v>99</v>
      </c>
      <c r="L5" s="86" t="s">
        <v>105</v>
      </c>
      <c r="M5" s="1" t="s">
        <v>91</v>
      </c>
      <c r="N5" s="86" t="s">
        <v>106</v>
      </c>
      <c r="O5" s="103" t="s">
        <v>102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x14ac:dyDescent="0.15">
      <c r="A6" s="23" t="s">
        <v>8</v>
      </c>
      <c r="B6" s="38">
        <v>20</v>
      </c>
      <c r="C6" s="24">
        <v>20</v>
      </c>
      <c r="D6" s="24">
        <v>23</v>
      </c>
      <c r="E6" s="24">
        <v>15</v>
      </c>
      <c r="F6" s="38">
        <v>15</v>
      </c>
      <c r="G6" s="24">
        <v>22</v>
      </c>
      <c r="H6" s="24">
        <v>10</v>
      </c>
      <c r="I6" s="24">
        <v>10</v>
      </c>
      <c r="J6" s="24">
        <v>11</v>
      </c>
      <c r="K6" s="55">
        <v>4</v>
      </c>
      <c r="L6" s="87">
        <f>SUM(B6:K6)</f>
        <v>150</v>
      </c>
      <c r="M6" s="69">
        <v>22</v>
      </c>
      <c r="N6" s="87">
        <f>SUM(M6)</f>
        <v>22</v>
      </c>
      <c r="O6" s="104">
        <v>489</v>
      </c>
      <c r="P6" s="3"/>
      <c r="Q6" s="3"/>
      <c r="R6" s="3"/>
      <c r="S6" s="3"/>
      <c r="T6" s="3"/>
      <c r="U6" s="3"/>
      <c r="V6" s="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x14ac:dyDescent="0.15">
      <c r="A7" s="15" t="s">
        <v>9</v>
      </c>
      <c r="B7" s="39">
        <v>1</v>
      </c>
      <c r="C7" s="9">
        <v>3</v>
      </c>
      <c r="D7" s="10"/>
      <c r="E7" s="10"/>
      <c r="F7" s="40"/>
      <c r="G7" s="10"/>
      <c r="H7" s="10"/>
      <c r="I7" s="10"/>
      <c r="J7" s="10"/>
      <c r="K7" s="56"/>
      <c r="L7" s="88">
        <f>SUM(B7:K7)</f>
        <v>4</v>
      </c>
      <c r="M7" s="70">
        <v>1</v>
      </c>
      <c r="N7" s="88">
        <f>SUM(M7)</f>
        <v>1</v>
      </c>
      <c r="O7" s="105">
        <v>44</v>
      </c>
      <c r="P7" s="4"/>
      <c r="Q7" s="4"/>
      <c r="R7" s="4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x14ac:dyDescent="0.15">
      <c r="A8" s="15" t="s">
        <v>10</v>
      </c>
      <c r="B8" s="39">
        <v>2</v>
      </c>
      <c r="C8" s="10"/>
      <c r="D8" s="10"/>
      <c r="E8" s="10"/>
      <c r="F8" s="40"/>
      <c r="G8" s="10"/>
      <c r="H8" s="10"/>
      <c r="I8" s="10"/>
      <c r="J8" s="10"/>
      <c r="K8" s="56"/>
      <c r="L8" s="88">
        <f>SUM(B8:K8)</f>
        <v>2</v>
      </c>
      <c r="M8" s="71"/>
      <c r="N8" s="89"/>
      <c r="O8" s="105">
        <v>37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x14ac:dyDescent="0.15">
      <c r="A9" s="15" t="s">
        <v>11</v>
      </c>
      <c r="B9" s="40"/>
      <c r="C9" s="10"/>
      <c r="D9" s="10"/>
      <c r="E9" s="10"/>
      <c r="F9" s="40"/>
      <c r="G9" s="10"/>
      <c r="H9" s="10"/>
      <c r="I9" s="10"/>
      <c r="J9" s="10"/>
      <c r="K9" s="56"/>
      <c r="L9" s="89"/>
      <c r="M9" s="71"/>
      <c r="N9" s="89"/>
      <c r="O9" s="106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x14ac:dyDescent="0.15">
      <c r="A10" s="15" t="s">
        <v>12</v>
      </c>
      <c r="B10" s="39">
        <v>2</v>
      </c>
      <c r="C10" s="9">
        <v>2</v>
      </c>
      <c r="D10" s="10"/>
      <c r="E10" s="10"/>
      <c r="F10" s="40"/>
      <c r="G10" s="10"/>
      <c r="H10" s="9">
        <v>2</v>
      </c>
      <c r="I10" s="9">
        <v>2</v>
      </c>
      <c r="J10" s="9">
        <v>1</v>
      </c>
      <c r="K10" s="56"/>
      <c r="L10" s="88">
        <f>SUM(B10:K10)</f>
        <v>9</v>
      </c>
      <c r="M10" s="71"/>
      <c r="N10" s="89"/>
      <c r="O10" s="105">
        <v>44</v>
      </c>
      <c r="P10" s="1"/>
      <c r="Q10" s="3"/>
      <c r="R10" s="3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x14ac:dyDescent="0.15">
      <c r="A11" s="15" t="s">
        <v>13</v>
      </c>
      <c r="B11" s="40"/>
      <c r="C11" s="10"/>
      <c r="D11" s="10"/>
      <c r="E11" s="10"/>
      <c r="F11" s="40"/>
      <c r="G11" s="10"/>
      <c r="H11" s="10"/>
      <c r="I11" s="10"/>
      <c r="J11" s="10"/>
      <c r="K11" s="56"/>
      <c r="L11" s="89"/>
      <c r="M11" s="71"/>
      <c r="N11" s="89"/>
      <c r="O11" s="106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x14ac:dyDescent="0.15">
      <c r="A12" s="15" t="s">
        <v>14</v>
      </c>
      <c r="B12" s="40"/>
      <c r="C12" s="10"/>
      <c r="D12" s="10"/>
      <c r="E12" s="10"/>
      <c r="F12" s="40"/>
      <c r="G12" s="10"/>
      <c r="H12" s="10"/>
      <c r="I12" s="10"/>
      <c r="J12" s="10"/>
      <c r="K12" s="56"/>
      <c r="L12" s="89"/>
      <c r="M12" s="71"/>
      <c r="N12" s="89"/>
      <c r="O12" s="106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x14ac:dyDescent="0.15">
      <c r="A13" s="15" t="s">
        <v>15</v>
      </c>
      <c r="B13" s="40"/>
      <c r="C13" s="10"/>
      <c r="D13" s="11">
        <v>7.583333333333333</v>
      </c>
      <c r="E13" s="11">
        <v>3.9583333333333335</v>
      </c>
      <c r="F13" s="41">
        <v>4.041666666666667</v>
      </c>
      <c r="G13" s="11">
        <v>3.2916666666666665</v>
      </c>
      <c r="H13" s="11">
        <v>2.9583333333333335</v>
      </c>
      <c r="I13" s="11">
        <v>2.9583333333333335</v>
      </c>
      <c r="J13" s="11">
        <v>3.2083333333333335</v>
      </c>
      <c r="K13" s="57">
        <v>1.3333333333333333</v>
      </c>
      <c r="L13" s="90">
        <f>SUM(B13:K13)</f>
        <v>29.333333333333329</v>
      </c>
      <c r="M13" s="71"/>
      <c r="N13" s="89"/>
      <c r="O13" s="107">
        <v>29.333333333333332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x14ac:dyDescent="0.15">
      <c r="A14" s="15" t="s">
        <v>16</v>
      </c>
      <c r="B14" s="40"/>
      <c r="C14" s="11">
        <v>1</v>
      </c>
      <c r="D14" s="11">
        <v>0.66666666666666663</v>
      </c>
      <c r="E14" s="10"/>
      <c r="F14" s="40"/>
      <c r="G14" s="10"/>
      <c r="H14" s="10"/>
      <c r="I14" s="10"/>
      <c r="J14" s="10"/>
      <c r="K14" s="57">
        <v>0.20833333333333334</v>
      </c>
      <c r="L14" s="90">
        <f>SUM(B14:K14)</f>
        <v>1.8749999999999998</v>
      </c>
      <c r="M14" s="71"/>
      <c r="N14" s="89"/>
      <c r="O14" s="107">
        <v>39.791666666666664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x14ac:dyDescent="0.15">
      <c r="A15" s="15" t="s">
        <v>17</v>
      </c>
      <c r="B15" s="40"/>
      <c r="C15" s="11">
        <v>0.91666666666666663</v>
      </c>
      <c r="D15" s="10"/>
      <c r="E15" s="10"/>
      <c r="F15" s="40"/>
      <c r="G15" s="10"/>
      <c r="H15" s="10"/>
      <c r="I15" s="10"/>
      <c r="J15" s="10"/>
      <c r="K15" s="56"/>
      <c r="L15" s="90">
        <f>SUM(B15:K15)</f>
        <v>0.91666666666666663</v>
      </c>
      <c r="M15" s="71"/>
      <c r="N15" s="89"/>
      <c r="O15" s="107">
        <v>14.958333333333334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x14ac:dyDescent="0.15">
      <c r="A16" s="15" t="s">
        <v>18</v>
      </c>
      <c r="B16" s="40"/>
      <c r="C16" s="10"/>
      <c r="D16" s="10"/>
      <c r="E16" s="10"/>
      <c r="F16" s="40"/>
      <c r="G16" s="10"/>
      <c r="H16" s="10"/>
      <c r="I16" s="10"/>
      <c r="J16" s="10"/>
      <c r="K16" s="56"/>
      <c r="L16" s="89"/>
      <c r="M16" s="71"/>
      <c r="N16" s="89"/>
      <c r="O16" s="107">
        <v>14.041666666666666</v>
      </c>
      <c r="P16" s="5"/>
      <c r="Q16" s="5"/>
      <c r="R16" s="5"/>
      <c r="S16" s="5"/>
      <c r="T16" s="5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x14ac:dyDescent="0.15">
      <c r="A17" s="15" t="s">
        <v>19</v>
      </c>
      <c r="B17" s="40"/>
      <c r="C17" s="10"/>
      <c r="D17" s="10"/>
      <c r="E17" s="10"/>
      <c r="F17" s="40"/>
      <c r="G17" s="10"/>
      <c r="H17" s="10"/>
      <c r="I17" s="10"/>
      <c r="J17" s="10"/>
      <c r="K17" s="56"/>
      <c r="L17" s="89"/>
      <c r="M17" s="71"/>
      <c r="N17" s="89"/>
      <c r="O17" s="106"/>
      <c r="P17" s="5"/>
      <c r="Q17" s="5"/>
      <c r="R17" s="5"/>
      <c r="S17" s="5"/>
      <c r="T17" s="5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x14ac:dyDescent="0.15">
      <c r="A18" s="15" t="s">
        <v>20</v>
      </c>
      <c r="B18" s="40"/>
      <c r="C18" s="10"/>
      <c r="D18" s="10"/>
      <c r="E18" s="10"/>
      <c r="F18" s="40"/>
      <c r="G18" s="10"/>
      <c r="H18" s="10"/>
      <c r="I18" s="10"/>
      <c r="J18" s="10"/>
      <c r="K18" s="56"/>
      <c r="L18" s="89"/>
      <c r="M18" s="71"/>
      <c r="N18" s="89"/>
      <c r="O18" s="106"/>
      <c r="P18" s="5"/>
      <c r="Q18" s="5"/>
      <c r="R18" s="5"/>
      <c r="S18" s="5"/>
      <c r="T18" s="5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x14ac:dyDescent="0.15">
      <c r="A19" s="15" t="s">
        <v>21</v>
      </c>
      <c r="B19" s="40"/>
      <c r="C19" s="10"/>
      <c r="D19" s="10"/>
      <c r="E19" s="10"/>
      <c r="F19" s="40"/>
      <c r="G19" s="10"/>
      <c r="H19" s="10"/>
      <c r="I19" s="10"/>
      <c r="J19" s="10"/>
      <c r="K19" s="56"/>
      <c r="L19" s="89"/>
      <c r="M19" s="71"/>
      <c r="N19" s="89"/>
      <c r="O19" s="106"/>
      <c r="P19" s="5"/>
      <c r="Q19" s="5"/>
      <c r="R19" s="5"/>
      <c r="S19" s="5"/>
      <c r="T19" s="5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x14ac:dyDescent="0.15">
      <c r="A20" s="15" t="s">
        <v>22</v>
      </c>
      <c r="B20" s="40"/>
      <c r="C20" s="10"/>
      <c r="D20" s="10"/>
      <c r="E20" s="10"/>
      <c r="F20" s="40"/>
      <c r="G20" s="10"/>
      <c r="H20" s="10"/>
      <c r="I20" s="10"/>
      <c r="J20" s="10"/>
      <c r="K20" s="56"/>
      <c r="L20" s="89"/>
      <c r="M20" s="71"/>
      <c r="N20" s="89"/>
      <c r="O20" s="106"/>
      <c r="P20" s="5"/>
      <c r="Q20" s="5"/>
      <c r="R20" s="5"/>
      <c r="S20" s="5"/>
      <c r="T20" s="5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x14ac:dyDescent="0.15">
      <c r="A21" s="15" t="s">
        <v>23</v>
      </c>
      <c r="B21" s="40"/>
      <c r="C21" s="10"/>
      <c r="D21" s="10"/>
      <c r="E21" s="10"/>
      <c r="F21" s="40"/>
      <c r="G21" s="10"/>
      <c r="H21" s="11">
        <v>0.58333333333333337</v>
      </c>
      <c r="I21" s="11">
        <v>0.58333333333333337</v>
      </c>
      <c r="J21" s="11">
        <v>0.29166666666666669</v>
      </c>
      <c r="K21" s="56"/>
      <c r="L21" s="90">
        <f>SUM(B21:K21)</f>
        <v>1.4583333333333335</v>
      </c>
      <c r="M21" s="71"/>
      <c r="N21" s="89"/>
      <c r="O21" s="107">
        <v>1.4583333333333333</v>
      </c>
      <c r="P21" s="5"/>
      <c r="Q21" s="5"/>
      <c r="R21" s="5"/>
      <c r="S21" s="5"/>
      <c r="T21" s="5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4.25" thickBot="1" x14ac:dyDescent="0.2">
      <c r="A22" s="26" t="s">
        <v>24</v>
      </c>
      <c r="B22" s="52"/>
      <c r="C22" s="28"/>
      <c r="D22" s="28"/>
      <c r="E22" s="28"/>
      <c r="F22" s="52"/>
      <c r="G22" s="28"/>
      <c r="H22" s="27">
        <v>2.0833333333333335</v>
      </c>
      <c r="I22" s="27">
        <v>2.0833333333333335</v>
      </c>
      <c r="J22" s="27">
        <v>2.2916666666666665</v>
      </c>
      <c r="K22" s="58"/>
      <c r="L22" s="90">
        <f>SUM(B22:K22)</f>
        <v>6.4583333333333339</v>
      </c>
      <c r="M22" s="72"/>
      <c r="N22" s="118"/>
      <c r="O22" s="108">
        <v>19.125</v>
      </c>
      <c r="P22" s="5"/>
      <c r="Q22" s="5"/>
      <c r="R22" s="5"/>
      <c r="S22" s="5"/>
      <c r="T22" s="5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x14ac:dyDescent="0.15">
      <c r="A23" s="23" t="s">
        <v>26</v>
      </c>
      <c r="B23" s="43">
        <v>485000</v>
      </c>
      <c r="C23" s="25">
        <v>270000</v>
      </c>
      <c r="D23" s="25">
        <v>0</v>
      </c>
      <c r="E23" s="25">
        <v>0</v>
      </c>
      <c r="F23" s="43">
        <v>0</v>
      </c>
      <c r="G23" s="25">
        <v>0</v>
      </c>
      <c r="H23" s="25">
        <v>0</v>
      </c>
      <c r="I23" s="25">
        <v>0</v>
      </c>
      <c r="J23" s="25">
        <v>0</v>
      </c>
      <c r="K23" s="59">
        <v>0</v>
      </c>
      <c r="L23" s="92">
        <f>SUM(B23:K23)</f>
        <v>755000</v>
      </c>
      <c r="M23" s="73">
        <v>375000</v>
      </c>
      <c r="N23" s="92">
        <f>SUM(M23)</f>
        <v>375000</v>
      </c>
      <c r="O23" s="109">
        <v>3990000</v>
      </c>
      <c r="P23" s="5"/>
      <c r="Q23" s="5"/>
      <c r="R23" s="5"/>
      <c r="S23" s="5"/>
      <c r="T23" s="5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x14ac:dyDescent="0.15">
      <c r="A24" s="15" t="s">
        <v>27</v>
      </c>
      <c r="B24" s="40">
        <v>0</v>
      </c>
      <c r="C24" s="10">
        <v>0</v>
      </c>
      <c r="D24" s="10">
        <v>0</v>
      </c>
      <c r="E24" s="10">
        <v>0</v>
      </c>
      <c r="F24" s="40">
        <v>0</v>
      </c>
      <c r="G24" s="10">
        <v>0</v>
      </c>
      <c r="H24" s="10">
        <v>0</v>
      </c>
      <c r="I24" s="10">
        <v>0</v>
      </c>
      <c r="J24" s="10">
        <v>0</v>
      </c>
      <c r="K24" s="56">
        <v>0</v>
      </c>
      <c r="L24" s="89">
        <f t="shared" ref="L24:L72" si="0">SUM(B24:K24)</f>
        <v>0</v>
      </c>
      <c r="M24" s="71">
        <v>0</v>
      </c>
      <c r="N24" s="89">
        <f t="shared" ref="N24:N72" si="1">SUM(M24)</f>
        <v>0</v>
      </c>
      <c r="O24" s="106">
        <v>50000</v>
      </c>
      <c r="P24" s="5"/>
      <c r="Q24" s="5"/>
      <c r="R24" s="5"/>
      <c r="S24" s="5"/>
      <c r="T24" s="5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x14ac:dyDescent="0.15">
      <c r="A25" s="15" t="s">
        <v>28</v>
      </c>
      <c r="B25" s="40">
        <v>0</v>
      </c>
      <c r="C25" s="10">
        <v>3000</v>
      </c>
      <c r="D25" s="10">
        <v>0</v>
      </c>
      <c r="E25" s="10">
        <v>0</v>
      </c>
      <c r="F25" s="40">
        <v>0</v>
      </c>
      <c r="G25" s="10">
        <v>0</v>
      </c>
      <c r="H25" s="10">
        <v>0</v>
      </c>
      <c r="I25" s="10">
        <v>0</v>
      </c>
      <c r="J25" s="10">
        <v>0</v>
      </c>
      <c r="K25" s="56">
        <v>0</v>
      </c>
      <c r="L25" s="89">
        <f t="shared" si="0"/>
        <v>3000</v>
      </c>
      <c r="M25" s="71">
        <v>0</v>
      </c>
      <c r="N25" s="89">
        <f t="shared" si="1"/>
        <v>0</v>
      </c>
      <c r="O25" s="106">
        <v>6000</v>
      </c>
      <c r="P25" s="5"/>
      <c r="Q25" s="5"/>
      <c r="R25" s="5"/>
      <c r="S25" s="5"/>
      <c r="T25" s="5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x14ac:dyDescent="0.15">
      <c r="A26" s="15" t="s">
        <v>29</v>
      </c>
      <c r="B26" s="40">
        <v>0</v>
      </c>
      <c r="C26" s="10">
        <v>0</v>
      </c>
      <c r="D26" s="10">
        <v>0</v>
      </c>
      <c r="E26" s="10">
        <v>0</v>
      </c>
      <c r="F26" s="40">
        <v>0</v>
      </c>
      <c r="G26" s="10">
        <v>0</v>
      </c>
      <c r="H26" s="10">
        <v>0</v>
      </c>
      <c r="I26" s="10">
        <v>0</v>
      </c>
      <c r="J26" s="10">
        <v>0</v>
      </c>
      <c r="K26" s="56">
        <v>0</v>
      </c>
      <c r="L26" s="89">
        <f t="shared" si="0"/>
        <v>0</v>
      </c>
      <c r="M26" s="71">
        <v>0</v>
      </c>
      <c r="N26" s="89">
        <f t="shared" si="1"/>
        <v>0</v>
      </c>
      <c r="O26" s="106">
        <v>0</v>
      </c>
      <c r="P26" s="5"/>
      <c r="Q26" s="5"/>
      <c r="R26" s="5"/>
      <c r="S26" s="5"/>
      <c r="T26" s="5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x14ac:dyDescent="0.15">
      <c r="A27" s="15" t="s">
        <v>30</v>
      </c>
      <c r="B27" s="40">
        <v>0</v>
      </c>
      <c r="C27" s="10">
        <v>0</v>
      </c>
      <c r="D27" s="10">
        <v>0</v>
      </c>
      <c r="E27" s="10">
        <v>0</v>
      </c>
      <c r="F27" s="40">
        <v>0</v>
      </c>
      <c r="G27" s="10">
        <v>0</v>
      </c>
      <c r="H27" s="10">
        <v>0</v>
      </c>
      <c r="I27" s="10">
        <v>0</v>
      </c>
      <c r="J27" s="10">
        <v>0</v>
      </c>
      <c r="K27" s="56">
        <v>0</v>
      </c>
      <c r="L27" s="89">
        <f t="shared" si="0"/>
        <v>0</v>
      </c>
      <c r="M27" s="71">
        <v>0</v>
      </c>
      <c r="N27" s="89">
        <f t="shared" si="1"/>
        <v>0</v>
      </c>
      <c r="O27" s="106">
        <v>0</v>
      </c>
      <c r="P27" s="5"/>
      <c r="Q27" s="5"/>
      <c r="R27" s="5"/>
      <c r="S27" s="5"/>
      <c r="T27" s="5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x14ac:dyDescent="0.15">
      <c r="A28" s="15" t="s">
        <v>31</v>
      </c>
      <c r="B28" s="40">
        <v>0</v>
      </c>
      <c r="C28" s="10">
        <v>0</v>
      </c>
      <c r="D28" s="10">
        <v>0</v>
      </c>
      <c r="E28" s="10">
        <v>0</v>
      </c>
      <c r="F28" s="40">
        <v>0</v>
      </c>
      <c r="G28" s="10">
        <v>0</v>
      </c>
      <c r="H28" s="10">
        <v>0</v>
      </c>
      <c r="I28" s="10">
        <v>0</v>
      </c>
      <c r="J28" s="10">
        <v>0</v>
      </c>
      <c r="K28" s="56">
        <v>0</v>
      </c>
      <c r="L28" s="89">
        <f t="shared" si="0"/>
        <v>0</v>
      </c>
      <c r="M28" s="71">
        <v>0</v>
      </c>
      <c r="N28" s="89">
        <f t="shared" si="1"/>
        <v>0</v>
      </c>
      <c r="O28" s="106">
        <v>0</v>
      </c>
      <c r="P28" s="5"/>
      <c r="Q28" s="5"/>
      <c r="R28" s="5"/>
      <c r="S28" s="5"/>
      <c r="T28" s="5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x14ac:dyDescent="0.15">
      <c r="A29" s="15" t="s">
        <v>32</v>
      </c>
      <c r="B29" s="40">
        <v>0</v>
      </c>
      <c r="C29" s="10">
        <v>0</v>
      </c>
      <c r="D29" s="10">
        <v>0</v>
      </c>
      <c r="E29" s="10">
        <v>0</v>
      </c>
      <c r="F29" s="40">
        <v>0</v>
      </c>
      <c r="G29" s="10">
        <v>0</v>
      </c>
      <c r="H29" s="10">
        <v>0</v>
      </c>
      <c r="I29" s="10">
        <v>0</v>
      </c>
      <c r="J29" s="10">
        <v>0</v>
      </c>
      <c r="K29" s="56">
        <v>0</v>
      </c>
      <c r="L29" s="89">
        <f t="shared" si="0"/>
        <v>0</v>
      </c>
      <c r="M29" s="71">
        <v>0</v>
      </c>
      <c r="N29" s="89">
        <f t="shared" si="1"/>
        <v>0</v>
      </c>
      <c r="O29" s="106">
        <v>0</v>
      </c>
      <c r="P29" s="5"/>
      <c r="Q29" s="5"/>
      <c r="R29" s="5"/>
      <c r="S29" s="5"/>
      <c r="T29" s="5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x14ac:dyDescent="0.15">
      <c r="A30" s="15" t="s">
        <v>33</v>
      </c>
      <c r="B30" s="40">
        <v>0</v>
      </c>
      <c r="C30" s="10">
        <v>0</v>
      </c>
      <c r="D30" s="10">
        <v>0</v>
      </c>
      <c r="E30" s="10">
        <v>0</v>
      </c>
      <c r="F30" s="40">
        <v>0</v>
      </c>
      <c r="G30" s="10">
        <v>0</v>
      </c>
      <c r="H30" s="10">
        <v>0</v>
      </c>
      <c r="I30" s="10">
        <v>0</v>
      </c>
      <c r="J30" s="10">
        <v>0</v>
      </c>
      <c r="K30" s="56">
        <v>0</v>
      </c>
      <c r="L30" s="89">
        <f t="shared" si="0"/>
        <v>0</v>
      </c>
      <c r="M30" s="71">
        <v>0</v>
      </c>
      <c r="N30" s="89">
        <f t="shared" si="1"/>
        <v>0</v>
      </c>
      <c r="O30" s="106">
        <v>0</v>
      </c>
      <c r="P30" s="5"/>
      <c r="Q30" s="5"/>
      <c r="R30" s="5"/>
      <c r="S30" s="5"/>
      <c r="T30" s="5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x14ac:dyDescent="0.15">
      <c r="A31" s="15" t="s">
        <v>34</v>
      </c>
      <c r="B31" s="40">
        <v>0</v>
      </c>
      <c r="C31" s="10">
        <v>0</v>
      </c>
      <c r="D31" s="10">
        <v>154700</v>
      </c>
      <c r="E31" s="10">
        <v>84075</v>
      </c>
      <c r="F31" s="40">
        <v>85845</v>
      </c>
      <c r="G31" s="10">
        <v>66360</v>
      </c>
      <c r="H31" s="10">
        <v>59640</v>
      </c>
      <c r="I31" s="10">
        <v>59640</v>
      </c>
      <c r="J31" s="10">
        <v>64680</v>
      </c>
      <c r="K31" s="56">
        <v>26560</v>
      </c>
      <c r="L31" s="89">
        <f t="shared" si="0"/>
        <v>601500</v>
      </c>
      <c r="M31" s="71">
        <v>0</v>
      </c>
      <c r="N31" s="89">
        <f t="shared" si="1"/>
        <v>0</v>
      </c>
      <c r="O31" s="106">
        <v>601500</v>
      </c>
      <c r="P31" s="5"/>
      <c r="Q31" s="5"/>
      <c r="R31" s="5"/>
      <c r="S31" s="5"/>
      <c r="T31" s="5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x14ac:dyDescent="0.15">
      <c r="A32" s="15" t="s">
        <v>35</v>
      </c>
      <c r="B32" s="40">
        <v>0</v>
      </c>
      <c r="C32" s="10">
        <v>0</v>
      </c>
      <c r="D32" s="10">
        <v>0</v>
      </c>
      <c r="E32" s="10">
        <v>0</v>
      </c>
      <c r="F32" s="40">
        <v>0</v>
      </c>
      <c r="G32" s="10">
        <v>0</v>
      </c>
      <c r="H32" s="10">
        <v>0</v>
      </c>
      <c r="I32" s="10">
        <v>0</v>
      </c>
      <c r="J32" s="10">
        <v>0</v>
      </c>
      <c r="K32" s="56">
        <v>0</v>
      </c>
      <c r="L32" s="89">
        <f t="shared" si="0"/>
        <v>0</v>
      </c>
      <c r="M32" s="71">
        <v>0</v>
      </c>
      <c r="N32" s="89">
        <f t="shared" si="1"/>
        <v>0</v>
      </c>
      <c r="O32" s="106">
        <v>0</v>
      </c>
      <c r="P32" s="5"/>
      <c r="Q32" s="5"/>
      <c r="R32" s="5"/>
      <c r="S32" s="5"/>
      <c r="T32" s="5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x14ac:dyDescent="0.15">
      <c r="A33" s="15" t="s">
        <v>36</v>
      </c>
      <c r="B33" s="40">
        <v>0</v>
      </c>
      <c r="C33" s="10">
        <v>0</v>
      </c>
      <c r="D33" s="10">
        <v>0</v>
      </c>
      <c r="E33" s="10">
        <v>0</v>
      </c>
      <c r="F33" s="40">
        <v>0</v>
      </c>
      <c r="G33" s="10">
        <v>0</v>
      </c>
      <c r="H33" s="10">
        <v>0</v>
      </c>
      <c r="I33" s="10">
        <v>0</v>
      </c>
      <c r="J33" s="10">
        <v>0</v>
      </c>
      <c r="K33" s="56">
        <v>0</v>
      </c>
      <c r="L33" s="89">
        <f t="shared" si="0"/>
        <v>0</v>
      </c>
      <c r="M33" s="71">
        <v>0</v>
      </c>
      <c r="N33" s="89">
        <f t="shared" si="1"/>
        <v>0</v>
      </c>
      <c r="O33" s="106">
        <v>0</v>
      </c>
      <c r="P33" s="5"/>
      <c r="Q33" s="5"/>
      <c r="R33" s="5"/>
      <c r="S33" s="5"/>
      <c r="T33" s="5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x14ac:dyDescent="0.15">
      <c r="A34" s="15" t="s">
        <v>37</v>
      </c>
      <c r="B34" s="40">
        <v>0</v>
      </c>
      <c r="C34" s="10">
        <v>0</v>
      </c>
      <c r="D34" s="10">
        <v>0</v>
      </c>
      <c r="E34" s="10">
        <v>0</v>
      </c>
      <c r="F34" s="40">
        <v>0</v>
      </c>
      <c r="G34" s="10">
        <v>0</v>
      </c>
      <c r="H34" s="10">
        <v>11760</v>
      </c>
      <c r="I34" s="10">
        <v>11760</v>
      </c>
      <c r="J34" s="10">
        <v>5880</v>
      </c>
      <c r="K34" s="56">
        <v>0</v>
      </c>
      <c r="L34" s="89">
        <f t="shared" si="0"/>
        <v>29400</v>
      </c>
      <c r="M34" s="71">
        <v>0</v>
      </c>
      <c r="N34" s="89">
        <f t="shared" si="1"/>
        <v>0</v>
      </c>
      <c r="O34" s="106">
        <v>29400</v>
      </c>
      <c r="P34" s="5"/>
      <c r="Q34" s="5"/>
      <c r="R34" s="5"/>
      <c r="S34" s="5"/>
      <c r="T34" s="5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x14ac:dyDescent="0.15">
      <c r="A35" s="15" t="s">
        <v>38</v>
      </c>
      <c r="B35" s="40">
        <v>0</v>
      </c>
      <c r="C35" s="10">
        <v>0</v>
      </c>
      <c r="D35" s="10">
        <v>0</v>
      </c>
      <c r="E35" s="10">
        <v>0</v>
      </c>
      <c r="F35" s="40">
        <v>0</v>
      </c>
      <c r="G35" s="10">
        <v>0</v>
      </c>
      <c r="H35" s="10">
        <v>0</v>
      </c>
      <c r="I35" s="10">
        <v>0</v>
      </c>
      <c r="J35" s="10">
        <v>0</v>
      </c>
      <c r="K35" s="56">
        <v>0</v>
      </c>
      <c r="L35" s="89">
        <f t="shared" si="0"/>
        <v>0</v>
      </c>
      <c r="M35" s="71">
        <v>0</v>
      </c>
      <c r="N35" s="89">
        <f t="shared" si="1"/>
        <v>0</v>
      </c>
      <c r="O35" s="106">
        <v>0</v>
      </c>
      <c r="P35" s="5"/>
      <c r="Q35" s="5"/>
      <c r="R35" s="5"/>
      <c r="S35" s="5"/>
      <c r="T35" s="5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x14ac:dyDescent="0.15">
      <c r="A36" s="15" t="s">
        <v>39</v>
      </c>
      <c r="B36" s="40">
        <v>0</v>
      </c>
      <c r="C36" s="10">
        <v>0</v>
      </c>
      <c r="D36" s="10">
        <v>0</v>
      </c>
      <c r="E36" s="10">
        <v>0</v>
      </c>
      <c r="F36" s="40">
        <v>0</v>
      </c>
      <c r="G36" s="10">
        <v>0</v>
      </c>
      <c r="H36" s="10">
        <v>0</v>
      </c>
      <c r="I36" s="10">
        <v>0</v>
      </c>
      <c r="J36" s="10">
        <v>0</v>
      </c>
      <c r="K36" s="56">
        <v>0</v>
      </c>
      <c r="L36" s="89">
        <f t="shared" si="0"/>
        <v>0</v>
      </c>
      <c r="M36" s="71">
        <v>0</v>
      </c>
      <c r="N36" s="89">
        <f t="shared" si="1"/>
        <v>0</v>
      </c>
      <c r="O36" s="106">
        <v>0</v>
      </c>
      <c r="P36" s="5"/>
      <c r="Q36" s="5"/>
      <c r="R36" s="5"/>
      <c r="S36" s="5"/>
      <c r="T36" s="5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x14ac:dyDescent="0.15">
      <c r="A37" s="15" t="s">
        <v>40</v>
      </c>
      <c r="B37" s="40">
        <v>0</v>
      </c>
      <c r="C37" s="10">
        <v>0</v>
      </c>
      <c r="D37" s="10">
        <v>0</v>
      </c>
      <c r="E37" s="10">
        <v>0</v>
      </c>
      <c r="F37" s="40">
        <v>0</v>
      </c>
      <c r="G37" s="10">
        <v>0</v>
      </c>
      <c r="H37" s="10">
        <v>0</v>
      </c>
      <c r="I37" s="10">
        <v>0</v>
      </c>
      <c r="J37" s="10">
        <v>0</v>
      </c>
      <c r="K37" s="56">
        <v>0</v>
      </c>
      <c r="L37" s="89">
        <f t="shared" si="0"/>
        <v>0</v>
      </c>
      <c r="M37" s="71">
        <v>0</v>
      </c>
      <c r="N37" s="89">
        <f t="shared" si="1"/>
        <v>0</v>
      </c>
      <c r="O37" s="106">
        <v>0</v>
      </c>
      <c r="P37" s="5"/>
      <c r="Q37" s="5"/>
      <c r="R37" s="5"/>
      <c r="S37" s="5"/>
      <c r="T37" s="5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x14ac:dyDescent="0.15">
      <c r="A38" s="15" t="s">
        <v>41</v>
      </c>
      <c r="B38" s="40">
        <v>0</v>
      </c>
      <c r="C38" s="10">
        <v>0</v>
      </c>
      <c r="D38" s="10">
        <v>0</v>
      </c>
      <c r="E38" s="10">
        <v>0</v>
      </c>
      <c r="F38" s="40">
        <v>0</v>
      </c>
      <c r="G38" s="10">
        <v>0</v>
      </c>
      <c r="H38" s="10">
        <v>0</v>
      </c>
      <c r="I38" s="10">
        <v>0</v>
      </c>
      <c r="J38" s="10">
        <v>0</v>
      </c>
      <c r="K38" s="56">
        <v>0</v>
      </c>
      <c r="L38" s="89">
        <f t="shared" si="0"/>
        <v>0</v>
      </c>
      <c r="M38" s="71">
        <v>0</v>
      </c>
      <c r="N38" s="89">
        <f t="shared" si="1"/>
        <v>0</v>
      </c>
      <c r="O38" s="106">
        <v>0</v>
      </c>
      <c r="P38" s="5"/>
      <c r="Q38" s="5"/>
      <c r="R38" s="5"/>
      <c r="S38" s="5"/>
      <c r="T38" s="5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x14ac:dyDescent="0.15">
      <c r="A39" s="15" t="s">
        <v>42</v>
      </c>
      <c r="B39" s="40">
        <v>0</v>
      </c>
      <c r="C39" s="10">
        <v>0</v>
      </c>
      <c r="D39" s="10">
        <v>0</v>
      </c>
      <c r="E39" s="10">
        <v>0</v>
      </c>
      <c r="F39" s="40">
        <v>0</v>
      </c>
      <c r="G39" s="10">
        <v>0</v>
      </c>
      <c r="H39" s="10">
        <v>0</v>
      </c>
      <c r="I39" s="10">
        <v>0</v>
      </c>
      <c r="J39" s="10">
        <v>0</v>
      </c>
      <c r="K39" s="56">
        <v>0</v>
      </c>
      <c r="L39" s="89">
        <f t="shared" si="0"/>
        <v>0</v>
      </c>
      <c r="M39" s="71">
        <v>0</v>
      </c>
      <c r="N39" s="89">
        <f t="shared" si="1"/>
        <v>0</v>
      </c>
      <c r="O39" s="106">
        <v>0</v>
      </c>
      <c r="P39" s="5"/>
      <c r="Q39" s="5"/>
      <c r="R39" s="5"/>
      <c r="S39" s="5"/>
      <c r="T39" s="5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x14ac:dyDescent="0.15">
      <c r="A40" s="15" t="s">
        <v>43</v>
      </c>
      <c r="B40" s="40">
        <v>0</v>
      </c>
      <c r="C40" s="10">
        <v>0</v>
      </c>
      <c r="D40" s="10">
        <v>0</v>
      </c>
      <c r="E40" s="10">
        <v>0</v>
      </c>
      <c r="F40" s="40">
        <v>0</v>
      </c>
      <c r="G40" s="10">
        <v>0</v>
      </c>
      <c r="H40" s="10">
        <v>0</v>
      </c>
      <c r="I40" s="10">
        <v>0</v>
      </c>
      <c r="J40" s="10">
        <v>0</v>
      </c>
      <c r="K40" s="56">
        <v>0</v>
      </c>
      <c r="L40" s="89">
        <f t="shared" si="0"/>
        <v>0</v>
      </c>
      <c r="M40" s="71">
        <v>0</v>
      </c>
      <c r="N40" s="89">
        <f t="shared" si="1"/>
        <v>0</v>
      </c>
      <c r="O40" s="106">
        <v>0</v>
      </c>
      <c r="P40" s="5"/>
      <c r="Q40" s="5"/>
      <c r="R40" s="5"/>
      <c r="S40" s="5"/>
      <c r="T40" s="5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x14ac:dyDescent="0.15">
      <c r="A41" s="15" t="s">
        <v>44</v>
      </c>
      <c r="B41" s="40">
        <v>0</v>
      </c>
      <c r="C41" s="10">
        <v>0</v>
      </c>
      <c r="D41" s="10">
        <v>0</v>
      </c>
      <c r="E41" s="10">
        <v>0</v>
      </c>
      <c r="F41" s="40">
        <v>0</v>
      </c>
      <c r="G41" s="10">
        <v>0</v>
      </c>
      <c r="H41" s="10">
        <v>0</v>
      </c>
      <c r="I41" s="10">
        <v>0</v>
      </c>
      <c r="J41" s="10">
        <v>0</v>
      </c>
      <c r="K41" s="56">
        <v>0</v>
      </c>
      <c r="L41" s="89">
        <f t="shared" si="0"/>
        <v>0</v>
      </c>
      <c r="M41" s="71">
        <v>0</v>
      </c>
      <c r="N41" s="89">
        <f t="shared" si="1"/>
        <v>0</v>
      </c>
      <c r="O41" s="106">
        <v>0</v>
      </c>
      <c r="P41" s="5"/>
      <c r="Q41" s="5"/>
      <c r="R41" s="5"/>
      <c r="S41" s="5"/>
      <c r="T41" s="5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x14ac:dyDescent="0.15">
      <c r="A42" s="15" t="s">
        <v>45</v>
      </c>
      <c r="B42" s="40">
        <v>0</v>
      </c>
      <c r="C42" s="10">
        <v>0</v>
      </c>
      <c r="D42" s="10">
        <v>0</v>
      </c>
      <c r="E42" s="10">
        <v>0</v>
      </c>
      <c r="F42" s="40">
        <v>0</v>
      </c>
      <c r="G42" s="10">
        <v>0</v>
      </c>
      <c r="H42" s="10">
        <v>0</v>
      </c>
      <c r="I42" s="10">
        <v>0</v>
      </c>
      <c r="J42" s="10">
        <v>0</v>
      </c>
      <c r="K42" s="56">
        <v>0</v>
      </c>
      <c r="L42" s="89">
        <f t="shared" si="0"/>
        <v>0</v>
      </c>
      <c r="M42" s="71">
        <v>0</v>
      </c>
      <c r="N42" s="89">
        <f t="shared" si="1"/>
        <v>0</v>
      </c>
      <c r="O42" s="106">
        <v>0</v>
      </c>
      <c r="P42" s="5"/>
      <c r="Q42" s="5"/>
      <c r="R42" s="5"/>
      <c r="S42" s="5"/>
      <c r="T42" s="5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x14ac:dyDescent="0.15">
      <c r="A43" s="15" t="s">
        <v>16</v>
      </c>
      <c r="B43" s="40">
        <v>0</v>
      </c>
      <c r="C43" s="10">
        <v>49056</v>
      </c>
      <c r="D43" s="10">
        <v>17008</v>
      </c>
      <c r="E43" s="10">
        <v>0</v>
      </c>
      <c r="F43" s="40">
        <v>0</v>
      </c>
      <c r="G43" s="10">
        <v>0</v>
      </c>
      <c r="H43" s="10">
        <v>0</v>
      </c>
      <c r="I43" s="10">
        <v>0</v>
      </c>
      <c r="J43" s="10">
        <v>0</v>
      </c>
      <c r="K43" s="56">
        <v>5190</v>
      </c>
      <c r="L43" s="89">
        <f t="shared" si="0"/>
        <v>71254</v>
      </c>
      <c r="M43" s="71">
        <v>0</v>
      </c>
      <c r="N43" s="89">
        <f t="shared" si="1"/>
        <v>0</v>
      </c>
      <c r="O43" s="106">
        <v>1312248</v>
      </c>
      <c r="P43" s="5"/>
      <c r="Q43" s="5"/>
      <c r="R43" s="5"/>
      <c r="S43" s="5"/>
      <c r="T43" s="5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x14ac:dyDescent="0.15">
      <c r="A44" s="15" t="s">
        <v>9</v>
      </c>
      <c r="B44" s="40">
        <v>0</v>
      </c>
      <c r="C44" s="10">
        <v>48554</v>
      </c>
      <c r="D44" s="10">
        <v>0</v>
      </c>
      <c r="E44" s="10">
        <v>0</v>
      </c>
      <c r="F44" s="40">
        <v>0</v>
      </c>
      <c r="G44" s="10">
        <v>0</v>
      </c>
      <c r="H44" s="10">
        <v>0</v>
      </c>
      <c r="I44" s="10">
        <v>0</v>
      </c>
      <c r="J44" s="10">
        <v>0</v>
      </c>
      <c r="K44" s="56">
        <v>0</v>
      </c>
      <c r="L44" s="89">
        <f t="shared" si="0"/>
        <v>48554</v>
      </c>
      <c r="M44" s="71">
        <v>0</v>
      </c>
      <c r="N44" s="89">
        <f t="shared" si="1"/>
        <v>0</v>
      </c>
      <c r="O44" s="106">
        <v>544538</v>
      </c>
      <c r="P44" s="5"/>
      <c r="Q44" s="5"/>
      <c r="R44" s="5"/>
      <c r="S44" s="5"/>
      <c r="T44" s="5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x14ac:dyDescent="0.15">
      <c r="A45" s="15" t="s">
        <v>10</v>
      </c>
      <c r="B45" s="40">
        <v>0</v>
      </c>
      <c r="C45" s="10">
        <v>0</v>
      </c>
      <c r="D45" s="10">
        <v>0</v>
      </c>
      <c r="E45" s="10">
        <v>0</v>
      </c>
      <c r="F45" s="40">
        <v>0</v>
      </c>
      <c r="G45" s="10">
        <v>0</v>
      </c>
      <c r="H45" s="10">
        <v>0</v>
      </c>
      <c r="I45" s="10">
        <v>0</v>
      </c>
      <c r="J45" s="10">
        <v>0</v>
      </c>
      <c r="K45" s="56">
        <v>0</v>
      </c>
      <c r="L45" s="89">
        <f t="shared" si="0"/>
        <v>0</v>
      </c>
      <c r="M45" s="71">
        <v>0</v>
      </c>
      <c r="N45" s="89">
        <f t="shared" si="1"/>
        <v>0</v>
      </c>
      <c r="O45" s="106">
        <v>499602</v>
      </c>
      <c r="P45" s="5"/>
      <c r="Q45" s="5"/>
      <c r="R45" s="5"/>
      <c r="S45" s="5"/>
      <c r="T45" s="5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x14ac:dyDescent="0.15">
      <c r="A46" s="15" t="s">
        <v>46</v>
      </c>
      <c r="B46" s="40">
        <v>0</v>
      </c>
      <c r="C46" s="10">
        <v>0</v>
      </c>
      <c r="D46" s="10">
        <v>0</v>
      </c>
      <c r="E46" s="10">
        <v>0</v>
      </c>
      <c r="F46" s="40">
        <v>0</v>
      </c>
      <c r="G46" s="10">
        <v>0</v>
      </c>
      <c r="H46" s="10">
        <v>0</v>
      </c>
      <c r="I46" s="10">
        <v>0</v>
      </c>
      <c r="J46" s="10">
        <v>0</v>
      </c>
      <c r="K46" s="56">
        <v>0</v>
      </c>
      <c r="L46" s="89">
        <f t="shared" si="0"/>
        <v>0</v>
      </c>
      <c r="M46" s="71">
        <v>0</v>
      </c>
      <c r="N46" s="89">
        <f t="shared" si="1"/>
        <v>0</v>
      </c>
      <c r="O46" s="106">
        <v>0</v>
      </c>
      <c r="P46" s="5"/>
      <c r="Q46" s="5"/>
      <c r="R46" s="5"/>
      <c r="S46" s="5"/>
      <c r="T46" s="5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x14ac:dyDescent="0.15">
      <c r="A47" s="15" t="s">
        <v>20</v>
      </c>
      <c r="B47" s="40">
        <v>0</v>
      </c>
      <c r="C47" s="10">
        <v>0</v>
      </c>
      <c r="D47" s="10">
        <v>0</v>
      </c>
      <c r="E47" s="10">
        <v>0</v>
      </c>
      <c r="F47" s="40">
        <v>0</v>
      </c>
      <c r="G47" s="10">
        <v>0</v>
      </c>
      <c r="H47" s="10">
        <v>0</v>
      </c>
      <c r="I47" s="10">
        <v>0</v>
      </c>
      <c r="J47" s="10">
        <v>0</v>
      </c>
      <c r="K47" s="56">
        <v>0</v>
      </c>
      <c r="L47" s="89">
        <f t="shared" si="0"/>
        <v>0</v>
      </c>
      <c r="M47" s="71">
        <v>0</v>
      </c>
      <c r="N47" s="89">
        <f t="shared" si="1"/>
        <v>0</v>
      </c>
      <c r="O47" s="106">
        <v>0</v>
      </c>
      <c r="P47" s="5"/>
      <c r="Q47" s="5"/>
      <c r="R47" s="5"/>
      <c r="S47" s="5"/>
      <c r="T47" s="5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x14ac:dyDescent="0.15">
      <c r="A48" s="15" t="s">
        <v>47</v>
      </c>
      <c r="B48" s="40">
        <v>0</v>
      </c>
      <c r="C48" s="10">
        <v>0</v>
      </c>
      <c r="D48" s="10">
        <v>0</v>
      </c>
      <c r="E48" s="10">
        <v>0</v>
      </c>
      <c r="F48" s="40">
        <v>0</v>
      </c>
      <c r="G48" s="10">
        <v>0</v>
      </c>
      <c r="H48" s="10">
        <v>0</v>
      </c>
      <c r="I48" s="10">
        <v>0</v>
      </c>
      <c r="J48" s="10">
        <v>0</v>
      </c>
      <c r="K48" s="56">
        <v>0</v>
      </c>
      <c r="L48" s="89">
        <f t="shared" si="0"/>
        <v>0</v>
      </c>
      <c r="M48" s="71">
        <v>0</v>
      </c>
      <c r="N48" s="89">
        <f t="shared" si="1"/>
        <v>0</v>
      </c>
      <c r="O48" s="106">
        <v>0</v>
      </c>
      <c r="P48" s="5"/>
      <c r="Q48" s="5"/>
      <c r="R48" s="5"/>
      <c r="S48" s="5"/>
      <c r="T48" s="5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22" x14ac:dyDescent="0.15">
      <c r="A49" s="16" t="s">
        <v>24</v>
      </c>
      <c r="B49" s="44">
        <v>0</v>
      </c>
      <c r="C49" s="12">
        <v>0</v>
      </c>
      <c r="D49" s="12">
        <v>0</v>
      </c>
      <c r="E49" s="12">
        <v>0</v>
      </c>
      <c r="F49" s="44">
        <v>0</v>
      </c>
      <c r="G49" s="12">
        <v>0</v>
      </c>
      <c r="H49" s="12">
        <v>10500</v>
      </c>
      <c r="I49" s="12">
        <v>10500</v>
      </c>
      <c r="J49" s="12">
        <v>11550</v>
      </c>
      <c r="K49" s="60">
        <v>0</v>
      </c>
      <c r="L49" s="93">
        <f t="shared" si="0"/>
        <v>32550</v>
      </c>
      <c r="M49" s="74">
        <v>0</v>
      </c>
      <c r="N49" s="93">
        <f t="shared" si="1"/>
        <v>0</v>
      </c>
      <c r="O49" s="110">
        <v>115944</v>
      </c>
      <c r="P49" s="6"/>
      <c r="Q49" s="6"/>
      <c r="R49" s="6"/>
      <c r="S49" s="6"/>
      <c r="T49" s="6"/>
      <c r="U49" s="6"/>
      <c r="V49" s="6"/>
    </row>
    <row r="50" spans="1:22" ht="14.25" thickBot="1" x14ac:dyDescent="0.2">
      <c r="A50" s="17" t="s">
        <v>48</v>
      </c>
      <c r="B50" s="45">
        <v>485000</v>
      </c>
      <c r="C50" s="31">
        <v>370610</v>
      </c>
      <c r="D50" s="31">
        <v>171708</v>
      </c>
      <c r="E50" s="31">
        <v>84075</v>
      </c>
      <c r="F50" s="45">
        <v>85845</v>
      </c>
      <c r="G50" s="31">
        <v>66360</v>
      </c>
      <c r="H50" s="31">
        <v>81900</v>
      </c>
      <c r="I50" s="31">
        <v>81900</v>
      </c>
      <c r="J50" s="31">
        <v>82110</v>
      </c>
      <c r="K50" s="61">
        <v>31750</v>
      </c>
      <c r="L50" s="94">
        <f t="shared" si="0"/>
        <v>1541258</v>
      </c>
      <c r="M50" s="75">
        <v>375000</v>
      </c>
      <c r="N50" s="94">
        <f t="shared" si="1"/>
        <v>375000</v>
      </c>
      <c r="O50" s="111">
        <v>7149232</v>
      </c>
      <c r="P50" s="6"/>
      <c r="Q50" s="6"/>
      <c r="R50" s="6"/>
      <c r="S50" s="6"/>
      <c r="T50" s="6"/>
      <c r="U50" s="6"/>
      <c r="V50" s="6"/>
    </row>
    <row r="51" spans="1:22" x14ac:dyDescent="0.15">
      <c r="A51" s="29" t="s">
        <v>49</v>
      </c>
      <c r="B51" s="46">
        <v>7086</v>
      </c>
      <c r="C51" s="30">
        <v>4252</v>
      </c>
      <c r="D51" s="30">
        <v>0</v>
      </c>
      <c r="E51" s="30">
        <v>2465</v>
      </c>
      <c r="F51" s="46">
        <v>1541</v>
      </c>
      <c r="G51" s="30">
        <v>6326</v>
      </c>
      <c r="H51" s="30">
        <v>2465</v>
      </c>
      <c r="I51" s="30">
        <v>3081</v>
      </c>
      <c r="J51" s="30">
        <v>3615</v>
      </c>
      <c r="K51" s="62">
        <v>1068</v>
      </c>
      <c r="L51" s="95">
        <f t="shared" si="0"/>
        <v>31899</v>
      </c>
      <c r="M51" s="76">
        <v>6141</v>
      </c>
      <c r="N51" s="95">
        <f t="shared" si="1"/>
        <v>6141</v>
      </c>
      <c r="O51" s="112">
        <v>105597</v>
      </c>
      <c r="P51" s="6"/>
      <c r="Q51" s="6"/>
      <c r="R51" s="6"/>
      <c r="S51" s="6"/>
      <c r="T51" s="6"/>
      <c r="U51" s="6"/>
      <c r="V51" s="6"/>
    </row>
    <row r="52" spans="1:22" ht="14.25" thickBot="1" x14ac:dyDescent="0.2">
      <c r="A52" s="32" t="s">
        <v>50</v>
      </c>
      <c r="B52" s="47">
        <v>7086</v>
      </c>
      <c r="C52" s="33">
        <v>4252</v>
      </c>
      <c r="D52" s="33">
        <v>0</v>
      </c>
      <c r="E52" s="33">
        <v>2465</v>
      </c>
      <c r="F52" s="47">
        <v>1541</v>
      </c>
      <c r="G52" s="33">
        <v>6326</v>
      </c>
      <c r="H52" s="33">
        <v>2465</v>
      </c>
      <c r="I52" s="33">
        <v>3081</v>
      </c>
      <c r="J52" s="33">
        <v>3615</v>
      </c>
      <c r="K52" s="63">
        <v>1068</v>
      </c>
      <c r="L52" s="96">
        <f t="shared" si="0"/>
        <v>31899</v>
      </c>
      <c r="M52" s="77">
        <v>6141</v>
      </c>
      <c r="N52" s="96">
        <f t="shared" si="1"/>
        <v>6141</v>
      </c>
      <c r="O52" s="113">
        <v>105597</v>
      </c>
      <c r="P52" s="6"/>
      <c r="Q52" s="6"/>
      <c r="R52" s="6"/>
      <c r="S52" s="6"/>
      <c r="T52" s="6"/>
      <c r="U52" s="6"/>
      <c r="V52" s="6"/>
    </row>
    <row r="53" spans="1:22" ht="14.25" thickBot="1" x14ac:dyDescent="0.2">
      <c r="A53" s="34" t="s">
        <v>51</v>
      </c>
      <c r="B53" s="48">
        <v>492086</v>
      </c>
      <c r="C53" s="35">
        <v>374862</v>
      </c>
      <c r="D53" s="35">
        <v>171708</v>
      </c>
      <c r="E53" s="35">
        <v>86540</v>
      </c>
      <c r="F53" s="48">
        <v>87386</v>
      </c>
      <c r="G53" s="35">
        <v>72686</v>
      </c>
      <c r="H53" s="35">
        <v>84365</v>
      </c>
      <c r="I53" s="35">
        <v>84981</v>
      </c>
      <c r="J53" s="35">
        <v>85725</v>
      </c>
      <c r="K53" s="64">
        <v>32818</v>
      </c>
      <c r="L53" s="97">
        <f t="shared" si="0"/>
        <v>1573157</v>
      </c>
      <c r="M53" s="78">
        <v>381141</v>
      </c>
      <c r="N53" s="97">
        <f t="shared" si="1"/>
        <v>381141</v>
      </c>
      <c r="O53" s="114">
        <v>7254829</v>
      </c>
    </row>
    <row r="54" spans="1:22" x14ac:dyDescent="0.15">
      <c r="A54" s="29" t="s">
        <v>52</v>
      </c>
      <c r="B54" s="46">
        <v>25500</v>
      </c>
      <c r="C54" s="30">
        <v>18360</v>
      </c>
      <c r="D54" s="30">
        <v>0</v>
      </c>
      <c r="E54" s="30">
        <v>0</v>
      </c>
      <c r="F54" s="46">
        <v>0</v>
      </c>
      <c r="G54" s="30">
        <v>0</v>
      </c>
      <c r="H54" s="30">
        <v>0</v>
      </c>
      <c r="I54" s="30">
        <v>0</v>
      </c>
      <c r="J54" s="30">
        <v>0</v>
      </c>
      <c r="K54" s="62">
        <v>0</v>
      </c>
      <c r="L54" s="95">
        <f t="shared" si="0"/>
        <v>43860</v>
      </c>
      <c r="M54" s="76">
        <v>18360</v>
      </c>
      <c r="N54" s="95">
        <f t="shared" si="1"/>
        <v>18360</v>
      </c>
      <c r="O54" s="112">
        <v>318240</v>
      </c>
    </row>
    <row r="55" spans="1:22" x14ac:dyDescent="0.15">
      <c r="A55" s="16" t="s">
        <v>53</v>
      </c>
      <c r="B55" s="44">
        <v>0</v>
      </c>
      <c r="C55" s="12">
        <v>3240</v>
      </c>
      <c r="D55" s="12">
        <v>0</v>
      </c>
      <c r="E55" s="12">
        <v>0</v>
      </c>
      <c r="F55" s="44">
        <v>0</v>
      </c>
      <c r="G55" s="12">
        <v>0</v>
      </c>
      <c r="H55" s="12">
        <v>0</v>
      </c>
      <c r="I55" s="12">
        <v>0</v>
      </c>
      <c r="J55" s="12">
        <v>0</v>
      </c>
      <c r="K55" s="60">
        <v>0</v>
      </c>
      <c r="L55" s="93">
        <f t="shared" si="0"/>
        <v>3240</v>
      </c>
      <c r="M55" s="74">
        <v>3240</v>
      </c>
      <c r="N55" s="93">
        <f t="shared" si="1"/>
        <v>3240</v>
      </c>
      <c r="O55" s="110">
        <v>48780</v>
      </c>
    </row>
    <row r="56" spans="1:22" x14ac:dyDescent="0.15">
      <c r="A56" s="16" t="s">
        <v>54</v>
      </c>
      <c r="B56" s="44">
        <v>45750</v>
      </c>
      <c r="C56" s="12">
        <v>32940</v>
      </c>
      <c r="D56" s="12">
        <v>0</v>
      </c>
      <c r="E56" s="12">
        <v>0</v>
      </c>
      <c r="F56" s="44">
        <v>0</v>
      </c>
      <c r="G56" s="12">
        <v>0</v>
      </c>
      <c r="H56" s="12">
        <v>0</v>
      </c>
      <c r="I56" s="12">
        <v>0</v>
      </c>
      <c r="J56" s="12">
        <v>0</v>
      </c>
      <c r="K56" s="60">
        <v>0</v>
      </c>
      <c r="L56" s="93">
        <f t="shared" si="0"/>
        <v>78690</v>
      </c>
      <c r="M56" s="74">
        <v>32940</v>
      </c>
      <c r="N56" s="93">
        <f t="shared" si="1"/>
        <v>32940</v>
      </c>
      <c r="O56" s="110">
        <v>570960</v>
      </c>
    </row>
    <row r="57" spans="1:22" x14ac:dyDescent="0.15">
      <c r="A57" s="16" t="s">
        <v>55</v>
      </c>
      <c r="B57" s="44">
        <v>0</v>
      </c>
      <c r="C57" s="12">
        <v>0</v>
      </c>
      <c r="D57" s="12">
        <v>0</v>
      </c>
      <c r="E57" s="12">
        <v>0</v>
      </c>
      <c r="F57" s="44">
        <v>0</v>
      </c>
      <c r="G57" s="12">
        <v>0</v>
      </c>
      <c r="H57" s="12">
        <v>0</v>
      </c>
      <c r="I57" s="12">
        <v>0</v>
      </c>
      <c r="J57" s="12">
        <v>0</v>
      </c>
      <c r="K57" s="60">
        <v>0</v>
      </c>
      <c r="L57" s="93">
        <f t="shared" si="0"/>
        <v>0</v>
      </c>
      <c r="M57" s="74">
        <v>0</v>
      </c>
      <c r="N57" s="93">
        <f t="shared" si="1"/>
        <v>0</v>
      </c>
      <c r="O57" s="110">
        <v>0</v>
      </c>
    </row>
    <row r="58" spans="1:22" x14ac:dyDescent="0.15">
      <c r="A58" s="16" t="s">
        <v>56</v>
      </c>
      <c r="B58" s="44">
        <v>1476</v>
      </c>
      <c r="C58" s="12">
        <v>1125</v>
      </c>
      <c r="D58" s="12">
        <v>515</v>
      </c>
      <c r="E58" s="12">
        <v>260</v>
      </c>
      <c r="F58" s="44">
        <v>262</v>
      </c>
      <c r="G58" s="14" t="s">
        <v>97</v>
      </c>
      <c r="H58" s="14" t="s">
        <v>97</v>
      </c>
      <c r="I58" s="14" t="s">
        <v>97</v>
      </c>
      <c r="J58" s="14" t="s">
        <v>97</v>
      </c>
      <c r="K58" s="65" t="s">
        <v>97</v>
      </c>
      <c r="L58" s="93">
        <f t="shared" si="0"/>
        <v>3638</v>
      </c>
      <c r="M58" s="74">
        <v>1143</v>
      </c>
      <c r="N58" s="93">
        <f t="shared" si="1"/>
        <v>1143</v>
      </c>
      <c r="O58" s="110">
        <v>20685</v>
      </c>
    </row>
    <row r="59" spans="1:22" x14ac:dyDescent="0.15">
      <c r="A59" s="16" t="s">
        <v>57</v>
      </c>
      <c r="B59" s="44">
        <v>0</v>
      </c>
      <c r="C59" s="12">
        <v>0</v>
      </c>
      <c r="D59" s="12">
        <v>0</v>
      </c>
      <c r="E59" s="12">
        <v>0</v>
      </c>
      <c r="F59" s="44">
        <v>0</v>
      </c>
      <c r="G59" s="12">
        <v>0</v>
      </c>
      <c r="H59" s="12">
        <v>0</v>
      </c>
      <c r="I59" s="12">
        <v>0</v>
      </c>
      <c r="J59" s="12">
        <v>0</v>
      </c>
      <c r="K59" s="60">
        <v>0</v>
      </c>
      <c r="L59" s="93">
        <f t="shared" si="0"/>
        <v>0</v>
      </c>
      <c r="M59" s="74">
        <v>0</v>
      </c>
      <c r="N59" s="93">
        <f t="shared" si="1"/>
        <v>0</v>
      </c>
      <c r="O59" s="110">
        <v>0</v>
      </c>
    </row>
    <row r="60" spans="1:22" ht="14.25" thickBot="1" x14ac:dyDescent="0.2">
      <c r="A60" s="32" t="s">
        <v>58</v>
      </c>
      <c r="B60" s="47">
        <v>72726</v>
      </c>
      <c r="C60" s="33">
        <v>55665</v>
      </c>
      <c r="D60" s="33">
        <v>515</v>
      </c>
      <c r="E60" s="33">
        <v>260</v>
      </c>
      <c r="F60" s="47">
        <v>262</v>
      </c>
      <c r="G60" s="33">
        <v>0</v>
      </c>
      <c r="H60" s="33">
        <v>0</v>
      </c>
      <c r="I60" s="33">
        <v>0</v>
      </c>
      <c r="J60" s="33">
        <v>0</v>
      </c>
      <c r="K60" s="63">
        <v>0</v>
      </c>
      <c r="L60" s="96">
        <f t="shared" si="0"/>
        <v>129428</v>
      </c>
      <c r="M60" s="77">
        <v>55683</v>
      </c>
      <c r="N60" s="96">
        <f t="shared" si="1"/>
        <v>55683</v>
      </c>
      <c r="O60" s="113">
        <v>958665</v>
      </c>
    </row>
    <row r="61" spans="1:22" ht="14.25" thickBot="1" x14ac:dyDescent="0.2">
      <c r="A61" s="34" t="s">
        <v>59</v>
      </c>
      <c r="B61" s="48">
        <v>412274</v>
      </c>
      <c r="C61" s="35">
        <v>314945</v>
      </c>
      <c r="D61" s="35">
        <v>171193</v>
      </c>
      <c r="E61" s="35">
        <v>83815</v>
      </c>
      <c r="F61" s="48">
        <v>85583</v>
      </c>
      <c r="G61" s="35">
        <v>66360</v>
      </c>
      <c r="H61" s="35">
        <v>81900</v>
      </c>
      <c r="I61" s="35">
        <v>81900</v>
      </c>
      <c r="J61" s="35">
        <v>82110</v>
      </c>
      <c r="K61" s="64">
        <v>31750</v>
      </c>
      <c r="L61" s="97">
        <f t="shared" si="0"/>
        <v>1411830</v>
      </c>
      <c r="M61" s="78">
        <v>319317</v>
      </c>
      <c r="N61" s="97">
        <f t="shared" si="1"/>
        <v>319317</v>
      </c>
      <c r="O61" s="114">
        <v>6190567</v>
      </c>
    </row>
    <row r="62" spans="1:22" x14ac:dyDescent="0.15">
      <c r="A62" s="29" t="s">
        <v>60</v>
      </c>
      <c r="B62" s="46">
        <v>14320</v>
      </c>
      <c r="C62" s="30">
        <v>7330</v>
      </c>
      <c r="D62" s="30">
        <v>3740</v>
      </c>
      <c r="E62" s="30">
        <v>0</v>
      </c>
      <c r="F62" s="46">
        <v>0</v>
      </c>
      <c r="G62" s="30">
        <v>0</v>
      </c>
      <c r="H62" s="30">
        <v>0</v>
      </c>
      <c r="I62" s="30">
        <v>0</v>
      </c>
      <c r="J62" s="30">
        <v>0</v>
      </c>
      <c r="K62" s="62">
        <v>0</v>
      </c>
      <c r="L62" s="95">
        <f t="shared" si="0"/>
        <v>25390</v>
      </c>
      <c r="M62" s="76">
        <v>9960</v>
      </c>
      <c r="N62" s="95">
        <f t="shared" si="1"/>
        <v>9960</v>
      </c>
      <c r="O62" s="112">
        <v>149690</v>
      </c>
    </row>
    <row r="63" spans="1:22" x14ac:dyDescent="0.15">
      <c r="A63" s="16" t="s">
        <v>61</v>
      </c>
      <c r="B63" s="44">
        <v>0</v>
      </c>
      <c r="C63" s="12">
        <v>0</v>
      </c>
      <c r="D63" s="12">
        <v>0</v>
      </c>
      <c r="E63" s="12">
        <v>0</v>
      </c>
      <c r="F63" s="44">
        <v>0</v>
      </c>
      <c r="G63" s="12">
        <v>0</v>
      </c>
      <c r="H63" s="12">
        <v>0</v>
      </c>
      <c r="I63" s="12">
        <v>0</v>
      </c>
      <c r="J63" s="12">
        <v>0</v>
      </c>
      <c r="K63" s="60">
        <v>0</v>
      </c>
      <c r="L63" s="93">
        <f t="shared" si="0"/>
        <v>0</v>
      </c>
      <c r="M63" s="74">
        <v>0</v>
      </c>
      <c r="N63" s="93">
        <f t="shared" si="1"/>
        <v>0</v>
      </c>
      <c r="O63" s="110">
        <v>15600</v>
      </c>
    </row>
    <row r="64" spans="1:22" x14ac:dyDescent="0.15">
      <c r="A64" s="16" t="s">
        <v>62</v>
      </c>
      <c r="B64" s="44">
        <v>26900</v>
      </c>
      <c r="C64" s="12">
        <v>15000</v>
      </c>
      <c r="D64" s="12">
        <v>0</v>
      </c>
      <c r="E64" s="12">
        <v>600</v>
      </c>
      <c r="F64" s="44">
        <v>0</v>
      </c>
      <c r="G64" s="12">
        <v>1100</v>
      </c>
      <c r="H64" s="12">
        <v>0</v>
      </c>
      <c r="I64" s="12">
        <v>3500</v>
      </c>
      <c r="J64" s="12">
        <v>0</v>
      </c>
      <c r="K64" s="60">
        <v>0</v>
      </c>
      <c r="L64" s="93">
        <f t="shared" si="0"/>
        <v>47100</v>
      </c>
      <c r="M64" s="74">
        <v>15600</v>
      </c>
      <c r="N64" s="93">
        <f t="shared" si="1"/>
        <v>15600</v>
      </c>
      <c r="O64" s="110">
        <v>239900</v>
      </c>
    </row>
    <row r="65" spans="1:15" x14ac:dyDescent="0.15">
      <c r="A65" s="16" t="s">
        <v>63</v>
      </c>
      <c r="B65" s="44">
        <v>0</v>
      </c>
      <c r="C65" s="12">
        <v>0</v>
      </c>
      <c r="D65" s="12">
        <v>0</v>
      </c>
      <c r="E65" s="12">
        <v>0</v>
      </c>
      <c r="F65" s="44">
        <v>0</v>
      </c>
      <c r="G65" s="12">
        <v>0</v>
      </c>
      <c r="H65" s="12">
        <v>0</v>
      </c>
      <c r="I65" s="12">
        <v>0</v>
      </c>
      <c r="J65" s="12">
        <v>0</v>
      </c>
      <c r="K65" s="60">
        <v>0</v>
      </c>
      <c r="L65" s="93">
        <f t="shared" si="0"/>
        <v>0</v>
      </c>
      <c r="M65" s="74">
        <v>0</v>
      </c>
      <c r="N65" s="93">
        <f t="shared" si="1"/>
        <v>0</v>
      </c>
      <c r="O65" s="110">
        <v>10000</v>
      </c>
    </row>
    <row r="66" spans="1:15" x14ac:dyDescent="0.15">
      <c r="A66" s="16" t="s">
        <v>64</v>
      </c>
      <c r="B66" s="44">
        <v>0</v>
      </c>
      <c r="C66" s="12">
        <v>0</v>
      </c>
      <c r="D66" s="12">
        <v>0</v>
      </c>
      <c r="E66" s="12">
        <v>0</v>
      </c>
      <c r="F66" s="44">
        <v>0</v>
      </c>
      <c r="G66" s="12">
        <v>0</v>
      </c>
      <c r="H66" s="12">
        <v>0</v>
      </c>
      <c r="I66" s="12">
        <v>0</v>
      </c>
      <c r="J66" s="12">
        <v>0</v>
      </c>
      <c r="K66" s="60">
        <v>0</v>
      </c>
      <c r="L66" s="93">
        <f t="shared" si="0"/>
        <v>0</v>
      </c>
      <c r="M66" s="74">
        <v>0</v>
      </c>
      <c r="N66" s="93">
        <f t="shared" si="1"/>
        <v>0</v>
      </c>
      <c r="O66" s="110">
        <v>0</v>
      </c>
    </row>
    <row r="67" spans="1:15" x14ac:dyDescent="0.15">
      <c r="A67" s="16" t="s">
        <v>65</v>
      </c>
      <c r="B67" s="44">
        <v>0</v>
      </c>
      <c r="C67" s="12">
        <v>0</v>
      </c>
      <c r="D67" s="12">
        <v>0</v>
      </c>
      <c r="E67" s="12">
        <v>0</v>
      </c>
      <c r="F67" s="44">
        <v>0</v>
      </c>
      <c r="G67" s="12">
        <v>0</v>
      </c>
      <c r="H67" s="12">
        <v>0</v>
      </c>
      <c r="I67" s="12">
        <v>0</v>
      </c>
      <c r="J67" s="12">
        <v>0</v>
      </c>
      <c r="K67" s="60">
        <v>0</v>
      </c>
      <c r="L67" s="93">
        <f t="shared" si="0"/>
        <v>0</v>
      </c>
      <c r="M67" s="74">
        <v>0</v>
      </c>
      <c r="N67" s="93">
        <f t="shared" si="1"/>
        <v>0</v>
      </c>
      <c r="O67" s="110">
        <v>0</v>
      </c>
    </row>
    <row r="68" spans="1:15" ht="14.25" thickBot="1" x14ac:dyDescent="0.2">
      <c r="A68" s="32" t="s">
        <v>66</v>
      </c>
      <c r="B68" s="47">
        <v>41220</v>
      </c>
      <c r="C68" s="33">
        <v>22330</v>
      </c>
      <c r="D68" s="33">
        <v>3740</v>
      </c>
      <c r="E68" s="33">
        <v>600</v>
      </c>
      <c r="F68" s="47">
        <v>0</v>
      </c>
      <c r="G68" s="33">
        <v>1100</v>
      </c>
      <c r="H68" s="33">
        <v>0</v>
      </c>
      <c r="I68" s="33">
        <v>3500</v>
      </c>
      <c r="J68" s="33">
        <v>0</v>
      </c>
      <c r="K68" s="63">
        <v>0</v>
      </c>
      <c r="L68" s="96">
        <f t="shared" si="0"/>
        <v>72490</v>
      </c>
      <c r="M68" s="77">
        <v>25560</v>
      </c>
      <c r="N68" s="96">
        <f t="shared" si="1"/>
        <v>25560</v>
      </c>
      <c r="O68" s="113">
        <v>415190</v>
      </c>
    </row>
    <row r="69" spans="1:15" ht="14.25" thickBot="1" x14ac:dyDescent="0.2">
      <c r="A69" s="34" t="s">
        <v>67</v>
      </c>
      <c r="B69" s="48">
        <v>113946</v>
      </c>
      <c r="C69" s="35">
        <v>77995</v>
      </c>
      <c r="D69" s="35">
        <v>4255</v>
      </c>
      <c r="E69" s="35">
        <v>860</v>
      </c>
      <c r="F69" s="48">
        <v>262</v>
      </c>
      <c r="G69" s="35">
        <v>1100</v>
      </c>
      <c r="H69" s="35">
        <v>0</v>
      </c>
      <c r="I69" s="35">
        <v>3500</v>
      </c>
      <c r="J69" s="35">
        <v>0</v>
      </c>
      <c r="K69" s="64">
        <v>0</v>
      </c>
      <c r="L69" s="97">
        <f t="shared" si="0"/>
        <v>201918</v>
      </c>
      <c r="M69" s="78">
        <v>81243</v>
      </c>
      <c r="N69" s="97">
        <f t="shared" si="1"/>
        <v>81243</v>
      </c>
      <c r="O69" s="114">
        <v>1373855</v>
      </c>
    </row>
    <row r="70" spans="1:15" ht="14.25" thickBot="1" x14ac:dyDescent="0.2">
      <c r="A70" s="34" t="s">
        <v>68</v>
      </c>
      <c r="B70" s="48">
        <v>378140</v>
      </c>
      <c r="C70" s="35">
        <v>296867</v>
      </c>
      <c r="D70" s="35">
        <v>167453</v>
      </c>
      <c r="E70" s="35">
        <v>85680</v>
      </c>
      <c r="F70" s="48">
        <v>87124</v>
      </c>
      <c r="G70" s="35">
        <v>71586</v>
      </c>
      <c r="H70" s="35">
        <v>84365</v>
      </c>
      <c r="I70" s="35">
        <v>81481</v>
      </c>
      <c r="J70" s="35">
        <v>85725</v>
      </c>
      <c r="K70" s="64">
        <v>32818</v>
      </c>
      <c r="L70" s="97">
        <f t="shared" si="0"/>
        <v>1371239</v>
      </c>
      <c r="M70" s="78">
        <v>299898</v>
      </c>
      <c r="N70" s="97">
        <f t="shared" si="1"/>
        <v>299898</v>
      </c>
      <c r="O70" s="114">
        <v>5880974</v>
      </c>
    </row>
    <row r="71" spans="1:15" x14ac:dyDescent="0.15">
      <c r="A71" s="29" t="s">
        <v>69</v>
      </c>
      <c r="B71" s="46">
        <v>0</v>
      </c>
      <c r="C71" s="30">
        <v>0</v>
      </c>
      <c r="D71" s="30">
        <v>0</v>
      </c>
      <c r="E71" s="30">
        <v>0</v>
      </c>
      <c r="F71" s="46">
        <v>0</v>
      </c>
      <c r="G71" s="30">
        <v>0</v>
      </c>
      <c r="H71" s="30">
        <v>0</v>
      </c>
      <c r="I71" s="30">
        <v>0</v>
      </c>
      <c r="J71" s="30">
        <v>0</v>
      </c>
      <c r="K71" s="62">
        <v>0</v>
      </c>
      <c r="L71" s="95">
        <f t="shared" si="0"/>
        <v>0</v>
      </c>
      <c r="M71" s="76">
        <v>0</v>
      </c>
      <c r="N71" s="95">
        <f t="shared" si="1"/>
        <v>0</v>
      </c>
      <c r="O71" s="112">
        <v>0</v>
      </c>
    </row>
    <row r="72" spans="1:15" x14ac:dyDescent="0.15">
      <c r="A72" s="16" t="s">
        <v>70</v>
      </c>
      <c r="B72" s="44">
        <v>378140</v>
      </c>
      <c r="C72" s="12">
        <v>296867</v>
      </c>
      <c r="D72" s="12">
        <v>167453</v>
      </c>
      <c r="E72" s="12">
        <v>85680</v>
      </c>
      <c r="F72" s="44">
        <v>87124</v>
      </c>
      <c r="G72" s="12">
        <v>71586</v>
      </c>
      <c r="H72" s="12">
        <v>84365</v>
      </c>
      <c r="I72" s="12">
        <v>81481</v>
      </c>
      <c r="J72" s="12">
        <v>85725</v>
      </c>
      <c r="K72" s="60">
        <v>32818</v>
      </c>
      <c r="L72" s="93">
        <f t="shared" si="0"/>
        <v>1371239</v>
      </c>
      <c r="M72" s="74">
        <v>299898</v>
      </c>
      <c r="N72" s="93">
        <f t="shared" si="1"/>
        <v>299898</v>
      </c>
      <c r="O72" s="110">
        <v>5880974</v>
      </c>
    </row>
    <row r="73" spans="1:15" x14ac:dyDescent="0.15">
      <c r="A73" s="16" t="s">
        <v>71</v>
      </c>
      <c r="B73" s="49">
        <v>35</v>
      </c>
      <c r="C73" s="13">
        <v>35</v>
      </c>
      <c r="D73" s="13"/>
      <c r="E73" s="13">
        <v>15</v>
      </c>
      <c r="F73" s="49">
        <v>17</v>
      </c>
      <c r="G73" s="13">
        <v>22</v>
      </c>
      <c r="H73" s="13">
        <v>11</v>
      </c>
      <c r="I73" s="13">
        <v>7</v>
      </c>
      <c r="J73" s="13">
        <v>1</v>
      </c>
      <c r="K73" s="66">
        <v>3</v>
      </c>
      <c r="L73" s="98"/>
      <c r="M73" s="79">
        <v>31</v>
      </c>
      <c r="N73" s="98"/>
      <c r="O73" s="115">
        <v>525</v>
      </c>
    </row>
    <row r="74" spans="1:15" x14ac:dyDescent="0.15">
      <c r="A74" s="16" t="s">
        <v>72</v>
      </c>
      <c r="B74" s="50">
        <v>1</v>
      </c>
      <c r="C74" s="14">
        <v>1</v>
      </c>
      <c r="D74" s="14"/>
      <c r="E74" s="14"/>
      <c r="F74" s="50"/>
      <c r="G74" s="14"/>
      <c r="H74" s="14">
        <v>1</v>
      </c>
      <c r="I74" s="14">
        <v>1</v>
      </c>
      <c r="J74" s="14">
        <v>1</v>
      </c>
      <c r="K74" s="65">
        <v>1</v>
      </c>
      <c r="L74" s="99"/>
      <c r="M74" s="80"/>
      <c r="N74" s="99"/>
      <c r="O74" s="116"/>
    </row>
    <row r="75" spans="1:15" ht="14.25" thickBot="1" x14ac:dyDescent="0.2">
      <c r="A75" s="17" t="s">
        <v>73</v>
      </c>
      <c r="B75" s="51" t="s">
        <v>74</v>
      </c>
      <c r="C75" s="18" t="s">
        <v>74</v>
      </c>
      <c r="D75" s="18" t="s">
        <v>74</v>
      </c>
      <c r="E75" s="18" t="s">
        <v>74</v>
      </c>
      <c r="F75" s="51" t="s">
        <v>74</v>
      </c>
      <c r="G75" s="18" t="s">
        <v>74</v>
      </c>
      <c r="H75" s="18" t="s">
        <v>74</v>
      </c>
      <c r="I75" s="18" t="s">
        <v>74</v>
      </c>
      <c r="J75" s="18" t="s">
        <v>74</v>
      </c>
      <c r="K75" s="67" t="s">
        <v>74</v>
      </c>
      <c r="L75" s="100"/>
      <c r="M75" s="81" t="s">
        <v>74</v>
      </c>
      <c r="N75" s="100"/>
      <c r="O75" s="117"/>
    </row>
  </sheetData>
  <phoneticPr fontId="1"/>
  <pageMargins left="0.43307086614173229" right="0.35433070866141736" top="0.51181102362204722" bottom="0.35433070866141736" header="0.19685039370078741" footer="0.27559055118110237"/>
  <pageSetup paperSize="12" scale="7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3E70-2175-4820-8E11-D6E7D564223B}">
  <sheetPr>
    <pageSetUpPr fitToPage="1"/>
  </sheetPr>
  <dimension ref="A1:AR75"/>
  <sheetViews>
    <sheetView zoomScale="80" zoomScaleNormal="80" workbookViewId="0"/>
  </sheetViews>
  <sheetFormatPr defaultRowHeight="13.5" x14ac:dyDescent="0.15"/>
  <cols>
    <col min="1" max="1" width="17.625" style="2" customWidth="1"/>
    <col min="2" max="18" width="10.625" style="2" customWidth="1"/>
    <col min="19" max="25" width="10.5" style="2" customWidth="1"/>
    <col min="26" max="16384" width="9" style="2"/>
  </cols>
  <sheetData>
    <row r="1" spans="1:44" ht="18.75" x14ac:dyDescent="0.15">
      <c r="A1" s="1" t="s">
        <v>2</v>
      </c>
      <c r="B1" s="1"/>
      <c r="C1" s="7"/>
      <c r="D1" s="1"/>
      <c r="E1" s="7"/>
      <c r="F1" s="1"/>
      <c r="G1" s="1"/>
      <c r="H1" s="8"/>
      <c r="I1" s="1"/>
      <c r="J1" s="7"/>
      <c r="K1" s="1"/>
      <c r="L1" s="1"/>
      <c r="M1" s="8"/>
      <c r="N1" s="1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15">
      <c r="A3" s="19" t="s">
        <v>0</v>
      </c>
      <c r="B3" s="20" t="s">
        <v>6</v>
      </c>
      <c r="C3" s="20" t="s">
        <v>6</v>
      </c>
      <c r="D3" s="20" t="s">
        <v>6</v>
      </c>
      <c r="E3" s="20" t="s">
        <v>6</v>
      </c>
      <c r="F3" s="20" t="s">
        <v>6</v>
      </c>
      <c r="G3" s="20" t="s">
        <v>6</v>
      </c>
      <c r="H3" s="20" t="s">
        <v>6</v>
      </c>
      <c r="I3" s="36" t="s">
        <v>6</v>
      </c>
      <c r="J3" s="20" t="s">
        <v>6</v>
      </c>
      <c r="K3" s="20" t="s">
        <v>6</v>
      </c>
      <c r="L3" s="20" t="s">
        <v>6</v>
      </c>
      <c r="M3" s="20" t="s">
        <v>6</v>
      </c>
      <c r="N3" s="36" t="s">
        <v>6</v>
      </c>
      <c r="O3" s="20" t="s">
        <v>6</v>
      </c>
      <c r="P3" s="20" t="s">
        <v>6</v>
      </c>
      <c r="Q3" s="53" t="s">
        <v>6</v>
      </c>
      <c r="R3" s="84" t="s">
        <v>103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15">
      <c r="A4" s="21"/>
      <c r="B4" s="22">
        <v>1087</v>
      </c>
      <c r="C4" s="22">
        <v>1088</v>
      </c>
      <c r="D4" s="22">
        <v>1006</v>
      </c>
      <c r="E4" s="22">
        <v>1007</v>
      </c>
      <c r="F4" s="22">
        <v>1015</v>
      </c>
      <c r="G4" s="22">
        <v>1017</v>
      </c>
      <c r="H4" s="22">
        <v>1021</v>
      </c>
      <c r="I4" s="37">
        <v>1022</v>
      </c>
      <c r="J4" s="22">
        <v>1034</v>
      </c>
      <c r="K4" s="22">
        <v>1035</v>
      </c>
      <c r="L4" s="22">
        <v>1039</v>
      </c>
      <c r="M4" s="22">
        <v>1047</v>
      </c>
      <c r="N4" s="37">
        <v>1058</v>
      </c>
      <c r="O4" s="22">
        <v>1065</v>
      </c>
      <c r="P4" s="22">
        <v>1077</v>
      </c>
      <c r="Q4" s="54">
        <v>1080</v>
      </c>
      <c r="R4" s="85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4.25" thickBot="1" x14ac:dyDescent="0.2">
      <c r="A5" s="21" t="s">
        <v>1</v>
      </c>
      <c r="B5" s="22" t="s">
        <v>7</v>
      </c>
      <c r="C5" s="22" t="s">
        <v>25</v>
      </c>
      <c r="D5" s="22" t="s">
        <v>76</v>
      </c>
      <c r="E5" s="22" t="s">
        <v>77</v>
      </c>
      <c r="F5" s="22" t="s">
        <v>78</v>
      </c>
      <c r="G5" s="22" t="s">
        <v>79</v>
      </c>
      <c r="H5" s="22" t="s">
        <v>80</v>
      </c>
      <c r="I5" s="37" t="s">
        <v>81</v>
      </c>
      <c r="J5" s="22" t="s">
        <v>82</v>
      </c>
      <c r="K5" s="22" t="s">
        <v>83</v>
      </c>
      <c r="L5" s="22" t="s">
        <v>84</v>
      </c>
      <c r="M5" s="22" t="s">
        <v>85</v>
      </c>
      <c r="N5" s="37" t="s">
        <v>86</v>
      </c>
      <c r="O5" s="22" t="s">
        <v>87</v>
      </c>
      <c r="P5" s="22" t="s">
        <v>88</v>
      </c>
      <c r="Q5" s="54" t="s">
        <v>89</v>
      </c>
      <c r="R5" s="86" t="s">
        <v>104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15">
      <c r="A6" s="23" t="s">
        <v>8</v>
      </c>
      <c r="B6" s="24">
        <v>20</v>
      </c>
      <c r="C6" s="24">
        <v>20</v>
      </c>
      <c r="D6" s="24">
        <v>21</v>
      </c>
      <c r="E6" s="24">
        <v>19</v>
      </c>
      <c r="F6" s="24">
        <v>20</v>
      </c>
      <c r="G6" s="24">
        <v>20</v>
      </c>
      <c r="H6" s="24">
        <v>19</v>
      </c>
      <c r="I6" s="38">
        <v>17</v>
      </c>
      <c r="J6" s="24">
        <v>18</v>
      </c>
      <c r="K6" s="24">
        <v>21</v>
      </c>
      <c r="L6" s="24">
        <v>18</v>
      </c>
      <c r="M6" s="24">
        <v>21</v>
      </c>
      <c r="N6" s="38">
        <v>21</v>
      </c>
      <c r="O6" s="24">
        <v>21</v>
      </c>
      <c r="P6" s="24">
        <v>20</v>
      </c>
      <c r="Q6" s="55">
        <v>21</v>
      </c>
      <c r="R6" s="87">
        <f>SUM(B6:Q6)</f>
        <v>317</v>
      </c>
      <c r="S6" s="3"/>
      <c r="T6" s="3"/>
      <c r="U6" s="3"/>
      <c r="V6" s="3"/>
      <c r="W6" s="3"/>
      <c r="X6" s="3"/>
      <c r="Y6" s="3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15">
      <c r="A7" s="15" t="s">
        <v>9</v>
      </c>
      <c r="B7" s="9">
        <v>2</v>
      </c>
      <c r="C7" s="9">
        <v>1</v>
      </c>
      <c r="D7" s="9">
        <v>3</v>
      </c>
      <c r="E7" s="9">
        <v>3</v>
      </c>
      <c r="F7" s="9">
        <v>2</v>
      </c>
      <c r="G7" s="9">
        <v>3</v>
      </c>
      <c r="H7" s="9">
        <v>2</v>
      </c>
      <c r="I7" s="39">
        <v>2</v>
      </c>
      <c r="J7" s="9">
        <v>4</v>
      </c>
      <c r="K7" s="9">
        <v>4</v>
      </c>
      <c r="L7" s="9">
        <v>3</v>
      </c>
      <c r="M7" s="9">
        <v>4</v>
      </c>
      <c r="N7" s="39">
        <v>1</v>
      </c>
      <c r="O7" s="9">
        <v>2</v>
      </c>
      <c r="P7" s="9">
        <v>3</v>
      </c>
      <c r="Q7" s="56"/>
      <c r="R7" s="88">
        <f>SUM(B7:Q7)</f>
        <v>39</v>
      </c>
      <c r="S7" s="4"/>
      <c r="T7" s="4"/>
      <c r="U7" s="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15">
      <c r="A8" s="15" t="s">
        <v>10</v>
      </c>
      <c r="B8" s="9">
        <v>2</v>
      </c>
      <c r="C8" s="9">
        <v>1</v>
      </c>
      <c r="D8" s="9">
        <v>3</v>
      </c>
      <c r="E8" s="9">
        <v>2</v>
      </c>
      <c r="F8" s="9">
        <v>1</v>
      </c>
      <c r="G8" s="9">
        <v>4</v>
      </c>
      <c r="H8" s="9">
        <v>2</v>
      </c>
      <c r="I8" s="39">
        <v>3</v>
      </c>
      <c r="J8" s="9">
        <v>2</v>
      </c>
      <c r="K8" s="10"/>
      <c r="L8" s="9">
        <v>3</v>
      </c>
      <c r="M8" s="10"/>
      <c r="N8" s="39">
        <v>4</v>
      </c>
      <c r="O8" s="9">
        <v>5</v>
      </c>
      <c r="P8" s="10"/>
      <c r="Q8" s="82">
        <v>3</v>
      </c>
      <c r="R8" s="88">
        <f>SUM(B8:Q8)</f>
        <v>35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15">
      <c r="A9" s="15" t="s">
        <v>11</v>
      </c>
      <c r="B9" s="10"/>
      <c r="C9" s="10"/>
      <c r="D9" s="10"/>
      <c r="E9" s="10"/>
      <c r="F9" s="10"/>
      <c r="G9" s="10"/>
      <c r="H9" s="10"/>
      <c r="I9" s="40"/>
      <c r="J9" s="10"/>
      <c r="K9" s="10"/>
      <c r="L9" s="10"/>
      <c r="M9" s="10"/>
      <c r="N9" s="40"/>
      <c r="O9" s="10"/>
      <c r="P9" s="10"/>
      <c r="Q9" s="56"/>
      <c r="R9" s="89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15">
      <c r="A10" s="15" t="s">
        <v>12</v>
      </c>
      <c r="B10" s="9">
        <v>2</v>
      </c>
      <c r="C10" s="9">
        <v>2</v>
      </c>
      <c r="D10" s="9">
        <v>1</v>
      </c>
      <c r="E10" s="9">
        <v>3</v>
      </c>
      <c r="F10" s="9">
        <v>2</v>
      </c>
      <c r="G10" s="9">
        <v>2</v>
      </c>
      <c r="H10" s="9">
        <v>3</v>
      </c>
      <c r="I10" s="39">
        <v>5</v>
      </c>
      <c r="J10" s="9">
        <v>4</v>
      </c>
      <c r="K10" s="9">
        <v>1</v>
      </c>
      <c r="L10" s="9">
        <v>4</v>
      </c>
      <c r="M10" s="9">
        <v>1</v>
      </c>
      <c r="N10" s="39">
        <v>1</v>
      </c>
      <c r="O10" s="9">
        <v>1</v>
      </c>
      <c r="P10" s="9">
        <v>2</v>
      </c>
      <c r="Q10" s="82">
        <v>1</v>
      </c>
      <c r="R10" s="88">
        <f>SUM(B10:Q10)</f>
        <v>35</v>
      </c>
      <c r="S10" s="1"/>
      <c r="T10" s="3"/>
      <c r="U10" s="3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15">
      <c r="A11" s="15" t="s">
        <v>13</v>
      </c>
      <c r="B11" s="10"/>
      <c r="C11" s="10"/>
      <c r="D11" s="10"/>
      <c r="E11" s="10"/>
      <c r="F11" s="10"/>
      <c r="G11" s="10"/>
      <c r="H11" s="10"/>
      <c r="I11" s="40"/>
      <c r="J11" s="10"/>
      <c r="K11" s="10"/>
      <c r="L11" s="10"/>
      <c r="M11" s="10"/>
      <c r="N11" s="40"/>
      <c r="O11" s="10"/>
      <c r="P11" s="10"/>
      <c r="Q11" s="56"/>
      <c r="R11" s="89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15">
      <c r="A12" s="15" t="s">
        <v>14</v>
      </c>
      <c r="B12" s="10"/>
      <c r="C12" s="10"/>
      <c r="D12" s="10"/>
      <c r="E12" s="10"/>
      <c r="F12" s="10"/>
      <c r="G12" s="10"/>
      <c r="H12" s="10"/>
      <c r="I12" s="40"/>
      <c r="J12" s="10"/>
      <c r="K12" s="10"/>
      <c r="L12" s="10"/>
      <c r="M12" s="10"/>
      <c r="N12" s="40"/>
      <c r="O12" s="10"/>
      <c r="P12" s="10"/>
      <c r="Q12" s="56"/>
      <c r="R12" s="89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15">
      <c r="A13" s="15" t="s">
        <v>15</v>
      </c>
      <c r="B13" s="10"/>
      <c r="C13" s="10"/>
      <c r="D13" s="10"/>
      <c r="E13" s="10"/>
      <c r="F13" s="10"/>
      <c r="G13" s="10"/>
      <c r="H13" s="10"/>
      <c r="I13" s="40"/>
      <c r="J13" s="10"/>
      <c r="K13" s="10"/>
      <c r="L13" s="10"/>
      <c r="M13" s="10"/>
      <c r="N13" s="40"/>
      <c r="O13" s="10"/>
      <c r="P13" s="10"/>
      <c r="Q13" s="56"/>
      <c r="R13" s="89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15">
      <c r="A14" s="15" t="s">
        <v>16</v>
      </c>
      <c r="B14" s="11">
        <v>3.2083333333333335</v>
      </c>
      <c r="C14" s="11">
        <v>1.5</v>
      </c>
      <c r="D14" s="11">
        <v>1.9166666666666667</v>
      </c>
      <c r="E14" s="11">
        <v>2.3333333333333335</v>
      </c>
      <c r="F14" s="11">
        <v>2.5416666666666665</v>
      </c>
      <c r="G14" s="11">
        <v>2.4583333333333335</v>
      </c>
      <c r="H14" s="11">
        <v>2</v>
      </c>
      <c r="I14" s="41">
        <v>2.9583333333333335</v>
      </c>
      <c r="J14" s="11">
        <v>2.5</v>
      </c>
      <c r="K14" s="11">
        <v>2.5416666666666665</v>
      </c>
      <c r="L14" s="11">
        <v>1.7916666666666667</v>
      </c>
      <c r="M14" s="11">
        <v>2.5833333333333335</v>
      </c>
      <c r="N14" s="41">
        <v>1.5</v>
      </c>
      <c r="O14" s="11">
        <v>2.625</v>
      </c>
      <c r="P14" s="11">
        <v>2.2916666666666665</v>
      </c>
      <c r="Q14" s="57">
        <v>3.1666666666666665</v>
      </c>
      <c r="R14" s="90">
        <f>SUM(B14:Q14)</f>
        <v>37.916666666666664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15">
      <c r="A15" s="15" t="s">
        <v>17</v>
      </c>
      <c r="B15" s="11">
        <v>0.79166666666666663</v>
      </c>
      <c r="C15" s="11">
        <v>0.5</v>
      </c>
      <c r="D15" s="11">
        <v>1</v>
      </c>
      <c r="E15" s="11">
        <v>1.25</v>
      </c>
      <c r="F15" s="11">
        <v>0.91666666666666663</v>
      </c>
      <c r="G15" s="11">
        <v>0.66666666666666663</v>
      </c>
      <c r="H15" s="11">
        <v>0.70833333333333337</v>
      </c>
      <c r="I15" s="41">
        <v>1.125</v>
      </c>
      <c r="J15" s="11">
        <v>1.4166666666666667</v>
      </c>
      <c r="K15" s="11">
        <v>1.0833333333333333</v>
      </c>
      <c r="L15" s="11">
        <v>1</v>
      </c>
      <c r="M15" s="11">
        <v>1.25</v>
      </c>
      <c r="N15" s="41">
        <v>0.33333333333333331</v>
      </c>
      <c r="O15" s="11">
        <v>0.75</v>
      </c>
      <c r="P15" s="11">
        <v>1.25</v>
      </c>
      <c r="Q15" s="56"/>
      <c r="R15" s="90">
        <f t="shared" ref="R15:R16" si="0">SUM(B15:Q15)</f>
        <v>14.041666666666668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15">
      <c r="A16" s="15" t="s">
        <v>18</v>
      </c>
      <c r="B16" s="11">
        <v>0.58333333333333337</v>
      </c>
      <c r="C16" s="11">
        <v>0.41666666666666669</v>
      </c>
      <c r="D16" s="11">
        <v>1.2916666666666667</v>
      </c>
      <c r="E16" s="11">
        <v>0.625</v>
      </c>
      <c r="F16" s="11">
        <v>0.375</v>
      </c>
      <c r="G16" s="11">
        <v>1.9583333333333333</v>
      </c>
      <c r="H16" s="11">
        <v>0.95833333333333337</v>
      </c>
      <c r="I16" s="41">
        <v>1.375</v>
      </c>
      <c r="J16" s="11">
        <v>0.70833333333333337</v>
      </c>
      <c r="K16" s="10"/>
      <c r="L16" s="11">
        <v>1.125</v>
      </c>
      <c r="M16" s="10"/>
      <c r="N16" s="41">
        <v>1.5416666666666667</v>
      </c>
      <c r="O16" s="11">
        <v>1.9583333333333333</v>
      </c>
      <c r="P16" s="10"/>
      <c r="Q16" s="57">
        <v>1.125</v>
      </c>
      <c r="R16" s="90">
        <f t="shared" si="0"/>
        <v>14.041666666666666</v>
      </c>
      <c r="S16" s="5"/>
      <c r="T16" s="5"/>
      <c r="U16" s="5"/>
      <c r="V16" s="5"/>
      <c r="W16" s="5"/>
      <c r="X16" s="5"/>
      <c r="Y16" s="5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x14ac:dyDescent="0.15">
      <c r="A17" s="15" t="s">
        <v>19</v>
      </c>
      <c r="B17" s="10"/>
      <c r="C17" s="10"/>
      <c r="D17" s="10"/>
      <c r="E17" s="10"/>
      <c r="F17" s="10"/>
      <c r="G17" s="10"/>
      <c r="H17" s="10"/>
      <c r="I17" s="40"/>
      <c r="J17" s="10"/>
      <c r="K17" s="10"/>
      <c r="L17" s="10"/>
      <c r="M17" s="10"/>
      <c r="N17" s="40"/>
      <c r="O17" s="10"/>
      <c r="P17" s="10"/>
      <c r="Q17" s="56"/>
      <c r="R17" s="89"/>
      <c r="S17" s="5"/>
      <c r="T17" s="5"/>
      <c r="U17" s="5"/>
      <c r="V17" s="5"/>
      <c r="W17" s="5"/>
      <c r="X17" s="5"/>
      <c r="Y17" s="5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15">
      <c r="A18" s="15" t="s">
        <v>20</v>
      </c>
      <c r="B18" s="10"/>
      <c r="C18" s="10"/>
      <c r="D18" s="10"/>
      <c r="E18" s="10"/>
      <c r="F18" s="10"/>
      <c r="G18" s="10"/>
      <c r="H18" s="10"/>
      <c r="I18" s="40"/>
      <c r="J18" s="10"/>
      <c r="K18" s="10"/>
      <c r="L18" s="10"/>
      <c r="M18" s="10"/>
      <c r="N18" s="40"/>
      <c r="O18" s="10"/>
      <c r="P18" s="10"/>
      <c r="Q18" s="56"/>
      <c r="R18" s="89"/>
      <c r="S18" s="5"/>
      <c r="T18" s="5"/>
      <c r="U18" s="5"/>
      <c r="V18" s="5"/>
      <c r="W18" s="5"/>
      <c r="X18" s="5"/>
      <c r="Y18" s="5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15">
      <c r="A19" s="15" t="s">
        <v>21</v>
      </c>
      <c r="B19" s="10"/>
      <c r="C19" s="10"/>
      <c r="D19" s="10"/>
      <c r="E19" s="10"/>
      <c r="F19" s="10"/>
      <c r="G19" s="10"/>
      <c r="H19" s="10"/>
      <c r="I19" s="40"/>
      <c r="J19" s="10"/>
      <c r="K19" s="10"/>
      <c r="L19" s="10"/>
      <c r="M19" s="10"/>
      <c r="N19" s="40"/>
      <c r="O19" s="10"/>
      <c r="P19" s="10"/>
      <c r="Q19" s="56"/>
      <c r="R19" s="89"/>
      <c r="S19" s="5"/>
      <c r="T19" s="5"/>
      <c r="U19" s="5"/>
      <c r="V19" s="5"/>
      <c r="W19" s="5"/>
      <c r="X19" s="5"/>
      <c r="Y19" s="5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15">
      <c r="A20" s="15" t="s">
        <v>22</v>
      </c>
      <c r="B20" s="10"/>
      <c r="C20" s="10"/>
      <c r="D20" s="10"/>
      <c r="E20" s="10"/>
      <c r="F20" s="10"/>
      <c r="G20" s="10"/>
      <c r="H20" s="10"/>
      <c r="I20" s="40"/>
      <c r="J20" s="10"/>
      <c r="K20" s="10"/>
      <c r="L20" s="10"/>
      <c r="M20" s="10"/>
      <c r="N20" s="40"/>
      <c r="O20" s="10"/>
      <c r="P20" s="10"/>
      <c r="Q20" s="56"/>
      <c r="R20" s="89"/>
      <c r="S20" s="5"/>
      <c r="T20" s="5"/>
      <c r="U20" s="5"/>
      <c r="V20" s="5"/>
      <c r="W20" s="5"/>
      <c r="X20" s="5"/>
      <c r="Y20" s="5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15">
      <c r="A21" s="15" t="s">
        <v>23</v>
      </c>
      <c r="B21" s="10"/>
      <c r="C21" s="10"/>
      <c r="D21" s="10"/>
      <c r="E21" s="10"/>
      <c r="F21" s="10"/>
      <c r="G21" s="10"/>
      <c r="H21" s="10"/>
      <c r="I21" s="40"/>
      <c r="J21" s="10"/>
      <c r="K21" s="10"/>
      <c r="L21" s="10"/>
      <c r="M21" s="10"/>
      <c r="N21" s="40"/>
      <c r="O21" s="10"/>
      <c r="P21" s="10"/>
      <c r="Q21" s="56"/>
      <c r="R21" s="89"/>
      <c r="S21" s="5"/>
      <c r="T21" s="5"/>
      <c r="U21" s="5"/>
      <c r="V21" s="5"/>
      <c r="W21" s="5"/>
      <c r="X21" s="5"/>
      <c r="Y21" s="5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14.25" thickBot="1" x14ac:dyDescent="0.2">
      <c r="A22" s="26" t="s">
        <v>24</v>
      </c>
      <c r="B22" s="27">
        <v>1.4583333333333333</v>
      </c>
      <c r="C22" s="27">
        <v>0.91666666666666663</v>
      </c>
      <c r="D22" s="27">
        <v>0.54166666666666663</v>
      </c>
      <c r="E22" s="27">
        <v>0.25</v>
      </c>
      <c r="F22" s="27">
        <v>4.1666666666666664E-2</v>
      </c>
      <c r="G22" s="27">
        <v>1</v>
      </c>
      <c r="H22" s="27">
        <v>1.625</v>
      </c>
      <c r="I22" s="42">
        <v>1.5</v>
      </c>
      <c r="J22" s="27">
        <v>0.33333333333333331</v>
      </c>
      <c r="K22" s="27">
        <v>0.375</v>
      </c>
      <c r="L22" s="27">
        <v>0.125</v>
      </c>
      <c r="M22" s="27">
        <v>0.375</v>
      </c>
      <c r="N22" s="42">
        <v>0.20833333333333334</v>
      </c>
      <c r="O22" s="27">
        <v>1.4583333333333333</v>
      </c>
      <c r="P22" s="27">
        <v>0.625</v>
      </c>
      <c r="Q22" s="83">
        <v>1.8333333333333333</v>
      </c>
      <c r="R22" s="91">
        <f>SUM(B22:Q22)</f>
        <v>12.666666666666668</v>
      </c>
      <c r="S22" s="5"/>
      <c r="T22" s="5"/>
      <c r="U22" s="5"/>
      <c r="V22" s="5"/>
      <c r="W22" s="5"/>
      <c r="X22" s="5"/>
      <c r="Y22" s="5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15">
      <c r="A23" s="23" t="s">
        <v>26</v>
      </c>
      <c r="B23" s="25">
        <v>170000</v>
      </c>
      <c r="C23" s="25">
        <v>175000</v>
      </c>
      <c r="D23" s="25">
        <v>182000</v>
      </c>
      <c r="E23" s="25">
        <v>187000</v>
      </c>
      <c r="F23" s="25">
        <v>192000</v>
      </c>
      <c r="G23" s="25">
        <v>192000</v>
      </c>
      <c r="H23" s="25">
        <v>192000</v>
      </c>
      <c r="I23" s="43">
        <v>187000</v>
      </c>
      <c r="J23" s="25">
        <v>172000</v>
      </c>
      <c r="K23" s="25">
        <v>172000</v>
      </c>
      <c r="L23" s="25">
        <v>172000</v>
      </c>
      <c r="M23" s="25">
        <v>177000</v>
      </c>
      <c r="N23" s="43">
        <v>170000</v>
      </c>
      <c r="O23" s="25">
        <v>175000</v>
      </c>
      <c r="P23" s="25">
        <v>170000</v>
      </c>
      <c r="Q23" s="59">
        <v>175000</v>
      </c>
      <c r="R23" s="92">
        <f>SUM(B23:Q23)</f>
        <v>2860000</v>
      </c>
      <c r="S23" s="5"/>
      <c r="T23" s="5"/>
      <c r="U23" s="5"/>
      <c r="V23" s="5"/>
      <c r="W23" s="5"/>
      <c r="X23" s="5"/>
      <c r="Y23" s="5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x14ac:dyDescent="0.15">
      <c r="A24" s="15" t="s">
        <v>27</v>
      </c>
      <c r="B24" s="10">
        <v>0</v>
      </c>
      <c r="C24" s="10">
        <v>0</v>
      </c>
      <c r="D24" s="10">
        <v>0</v>
      </c>
      <c r="E24" s="10">
        <v>0</v>
      </c>
      <c r="F24" s="10">
        <v>20000</v>
      </c>
      <c r="G24" s="10">
        <v>5000</v>
      </c>
      <c r="H24" s="10">
        <v>20000</v>
      </c>
      <c r="I24" s="40">
        <v>5000</v>
      </c>
      <c r="J24" s="10">
        <v>0</v>
      </c>
      <c r="K24" s="10">
        <v>0</v>
      </c>
      <c r="L24" s="10">
        <v>0</v>
      </c>
      <c r="M24" s="10">
        <v>0</v>
      </c>
      <c r="N24" s="40">
        <v>0</v>
      </c>
      <c r="O24" s="10">
        <v>0</v>
      </c>
      <c r="P24" s="10">
        <v>0</v>
      </c>
      <c r="Q24" s="56">
        <v>0</v>
      </c>
      <c r="R24" s="89">
        <f t="shared" ref="R24:R72" si="1">SUM(B24:Q24)</f>
        <v>50000</v>
      </c>
      <c r="S24" s="5"/>
      <c r="T24" s="5"/>
      <c r="U24" s="5"/>
      <c r="V24" s="5"/>
      <c r="W24" s="5"/>
      <c r="X24" s="5"/>
      <c r="Y24" s="5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x14ac:dyDescent="0.15">
      <c r="A25" s="15" t="s">
        <v>28</v>
      </c>
      <c r="B25" s="10">
        <v>0</v>
      </c>
      <c r="C25" s="10">
        <v>0</v>
      </c>
      <c r="D25" s="10">
        <v>0</v>
      </c>
      <c r="E25" s="10">
        <v>0</v>
      </c>
      <c r="F25" s="10">
        <v>3000</v>
      </c>
      <c r="G25" s="10">
        <v>0</v>
      </c>
      <c r="H25" s="10">
        <v>0</v>
      </c>
      <c r="I25" s="40">
        <v>0</v>
      </c>
      <c r="J25" s="10">
        <v>0</v>
      </c>
      <c r="K25" s="10">
        <v>0</v>
      </c>
      <c r="L25" s="10">
        <v>0</v>
      </c>
      <c r="M25" s="10">
        <v>0</v>
      </c>
      <c r="N25" s="40">
        <v>0</v>
      </c>
      <c r="O25" s="10">
        <v>0</v>
      </c>
      <c r="P25" s="10">
        <v>0</v>
      </c>
      <c r="Q25" s="56">
        <v>0</v>
      </c>
      <c r="R25" s="89">
        <f t="shared" si="1"/>
        <v>3000</v>
      </c>
      <c r="S25" s="5"/>
      <c r="T25" s="5"/>
      <c r="U25" s="5"/>
      <c r="V25" s="5"/>
      <c r="W25" s="5"/>
      <c r="X25" s="5"/>
      <c r="Y25" s="5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x14ac:dyDescent="0.15">
      <c r="A26" s="15" t="s">
        <v>29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40">
        <v>0</v>
      </c>
      <c r="J26" s="10">
        <v>0</v>
      </c>
      <c r="K26" s="10">
        <v>0</v>
      </c>
      <c r="L26" s="10">
        <v>0</v>
      </c>
      <c r="M26" s="10">
        <v>0</v>
      </c>
      <c r="N26" s="40">
        <v>0</v>
      </c>
      <c r="O26" s="10">
        <v>0</v>
      </c>
      <c r="P26" s="10">
        <v>0</v>
      </c>
      <c r="Q26" s="56">
        <v>0</v>
      </c>
      <c r="R26" s="89">
        <f t="shared" si="1"/>
        <v>0</v>
      </c>
      <c r="S26" s="5"/>
      <c r="T26" s="5"/>
      <c r="U26" s="5"/>
      <c r="V26" s="5"/>
      <c r="W26" s="5"/>
      <c r="X26" s="5"/>
      <c r="Y26" s="5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x14ac:dyDescent="0.15">
      <c r="A27" s="15" t="s">
        <v>30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40">
        <v>0</v>
      </c>
      <c r="J27" s="10">
        <v>0</v>
      </c>
      <c r="K27" s="10">
        <v>0</v>
      </c>
      <c r="L27" s="10">
        <v>0</v>
      </c>
      <c r="M27" s="10">
        <v>0</v>
      </c>
      <c r="N27" s="40">
        <v>0</v>
      </c>
      <c r="O27" s="10">
        <v>0</v>
      </c>
      <c r="P27" s="10">
        <v>0</v>
      </c>
      <c r="Q27" s="56">
        <v>0</v>
      </c>
      <c r="R27" s="89">
        <f t="shared" si="1"/>
        <v>0</v>
      </c>
      <c r="S27" s="5"/>
      <c r="T27" s="5"/>
      <c r="U27" s="5"/>
      <c r="V27" s="5"/>
      <c r="W27" s="5"/>
      <c r="X27" s="5"/>
      <c r="Y27" s="5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15">
      <c r="A28" s="15" t="s">
        <v>31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40">
        <v>0</v>
      </c>
      <c r="J28" s="10">
        <v>0</v>
      </c>
      <c r="K28" s="10">
        <v>0</v>
      </c>
      <c r="L28" s="10">
        <v>0</v>
      </c>
      <c r="M28" s="10">
        <v>0</v>
      </c>
      <c r="N28" s="40">
        <v>0</v>
      </c>
      <c r="O28" s="10">
        <v>0</v>
      </c>
      <c r="P28" s="10">
        <v>0</v>
      </c>
      <c r="Q28" s="56">
        <v>0</v>
      </c>
      <c r="R28" s="89">
        <f t="shared" si="1"/>
        <v>0</v>
      </c>
      <c r="S28" s="5"/>
      <c r="T28" s="5"/>
      <c r="U28" s="5"/>
      <c r="V28" s="5"/>
      <c r="W28" s="5"/>
      <c r="X28" s="5"/>
      <c r="Y28" s="5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x14ac:dyDescent="0.15">
      <c r="A29" s="15" t="s">
        <v>32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40">
        <v>0</v>
      </c>
      <c r="J29" s="10">
        <v>0</v>
      </c>
      <c r="K29" s="10">
        <v>0</v>
      </c>
      <c r="L29" s="10">
        <v>0</v>
      </c>
      <c r="M29" s="10">
        <v>0</v>
      </c>
      <c r="N29" s="40">
        <v>0</v>
      </c>
      <c r="O29" s="10">
        <v>0</v>
      </c>
      <c r="P29" s="10">
        <v>0</v>
      </c>
      <c r="Q29" s="56">
        <v>0</v>
      </c>
      <c r="R29" s="89">
        <f t="shared" si="1"/>
        <v>0</v>
      </c>
      <c r="S29" s="5"/>
      <c r="T29" s="5"/>
      <c r="U29" s="5"/>
      <c r="V29" s="5"/>
      <c r="W29" s="5"/>
      <c r="X29" s="5"/>
      <c r="Y29" s="5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x14ac:dyDescent="0.15">
      <c r="A30" s="15" t="s">
        <v>33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40">
        <v>0</v>
      </c>
      <c r="J30" s="10">
        <v>0</v>
      </c>
      <c r="K30" s="10">
        <v>0</v>
      </c>
      <c r="L30" s="10">
        <v>0</v>
      </c>
      <c r="M30" s="10">
        <v>0</v>
      </c>
      <c r="N30" s="40">
        <v>0</v>
      </c>
      <c r="O30" s="10">
        <v>0</v>
      </c>
      <c r="P30" s="10">
        <v>0</v>
      </c>
      <c r="Q30" s="56">
        <v>0</v>
      </c>
      <c r="R30" s="89">
        <f t="shared" si="1"/>
        <v>0</v>
      </c>
      <c r="S30" s="5"/>
      <c r="T30" s="5"/>
      <c r="U30" s="5"/>
      <c r="V30" s="5"/>
      <c r="W30" s="5"/>
      <c r="X30" s="5"/>
      <c r="Y30" s="5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x14ac:dyDescent="0.15">
      <c r="A31" s="15" t="s">
        <v>34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40">
        <v>0</v>
      </c>
      <c r="J31" s="10">
        <v>0</v>
      </c>
      <c r="K31" s="10">
        <v>0</v>
      </c>
      <c r="L31" s="10">
        <v>0</v>
      </c>
      <c r="M31" s="10">
        <v>0</v>
      </c>
      <c r="N31" s="40">
        <v>0</v>
      </c>
      <c r="O31" s="10">
        <v>0</v>
      </c>
      <c r="P31" s="10">
        <v>0</v>
      </c>
      <c r="Q31" s="56">
        <v>0</v>
      </c>
      <c r="R31" s="89">
        <f t="shared" si="1"/>
        <v>0</v>
      </c>
      <c r="S31" s="5"/>
      <c r="T31" s="5"/>
      <c r="U31" s="5"/>
      <c r="V31" s="5"/>
      <c r="W31" s="5"/>
      <c r="X31" s="5"/>
      <c r="Y31" s="5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x14ac:dyDescent="0.15">
      <c r="A32" s="15" t="s">
        <v>35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40">
        <v>0</v>
      </c>
      <c r="J32" s="10">
        <v>0</v>
      </c>
      <c r="K32" s="10">
        <v>0</v>
      </c>
      <c r="L32" s="10">
        <v>0</v>
      </c>
      <c r="M32" s="10">
        <v>0</v>
      </c>
      <c r="N32" s="40">
        <v>0</v>
      </c>
      <c r="O32" s="10">
        <v>0</v>
      </c>
      <c r="P32" s="10">
        <v>0</v>
      </c>
      <c r="Q32" s="56">
        <v>0</v>
      </c>
      <c r="R32" s="89">
        <f t="shared" si="1"/>
        <v>0</v>
      </c>
      <c r="S32" s="5"/>
      <c r="T32" s="5"/>
      <c r="U32" s="5"/>
      <c r="V32" s="5"/>
      <c r="W32" s="5"/>
      <c r="X32" s="5"/>
      <c r="Y32" s="5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x14ac:dyDescent="0.15">
      <c r="A33" s="15" t="s">
        <v>36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40">
        <v>0</v>
      </c>
      <c r="J33" s="10">
        <v>0</v>
      </c>
      <c r="K33" s="10">
        <v>0</v>
      </c>
      <c r="L33" s="10">
        <v>0</v>
      </c>
      <c r="M33" s="10">
        <v>0</v>
      </c>
      <c r="N33" s="40">
        <v>0</v>
      </c>
      <c r="O33" s="10">
        <v>0</v>
      </c>
      <c r="P33" s="10">
        <v>0</v>
      </c>
      <c r="Q33" s="56">
        <v>0</v>
      </c>
      <c r="R33" s="89">
        <f t="shared" si="1"/>
        <v>0</v>
      </c>
      <c r="S33" s="5"/>
      <c r="T33" s="5"/>
      <c r="U33" s="5"/>
      <c r="V33" s="5"/>
      <c r="W33" s="5"/>
      <c r="X33" s="5"/>
      <c r="Y33" s="5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x14ac:dyDescent="0.15">
      <c r="A34" s="15" t="s">
        <v>37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40">
        <v>0</v>
      </c>
      <c r="J34" s="10">
        <v>0</v>
      </c>
      <c r="K34" s="10">
        <v>0</v>
      </c>
      <c r="L34" s="10">
        <v>0</v>
      </c>
      <c r="M34" s="10">
        <v>0</v>
      </c>
      <c r="N34" s="40">
        <v>0</v>
      </c>
      <c r="O34" s="10">
        <v>0</v>
      </c>
      <c r="P34" s="10">
        <v>0</v>
      </c>
      <c r="Q34" s="56">
        <v>0</v>
      </c>
      <c r="R34" s="89">
        <f t="shared" si="1"/>
        <v>0</v>
      </c>
      <c r="S34" s="5"/>
      <c r="T34" s="5"/>
      <c r="U34" s="5"/>
      <c r="V34" s="5"/>
      <c r="W34" s="5"/>
      <c r="X34" s="5"/>
      <c r="Y34" s="5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x14ac:dyDescent="0.15">
      <c r="A35" s="15" t="s">
        <v>38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40">
        <v>0</v>
      </c>
      <c r="J35" s="10">
        <v>0</v>
      </c>
      <c r="K35" s="10">
        <v>0</v>
      </c>
      <c r="L35" s="10">
        <v>0</v>
      </c>
      <c r="M35" s="10">
        <v>0</v>
      </c>
      <c r="N35" s="40">
        <v>0</v>
      </c>
      <c r="O35" s="10">
        <v>0</v>
      </c>
      <c r="P35" s="10">
        <v>0</v>
      </c>
      <c r="Q35" s="56">
        <v>0</v>
      </c>
      <c r="R35" s="89">
        <f t="shared" si="1"/>
        <v>0</v>
      </c>
      <c r="S35" s="5"/>
      <c r="T35" s="5"/>
      <c r="U35" s="5"/>
      <c r="V35" s="5"/>
      <c r="W35" s="5"/>
      <c r="X35" s="5"/>
      <c r="Y35" s="5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x14ac:dyDescent="0.15">
      <c r="A36" s="15" t="s">
        <v>39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40">
        <v>0</v>
      </c>
      <c r="J36" s="10">
        <v>0</v>
      </c>
      <c r="K36" s="10">
        <v>0</v>
      </c>
      <c r="L36" s="10">
        <v>0</v>
      </c>
      <c r="M36" s="10">
        <v>0</v>
      </c>
      <c r="N36" s="40">
        <v>0</v>
      </c>
      <c r="O36" s="10">
        <v>0</v>
      </c>
      <c r="P36" s="10">
        <v>0</v>
      </c>
      <c r="Q36" s="56">
        <v>0</v>
      </c>
      <c r="R36" s="89">
        <f t="shared" si="1"/>
        <v>0</v>
      </c>
      <c r="S36" s="5"/>
      <c r="T36" s="5"/>
      <c r="U36" s="5"/>
      <c r="V36" s="5"/>
      <c r="W36" s="5"/>
      <c r="X36" s="5"/>
      <c r="Y36" s="5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x14ac:dyDescent="0.15">
      <c r="A37" s="15" t="s">
        <v>40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40">
        <v>0</v>
      </c>
      <c r="J37" s="10">
        <v>0</v>
      </c>
      <c r="K37" s="10">
        <v>0</v>
      </c>
      <c r="L37" s="10">
        <v>0</v>
      </c>
      <c r="M37" s="10">
        <v>0</v>
      </c>
      <c r="N37" s="40">
        <v>0</v>
      </c>
      <c r="O37" s="10">
        <v>0</v>
      </c>
      <c r="P37" s="10">
        <v>0</v>
      </c>
      <c r="Q37" s="56">
        <v>0</v>
      </c>
      <c r="R37" s="89">
        <f t="shared" si="1"/>
        <v>0</v>
      </c>
      <c r="S37" s="5"/>
      <c r="T37" s="5"/>
      <c r="U37" s="5"/>
      <c r="V37" s="5"/>
      <c r="W37" s="5"/>
      <c r="X37" s="5"/>
      <c r="Y37" s="5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x14ac:dyDescent="0.15">
      <c r="A38" s="15" t="s">
        <v>41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40">
        <v>0</v>
      </c>
      <c r="J38" s="10">
        <v>0</v>
      </c>
      <c r="K38" s="10">
        <v>0</v>
      </c>
      <c r="L38" s="10">
        <v>0</v>
      </c>
      <c r="M38" s="10">
        <v>0</v>
      </c>
      <c r="N38" s="40">
        <v>0</v>
      </c>
      <c r="O38" s="10">
        <v>0</v>
      </c>
      <c r="P38" s="10">
        <v>0</v>
      </c>
      <c r="Q38" s="56">
        <v>0</v>
      </c>
      <c r="R38" s="89">
        <f t="shared" si="1"/>
        <v>0</v>
      </c>
      <c r="S38" s="5"/>
      <c r="T38" s="5"/>
      <c r="U38" s="5"/>
      <c r="V38" s="5"/>
      <c r="W38" s="5"/>
      <c r="X38" s="5"/>
      <c r="Y38" s="5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x14ac:dyDescent="0.15">
      <c r="A39" s="15" t="s">
        <v>42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40">
        <v>0</v>
      </c>
      <c r="J39" s="10">
        <v>0</v>
      </c>
      <c r="K39" s="10">
        <v>0</v>
      </c>
      <c r="L39" s="10">
        <v>0</v>
      </c>
      <c r="M39" s="10">
        <v>0</v>
      </c>
      <c r="N39" s="40">
        <v>0</v>
      </c>
      <c r="O39" s="10">
        <v>0</v>
      </c>
      <c r="P39" s="10">
        <v>0</v>
      </c>
      <c r="Q39" s="56">
        <v>0</v>
      </c>
      <c r="R39" s="89">
        <f t="shared" si="1"/>
        <v>0</v>
      </c>
      <c r="S39" s="5"/>
      <c r="T39" s="5"/>
      <c r="U39" s="5"/>
      <c r="V39" s="5"/>
      <c r="W39" s="5"/>
      <c r="X39" s="5"/>
      <c r="Y39" s="5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x14ac:dyDescent="0.15">
      <c r="A40" s="15" t="s">
        <v>43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40">
        <v>0</v>
      </c>
      <c r="J40" s="10">
        <v>0</v>
      </c>
      <c r="K40" s="10">
        <v>0</v>
      </c>
      <c r="L40" s="10">
        <v>0</v>
      </c>
      <c r="M40" s="10">
        <v>0</v>
      </c>
      <c r="N40" s="40">
        <v>0</v>
      </c>
      <c r="O40" s="10">
        <v>0</v>
      </c>
      <c r="P40" s="10">
        <v>0</v>
      </c>
      <c r="Q40" s="56">
        <v>0</v>
      </c>
      <c r="R40" s="89">
        <f t="shared" si="1"/>
        <v>0</v>
      </c>
      <c r="S40" s="5"/>
      <c r="T40" s="5"/>
      <c r="U40" s="5"/>
      <c r="V40" s="5"/>
      <c r="W40" s="5"/>
      <c r="X40" s="5"/>
      <c r="Y40" s="5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x14ac:dyDescent="0.15">
      <c r="A41" s="15" t="s">
        <v>44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40">
        <v>0</v>
      </c>
      <c r="J41" s="10">
        <v>0</v>
      </c>
      <c r="K41" s="10">
        <v>0</v>
      </c>
      <c r="L41" s="10">
        <v>0</v>
      </c>
      <c r="M41" s="10">
        <v>0</v>
      </c>
      <c r="N41" s="40">
        <v>0</v>
      </c>
      <c r="O41" s="10">
        <v>0</v>
      </c>
      <c r="P41" s="10">
        <v>0</v>
      </c>
      <c r="Q41" s="56">
        <v>0</v>
      </c>
      <c r="R41" s="89">
        <f t="shared" si="1"/>
        <v>0</v>
      </c>
      <c r="S41" s="5"/>
      <c r="T41" s="5"/>
      <c r="U41" s="5"/>
      <c r="V41" s="5"/>
      <c r="W41" s="5"/>
      <c r="X41" s="5"/>
      <c r="Y41" s="5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x14ac:dyDescent="0.15">
      <c r="A42" s="15" t="s">
        <v>45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40">
        <v>0</v>
      </c>
      <c r="J42" s="10">
        <v>0</v>
      </c>
      <c r="K42" s="10">
        <v>0</v>
      </c>
      <c r="L42" s="10">
        <v>0</v>
      </c>
      <c r="M42" s="10">
        <v>0</v>
      </c>
      <c r="N42" s="40">
        <v>0</v>
      </c>
      <c r="O42" s="10">
        <v>0</v>
      </c>
      <c r="P42" s="10">
        <v>0</v>
      </c>
      <c r="Q42" s="56">
        <v>0</v>
      </c>
      <c r="R42" s="89">
        <f t="shared" si="1"/>
        <v>0</v>
      </c>
      <c r="S42" s="5"/>
      <c r="T42" s="5"/>
      <c r="U42" s="5"/>
      <c r="V42" s="5"/>
      <c r="W42" s="5"/>
      <c r="X42" s="5"/>
      <c r="Y42" s="5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x14ac:dyDescent="0.15">
      <c r="A43" s="15" t="s">
        <v>16</v>
      </c>
      <c r="B43" s="10">
        <v>98021</v>
      </c>
      <c r="C43" s="10">
        <v>47160</v>
      </c>
      <c r="D43" s="10">
        <v>62698</v>
      </c>
      <c r="E43" s="10">
        <v>78400</v>
      </c>
      <c r="F43" s="10">
        <v>98149</v>
      </c>
      <c r="G43" s="10">
        <v>87025</v>
      </c>
      <c r="H43" s="10">
        <v>76128</v>
      </c>
      <c r="I43" s="40">
        <v>102098</v>
      </c>
      <c r="J43" s="10">
        <v>77280</v>
      </c>
      <c r="K43" s="10">
        <v>78568</v>
      </c>
      <c r="L43" s="10">
        <v>55384</v>
      </c>
      <c r="M43" s="10">
        <v>82150</v>
      </c>
      <c r="N43" s="40">
        <v>45828</v>
      </c>
      <c r="O43" s="10">
        <v>82530</v>
      </c>
      <c r="P43" s="10">
        <v>70015</v>
      </c>
      <c r="Q43" s="56">
        <v>99560</v>
      </c>
      <c r="R43" s="89">
        <f t="shared" si="1"/>
        <v>1240994</v>
      </c>
      <c r="S43" s="5"/>
      <c r="T43" s="5"/>
      <c r="U43" s="5"/>
      <c r="V43" s="5"/>
      <c r="W43" s="5"/>
      <c r="X43" s="5"/>
      <c r="Y43" s="5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x14ac:dyDescent="0.15">
      <c r="A44" s="15" t="s">
        <v>9</v>
      </c>
      <c r="B44" s="10">
        <v>26106</v>
      </c>
      <c r="C44" s="10">
        <v>16980</v>
      </c>
      <c r="D44" s="10">
        <v>35328</v>
      </c>
      <c r="E44" s="10">
        <v>45360</v>
      </c>
      <c r="F44" s="10">
        <v>38214</v>
      </c>
      <c r="G44" s="10">
        <v>25488</v>
      </c>
      <c r="H44" s="10">
        <v>29121</v>
      </c>
      <c r="I44" s="40">
        <v>41931</v>
      </c>
      <c r="J44" s="10">
        <v>47294</v>
      </c>
      <c r="K44" s="10">
        <v>36166</v>
      </c>
      <c r="L44" s="10">
        <v>33384</v>
      </c>
      <c r="M44" s="10">
        <v>42930</v>
      </c>
      <c r="N44" s="40">
        <v>10992</v>
      </c>
      <c r="O44" s="10">
        <v>25470</v>
      </c>
      <c r="P44" s="10">
        <v>41220</v>
      </c>
      <c r="Q44" s="56">
        <v>0</v>
      </c>
      <c r="R44" s="89">
        <f t="shared" si="1"/>
        <v>495984</v>
      </c>
      <c r="S44" s="5"/>
      <c r="T44" s="5"/>
      <c r="U44" s="5"/>
      <c r="V44" s="5"/>
      <c r="W44" s="5"/>
      <c r="X44" s="5"/>
      <c r="Y44" s="5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x14ac:dyDescent="0.15">
      <c r="A45" s="15" t="s">
        <v>10</v>
      </c>
      <c r="B45" s="10">
        <v>19236</v>
      </c>
      <c r="C45" s="10">
        <v>14150</v>
      </c>
      <c r="D45" s="10">
        <v>45632</v>
      </c>
      <c r="E45" s="10">
        <v>22680</v>
      </c>
      <c r="F45" s="10">
        <v>15633</v>
      </c>
      <c r="G45" s="10">
        <v>74871</v>
      </c>
      <c r="H45" s="10">
        <v>39399</v>
      </c>
      <c r="I45" s="40">
        <v>51249</v>
      </c>
      <c r="J45" s="10">
        <v>23647</v>
      </c>
      <c r="K45" s="10">
        <v>0</v>
      </c>
      <c r="L45" s="10">
        <v>37557</v>
      </c>
      <c r="M45" s="10">
        <v>0</v>
      </c>
      <c r="N45" s="40">
        <v>50838</v>
      </c>
      <c r="O45" s="10">
        <v>66505</v>
      </c>
      <c r="P45" s="10">
        <v>0</v>
      </c>
      <c r="Q45" s="56">
        <v>38205</v>
      </c>
      <c r="R45" s="89">
        <f t="shared" si="1"/>
        <v>499602</v>
      </c>
      <c r="S45" s="5"/>
      <c r="T45" s="5"/>
      <c r="U45" s="5"/>
      <c r="V45" s="5"/>
      <c r="W45" s="5"/>
      <c r="X45" s="5"/>
      <c r="Y45" s="5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x14ac:dyDescent="0.15">
      <c r="A46" s="15" t="s">
        <v>46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40">
        <v>0</v>
      </c>
      <c r="J46" s="10">
        <v>0</v>
      </c>
      <c r="K46" s="10">
        <v>0</v>
      </c>
      <c r="L46" s="10">
        <v>0</v>
      </c>
      <c r="M46" s="10">
        <v>0</v>
      </c>
      <c r="N46" s="40">
        <v>0</v>
      </c>
      <c r="O46" s="10">
        <v>0</v>
      </c>
      <c r="P46" s="10">
        <v>0</v>
      </c>
      <c r="Q46" s="56">
        <v>0</v>
      </c>
      <c r="R46" s="89">
        <f t="shared" si="1"/>
        <v>0</v>
      </c>
      <c r="S46" s="5"/>
      <c r="T46" s="5"/>
      <c r="U46" s="5"/>
      <c r="V46" s="5"/>
      <c r="W46" s="5"/>
      <c r="X46" s="5"/>
      <c r="Y46" s="5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x14ac:dyDescent="0.15">
      <c r="A47" s="15" t="s">
        <v>20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40">
        <v>0</v>
      </c>
      <c r="J47" s="10">
        <v>0</v>
      </c>
      <c r="K47" s="10">
        <v>0</v>
      </c>
      <c r="L47" s="10">
        <v>0</v>
      </c>
      <c r="M47" s="10">
        <v>0</v>
      </c>
      <c r="N47" s="40">
        <v>0</v>
      </c>
      <c r="O47" s="10">
        <v>0</v>
      </c>
      <c r="P47" s="10">
        <v>0</v>
      </c>
      <c r="Q47" s="56">
        <v>0</v>
      </c>
      <c r="R47" s="89">
        <f t="shared" si="1"/>
        <v>0</v>
      </c>
      <c r="S47" s="5"/>
      <c r="T47" s="5"/>
      <c r="U47" s="5"/>
      <c r="V47" s="5"/>
      <c r="W47" s="5"/>
      <c r="X47" s="5"/>
      <c r="Y47" s="5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 x14ac:dyDescent="0.15">
      <c r="A48" s="15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40">
        <v>0</v>
      </c>
      <c r="J48" s="10">
        <v>0</v>
      </c>
      <c r="K48" s="10">
        <v>0</v>
      </c>
      <c r="L48" s="10">
        <v>0</v>
      </c>
      <c r="M48" s="10">
        <v>0</v>
      </c>
      <c r="N48" s="40">
        <v>0</v>
      </c>
      <c r="O48" s="10">
        <v>0</v>
      </c>
      <c r="P48" s="10">
        <v>0</v>
      </c>
      <c r="Q48" s="56">
        <v>0</v>
      </c>
      <c r="R48" s="89">
        <f t="shared" si="1"/>
        <v>0</v>
      </c>
      <c r="S48" s="5"/>
      <c r="T48" s="5"/>
      <c r="U48" s="5"/>
      <c r="V48" s="5"/>
      <c r="W48" s="5"/>
      <c r="X48" s="5"/>
      <c r="Y48" s="5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25" x14ac:dyDescent="0.15">
      <c r="A49" s="16" t="s">
        <v>24</v>
      </c>
      <c r="B49" s="12">
        <v>8925</v>
      </c>
      <c r="C49" s="12">
        <v>5764</v>
      </c>
      <c r="D49" s="12">
        <v>3549</v>
      </c>
      <c r="E49" s="12">
        <v>1680</v>
      </c>
      <c r="F49" s="12">
        <v>322</v>
      </c>
      <c r="G49" s="12">
        <v>7080</v>
      </c>
      <c r="H49" s="12">
        <v>12363</v>
      </c>
      <c r="I49" s="44">
        <v>10368</v>
      </c>
      <c r="J49" s="12">
        <v>2064</v>
      </c>
      <c r="K49" s="12">
        <v>2322</v>
      </c>
      <c r="L49" s="12">
        <v>774</v>
      </c>
      <c r="M49" s="12">
        <v>2385</v>
      </c>
      <c r="N49" s="44">
        <v>1275</v>
      </c>
      <c r="O49" s="12">
        <v>9170</v>
      </c>
      <c r="P49" s="12">
        <v>3825</v>
      </c>
      <c r="Q49" s="60">
        <v>11528</v>
      </c>
      <c r="R49" s="93">
        <f t="shared" si="1"/>
        <v>83394</v>
      </c>
      <c r="S49" s="6"/>
      <c r="T49" s="6"/>
      <c r="U49" s="6"/>
      <c r="V49" s="6"/>
      <c r="W49" s="6"/>
      <c r="X49" s="6"/>
      <c r="Y49" s="6"/>
    </row>
    <row r="50" spans="1:25" ht="14.25" thickBot="1" x14ac:dyDescent="0.2">
      <c r="A50" s="17" t="s">
        <v>48</v>
      </c>
      <c r="B50" s="31">
        <v>322288</v>
      </c>
      <c r="C50" s="31">
        <v>259054</v>
      </c>
      <c r="D50" s="31">
        <v>329207</v>
      </c>
      <c r="E50" s="31">
        <v>335120</v>
      </c>
      <c r="F50" s="31">
        <v>367318</v>
      </c>
      <c r="G50" s="31">
        <v>391464</v>
      </c>
      <c r="H50" s="31">
        <v>369011</v>
      </c>
      <c r="I50" s="45">
        <v>397646</v>
      </c>
      <c r="J50" s="31">
        <v>322285</v>
      </c>
      <c r="K50" s="31">
        <v>289056</v>
      </c>
      <c r="L50" s="31">
        <v>299099</v>
      </c>
      <c r="M50" s="31">
        <v>304465</v>
      </c>
      <c r="N50" s="45">
        <v>278933</v>
      </c>
      <c r="O50" s="31">
        <v>358675</v>
      </c>
      <c r="P50" s="31">
        <v>285060</v>
      </c>
      <c r="Q50" s="61">
        <v>324293</v>
      </c>
      <c r="R50" s="94">
        <f t="shared" si="1"/>
        <v>5232974</v>
      </c>
      <c r="S50" s="6"/>
      <c r="T50" s="6"/>
      <c r="U50" s="6"/>
      <c r="V50" s="6"/>
      <c r="W50" s="6"/>
      <c r="X50" s="6"/>
      <c r="Y50" s="6"/>
    </row>
    <row r="51" spans="1:25" x14ac:dyDescent="0.15">
      <c r="A51" s="29" t="s">
        <v>49</v>
      </c>
      <c r="B51" s="30">
        <v>4930</v>
      </c>
      <c r="C51" s="30">
        <v>1808</v>
      </c>
      <c r="D51" s="30">
        <v>11091</v>
      </c>
      <c r="E51" s="30">
        <v>2465</v>
      </c>
      <c r="F51" s="30">
        <v>4252</v>
      </c>
      <c r="G51" s="30">
        <v>2773</v>
      </c>
      <c r="H51" s="30">
        <v>10865</v>
      </c>
      <c r="I51" s="46">
        <v>1808</v>
      </c>
      <c r="J51" s="30">
        <v>1972</v>
      </c>
      <c r="K51" s="30">
        <v>1027</v>
      </c>
      <c r="L51" s="30">
        <v>2465</v>
      </c>
      <c r="M51" s="30">
        <v>4108</v>
      </c>
      <c r="N51" s="46">
        <v>5340</v>
      </c>
      <c r="O51" s="30">
        <v>4026</v>
      </c>
      <c r="P51" s="30">
        <v>5669</v>
      </c>
      <c r="Q51" s="62">
        <v>2958</v>
      </c>
      <c r="R51" s="95">
        <f t="shared" si="1"/>
        <v>67557</v>
      </c>
      <c r="S51" s="6"/>
      <c r="T51" s="6"/>
      <c r="U51" s="6"/>
      <c r="V51" s="6"/>
      <c r="W51" s="6"/>
      <c r="X51" s="6"/>
      <c r="Y51" s="6"/>
    </row>
    <row r="52" spans="1:25" ht="14.25" thickBot="1" x14ac:dyDescent="0.2">
      <c r="A52" s="32" t="s">
        <v>50</v>
      </c>
      <c r="B52" s="33">
        <v>4930</v>
      </c>
      <c r="C52" s="33">
        <v>1808</v>
      </c>
      <c r="D52" s="33">
        <v>11091</v>
      </c>
      <c r="E52" s="33">
        <v>2465</v>
      </c>
      <c r="F52" s="33">
        <v>4252</v>
      </c>
      <c r="G52" s="33">
        <v>2773</v>
      </c>
      <c r="H52" s="33">
        <v>10865</v>
      </c>
      <c r="I52" s="47">
        <v>1808</v>
      </c>
      <c r="J52" s="33">
        <v>1972</v>
      </c>
      <c r="K52" s="33">
        <v>1027</v>
      </c>
      <c r="L52" s="33">
        <v>2465</v>
      </c>
      <c r="M52" s="33">
        <v>4108</v>
      </c>
      <c r="N52" s="47">
        <v>5340</v>
      </c>
      <c r="O52" s="33">
        <v>4026</v>
      </c>
      <c r="P52" s="33">
        <v>5669</v>
      </c>
      <c r="Q52" s="63">
        <v>2958</v>
      </c>
      <c r="R52" s="96">
        <f t="shared" si="1"/>
        <v>67557</v>
      </c>
      <c r="S52" s="6"/>
      <c r="T52" s="6"/>
      <c r="U52" s="6"/>
      <c r="V52" s="6"/>
      <c r="W52" s="6"/>
      <c r="X52" s="6"/>
      <c r="Y52" s="6"/>
    </row>
    <row r="53" spans="1:25" ht="14.25" thickBot="1" x14ac:dyDescent="0.2">
      <c r="A53" s="34" t="s">
        <v>51</v>
      </c>
      <c r="B53" s="35">
        <v>327218</v>
      </c>
      <c r="C53" s="35">
        <v>260862</v>
      </c>
      <c r="D53" s="35">
        <v>340298</v>
      </c>
      <c r="E53" s="35">
        <v>337585</v>
      </c>
      <c r="F53" s="35">
        <v>371570</v>
      </c>
      <c r="G53" s="35">
        <v>394237</v>
      </c>
      <c r="H53" s="35">
        <v>379876</v>
      </c>
      <c r="I53" s="48">
        <v>399454</v>
      </c>
      <c r="J53" s="35">
        <v>324257</v>
      </c>
      <c r="K53" s="35">
        <v>290083</v>
      </c>
      <c r="L53" s="35">
        <v>301564</v>
      </c>
      <c r="M53" s="35">
        <v>308573</v>
      </c>
      <c r="N53" s="48">
        <v>284273</v>
      </c>
      <c r="O53" s="35">
        <v>362701</v>
      </c>
      <c r="P53" s="35">
        <v>290729</v>
      </c>
      <c r="Q53" s="64">
        <v>327251</v>
      </c>
      <c r="R53" s="97">
        <f t="shared" si="1"/>
        <v>5300531</v>
      </c>
    </row>
    <row r="54" spans="1:25" x14ac:dyDescent="0.15">
      <c r="A54" s="29" t="s">
        <v>52</v>
      </c>
      <c r="B54" s="30">
        <v>16320</v>
      </c>
      <c r="C54" s="30">
        <v>12240</v>
      </c>
      <c r="D54" s="30">
        <v>15300</v>
      </c>
      <c r="E54" s="30">
        <v>16320</v>
      </c>
      <c r="F54" s="30">
        <v>17340</v>
      </c>
      <c r="G54" s="30">
        <v>17340</v>
      </c>
      <c r="H54" s="30">
        <v>17340</v>
      </c>
      <c r="I54" s="46">
        <v>19380</v>
      </c>
      <c r="J54" s="30">
        <v>16320</v>
      </c>
      <c r="K54" s="30">
        <v>15300</v>
      </c>
      <c r="L54" s="30">
        <v>15300</v>
      </c>
      <c r="M54" s="30">
        <v>16320</v>
      </c>
      <c r="N54" s="46">
        <v>14280</v>
      </c>
      <c r="O54" s="30">
        <v>16320</v>
      </c>
      <c r="P54" s="30">
        <v>15300</v>
      </c>
      <c r="Q54" s="62">
        <v>15300</v>
      </c>
      <c r="R54" s="95">
        <f t="shared" si="1"/>
        <v>256020</v>
      </c>
    </row>
    <row r="55" spans="1:25" x14ac:dyDescent="0.15">
      <c r="A55" s="16" t="s">
        <v>53</v>
      </c>
      <c r="B55" s="12">
        <v>2880</v>
      </c>
      <c r="C55" s="12">
        <v>2160</v>
      </c>
      <c r="D55" s="12">
        <v>2700</v>
      </c>
      <c r="E55" s="12">
        <v>2880</v>
      </c>
      <c r="F55" s="12">
        <v>3060</v>
      </c>
      <c r="G55" s="12">
        <v>3060</v>
      </c>
      <c r="H55" s="12">
        <v>3060</v>
      </c>
      <c r="I55" s="44">
        <v>3420</v>
      </c>
      <c r="J55" s="12">
        <v>2880</v>
      </c>
      <c r="K55" s="12">
        <v>2700</v>
      </c>
      <c r="L55" s="12">
        <v>2700</v>
      </c>
      <c r="M55" s="12">
        <v>2880</v>
      </c>
      <c r="N55" s="44">
        <v>2520</v>
      </c>
      <c r="O55" s="12">
        <v>0</v>
      </c>
      <c r="P55" s="12">
        <v>2700</v>
      </c>
      <c r="Q55" s="60">
        <v>2700</v>
      </c>
      <c r="R55" s="93">
        <f t="shared" si="1"/>
        <v>42300</v>
      </c>
    </row>
    <row r="56" spans="1:25" x14ac:dyDescent="0.15">
      <c r="A56" s="16" t="s">
        <v>54</v>
      </c>
      <c r="B56" s="12">
        <v>29280</v>
      </c>
      <c r="C56" s="12">
        <v>21960</v>
      </c>
      <c r="D56" s="12">
        <v>27450</v>
      </c>
      <c r="E56" s="12">
        <v>29280</v>
      </c>
      <c r="F56" s="12">
        <v>31110</v>
      </c>
      <c r="G56" s="12">
        <v>31110</v>
      </c>
      <c r="H56" s="12">
        <v>31110</v>
      </c>
      <c r="I56" s="44">
        <v>34770</v>
      </c>
      <c r="J56" s="12">
        <v>29280</v>
      </c>
      <c r="K56" s="12">
        <v>27450</v>
      </c>
      <c r="L56" s="12">
        <v>27450</v>
      </c>
      <c r="M56" s="12">
        <v>29280</v>
      </c>
      <c r="N56" s="44">
        <v>25620</v>
      </c>
      <c r="O56" s="12">
        <v>29280</v>
      </c>
      <c r="P56" s="12">
        <v>27450</v>
      </c>
      <c r="Q56" s="60">
        <v>27450</v>
      </c>
      <c r="R56" s="93">
        <f t="shared" si="1"/>
        <v>459330</v>
      </c>
    </row>
    <row r="57" spans="1:25" x14ac:dyDescent="0.15">
      <c r="A57" s="16" t="s">
        <v>55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44">
        <v>0</v>
      </c>
      <c r="J57" s="12">
        <v>0</v>
      </c>
      <c r="K57" s="12">
        <v>0</v>
      </c>
      <c r="L57" s="12">
        <v>0</v>
      </c>
      <c r="M57" s="12">
        <v>0</v>
      </c>
      <c r="N57" s="44">
        <v>0</v>
      </c>
      <c r="O57" s="12">
        <v>0</v>
      </c>
      <c r="P57" s="12">
        <v>0</v>
      </c>
      <c r="Q57" s="60">
        <v>0</v>
      </c>
      <c r="R57" s="93">
        <f t="shared" si="1"/>
        <v>0</v>
      </c>
    </row>
    <row r="58" spans="1:25" x14ac:dyDescent="0.15">
      <c r="A58" s="16" t="s">
        <v>56</v>
      </c>
      <c r="B58" s="12">
        <v>982</v>
      </c>
      <c r="C58" s="12">
        <v>783</v>
      </c>
      <c r="D58" s="12">
        <v>1021</v>
      </c>
      <c r="E58" s="12">
        <v>1013</v>
      </c>
      <c r="F58" s="12">
        <v>1115</v>
      </c>
      <c r="G58" s="12">
        <v>1183</v>
      </c>
      <c r="H58" s="12">
        <v>1140</v>
      </c>
      <c r="I58" s="44">
        <v>1198</v>
      </c>
      <c r="J58" s="12">
        <v>973</v>
      </c>
      <c r="K58" s="12">
        <v>870</v>
      </c>
      <c r="L58" s="12">
        <v>905</v>
      </c>
      <c r="M58" s="12">
        <v>926</v>
      </c>
      <c r="N58" s="44">
        <v>853</v>
      </c>
      <c r="O58" s="12">
        <v>1088</v>
      </c>
      <c r="P58" s="12">
        <v>872</v>
      </c>
      <c r="Q58" s="60">
        <v>982</v>
      </c>
      <c r="R58" s="93">
        <f t="shared" si="1"/>
        <v>15904</v>
      </c>
    </row>
    <row r="59" spans="1:25" x14ac:dyDescent="0.15">
      <c r="A59" s="16" t="s">
        <v>57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44">
        <v>0</v>
      </c>
      <c r="J59" s="12">
        <v>0</v>
      </c>
      <c r="K59" s="12">
        <v>0</v>
      </c>
      <c r="L59" s="12">
        <v>0</v>
      </c>
      <c r="M59" s="12">
        <v>0</v>
      </c>
      <c r="N59" s="44">
        <v>0</v>
      </c>
      <c r="O59" s="12">
        <v>0</v>
      </c>
      <c r="P59" s="12">
        <v>0</v>
      </c>
      <c r="Q59" s="60">
        <v>0</v>
      </c>
      <c r="R59" s="93">
        <f t="shared" si="1"/>
        <v>0</v>
      </c>
    </row>
    <row r="60" spans="1:25" ht="14.25" thickBot="1" x14ac:dyDescent="0.2">
      <c r="A60" s="32" t="s">
        <v>58</v>
      </c>
      <c r="B60" s="33">
        <v>49462</v>
      </c>
      <c r="C60" s="33">
        <v>37143</v>
      </c>
      <c r="D60" s="33">
        <v>46471</v>
      </c>
      <c r="E60" s="33">
        <v>49493</v>
      </c>
      <c r="F60" s="33">
        <v>52625</v>
      </c>
      <c r="G60" s="33">
        <v>52693</v>
      </c>
      <c r="H60" s="33">
        <v>52650</v>
      </c>
      <c r="I60" s="47">
        <v>58768</v>
      </c>
      <c r="J60" s="33">
        <v>49453</v>
      </c>
      <c r="K60" s="33">
        <v>46320</v>
      </c>
      <c r="L60" s="33">
        <v>46355</v>
      </c>
      <c r="M60" s="33">
        <v>49406</v>
      </c>
      <c r="N60" s="47">
        <v>43273</v>
      </c>
      <c r="O60" s="33">
        <v>46688</v>
      </c>
      <c r="P60" s="33">
        <v>46322</v>
      </c>
      <c r="Q60" s="63">
        <v>46432</v>
      </c>
      <c r="R60" s="96">
        <f t="shared" si="1"/>
        <v>773554</v>
      </c>
    </row>
    <row r="61" spans="1:25" ht="14.25" thickBot="1" x14ac:dyDescent="0.2">
      <c r="A61" s="34" t="s">
        <v>59</v>
      </c>
      <c r="B61" s="35">
        <v>272826</v>
      </c>
      <c r="C61" s="35">
        <v>221911</v>
      </c>
      <c r="D61" s="35">
        <v>282736</v>
      </c>
      <c r="E61" s="35">
        <v>285627</v>
      </c>
      <c r="F61" s="35">
        <v>314693</v>
      </c>
      <c r="G61" s="35">
        <v>338771</v>
      </c>
      <c r="H61" s="35">
        <v>316361</v>
      </c>
      <c r="I61" s="48">
        <v>338878</v>
      </c>
      <c r="J61" s="35">
        <v>272832</v>
      </c>
      <c r="K61" s="35">
        <v>242736</v>
      </c>
      <c r="L61" s="35">
        <v>252744</v>
      </c>
      <c r="M61" s="35">
        <v>255059</v>
      </c>
      <c r="N61" s="48">
        <v>235660</v>
      </c>
      <c r="O61" s="35">
        <v>311987</v>
      </c>
      <c r="P61" s="35">
        <v>238738</v>
      </c>
      <c r="Q61" s="64">
        <v>277861</v>
      </c>
      <c r="R61" s="97">
        <f t="shared" si="1"/>
        <v>4459420</v>
      </c>
    </row>
    <row r="62" spans="1:25" x14ac:dyDescent="0.15">
      <c r="A62" s="29" t="s">
        <v>60</v>
      </c>
      <c r="B62" s="30">
        <v>2520</v>
      </c>
      <c r="C62" s="30">
        <v>5550</v>
      </c>
      <c r="D62" s="30">
        <v>6100</v>
      </c>
      <c r="E62" s="30">
        <v>7820</v>
      </c>
      <c r="F62" s="30">
        <v>7320</v>
      </c>
      <c r="G62" s="30">
        <v>11550</v>
      </c>
      <c r="H62" s="30">
        <v>7390</v>
      </c>
      <c r="I62" s="46">
        <v>11560</v>
      </c>
      <c r="J62" s="30">
        <v>7370</v>
      </c>
      <c r="K62" s="30">
        <v>4680</v>
      </c>
      <c r="L62" s="30">
        <v>6650</v>
      </c>
      <c r="M62" s="30">
        <v>6730</v>
      </c>
      <c r="N62" s="46">
        <v>6040</v>
      </c>
      <c r="O62" s="30">
        <v>9360</v>
      </c>
      <c r="P62" s="30">
        <v>6150</v>
      </c>
      <c r="Q62" s="62">
        <v>7550</v>
      </c>
      <c r="R62" s="95">
        <f t="shared" si="1"/>
        <v>114340</v>
      </c>
    </row>
    <row r="63" spans="1:25" x14ac:dyDescent="0.15">
      <c r="A63" s="16" t="s">
        <v>61</v>
      </c>
      <c r="B63" s="12">
        <v>1300</v>
      </c>
      <c r="C63" s="12">
        <v>0</v>
      </c>
      <c r="D63" s="12">
        <v>1300</v>
      </c>
      <c r="E63" s="12">
        <v>1300</v>
      </c>
      <c r="F63" s="12">
        <v>1300</v>
      </c>
      <c r="G63" s="12">
        <v>0</v>
      </c>
      <c r="H63" s="12">
        <v>1300</v>
      </c>
      <c r="I63" s="44">
        <v>1300</v>
      </c>
      <c r="J63" s="12">
        <v>1300</v>
      </c>
      <c r="K63" s="12">
        <v>1300</v>
      </c>
      <c r="L63" s="12">
        <v>1300</v>
      </c>
      <c r="M63" s="12">
        <v>1300</v>
      </c>
      <c r="N63" s="44">
        <v>0</v>
      </c>
      <c r="O63" s="12">
        <v>0</v>
      </c>
      <c r="P63" s="12">
        <v>1300</v>
      </c>
      <c r="Q63" s="60">
        <v>1300</v>
      </c>
      <c r="R63" s="93">
        <f t="shared" si="1"/>
        <v>15600</v>
      </c>
    </row>
    <row r="64" spans="1:25" x14ac:dyDescent="0.15">
      <c r="A64" s="16" t="s">
        <v>62</v>
      </c>
      <c r="B64" s="12">
        <v>2400</v>
      </c>
      <c r="C64" s="12">
        <v>0</v>
      </c>
      <c r="D64" s="12">
        <v>8100</v>
      </c>
      <c r="E64" s="12">
        <v>14700</v>
      </c>
      <c r="F64" s="12">
        <v>13700</v>
      </c>
      <c r="G64" s="12">
        <v>16600</v>
      </c>
      <c r="H64" s="12">
        <v>13400</v>
      </c>
      <c r="I64" s="44">
        <v>17300</v>
      </c>
      <c r="J64" s="12">
        <v>13600</v>
      </c>
      <c r="K64" s="12">
        <v>8100</v>
      </c>
      <c r="L64" s="12">
        <v>13300</v>
      </c>
      <c r="M64" s="12">
        <v>9200</v>
      </c>
      <c r="N64" s="44">
        <v>9600</v>
      </c>
      <c r="O64" s="12">
        <v>13700</v>
      </c>
      <c r="P64" s="12">
        <v>12300</v>
      </c>
      <c r="Q64" s="60">
        <v>11200</v>
      </c>
      <c r="R64" s="93">
        <f t="shared" si="1"/>
        <v>177200</v>
      </c>
    </row>
    <row r="65" spans="1:18" x14ac:dyDescent="0.15">
      <c r="A65" s="16" t="s">
        <v>63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10000</v>
      </c>
      <c r="H65" s="12">
        <v>0</v>
      </c>
      <c r="I65" s="44">
        <v>0</v>
      </c>
      <c r="J65" s="12">
        <v>0</v>
      </c>
      <c r="K65" s="12">
        <v>0</v>
      </c>
      <c r="L65" s="12">
        <v>0</v>
      </c>
      <c r="M65" s="12">
        <v>0</v>
      </c>
      <c r="N65" s="44">
        <v>0</v>
      </c>
      <c r="O65" s="12">
        <v>0</v>
      </c>
      <c r="P65" s="12">
        <v>0</v>
      </c>
      <c r="Q65" s="60">
        <v>0</v>
      </c>
      <c r="R65" s="93">
        <f t="shared" si="1"/>
        <v>10000</v>
      </c>
    </row>
    <row r="66" spans="1:18" x14ac:dyDescent="0.15">
      <c r="A66" s="16" t="s">
        <v>64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44">
        <v>0</v>
      </c>
      <c r="J66" s="12">
        <v>0</v>
      </c>
      <c r="K66" s="12">
        <v>0</v>
      </c>
      <c r="L66" s="12">
        <v>0</v>
      </c>
      <c r="M66" s="12">
        <v>0</v>
      </c>
      <c r="N66" s="44">
        <v>0</v>
      </c>
      <c r="O66" s="12">
        <v>0</v>
      </c>
      <c r="P66" s="12">
        <v>0</v>
      </c>
      <c r="Q66" s="60">
        <v>0</v>
      </c>
      <c r="R66" s="93">
        <f t="shared" si="1"/>
        <v>0</v>
      </c>
    </row>
    <row r="67" spans="1:18" x14ac:dyDescent="0.15">
      <c r="A67" s="16" t="s">
        <v>65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44">
        <v>0</v>
      </c>
      <c r="J67" s="12">
        <v>0</v>
      </c>
      <c r="K67" s="12">
        <v>0</v>
      </c>
      <c r="L67" s="12">
        <v>0</v>
      </c>
      <c r="M67" s="12">
        <v>0</v>
      </c>
      <c r="N67" s="44">
        <v>0</v>
      </c>
      <c r="O67" s="12">
        <v>0</v>
      </c>
      <c r="P67" s="12">
        <v>0</v>
      </c>
      <c r="Q67" s="60">
        <v>0</v>
      </c>
      <c r="R67" s="93">
        <f t="shared" si="1"/>
        <v>0</v>
      </c>
    </row>
    <row r="68" spans="1:18" ht="14.25" thickBot="1" x14ac:dyDescent="0.2">
      <c r="A68" s="32" t="s">
        <v>66</v>
      </c>
      <c r="B68" s="33">
        <v>6220</v>
      </c>
      <c r="C68" s="33">
        <v>5550</v>
      </c>
      <c r="D68" s="33">
        <v>15500</v>
      </c>
      <c r="E68" s="33">
        <v>23820</v>
      </c>
      <c r="F68" s="33">
        <v>22320</v>
      </c>
      <c r="G68" s="33">
        <v>38150</v>
      </c>
      <c r="H68" s="33">
        <v>22090</v>
      </c>
      <c r="I68" s="47">
        <v>30160</v>
      </c>
      <c r="J68" s="33">
        <v>22270</v>
      </c>
      <c r="K68" s="33">
        <v>14080</v>
      </c>
      <c r="L68" s="33">
        <v>21250</v>
      </c>
      <c r="M68" s="33">
        <v>17230</v>
      </c>
      <c r="N68" s="47">
        <v>15640</v>
      </c>
      <c r="O68" s="33">
        <v>23060</v>
      </c>
      <c r="P68" s="33">
        <v>19750</v>
      </c>
      <c r="Q68" s="63">
        <v>20050</v>
      </c>
      <c r="R68" s="96">
        <f t="shared" si="1"/>
        <v>317140</v>
      </c>
    </row>
    <row r="69" spans="1:18" ht="14.25" thickBot="1" x14ac:dyDescent="0.2">
      <c r="A69" s="34" t="s">
        <v>67</v>
      </c>
      <c r="B69" s="35">
        <v>55682</v>
      </c>
      <c r="C69" s="35">
        <v>42693</v>
      </c>
      <c r="D69" s="35">
        <v>61971</v>
      </c>
      <c r="E69" s="35">
        <v>73313</v>
      </c>
      <c r="F69" s="35">
        <v>74945</v>
      </c>
      <c r="G69" s="35">
        <v>90843</v>
      </c>
      <c r="H69" s="35">
        <v>74740</v>
      </c>
      <c r="I69" s="48">
        <v>88928</v>
      </c>
      <c r="J69" s="35">
        <v>71723</v>
      </c>
      <c r="K69" s="35">
        <v>60400</v>
      </c>
      <c r="L69" s="35">
        <v>67605</v>
      </c>
      <c r="M69" s="35">
        <v>66636</v>
      </c>
      <c r="N69" s="48">
        <v>58913</v>
      </c>
      <c r="O69" s="35">
        <v>69748</v>
      </c>
      <c r="P69" s="35">
        <v>66072</v>
      </c>
      <c r="Q69" s="64">
        <v>66482</v>
      </c>
      <c r="R69" s="97">
        <f t="shared" si="1"/>
        <v>1090694</v>
      </c>
    </row>
    <row r="70" spans="1:18" ht="14.25" thickBot="1" x14ac:dyDescent="0.2">
      <c r="A70" s="34" t="s">
        <v>68</v>
      </c>
      <c r="B70" s="35">
        <v>271536</v>
      </c>
      <c r="C70" s="35">
        <v>218169</v>
      </c>
      <c r="D70" s="35">
        <v>278327</v>
      </c>
      <c r="E70" s="35">
        <v>264272</v>
      </c>
      <c r="F70" s="35">
        <v>296625</v>
      </c>
      <c r="G70" s="35">
        <v>303394</v>
      </c>
      <c r="H70" s="35">
        <v>305136</v>
      </c>
      <c r="I70" s="48">
        <v>310526</v>
      </c>
      <c r="J70" s="35">
        <v>252534</v>
      </c>
      <c r="K70" s="35">
        <v>229683</v>
      </c>
      <c r="L70" s="35">
        <v>233959</v>
      </c>
      <c r="M70" s="35">
        <v>241937</v>
      </c>
      <c r="N70" s="48">
        <v>225360</v>
      </c>
      <c r="O70" s="35">
        <v>292953</v>
      </c>
      <c r="P70" s="35">
        <v>224657</v>
      </c>
      <c r="Q70" s="64">
        <v>260769</v>
      </c>
      <c r="R70" s="97">
        <f t="shared" si="1"/>
        <v>4209837</v>
      </c>
    </row>
    <row r="71" spans="1:18" x14ac:dyDescent="0.15">
      <c r="A71" s="29" t="s">
        <v>69</v>
      </c>
      <c r="B71" s="30">
        <v>0</v>
      </c>
      <c r="C71" s="30">
        <v>0</v>
      </c>
      <c r="D71" s="30">
        <v>0</v>
      </c>
      <c r="E71" s="30">
        <v>0</v>
      </c>
      <c r="F71" s="30">
        <v>0</v>
      </c>
      <c r="G71" s="30">
        <v>0</v>
      </c>
      <c r="H71" s="30">
        <v>0</v>
      </c>
      <c r="I71" s="46">
        <v>0</v>
      </c>
      <c r="J71" s="30">
        <v>0</v>
      </c>
      <c r="K71" s="30">
        <v>0</v>
      </c>
      <c r="L71" s="30">
        <v>0</v>
      </c>
      <c r="M71" s="30">
        <v>0</v>
      </c>
      <c r="N71" s="46">
        <v>0</v>
      </c>
      <c r="O71" s="30">
        <v>0</v>
      </c>
      <c r="P71" s="30">
        <v>0</v>
      </c>
      <c r="Q71" s="62">
        <v>0</v>
      </c>
      <c r="R71" s="95">
        <f t="shared" si="1"/>
        <v>0</v>
      </c>
    </row>
    <row r="72" spans="1:18" x14ac:dyDescent="0.15">
      <c r="A72" s="16" t="s">
        <v>70</v>
      </c>
      <c r="B72" s="12">
        <v>271536</v>
      </c>
      <c r="C72" s="12">
        <v>218169</v>
      </c>
      <c r="D72" s="12">
        <v>278327</v>
      </c>
      <c r="E72" s="12">
        <v>264272</v>
      </c>
      <c r="F72" s="12">
        <v>296625</v>
      </c>
      <c r="G72" s="12">
        <v>303394</v>
      </c>
      <c r="H72" s="12">
        <v>305136</v>
      </c>
      <c r="I72" s="44">
        <v>310526</v>
      </c>
      <c r="J72" s="12">
        <v>252534</v>
      </c>
      <c r="K72" s="12">
        <v>229683</v>
      </c>
      <c r="L72" s="12">
        <v>233959</v>
      </c>
      <c r="M72" s="12">
        <v>241937</v>
      </c>
      <c r="N72" s="44">
        <v>225360</v>
      </c>
      <c r="O72" s="12">
        <v>292953</v>
      </c>
      <c r="P72" s="12">
        <v>224657</v>
      </c>
      <c r="Q72" s="60">
        <v>260769</v>
      </c>
      <c r="R72" s="93">
        <f t="shared" si="1"/>
        <v>4209837</v>
      </c>
    </row>
    <row r="73" spans="1:18" x14ac:dyDescent="0.15">
      <c r="A73" s="16" t="s">
        <v>71</v>
      </c>
      <c r="B73" s="13">
        <v>11</v>
      </c>
      <c r="C73" s="13">
        <v>8</v>
      </c>
      <c r="D73" s="13">
        <v>30</v>
      </c>
      <c r="E73" s="13">
        <v>29</v>
      </c>
      <c r="F73" s="13">
        <v>35</v>
      </c>
      <c r="G73" s="13">
        <v>33</v>
      </c>
      <c r="H73" s="13">
        <v>24</v>
      </c>
      <c r="I73" s="49">
        <v>29</v>
      </c>
      <c r="J73" s="13">
        <v>32</v>
      </c>
      <c r="K73" s="13">
        <v>33</v>
      </c>
      <c r="L73" s="13">
        <v>14</v>
      </c>
      <c r="M73" s="13">
        <v>29</v>
      </c>
      <c r="N73" s="49">
        <v>5</v>
      </c>
      <c r="O73" s="13">
        <v>11</v>
      </c>
      <c r="P73" s="13">
        <v>17</v>
      </c>
      <c r="Q73" s="66">
        <v>8</v>
      </c>
      <c r="R73" s="98"/>
    </row>
    <row r="74" spans="1:18" x14ac:dyDescent="0.15">
      <c r="A74" s="16" t="s">
        <v>72</v>
      </c>
      <c r="B74" s="14">
        <v>3</v>
      </c>
      <c r="C74" s="14"/>
      <c r="D74" s="14">
        <v>1</v>
      </c>
      <c r="E74" s="14"/>
      <c r="F74" s="14">
        <v>1</v>
      </c>
      <c r="G74" s="14"/>
      <c r="H74" s="14">
        <v>1</v>
      </c>
      <c r="I74" s="50"/>
      <c r="J74" s="14"/>
      <c r="K74" s="14">
        <v>1</v>
      </c>
      <c r="L74" s="14"/>
      <c r="M74" s="14"/>
      <c r="N74" s="50"/>
      <c r="O74" s="14"/>
      <c r="P74" s="14"/>
      <c r="Q74" s="65"/>
      <c r="R74" s="99"/>
    </row>
    <row r="75" spans="1:18" ht="14.25" thickBot="1" x14ac:dyDescent="0.2">
      <c r="A75" s="17" t="s">
        <v>73</v>
      </c>
      <c r="B75" s="18" t="s">
        <v>74</v>
      </c>
      <c r="C75" s="18" t="s">
        <v>74</v>
      </c>
      <c r="D75" s="18" t="s">
        <v>74</v>
      </c>
      <c r="E75" s="18" t="s">
        <v>74</v>
      </c>
      <c r="F75" s="18" t="s">
        <v>74</v>
      </c>
      <c r="G75" s="18" t="s">
        <v>74</v>
      </c>
      <c r="H75" s="18" t="s">
        <v>74</v>
      </c>
      <c r="I75" s="51" t="s">
        <v>74</v>
      </c>
      <c r="J75" s="18" t="s">
        <v>74</v>
      </c>
      <c r="K75" s="18" t="s">
        <v>74</v>
      </c>
      <c r="L75" s="18" t="s">
        <v>74</v>
      </c>
      <c r="M75" s="18" t="s">
        <v>74</v>
      </c>
      <c r="N75" s="51" t="s">
        <v>74</v>
      </c>
      <c r="O75" s="18" t="s">
        <v>74</v>
      </c>
      <c r="P75" s="18" t="s">
        <v>74</v>
      </c>
      <c r="Q75" s="67" t="s">
        <v>74</v>
      </c>
      <c r="R75" s="100"/>
    </row>
  </sheetData>
  <phoneticPr fontId="1"/>
  <pageMargins left="0.43307086614173229" right="0.35433070866141736" top="0.51181102362204722" bottom="0.35433070866141736" header="0.19685039370078741" footer="0.27559055118110237"/>
  <pageSetup paperSize="12" scale="7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1頁 (3)</vt:lpstr>
      <vt:lpstr>1頁 (4)</vt:lpstr>
      <vt:lpstr>'1頁 (3)'!Print_Area</vt:lpstr>
      <vt:lpstr>'1頁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2021-01-13T06:05:27Z</cp:lastPrinted>
  <dcterms:created xsi:type="dcterms:W3CDTF">2011-10-11T01:59:58Z</dcterms:created>
  <dcterms:modified xsi:type="dcterms:W3CDTF">2021-01-13T06:47:47Z</dcterms:modified>
</cp:coreProperties>
</file>