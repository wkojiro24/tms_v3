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1\"/>
    </mc:Choice>
  </mc:AlternateContent>
  <xr:revisionPtr revIDLastSave="0" documentId="13_ncr:1_{A8FADCB5-2AA8-461A-89E7-247F1E4010D2}" xr6:coauthVersionLast="47" xr6:coauthVersionMax="47" xr10:uidLastSave="{00000000-0000-0000-0000-000000000000}"/>
  <bookViews>
    <workbookView xWindow="-120" yWindow="-120" windowWidth="20730" windowHeight="11160" xr2:uid="{059F9EAC-2878-470A-8B56-7F2A348BB516}"/>
  </bookViews>
  <sheets>
    <sheet name="2021年11月度給与 (3)" sheetId="4" r:id="rId1"/>
  </sheets>
  <definedNames>
    <definedName name="_xlnm.Print_Area" localSheetId="0">'2021年11月度給与 (3)'!$A$1:$M$57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4" l="1"/>
  <c r="M11" i="4"/>
  <c r="M12" i="4"/>
  <c r="M13" i="4"/>
  <c r="M15" i="4"/>
  <c r="M19" i="4"/>
  <c r="M23" i="4"/>
  <c r="M25" i="4"/>
  <c r="L27" i="4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36" i="4"/>
  <c r="M36" i="4" s="1"/>
  <c r="L37" i="4"/>
  <c r="M37" i="4" s="1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26" i="4"/>
  <c r="M26" i="4" s="1"/>
  <c r="L24" i="4"/>
  <c r="M24" i="4" s="1"/>
  <c r="L22" i="4"/>
  <c r="L21" i="4"/>
  <c r="L20" i="4"/>
  <c r="M20" i="4" s="1"/>
  <c r="L17" i="4"/>
  <c r="M17" i="4" s="1"/>
  <c r="L18" i="4"/>
  <c r="M18" i="4" s="1"/>
  <c r="L16" i="4"/>
  <c r="M16" i="4" s="1"/>
  <c r="L10" i="4"/>
  <c r="M10" i="4" s="1"/>
  <c r="L8" i="4"/>
  <c r="M8" i="4" s="1"/>
  <c r="L7" i="4"/>
  <c r="M7" i="4" s="1"/>
  <c r="L6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38" i="4"/>
  <c r="E27" i="4"/>
  <c r="E22" i="4"/>
  <c r="E21" i="4"/>
  <c r="E14" i="4"/>
  <c r="M14" i="4" s="1"/>
  <c r="E6" i="4"/>
  <c r="M6" i="4" l="1"/>
  <c r="M38" i="4"/>
  <c r="M22" i="4"/>
  <c r="M27" i="4"/>
  <c r="M54" i="4"/>
  <c r="M49" i="4"/>
  <c r="M43" i="4"/>
  <c r="M39" i="4"/>
  <c r="M53" i="4"/>
  <c r="M46" i="4"/>
  <c r="M42" i="4"/>
  <c r="M21" i="4"/>
  <c r="M52" i="4"/>
  <c r="M48" i="4"/>
  <c r="M45" i="4"/>
  <c r="M41" i="4"/>
  <c r="M55" i="4"/>
  <c r="M51" i="4"/>
  <c r="M50" i="4"/>
  <c r="M47" i="4"/>
  <c r="M44" i="4"/>
  <c r="M40" i="4"/>
</calcChain>
</file>

<file path=xl/sharedStrings.xml><?xml version="1.0" encoding="utf-8"?>
<sst xmlns="http://schemas.openxmlformats.org/spreadsheetml/2006/main" count="138" uniqueCount="77">
  <si>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</si>
  <si>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</si>
  <si>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</si>
  <si>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</si>
  <si>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</si>
  <si>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</si>
  <si>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</si>
  <si>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</si>
  <si>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1092</t>
    <phoneticPr fontId="4"/>
  </si>
  <si>
    <t>1097</t>
    <phoneticPr fontId="4"/>
  </si>
  <si>
    <t>1063</t>
    <phoneticPr fontId="4"/>
  </si>
  <si>
    <t>項目名</t>
    <phoneticPr fontId="4"/>
  </si>
  <si>
    <t>河村智春</t>
    <phoneticPr fontId="4"/>
  </si>
  <si>
    <t>赤﨑功幸</t>
    <phoneticPr fontId="4"/>
  </si>
  <si>
    <t>櫻木諭治</t>
    <phoneticPr fontId="4"/>
  </si>
  <si>
    <t>米澤敬</t>
    <phoneticPr fontId="4"/>
  </si>
  <si>
    <t>大賀勇也</t>
    <phoneticPr fontId="4"/>
  </si>
  <si>
    <t>西口真樹</t>
    <phoneticPr fontId="4"/>
  </si>
  <si>
    <t>新田竜二</t>
    <phoneticPr fontId="4"/>
  </si>
  <si>
    <t>木下知美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</si>
  <si>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</si>
  <si>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</si>
  <si>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</si>
  <si>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</si>
  <si>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</si>
  <si>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</si>
  <si>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</si>
  <si>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</si>
  <si>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</si>
  <si>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</si>
  <si>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</si>
  <si>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</si>
  <si>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</si>
  <si>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</si>
  <si>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</si>
  <si>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</si>
  <si>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</si>
  <si>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</si>
  <si>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</si>
  <si>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</si>
  <si>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</si>
  <si>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</si>
  <si>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</si>
  <si>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</si>
  <si>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</si>
  <si>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</si>
  <si>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</si>
  <si>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</si>
  <si>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</si>
  <si>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</si>
  <si>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</si>
  <si>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</si>
  <si>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</si>
  <si>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</si>
  <si>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</si>
  <si>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</si>
  <si>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</si>
  <si>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</si>
  <si>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</si>
  <si>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</si>
  <si>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</si>
  <si>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</si>
  <si>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</si>
  <si>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</si>
  <si>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</si>
  <si>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</si>
  <si>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</si>
  <si>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</si>
  <si>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</si>
  <si>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</si>
  <si>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</si>
  <si>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</si>
  <si>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2021年11月度給与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</si>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</sst>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7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26" xfId="1" applyNumberFormat="1" applyFont="1" applyBorder="1"/>
    <xf numFmtId="49" fontId="2" fillId="0" borderId="32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5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D0AF78A2-56A0-4CE2-AF31-F44AD5CFF0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99E1-E368-4C74-9864-2431B0F0FCF6}">
  <sheetPr>
    <pageSetUpPr fitToPage="1"/>
  </sheetPr>
  <dimension ref="A1:O57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0.375" style="2" customWidth="1"/>
    <col min="14" max="258" width="9" style="2"/>
    <col min="259" max="259" width="2.375" style="2" customWidth="1"/>
    <col min="260" max="260" width="13.25" style="2" bestFit="1" customWidth="1"/>
    <col min="261" max="263" width="9" style="2"/>
    <col min="264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9" width="9" style="2"/>
    <col min="520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5" width="9" style="2"/>
    <col min="776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1" width="9" style="2"/>
    <col min="1032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7" width="9" style="2"/>
    <col min="1288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3" width="9" style="2"/>
    <col min="1544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9" width="9" style="2"/>
    <col min="1800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5" width="9" style="2"/>
    <col min="2056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1" width="9" style="2"/>
    <col min="2312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7" width="9" style="2"/>
    <col min="2568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3" width="9" style="2"/>
    <col min="2824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9" width="9" style="2"/>
    <col min="3080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5" width="9" style="2"/>
    <col min="3336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1" width="9" style="2"/>
    <col min="3592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7" width="9" style="2"/>
    <col min="3848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3" width="9" style="2"/>
    <col min="4104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9" width="9" style="2"/>
    <col min="4360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5" width="9" style="2"/>
    <col min="4616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1" width="9" style="2"/>
    <col min="4872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7" width="9" style="2"/>
    <col min="5128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3" width="9" style="2"/>
    <col min="5384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9" width="9" style="2"/>
    <col min="5640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5" width="9" style="2"/>
    <col min="5896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1" width="9" style="2"/>
    <col min="6152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7" width="9" style="2"/>
    <col min="6408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3" width="9" style="2"/>
    <col min="6664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9" width="9" style="2"/>
    <col min="6920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5" width="9" style="2"/>
    <col min="7176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1" width="9" style="2"/>
    <col min="7432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7" width="9" style="2"/>
    <col min="7688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3" width="9" style="2"/>
    <col min="7944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9" width="9" style="2"/>
    <col min="8200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5" width="9" style="2"/>
    <col min="8456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1" width="9" style="2"/>
    <col min="8712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7" width="9" style="2"/>
    <col min="8968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3" width="9" style="2"/>
    <col min="9224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9" width="9" style="2"/>
    <col min="9480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5" width="9" style="2"/>
    <col min="9736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1" width="9" style="2"/>
    <col min="9992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7" width="9" style="2"/>
    <col min="10248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3" width="9" style="2"/>
    <col min="10504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9" width="9" style="2"/>
    <col min="10760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5" width="9" style="2"/>
    <col min="11016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1" width="9" style="2"/>
    <col min="11272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7" width="9" style="2"/>
    <col min="11528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3" width="9" style="2"/>
    <col min="11784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9" width="9" style="2"/>
    <col min="12040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5" width="9" style="2"/>
    <col min="12296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1" width="9" style="2"/>
    <col min="12552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7" width="9" style="2"/>
    <col min="12808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3" width="9" style="2"/>
    <col min="13064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9" width="9" style="2"/>
    <col min="13320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5" width="9" style="2"/>
    <col min="13576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1" width="9" style="2"/>
    <col min="13832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7" width="9" style="2"/>
    <col min="14088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3" width="9" style="2"/>
    <col min="14344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9" width="9" style="2"/>
    <col min="14600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5" width="9" style="2"/>
    <col min="14856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1" width="9" style="2"/>
    <col min="15112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7" width="9" style="2"/>
    <col min="15368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3" width="9" style="2"/>
    <col min="15624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9" width="9" style="2"/>
    <col min="15880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5" width="9" style="2"/>
    <col min="16136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72</v>
      </c>
    </row>
    <row r="4" spans="1:15">
      <c r="B4" s="3"/>
      <c r="C4" s="7" t="s">
        <v>4</v>
      </c>
      <c r="D4" s="8" t="s">
        <v>10</v>
      </c>
      <c r="E4" s="49" t="s">
        <v>73</v>
      </c>
      <c r="F4" s="6" t="s">
        <v>3</v>
      </c>
      <c r="G4" s="7" t="s">
        <v>5</v>
      </c>
      <c r="H4" s="7" t="s">
        <v>6</v>
      </c>
      <c r="I4" s="7" t="s">
        <v>7</v>
      </c>
      <c r="J4" s="7" t="s">
        <v>8</v>
      </c>
      <c r="K4" s="51" t="s">
        <v>9</v>
      </c>
      <c r="L4" s="62" t="s">
        <v>73</v>
      </c>
      <c r="M4" s="63" t="s">
        <v>20</v>
      </c>
    </row>
    <row r="5" spans="1:15" ht="19.5" thickBot="1">
      <c r="A5" s="75"/>
      <c r="B5" s="25" t="s">
        <v>11</v>
      </c>
      <c r="C5" s="27" t="s">
        <v>13</v>
      </c>
      <c r="D5" s="28" t="s">
        <v>19</v>
      </c>
      <c r="E5" s="50" t="s">
        <v>74</v>
      </c>
      <c r="F5" s="26" t="s">
        <v>12</v>
      </c>
      <c r="G5" s="27" t="s">
        <v>14</v>
      </c>
      <c r="H5" s="27" t="s">
        <v>15</v>
      </c>
      <c r="I5" s="27" t="s">
        <v>16</v>
      </c>
      <c r="J5" s="27" t="s">
        <v>17</v>
      </c>
      <c r="K5" s="52" t="s">
        <v>18</v>
      </c>
      <c r="L5" s="64" t="s">
        <v>75</v>
      </c>
      <c r="M5" s="65" t="s">
        <v>76</v>
      </c>
    </row>
    <row r="6" spans="1:15">
      <c r="A6" s="1" t="s">
        <v>2</v>
      </c>
      <c r="B6" s="21" t="s">
        <v>21</v>
      </c>
      <c r="C6" s="23">
        <v>21</v>
      </c>
      <c r="D6" s="24">
        <v>18</v>
      </c>
      <c r="E6" s="43">
        <f>SUM(C6:D6)</f>
        <v>39</v>
      </c>
      <c r="F6" s="22">
        <v>20</v>
      </c>
      <c r="G6" s="23">
        <v>21</v>
      </c>
      <c r="H6" s="23">
        <v>21</v>
      </c>
      <c r="I6" s="23">
        <v>21</v>
      </c>
      <c r="J6" s="23">
        <v>11</v>
      </c>
      <c r="K6" s="53">
        <v>20</v>
      </c>
      <c r="L6" s="66">
        <f>SUM(F6:K6)</f>
        <v>114</v>
      </c>
      <c r="M6" s="66">
        <f>E6+L6</f>
        <v>153</v>
      </c>
      <c r="O6"/>
    </row>
    <row r="7" spans="1:15">
      <c r="A7" s="1" t="s">
        <v>2</v>
      </c>
      <c r="B7" s="4" t="s">
        <v>22</v>
      </c>
      <c r="C7" s="10">
        <v>0</v>
      </c>
      <c r="D7" s="11">
        <v>0</v>
      </c>
      <c r="E7" s="44"/>
      <c r="F7" s="9">
        <v>2</v>
      </c>
      <c r="G7" s="10">
        <v>3</v>
      </c>
      <c r="H7" s="10">
        <v>2</v>
      </c>
      <c r="I7" s="10">
        <v>2</v>
      </c>
      <c r="J7" s="10">
        <v>0</v>
      </c>
      <c r="K7" s="54">
        <v>2</v>
      </c>
      <c r="L7" s="67">
        <f>SUM(F7:K7)</f>
        <v>11</v>
      </c>
      <c r="M7" s="67">
        <f t="shared" ref="M7:M48" si="0">E7+L7</f>
        <v>11</v>
      </c>
      <c r="O7"/>
    </row>
    <row r="8" spans="1:15">
      <c r="A8" s="1" t="s">
        <v>2</v>
      </c>
      <c r="B8" s="4" t="s">
        <v>23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10">
        <v>0</v>
      </c>
      <c r="J8" s="10">
        <v>1</v>
      </c>
      <c r="K8" s="54">
        <v>2</v>
      </c>
      <c r="L8" s="67">
        <f>SUM(F8:K8)</f>
        <v>3</v>
      </c>
      <c r="M8" s="67">
        <f t="shared" si="0"/>
        <v>3</v>
      </c>
      <c r="O8"/>
    </row>
    <row r="9" spans="1:15">
      <c r="A9" s="1" t="s">
        <v>2</v>
      </c>
      <c r="B9" s="4" t="s">
        <v>24</v>
      </c>
      <c r="C9" s="10">
        <v>0</v>
      </c>
      <c r="D9" s="11">
        <v>0</v>
      </c>
      <c r="E9" s="4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4">
        <v>0</v>
      </c>
      <c r="L9" s="67"/>
      <c r="M9" s="67">
        <f t="shared" si="0"/>
        <v>0</v>
      </c>
      <c r="O9"/>
    </row>
    <row r="10" spans="1:15">
      <c r="A10" s="1" t="s">
        <v>2</v>
      </c>
      <c r="B10" s="4" t="s">
        <v>25</v>
      </c>
      <c r="C10" s="10">
        <v>0</v>
      </c>
      <c r="D10" s="11">
        <v>0</v>
      </c>
      <c r="E10" s="44"/>
      <c r="F10" s="9">
        <v>1</v>
      </c>
      <c r="G10" s="10">
        <v>0</v>
      </c>
      <c r="H10" s="10">
        <v>0</v>
      </c>
      <c r="I10" s="10">
        <v>0</v>
      </c>
      <c r="J10" s="10">
        <v>10</v>
      </c>
      <c r="K10" s="54">
        <v>1</v>
      </c>
      <c r="L10" s="67">
        <f>SUM(F10:K10)</f>
        <v>12</v>
      </c>
      <c r="M10" s="67">
        <f t="shared" si="0"/>
        <v>12</v>
      </c>
      <c r="O10"/>
    </row>
    <row r="11" spans="1:15">
      <c r="A11" s="1" t="s">
        <v>2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4">
        <v>0</v>
      </c>
      <c r="L11" s="67"/>
      <c r="M11" s="67">
        <f t="shared" si="0"/>
        <v>0</v>
      </c>
      <c r="O11"/>
    </row>
    <row r="12" spans="1:15">
      <c r="A12" s="1" t="s">
        <v>2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4">
        <v>0</v>
      </c>
      <c r="L12" s="67"/>
      <c r="M12" s="67">
        <f t="shared" si="0"/>
        <v>0</v>
      </c>
      <c r="O12"/>
    </row>
    <row r="13" spans="1:15">
      <c r="A13" s="1" t="s">
        <v>2</v>
      </c>
      <c r="B13" s="4" t="s">
        <v>28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4">
        <v>0</v>
      </c>
      <c r="L13" s="67"/>
      <c r="M13" s="67">
        <f t="shared" si="0"/>
        <v>0</v>
      </c>
      <c r="O13"/>
    </row>
    <row r="14" spans="1:15">
      <c r="A14" s="1" t="s">
        <v>2</v>
      </c>
      <c r="B14" s="4" t="s">
        <v>29</v>
      </c>
      <c r="C14" s="13">
        <v>0</v>
      </c>
      <c r="D14" s="14">
        <v>3.75</v>
      </c>
      <c r="E14" s="45">
        <f>SUM(C14:D14)</f>
        <v>3.75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5">
        <v>0</v>
      </c>
      <c r="L14" s="68"/>
      <c r="M14" s="68">
        <f t="shared" si="0"/>
        <v>3.75</v>
      </c>
      <c r="O14"/>
    </row>
    <row r="15" spans="1:15">
      <c r="A15" s="1" t="s">
        <v>2</v>
      </c>
      <c r="B15" s="4" t="s">
        <v>30</v>
      </c>
      <c r="C15" s="13">
        <v>0</v>
      </c>
      <c r="D15" s="14">
        <v>0</v>
      </c>
      <c r="E15" s="45"/>
      <c r="F15" s="12">
        <v>0</v>
      </c>
      <c r="G15" s="13">
        <v>0</v>
      </c>
      <c r="H15" s="13">
        <v>0</v>
      </c>
      <c r="I15" s="13">
        <v>0</v>
      </c>
      <c r="J15" s="13">
        <v>0</v>
      </c>
      <c r="K15" s="55">
        <v>0</v>
      </c>
      <c r="L15" s="68"/>
      <c r="M15" s="68">
        <f t="shared" si="0"/>
        <v>0</v>
      </c>
      <c r="O15"/>
    </row>
    <row r="16" spans="1:15">
      <c r="A16" s="1" t="s">
        <v>2</v>
      </c>
      <c r="B16" s="4" t="s">
        <v>31</v>
      </c>
      <c r="C16" s="13">
        <v>0</v>
      </c>
      <c r="D16" s="14">
        <v>0</v>
      </c>
      <c r="E16" s="45"/>
      <c r="F16" s="12">
        <v>0.91666666666666663</v>
      </c>
      <c r="G16" s="13">
        <v>1</v>
      </c>
      <c r="H16" s="13">
        <v>1.6666666666666665</v>
      </c>
      <c r="I16" s="13">
        <v>1.375</v>
      </c>
      <c r="J16" s="13">
        <v>0.75</v>
      </c>
      <c r="K16" s="55">
        <v>1.5833333333333335</v>
      </c>
      <c r="L16" s="68">
        <f>SUM(F16:K16)</f>
        <v>7.2916666666666661</v>
      </c>
      <c r="M16" s="68">
        <f t="shared" si="0"/>
        <v>7.2916666666666661</v>
      </c>
      <c r="O16"/>
    </row>
    <row r="17" spans="1:15">
      <c r="A17" s="1" t="s">
        <v>2</v>
      </c>
      <c r="B17" s="4" t="s">
        <v>32</v>
      </c>
      <c r="C17" s="13">
        <v>0</v>
      </c>
      <c r="D17" s="14">
        <v>0</v>
      </c>
      <c r="E17" s="45"/>
      <c r="F17" s="12">
        <v>0.79166666666666663</v>
      </c>
      <c r="G17" s="13">
        <v>1.0833333333333333</v>
      </c>
      <c r="H17" s="13">
        <v>0.75</v>
      </c>
      <c r="I17" s="13">
        <v>0.79166666666666663</v>
      </c>
      <c r="J17" s="13">
        <v>0</v>
      </c>
      <c r="K17" s="55">
        <v>0.875</v>
      </c>
      <c r="L17" s="68">
        <f t="shared" ref="L17:L18" si="1">SUM(F17:K17)</f>
        <v>4.2916666666666661</v>
      </c>
      <c r="M17" s="68">
        <f t="shared" si="0"/>
        <v>4.2916666666666661</v>
      </c>
      <c r="O17"/>
    </row>
    <row r="18" spans="1:15">
      <c r="A18" s="1" t="s">
        <v>2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0.33333333333333331</v>
      </c>
      <c r="K18" s="55">
        <v>0.66666666666666663</v>
      </c>
      <c r="L18" s="68">
        <f t="shared" si="1"/>
        <v>1</v>
      </c>
      <c r="M18" s="68">
        <f t="shared" si="0"/>
        <v>1</v>
      </c>
      <c r="O18"/>
    </row>
    <row r="19" spans="1:15">
      <c r="A19" s="1" t="s">
        <v>2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5">
        <v>0</v>
      </c>
      <c r="L19" s="68"/>
      <c r="M19" s="68">
        <f t="shared" si="0"/>
        <v>0</v>
      </c>
      <c r="O19"/>
    </row>
    <row r="20" spans="1:15">
      <c r="A20" s="1" t="s">
        <v>2</v>
      </c>
      <c r="B20" s="4" t="s">
        <v>35</v>
      </c>
      <c r="C20" s="13">
        <v>0</v>
      </c>
      <c r="D20" s="14">
        <v>0</v>
      </c>
      <c r="E20" s="45"/>
      <c r="F20" s="12">
        <v>0.125</v>
      </c>
      <c r="G20" s="13">
        <v>8.3333333333333329E-2</v>
      </c>
      <c r="H20" s="13">
        <v>8.3333333333333329E-2</v>
      </c>
      <c r="I20" s="13">
        <v>4.1666666666666664E-2</v>
      </c>
      <c r="J20" s="13">
        <v>4.1666666666666664E-2</v>
      </c>
      <c r="K20" s="55">
        <v>0</v>
      </c>
      <c r="L20" s="68">
        <f>SUM(F20:K20)</f>
        <v>0.375</v>
      </c>
      <c r="M20" s="68">
        <f t="shared" si="0"/>
        <v>0.375</v>
      </c>
      <c r="O20"/>
    </row>
    <row r="21" spans="1:15" ht="19.5" thickBot="1">
      <c r="A21" s="1" t="s">
        <v>2</v>
      </c>
      <c r="B21" s="5" t="s">
        <v>36</v>
      </c>
      <c r="C21" s="33">
        <v>25</v>
      </c>
      <c r="D21" s="34">
        <v>17</v>
      </c>
      <c r="E21" s="46">
        <f>SUM(C21:D21)</f>
        <v>42</v>
      </c>
      <c r="F21" s="32">
        <v>7</v>
      </c>
      <c r="G21" s="33">
        <v>8</v>
      </c>
      <c r="H21" s="33">
        <v>15</v>
      </c>
      <c r="I21" s="33">
        <v>20</v>
      </c>
      <c r="J21" s="33">
        <v>2</v>
      </c>
      <c r="K21" s="56">
        <v>9</v>
      </c>
      <c r="L21" s="69">
        <f>SUM(F21:K21)</f>
        <v>61</v>
      </c>
      <c r="M21" s="69">
        <f t="shared" si="0"/>
        <v>103</v>
      </c>
      <c r="O21"/>
    </row>
    <row r="22" spans="1:15">
      <c r="A22" s="1" t="s">
        <v>2</v>
      </c>
      <c r="B22" s="21" t="s">
        <v>37</v>
      </c>
      <c r="C22" s="30">
        <v>365000</v>
      </c>
      <c r="D22" s="31">
        <v>0</v>
      </c>
      <c r="E22" s="47">
        <f>SUM(C22:D22)</f>
        <v>365000</v>
      </c>
      <c r="F22" s="29">
        <v>187000</v>
      </c>
      <c r="G22" s="30">
        <v>187000</v>
      </c>
      <c r="H22" s="30">
        <v>182000</v>
      </c>
      <c r="I22" s="30">
        <v>187000</v>
      </c>
      <c r="J22" s="30">
        <v>177000</v>
      </c>
      <c r="K22" s="57">
        <v>170000</v>
      </c>
      <c r="L22" s="70">
        <f>SUM(F22:K22)</f>
        <v>1090000</v>
      </c>
      <c r="M22" s="70">
        <f t="shared" si="0"/>
        <v>1455000</v>
      </c>
      <c r="O22"/>
    </row>
    <row r="23" spans="1:15">
      <c r="A23" s="1" t="s">
        <v>2</v>
      </c>
      <c r="B23" s="4" t="s">
        <v>38</v>
      </c>
      <c r="C23" s="16">
        <v>0</v>
      </c>
      <c r="D23" s="17">
        <v>0</v>
      </c>
      <c r="E23" s="48"/>
      <c r="F23" s="15">
        <v>0</v>
      </c>
      <c r="G23" s="16">
        <v>0</v>
      </c>
      <c r="H23" s="16">
        <v>0</v>
      </c>
      <c r="I23" s="16">
        <v>0</v>
      </c>
      <c r="J23" s="16">
        <v>0</v>
      </c>
      <c r="K23" s="58">
        <v>0</v>
      </c>
      <c r="L23" s="71"/>
      <c r="M23" s="71">
        <f t="shared" si="0"/>
        <v>0</v>
      </c>
      <c r="O23"/>
    </row>
    <row r="24" spans="1:15">
      <c r="A24" s="1" t="s">
        <v>2</v>
      </c>
      <c r="B24" s="4" t="s">
        <v>39</v>
      </c>
      <c r="C24" s="16">
        <v>0</v>
      </c>
      <c r="D24" s="17">
        <v>0</v>
      </c>
      <c r="E24" s="48"/>
      <c r="F24" s="15">
        <v>0</v>
      </c>
      <c r="G24" s="16">
        <v>0</v>
      </c>
      <c r="H24" s="16">
        <v>6000</v>
      </c>
      <c r="I24" s="16">
        <v>0</v>
      </c>
      <c r="J24" s="16">
        <v>0</v>
      </c>
      <c r="K24" s="58">
        <v>0</v>
      </c>
      <c r="L24" s="71">
        <f>SUM(F24:K24)</f>
        <v>6000</v>
      </c>
      <c r="M24" s="71">
        <f t="shared" si="0"/>
        <v>6000</v>
      </c>
      <c r="O24"/>
    </row>
    <row r="25" spans="1:15">
      <c r="A25" s="1" t="s">
        <v>2</v>
      </c>
      <c r="B25" s="4" t="s">
        <v>40</v>
      </c>
      <c r="C25" s="16">
        <v>0</v>
      </c>
      <c r="D25" s="17">
        <v>0</v>
      </c>
      <c r="E25" s="48"/>
      <c r="F25" s="15">
        <v>0</v>
      </c>
      <c r="G25" s="16">
        <v>0</v>
      </c>
      <c r="H25" s="16">
        <v>0</v>
      </c>
      <c r="I25" s="16">
        <v>0</v>
      </c>
      <c r="J25" s="16">
        <v>0</v>
      </c>
      <c r="K25" s="58">
        <v>0</v>
      </c>
      <c r="L25" s="71"/>
      <c r="M25" s="71">
        <f t="shared" si="0"/>
        <v>0</v>
      </c>
      <c r="O25"/>
    </row>
    <row r="26" spans="1:15">
      <c r="A26" s="1" t="s">
        <v>2</v>
      </c>
      <c r="B26" s="4" t="s">
        <v>41</v>
      </c>
      <c r="C26" s="16">
        <v>0</v>
      </c>
      <c r="D26" s="17">
        <v>0</v>
      </c>
      <c r="E26" s="48"/>
      <c r="F26" s="15">
        <v>65624</v>
      </c>
      <c r="G26" s="16">
        <v>62808</v>
      </c>
      <c r="H26" s="16">
        <v>43648</v>
      </c>
      <c r="I26" s="16">
        <v>50136</v>
      </c>
      <c r="J26" s="16">
        <v>55650</v>
      </c>
      <c r="K26" s="58">
        <v>28006</v>
      </c>
      <c r="L26" s="71">
        <f>SUM(F26:K26)</f>
        <v>305872</v>
      </c>
      <c r="M26" s="71">
        <f t="shared" si="0"/>
        <v>305872</v>
      </c>
      <c r="O26"/>
    </row>
    <row r="27" spans="1:15">
      <c r="A27" s="1" t="s">
        <v>2</v>
      </c>
      <c r="B27" s="4" t="s">
        <v>42</v>
      </c>
      <c r="C27" s="16">
        <v>0</v>
      </c>
      <c r="D27" s="17">
        <v>83250</v>
      </c>
      <c r="E27" s="17">
        <f>SUM(C27:D27)</f>
        <v>83250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58">
        <v>0</v>
      </c>
      <c r="L27" s="71">
        <f t="shared" ref="L27:L55" si="2">SUM(F27:K27)</f>
        <v>0</v>
      </c>
      <c r="M27" s="71">
        <f t="shared" si="0"/>
        <v>83250</v>
      </c>
      <c r="O27"/>
    </row>
    <row r="28" spans="1:15">
      <c r="A28" s="1" t="s">
        <v>2</v>
      </c>
      <c r="B28" s="4" t="s">
        <v>43</v>
      </c>
      <c r="C28" s="16">
        <v>0</v>
      </c>
      <c r="D28" s="17">
        <v>0</v>
      </c>
      <c r="E28" s="17"/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8">
        <v>0</v>
      </c>
      <c r="L28" s="71">
        <f t="shared" si="2"/>
        <v>0</v>
      </c>
      <c r="M28" s="71">
        <f t="shared" si="0"/>
        <v>0</v>
      </c>
      <c r="O28"/>
    </row>
    <row r="29" spans="1:15">
      <c r="A29" s="1" t="s">
        <v>2</v>
      </c>
      <c r="B29" s="4" t="s">
        <v>44</v>
      </c>
      <c r="C29" s="16">
        <v>0</v>
      </c>
      <c r="D29" s="17">
        <v>0</v>
      </c>
      <c r="E29" s="17"/>
      <c r="F29" s="15">
        <v>1000</v>
      </c>
      <c r="G29" s="16">
        <v>1000</v>
      </c>
      <c r="H29" s="16">
        <v>0</v>
      </c>
      <c r="I29" s="16">
        <v>1000</v>
      </c>
      <c r="J29" s="16">
        <v>0</v>
      </c>
      <c r="K29" s="58">
        <v>0</v>
      </c>
      <c r="L29" s="71">
        <f t="shared" si="2"/>
        <v>3000</v>
      </c>
      <c r="M29" s="71">
        <f t="shared" si="0"/>
        <v>3000</v>
      </c>
      <c r="O29"/>
    </row>
    <row r="30" spans="1:15">
      <c r="A30" s="1" t="s">
        <v>2</v>
      </c>
      <c r="B30" s="4" t="s">
        <v>45</v>
      </c>
      <c r="C30" s="16">
        <v>0</v>
      </c>
      <c r="D30" s="17">
        <v>0</v>
      </c>
      <c r="E30" s="17"/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8">
        <v>0</v>
      </c>
      <c r="L30" s="71">
        <f t="shared" si="2"/>
        <v>0</v>
      </c>
      <c r="M30" s="71">
        <f t="shared" si="0"/>
        <v>0</v>
      </c>
      <c r="O30"/>
    </row>
    <row r="31" spans="1:15">
      <c r="A31" s="1" t="s">
        <v>2</v>
      </c>
      <c r="B31" s="4" t="s">
        <v>46</v>
      </c>
      <c r="C31" s="16">
        <v>0</v>
      </c>
      <c r="D31" s="17">
        <v>0</v>
      </c>
      <c r="E31" s="17"/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8">
        <v>0</v>
      </c>
      <c r="L31" s="71">
        <f t="shared" si="2"/>
        <v>0</v>
      </c>
      <c r="M31" s="71">
        <f t="shared" si="0"/>
        <v>0</v>
      </c>
      <c r="O31"/>
    </row>
    <row r="32" spans="1:15">
      <c r="A32" s="1" t="s">
        <v>2</v>
      </c>
      <c r="B32" s="4" t="s">
        <v>47</v>
      </c>
      <c r="C32" s="16">
        <v>0</v>
      </c>
      <c r="D32" s="17">
        <v>0</v>
      </c>
      <c r="E32" s="17"/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8">
        <v>0</v>
      </c>
      <c r="L32" s="71">
        <f t="shared" si="2"/>
        <v>0</v>
      </c>
      <c r="M32" s="71">
        <f t="shared" si="0"/>
        <v>0</v>
      </c>
      <c r="O32"/>
    </row>
    <row r="33" spans="1:15">
      <c r="A33" s="1" t="s">
        <v>2</v>
      </c>
      <c r="B33" s="4" t="s">
        <v>31</v>
      </c>
      <c r="C33" s="16">
        <v>0</v>
      </c>
      <c r="D33" s="17">
        <v>0</v>
      </c>
      <c r="E33" s="17"/>
      <c r="F33" s="15">
        <v>30976</v>
      </c>
      <c r="G33" s="16">
        <v>33792</v>
      </c>
      <c r="H33" s="16">
        <v>56320</v>
      </c>
      <c r="I33" s="16">
        <v>46464</v>
      </c>
      <c r="J33" s="16">
        <v>23850</v>
      </c>
      <c r="K33" s="58">
        <v>48374</v>
      </c>
      <c r="L33" s="71">
        <f t="shared" si="2"/>
        <v>239776</v>
      </c>
      <c r="M33" s="71">
        <f t="shared" si="0"/>
        <v>239776</v>
      </c>
      <c r="O33"/>
    </row>
    <row r="34" spans="1:15">
      <c r="A34" s="1" t="s">
        <v>2</v>
      </c>
      <c r="B34" s="4" t="s">
        <v>48</v>
      </c>
      <c r="C34" s="16">
        <v>0</v>
      </c>
      <c r="D34" s="17">
        <v>0</v>
      </c>
      <c r="E34" s="17"/>
      <c r="F34" s="15">
        <v>28880</v>
      </c>
      <c r="G34" s="16">
        <v>39520</v>
      </c>
      <c r="H34" s="16">
        <v>27360</v>
      </c>
      <c r="I34" s="16">
        <v>28880</v>
      </c>
      <c r="J34" s="16">
        <v>0</v>
      </c>
      <c r="K34" s="58">
        <v>28854</v>
      </c>
      <c r="L34" s="71">
        <f t="shared" si="2"/>
        <v>153494</v>
      </c>
      <c r="M34" s="71">
        <f t="shared" si="0"/>
        <v>153494</v>
      </c>
      <c r="O34"/>
    </row>
    <row r="35" spans="1:15">
      <c r="A35" s="1" t="s">
        <v>2</v>
      </c>
      <c r="B35" s="4" t="s">
        <v>49</v>
      </c>
      <c r="C35" s="16">
        <v>0</v>
      </c>
      <c r="D35" s="17">
        <v>0</v>
      </c>
      <c r="E35" s="17"/>
      <c r="F35" s="15">
        <v>0</v>
      </c>
      <c r="G35" s="16">
        <v>0</v>
      </c>
      <c r="H35" s="16">
        <v>0</v>
      </c>
      <c r="I35" s="16">
        <v>0</v>
      </c>
      <c r="J35" s="16">
        <v>11448</v>
      </c>
      <c r="K35" s="58">
        <v>21984</v>
      </c>
      <c r="L35" s="71">
        <f t="shared" si="2"/>
        <v>33432</v>
      </c>
      <c r="M35" s="71">
        <f t="shared" si="0"/>
        <v>33432</v>
      </c>
      <c r="O35"/>
    </row>
    <row r="36" spans="1:15">
      <c r="A36" s="1" t="s">
        <v>2</v>
      </c>
      <c r="B36" s="4" t="s">
        <v>50</v>
      </c>
      <c r="C36" s="16">
        <v>0</v>
      </c>
      <c r="D36" s="17">
        <v>0</v>
      </c>
      <c r="E36" s="17"/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8">
        <v>0</v>
      </c>
      <c r="L36" s="71">
        <f t="shared" si="2"/>
        <v>0</v>
      </c>
      <c r="M36" s="71">
        <f t="shared" si="0"/>
        <v>0</v>
      </c>
      <c r="O36"/>
    </row>
    <row r="37" spans="1:15" ht="19.5" thickBot="1">
      <c r="A37" s="1" t="s">
        <v>2</v>
      </c>
      <c r="B37" s="35" t="s">
        <v>35</v>
      </c>
      <c r="C37" s="37">
        <v>0</v>
      </c>
      <c r="D37" s="38">
        <v>0</v>
      </c>
      <c r="E37" s="38"/>
      <c r="F37" s="36">
        <v>846</v>
      </c>
      <c r="G37" s="37">
        <v>564</v>
      </c>
      <c r="H37" s="37">
        <v>564</v>
      </c>
      <c r="I37" s="37">
        <v>282</v>
      </c>
      <c r="J37" s="37">
        <v>265</v>
      </c>
      <c r="K37" s="59">
        <v>0</v>
      </c>
      <c r="L37" s="72">
        <f t="shared" si="2"/>
        <v>2521</v>
      </c>
      <c r="M37" s="72">
        <f t="shared" si="0"/>
        <v>2521</v>
      </c>
      <c r="O37"/>
    </row>
    <row r="38" spans="1:15" ht="19.5" thickBot="1">
      <c r="A38" s="1" t="s">
        <v>2</v>
      </c>
      <c r="B38" s="39" t="s">
        <v>51</v>
      </c>
      <c r="C38" s="41">
        <v>365000</v>
      </c>
      <c r="D38" s="42">
        <v>83250</v>
      </c>
      <c r="E38" s="42">
        <f>SUM(C38:D38)</f>
        <v>448250</v>
      </c>
      <c r="F38" s="40">
        <v>314326</v>
      </c>
      <c r="G38" s="41">
        <v>324684</v>
      </c>
      <c r="H38" s="41">
        <v>315892</v>
      </c>
      <c r="I38" s="41">
        <v>313762</v>
      </c>
      <c r="J38" s="41">
        <v>268213</v>
      </c>
      <c r="K38" s="60">
        <v>297218</v>
      </c>
      <c r="L38" s="73">
        <f t="shared" si="2"/>
        <v>1834095</v>
      </c>
      <c r="M38" s="73">
        <f t="shared" si="0"/>
        <v>2282345</v>
      </c>
      <c r="O38"/>
    </row>
    <row r="39" spans="1:15">
      <c r="A39" s="1" t="s">
        <v>2</v>
      </c>
      <c r="B39" s="21" t="s">
        <v>52</v>
      </c>
      <c r="C39" s="30">
        <v>4597</v>
      </c>
      <c r="D39" s="31">
        <v>3017</v>
      </c>
      <c r="E39" s="31">
        <f t="shared" ref="E39:E55" si="3">SUM(C39:D39)</f>
        <v>7614</v>
      </c>
      <c r="F39" s="29">
        <v>6320</v>
      </c>
      <c r="G39" s="30">
        <v>5171</v>
      </c>
      <c r="H39" s="30">
        <v>9360</v>
      </c>
      <c r="I39" s="30">
        <v>1652</v>
      </c>
      <c r="J39" s="30">
        <v>6895</v>
      </c>
      <c r="K39" s="57">
        <v>6895</v>
      </c>
      <c r="L39" s="70">
        <f t="shared" si="2"/>
        <v>36293</v>
      </c>
      <c r="M39" s="70">
        <f t="shared" si="0"/>
        <v>43907</v>
      </c>
      <c r="O39"/>
    </row>
    <row r="40" spans="1:15" ht="19.5" thickBot="1">
      <c r="A40" s="1" t="s">
        <v>2</v>
      </c>
      <c r="B40" s="35" t="s">
        <v>53</v>
      </c>
      <c r="C40" s="37">
        <v>0</v>
      </c>
      <c r="D40" s="38">
        <v>0</v>
      </c>
      <c r="E40" s="38">
        <f t="shared" si="3"/>
        <v>0</v>
      </c>
      <c r="F40" s="36">
        <v>0</v>
      </c>
      <c r="G40" s="37">
        <v>0</v>
      </c>
      <c r="H40" s="37">
        <v>0</v>
      </c>
      <c r="I40" s="37">
        <v>0</v>
      </c>
      <c r="J40" s="37">
        <v>0</v>
      </c>
      <c r="K40" s="59">
        <v>0</v>
      </c>
      <c r="L40" s="72">
        <f t="shared" si="2"/>
        <v>0</v>
      </c>
      <c r="M40" s="72">
        <f t="shared" si="0"/>
        <v>0</v>
      </c>
      <c r="O40"/>
    </row>
    <row r="41" spans="1:15" ht="19.5" thickBot="1">
      <c r="A41" s="1" t="s">
        <v>2</v>
      </c>
      <c r="B41" s="39" t="s">
        <v>54</v>
      </c>
      <c r="C41" s="41">
        <v>4597</v>
      </c>
      <c r="D41" s="42">
        <v>3017</v>
      </c>
      <c r="E41" s="42">
        <f t="shared" si="3"/>
        <v>7614</v>
      </c>
      <c r="F41" s="40">
        <v>6320</v>
      </c>
      <c r="G41" s="41">
        <v>5171</v>
      </c>
      <c r="H41" s="41">
        <v>9360</v>
      </c>
      <c r="I41" s="41">
        <v>1652</v>
      </c>
      <c r="J41" s="41">
        <v>6895</v>
      </c>
      <c r="K41" s="60">
        <v>6895</v>
      </c>
      <c r="L41" s="73">
        <f t="shared" si="2"/>
        <v>36293</v>
      </c>
      <c r="M41" s="73">
        <f t="shared" si="0"/>
        <v>43907</v>
      </c>
      <c r="O41"/>
    </row>
    <row r="42" spans="1:15" ht="19.5" thickBot="1">
      <c r="A42" s="1" t="s">
        <v>2</v>
      </c>
      <c r="B42" s="39" t="s">
        <v>55</v>
      </c>
      <c r="C42" s="41">
        <v>369597</v>
      </c>
      <c r="D42" s="42">
        <v>86267</v>
      </c>
      <c r="E42" s="42">
        <f t="shared" si="3"/>
        <v>455864</v>
      </c>
      <c r="F42" s="40">
        <v>320646</v>
      </c>
      <c r="G42" s="41">
        <v>329855</v>
      </c>
      <c r="H42" s="41">
        <v>325252</v>
      </c>
      <c r="I42" s="41">
        <v>315414</v>
      </c>
      <c r="J42" s="41">
        <v>275108</v>
      </c>
      <c r="K42" s="60">
        <v>304113</v>
      </c>
      <c r="L42" s="73">
        <f t="shared" si="2"/>
        <v>1870388</v>
      </c>
      <c r="M42" s="73">
        <f t="shared" si="0"/>
        <v>2326252</v>
      </c>
      <c r="O42"/>
    </row>
    <row r="43" spans="1:15">
      <c r="A43" s="1" t="s">
        <v>2</v>
      </c>
      <c r="B43" s="21" t="s">
        <v>56</v>
      </c>
      <c r="C43" s="30">
        <v>18360</v>
      </c>
      <c r="D43" s="31">
        <v>0</v>
      </c>
      <c r="E43" s="31">
        <f t="shared" si="3"/>
        <v>18360</v>
      </c>
      <c r="F43" s="29">
        <v>16320</v>
      </c>
      <c r="G43" s="30">
        <v>17340</v>
      </c>
      <c r="H43" s="30">
        <v>16320</v>
      </c>
      <c r="I43" s="30">
        <v>16320</v>
      </c>
      <c r="J43" s="30">
        <v>14280</v>
      </c>
      <c r="K43" s="57">
        <v>13260</v>
      </c>
      <c r="L43" s="70">
        <f t="shared" si="2"/>
        <v>93840</v>
      </c>
      <c r="M43" s="70">
        <f t="shared" si="0"/>
        <v>112200</v>
      </c>
      <c r="O43"/>
    </row>
    <row r="44" spans="1:15">
      <c r="A44" s="1" t="s">
        <v>2</v>
      </c>
      <c r="B44" s="4" t="s">
        <v>57</v>
      </c>
      <c r="C44" s="16">
        <v>3240</v>
      </c>
      <c r="D44" s="17">
        <v>0</v>
      </c>
      <c r="E44" s="17">
        <f t="shared" si="3"/>
        <v>3240</v>
      </c>
      <c r="F44" s="15">
        <v>0</v>
      </c>
      <c r="G44" s="16">
        <v>3060</v>
      </c>
      <c r="H44" s="16">
        <v>2880</v>
      </c>
      <c r="I44" s="16">
        <v>2880</v>
      </c>
      <c r="J44" s="16">
        <v>2520</v>
      </c>
      <c r="K44" s="58">
        <v>2340</v>
      </c>
      <c r="L44" s="71">
        <f t="shared" si="2"/>
        <v>13680</v>
      </c>
      <c r="M44" s="71">
        <f t="shared" si="0"/>
        <v>16920</v>
      </c>
      <c r="O44"/>
    </row>
    <row r="45" spans="1:15">
      <c r="A45" s="1" t="s">
        <v>2</v>
      </c>
      <c r="B45" s="4" t="s">
        <v>58</v>
      </c>
      <c r="C45" s="16">
        <v>32940</v>
      </c>
      <c r="D45" s="17">
        <v>0</v>
      </c>
      <c r="E45" s="17">
        <f t="shared" si="3"/>
        <v>32940</v>
      </c>
      <c r="F45" s="15">
        <v>29280</v>
      </c>
      <c r="G45" s="16">
        <v>31110</v>
      </c>
      <c r="H45" s="16">
        <v>29280</v>
      </c>
      <c r="I45" s="16">
        <v>29280</v>
      </c>
      <c r="J45" s="16">
        <v>25620</v>
      </c>
      <c r="K45" s="58">
        <v>23790</v>
      </c>
      <c r="L45" s="71">
        <f t="shared" si="2"/>
        <v>168360</v>
      </c>
      <c r="M45" s="71">
        <f t="shared" si="0"/>
        <v>201300</v>
      </c>
      <c r="O45"/>
    </row>
    <row r="46" spans="1:15" ht="19.5" thickBot="1">
      <c r="A46" s="1" t="s">
        <v>2</v>
      </c>
      <c r="B46" s="4" t="s">
        <v>59</v>
      </c>
      <c r="C46" s="16">
        <v>1109</v>
      </c>
      <c r="D46" s="17">
        <v>259</v>
      </c>
      <c r="E46" s="17">
        <f t="shared" si="3"/>
        <v>1368</v>
      </c>
      <c r="F46" s="15">
        <v>962</v>
      </c>
      <c r="G46" s="16">
        <v>990</v>
      </c>
      <c r="H46" s="16">
        <v>976</v>
      </c>
      <c r="I46" s="16">
        <v>946</v>
      </c>
      <c r="J46" s="16">
        <v>825</v>
      </c>
      <c r="K46" s="58">
        <v>912</v>
      </c>
      <c r="L46" s="71">
        <f t="shared" si="2"/>
        <v>5611</v>
      </c>
      <c r="M46" s="71">
        <f t="shared" si="0"/>
        <v>6979</v>
      </c>
      <c r="O46"/>
    </row>
    <row r="47" spans="1:15" ht="19.5" thickBot="1">
      <c r="A47" s="1" t="s">
        <v>2</v>
      </c>
      <c r="B47" s="39" t="s">
        <v>60</v>
      </c>
      <c r="C47" s="41">
        <v>55649</v>
      </c>
      <c r="D47" s="42">
        <v>259</v>
      </c>
      <c r="E47" s="42">
        <f t="shared" si="3"/>
        <v>55908</v>
      </c>
      <c r="F47" s="40">
        <v>46562</v>
      </c>
      <c r="G47" s="41">
        <v>52500</v>
      </c>
      <c r="H47" s="41">
        <v>49456</v>
      </c>
      <c r="I47" s="41">
        <v>49426</v>
      </c>
      <c r="J47" s="41">
        <v>43245</v>
      </c>
      <c r="K47" s="60">
        <v>40302</v>
      </c>
      <c r="L47" s="73">
        <f t="shared" si="2"/>
        <v>281491</v>
      </c>
      <c r="M47" s="73">
        <f t="shared" si="0"/>
        <v>337399</v>
      </c>
      <c r="O47"/>
    </row>
    <row r="48" spans="1:15">
      <c r="A48" s="1" t="s">
        <v>2</v>
      </c>
      <c r="B48" s="21" t="s">
        <v>61</v>
      </c>
      <c r="C48" s="30">
        <v>9140</v>
      </c>
      <c r="D48" s="31">
        <v>0</v>
      </c>
      <c r="E48" s="31">
        <f t="shared" si="3"/>
        <v>9140</v>
      </c>
      <c r="F48" s="29">
        <v>7190</v>
      </c>
      <c r="G48" s="30">
        <v>5730</v>
      </c>
      <c r="H48" s="30">
        <v>7140</v>
      </c>
      <c r="I48" s="30">
        <v>5450</v>
      </c>
      <c r="J48" s="30">
        <v>4040</v>
      </c>
      <c r="K48" s="57">
        <v>6800</v>
      </c>
      <c r="L48" s="70">
        <f t="shared" si="2"/>
        <v>36350</v>
      </c>
      <c r="M48" s="70">
        <f t="shared" si="0"/>
        <v>45490</v>
      </c>
      <c r="O48"/>
    </row>
    <row r="49" spans="1:15">
      <c r="A49" s="1" t="s">
        <v>2</v>
      </c>
      <c r="B49" s="4" t="s">
        <v>62</v>
      </c>
      <c r="C49" s="16">
        <v>18800</v>
      </c>
      <c r="D49" s="17">
        <v>500</v>
      </c>
      <c r="E49" s="17">
        <f t="shared" si="3"/>
        <v>19300</v>
      </c>
      <c r="F49" s="15">
        <v>11900</v>
      </c>
      <c r="G49" s="16">
        <v>6100</v>
      </c>
      <c r="H49" s="16">
        <v>6800</v>
      </c>
      <c r="I49" s="16">
        <v>10800</v>
      </c>
      <c r="J49" s="16">
        <v>2000</v>
      </c>
      <c r="K49" s="58">
        <v>10400</v>
      </c>
      <c r="L49" s="71">
        <f t="shared" si="2"/>
        <v>48000</v>
      </c>
      <c r="M49" s="71">
        <f t="shared" ref="M49:M55" si="4">E49+L49</f>
        <v>67300</v>
      </c>
      <c r="O49"/>
    </row>
    <row r="50" spans="1:15" ht="19.5" thickBot="1">
      <c r="A50" s="1" t="s">
        <v>2</v>
      </c>
      <c r="B50" s="4" t="s">
        <v>63</v>
      </c>
      <c r="C50" s="16">
        <v>0</v>
      </c>
      <c r="D50" s="17">
        <v>0</v>
      </c>
      <c r="E50" s="17">
        <f t="shared" si="3"/>
        <v>0</v>
      </c>
      <c r="F50" s="15">
        <v>0</v>
      </c>
      <c r="G50" s="16">
        <v>5000</v>
      </c>
      <c r="H50" s="16">
        <v>0</v>
      </c>
      <c r="I50" s="16">
        <v>0</v>
      </c>
      <c r="J50" s="16">
        <v>0</v>
      </c>
      <c r="K50" s="58">
        <v>0</v>
      </c>
      <c r="L50" s="71">
        <f t="shared" si="2"/>
        <v>5000</v>
      </c>
      <c r="M50" s="71">
        <f t="shared" si="4"/>
        <v>5000</v>
      </c>
      <c r="O50"/>
    </row>
    <row r="51" spans="1:15" ht="19.5" thickBot="1">
      <c r="A51" s="1" t="s">
        <v>2</v>
      </c>
      <c r="B51" s="39" t="s">
        <v>64</v>
      </c>
      <c r="C51" s="41">
        <v>83589</v>
      </c>
      <c r="D51" s="42">
        <v>759</v>
      </c>
      <c r="E51" s="42">
        <f t="shared" si="3"/>
        <v>84348</v>
      </c>
      <c r="F51" s="40">
        <v>65652</v>
      </c>
      <c r="G51" s="41">
        <v>69330</v>
      </c>
      <c r="H51" s="41">
        <v>63396</v>
      </c>
      <c r="I51" s="41">
        <v>65676</v>
      </c>
      <c r="J51" s="41">
        <v>49285</v>
      </c>
      <c r="K51" s="60">
        <v>57502</v>
      </c>
      <c r="L51" s="73">
        <f t="shared" si="2"/>
        <v>370841</v>
      </c>
      <c r="M51" s="73">
        <f t="shared" si="4"/>
        <v>455189</v>
      </c>
      <c r="O51"/>
    </row>
    <row r="52" spans="1:15" ht="19.5" thickBot="1">
      <c r="A52" s="1" t="s">
        <v>2</v>
      </c>
      <c r="B52" s="39" t="s">
        <v>65</v>
      </c>
      <c r="C52" s="41">
        <v>309351</v>
      </c>
      <c r="D52" s="42">
        <v>82991</v>
      </c>
      <c r="E52" s="42">
        <f t="shared" si="3"/>
        <v>392342</v>
      </c>
      <c r="F52" s="40">
        <v>267764</v>
      </c>
      <c r="G52" s="41">
        <v>272184</v>
      </c>
      <c r="H52" s="41">
        <v>266436</v>
      </c>
      <c r="I52" s="41">
        <v>264336</v>
      </c>
      <c r="J52" s="41">
        <v>224968</v>
      </c>
      <c r="K52" s="60">
        <v>256916</v>
      </c>
      <c r="L52" s="73">
        <f t="shared" si="2"/>
        <v>1552604</v>
      </c>
      <c r="M52" s="73">
        <f t="shared" si="4"/>
        <v>1944946</v>
      </c>
      <c r="O52"/>
    </row>
    <row r="53" spans="1:15" ht="19.5" thickBot="1">
      <c r="A53" s="1" t="s">
        <v>2</v>
      </c>
      <c r="B53" s="39" t="s">
        <v>66</v>
      </c>
      <c r="C53" s="41">
        <v>286008</v>
      </c>
      <c r="D53" s="42">
        <v>85508</v>
      </c>
      <c r="E53" s="42">
        <f t="shared" si="3"/>
        <v>371516</v>
      </c>
      <c r="F53" s="40">
        <v>254994</v>
      </c>
      <c r="G53" s="41">
        <v>260525</v>
      </c>
      <c r="H53" s="41">
        <v>261856</v>
      </c>
      <c r="I53" s="41">
        <v>249738</v>
      </c>
      <c r="J53" s="41">
        <v>225823</v>
      </c>
      <c r="K53" s="60">
        <v>246611</v>
      </c>
      <c r="L53" s="73">
        <f t="shared" si="2"/>
        <v>1499547</v>
      </c>
      <c r="M53" s="73">
        <f t="shared" si="4"/>
        <v>1871063</v>
      </c>
      <c r="O53"/>
    </row>
    <row r="54" spans="1:15">
      <c r="A54" s="1" t="s">
        <v>2</v>
      </c>
      <c r="B54" s="21" t="s">
        <v>67</v>
      </c>
      <c r="C54" s="30">
        <v>0</v>
      </c>
      <c r="D54" s="31">
        <v>0</v>
      </c>
      <c r="E54" s="31">
        <f t="shared" si="3"/>
        <v>0</v>
      </c>
      <c r="F54" s="29">
        <v>0</v>
      </c>
      <c r="G54" s="30">
        <v>0</v>
      </c>
      <c r="H54" s="30">
        <v>0</v>
      </c>
      <c r="I54" s="30">
        <v>0</v>
      </c>
      <c r="J54" s="30">
        <v>0</v>
      </c>
      <c r="K54" s="57">
        <v>0</v>
      </c>
      <c r="L54" s="70">
        <f t="shared" si="2"/>
        <v>0</v>
      </c>
      <c r="M54" s="70">
        <f t="shared" si="4"/>
        <v>0</v>
      </c>
      <c r="O54"/>
    </row>
    <row r="55" spans="1:15">
      <c r="A55" s="1" t="s">
        <v>2</v>
      </c>
      <c r="B55" s="4" t="s">
        <v>68</v>
      </c>
      <c r="C55" s="16">
        <v>286008</v>
      </c>
      <c r="D55" s="17">
        <v>85508</v>
      </c>
      <c r="E55" s="17">
        <f t="shared" si="3"/>
        <v>371516</v>
      </c>
      <c r="F55" s="15">
        <v>254994</v>
      </c>
      <c r="G55" s="16">
        <v>260525</v>
      </c>
      <c r="H55" s="16">
        <v>261856</v>
      </c>
      <c r="I55" s="16">
        <v>249738</v>
      </c>
      <c r="J55" s="16">
        <v>225823</v>
      </c>
      <c r="K55" s="58">
        <v>246611</v>
      </c>
      <c r="L55" s="71">
        <f t="shared" si="2"/>
        <v>1499547</v>
      </c>
      <c r="M55" s="71">
        <f t="shared" si="4"/>
        <v>1871063</v>
      </c>
      <c r="O55"/>
    </row>
    <row r="56" spans="1:15">
      <c r="A56" s="1" t="s">
        <v>2</v>
      </c>
      <c r="B56" s="4" t="s">
        <v>69</v>
      </c>
      <c r="C56" s="16">
        <v>0</v>
      </c>
      <c r="D56" s="17">
        <v>0</v>
      </c>
      <c r="E56" s="17"/>
      <c r="F56" s="15">
        <v>0</v>
      </c>
      <c r="G56" s="16">
        <v>1</v>
      </c>
      <c r="H56" s="16">
        <v>0</v>
      </c>
      <c r="I56" s="16">
        <v>1</v>
      </c>
      <c r="J56" s="16">
        <v>1</v>
      </c>
      <c r="K56" s="58">
        <v>0</v>
      </c>
      <c r="L56" s="71"/>
      <c r="M56" s="71"/>
      <c r="O56"/>
    </row>
    <row r="57" spans="1:15" ht="19.5" thickBot="1">
      <c r="A57" s="1" t="s">
        <v>2</v>
      </c>
      <c r="B57" s="5" t="s">
        <v>70</v>
      </c>
      <c r="C57" s="19" t="s">
        <v>71</v>
      </c>
      <c r="D57" s="20" t="s">
        <v>71</v>
      </c>
      <c r="E57" s="20"/>
      <c r="F57" s="18" t="s">
        <v>71</v>
      </c>
      <c r="G57" s="19" t="s">
        <v>71</v>
      </c>
      <c r="H57" s="19" t="s">
        <v>71</v>
      </c>
      <c r="I57" s="19" t="s">
        <v>71</v>
      </c>
      <c r="J57" s="19" t="s">
        <v>71</v>
      </c>
      <c r="K57" s="61" t="s">
        <v>71</v>
      </c>
      <c r="L57" s="74"/>
      <c r="M57" s="74"/>
      <c r="O57"/>
    </row>
  </sheetData>
  <phoneticPr fontId="4"/>
  <pageMargins left="0.11811023622047245" right="0.31496062992125984" top="0.15748031496062992" bottom="0.15748031496062992" header="0" footer="0"/>
  <pageSetup paperSize="12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2021年11月度給与 (3)</vt:lpstr>
      <vt:lpstr>'2021年11月度給与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2021-12-11T02:42:50Z</cp:lastPrinted>
  <dcterms:created xsi:type="dcterms:W3CDTF">2021-12-07T05:22:05Z</dcterms:created>
  <dcterms:modified xsi:type="dcterms:W3CDTF">2021-12-11T06:53:09Z</dcterms:modified>
</cp:coreProperties>
</file>