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A4A8428D-806F-4607-A368-18B6516AFA8E}" xr6:coauthVersionLast="47" xr6:coauthVersionMax="47" xr10:uidLastSave="{00000000-0000-0000-0000-000000000000}"/>
  <bookViews>
    <workbookView xWindow="-120" yWindow="-120" windowWidth="20730" windowHeight="11160" xr2:uid="{0A17E1F7-1FD0-4F08-A993-8B23B63C2239}"/>
  </bookViews>
  <sheets>
    <sheet name="2021年11月度給与 (2)" sheetId="3" r:id="rId1"/>
    <sheet name="2021年11月度給与 (3)" sheetId="4" r:id="rId2"/>
    <sheet name="2021年11月度給与 (4)" sheetId="5" r:id="rId3"/>
  </sheets>
  <definedNames>
    <definedName name="_xlnm.Print_Area" localSheetId="1">'2021年11月度給与 (3)'!$A$1:$P$61</definedName>
    <definedName name="_xlnm.Print_Area" localSheetId="2">'2021年11月度給与 (4)'!$A$1:$T$66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4" i="5" l="1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19" i="5"/>
  <c r="T18" i="5"/>
  <c r="T17" i="5"/>
  <c r="T16" i="5"/>
  <c r="T15" i="5"/>
  <c r="T10" i="5"/>
  <c r="T9" i="5"/>
  <c r="T8" i="5"/>
  <c r="T7" i="5"/>
  <c r="T6" i="5"/>
  <c r="O59" i="4"/>
  <c r="M59" i="4"/>
  <c r="O58" i="4"/>
  <c r="M58" i="4"/>
  <c r="O57" i="4"/>
  <c r="M57" i="4"/>
  <c r="O56" i="4"/>
  <c r="M56" i="4"/>
  <c r="O55" i="4"/>
  <c r="M55" i="4"/>
  <c r="O54" i="4"/>
  <c r="M54" i="4"/>
  <c r="O53" i="4"/>
  <c r="M53" i="4"/>
  <c r="O52" i="4"/>
  <c r="M52" i="4"/>
  <c r="O51" i="4"/>
  <c r="M51" i="4"/>
  <c r="O50" i="4"/>
  <c r="M50" i="4"/>
  <c r="O49" i="4"/>
  <c r="M49" i="4"/>
  <c r="O48" i="4"/>
  <c r="M48" i="4"/>
  <c r="O47" i="4"/>
  <c r="M47" i="4"/>
  <c r="O46" i="4"/>
  <c r="M46" i="4"/>
  <c r="O45" i="4"/>
  <c r="M45" i="4"/>
  <c r="O44" i="4"/>
  <c r="M44" i="4"/>
  <c r="O43" i="4"/>
  <c r="M43" i="4"/>
  <c r="O42" i="4"/>
  <c r="M42" i="4"/>
  <c r="O41" i="4"/>
  <c r="M41" i="4"/>
  <c r="O40" i="4"/>
  <c r="M40" i="4"/>
  <c r="O39" i="4"/>
  <c r="M39" i="4"/>
  <c r="O38" i="4"/>
  <c r="M38" i="4"/>
  <c r="O37" i="4"/>
  <c r="M37" i="4"/>
  <c r="O36" i="4"/>
  <c r="M36" i="4"/>
  <c r="O35" i="4"/>
  <c r="M35" i="4"/>
  <c r="O34" i="4"/>
  <c r="M34" i="4"/>
  <c r="O33" i="4"/>
  <c r="M33" i="4"/>
  <c r="O32" i="4"/>
  <c r="M32" i="4"/>
  <c r="O31" i="4"/>
  <c r="M31" i="4"/>
  <c r="O30" i="4"/>
  <c r="M30" i="4"/>
  <c r="O29" i="4"/>
  <c r="M29" i="4"/>
  <c r="O28" i="4"/>
  <c r="M28" i="4"/>
  <c r="O27" i="4"/>
  <c r="M27" i="4"/>
  <c r="O26" i="4"/>
  <c r="M26" i="4"/>
  <c r="O25" i="4"/>
  <c r="M25" i="4"/>
  <c r="O24" i="4"/>
  <c r="M24" i="4"/>
  <c r="M22" i="4"/>
  <c r="M17" i="4"/>
  <c r="M16" i="4"/>
  <c r="M15" i="4"/>
  <c r="M14" i="4"/>
  <c r="M10" i="4"/>
  <c r="M9" i="4"/>
  <c r="M8" i="4"/>
  <c r="M7" i="4"/>
  <c r="O6" i="4"/>
  <c r="M6" i="4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9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31" i="3"/>
  <c r="AG30" i="3"/>
  <c r="AG29" i="3"/>
  <c r="AG9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31" i="3"/>
  <c r="AE30" i="3"/>
  <c r="AE29" i="3"/>
  <c r="AE26" i="3"/>
  <c r="AE18" i="3"/>
  <c r="AE19" i="3"/>
  <c r="AE20" i="3"/>
  <c r="AE21" i="3"/>
  <c r="AE17" i="3"/>
  <c r="AE10" i="3"/>
  <c r="AE11" i="3"/>
  <c r="AE12" i="3"/>
  <c r="AE13" i="3"/>
  <c r="AE9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31" i="3"/>
  <c r="T30" i="3"/>
  <c r="T29" i="3"/>
  <c r="T20" i="3"/>
  <c r="T21" i="3"/>
  <c r="T22" i="3"/>
  <c r="T23" i="3"/>
  <c r="T19" i="3"/>
  <c r="T10" i="3"/>
  <c r="T11" i="3"/>
  <c r="T12" i="3"/>
  <c r="T13" i="3"/>
  <c r="T9" i="3"/>
</calcChain>
</file>

<file path=xl/sharedStrings.xml><?xml version="1.0" encoding="utf-8"?>
<sst xmlns="http://schemas.openxmlformats.org/spreadsheetml/2006/main" count="586" uniqueCount="143">
  <si>
    <t>支給控除一覧表</t>
    <phoneticPr fontId="4"/>
  </si>
  <si>
    <t>若林運送株式会社</t>
    <phoneticPr fontId="4"/>
  </si>
  <si>
    <t>2021年12月 7日 作成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</si>
  <si>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</si>
  <si>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</si>
  <si>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</si>
  <si>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</si>
  <si>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</si>
  <si>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</si>
  <si>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</si>
  <si>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</si>
  <si>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</si>
  <si>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</si>
  <si>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</si>
  <si>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</si>
  <si>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</si>
  <si>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</si>
  <si>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</si>
  <si>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</si>
  <si>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</si>
  <si>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</si>
  <si>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</si>
  <si>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</si>
  <si>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</si>
  <si>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</si>
  <si>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</si>
  <si>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</si>
  <si>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</si>
  <si>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</si>
  <si>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</si>
  <si>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</si>
  <si>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</si>
  <si>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</si>
  <si>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</si>
  <si>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</si>
  <si>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</si>
  <si>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</si>
  <si>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</si>
  <si>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</si>
  <si>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</si>
  <si>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</si>
  <si>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</si>
  <si>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</si>
  <si>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</si>
  <si>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</si>
  <si>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</si>
  <si>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</si>
  <si>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</si>
  <si>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</si>
  <si>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</si>
  <si>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</si>
  <si>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</si>
  <si>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圷健佑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</si>
  <si>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</si>
  <si>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</si>
  <si>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</si>
  <si>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</si>
  <si>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</si>
  <si>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</si>
  <si>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</si>
  <si>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松本正己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</si>
  <si>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</si>
  <si>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</si>
  <si>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</si>
  <si>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</si>
  <si>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</si>
  <si>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</si>
  <si>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</si>
  <si>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</si>
  <si>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</si>
  <si>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</si>
  <si>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</si>
  <si>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</si>
  <si>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</si>
  <si>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</si>
  <si>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</si>
  <si>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</si>
  <si>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</si>
  <si>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</si>
  <si>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</si>
  <si>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</si>
  <si>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</si>
  <si>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</si>
  <si>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</si>
  <si>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</si>
  <si>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</si>
  <si>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</si>
  <si>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</si>
  <si>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</si>
  <si>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</si>
  <si>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</si>
  <si>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</si>
  <si>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</si>
  <si>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</si>
  <si>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</si>
  <si>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</si>
  <si>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</si>
  <si>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</si>
  <si>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</si>
  <si>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</si>
  <si>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</si>
  <si>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</si>
  <si>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</si>
  <si>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</si>
  <si>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</si>
  <si>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</si>
  <si>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</si>
  <si>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</si>
  <si>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</si>
  <si>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</si>
  <si>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</si>
  <si>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</si>
  <si>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</si>
  <si>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</si>
  <si>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</si>
  <si>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</si>
  <si>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</si>
  <si>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</si>
  <si>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</si>
  <si>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</si>
  <si>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</si>
  <si>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</si>
  <si>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</si>
  <si>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</si>
  <si>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</si>
  <si>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</si>
  <si>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</si>
  <si>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</si>
  <si>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</si>
  <si>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</si>
  <si>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</si>
  <si>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</si>
  <si>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</si>
  <si>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</si>
  <si>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</si>
  <si>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</si>
  <si>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</si>
  <si>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</si>
  <si>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2021年11月度給与</t>
    <phoneticPr fontId="4"/>
  </si>
  <si>
    <t>小計</t>
    <rPh sb="0" eb="2">
      <t>ショウケイ</t>
    </rPh>
    <phoneticPr fontId="3"/>
  </si>
  <si>
    <t>17名</t>
    <rPh sb="2" eb="3">
      <t>メイ</t>
    </rPh>
    <phoneticPr fontId="3"/>
  </si>
  <si>
    <t>10名</t>
    <rPh sb="2" eb="3">
      <t>メイ</t>
    </rPh>
    <phoneticPr fontId="3"/>
  </si>
  <si>
    <t>1名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</si>
</sst>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;&quot;△ &quot;#,##0"/>
    <numFmt numFmtId="178" formatCode="0;&quot;△ &quot;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177" fontId="2" fillId="0" borderId="11" xfId="1" applyNumberFormat="1" applyFont="1" applyBorder="1"/>
    <xf numFmtId="178" fontId="2" fillId="0" borderId="0" xfId="1" applyNumberFormat="1" applyFont="1"/>
    <xf numFmtId="178" fontId="2" fillId="0" borderId="5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1" xfId="1" applyNumberFormat="1" applyFont="1" applyBorder="1"/>
    <xf numFmtId="177" fontId="2" fillId="0" borderId="47" xfId="1" applyNumberFormat="1" applyFont="1" applyBorder="1"/>
    <xf numFmtId="49" fontId="2" fillId="0" borderId="45" xfId="1" applyNumberFormat="1" applyFont="1" applyBorder="1"/>
    <xf numFmtId="49" fontId="2" fillId="0" borderId="44" xfId="1" applyNumberFormat="1" applyFont="1" applyBorder="1" applyAlignment="1">
      <alignment horizontal="left"/>
    </xf>
    <xf numFmtId="0" fontId="2" fillId="0" borderId="44" xfId="1" applyFont="1" applyBorder="1"/>
    <xf numFmtId="49" fontId="2" fillId="0" borderId="45" xfId="1" applyNumberFormat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2" fillId="0" borderId="49" xfId="1" applyFont="1" applyBorder="1"/>
  </cellXfs>
  <cellStyles count="2">
    <cellStyle name="標準" xfId="0" builtinId="0"/>
    <cellStyle name="標準 2" xfId="1" xr:uid="{F57398E8-D84F-4C13-A6F4-0B5261429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3F16-4288-4813-A3FF-D3BC68B2ECE4}">
  <dimension ref="A1:AJ86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34" width="11.75" style="2" customWidth="1"/>
    <col min="35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9.6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70" width="11.125" style="2" bestFit="1" customWidth="1"/>
    <col min="271" max="271" width="9" style="2"/>
    <col min="272" max="280" width="11.125" style="2" bestFit="1" customWidth="1"/>
    <col min="281" max="281" width="8" style="2" bestFit="1" customWidth="1"/>
    <col min="282" max="285" width="9" style="2"/>
    <col min="286" max="287" width="11.125" style="2" bestFit="1" customWidth="1"/>
    <col min="288" max="289" width="9" style="2"/>
    <col min="290" max="290" width="9.625" style="2" bestFit="1" customWidth="1"/>
    <col min="291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9.6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26" width="11.125" style="2" bestFit="1" customWidth="1"/>
    <col min="527" max="527" width="9" style="2"/>
    <col min="528" max="536" width="11.125" style="2" bestFit="1" customWidth="1"/>
    <col min="537" max="537" width="8" style="2" bestFit="1" customWidth="1"/>
    <col min="538" max="541" width="9" style="2"/>
    <col min="542" max="543" width="11.125" style="2" bestFit="1" customWidth="1"/>
    <col min="544" max="545" width="9" style="2"/>
    <col min="546" max="546" width="9.625" style="2" bestFit="1" customWidth="1"/>
    <col min="547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9.6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82" width="11.125" style="2" bestFit="1" customWidth="1"/>
    <col min="783" max="783" width="9" style="2"/>
    <col min="784" max="792" width="11.125" style="2" bestFit="1" customWidth="1"/>
    <col min="793" max="793" width="8" style="2" bestFit="1" customWidth="1"/>
    <col min="794" max="797" width="9" style="2"/>
    <col min="798" max="799" width="11.125" style="2" bestFit="1" customWidth="1"/>
    <col min="800" max="801" width="9" style="2"/>
    <col min="802" max="802" width="9.625" style="2" bestFit="1" customWidth="1"/>
    <col min="803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9.6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38" width="11.125" style="2" bestFit="1" customWidth="1"/>
    <col min="1039" max="1039" width="9" style="2"/>
    <col min="1040" max="1048" width="11.125" style="2" bestFit="1" customWidth="1"/>
    <col min="1049" max="1049" width="8" style="2" bestFit="1" customWidth="1"/>
    <col min="1050" max="1053" width="9" style="2"/>
    <col min="1054" max="1055" width="11.125" style="2" bestFit="1" customWidth="1"/>
    <col min="1056" max="1057" width="9" style="2"/>
    <col min="1058" max="1058" width="9.625" style="2" bestFit="1" customWidth="1"/>
    <col min="1059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9.6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294" width="11.125" style="2" bestFit="1" customWidth="1"/>
    <col min="1295" max="1295" width="9" style="2"/>
    <col min="1296" max="1304" width="11.125" style="2" bestFit="1" customWidth="1"/>
    <col min="1305" max="1305" width="8" style="2" bestFit="1" customWidth="1"/>
    <col min="1306" max="1309" width="9" style="2"/>
    <col min="1310" max="1311" width="11.125" style="2" bestFit="1" customWidth="1"/>
    <col min="1312" max="1313" width="9" style="2"/>
    <col min="1314" max="1314" width="9.625" style="2" bestFit="1" customWidth="1"/>
    <col min="1315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9.6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50" width="11.125" style="2" bestFit="1" customWidth="1"/>
    <col min="1551" max="1551" width="9" style="2"/>
    <col min="1552" max="1560" width="11.125" style="2" bestFit="1" customWidth="1"/>
    <col min="1561" max="1561" width="8" style="2" bestFit="1" customWidth="1"/>
    <col min="1562" max="1565" width="9" style="2"/>
    <col min="1566" max="1567" width="11.125" style="2" bestFit="1" customWidth="1"/>
    <col min="1568" max="1569" width="9" style="2"/>
    <col min="1570" max="1570" width="9.625" style="2" bestFit="1" customWidth="1"/>
    <col min="1571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9.6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06" width="11.125" style="2" bestFit="1" customWidth="1"/>
    <col min="1807" max="1807" width="9" style="2"/>
    <col min="1808" max="1816" width="11.125" style="2" bestFit="1" customWidth="1"/>
    <col min="1817" max="1817" width="8" style="2" bestFit="1" customWidth="1"/>
    <col min="1818" max="1821" width="9" style="2"/>
    <col min="1822" max="1823" width="11.125" style="2" bestFit="1" customWidth="1"/>
    <col min="1824" max="1825" width="9" style="2"/>
    <col min="1826" max="1826" width="9.625" style="2" bestFit="1" customWidth="1"/>
    <col min="1827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9.6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62" width="11.125" style="2" bestFit="1" customWidth="1"/>
    <col min="2063" max="2063" width="9" style="2"/>
    <col min="2064" max="2072" width="11.125" style="2" bestFit="1" customWidth="1"/>
    <col min="2073" max="2073" width="8" style="2" bestFit="1" customWidth="1"/>
    <col min="2074" max="2077" width="9" style="2"/>
    <col min="2078" max="2079" width="11.125" style="2" bestFit="1" customWidth="1"/>
    <col min="2080" max="2081" width="9" style="2"/>
    <col min="2082" max="2082" width="9.625" style="2" bestFit="1" customWidth="1"/>
    <col min="2083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9.6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18" width="11.125" style="2" bestFit="1" customWidth="1"/>
    <col min="2319" max="2319" width="9" style="2"/>
    <col min="2320" max="2328" width="11.125" style="2" bestFit="1" customWidth="1"/>
    <col min="2329" max="2329" width="8" style="2" bestFit="1" customWidth="1"/>
    <col min="2330" max="2333" width="9" style="2"/>
    <col min="2334" max="2335" width="11.125" style="2" bestFit="1" customWidth="1"/>
    <col min="2336" max="2337" width="9" style="2"/>
    <col min="2338" max="2338" width="9.625" style="2" bestFit="1" customWidth="1"/>
    <col min="2339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9.6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74" width="11.125" style="2" bestFit="1" customWidth="1"/>
    <col min="2575" max="2575" width="9" style="2"/>
    <col min="2576" max="2584" width="11.125" style="2" bestFit="1" customWidth="1"/>
    <col min="2585" max="2585" width="8" style="2" bestFit="1" customWidth="1"/>
    <col min="2586" max="2589" width="9" style="2"/>
    <col min="2590" max="2591" width="11.125" style="2" bestFit="1" customWidth="1"/>
    <col min="2592" max="2593" width="9" style="2"/>
    <col min="2594" max="2594" width="9.625" style="2" bestFit="1" customWidth="1"/>
    <col min="2595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9.6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30" width="11.125" style="2" bestFit="1" customWidth="1"/>
    <col min="2831" max="2831" width="9" style="2"/>
    <col min="2832" max="2840" width="11.125" style="2" bestFit="1" customWidth="1"/>
    <col min="2841" max="2841" width="8" style="2" bestFit="1" customWidth="1"/>
    <col min="2842" max="2845" width="9" style="2"/>
    <col min="2846" max="2847" width="11.125" style="2" bestFit="1" customWidth="1"/>
    <col min="2848" max="2849" width="9" style="2"/>
    <col min="2850" max="2850" width="9.625" style="2" bestFit="1" customWidth="1"/>
    <col min="2851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9.6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86" width="11.125" style="2" bestFit="1" customWidth="1"/>
    <col min="3087" max="3087" width="9" style="2"/>
    <col min="3088" max="3096" width="11.125" style="2" bestFit="1" customWidth="1"/>
    <col min="3097" max="3097" width="8" style="2" bestFit="1" customWidth="1"/>
    <col min="3098" max="3101" width="9" style="2"/>
    <col min="3102" max="3103" width="11.125" style="2" bestFit="1" customWidth="1"/>
    <col min="3104" max="3105" width="9" style="2"/>
    <col min="3106" max="3106" width="9.625" style="2" bestFit="1" customWidth="1"/>
    <col min="3107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9.6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42" width="11.125" style="2" bestFit="1" customWidth="1"/>
    <col min="3343" max="3343" width="9" style="2"/>
    <col min="3344" max="3352" width="11.125" style="2" bestFit="1" customWidth="1"/>
    <col min="3353" max="3353" width="8" style="2" bestFit="1" customWidth="1"/>
    <col min="3354" max="3357" width="9" style="2"/>
    <col min="3358" max="3359" width="11.125" style="2" bestFit="1" customWidth="1"/>
    <col min="3360" max="3361" width="9" style="2"/>
    <col min="3362" max="3362" width="9.625" style="2" bestFit="1" customWidth="1"/>
    <col min="3363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9.6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598" width="11.125" style="2" bestFit="1" customWidth="1"/>
    <col min="3599" max="3599" width="9" style="2"/>
    <col min="3600" max="3608" width="11.125" style="2" bestFit="1" customWidth="1"/>
    <col min="3609" max="3609" width="8" style="2" bestFit="1" customWidth="1"/>
    <col min="3610" max="3613" width="9" style="2"/>
    <col min="3614" max="3615" width="11.125" style="2" bestFit="1" customWidth="1"/>
    <col min="3616" max="3617" width="9" style="2"/>
    <col min="3618" max="3618" width="9.625" style="2" bestFit="1" customWidth="1"/>
    <col min="3619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9.6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54" width="11.125" style="2" bestFit="1" customWidth="1"/>
    <col min="3855" max="3855" width="9" style="2"/>
    <col min="3856" max="3864" width="11.125" style="2" bestFit="1" customWidth="1"/>
    <col min="3865" max="3865" width="8" style="2" bestFit="1" customWidth="1"/>
    <col min="3866" max="3869" width="9" style="2"/>
    <col min="3870" max="3871" width="11.125" style="2" bestFit="1" customWidth="1"/>
    <col min="3872" max="3873" width="9" style="2"/>
    <col min="3874" max="3874" width="9.625" style="2" bestFit="1" customWidth="1"/>
    <col min="3875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9.6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10" width="11.125" style="2" bestFit="1" customWidth="1"/>
    <col min="4111" max="4111" width="9" style="2"/>
    <col min="4112" max="4120" width="11.125" style="2" bestFit="1" customWidth="1"/>
    <col min="4121" max="4121" width="8" style="2" bestFit="1" customWidth="1"/>
    <col min="4122" max="4125" width="9" style="2"/>
    <col min="4126" max="4127" width="11.125" style="2" bestFit="1" customWidth="1"/>
    <col min="4128" max="4129" width="9" style="2"/>
    <col min="4130" max="4130" width="9.625" style="2" bestFit="1" customWidth="1"/>
    <col min="4131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9.6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66" width="11.125" style="2" bestFit="1" customWidth="1"/>
    <col min="4367" max="4367" width="9" style="2"/>
    <col min="4368" max="4376" width="11.125" style="2" bestFit="1" customWidth="1"/>
    <col min="4377" max="4377" width="8" style="2" bestFit="1" customWidth="1"/>
    <col min="4378" max="4381" width="9" style="2"/>
    <col min="4382" max="4383" width="11.125" style="2" bestFit="1" customWidth="1"/>
    <col min="4384" max="4385" width="9" style="2"/>
    <col min="4386" max="4386" width="9.625" style="2" bestFit="1" customWidth="1"/>
    <col min="4387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9.6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22" width="11.125" style="2" bestFit="1" customWidth="1"/>
    <col min="4623" max="4623" width="9" style="2"/>
    <col min="4624" max="4632" width="11.125" style="2" bestFit="1" customWidth="1"/>
    <col min="4633" max="4633" width="8" style="2" bestFit="1" customWidth="1"/>
    <col min="4634" max="4637" width="9" style="2"/>
    <col min="4638" max="4639" width="11.125" style="2" bestFit="1" customWidth="1"/>
    <col min="4640" max="4641" width="9" style="2"/>
    <col min="4642" max="4642" width="9.625" style="2" bestFit="1" customWidth="1"/>
    <col min="4643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9.6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78" width="11.125" style="2" bestFit="1" customWidth="1"/>
    <col min="4879" max="4879" width="9" style="2"/>
    <col min="4880" max="4888" width="11.125" style="2" bestFit="1" customWidth="1"/>
    <col min="4889" max="4889" width="8" style="2" bestFit="1" customWidth="1"/>
    <col min="4890" max="4893" width="9" style="2"/>
    <col min="4894" max="4895" width="11.125" style="2" bestFit="1" customWidth="1"/>
    <col min="4896" max="4897" width="9" style="2"/>
    <col min="4898" max="4898" width="9.625" style="2" bestFit="1" customWidth="1"/>
    <col min="4899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9.6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34" width="11.125" style="2" bestFit="1" customWidth="1"/>
    <col min="5135" max="5135" width="9" style="2"/>
    <col min="5136" max="5144" width="11.125" style="2" bestFit="1" customWidth="1"/>
    <col min="5145" max="5145" width="8" style="2" bestFit="1" customWidth="1"/>
    <col min="5146" max="5149" width="9" style="2"/>
    <col min="5150" max="5151" width="11.125" style="2" bestFit="1" customWidth="1"/>
    <col min="5152" max="5153" width="9" style="2"/>
    <col min="5154" max="5154" width="9.625" style="2" bestFit="1" customWidth="1"/>
    <col min="5155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9.6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390" width="11.125" style="2" bestFit="1" customWidth="1"/>
    <col min="5391" max="5391" width="9" style="2"/>
    <col min="5392" max="5400" width="11.125" style="2" bestFit="1" customWidth="1"/>
    <col min="5401" max="5401" width="8" style="2" bestFit="1" customWidth="1"/>
    <col min="5402" max="5405" width="9" style="2"/>
    <col min="5406" max="5407" width="11.125" style="2" bestFit="1" customWidth="1"/>
    <col min="5408" max="5409" width="9" style="2"/>
    <col min="5410" max="5410" width="9.625" style="2" bestFit="1" customWidth="1"/>
    <col min="5411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9.6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46" width="11.125" style="2" bestFit="1" customWidth="1"/>
    <col min="5647" max="5647" width="9" style="2"/>
    <col min="5648" max="5656" width="11.125" style="2" bestFit="1" customWidth="1"/>
    <col min="5657" max="5657" width="8" style="2" bestFit="1" customWidth="1"/>
    <col min="5658" max="5661" width="9" style="2"/>
    <col min="5662" max="5663" width="11.125" style="2" bestFit="1" customWidth="1"/>
    <col min="5664" max="5665" width="9" style="2"/>
    <col min="5666" max="5666" width="9.625" style="2" bestFit="1" customWidth="1"/>
    <col min="5667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9.6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02" width="11.125" style="2" bestFit="1" customWidth="1"/>
    <col min="5903" max="5903" width="9" style="2"/>
    <col min="5904" max="5912" width="11.125" style="2" bestFit="1" customWidth="1"/>
    <col min="5913" max="5913" width="8" style="2" bestFit="1" customWidth="1"/>
    <col min="5914" max="5917" width="9" style="2"/>
    <col min="5918" max="5919" width="11.125" style="2" bestFit="1" customWidth="1"/>
    <col min="5920" max="5921" width="9" style="2"/>
    <col min="5922" max="5922" width="9.625" style="2" bestFit="1" customWidth="1"/>
    <col min="5923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9.6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58" width="11.125" style="2" bestFit="1" customWidth="1"/>
    <col min="6159" max="6159" width="9" style="2"/>
    <col min="6160" max="6168" width="11.125" style="2" bestFit="1" customWidth="1"/>
    <col min="6169" max="6169" width="8" style="2" bestFit="1" customWidth="1"/>
    <col min="6170" max="6173" width="9" style="2"/>
    <col min="6174" max="6175" width="11.125" style="2" bestFit="1" customWidth="1"/>
    <col min="6176" max="6177" width="9" style="2"/>
    <col min="6178" max="6178" width="9.625" style="2" bestFit="1" customWidth="1"/>
    <col min="6179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9.6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14" width="11.125" style="2" bestFit="1" customWidth="1"/>
    <col min="6415" max="6415" width="9" style="2"/>
    <col min="6416" max="6424" width="11.125" style="2" bestFit="1" customWidth="1"/>
    <col min="6425" max="6425" width="8" style="2" bestFit="1" customWidth="1"/>
    <col min="6426" max="6429" width="9" style="2"/>
    <col min="6430" max="6431" width="11.125" style="2" bestFit="1" customWidth="1"/>
    <col min="6432" max="6433" width="9" style="2"/>
    <col min="6434" max="6434" width="9.625" style="2" bestFit="1" customWidth="1"/>
    <col min="6435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9.6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70" width="11.125" style="2" bestFit="1" customWidth="1"/>
    <col min="6671" max="6671" width="9" style="2"/>
    <col min="6672" max="6680" width="11.125" style="2" bestFit="1" customWidth="1"/>
    <col min="6681" max="6681" width="8" style="2" bestFit="1" customWidth="1"/>
    <col min="6682" max="6685" width="9" style="2"/>
    <col min="6686" max="6687" width="11.125" style="2" bestFit="1" customWidth="1"/>
    <col min="6688" max="6689" width="9" style="2"/>
    <col min="6690" max="6690" width="9.625" style="2" bestFit="1" customWidth="1"/>
    <col min="6691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9.6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26" width="11.125" style="2" bestFit="1" customWidth="1"/>
    <col min="6927" max="6927" width="9" style="2"/>
    <col min="6928" max="6936" width="11.125" style="2" bestFit="1" customWidth="1"/>
    <col min="6937" max="6937" width="8" style="2" bestFit="1" customWidth="1"/>
    <col min="6938" max="6941" width="9" style="2"/>
    <col min="6942" max="6943" width="11.125" style="2" bestFit="1" customWidth="1"/>
    <col min="6944" max="6945" width="9" style="2"/>
    <col min="6946" max="6946" width="9.625" style="2" bestFit="1" customWidth="1"/>
    <col min="6947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9.6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82" width="11.125" style="2" bestFit="1" customWidth="1"/>
    <col min="7183" max="7183" width="9" style="2"/>
    <col min="7184" max="7192" width="11.125" style="2" bestFit="1" customWidth="1"/>
    <col min="7193" max="7193" width="8" style="2" bestFit="1" customWidth="1"/>
    <col min="7194" max="7197" width="9" style="2"/>
    <col min="7198" max="7199" width="11.125" style="2" bestFit="1" customWidth="1"/>
    <col min="7200" max="7201" width="9" style="2"/>
    <col min="7202" max="7202" width="9.625" style="2" bestFit="1" customWidth="1"/>
    <col min="7203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9.6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38" width="11.125" style="2" bestFit="1" customWidth="1"/>
    <col min="7439" max="7439" width="9" style="2"/>
    <col min="7440" max="7448" width="11.125" style="2" bestFit="1" customWidth="1"/>
    <col min="7449" max="7449" width="8" style="2" bestFit="1" customWidth="1"/>
    <col min="7450" max="7453" width="9" style="2"/>
    <col min="7454" max="7455" width="11.125" style="2" bestFit="1" customWidth="1"/>
    <col min="7456" max="7457" width="9" style="2"/>
    <col min="7458" max="7458" width="9.625" style="2" bestFit="1" customWidth="1"/>
    <col min="7459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9.6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694" width="11.125" style="2" bestFit="1" customWidth="1"/>
    <col min="7695" max="7695" width="9" style="2"/>
    <col min="7696" max="7704" width="11.125" style="2" bestFit="1" customWidth="1"/>
    <col min="7705" max="7705" width="8" style="2" bestFit="1" customWidth="1"/>
    <col min="7706" max="7709" width="9" style="2"/>
    <col min="7710" max="7711" width="11.125" style="2" bestFit="1" customWidth="1"/>
    <col min="7712" max="7713" width="9" style="2"/>
    <col min="7714" max="7714" width="9.625" style="2" bestFit="1" customWidth="1"/>
    <col min="7715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9.6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50" width="11.125" style="2" bestFit="1" customWidth="1"/>
    <col min="7951" max="7951" width="9" style="2"/>
    <col min="7952" max="7960" width="11.125" style="2" bestFit="1" customWidth="1"/>
    <col min="7961" max="7961" width="8" style="2" bestFit="1" customWidth="1"/>
    <col min="7962" max="7965" width="9" style="2"/>
    <col min="7966" max="7967" width="11.125" style="2" bestFit="1" customWidth="1"/>
    <col min="7968" max="7969" width="9" style="2"/>
    <col min="7970" max="7970" width="9.625" style="2" bestFit="1" customWidth="1"/>
    <col min="7971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9.6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06" width="11.125" style="2" bestFit="1" customWidth="1"/>
    <col min="8207" max="8207" width="9" style="2"/>
    <col min="8208" max="8216" width="11.125" style="2" bestFit="1" customWidth="1"/>
    <col min="8217" max="8217" width="8" style="2" bestFit="1" customWidth="1"/>
    <col min="8218" max="8221" width="9" style="2"/>
    <col min="8222" max="8223" width="11.125" style="2" bestFit="1" customWidth="1"/>
    <col min="8224" max="8225" width="9" style="2"/>
    <col min="8226" max="8226" width="9.625" style="2" bestFit="1" customWidth="1"/>
    <col min="8227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9.6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62" width="11.125" style="2" bestFit="1" customWidth="1"/>
    <col min="8463" max="8463" width="9" style="2"/>
    <col min="8464" max="8472" width="11.125" style="2" bestFit="1" customWidth="1"/>
    <col min="8473" max="8473" width="8" style="2" bestFit="1" customWidth="1"/>
    <col min="8474" max="8477" width="9" style="2"/>
    <col min="8478" max="8479" width="11.125" style="2" bestFit="1" customWidth="1"/>
    <col min="8480" max="8481" width="9" style="2"/>
    <col min="8482" max="8482" width="9.625" style="2" bestFit="1" customWidth="1"/>
    <col min="8483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9.6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18" width="11.125" style="2" bestFit="1" customWidth="1"/>
    <col min="8719" max="8719" width="9" style="2"/>
    <col min="8720" max="8728" width="11.125" style="2" bestFit="1" customWidth="1"/>
    <col min="8729" max="8729" width="8" style="2" bestFit="1" customWidth="1"/>
    <col min="8730" max="8733" width="9" style="2"/>
    <col min="8734" max="8735" width="11.125" style="2" bestFit="1" customWidth="1"/>
    <col min="8736" max="8737" width="9" style="2"/>
    <col min="8738" max="8738" width="9.625" style="2" bestFit="1" customWidth="1"/>
    <col min="8739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9.6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74" width="11.125" style="2" bestFit="1" customWidth="1"/>
    <col min="8975" max="8975" width="9" style="2"/>
    <col min="8976" max="8984" width="11.125" style="2" bestFit="1" customWidth="1"/>
    <col min="8985" max="8985" width="8" style="2" bestFit="1" customWidth="1"/>
    <col min="8986" max="8989" width="9" style="2"/>
    <col min="8990" max="8991" width="11.125" style="2" bestFit="1" customWidth="1"/>
    <col min="8992" max="8993" width="9" style="2"/>
    <col min="8994" max="8994" width="9.625" style="2" bestFit="1" customWidth="1"/>
    <col min="8995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9.6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30" width="11.125" style="2" bestFit="1" customWidth="1"/>
    <col min="9231" max="9231" width="9" style="2"/>
    <col min="9232" max="9240" width="11.125" style="2" bestFit="1" customWidth="1"/>
    <col min="9241" max="9241" width="8" style="2" bestFit="1" customWidth="1"/>
    <col min="9242" max="9245" width="9" style="2"/>
    <col min="9246" max="9247" width="11.125" style="2" bestFit="1" customWidth="1"/>
    <col min="9248" max="9249" width="9" style="2"/>
    <col min="9250" max="9250" width="9.625" style="2" bestFit="1" customWidth="1"/>
    <col min="9251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9.6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86" width="11.125" style="2" bestFit="1" customWidth="1"/>
    <col min="9487" max="9487" width="9" style="2"/>
    <col min="9488" max="9496" width="11.125" style="2" bestFit="1" customWidth="1"/>
    <col min="9497" max="9497" width="8" style="2" bestFit="1" customWidth="1"/>
    <col min="9498" max="9501" width="9" style="2"/>
    <col min="9502" max="9503" width="11.125" style="2" bestFit="1" customWidth="1"/>
    <col min="9504" max="9505" width="9" style="2"/>
    <col min="9506" max="9506" width="9.625" style="2" bestFit="1" customWidth="1"/>
    <col min="9507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9.6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42" width="11.125" style="2" bestFit="1" customWidth="1"/>
    <col min="9743" max="9743" width="9" style="2"/>
    <col min="9744" max="9752" width="11.125" style="2" bestFit="1" customWidth="1"/>
    <col min="9753" max="9753" width="8" style="2" bestFit="1" customWidth="1"/>
    <col min="9754" max="9757" width="9" style="2"/>
    <col min="9758" max="9759" width="11.125" style="2" bestFit="1" customWidth="1"/>
    <col min="9760" max="9761" width="9" style="2"/>
    <col min="9762" max="9762" width="9.625" style="2" bestFit="1" customWidth="1"/>
    <col min="9763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9.6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9998" width="11.125" style="2" bestFit="1" customWidth="1"/>
    <col min="9999" max="9999" width="9" style="2"/>
    <col min="10000" max="10008" width="11.125" style="2" bestFit="1" customWidth="1"/>
    <col min="10009" max="10009" width="8" style="2" bestFit="1" customWidth="1"/>
    <col min="10010" max="10013" width="9" style="2"/>
    <col min="10014" max="10015" width="11.125" style="2" bestFit="1" customWidth="1"/>
    <col min="10016" max="10017" width="9" style="2"/>
    <col min="10018" max="10018" width="9.625" style="2" bestFit="1" customWidth="1"/>
    <col min="10019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9.6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54" width="11.125" style="2" bestFit="1" customWidth="1"/>
    <col min="10255" max="10255" width="9" style="2"/>
    <col min="10256" max="10264" width="11.125" style="2" bestFit="1" customWidth="1"/>
    <col min="10265" max="10265" width="8" style="2" bestFit="1" customWidth="1"/>
    <col min="10266" max="10269" width="9" style="2"/>
    <col min="10270" max="10271" width="11.125" style="2" bestFit="1" customWidth="1"/>
    <col min="10272" max="10273" width="9" style="2"/>
    <col min="10274" max="10274" width="9.625" style="2" bestFit="1" customWidth="1"/>
    <col min="10275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9.6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10" width="11.125" style="2" bestFit="1" customWidth="1"/>
    <col min="10511" max="10511" width="9" style="2"/>
    <col min="10512" max="10520" width="11.125" style="2" bestFit="1" customWidth="1"/>
    <col min="10521" max="10521" width="8" style="2" bestFit="1" customWidth="1"/>
    <col min="10522" max="10525" width="9" style="2"/>
    <col min="10526" max="10527" width="11.125" style="2" bestFit="1" customWidth="1"/>
    <col min="10528" max="10529" width="9" style="2"/>
    <col min="10530" max="10530" width="9.625" style="2" bestFit="1" customWidth="1"/>
    <col min="10531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9.6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66" width="11.125" style="2" bestFit="1" customWidth="1"/>
    <col min="10767" max="10767" width="9" style="2"/>
    <col min="10768" max="10776" width="11.125" style="2" bestFit="1" customWidth="1"/>
    <col min="10777" max="10777" width="8" style="2" bestFit="1" customWidth="1"/>
    <col min="10778" max="10781" width="9" style="2"/>
    <col min="10782" max="10783" width="11.125" style="2" bestFit="1" customWidth="1"/>
    <col min="10784" max="10785" width="9" style="2"/>
    <col min="10786" max="10786" width="9.625" style="2" bestFit="1" customWidth="1"/>
    <col min="10787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9.6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22" width="11.125" style="2" bestFit="1" customWidth="1"/>
    <col min="11023" max="11023" width="9" style="2"/>
    <col min="11024" max="11032" width="11.125" style="2" bestFit="1" customWidth="1"/>
    <col min="11033" max="11033" width="8" style="2" bestFit="1" customWidth="1"/>
    <col min="11034" max="11037" width="9" style="2"/>
    <col min="11038" max="11039" width="11.125" style="2" bestFit="1" customWidth="1"/>
    <col min="11040" max="11041" width="9" style="2"/>
    <col min="11042" max="11042" width="9.625" style="2" bestFit="1" customWidth="1"/>
    <col min="11043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9.6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78" width="11.125" style="2" bestFit="1" customWidth="1"/>
    <col min="11279" max="11279" width="9" style="2"/>
    <col min="11280" max="11288" width="11.125" style="2" bestFit="1" customWidth="1"/>
    <col min="11289" max="11289" width="8" style="2" bestFit="1" customWidth="1"/>
    <col min="11290" max="11293" width="9" style="2"/>
    <col min="11294" max="11295" width="11.125" style="2" bestFit="1" customWidth="1"/>
    <col min="11296" max="11297" width="9" style="2"/>
    <col min="11298" max="11298" width="9.625" style="2" bestFit="1" customWidth="1"/>
    <col min="11299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9.6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34" width="11.125" style="2" bestFit="1" customWidth="1"/>
    <col min="11535" max="11535" width="9" style="2"/>
    <col min="11536" max="11544" width="11.125" style="2" bestFit="1" customWidth="1"/>
    <col min="11545" max="11545" width="8" style="2" bestFit="1" customWidth="1"/>
    <col min="11546" max="11549" width="9" style="2"/>
    <col min="11550" max="11551" width="11.125" style="2" bestFit="1" customWidth="1"/>
    <col min="11552" max="11553" width="9" style="2"/>
    <col min="11554" max="11554" width="9.625" style="2" bestFit="1" customWidth="1"/>
    <col min="11555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9.6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790" width="11.125" style="2" bestFit="1" customWidth="1"/>
    <col min="11791" max="11791" width="9" style="2"/>
    <col min="11792" max="11800" width="11.125" style="2" bestFit="1" customWidth="1"/>
    <col min="11801" max="11801" width="8" style="2" bestFit="1" customWidth="1"/>
    <col min="11802" max="11805" width="9" style="2"/>
    <col min="11806" max="11807" width="11.125" style="2" bestFit="1" customWidth="1"/>
    <col min="11808" max="11809" width="9" style="2"/>
    <col min="11810" max="11810" width="9.625" style="2" bestFit="1" customWidth="1"/>
    <col min="11811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9.6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46" width="11.125" style="2" bestFit="1" customWidth="1"/>
    <col min="12047" max="12047" width="9" style="2"/>
    <col min="12048" max="12056" width="11.125" style="2" bestFit="1" customWidth="1"/>
    <col min="12057" max="12057" width="8" style="2" bestFit="1" customWidth="1"/>
    <col min="12058" max="12061" width="9" style="2"/>
    <col min="12062" max="12063" width="11.125" style="2" bestFit="1" customWidth="1"/>
    <col min="12064" max="12065" width="9" style="2"/>
    <col min="12066" max="12066" width="9.625" style="2" bestFit="1" customWidth="1"/>
    <col min="12067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9.6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02" width="11.125" style="2" bestFit="1" customWidth="1"/>
    <col min="12303" max="12303" width="9" style="2"/>
    <col min="12304" max="12312" width="11.125" style="2" bestFit="1" customWidth="1"/>
    <col min="12313" max="12313" width="8" style="2" bestFit="1" customWidth="1"/>
    <col min="12314" max="12317" width="9" style="2"/>
    <col min="12318" max="12319" width="11.125" style="2" bestFit="1" customWidth="1"/>
    <col min="12320" max="12321" width="9" style="2"/>
    <col min="12322" max="12322" width="9.625" style="2" bestFit="1" customWidth="1"/>
    <col min="12323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9.6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58" width="11.125" style="2" bestFit="1" customWidth="1"/>
    <col min="12559" max="12559" width="9" style="2"/>
    <col min="12560" max="12568" width="11.125" style="2" bestFit="1" customWidth="1"/>
    <col min="12569" max="12569" width="8" style="2" bestFit="1" customWidth="1"/>
    <col min="12570" max="12573" width="9" style="2"/>
    <col min="12574" max="12575" width="11.125" style="2" bestFit="1" customWidth="1"/>
    <col min="12576" max="12577" width="9" style="2"/>
    <col min="12578" max="12578" width="9.625" style="2" bestFit="1" customWidth="1"/>
    <col min="12579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9.6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14" width="11.125" style="2" bestFit="1" customWidth="1"/>
    <col min="12815" max="12815" width="9" style="2"/>
    <col min="12816" max="12824" width="11.125" style="2" bestFit="1" customWidth="1"/>
    <col min="12825" max="12825" width="8" style="2" bestFit="1" customWidth="1"/>
    <col min="12826" max="12829" width="9" style="2"/>
    <col min="12830" max="12831" width="11.125" style="2" bestFit="1" customWidth="1"/>
    <col min="12832" max="12833" width="9" style="2"/>
    <col min="12834" max="12834" width="9.625" style="2" bestFit="1" customWidth="1"/>
    <col min="12835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9.6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70" width="11.125" style="2" bestFit="1" customWidth="1"/>
    <col min="13071" max="13071" width="9" style="2"/>
    <col min="13072" max="13080" width="11.125" style="2" bestFit="1" customWidth="1"/>
    <col min="13081" max="13081" width="8" style="2" bestFit="1" customWidth="1"/>
    <col min="13082" max="13085" width="9" style="2"/>
    <col min="13086" max="13087" width="11.125" style="2" bestFit="1" customWidth="1"/>
    <col min="13088" max="13089" width="9" style="2"/>
    <col min="13090" max="13090" width="9.625" style="2" bestFit="1" customWidth="1"/>
    <col min="13091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9.6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26" width="11.125" style="2" bestFit="1" customWidth="1"/>
    <col min="13327" max="13327" width="9" style="2"/>
    <col min="13328" max="13336" width="11.125" style="2" bestFit="1" customWidth="1"/>
    <col min="13337" max="13337" width="8" style="2" bestFit="1" customWidth="1"/>
    <col min="13338" max="13341" width="9" style="2"/>
    <col min="13342" max="13343" width="11.125" style="2" bestFit="1" customWidth="1"/>
    <col min="13344" max="13345" width="9" style="2"/>
    <col min="13346" max="13346" width="9.625" style="2" bestFit="1" customWidth="1"/>
    <col min="13347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9.6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82" width="11.125" style="2" bestFit="1" customWidth="1"/>
    <col min="13583" max="13583" width="9" style="2"/>
    <col min="13584" max="13592" width="11.125" style="2" bestFit="1" customWidth="1"/>
    <col min="13593" max="13593" width="8" style="2" bestFit="1" customWidth="1"/>
    <col min="13594" max="13597" width="9" style="2"/>
    <col min="13598" max="13599" width="11.125" style="2" bestFit="1" customWidth="1"/>
    <col min="13600" max="13601" width="9" style="2"/>
    <col min="13602" max="13602" width="9.625" style="2" bestFit="1" customWidth="1"/>
    <col min="13603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9.6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38" width="11.125" style="2" bestFit="1" customWidth="1"/>
    <col min="13839" max="13839" width="9" style="2"/>
    <col min="13840" max="13848" width="11.125" style="2" bestFit="1" customWidth="1"/>
    <col min="13849" max="13849" width="8" style="2" bestFit="1" customWidth="1"/>
    <col min="13850" max="13853" width="9" style="2"/>
    <col min="13854" max="13855" width="11.125" style="2" bestFit="1" customWidth="1"/>
    <col min="13856" max="13857" width="9" style="2"/>
    <col min="13858" max="13858" width="9.625" style="2" bestFit="1" customWidth="1"/>
    <col min="13859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9.6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094" width="11.125" style="2" bestFit="1" customWidth="1"/>
    <col min="14095" max="14095" width="9" style="2"/>
    <col min="14096" max="14104" width="11.125" style="2" bestFit="1" customWidth="1"/>
    <col min="14105" max="14105" width="8" style="2" bestFit="1" customWidth="1"/>
    <col min="14106" max="14109" width="9" style="2"/>
    <col min="14110" max="14111" width="11.125" style="2" bestFit="1" customWidth="1"/>
    <col min="14112" max="14113" width="9" style="2"/>
    <col min="14114" max="14114" width="9.625" style="2" bestFit="1" customWidth="1"/>
    <col min="14115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9.6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50" width="11.125" style="2" bestFit="1" customWidth="1"/>
    <col min="14351" max="14351" width="9" style="2"/>
    <col min="14352" max="14360" width="11.125" style="2" bestFit="1" customWidth="1"/>
    <col min="14361" max="14361" width="8" style="2" bestFit="1" customWidth="1"/>
    <col min="14362" max="14365" width="9" style="2"/>
    <col min="14366" max="14367" width="11.125" style="2" bestFit="1" customWidth="1"/>
    <col min="14368" max="14369" width="9" style="2"/>
    <col min="14370" max="14370" width="9.625" style="2" bestFit="1" customWidth="1"/>
    <col min="14371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9.6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06" width="11.125" style="2" bestFit="1" customWidth="1"/>
    <col min="14607" max="14607" width="9" style="2"/>
    <col min="14608" max="14616" width="11.125" style="2" bestFit="1" customWidth="1"/>
    <col min="14617" max="14617" width="8" style="2" bestFit="1" customWidth="1"/>
    <col min="14618" max="14621" width="9" style="2"/>
    <col min="14622" max="14623" width="11.125" style="2" bestFit="1" customWidth="1"/>
    <col min="14624" max="14625" width="9" style="2"/>
    <col min="14626" max="14626" width="9.625" style="2" bestFit="1" customWidth="1"/>
    <col min="14627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9.6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62" width="11.125" style="2" bestFit="1" customWidth="1"/>
    <col min="14863" max="14863" width="9" style="2"/>
    <col min="14864" max="14872" width="11.125" style="2" bestFit="1" customWidth="1"/>
    <col min="14873" max="14873" width="8" style="2" bestFit="1" customWidth="1"/>
    <col min="14874" max="14877" width="9" style="2"/>
    <col min="14878" max="14879" width="11.125" style="2" bestFit="1" customWidth="1"/>
    <col min="14880" max="14881" width="9" style="2"/>
    <col min="14882" max="14882" width="9.625" style="2" bestFit="1" customWidth="1"/>
    <col min="14883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9.6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18" width="11.125" style="2" bestFit="1" customWidth="1"/>
    <col min="15119" max="15119" width="9" style="2"/>
    <col min="15120" max="15128" width="11.125" style="2" bestFit="1" customWidth="1"/>
    <col min="15129" max="15129" width="8" style="2" bestFit="1" customWidth="1"/>
    <col min="15130" max="15133" width="9" style="2"/>
    <col min="15134" max="15135" width="11.125" style="2" bestFit="1" customWidth="1"/>
    <col min="15136" max="15137" width="9" style="2"/>
    <col min="15138" max="15138" width="9.625" style="2" bestFit="1" customWidth="1"/>
    <col min="15139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9.6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74" width="11.125" style="2" bestFit="1" customWidth="1"/>
    <col min="15375" max="15375" width="9" style="2"/>
    <col min="15376" max="15384" width="11.125" style="2" bestFit="1" customWidth="1"/>
    <col min="15385" max="15385" width="8" style="2" bestFit="1" customWidth="1"/>
    <col min="15386" max="15389" width="9" style="2"/>
    <col min="15390" max="15391" width="11.125" style="2" bestFit="1" customWidth="1"/>
    <col min="15392" max="15393" width="9" style="2"/>
    <col min="15394" max="15394" width="9.625" style="2" bestFit="1" customWidth="1"/>
    <col min="15395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9.6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30" width="11.125" style="2" bestFit="1" customWidth="1"/>
    <col min="15631" max="15631" width="9" style="2"/>
    <col min="15632" max="15640" width="11.125" style="2" bestFit="1" customWidth="1"/>
    <col min="15641" max="15641" width="8" style="2" bestFit="1" customWidth="1"/>
    <col min="15642" max="15645" width="9" style="2"/>
    <col min="15646" max="15647" width="11.125" style="2" bestFit="1" customWidth="1"/>
    <col min="15648" max="15649" width="9" style="2"/>
    <col min="15650" max="15650" width="9.625" style="2" bestFit="1" customWidth="1"/>
    <col min="15651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9.6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86" width="11.125" style="2" bestFit="1" customWidth="1"/>
    <col min="15887" max="15887" width="9" style="2"/>
    <col min="15888" max="15896" width="11.125" style="2" bestFit="1" customWidth="1"/>
    <col min="15897" max="15897" width="8" style="2" bestFit="1" customWidth="1"/>
    <col min="15898" max="15901" width="9" style="2"/>
    <col min="15902" max="15903" width="11.125" style="2" bestFit="1" customWidth="1"/>
    <col min="15904" max="15905" width="9" style="2"/>
    <col min="15906" max="15906" width="9.625" style="2" bestFit="1" customWidth="1"/>
    <col min="15907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9.6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42" width="11.125" style="2" bestFit="1" customWidth="1"/>
    <col min="16143" max="16143" width="9" style="2"/>
    <col min="16144" max="16152" width="11.125" style="2" bestFit="1" customWidth="1"/>
    <col min="16153" max="16153" width="8" style="2" bestFit="1" customWidth="1"/>
    <col min="16154" max="16157" width="9" style="2"/>
    <col min="16158" max="16159" width="11.125" style="2" bestFit="1" customWidth="1"/>
    <col min="16160" max="16161" width="9" style="2"/>
    <col min="16162" max="16162" width="9.625" style="2" bestFit="1" customWidth="1"/>
    <col min="16163" max="16384" width="9" style="2"/>
  </cols>
  <sheetData>
    <row r="1" spans="1:36">
      <c r="A1" s="1" t="s">
        <v>0</v>
      </c>
    </row>
    <row r="2" spans="1:36">
      <c r="A2" s="1"/>
    </row>
    <row r="3" spans="1:36">
      <c r="A3" s="1" t="s">
        <v>1</v>
      </c>
    </row>
    <row r="4" spans="1:36">
      <c r="A4" s="1" t="s">
        <v>2</v>
      </c>
    </row>
    <row r="5" spans="1:36">
      <c r="A5" s="1" t="s">
        <v>3</v>
      </c>
    </row>
    <row r="6" spans="1:36" ht="19.5" thickBot="1">
      <c r="A6" s="1" t="s">
        <v>138</v>
      </c>
    </row>
    <row r="7" spans="1:36">
      <c r="B7" s="4"/>
      <c r="C7" s="11" t="s">
        <v>4</v>
      </c>
      <c r="D7" s="12" t="s">
        <v>5</v>
      </c>
      <c r="E7" s="12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12" t="s">
        <v>16</v>
      </c>
      <c r="M7" s="12" t="s">
        <v>17</v>
      </c>
      <c r="N7" s="12" t="s">
        <v>18</v>
      </c>
      <c r="O7" s="12" t="s">
        <v>19</v>
      </c>
      <c r="P7" s="12" t="s">
        <v>20</v>
      </c>
      <c r="Q7" s="12" t="s">
        <v>21</v>
      </c>
      <c r="R7" s="12" t="s">
        <v>22</v>
      </c>
      <c r="S7" s="56" t="s">
        <v>23</v>
      </c>
      <c r="T7" s="90" t="s">
        <v>139</v>
      </c>
      <c r="U7" s="67" t="s">
        <v>6</v>
      </c>
      <c r="V7" s="12" t="s">
        <v>7</v>
      </c>
      <c r="W7" s="12" t="s">
        <v>28</v>
      </c>
      <c r="X7" s="12" t="s">
        <v>29</v>
      </c>
      <c r="Y7" s="12" t="s">
        <v>24</v>
      </c>
      <c r="Z7" s="12" t="s">
        <v>25</v>
      </c>
      <c r="AA7" s="12" t="s">
        <v>26</v>
      </c>
      <c r="AB7" s="12" t="s">
        <v>27</v>
      </c>
      <c r="AC7" s="12" t="s">
        <v>30</v>
      </c>
      <c r="AD7" s="13" t="s">
        <v>31</v>
      </c>
      <c r="AE7" s="90" t="s">
        <v>139</v>
      </c>
      <c r="AF7" s="78" t="s">
        <v>8</v>
      </c>
      <c r="AG7" s="90" t="s">
        <v>139</v>
      </c>
      <c r="AH7" s="91"/>
    </row>
    <row r="8" spans="1:36" ht="19.5" thickBot="1">
      <c r="A8" s="3"/>
      <c r="B8" s="31" t="s">
        <v>32</v>
      </c>
      <c r="C8" s="32" t="s">
        <v>33</v>
      </c>
      <c r="D8" s="33" t="s">
        <v>34</v>
      </c>
      <c r="E8" s="33" t="s">
        <v>38</v>
      </c>
      <c r="F8" s="33" t="s">
        <v>39</v>
      </c>
      <c r="G8" s="33" t="s">
        <v>40</v>
      </c>
      <c r="H8" s="33" t="s">
        <v>41</v>
      </c>
      <c r="I8" s="33" t="s">
        <v>42</v>
      </c>
      <c r="J8" s="33" t="s">
        <v>43</v>
      </c>
      <c r="K8" s="33" t="s">
        <v>44</v>
      </c>
      <c r="L8" s="33" t="s">
        <v>45</v>
      </c>
      <c r="M8" s="33" t="s">
        <v>46</v>
      </c>
      <c r="N8" s="33" t="s">
        <v>47</v>
      </c>
      <c r="O8" s="33" t="s">
        <v>48</v>
      </c>
      <c r="P8" s="33" t="s">
        <v>49</v>
      </c>
      <c r="Q8" s="33" t="s">
        <v>50</v>
      </c>
      <c r="R8" s="33" t="s">
        <v>51</v>
      </c>
      <c r="S8" s="57" t="s">
        <v>52</v>
      </c>
      <c r="T8" s="79" t="s">
        <v>140</v>
      </c>
      <c r="U8" s="68" t="s">
        <v>35</v>
      </c>
      <c r="V8" s="33" t="s">
        <v>36</v>
      </c>
      <c r="W8" s="33" t="s">
        <v>57</v>
      </c>
      <c r="X8" s="33" t="s">
        <v>58</v>
      </c>
      <c r="Y8" s="33" t="s">
        <v>53</v>
      </c>
      <c r="Z8" s="33" t="s">
        <v>54</v>
      </c>
      <c r="AA8" s="33" t="s">
        <v>55</v>
      </c>
      <c r="AB8" s="33" t="s">
        <v>56</v>
      </c>
      <c r="AC8" s="33" t="s">
        <v>59</v>
      </c>
      <c r="AD8" s="34" t="s">
        <v>60</v>
      </c>
      <c r="AE8" s="79" t="s">
        <v>141</v>
      </c>
      <c r="AF8" s="92" t="s">
        <v>37</v>
      </c>
      <c r="AG8" s="79" t="s">
        <v>142</v>
      </c>
      <c r="AH8" s="93" t="s">
        <v>61</v>
      </c>
    </row>
    <row r="9" spans="1:36">
      <c r="A9" s="1" t="s">
        <v>3</v>
      </c>
      <c r="B9" s="26" t="s">
        <v>62</v>
      </c>
      <c r="C9" s="27">
        <v>16</v>
      </c>
      <c r="D9" s="28">
        <v>19</v>
      </c>
      <c r="E9" s="28">
        <v>17</v>
      </c>
      <c r="F9" s="28">
        <v>21</v>
      </c>
      <c r="G9" s="28">
        <v>20</v>
      </c>
      <c r="H9" s="28">
        <v>19</v>
      </c>
      <c r="I9" s="28">
        <v>20</v>
      </c>
      <c r="J9" s="28">
        <v>18</v>
      </c>
      <c r="K9" s="28">
        <v>20</v>
      </c>
      <c r="L9" s="28">
        <v>19</v>
      </c>
      <c r="M9" s="28">
        <v>0</v>
      </c>
      <c r="N9" s="28">
        <v>10</v>
      </c>
      <c r="O9" s="28">
        <v>19</v>
      </c>
      <c r="P9" s="28">
        <v>17</v>
      </c>
      <c r="Q9" s="28">
        <v>20</v>
      </c>
      <c r="R9" s="28">
        <v>20</v>
      </c>
      <c r="S9" s="58">
        <v>19</v>
      </c>
      <c r="T9" s="80">
        <f>SUM(C9:S9)</f>
        <v>294</v>
      </c>
      <c r="U9" s="69">
        <v>21</v>
      </c>
      <c r="V9" s="28">
        <v>21</v>
      </c>
      <c r="W9" s="28">
        <v>15</v>
      </c>
      <c r="X9" s="28">
        <v>14</v>
      </c>
      <c r="Y9" s="28">
        <v>0</v>
      </c>
      <c r="Z9" s="28">
        <v>10</v>
      </c>
      <c r="AA9" s="28">
        <v>6</v>
      </c>
      <c r="AB9" s="28">
        <v>10</v>
      </c>
      <c r="AC9" s="28">
        <v>8</v>
      </c>
      <c r="AD9" s="29">
        <v>11</v>
      </c>
      <c r="AE9" s="30">
        <f>SUM(U9:AD9)</f>
        <v>116</v>
      </c>
      <c r="AF9" s="80">
        <v>21</v>
      </c>
      <c r="AG9" s="80">
        <f>SUM(AF9)</f>
        <v>21</v>
      </c>
      <c r="AH9" s="80">
        <f>T9+AE9+AG9</f>
        <v>431</v>
      </c>
      <c r="AJ9" s="30">
        <v>431</v>
      </c>
    </row>
    <row r="10" spans="1:36">
      <c r="A10" s="1" t="s">
        <v>3</v>
      </c>
      <c r="B10" s="5" t="s">
        <v>63</v>
      </c>
      <c r="C10" s="14">
        <v>3</v>
      </c>
      <c r="D10" s="15">
        <v>4</v>
      </c>
      <c r="E10" s="15">
        <v>4</v>
      </c>
      <c r="F10" s="15">
        <v>1</v>
      </c>
      <c r="G10" s="15">
        <v>3</v>
      </c>
      <c r="H10" s="15">
        <v>3</v>
      </c>
      <c r="I10" s="15">
        <v>3</v>
      </c>
      <c r="J10" s="15">
        <v>2</v>
      </c>
      <c r="K10" s="15">
        <v>3</v>
      </c>
      <c r="L10" s="15">
        <v>4</v>
      </c>
      <c r="M10" s="15">
        <v>0</v>
      </c>
      <c r="N10" s="15">
        <v>2</v>
      </c>
      <c r="O10" s="15">
        <v>3</v>
      </c>
      <c r="P10" s="15">
        <v>2</v>
      </c>
      <c r="Q10" s="15">
        <v>3</v>
      </c>
      <c r="R10" s="15">
        <v>2</v>
      </c>
      <c r="S10" s="59">
        <v>1</v>
      </c>
      <c r="T10" s="80">
        <f t="shared" ref="T10:T13" si="0">SUM(C10:S10)</f>
        <v>43</v>
      </c>
      <c r="U10" s="70">
        <v>0</v>
      </c>
      <c r="V10" s="15">
        <v>3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6">
        <v>0</v>
      </c>
      <c r="AE10" s="30">
        <f t="shared" ref="AE10:AE13" si="1">SUM(U10:AD10)</f>
        <v>3</v>
      </c>
      <c r="AF10" s="81">
        <v>0</v>
      </c>
      <c r="AG10" s="81"/>
      <c r="AH10" s="81">
        <f t="shared" ref="AH10:AH73" si="2">T10+AE10+AG10</f>
        <v>46</v>
      </c>
      <c r="AJ10" s="7">
        <v>46</v>
      </c>
    </row>
    <row r="11" spans="1:36">
      <c r="A11" s="1" t="s">
        <v>3</v>
      </c>
      <c r="B11" s="5" t="s">
        <v>64</v>
      </c>
      <c r="C11" s="14">
        <v>5</v>
      </c>
      <c r="D11" s="15">
        <v>3</v>
      </c>
      <c r="E11" s="15">
        <v>3</v>
      </c>
      <c r="F11" s="15">
        <v>3</v>
      </c>
      <c r="G11" s="15">
        <v>3</v>
      </c>
      <c r="H11" s="15">
        <v>2</v>
      </c>
      <c r="I11" s="15">
        <v>3</v>
      </c>
      <c r="J11" s="15">
        <v>4</v>
      </c>
      <c r="K11" s="15">
        <v>3</v>
      </c>
      <c r="L11" s="15">
        <v>2</v>
      </c>
      <c r="M11" s="15">
        <v>0</v>
      </c>
      <c r="N11" s="15">
        <v>4</v>
      </c>
      <c r="O11" s="15">
        <v>3</v>
      </c>
      <c r="P11" s="15">
        <v>4</v>
      </c>
      <c r="Q11" s="15">
        <v>1</v>
      </c>
      <c r="R11" s="15">
        <v>3</v>
      </c>
      <c r="S11" s="59">
        <v>2</v>
      </c>
      <c r="T11" s="80">
        <f t="shared" si="0"/>
        <v>48</v>
      </c>
      <c r="U11" s="70">
        <v>0</v>
      </c>
      <c r="V11" s="15">
        <v>1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6">
        <v>0</v>
      </c>
      <c r="AE11" s="30">
        <f t="shared" si="1"/>
        <v>1</v>
      </c>
      <c r="AF11" s="81">
        <v>0</v>
      </c>
      <c r="AG11" s="81"/>
      <c r="AH11" s="81">
        <f t="shared" si="2"/>
        <v>49</v>
      </c>
      <c r="AJ11" s="7">
        <v>49</v>
      </c>
    </row>
    <row r="12" spans="1:36">
      <c r="A12" s="1" t="s">
        <v>3</v>
      </c>
      <c r="B12" s="5" t="s">
        <v>65</v>
      </c>
      <c r="C12" s="14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59">
        <v>2</v>
      </c>
      <c r="T12" s="80">
        <f t="shared" si="0"/>
        <v>2</v>
      </c>
      <c r="U12" s="70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6">
        <v>0</v>
      </c>
      <c r="AE12" s="30">
        <f t="shared" si="1"/>
        <v>0</v>
      </c>
      <c r="AF12" s="81">
        <v>0</v>
      </c>
      <c r="AG12" s="81"/>
      <c r="AH12" s="81">
        <f t="shared" si="2"/>
        <v>2</v>
      </c>
      <c r="AJ12" s="7">
        <v>2</v>
      </c>
    </row>
    <row r="13" spans="1:36">
      <c r="A13" s="1" t="s">
        <v>3</v>
      </c>
      <c r="B13" s="5" t="s">
        <v>66</v>
      </c>
      <c r="C13" s="14">
        <v>5</v>
      </c>
      <c r="D13" s="15">
        <v>2</v>
      </c>
      <c r="E13" s="15">
        <v>4</v>
      </c>
      <c r="F13" s="15">
        <v>0</v>
      </c>
      <c r="G13" s="15">
        <v>1</v>
      </c>
      <c r="H13" s="15">
        <v>2</v>
      </c>
      <c r="I13" s="15">
        <v>1</v>
      </c>
      <c r="J13" s="15">
        <v>3</v>
      </c>
      <c r="K13" s="15">
        <v>1</v>
      </c>
      <c r="L13" s="15">
        <v>2</v>
      </c>
      <c r="M13" s="15">
        <v>0</v>
      </c>
      <c r="N13" s="15">
        <v>8</v>
      </c>
      <c r="O13" s="15">
        <v>2</v>
      </c>
      <c r="P13" s="15">
        <v>2</v>
      </c>
      <c r="Q13" s="15">
        <v>1</v>
      </c>
      <c r="R13" s="15">
        <v>1</v>
      </c>
      <c r="S13" s="59">
        <v>0</v>
      </c>
      <c r="T13" s="80">
        <f t="shared" si="0"/>
        <v>35</v>
      </c>
      <c r="U13" s="70">
        <v>0</v>
      </c>
      <c r="V13" s="15">
        <v>0</v>
      </c>
      <c r="W13" s="15">
        <v>1</v>
      </c>
      <c r="X13" s="15">
        <v>1</v>
      </c>
      <c r="Y13" s="15">
        <v>1</v>
      </c>
      <c r="Z13" s="15">
        <v>0</v>
      </c>
      <c r="AA13" s="15">
        <v>0</v>
      </c>
      <c r="AB13" s="15">
        <v>0</v>
      </c>
      <c r="AC13" s="15">
        <v>0</v>
      </c>
      <c r="AD13" s="16">
        <v>0</v>
      </c>
      <c r="AE13" s="30">
        <f t="shared" si="1"/>
        <v>3</v>
      </c>
      <c r="AF13" s="81">
        <v>0</v>
      </c>
      <c r="AG13" s="81"/>
      <c r="AH13" s="81">
        <f t="shared" si="2"/>
        <v>38</v>
      </c>
      <c r="AJ13" s="7">
        <v>38</v>
      </c>
    </row>
    <row r="14" spans="1:36">
      <c r="A14" s="1" t="s">
        <v>3</v>
      </c>
      <c r="B14" s="5" t="s">
        <v>67</v>
      </c>
      <c r="C14" s="14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3</v>
      </c>
      <c r="O14" s="15">
        <v>0</v>
      </c>
      <c r="P14" s="15">
        <v>2</v>
      </c>
      <c r="Q14" s="15">
        <v>0</v>
      </c>
      <c r="R14" s="15">
        <v>0</v>
      </c>
      <c r="S14" s="59">
        <v>0</v>
      </c>
      <c r="T14" s="81"/>
      <c r="U14" s="70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6">
        <v>0</v>
      </c>
      <c r="AE14" s="7"/>
      <c r="AF14" s="81">
        <v>0</v>
      </c>
      <c r="AG14" s="81"/>
      <c r="AH14" s="81">
        <f t="shared" si="2"/>
        <v>0</v>
      </c>
      <c r="AJ14" s="7">
        <v>5</v>
      </c>
    </row>
    <row r="15" spans="1:36">
      <c r="A15" s="1" t="s">
        <v>3</v>
      </c>
      <c r="B15" s="5" t="s">
        <v>68</v>
      </c>
      <c r="C15" s="14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59">
        <v>0</v>
      </c>
      <c r="T15" s="81"/>
      <c r="U15" s="70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6">
        <v>0</v>
      </c>
      <c r="AE15" s="7"/>
      <c r="AF15" s="81">
        <v>0</v>
      </c>
      <c r="AG15" s="81"/>
      <c r="AH15" s="81">
        <f t="shared" si="2"/>
        <v>0</v>
      </c>
      <c r="AJ15" s="7">
        <v>0</v>
      </c>
    </row>
    <row r="16" spans="1:36">
      <c r="A16" s="1" t="s">
        <v>3</v>
      </c>
      <c r="B16" s="5" t="s">
        <v>69</v>
      </c>
      <c r="C16" s="14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59">
        <v>0</v>
      </c>
      <c r="T16" s="81"/>
      <c r="U16" s="70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6">
        <v>0</v>
      </c>
      <c r="AE16" s="7"/>
      <c r="AF16" s="81">
        <v>0</v>
      </c>
      <c r="AG16" s="81"/>
      <c r="AH16" s="81">
        <f t="shared" si="2"/>
        <v>0</v>
      </c>
      <c r="AJ16" s="7">
        <v>0</v>
      </c>
    </row>
    <row r="17" spans="1:36">
      <c r="A17" s="1" t="s">
        <v>3</v>
      </c>
      <c r="B17" s="5" t="s">
        <v>70</v>
      </c>
      <c r="C17" s="17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60">
        <v>0</v>
      </c>
      <c r="T17" s="82"/>
      <c r="U17" s="71">
        <v>0</v>
      </c>
      <c r="V17" s="18">
        <v>0</v>
      </c>
      <c r="W17" s="18">
        <v>4.125</v>
      </c>
      <c r="X17" s="18">
        <v>3.7083333333333335</v>
      </c>
      <c r="Y17" s="18">
        <v>0</v>
      </c>
      <c r="Z17" s="18">
        <v>2.9166666666666665</v>
      </c>
      <c r="AA17" s="18">
        <v>1.75</v>
      </c>
      <c r="AB17" s="18">
        <v>2.9583333333333335</v>
      </c>
      <c r="AC17" s="18">
        <v>2.5</v>
      </c>
      <c r="AD17" s="19">
        <v>1.9166666666666665</v>
      </c>
      <c r="AE17" s="8">
        <f>SUM(U17:AD17)</f>
        <v>19.875000000000004</v>
      </c>
      <c r="AF17" s="82">
        <v>0</v>
      </c>
      <c r="AG17" s="82"/>
      <c r="AH17" s="82">
        <f t="shared" si="2"/>
        <v>19.875000000000004</v>
      </c>
      <c r="AJ17" s="8">
        <v>19.875000000000004</v>
      </c>
    </row>
    <row r="18" spans="1:36">
      <c r="A18" s="1" t="s">
        <v>3</v>
      </c>
      <c r="B18" s="5" t="s">
        <v>71</v>
      </c>
      <c r="C18" s="1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60">
        <v>0</v>
      </c>
      <c r="T18" s="82"/>
      <c r="U18" s="71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9">
        <v>0</v>
      </c>
      <c r="AE18" s="8">
        <f t="shared" ref="AE18:AE21" si="3">SUM(U18:AD18)</f>
        <v>0</v>
      </c>
      <c r="AF18" s="82">
        <v>0</v>
      </c>
      <c r="AG18" s="82"/>
      <c r="AH18" s="82">
        <f t="shared" si="2"/>
        <v>0</v>
      </c>
      <c r="AJ18" s="8">
        <v>0</v>
      </c>
    </row>
    <row r="19" spans="1:36">
      <c r="A19" s="1" t="s">
        <v>3</v>
      </c>
      <c r="B19" s="5" t="s">
        <v>72</v>
      </c>
      <c r="C19" s="17">
        <v>1</v>
      </c>
      <c r="D19" s="18">
        <v>2.7916666666666665</v>
      </c>
      <c r="E19" s="18">
        <v>1.5</v>
      </c>
      <c r="F19" s="18">
        <v>2.9166666666666665</v>
      </c>
      <c r="G19" s="18">
        <v>2.125</v>
      </c>
      <c r="H19" s="18">
        <v>2.7916666666666665</v>
      </c>
      <c r="I19" s="18">
        <v>3.0416666666666665</v>
      </c>
      <c r="J19" s="18">
        <v>1.5833333333333335</v>
      </c>
      <c r="K19" s="18">
        <v>2.125</v>
      </c>
      <c r="L19" s="18">
        <v>2.6666666666666665</v>
      </c>
      <c r="M19" s="18">
        <v>0</v>
      </c>
      <c r="N19" s="18">
        <v>1.2083333333333333</v>
      </c>
      <c r="O19" s="18">
        <v>1.9166666666666665</v>
      </c>
      <c r="P19" s="18">
        <v>3.25</v>
      </c>
      <c r="Q19" s="18">
        <v>3.5416666666666665</v>
      </c>
      <c r="R19" s="18">
        <v>1.625</v>
      </c>
      <c r="S19" s="60">
        <v>2.5416666666666665</v>
      </c>
      <c r="T19" s="82">
        <f>SUM(C19:S19)</f>
        <v>36.624999999999993</v>
      </c>
      <c r="U19" s="71">
        <v>0</v>
      </c>
      <c r="V19" s="18">
        <v>1.7916666666666665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0.125</v>
      </c>
      <c r="AD19" s="19">
        <v>0</v>
      </c>
      <c r="AE19" s="8">
        <f t="shared" si="3"/>
        <v>1.9166666666666665</v>
      </c>
      <c r="AF19" s="82">
        <v>0</v>
      </c>
      <c r="AG19" s="82"/>
      <c r="AH19" s="82">
        <f t="shared" si="2"/>
        <v>38.541666666666657</v>
      </c>
      <c r="AJ19" s="8">
        <v>38.541666666666664</v>
      </c>
    </row>
    <row r="20" spans="1:36">
      <c r="A20" s="1" t="s">
        <v>3</v>
      </c>
      <c r="B20" s="5" t="s">
        <v>73</v>
      </c>
      <c r="C20" s="17">
        <v>1.2083333333333333</v>
      </c>
      <c r="D20" s="18">
        <v>1.8333333333333335</v>
      </c>
      <c r="E20" s="18">
        <v>1.2083333333333333</v>
      </c>
      <c r="F20" s="18">
        <v>0.375</v>
      </c>
      <c r="G20" s="18">
        <v>1.0833333333333333</v>
      </c>
      <c r="H20" s="18">
        <v>0.875</v>
      </c>
      <c r="I20" s="18">
        <v>1.0833333333333333</v>
      </c>
      <c r="J20" s="18">
        <v>0.95833333333333337</v>
      </c>
      <c r="K20" s="18">
        <v>1.1666666666666667</v>
      </c>
      <c r="L20" s="18">
        <v>1.25</v>
      </c>
      <c r="M20" s="18">
        <v>0</v>
      </c>
      <c r="N20" s="18">
        <v>0.70833333333333337</v>
      </c>
      <c r="O20" s="18">
        <v>0.83333333333333337</v>
      </c>
      <c r="P20" s="18">
        <v>0.5</v>
      </c>
      <c r="Q20" s="18">
        <v>0.79166666666666663</v>
      </c>
      <c r="R20" s="18">
        <v>0.79166666666666663</v>
      </c>
      <c r="S20" s="60">
        <v>0.33333333333333331</v>
      </c>
      <c r="T20" s="82">
        <f t="shared" ref="T20:T23" si="4">SUM(C20:S20)</f>
        <v>15</v>
      </c>
      <c r="U20" s="71">
        <v>0</v>
      </c>
      <c r="V20" s="18">
        <v>1.0833333333333333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>
        <v>0</v>
      </c>
      <c r="AE20" s="8">
        <f t="shared" si="3"/>
        <v>1.0833333333333333</v>
      </c>
      <c r="AF20" s="82">
        <v>0</v>
      </c>
      <c r="AG20" s="82"/>
      <c r="AH20" s="82">
        <f t="shared" si="2"/>
        <v>16.083333333333332</v>
      </c>
      <c r="AJ20" s="8">
        <v>16.083333333333332</v>
      </c>
    </row>
    <row r="21" spans="1:36">
      <c r="A21" s="1" t="s">
        <v>3</v>
      </c>
      <c r="B21" s="5" t="s">
        <v>74</v>
      </c>
      <c r="C21" s="17">
        <v>1.8333333333333335</v>
      </c>
      <c r="D21" s="18">
        <v>1.0833333333333333</v>
      </c>
      <c r="E21" s="18">
        <v>1.375</v>
      </c>
      <c r="F21" s="18">
        <v>1.4583333333333333</v>
      </c>
      <c r="G21" s="18">
        <v>1.375</v>
      </c>
      <c r="H21" s="18">
        <v>0.875</v>
      </c>
      <c r="I21" s="18">
        <v>1.2083333333333333</v>
      </c>
      <c r="J21" s="18">
        <v>1.125</v>
      </c>
      <c r="K21" s="18">
        <v>1.0833333333333333</v>
      </c>
      <c r="L21" s="18">
        <v>0.625</v>
      </c>
      <c r="M21" s="18">
        <v>0</v>
      </c>
      <c r="N21" s="18">
        <v>1.7916666666666665</v>
      </c>
      <c r="O21" s="18">
        <v>1.125</v>
      </c>
      <c r="P21" s="18">
        <v>1.4583333333333333</v>
      </c>
      <c r="Q21" s="18">
        <v>0.5</v>
      </c>
      <c r="R21" s="18">
        <v>1.1666666666666667</v>
      </c>
      <c r="S21" s="60">
        <v>0</v>
      </c>
      <c r="T21" s="82">
        <f t="shared" si="4"/>
        <v>18.083333333333336</v>
      </c>
      <c r="U21" s="71">
        <v>0</v>
      </c>
      <c r="V21" s="18">
        <v>8.3333333333333329E-2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9">
        <v>0</v>
      </c>
      <c r="AE21" s="8">
        <f t="shared" si="3"/>
        <v>8.3333333333333329E-2</v>
      </c>
      <c r="AF21" s="82">
        <v>0</v>
      </c>
      <c r="AG21" s="82"/>
      <c r="AH21" s="82">
        <f t="shared" si="2"/>
        <v>18.166666666666668</v>
      </c>
      <c r="AJ21" s="8">
        <v>18.166666666666668</v>
      </c>
    </row>
    <row r="22" spans="1:36">
      <c r="A22" s="1" t="s">
        <v>3</v>
      </c>
      <c r="B22" s="5" t="s">
        <v>75</v>
      </c>
      <c r="C22" s="17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60">
        <v>0</v>
      </c>
      <c r="T22" s="82">
        <f t="shared" si="4"/>
        <v>0</v>
      </c>
      <c r="U22" s="71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9">
        <v>0</v>
      </c>
      <c r="AE22" s="8"/>
      <c r="AF22" s="82">
        <v>0</v>
      </c>
      <c r="AG22" s="82"/>
      <c r="AH22" s="82">
        <f t="shared" si="2"/>
        <v>0</v>
      </c>
      <c r="AJ22" s="8">
        <v>0</v>
      </c>
    </row>
    <row r="23" spans="1:36">
      <c r="A23" s="1" t="s">
        <v>3</v>
      </c>
      <c r="B23" s="5" t="s">
        <v>76</v>
      </c>
      <c r="C23" s="17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60">
        <v>0.83333333333333337</v>
      </c>
      <c r="T23" s="82">
        <f t="shared" si="4"/>
        <v>0.83333333333333337</v>
      </c>
      <c r="U23" s="71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9">
        <v>0</v>
      </c>
      <c r="AE23" s="8"/>
      <c r="AF23" s="82">
        <v>0</v>
      </c>
      <c r="AG23" s="82"/>
      <c r="AH23" s="82">
        <f t="shared" si="2"/>
        <v>0.83333333333333337</v>
      </c>
      <c r="AJ23" s="8">
        <v>0.83333333333333337</v>
      </c>
    </row>
    <row r="24" spans="1:36">
      <c r="A24" s="1" t="s">
        <v>3</v>
      </c>
      <c r="B24" s="5" t="s">
        <v>77</v>
      </c>
      <c r="C24" s="17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60">
        <v>0</v>
      </c>
      <c r="T24" s="82"/>
      <c r="U24" s="71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9">
        <v>0</v>
      </c>
      <c r="AE24" s="8"/>
      <c r="AF24" s="82">
        <v>0</v>
      </c>
      <c r="AG24" s="82"/>
      <c r="AH24" s="82">
        <f t="shared" si="2"/>
        <v>0</v>
      </c>
      <c r="AJ24" s="8">
        <v>0</v>
      </c>
    </row>
    <row r="25" spans="1:36">
      <c r="A25" s="1" t="s">
        <v>3</v>
      </c>
      <c r="B25" s="5" t="s">
        <v>78</v>
      </c>
      <c r="C25" s="17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60">
        <v>0</v>
      </c>
      <c r="T25" s="82"/>
      <c r="U25" s="71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9">
        <v>0</v>
      </c>
      <c r="AE25" s="8"/>
      <c r="AF25" s="82">
        <v>0</v>
      </c>
      <c r="AG25" s="82"/>
      <c r="AH25" s="82">
        <f t="shared" si="2"/>
        <v>0</v>
      </c>
      <c r="AJ25" s="8">
        <v>0</v>
      </c>
    </row>
    <row r="26" spans="1:36">
      <c r="A26" s="1" t="s">
        <v>3</v>
      </c>
      <c r="B26" s="5" t="s">
        <v>79</v>
      </c>
      <c r="C26" s="17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60">
        <v>0</v>
      </c>
      <c r="T26" s="82"/>
      <c r="U26" s="71">
        <v>0</v>
      </c>
      <c r="V26" s="18">
        <v>0</v>
      </c>
      <c r="W26" s="18">
        <v>0.29166666666666669</v>
      </c>
      <c r="X26" s="18">
        <v>0.29166666666666669</v>
      </c>
      <c r="Y26" s="18">
        <v>0.16666666666666666</v>
      </c>
      <c r="Z26" s="18">
        <v>0</v>
      </c>
      <c r="AA26" s="18">
        <v>0</v>
      </c>
      <c r="AB26" s="18">
        <v>0</v>
      </c>
      <c r="AC26" s="18">
        <v>0</v>
      </c>
      <c r="AD26" s="19">
        <v>0</v>
      </c>
      <c r="AE26" s="8">
        <f>SUM(U26:AD26)</f>
        <v>0.75</v>
      </c>
      <c r="AF26" s="82">
        <v>0</v>
      </c>
      <c r="AG26" s="82"/>
      <c r="AH26" s="82">
        <f t="shared" si="2"/>
        <v>0.75</v>
      </c>
      <c r="AJ26" s="8">
        <v>0.75</v>
      </c>
    </row>
    <row r="27" spans="1:36">
      <c r="A27" s="1" t="s">
        <v>3</v>
      </c>
      <c r="B27" s="5" t="s">
        <v>80</v>
      </c>
      <c r="C27" s="17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60">
        <v>0</v>
      </c>
      <c r="T27" s="82"/>
      <c r="U27" s="71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9">
        <v>0</v>
      </c>
      <c r="AE27" s="8"/>
      <c r="AF27" s="82">
        <v>0</v>
      </c>
      <c r="AG27" s="82"/>
      <c r="AH27" s="82">
        <f t="shared" si="2"/>
        <v>0</v>
      </c>
      <c r="AJ27" s="8">
        <v>0</v>
      </c>
    </row>
    <row r="28" spans="1:36">
      <c r="A28" s="1" t="s">
        <v>3</v>
      </c>
      <c r="B28" s="5" t="s">
        <v>81</v>
      </c>
      <c r="C28" s="17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60">
        <v>0</v>
      </c>
      <c r="T28" s="82"/>
      <c r="U28" s="71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9">
        <v>0</v>
      </c>
      <c r="AE28" s="8"/>
      <c r="AF28" s="82">
        <v>0</v>
      </c>
      <c r="AG28" s="82"/>
      <c r="AH28" s="82">
        <f t="shared" si="2"/>
        <v>0</v>
      </c>
      <c r="AJ28" s="8">
        <v>0</v>
      </c>
    </row>
    <row r="29" spans="1:36">
      <c r="A29" s="1" t="s">
        <v>3</v>
      </c>
      <c r="B29" s="5" t="s">
        <v>82</v>
      </c>
      <c r="C29" s="17">
        <v>8.3333333333333329E-2</v>
      </c>
      <c r="D29" s="18">
        <v>0.33333333333333331</v>
      </c>
      <c r="E29" s="18">
        <v>0.125</v>
      </c>
      <c r="F29" s="18">
        <v>1.2916666666666667</v>
      </c>
      <c r="G29" s="18">
        <v>2.5833333333333335</v>
      </c>
      <c r="H29" s="18">
        <v>1.125</v>
      </c>
      <c r="I29" s="18">
        <v>0.33333333333333331</v>
      </c>
      <c r="J29" s="18">
        <v>0.45833333333333331</v>
      </c>
      <c r="K29" s="18">
        <v>4.1666666666666664E-2</v>
      </c>
      <c r="L29" s="18">
        <v>0.375</v>
      </c>
      <c r="M29" s="18">
        <v>0</v>
      </c>
      <c r="N29" s="18">
        <v>1.3333333333333333</v>
      </c>
      <c r="O29" s="18">
        <v>8.3333333333333329E-2</v>
      </c>
      <c r="P29" s="18">
        <v>1.5416666666666665</v>
      </c>
      <c r="Q29" s="18">
        <v>1.625</v>
      </c>
      <c r="R29" s="18">
        <v>1.375</v>
      </c>
      <c r="S29" s="60">
        <v>2.4583333333333335</v>
      </c>
      <c r="T29" s="82">
        <f>SUM(C29:S29)</f>
        <v>15.166666666666668</v>
      </c>
      <c r="U29" s="71">
        <v>0</v>
      </c>
      <c r="V29" s="18">
        <v>0</v>
      </c>
      <c r="W29" s="18">
        <v>0</v>
      </c>
      <c r="X29" s="18">
        <v>0</v>
      </c>
      <c r="Y29" s="18">
        <v>0</v>
      </c>
      <c r="Z29" s="18">
        <v>2.0833333333333335</v>
      </c>
      <c r="AA29" s="18">
        <v>1.25</v>
      </c>
      <c r="AB29" s="18">
        <v>2.0833333333333335</v>
      </c>
      <c r="AC29" s="18">
        <v>0.83333333333333337</v>
      </c>
      <c r="AD29" s="19">
        <v>0</v>
      </c>
      <c r="AE29" s="8">
        <f>SUM(U29:AD29)</f>
        <v>6.25</v>
      </c>
      <c r="AF29" s="82">
        <v>4.1666666666666664E-2</v>
      </c>
      <c r="AG29" s="82">
        <f>SUM(AF29)</f>
        <v>4.1666666666666664E-2</v>
      </c>
      <c r="AH29" s="82">
        <f t="shared" si="2"/>
        <v>21.458333333333336</v>
      </c>
      <c r="AJ29" s="8">
        <v>21.458333333333332</v>
      </c>
    </row>
    <row r="30" spans="1:36" ht="19.5" thickBot="1">
      <c r="A30" s="1" t="s">
        <v>3</v>
      </c>
      <c r="B30" s="6" t="s">
        <v>83</v>
      </c>
      <c r="C30" s="39">
        <v>20</v>
      </c>
      <c r="D30" s="40">
        <v>28</v>
      </c>
      <c r="E30" s="40">
        <v>33</v>
      </c>
      <c r="F30" s="40">
        <v>34</v>
      </c>
      <c r="G30" s="40">
        <v>20</v>
      </c>
      <c r="H30" s="40">
        <v>28</v>
      </c>
      <c r="I30" s="40">
        <v>28</v>
      </c>
      <c r="J30" s="40">
        <v>13</v>
      </c>
      <c r="K30" s="40">
        <v>20</v>
      </c>
      <c r="L30" s="40">
        <v>29</v>
      </c>
      <c r="M30" s="40">
        <v>6</v>
      </c>
      <c r="N30" s="40">
        <v>5</v>
      </c>
      <c r="O30" s="40">
        <v>19</v>
      </c>
      <c r="P30" s="40">
        <v>11</v>
      </c>
      <c r="Q30" s="40">
        <v>10</v>
      </c>
      <c r="R30" s="40">
        <v>8</v>
      </c>
      <c r="S30" s="61">
        <v>0</v>
      </c>
      <c r="T30" s="83">
        <f>SUM(C30:S30)</f>
        <v>312</v>
      </c>
      <c r="U30" s="72">
        <v>37</v>
      </c>
      <c r="V30" s="40">
        <v>38</v>
      </c>
      <c r="W30" s="40">
        <v>19</v>
      </c>
      <c r="X30" s="40">
        <v>17</v>
      </c>
      <c r="Y30" s="40">
        <v>18</v>
      </c>
      <c r="Z30" s="40">
        <v>5</v>
      </c>
      <c r="AA30" s="40">
        <v>3</v>
      </c>
      <c r="AB30" s="40">
        <v>3</v>
      </c>
      <c r="AC30" s="40">
        <v>3</v>
      </c>
      <c r="AD30" s="41">
        <v>0</v>
      </c>
      <c r="AE30" s="42">
        <f>SUM(U30:AD30)</f>
        <v>143</v>
      </c>
      <c r="AF30" s="83">
        <v>39</v>
      </c>
      <c r="AG30" s="83">
        <f>SUM(AF30)</f>
        <v>39</v>
      </c>
      <c r="AH30" s="83">
        <f t="shared" si="2"/>
        <v>494</v>
      </c>
      <c r="AJ30" s="42">
        <v>494</v>
      </c>
    </row>
    <row r="31" spans="1:36">
      <c r="A31" s="1" t="s">
        <v>3</v>
      </c>
      <c r="B31" s="26" t="s">
        <v>84</v>
      </c>
      <c r="C31" s="35">
        <v>177000</v>
      </c>
      <c r="D31" s="36">
        <v>187000</v>
      </c>
      <c r="E31" s="36">
        <v>187000</v>
      </c>
      <c r="F31" s="36">
        <v>192000</v>
      </c>
      <c r="G31" s="36">
        <v>182000</v>
      </c>
      <c r="H31" s="36">
        <v>187000</v>
      </c>
      <c r="I31" s="36">
        <v>177000</v>
      </c>
      <c r="J31" s="36">
        <v>177000</v>
      </c>
      <c r="K31" s="36">
        <v>172000</v>
      </c>
      <c r="L31" s="36">
        <v>177000</v>
      </c>
      <c r="M31" s="36">
        <v>0</v>
      </c>
      <c r="N31" s="36">
        <v>177000</v>
      </c>
      <c r="O31" s="36">
        <v>170000</v>
      </c>
      <c r="P31" s="36">
        <v>177000</v>
      </c>
      <c r="Q31" s="36">
        <v>175000</v>
      </c>
      <c r="R31" s="36">
        <v>175000</v>
      </c>
      <c r="S31" s="62">
        <v>170000</v>
      </c>
      <c r="T31" s="84">
        <f>SUM(C31:S31)</f>
        <v>2859000</v>
      </c>
      <c r="U31" s="73">
        <v>485000</v>
      </c>
      <c r="V31" s="36">
        <v>280000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7">
        <v>0</v>
      </c>
      <c r="AE31" s="37">
        <f>SUM(U31:AD31)</f>
        <v>765000</v>
      </c>
      <c r="AF31" s="84">
        <v>375000</v>
      </c>
      <c r="AG31" s="84">
        <f>SUM(AF31)</f>
        <v>375000</v>
      </c>
      <c r="AH31" s="84">
        <f t="shared" si="2"/>
        <v>3999000</v>
      </c>
      <c r="AJ31" s="38">
        <v>3999000</v>
      </c>
    </row>
    <row r="32" spans="1:36">
      <c r="A32" s="1" t="s">
        <v>3</v>
      </c>
      <c r="B32" s="5" t="s">
        <v>85</v>
      </c>
      <c r="C32" s="20">
        <v>0</v>
      </c>
      <c r="D32" s="21">
        <v>0</v>
      </c>
      <c r="E32" s="21">
        <v>20000</v>
      </c>
      <c r="F32" s="21">
        <v>5000</v>
      </c>
      <c r="G32" s="21">
        <v>5000</v>
      </c>
      <c r="H32" s="21">
        <v>5000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63">
        <v>0</v>
      </c>
      <c r="T32" s="85">
        <f t="shared" ref="T32:T84" si="5">SUM(C32:S32)</f>
        <v>35000</v>
      </c>
      <c r="U32" s="74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2">
        <v>0</v>
      </c>
      <c r="AE32" s="22">
        <f t="shared" ref="AE32:AE84" si="6">SUM(U32:AD32)</f>
        <v>0</v>
      </c>
      <c r="AF32" s="85">
        <v>0</v>
      </c>
      <c r="AG32" s="85">
        <f t="shared" ref="AG32:AG84" si="7">SUM(AF32)</f>
        <v>0</v>
      </c>
      <c r="AH32" s="85">
        <f t="shared" si="2"/>
        <v>35000</v>
      </c>
      <c r="AJ32" s="9">
        <v>35000</v>
      </c>
    </row>
    <row r="33" spans="1:36">
      <c r="A33" s="1" t="s">
        <v>3</v>
      </c>
      <c r="B33" s="5" t="s">
        <v>86</v>
      </c>
      <c r="C33" s="20">
        <v>0</v>
      </c>
      <c r="D33" s="21">
        <v>0</v>
      </c>
      <c r="E33" s="21">
        <v>3000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63">
        <v>0</v>
      </c>
      <c r="T33" s="85">
        <f t="shared" si="5"/>
        <v>3000</v>
      </c>
      <c r="U33" s="74">
        <v>0</v>
      </c>
      <c r="V33" s="21">
        <v>3000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2">
        <v>0</v>
      </c>
      <c r="AE33" s="22">
        <f t="shared" si="6"/>
        <v>3000</v>
      </c>
      <c r="AF33" s="85">
        <v>0</v>
      </c>
      <c r="AG33" s="85">
        <f t="shared" si="7"/>
        <v>0</v>
      </c>
      <c r="AH33" s="85">
        <f t="shared" si="2"/>
        <v>6000</v>
      </c>
      <c r="AJ33" s="9">
        <v>6000</v>
      </c>
    </row>
    <row r="34" spans="1:36">
      <c r="A34" s="1" t="s">
        <v>3</v>
      </c>
      <c r="B34" s="5" t="s">
        <v>87</v>
      </c>
      <c r="C34" s="20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63">
        <v>0</v>
      </c>
      <c r="T34" s="85">
        <f t="shared" si="5"/>
        <v>0</v>
      </c>
      <c r="U34" s="74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2">
        <v>0</v>
      </c>
      <c r="AE34" s="22">
        <f t="shared" si="6"/>
        <v>0</v>
      </c>
      <c r="AF34" s="85">
        <v>0</v>
      </c>
      <c r="AG34" s="85">
        <f t="shared" si="7"/>
        <v>0</v>
      </c>
      <c r="AH34" s="85">
        <f t="shared" si="2"/>
        <v>0</v>
      </c>
      <c r="AJ34" s="9">
        <v>0</v>
      </c>
    </row>
    <row r="35" spans="1:36">
      <c r="A35" s="1" t="s">
        <v>3</v>
      </c>
      <c r="B35" s="5" t="s">
        <v>88</v>
      </c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63">
        <v>0</v>
      </c>
      <c r="T35" s="85">
        <f t="shared" si="5"/>
        <v>0</v>
      </c>
      <c r="U35" s="74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2">
        <v>0</v>
      </c>
      <c r="AE35" s="22">
        <f t="shared" si="6"/>
        <v>0</v>
      </c>
      <c r="AF35" s="85">
        <v>0</v>
      </c>
      <c r="AG35" s="85">
        <f t="shared" si="7"/>
        <v>0</v>
      </c>
      <c r="AH35" s="85">
        <f t="shared" si="2"/>
        <v>0</v>
      </c>
      <c r="AJ35" s="9">
        <v>0</v>
      </c>
    </row>
    <row r="36" spans="1:36">
      <c r="A36" s="1" t="s">
        <v>3</v>
      </c>
      <c r="B36" s="5" t="s">
        <v>89</v>
      </c>
      <c r="C36" s="2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63">
        <v>0</v>
      </c>
      <c r="T36" s="85">
        <f t="shared" si="5"/>
        <v>0</v>
      </c>
      <c r="U36" s="74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2">
        <v>0</v>
      </c>
      <c r="AE36" s="22">
        <f t="shared" si="6"/>
        <v>0</v>
      </c>
      <c r="AF36" s="85">
        <v>0</v>
      </c>
      <c r="AG36" s="85">
        <f t="shared" si="7"/>
        <v>0</v>
      </c>
      <c r="AH36" s="85">
        <f t="shared" si="2"/>
        <v>0</v>
      </c>
      <c r="AJ36" s="9">
        <v>0</v>
      </c>
    </row>
    <row r="37" spans="1:36">
      <c r="A37" s="1" t="s">
        <v>3</v>
      </c>
      <c r="B37" s="5" t="s">
        <v>90</v>
      </c>
      <c r="C37" s="20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63">
        <v>0</v>
      </c>
      <c r="T37" s="85">
        <f t="shared" si="5"/>
        <v>0</v>
      </c>
      <c r="U37" s="74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2">
        <v>0</v>
      </c>
      <c r="AE37" s="22">
        <f t="shared" si="6"/>
        <v>0</v>
      </c>
      <c r="AF37" s="85">
        <v>0</v>
      </c>
      <c r="AG37" s="85">
        <f t="shared" si="7"/>
        <v>0</v>
      </c>
      <c r="AH37" s="85">
        <f t="shared" si="2"/>
        <v>0</v>
      </c>
      <c r="AJ37" s="9">
        <v>0</v>
      </c>
    </row>
    <row r="38" spans="1:36">
      <c r="A38" s="1" t="s">
        <v>3</v>
      </c>
      <c r="B38" s="5" t="s">
        <v>91</v>
      </c>
      <c r="C38" s="20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63">
        <v>0</v>
      </c>
      <c r="T38" s="85">
        <f t="shared" si="5"/>
        <v>0</v>
      </c>
      <c r="U38" s="74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2">
        <v>0</v>
      </c>
      <c r="AE38" s="22">
        <f t="shared" si="6"/>
        <v>0</v>
      </c>
      <c r="AF38" s="85">
        <v>0</v>
      </c>
      <c r="AG38" s="85">
        <f t="shared" si="7"/>
        <v>0</v>
      </c>
      <c r="AH38" s="85">
        <f t="shared" si="2"/>
        <v>0</v>
      </c>
      <c r="AJ38" s="9">
        <v>0</v>
      </c>
    </row>
    <row r="39" spans="1:36">
      <c r="A39" s="1" t="s">
        <v>3</v>
      </c>
      <c r="B39" s="5" t="s">
        <v>92</v>
      </c>
      <c r="C39" s="20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63">
        <v>0</v>
      </c>
      <c r="T39" s="85">
        <f t="shared" si="5"/>
        <v>0</v>
      </c>
      <c r="U39" s="74">
        <v>0</v>
      </c>
      <c r="V39" s="21">
        <v>0</v>
      </c>
      <c r="W39" s="21">
        <v>91080</v>
      </c>
      <c r="X39" s="21">
        <v>81880</v>
      </c>
      <c r="Y39" s="21">
        <v>0</v>
      </c>
      <c r="Z39" s="21">
        <v>58800</v>
      </c>
      <c r="AA39" s="21">
        <v>35280</v>
      </c>
      <c r="AB39" s="21">
        <v>59640</v>
      </c>
      <c r="AC39" s="21">
        <v>49800</v>
      </c>
      <c r="AD39" s="22">
        <v>38640</v>
      </c>
      <c r="AE39" s="22">
        <f t="shared" si="6"/>
        <v>415120</v>
      </c>
      <c r="AF39" s="85">
        <v>0</v>
      </c>
      <c r="AG39" s="85">
        <f t="shared" si="7"/>
        <v>0</v>
      </c>
      <c r="AH39" s="85">
        <f t="shared" si="2"/>
        <v>415120</v>
      </c>
      <c r="AJ39" s="9">
        <v>415120</v>
      </c>
    </row>
    <row r="40" spans="1:36">
      <c r="A40" s="1" t="s">
        <v>3</v>
      </c>
      <c r="B40" s="5" t="s">
        <v>93</v>
      </c>
      <c r="C40" s="20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63">
        <v>0</v>
      </c>
      <c r="T40" s="85">
        <f t="shared" si="5"/>
        <v>0</v>
      </c>
      <c r="U40" s="74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2">
        <v>0</v>
      </c>
      <c r="AE40" s="22">
        <f t="shared" si="6"/>
        <v>0</v>
      </c>
      <c r="AF40" s="85">
        <v>0</v>
      </c>
      <c r="AG40" s="85">
        <f t="shared" si="7"/>
        <v>0</v>
      </c>
      <c r="AH40" s="85">
        <f t="shared" si="2"/>
        <v>0</v>
      </c>
      <c r="AJ40" s="9">
        <v>0</v>
      </c>
    </row>
    <row r="41" spans="1:36">
      <c r="A41" s="1" t="s">
        <v>3</v>
      </c>
      <c r="B41" s="5" t="s">
        <v>94</v>
      </c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63">
        <v>0</v>
      </c>
      <c r="T41" s="85">
        <f t="shared" si="5"/>
        <v>0</v>
      </c>
      <c r="U41" s="74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2">
        <v>0</v>
      </c>
      <c r="AE41" s="22">
        <f t="shared" si="6"/>
        <v>0</v>
      </c>
      <c r="AF41" s="85">
        <v>0</v>
      </c>
      <c r="AG41" s="85">
        <f t="shared" si="7"/>
        <v>0</v>
      </c>
      <c r="AH41" s="85">
        <f t="shared" si="2"/>
        <v>0</v>
      </c>
      <c r="AJ41" s="9">
        <v>0</v>
      </c>
    </row>
    <row r="42" spans="1:36">
      <c r="A42" s="1" t="s">
        <v>3</v>
      </c>
      <c r="B42" s="5" t="s">
        <v>95</v>
      </c>
      <c r="C42" s="2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63">
        <v>0</v>
      </c>
      <c r="T42" s="85">
        <f t="shared" si="5"/>
        <v>0</v>
      </c>
      <c r="U42" s="74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2">
        <v>0</v>
      </c>
      <c r="AE42" s="22">
        <f t="shared" si="6"/>
        <v>0</v>
      </c>
      <c r="AF42" s="85">
        <v>0</v>
      </c>
      <c r="AG42" s="85">
        <f t="shared" si="7"/>
        <v>0</v>
      </c>
      <c r="AH42" s="85">
        <f t="shared" si="2"/>
        <v>0</v>
      </c>
      <c r="AJ42" s="9">
        <v>0</v>
      </c>
    </row>
    <row r="43" spans="1:36">
      <c r="A43" s="1" t="s">
        <v>3</v>
      </c>
      <c r="B43" s="5" t="s">
        <v>96</v>
      </c>
      <c r="C43" s="20">
        <v>0</v>
      </c>
      <c r="D43" s="21">
        <v>1000</v>
      </c>
      <c r="E43" s="21">
        <v>1000</v>
      </c>
      <c r="F43" s="21">
        <v>1000</v>
      </c>
      <c r="G43" s="21">
        <v>0</v>
      </c>
      <c r="H43" s="21">
        <v>1000</v>
      </c>
      <c r="I43" s="21">
        <v>0</v>
      </c>
      <c r="J43" s="21">
        <v>1000</v>
      </c>
      <c r="K43" s="21">
        <v>0</v>
      </c>
      <c r="L43" s="21">
        <v>1000</v>
      </c>
      <c r="M43" s="21">
        <v>0</v>
      </c>
      <c r="N43" s="21">
        <v>1000</v>
      </c>
      <c r="O43" s="21">
        <v>1000</v>
      </c>
      <c r="P43" s="21">
        <v>1000</v>
      </c>
      <c r="Q43" s="21">
        <v>1000</v>
      </c>
      <c r="R43" s="21">
        <v>1000</v>
      </c>
      <c r="S43" s="63">
        <v>0</v>
      </c>
      <c r="T43" s="85">
        <f t="shared" si="5"/>
        <v>11000</v>
      </c>
      <c r="U43" s="74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2">
        <v>0</v>
      </c>
      <c r="AE43" s="22">
        <f t="shared" si="6"/>
        <v>0</v>
      </c>
      <c r="AF43" s="85">
        <v>0</v>
      </c>
      <c r="AG43" s="85">
        <f t="shared" si="7"/>
        <v>0</v>
      </c>
      <c r="AH43" s="85">
        <f t="shared" si="2"/>
        <v>11000</v>
      </c>
      <c r="AJ43" s="9">
        <v>11000</v>
      </c>
    </row>
    <row r="44" spans="1:36">
      <c r="A44" s="1" t="s">
        <v>3</v>
      </c>
      <c r="B44" s="5" t="s">
        <v>97</v>
      </c>
      <c r="C44" s="20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63">
        <v>0</v>
      </c>
      <c r="T44" s="85">
        <f t="shared" si="5"/>
        <v>0</v>
      </c>
      <c r="U44" s="74">
        <v>0</v>
      </c>
      <c r="V44" s="21">
        <v>0</v>
      </c>
      <c r="W44" s="21">
        <v>6440</v>
      </c>
      <c r="X44" s="21">
        <v>6440</v>
      </c>
      <c r="Y44" s="21">
        <v>3360</v>
      </c>
      <c r="Z44" s="21">
        <v>0</v>
      </c>
      <c r="AA44" s="21">
        <v>0</v>
      </c>
      <c r="AB44" s="21">
        <v>0</v>
      </c>
      <c r="AC44" s="21">
        <v>0</v>
      </c>
      <c r="AD44" s="22">
        <v>0</v>
      </c>
      <c r="AE44" s="22">
        <f t="shared" si="6"/>
        <v>16240</v>
      </c>
      <c r="AF44" s="85">
        <v>0</v>
      </c>
      <c r="AG44" s="85">
        <f t="shared" si="7"/>
        <v>0</v>
      </c>
      <c r="AH44" s="85">
        <f t="shared" si="2"/>
        <v>16240</v>
      </c>
      <c r="AJ44" s="9">
        <v>16240</v>
      </c>
    </row>
    <row r="45" spans="1:36">
      <c r="A45" s="1" t="s">
        <v>3</v>
      </c>
      <c r="B45" s="5" t="s">
        <v>98</v>
      </c>
      <c r="C45" s="20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63">
        <v>0</v>
      </c>
      <c r="T45" s="85">
        <f t="shared" si="5"/>
        <v>0</v>
      </c>
      <c r="U45" s="74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>
        <v>0</v>
      </c>
      <c r="AE45" s="22">
        <f t="shared" si="6"/>
        <v>0</v>
      </c>
      <c r="AF45" s="85">
        <v>0</v>
      </c>
      <c r="AG45" s="85">
        <f t="shared" si="7"/>
        <v>0</v>
      </c>
      <c r="AH45" s="85">
        <f t="shared" si="2"/>
        <v>0</v>
      </c>
      <c r="AJ45" s="9">
        <v>0</v>
      </c>
    </row>
    <row r="46" spans="1:36">
      <c r="A46" s="1" t="s">
        <v>3</v>
      </c>
      <c r="B46" s="5" t="s">
        <v>99</v>
      </c>
      <c r="C46" s="20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63">
        <v>0</v>
      </c>
      <c r="T46" s="85">
        <f t="shared" si="5"/>
        <v>0</v>
      </c>
      <c r="U46" s="74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2">
        <v>0</v>
      </c>
      <c r="AE46" s="22">
        <f t="shared" si="6"/>
        <v>0</v>
      </c>
      <c r="AF46" s="85">
        <v>0</v>
      </c>
      <c r="AG46" s="85">
        <f t="shared" si="7"/>
        <v>0</v>
      </c>
      <c r="AH46" s="85">
        <f t="shared" si="2"/>
        <v>0</v>
      </c>
      <c r="AJ46" s="9">
        <v>0</v>
      </c>
    </row>
    <row r="47" spans="1:36">
      <c r="A47" s="1" t="s">
        <v>3</v>
      </c>
      <c r="B47" s="5" t="s">
        <v>100</v>
      </c>
      <c r="C47" s="20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63">
        <v>0</v>
      </c>
      <c r="T47" s="85">
        <f t="shared" si="5"/>
        <v>0</v>
      </c>
      <c r="U47" s="74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2">
        <v>0</v>
      </c>
      <c r="AE47" s="22">
        <f t="shared" si="6"/>
        <v>0</v>
      </c>
      <c r="AF47" s="85">
        <v>0</v>
      </c>
      <c r="AG47" s="85">
        <f t="shared" si="7"/>
        <v>0</v>
      </c>
      <c r="AH47" s="85">
        <f t="shared" si="2"/>
        <v>0</v>
      </c>
      <c r="AJ47" s="9">
        <v>0</v>
      </c>
    </row>
    <row r="48" spans="1:36">
      <c r="A48" s="1" t="s">
        <v>3</v>
      </c>
      <c r="B48" s="5" t="s">
        <v>101</v>
      </c>
      <c r="C48" s="20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63">
        <v>0</v>
      </c>
      <c r="T48" s="85">
        <f t="shared" si="5"/>
        <v>0</v>
      </c>
      <c r="U48" s="74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2">
        <v>0</v>
      </c>
      <c r="AE48" s="22">
        <f t="shared" si="6"/>
        <v>0</v>
      </c>
      <c r="AF48" s="85">
        <v>0</v>
      </c>
      <c r="AG48" s="85">
        <f t="shared" si="7"/>
        <v>0</v>
      </c>
      <c r="AH48" s="85">
        <f t="shared" si="2"/>
        <v>0</v>
      </c>
      <c r="AJ48" s="9">
        <v>0</v>
      </c>
    </row>
    <row r="49" spans="1:36">
      <c r="A49" s="1" t="s">
        <v>3</v>
      </c>
      <c r="B49" s="5" t="s">
        <v>102</v>
      </c>
      <c r="C49" s="20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63">
        <v>0</v>
      </c>
      <c r="T49" s="85">
        <f t="shared" si="5"/>
        <v>0</v>
      </c>
      <c r="U49" s="74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2">
        <v>0</v>
      </c>
      <c r="AE49" s="22">
        <f t="shared" si="6"/>
        <v>0</v>
      </c>
      <c r="AF49" s="85">
        <v>0</v>
      </c>
      <c r="AG49" s="85">
        <f t="shared" si="7"/>
        <v>0</v>
      </c>
      <c r="AH49" s="85">
        <f t="shared" si="2"/>
        <v>0</v>
      </c>
      <c r="AJ49" s="9">
        <v>0</v>
      </c>
    </row>
    <row r="50" spans="1:36">
      <c r="A50" s="1" t="s">
        <v>3</v>
      </c>
      <c r="B50" s="5" t="s">
        <v>103</v>
      </c>
      <c r="C50" s="20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63">
        <v>0</v>
      </c>
      <c r="T50" s="85">
        <f t="shared" si="5"/>
        <v>0</v>
      </c>
      <c r="U50" s="74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2">
        <v>0</v>
      </c>
      <c r="AE50" s="22">
        <f t="shared" si="6"/>
        <v>0</v>
      </c>
      <c r="AF50" s="85">
        <v>0</v>
      </c>
      <c r="AG50" s="85">
        <f t="shared" si="7"/>
        <v>0</v>
      </c>
      <c r="AH50" s="85">
        <f t="shared" si="2"/>
        <v>0</v>
      </c>
      <c r="AJ50" s="9">
        <v>0</v>
      </c>
    </row>
    <row r="51" spans="1:36">
      <c r="A51" s="1" t="s">
        <v>3</v>
      </c>
      <c r="B51" s="5" t="s">
        <v>104</v>
      </c>
      <c r="C51" s="20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63">
        <v>0</v>
      </c>
      <c r="T51" s="85">
        <f t="shared" si="5"/>
        <v>0</v>
      </c>
      <c r="U51" s="74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>
        <v>0</v>
      </c>
      <c r="AE51" s="22">
        <f t="shared" si="6"/>
        <v>0</v>
      </c>
      <c r="AF51" s="85">
        <v>0</v>
      </c>
      <c r="AG51" s="85">
        <f t="shared" si="7"/>
        <v>0</v>
      </c>
      <c r="AH51" s="85">
        <f t="shared" si="2"/>
        <v>0</v>
      </c>
      <c r="AJ51" s="9">
        <v>0</v>
      </c>
    </row>
    <row r="52" spans="1:36">
      <c r="A52" s="1" t="s">
        <v>3</v>
      </c>
      <c r="B52" s="5" t="s">
        <v>105</v>
      </c>
      <c r="C52" s="20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63">
        <v>0</v>
      </c>
      <c r="T52" s="85">
        <f t="shared" si="5"/>
        <v>0</v>
      </c>
      <c r="U52" s="74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2">
        <v>0</v>
      </c>
      <c r="AE52" s="22">
        <f t="shared" si="6"/>
        <v>0</v>
      </c>
      <c r="AF52" s="85">
        <v>0</v>
      </c>
      <c r="AG52" s="85">
        <f t="shared" si="7"/>
        <v>0</v>
      </c>
      <c r="AH52" s="85">
        <f t="shared" si="2"/>
        <v>0</v>
      </c>
      <c r="AJ52" s="9">
        <v>0</v>
      </c>
    </row>
    <row r="53" spans="1:36">
      <c r="A53" s="1" t="s">
        <v>3</v>
      </c>
      <c r="B53" s="5" t="s">
        <v>106</v>
      </c>
      <c r="C53" s="20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63">
        <v>0</v>
      </c>
      <c r="T53" s="85">
        <f t="shared" si="5"/>
        <v>0</v>
      </c>
      <c r="U53" s="74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2">
        <v>0</v>
      </c>
      <c r="AE53" s="22">
        <f t="shared" si="6"/>
        <v>0</v>
      </c>
      <c r="AF53" s="85">
        <v>0</v>
      </c>
      <c r="AG53" s="85">
        <f t="shared" si="7"/>
        <v>0</v>
      </c>
      <c r="AH53" s="85">
        <f t="shared" si="2"/>
        <v>0</v>
      </c>
      <c r="AJ53" s="9">
        <v>0</v>
      </c>
    </row>
    <row r="54" spans="1:36">
      <c r="A54" s="1" t="s">
        <v>3</v>
      </c>
      <c r="B54" s="5" t="s">
        <v>72</v>
      </c>
      <c r="C54" s="20">
        <v>31800</v>
      </c>
      <c r="D54" s="21">
        <v>94336</v>
      </c>
      <c r="E54" s="21">
        <v>56844</v>
      </c>
      <c r="F54" s="21">
        <v>103810</v>
      </c>
      <c r="G54" s="21">
        <v>71400</v>
      </c>
      <c r="H54" s="21">
        <v>96815</v>
      </c>
      <c r="I54" s="21">
        <v>96725</v>
      </c>
      <c r="J54" s="21">
        <v>50654</v>
      </c>
      <c r="K54" s="21">
        <v>65688</v>
      </c>
      <c r="L54" s="21">
        <v>85312</v>
      </c>
      <c r="M54" s="21">
        <v>0</v>
      </c>
      <c r="N54" s="21">
        <v>38657</v>
      </c>
      <c r="O54" s="21">
        <v>58880</v>
      </c>
      <c r="P54" s="21">
        <v>103974</v>
      </c>
      <c r="Q54" s="21">
        <v>112030</v>
      </c>
      <c r="R54" s="21">
        <v>51402</v>
      </c>
      <c r="S54" s="63">
        <v>77653</v>
      </c>
      <c r="T54" s="85">
        <f t="shared" si="5"/>
        <v>1195980</v>
      </c>
      <c r="U54" s="74">
        <v>0</v>
      </c>
      <c r="V54" s="21">
        <v>91117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3114</v>
      </c>
      <c r="AD54" s="22">
        <v>0</v>
      </c>
      <c r="AE54" s="22">
        <f t="shared" si="6"/>
        <v>94231</v>
      </c>
      <c r="AF54" s="85">
        <v>0</v>
      </c>
      <c r="AG54" s="85">
        <f t="shared" si="7"/>
        <v>0</v>
      </c>
      <c r="AH54" s="85">
        <f t="shared" si="2"/>
        <v>1290211</v>
      </c>
      <c r="AJ54" s="9">
        <v>1290211</v>
      </c>
    </row>
    <row r="55" spans="1:36">
      <c r="A55" s="1" t="s">
        <v>3</v>
      </c>
      <c r="B55" s="5" t="s">
        <v>107</v>
      </c>
      <c r="C55" s="20">
        <v>41499</v>
      </c>
      <c r="D55" s="21">
        <v>66880</v>
      </c>
      <c r="E55" s="21">
        <v>49445</v>
      </c>
      <c r="F55" s="21">
        <v>14409</v>
      </c>
      <c r="G55" s="21">
        <v>39312</v>
      </c>
      <c r="H55" s="21">
        <v>32781</v>
      </c>
      <c r="I55" s="21">
        <v>37206</v>
      </c>
      <c r="J55" s="21">
        <v>33097</v>
      </c>
      <c r="K55" s="21">
        <v>38948</v>
      </c>
      <c r="L55" s="21">
        <v>43170</v>
      </c>
      <c r="M55" s="21">
        <v>0</v>
      </c>
      <c r="N55" s="21">
        <v>24463</v>
      </c>
      <c r="O55" s="21">
        <v>27640</v>
      </c>
      <c r="P55" s="21">
        <v>17268</v>
      </c>
      <c r="Q55" s="21">
        <v>27037</v>
      </c>
      <c r="R55" s="21">
        <v>27037</v>
      </c>
      <c r="S55" s="63">
        <v>10992</v>
      </c>
      <c r="T55" s="85">
        <f t="shared" si="5"/>
        <v>531184</v>
      </c>
      <c r="U55" s="74">
        <v>0</v>
      </c>
      <c r="V55" s="21">
        <v>59488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2">
        <v>0</v>
      </c>
      <c r="AE55" s="22">
        <f t="shared" si="6"/>
        <v>59488</v>
      </c>
      <c r="AF55" s="85">
        <v>0</v>
      </c>
      <c r="AG55" s="85">
        <f t="shared" si="7"/>
        <v>0</v>
      </c>
      <c r="AH55" s="85">
        <f t="shared" si="2"/>
        <v>590672</v>
      </c>
      <c r="AJ55" s="9">
        <v>590672</v>
      </c>
    </row>
    <row r="56" spans="1:36">
      <c r="A56" s="1" t="s">
        <v>3</v>
      </c>
      <c r="B56" s="5" t="s">
        <v>108</v>
      </c>
      <c r="C56" s="20">
        <v>62964</v>
      </c>
      <c r="D56" s="21">
        <v>39520</v>
      </c>
      <c r="E56" s="21">
        <v>56265</v>
      </c>
      <c r="F56" s="21">
        <v>56035</v>
      </c>
      <c r="G56" s="21">
        <v>49896</v>
      </c>
      <c r="H56" s="21">
        <v>32781</v>
      </c>
      <c r="I56" s="21">
        <v>41499</v>
      </c>
      <c r="J56" s="21">
        <v>38853</v>
      </c>
      <c r="K56" s="21">
        <v>36166</v>
      </c>
      <c r="L56" s="21">
        <v>21585</v>
      </c>
      <c r="M56" s="21">
        <v>0</v>
      </c>
      <c r="N56" s="21">
        <v>61877</v>
      </c>
      <c r="O56" s="21">
        <v>37314</v>
      </c>
      <c r="P56" s="21">
        <v>50365</v>
      </c>
      <c r="Q56" s="21">
        <v>17076</v>
      </c>
      <c r="R56" s="21">
        <v>39844</v>
      </c>
      <c r="S56" s="63">
        <v>0</v>
      </c>
      <c r="T56" s="85">
        <f t="shared" si="5"/>
        <v>642040</v>
      </c>
      <c r="U56" s="74">
        <v>0</v>
      </c>
      <c r="V56" s="21">
        <v>4576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2">
        <v>0</v>
      </c>
      <c r="AE56" s="22">
        <f t="shared" si="6"/>
        <v>4576</v>
      </c>
      <c r="AF56" s="85">
        <v>0</v>
      </c>
      <c r="AG56" s="85">
        <f t="shared" si="7"/>
        <v>0</v>
      </c>
      <c r="AH56" s="85">
        <f t="shared" si="2"/>
        <v>646616</v>
      </c>
      <c r="AJ56" s="9">
        <v>646616</v>
      </c>
    </row>
    <row r="57" spans="1:36">
      <c r="A57" s="1" t="s">
        <v>3</v>
      </c>
      <c r="B57" s="5" t="s">
        <v>109</v>
      </c>
      <c r="C57" s="20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63">
        <v>0</v>
      </c>
      <c r="T57" s="85">
        <f t="shared" si="5"/>
        <v>0</v>
      </c>
      <c r="U57" s="74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2">
        <v>0</v>
      </c>
      <c r="AE57" s="22">
        <f t="shared" si="6"/>
        <v>0</v>
      </c>
      <c r="AF57" s="85">
        <v>0</v>
      </c>
      <c r="AG57" s="85">
        <f t="shared" si="7"/>
        <v>0</v>
      </c>
      <c r="AH57" s="85">
        <f t="shared" si="2"/>
        <v>0</v>
      </c>
      <c r="AJ57" s="9">
        <v>0</v>
      </c>
    </row>
    <row r="58" spans="1:36">
      <c r="A58" s="1" t="s">
        <v>3</v>
      </c>
      <c r="B58" s="5" t="s">
        <v>110</v>
      </c>
      <c r="C58" s="20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63">
        <v>7120</v>
      </c>
      <c r="T58" s="85">
        <f t="shared" si="5"/>
        <v>7120</v>
      </c>
      <c r="U58" s="74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2">
        <v>0</v>
      </c>
      <c r="AE58" s="22">
        <f t="shared" si="6"/>
        <v>0</v>
      </c>
      <c r="AF58" s="85">
        <v>0</v>
      </c>
      <c r="AG58" s="85">
        <f t="shared" si="7"/>
        <v>0</v>
      </c>
      <c r="AH58" s="85">
        <f t="shared" si="2"/>
        <v>7120</v>
      </c>
      <c r="AJ58" s="9">
        <v>7120</v>
      </c>
    </row>
    <row r="59" spans="1:36">
      <c r="A59" s="1" t="s">
        <v>3</v>
      </c>
      <c r="B59" s="5" t="s">
        <v>111</v>
      </c>
      <c r="C59" s="20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63">
        <v>0</v>
      </c>
      <c r="T59" s="85">
        <f t="shared" si="5"/>
        <v>0</v>
      </c>
      <c r="U59" s="74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2">
        <v>0</v>
      </c>
      <c r="AE59" s="22">
        <f t="shared" si="6"/>
        <v>0</v>
      </c>
      <c r="AF59" s="85">
        <v>0</v>
      </c>
      <c r="AG59" s="85">
        <f t="shared" si="7"/>
        <v>0</v>
      </c>
      <c r="AH59" s="85">
        <f t="shared" si="2"/>
        <v>0</v>
      </c>
      <c r="AJ59" s="9">
        <v>0</v>
      </c>
    </row>
    <row r="60" spans="1:36">
      <c r="A60" s="1" t="s">
        <v>3</v>
      </c>
      <c r="B60" s="5" t="s">
        <v>77</v>
      </c>
      <c r="C60" s="20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63">
        <v>0</v>
      </c>
      <c r="T60" s="85">
        <f t="shared" si="5"/>
        <v>0</v>
      </c>
      <c r="U60" s="74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2">
        <v>0</v>
      </c>
      <c r="AE60" s="22">
        <f t="shared" si="6"/>
        <v>0</v>
      </c>
      <c r="AF60" s="85">
        <v>0</v>
      </c>
      <c r="AG60" s="85">
        <f t="shared" si="7"/>
        <v>0</v>
      </c>
      <c r="AH60" s="85">
        <f t="shared" si="2"/>
        <v>0</v>
      </c>
      <c r="AJ60" s="9">
        <v>0</v>
      </c>
    </row>
    <row r="61" spans="1:36" ht="19.5" thickBot="1">
      <c r="A61" s="1" t="s">
        <v>3</v>
      </c>
      <c r="B61" s="43" t="s">
        <v>82</v>
      </c>
      <c r="C61" s="44">
        <v>530</v>
      </c>
      <c r="D61" s="45">
        <v>2256</v>
      </c>
      <c r="E61" s="45">
        <v>948</v>
      </c>
      <c r="F61" s="45">
        <v>9207</v>
      </c>
      <c r="G61" s="45">
        <v>17360</v>
      </c>
      <c r="H61" s="45">
        <v>7803</v>
      </c>
      <c r="I61" s="45">
        <v>2120</v>
      </c>
      <c r="J61" s="45">
        <v>2937</v>
      </c>
      <c r="K61" s="45">
        <v>258</v>
      </c>
      <c r="L61" s="45">
        <v>2403</v>
      </c>
      <c r="M61" s="45">
        <v>0</v>
      </c>
      <c r="N61" s="45">
        <v>8544</v>
      </c>
      <c r="O61" s="45">
        <v>512</v>
      </c>
      <c r="P61" s="45">
        <v>9879</v>
      </c>
      <c r="Q61" s="45">
        <v>10296</v>
      </c>
      <c r="R61" s="45">
        <v>8712</v>
      </c>
      <c r="S61" s="64">
        <v>15045</v>
      </c>
      <c r="T61" s="86">
        <f t="shared" si="5"/>
        <v>98810</v>
      </c>
      <c r="U61" s="75">
        <v>0</v>
      </c>
      <c r="V61" s="45">
        <v>0</v>
      </c>
      <c r="W61" s="45">
        <v>0</v>
      </c>
      <c r="X61" s="45">
        <v>0</v>
      </c>
      <c r="Y61" s="45">
        <v>0</v>
      </c>
      <c r="Z61" s="45">
        <v>10500</v>
      </c>
      <c r="AA61" s="45">
        <v>6300</v>
      </c>
      <c r="AB61" s="45">
        <v>10500</v>
      </c>
      <c r="AC61" s="45">
        <v>4160</v>
      </c>
      <c r="AD61" s="46">
        <v>0</v>
      </c>
      <c r="AE61" s="46">
        <f t="shared" si="6"/>
        <v>31460</v>
      </c>
      <c r="AF61" s="86">
        <v>562</v>
      </c>
      <c r="AG61" s="86">
        <f t="shared" si="7"/>
        <v>562</v>
      </c>
      <c r="AH61" s="86">
        <f t="shared" si="2"/>
        <v>130832</v>
      </c>
      <c r="AJ61" s="47">
        <v>130832</v>
      </c>
    </row>
    <row r="62" spans="1:36" ht="19.5" thickBot="1">
      <c r="A62" s="1" t="s">
        <v>3</v>
      </c>
      <c r="B62" s="48" t="s">
        <v>112</v>
      </c>
      <c r="C62" s="49">
        <v>313793</v>
      </c>
      <c r="D62" s="50">
        <v>390992</v>
      </c>
      <c r="E62" s="50">
        <v>374502</v>
      </c>
      <c r="F62" s="50">
        <v>381461</v>
      </c>
      <c r="G62" s="50">
        <v>364968</v>
      </c>
      <c r="H62" s="50">
        <v>363180</v>
      </c>
      <c r="I62" s="50">
        <v>354550</v>
      </c>
      <c r="J62" s="50">
        <v>303541</v>
      </c>
      <c r="K62" s="50">
        <v>313060</v>
      </c>
      <c r="L62" s="50">
        <v>330470</v>
      </c>
      <c r="M62" s="50">
        <v>0</v>
      </c>
      <c r="N62" s="50">
        <v>311541</v>
      </c>
      <c r="O62" s="50">
        <v>295346</v>
      </c>
      <c r="P62" s="50">
        <v>359486</v>
      </c>
      <c r="Q62" s="50">
        <v>342439</v>
      </c>
      <c r="R62" s="50">
        <v>302995</v>
      </c>
      <c r="S62" s="65">
        <v>280810</v>
      </c>
      <c r="T62" s="87">
        <f t="shared" si="5"/>
        <v>5383134</v>
      </c>
      <c r="U62" s="76">
        <v>485000</v>
      </c>
      <c r="V62" s="50">
        <v>438181</v>
      </c>
      <c r="W62" s="50">
        <v>97520</v>
      </c>
      <c r="X62" s="50">
        <v>88320</v>
      </c>
      <c r="Y62" s="50">
        <v>3360</v>
      </c>
      <c r="Z62" s="50">
        <v>69300</v>
      </c>
      <c r="AA62" s="50">
        <v>41580</v>
      </c>
      <c r="AB62" s="50">
        <v>70140</v>
      </c>
      <c r="AC62" s="50">
        <v>57074</v>
      </c>
      <c r="AD62" s="51">
        <v>38640</v>
      </c>
      <c r="AE62" s="51">
        <f t="shared" si="6"/>
        <v>1389115</v>
      </c>
      <c r="AF62" s="87">
        <v>375562</v>
      </c>
      <c r="AG62" s="87">
        <f t="shared" si="7"/>
        <v>375562</v>
      </c>
      <c r="AH62" s="87">
        <f t="shared" si="2"/>
        <v>7147811</v>
      </c>
      <c r="AJ62" s="52">
        <v>7147811</v>
      </c>
    </row>
    <row r="63" spans="1:36">
      <c r="A63" s="1" t="s">
        <v>3</v>
      </c>
      <c r="B63" s="26" t="s">
        <v>113</v>
      </c>
      <c r="C63" s="35">
        <v>11594</v>
      </c>
      <c r="D63" s="36">
        <v>3140</v>
      </c>
      <c r="E63" s="36">
        <v>5218</v>
      </c>
      <c r="F63" s="36">
        <v>3020</v>
      </c>
      <c r="G63" s="36">
        <v>14444</v>
      </c>
      <c r="H63" s="36">
        <v>2319</v>
      </c>
      <c r="I63" s="36">
        <v>2512</v>
      </c>
      <c r="J63" s="36">
        <v>1160</v>
      </c>
      <c r="K63" s="36">
        <v>3140</v>
      </c>
      <c r="L63" s="36">
        <v>4831</v>
      </c>
      <c r="M63" s="36">
        <v>0</v>
      </c>
      <c r="N63" s="36">
        <v>2706</v>
      </c>
      <c r="O63" s="36">
        <v>7247</v>
      </c>
      <c r="P63" s="36">
        <v>3334</v>
      </c>
      <c r="Q63" s="36">
        <v>5797</v>
      </c>
      <c r="R63" s="36">
        <v>10266</v>
      </c>
      <c r="S63" s="62">
        <v>3551</v>
      </c>
      <c r="T63" s="84">
        <f t="shared" si="5"/>
        <v>84279</v>
      </c>
      <c r="U63" s="73">
        <v>9058</v>
      </c>
      <c r="V63" s="36">
        <v>5435</v>
      </c>
      <c r="W63" s="36">
        <v>2899</v>
      </c>
      <c r="X63" s="36">
        <v>1691</v>
      </c>
      <c r="Y63" s="36">
        <v>0</v>
      </c>
      <c r="Z63" s="36">
        <v>2899</v>
      </c>
      <c r="AA63" s="36">
        <v>2174</v>
      </c>
      <c r="AB63" s="36">
        <v>3865</v>
      </c>
      <c r="AC63" s="36">
        <v>2512</v>
      </c>
      <c r="AD63" s="37">
        <v>3720</v>
      </c>
      <c r="AE63" s="37">
        <f t="shared" si="6"/>
        <v>34253</v>
      </c>
      <c r="AF63" s="84">
        <v>7222</v>
      </c>
      <c r="AG63" s="84">
        <f t="shared" si="7"/>
        <v>7222</v>
      </c>
      <c r="AH63" s="84">
        <f t="shared" si="2"/>
        <v>125754</v>
      </c>
      <c r="AJ63" s="38">
        <v>125754</v>
      </c>
    </row>
    <row r="64" spans="1:36" ht="19.5" thickBot="1">
      <c r="A64" s="1" t="s">
        <v>3</v>
      </c>
      <c r="B64" s="43" t="s">
        <v>114</v>
      </c>
      <c r="C64" s="44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45">
        <v>0</v>
      </c>
      <c r="R64" s="45">
        <v>0</v>
      </c>
      <c r="S64" s="64">
        <v>0</v>
      </c>
      <c r="T64" s="86">
        <f t="shared" si="5"/>
        <v>0</v>
      </c>
      <c r="U64" s="7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6">
        <v>0</v>
      </c>
      <c r="AE64" s="46">
        <f t="shared" si="6"/>
        <v>0</v>
      </c>
      <c r="AF64" s="86">
        <v>0</v>
      </c>
      <c r="AG64" s="86">
        <f t="shared" si="7"/>
        <v>0</v>
      </c>
      <c r="AH64" s="86">
        <f t="shared" si="2"/>
        <v>0</v>
      </c>
      <c r="AJ64" s="47">
        <v>0</v>
      </c>
    </row>
    <row r="65" spans="1:36" ht="19.5" thickBot="1">
      <c r="A65" s="1" t="s">
        <v>3</v>
      </c>
      <c r="B65" s="48" t="s">
        <v>115</v>
      </c>
      <c r="C65" s="49">
        <v>11594</v>
      </c>
      <c r="D65" s="50">
        <v>3140</v>
      </c>
      <c r="E65" s="50">
        <v>5218</v>
      </c>
      <c r="F65" s="50">
        <v>3020</v>
      </c>
      <c r="G65" s="50">
        <v>14444</v>
      </c>
      <c r="H65" s="50">
        <v>2319</v>
      </c>
      <c r="I65" s="50">
        <v>2512</v>
      </c>
      <c r="J65" s="50">
        <v>1160</v>
      </c>
      <c r="K65" s="50">
        <v>3140</v>
      </c>
      <c r="L65" s="50">
        <v>4831</v>
      </c>
      <c r="M65" s="50">
        <v>0</v>
      </c>
      <c r="N65" s="50">
        <v>2706</v>
      </c>
      <c r="O65" s="50">
        <v>7247</v>
      </c>
      <c r="P65" s="50">
        <v>3334</v>
      </c>
      <c r="Q65" s="50">
        <v>5797</v>
      </c>
      <c r="R65" s="50">
        <v>10266</v>
      </c>
      <c r="S65" s="65">
        <v>3551</v>
      </c>
      <c r="T65" s="87">
        <f t="shared" si="5"/>
        <v>84279</v>
      </c>
      <c r="U65" s="76">
        <v>9058</v>
      </c>
      <c r="V65" s="50">
        <v>5435</v>
      </c>
      <c r="W65" s="50">
        <v>2899</v>
      </c>
      <c r="X65" s="50">
        <v>1691</v>
      </c>
      <c r="Y65" s="50">
        <v>0</v>
      </c>
      <c r="Z65" s="50">
        <v>2899</v>
      </c>
      <c r="AA65" s="50">
        <v>2174</v>
      </c>
      <c r="AB65" s="50">
        <v>3865</v>
      </c>
      <c r="AC65" s="50">
        <v>2512</v>
      </c>
      <c r="AD65" s="51">
        <v>3720</v>
      </c>
      <c r="AE65" s="51">
        <f t="shared" si="6"/>
        <v>34253</v>
      </c>
      <c r="AF65" s="87">
        <v>7222</v>
      </c>
      <c r="AG65" s="87">
        <f t="shared" si="7"/>
        <v>7222</v>
      </c>
      <c r="AH65" s="87">
        <f t="shared" si="2"/>
        <v>125754</v>
      </c>
      <c r="AJ65" s="52">
        <v>125754</v>
      </c>
    </row>
    <row r="66" spans="1:36" ht="19.5" thickBot="1">
      <c r="A66" s="1" t="s">
        <v>3</v>
      </c>
      <c r="B66" s="48" t="s">
        <v>116</v>
      </c>
      <c r="C66" s="49">
        <v>325387</v>
      </c>
      <c r="D66" s="50">
        <v>394132</v>
      </c>
      <c r="E66" s="50">
        <v>379720</v>
      </c>
      <c r="F66" s="50">
        <v>384481</v>
      </c>
      <c r="G66" s="50">
        <v>379412</v>
      </c>
      <c r="H66" s="50">
        <v>365499</v>
      </c>
      <c r="I66" s="50">
        <v>357062</v>
      </c>
      <c r="J66" s="50">
        <v>304701</v>
      </c>
      <c r="K66" s="50">
        <v>316200</v>
      </c>
      <c r="L66" s="50">
        <v>335301</v>
      </c>
      <c r="M66" s="50">
        <v>0</v>
      </c>
      <c r="N66" s="50">
        <v>314247</v>
      </c>
      <c r="O66" s="50">
        <v>302593</v>
      </c>
      <c r="P66" s="50">
        <v>362820</v>
      </c>
      <c r="Q66" s="50">
        <v>348236</v>
      </c>
      <c r="R66" s="50">
        <v>313261</v>
      </c>
      <c r="S66" s="65">
        <v>284361</v>
      </c>
      <c r="T66" s="87">
        <f t="shared" si="5"/>
        <v>5467413</v>
      </c>
      <c r="U66" s="76">
        <v>494058</v>
      </c>
      <c r="V66" s="50">
        <v>443616</v>
      </c>
      <c r="W66" s="50">
        <v>100419</v>
      </c>
      <c r="X66" s="50">
        <v>90011</v>
      </c>
      <c r="Y66" s="50">
        <v>3360</v>
      </c>
      <c r="Z66" s="50">
        <v>72199</v>
      </c>
      <c r="AA66" s="50">
        <v>43754</v>
      </c>
      <c r="AB66" s="50">
        <v>74005</v>
      </c>
      <c r="AC66" s="50">
        <v>59586</v>
      </c>
      <c r="AD66" s="51">
        <v>42360</v>
      </c>
      <c r="AE66" s="51">
        <f t="shared" si="6"/>
        <v>1423368</v>
      </c>
      <c r="AF66" s="87">
        <v>382784</v>
      </c>
      <c r="AG66" s="87">
        <f t="shared" si="7"/>
        <v>382784</v>
      </c>
      <c r="AH66" s="87">
        <f t="shared" si="2"/>
        <v>7273565</v>
      </c>
      <c r="AJ66" s="52">
        <v>7273565</v>
      </c>
    </row>
    <row r="67" spans="1:36">
      <c r="A67" s="1" t="s">
        <v>3</v>
      </c>
      <c r="B67" s="26" t="s">
        <v>117</v>
      </c>
      <c r="C67" s="35">
        <v>16320</v>
      </c>
      <c r="D67" s="36">
        <v>16320</v>
      </c>
      <c r="E67" s="36">
        <v>19380</v>
      </c>
      <c r="F67" s="36">
        <v>20910</v>
      </c>
      <c r="G67" s="36">
        <v>19380</v>
      </c>
      <c r="H67" s="36">
        <v>20910</v>
      </c>
      <c r="I67" s="36">
        <v>16320</v>
      </c>
      <c r="J67" s="36">
        <v>15300</v>
      </c>
      <c r="K67" s="36">
        <v>16320</v>
      </c>
      <c r="L67" s="36">
        <v>17340</v>
      </c>
      <c r="M67" s="36">
        <v>16320</v>
      </c>
      <c r="N67" s="36">
        <v>17340</v>
      </c>
      <c r="O67" s="36">
        <v>15300</v>
      </c>
      <c r="P67" s="36">
        <v>15300</v>
      </c>
      <c r="Q67" s="36">
        <v>17340</v>
      </c>
      <c r="R67" s="36">
        <v>15300</v>
      </c>
      <c r="S67" s="62">
        <v>13260</v>
      </c>
      <c r="T67" s="84">
        <f t="shared" si="5"/>
        <v>288660</v>
      </c>
      <c r="U67" s="73">
        <v>23970</v>
      </c>
      <c r="V67" s="36">
        <v>19380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B67" s="36">
        <v>0</v>
      </c>
      <c r="AC67" s="36">
        <v>0</v>
      </c>
      <c r="AD67" s="37">
        <v>0</v>
      </c>
      <c r="AE67" s="37">
        <f t="shared" si="6"/>
        <v>43350</v>
      </c>
      <c r="AF67" s="84">
        <v>19380</v>
      </c>
      <c r="AG67" s="84">
        <f t="shared" si="7"/>
        <v>19380</v>
      </c>
      <c r="AH67" s="84">
        <f t="shared" si="2"/>
        <v>351390</v>
      </c>
      <c r="AJ67" s="38">
        <v>351390</v>
      </c>
    </row>
    <row r="68" spans="1:36">
      <c r="A68" s="1" t="s">
        <v>3</v>
      </c>
      <c r="B68" s="5" t="s">
        <v>118</v>
      </c>
      <c r="C68" s="20">
        <v>2880</v>
      </c>
      <c r="D68" s="21">
        <v>2880</v>
      </c>
      <c r="E68" s="21">
        <v>3420</v>
      </c>
      <c r="F68" s="21">
        <v>3690</v>
      </c>
      <c r="G68" s="21">
        <v>3420</v>
      </c>
      <c r="H68" s="21">
        <v>3690</v>
      </c>
      <c r="I68" s="21">
        <v>2880</v>
      </c>
      <c r="J68" s="21">
        <v>2700</v>
      </c>
      <c r="K68" s="21">
        <v>2880</v>
      </c>
      <c r="L68" s="21">
        <v>3060</v>
      </c>
      <c r="M68" s="21">
        <v>2880</v>
      </c>
      <c r="N68" s="21">
        <v>0</v>
      </c>
      <c r="O68" s="21">
        <v>2700</v>
      </c>
      <c r="P68" s="21">
        <v>2700</v>
      </c>
      <c r="Q68" s="21">
        <v>3060</v>
      </c>
      <c r="R68" s="21">
        <v>2700</v>
      </c>
      <c r="S68" s="63">
        <v>0</v>
      </c>
      <c r="T68" s="85">
        <f t="shared" si="5"/>
        <v>45540</v>
      </c>
      <c r="U68" s="74">
        <v>0</v>
      </c>
      <c r="V68" s="21">
        <v>3420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2">
        <v>0</v>
      </c>
      <c r="AE68" s="22">
        <f t="shared" si="6"/>
        <v>3420</v>
      </c>
      <c r="AF68" s="85">
        <v>3420</v>
      </c>
      <c r="AG68" s="85">
        <f t="shared" si="7"/>
        <v>3420</v>
      </c>
      <c r="AH68" s="85">
        <f t="shared" si="2"/>
        <v>52380</v>
      </c>
      <c r="AJ68" s="9">
        <v>52380</v>
      </c>
    </row>
    <row r="69" spans="1:36">
      <c r="A69" s="1" t="s">
        <v>3</v>
      </c>
      <c r="B69" s="5" t="s">
        <v>119</v>
      </c>
      <c r="C69" s="20">
        <v>29280</v>
      </c>
      <c r="D69" s="21">
        <v>29280</v>
      </c>
      <c r="E69" s="21">
        <v>34770</v>
      </c>
      <c r="F69" s="21">
        <v>37515</v>
      </c>
      <c r="G69" s="21">
        <v>34770</v>
      </c>
      <c r="H69" s="21">
        <v>37515</v>
      </c>
      <c r="I69" s="21">
        <v>29280</v>
      </c>
      <c r="J69" s="21">
        <v>27450</v>
      </c>
      <c r="K69" s="21">
        <v>29280</v>
      </c>
      <c r="L69" s="21">
        <v>31110</v>
      </c>
      <c r="M69" s="21">
        <v>29280</v>
      </c>
      <c r="N69" s="21">
        <v>31110</v>
      </c>
      <c r="O69" s="21">
        <v>27450</v>
      </c>
      <c r="P69" s="21">
        <v>27450</v>
      </c>
      <c r="Q69" s="21">
        <v>31110</v>
      </c>
      <c r="R69" s="21">
        <v>27450</v>
      </c>
      <c r="S69" s="63">
        <v>23790</v>
      </c>
      <c r="T69" s="85">
        <f t="shared" si="5"/>
        <v>517890</v>
      </c>
      <c r="U69" s="74">
        <v>43005</v>
      </c>
      <c r="V69" s="21">
        <v>34770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2">
        <v>0</v>
      </c>
      <c r="AE69" s="22">
        <f t="shared" si="6"/>
        <v>77775</v>
      </c>
      <c r="AF69" s="85">
        <v>34770</v>
      </c>
      <c r="AG69" s="85">
        <f t="shared" si="7"/>
        <v>34770</v>
      </c>
      <c r="AH69" s="85">
        <f t="shared" si="2"/>
        <v>630435</v>
      </c>
      <c r="AJ69" s="9">
        <v>630435</v>
      </c>
    </row>
    <row r="70" spans="1:36">
      <c r="A70" s="1" t="s">
        <v>3</v>
      </c>
      <c r="B70" s="5" t="s">
        <v>120</v>
      </c>
      <c r="C70" s="20">
        <v>976</v>
      </c>
      <c r="D70" s="21">
        <v>1182</v>
      </c>
      <c r="E70" s="21">
        <v>1139</v>
      </c>
      <c r="F70" s="21">
        <v>1153</v>
      </c>
      <c r="G70" s="21">
        <v>1138</v>
      </c>
      <c r="H70" s="21">
        <v>1096</v>
      </c>
      <c r="I70" s="21">
        <v>1071</v>
      </c>
      <c r="J70" s="21">
        <v>914</v>
      </c>
      <c r="K70" s="21">
        <v>949</v>
      </c>
      <c r="L70" s="21">
        <v>1006</v>
      </c>
      <c r="M70" s="21">
        <v>0</v>
      </c>
      <c r="N70" s="21">
        <v>943</v>
      </c>
      <c r="O70" s="21">
        <v>908</v>
      </c>
      <c r="P70" s="21">
        <v>1088</v>
      </c>
      <c r="Q70" s="21">
        <v>1045</v>
      </c>
      <c r="R70" s="21">
        <v>940</v>
      </c>
      <c r="S70" s="63">
        <v>853</v>
      </c>
      <c r="T70" s="85">
        <f t="shared" si="5"/>
        <v>16401</v>
      </c>
      <c r="U70" s="74">
        <v>1482</v>
      </c>
      <c r="V70" s="21">
        <v>1331</v>
      </c>
      <c r="W70" s="21">
        <v>301</v>
      </c>
      <c r="X70" s="21">
        <v>270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2">
        <v>127</v>
      </c>
      <c r="AE70" s="22">
        <f t="shared" si="6"/>
        <v>3511</v>
      </c>
      <c r="AF70" s="85">
        <v>1148</v>
      </c>
      <c r="AG70" s="85">
        <f t="shared" si="7"/>
        <v>1148</v>
      </c>
      <c r="AH70" s="85">
        <f t="shared" si="2"/>
        <v>21060</v>
      </c>
      <c r="AJ70" s="9">
        <v>21060</v>
      </c>
    </row>
    <row r="71" spans="1:36" ht="19.5" thickBot="1">
      <c r="A71" s="1" t="s">
        <v>3</v>
      </c>
      <c r="B71" s="43" t="s">
        <v>121</v>
      </c>
      <c r="C71" s="44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64">
        <v>0</v>
      </c>
      <c r="T71" s="86">
        <f t="shared" si="5"/>
        <v>0</v>
      </c>
      <c r="U71" s="7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6">
        <v>0</v>
      </c>
      <c r="AE71" s="46">
        <f t="shared" si="6"/>
        <v>0</v>
      </c>
      <c r="AF71" s="86">
        <v>0</v>
      </c>
      <c r="AG71" s="86">
        <f t="shared" si="7"/>
        <v>0</v>
      </c>
      <c r="AH71" s="86">
        <f t="shared" si="2"/>
        <v>0</v>
      </c>
      <c r="AJ71" s="47">
        <v>0</v>
      </c>
    </row>
    <row r="72" spans="1:36" ht="19.5" thickBot="1">
      <c r="A72" s="1" t="s">
        <v>3</v>
      </c>
      <c r="B72" s="48" t="s">
        <v>122</v>
      </c>
      <c r="C72" s="49">
        <v>49456</v>
      </c>
      <c r="D72" s="50">
        <v>49662</v>
      </c>
      <c r="E72" s="50">
        <v>58709</v>
      </c>
      <c r="F72" s="50">
        <v>63268</v>
      </c>
      <c r="G72" s="50">
        <v>58708</v>
      </c>
      <c r="H72" s="50">
        <v>63211</v>
      </c>
      <c r="I72" s="50">
        <v>49551</v>
      </c>
      <c r="J72" s="50">
        <v>46364</v>
      </c>
      <c r="K72" s="50">
        <v>49429</v>
      </c>
      <c r="L72" s="50">
        <v>52516</v>
      </c>
      <c r="M72" s="50">
        <v>48480</v>
      </c>
      <c r="N72" s="50">
        <v>49393</v>
      </c>
      <c r="O72" s="50">
        <v>46358</v>
      </c>
      <c r="P72" s="50">
        <v>46538</v>
      </c>
      <c r="Q72" s="50">
        <v>52555</v>
      </c>
      <c r="R72" s="50">
        <v>46390</v>
      </c>
      <c r="S72" s="65">
        <v>37903</v>
      </c>
      <c r="T72" s="87">
        <f t="shared" si="5"/>
        <v>868491</v>
      </c>
      <c r="U72" s="76">
        <v>68457</v>
      </c>
      <c r="V72" s="50">
        <v>58901</v>
      </c>
      <c r="W72" s="50">
        <v>301</v>
      </c>
      <c r="X72" s="50">
        <v>270</v>
      </c>
      <c r="Y72" s="50">
        <v>0</v>
      </c>
      <c r="Z72" s="50">
        <v>0</v>
      </c>
      <c r="AA72" s="50">
        <v>0</v>
      </c>
      <c r="AB72" s="50">
        <v>0</v>
      </c>
      <c r="AC72" s="50">
        <v>0</v>
      </c>
      <c r="AD72" s="51">
        <v>127</v>
      </c>
      <c r="AE72" s="51">
        <f t="shared" si="6"/>
        <v>128056</v>
      </c>
      <c r="AF72" s="87">
        <v>58718</v>
      </c>
      <c r="AG72" s="87">
        <f t="shared" si="7"/>
        <v>58718</v>
      </c>
      <c r="AH72" s="87">
        <f t="shared" si="2"/>
        <v>1055265</v>
      </c>
      <c r="AJ72" s="52">
        <v>1055265</v>
      </c>
    </row>
    <row r="73" spans="1:36">
      <c r="A73" s="1" t="s">
        <v>3</v>
      </c>
      <c r="B73" s="26" t="s">
        <v>123</v>
      </c>
      <c r="C73" s="35">
        <v>5450</v>
      </c>
      <c r="D73" s="36">
        <v>11760</v>
      </c>
      <c r="E73" s="36">
        <v>7370</v>
      </c>
      <c r="F73" s="36">
        <v>9870</v>
      </c>
      <c r="G73" s="36">
        <v>6980</v>
      </c>
      <c r="H73" s="36">
        <v>8380</v>
      </c>
      <c r="I73" s="36">
        <v>8790</v>
      </c>
      <c r="J73" s="36">
        <v>5190</v>
      </c>
      <c r="K73" s="36">
        <v>7040</v>
      </c>
      <c r="L73" s="36">
        <v>7550</v>
      </c>
      <c r="M73" s="36">
        <v>0</v>
      </c>
      <c r="N73" s="36">
        <v>6990</v>
      </c>
      <c r="O73" s="36">
        <v>6520</v>
      </c>
      <c r="P73" s="36">
        <v>9440</v>
      </c>
      <c r="Q73" s="36">
        <v>3130</v>
      </c>
      <c r="R73" s="36">
        <v>6790</v>
      </c>
      <c r="S73" s="62">
        <v>6300</v>
      </c>
      <c r="T73" s="84">
        <f t="shared" si="5"/>
        <v>117550</v>
      </c>
      <c r="U73" s="73">
        <v>17900</v>
      </c>
      <c r="V73" s="36">
        <v>11620</v>
      </c>
      <c r="W73" s="36">
        <v>580</v>
      </c>
      <c r="X73" s="36">
        <v>110</v>
      </c>
      <c r="Y73" s="36">
        <v>0</v>
      </c>
      <c r="Z73" s="36">
        <v>0</v>
      </c>
      <c r="AA73" s="36">
        <v>0</v>
      </c>
      <c r="AB73" s="36">
        <v>0</v>
      </c>
      <c r="AC73" s="36">
        <v>0</v>
      </c>
      <c r="AD73" s="37">
        <v>0</v>
      </c>
      <c r="AE73" s="37">
        <f t="shared" si="6"/>
        <v>30210</v>
      </c>
      <c r="AF73" s="84">
        <v>9760</v>
      </c>
      <c r="AG73" s="84">
        <f t="shared" si="7"/>
        <v>9760</v>
      </c>
      <c r="AH73" s="84">
        <f t="shared" si="2"/>
        <v>157520</v>
      </c>
      <c r="AJ73" s="38">
        <v>157520</v>
      </c>
    </row>
    <row r="74" spans="1:36">
      <c r="A74" s="1" t="s">
        <v>3</v>
      </c>
      <c r="B74" s="5" t="s">
        <v>124</v>
      </c>
      <c r="C74" s="20">
        <v>1300</v>
      </c>
      <c r="D74" s="21">
        <v>1300</v>
      </c>
      <c r="E74" s="21">
        <v>1300</v>
      </c>
      <c r="F74" s="21">
        <v>0</v>
      </c>
      <c r="G74" s="21">
        <v>1300</v>
      </c>
      <c r="H74" s="21">
        <v>1300</v>
      </c>
      <c r="I74" s="21">
        <v>1300</v>
      </c>
      <c r="J74" s="21">
        <v>1300</v>
      </c>
      <c r="K74" s="21">
        <v>1300</v>
      </c>
      <c r="L74" s="21">
        <v>1300</v>
      </c>
      <c r="M74" s="21">
        <v>0</v>
      </c>
      <c r="N74" s="21">
        <v>0</v>
      </c>
      <c r="O74" s="21">
        <v>1300</v>
      </c>
      <c r="P74" s="21">
        <v>1300</v>
      </c>
      <c r="Q74" s="21">
        <v>1300</v>
      </c>
      <c r="R74" s="21">
        <v>0</v>
      </c>
      <c r="S74" s="63">
        <v>0</v>
      </c>
      <c r="T74" s="85">
        <f t="shared" si="5"/>
        <v>15600</v>
      </c>
      <c r="U74" s="74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2">
        <v>0</v>
      </c>
      <c r="AE74" s="22">
        <f t="shared" si="6"/>
        <v>0</v>
      </c>
      <c r="AF74" s="85">
        <v>0</v>
      </c>
      <c r="AG74" s="85">
        <f t="shared" si="7"/>
        <v>0</v>
      </c>
      <c r="AH74" s="85">
        <f t="shared" ref="AH74:AH84" si="8">T74+AE74+AG74</f>
        <v>15600</v>
      </c>
      <c r="AJ74" s="9">
        <v>15600</v>
      </c>
    </row>
    <row r="75" spans="1:36">
      <c r="A75" s="1" t="s">
        <v>3</v>
      </c>
      <c r="B75" s="5" t="s">
        <v>125</v>
      </c>
      <c r="C75" s="20">
        <v>8600</v>
      </c>
      <c r="D75" s="21">
        <v>14600</v>
      </c>
      <c r="E75" s="21">
        <v>13800</v>
      </c>
      <c r="F75" s="21">
        <v>16700</v>
      </c>
      <c r="G75" s="21">
        <v>15200</v>
      </c>
      <c r="H75" s="21">
        <v>17700</v>
      </c>
      <c r="I75" s="21">
        <v>13500</v>
      </c>
      <c r="J75" s="21">
        <v>9200</v>
      </c>
      <c r="K75" s="21">
        <v>13000</v>
      </c>
      <c r="L75" s="21">
        <v>13800</v>
      </c>
      <c r="M75" s="21">
        <v>10500</v>
      </c>
      <c r="N75" s="21">
        <v>13500</v>
      </c>
      <c r="O75" s="21">
        <v>12100</v>
      </c>
      <c r="P75" s="21">
        <v>14200</v>
      </c>
      <c r="Q75" s="21">
        <v>5600</v>
      </c>
      <c r="R75" s="21">
        <v>0</v>
      </c>
      <c r="S75" s="63">
        <v>0</v>
      </c>
      <c r="T75" s="85">
        <f t="shared" si="5"/>
        <v>192000</v>
      </c>
      <c r="U75" s="74">
        <v>35200</v>
      </c>
      <c r="V75" s="21">
        <v>14500</v>
      </c>
      <c r="W75" s="21">
        <v>600</v>
      </c>
      <c r="X75" s="21">
        <v>500</v>
      </c>
      <c r="Y75" s="21">
        <v>900</v>
      </c>
      <c r="Z75" s="21">
        <v>0</v>
      </c>
      <c r="AA75" s="21">
        <v>4100</v>
      </c>
      <c r="AB75" s="21">
        <v>0</v>
      </c>
      <c r="AC75" s="21">
        <v>0</v>
      </c>
      <c r="AD75" s="22">
        <v>0</v>
      </c>
      <c r="AE75" s="22">
        <f t="shared" si="6"/>
        <v>55800</v>
      </c>
      <c r="AF75" s="85">
        <v>16100</v>
      </c>
      <c r="AG75" s="85">
        <f t="shared" si="7"/>
        <v>16100</v>
      </c>
      <c r="AH75" s="85">
        <f t="shared" si="8"/>
        <v>263900</v>
      </c>
      <c r="AJ75" s="9">
        <v>263900</v>
      </c>
    </row>
    <row r="76" spans="1:36">
      <c r="A76" s="1" t="s">
        <v>3</v>
      </c>
      <c r="B76" s="5" t="s">
        <v>126</v>
      </c>
      <c r="C76" s="20">
        <v>0</v>
      </c>
      <c r="D76" s="21">
        <v>0</v>
      </c>
      <c r="E76" s="21">
        <v>0</v>
      </c>
      <c r="F76" s="21">
        <v>10000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53">
        <v>-58980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63">
        <v>0</v>
      </c>
      <c r="T76" s="88">
        <f t="shared" si="5"/>
        <v>-48980</v>
      </c>
      <c r="U76" s="74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2">
        <v>0</v>
      </c>
      <c r="AE76" s="22">
        <f t="shared" si="6"/>
        <v>0</v>
      </c>
      <c r="AF76" s="85">
        <v>0</v>
      </c>
      <c r="AG76" s="85">
        <f t="shared" si="7"/>
        <v>0</v>
      </c>
      <c r="AH76" s="85">
        <f t="shared" si="8"/>
        <v>-48980</v>
      </c>
      <c r="AI76" s="54"/>
      <c r="AJ76" s="55">
        <v>-48980</v>
      </c>
    </row>
    <row r="77" spans="1:36">
      <c r="A77" s="1" t="s">
        <v>3</v>
      </c>
      <c r="B77" s="5" t="s">
        <v>127</v>
      </c>
      <c r="C77" s="20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63">
        <v>0</v>
      </c>
      <c r="T77" s="85">
        <f t="shared" si="5"/>
        <v>0</v>
      </c>
      <c r="U77" s="74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2">
        <v>0</v>
      </c>
      <c r="AE77" s="22">
        <f t="shared" si="6"/>
        <v>0</v>
      </c>
      <c r="AF77" s="85">
        <v>0</v>
      </c>
      <c r="AG77" s="85">
        <f t="shared" si="7"/>
        <v>0</v>
      </c>
      <c r="AH77" s="85">
        <f t="shared" si="8"/>
        <v>0</v>
      </c>
      <c r="AJ77" s="9">
        <v>0</v>
      </c>
    </row>
    <row r="78" spans="1:36">
      <c r="A78" s="1" t="s">
        <v>3</v>
      </c>
      <c r="B78" s="5" t="s">
        <v>128</v>
      </c>
      <c r="C78" s="20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63">
        <v>0</v>
      </c>
      <c r="T78" s="85">
        <f t="shared" si="5"/>
        <v>0</v>
      </c>
      <c r="U78" s="74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2">
        <v>0</v>
      </c>
      <c r="AE78" s="22">
        <f t="shared" si="6"/>
        <v>0</v>
      </c>
      <c r="AF78" s="85">
        <v>0</v>
      </c>
      <c r="AG78" s="85">
        <f t="shared" si="7"/>
        <v>0</v>
      </c>
      <c r="AH78" s="85">
        <f t="shared" si="8"/>
        <v>0</v>
      </c>
      <c r="AJ78" s="9">
        <v>0</v>
      </c>
    </row>
    <row r="79" spans="1:36" ht="19.5" thickBot="1">
      <c r="A79" s="1" t="s">
        <v>3</v>
      </c>
      <c r="B79" s="43" t="s">
        <v>129</v>
      </c>
      <c r="C79" s="44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64">
        <v>0</v>
      </c>
      <c r="T79" s="86">
        <f t="shared" si="5"/>
        <v>0</v>
      </c>
      <c r="U79" s="7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6">
        <v>0</v>
      </c>
      <c r="AE79" s="46">
        <f t="shared" si="6"/>
        <v>0</v>
      </c>
      <c r="AF79" s="86">
        <v>0</v>
      </c>
      <c r="AG79" s="86">
        <f t="shared" si="7"/>
        <v>0</v>
      </c>
      <c r="AH79" s="86">
        <f t="shared" si="8"/>
        <v>0</v>
      </c>
      <c r="AJ79" s="47">
        <v>0</v>
      </c>
    </row>
    <row r="80" spans="1:36" ht="19.5" thickBot="1">
      <c r="A80" s="1" t="s">
        <v>3</v>
      </c>
      <c r="B80" s="48" t="s">
        <v>130</v>
      </c>
      <c r="C80" s="49">
        <v>64806</v>
      </c>
      <c r="D80" s="50">
        <v>77322</v>
      </c>
      <c r="E80" s="50">
        <v>81179</v>
      </c>
      <c r="F80" s="50">
        <v>99838</v>
      </c>
      <c r="G80" s="50">
        <v>82188</v>
      </c>
      <c r="H80" s="50">
        <v>90591</v>
      </c>
      <c r="I80" s="50">
        <v>73141</v>
      </c>
      <c r="J80" s="50">
        <v>62054</v>
      </c>
      <c r="K80" s="50">
        <v>70769</v>
      </c>
      <c r="L80" s="50">
        <v>75166</v>
      </c>
      <c r="M80" s="50">
        <v>0</v>
      </c>
      <c r="N80" s="50">
        <v>69883</v>
      </c>
      <c r="O80" s="50">
        <v>66278</v>
      </c>
      <c r="P80" s="50">
        <v>71478</v>
      </c>
      <c r="Q80" s="50">
        <v>62585</v>
      </c>
      <c r="R80" s="50">
        <v>53180</v>
      </c>
      <c r="S80" s="65">
        <v>44203</v>
      </c>
      <c r="T80" s="87">
        <f t="shared" si="5"/>
        <v>1144661</v>
      </c>
      <c r="U80" s="76">
        <v>121557</v>
      </c>
      <c r="V80" s="50">
        <v>85021</v>
      </c>
      <c r="W80" s="50">
        <v>1481</v>
      </c>
      <c r="X80" s="50">
        <v>880</v>
      </c>
      <c r="Y80" s="50">
        <v>900</v>
      </c>
      <c r="Z80" s="50">
        <v>0</v>
      </c>
      <c r="AA80" s="50">
        <v>4100</v>
      </c>
      <c r="AB80" s="50">
        <v>0</v>
      </c>
      <c r="AC80" s="50">
        <v>0</v>
      </c>
      <c r="AD80" s="51">
        <v>127</v>
      </c>
      <c r="AE80" s="51">
        <f t="shared" si="6"/>
        <v>214066</v>
      </c>
      <c r="AF80" s="87">
        <v>84578</v>
      </c>
      <c r="AG80" s="87">
        <f t="shared" si="7"/>
        <v>84578</v>
      </c>
      <c r="AH80" s="87">
        <f t="shared" si="8"/>
        <v>1443305</v>
      </c>
      <c r="AJ80" s="52">
        <v>1443305</v>
      </c>
    </row>
    <row r="81" spans="1:36" ht="19.5" thickBot="1">
      <c r="A81" s="1" t="s">
        <v>3</v>
      </c>
      <c r="B81" s="48" t="s">
        <v>131</v>
      </c>
      <c r="C81" s="49">
        <v>264337</v>
      </c>
      <c r="D81" s="50">
        <v>341330</v>
      </c>
      <c r="E81" s="50">
        <v>315793</v>
      </c>
      <c r="F81" s="50">
        <v>318193</v>
      </c>
      <c r="G81" s="50">
        <v>306260</v>
      </c>
      <c r="H81" s="50">
        <v>299969</v>
      </c>
      <c r="I81" s="50">
        <v>304999</v>
      </c>
      <c r="J81" s="50">
        <v>257177</v>
      </c>
      <c r="K81" s="50">
        <v>263631</v>
      </c>
      <c r="L81" s="50">
        <v>277954</v>
      </c>
      <c r="M81" s="50">
        <v>-48480</v>
      </c>
      <c r="N81" s="50">
        <v>262148</v>
      </c>
      <c r="O81" s="50">
        <v>248988</v>
      </c>
      <c r="P81" s="50">
        <v>312948</v>
      </c>
      <c r="Q81" s="50">
        <v>289884</v>
      </c>
      <c r="R81" s="50">
        <v>256605</v>
      </c>
      <c r="S81" s="65">
        <v>242907</v>
      </c>
      <c r="T81" s="87">
        <f t="shared" si="5"/>
        <v>4514643</v>
      </c>
      <c r="U81" s="76">
        <v>416543</v>
      </c>
      <c r="V81" s="50">
        <v>379280</v>
      </c>
      <c r="W81" s="50">
        <v>97219</v>
      </c>
      <c r="X81" s="50">
        <v>88050</v>
      </c>
      <c r="Y81" s="50">
        <v>3360</v>
      </c>
      <c r="Z81" s="50">
        <v>69300</v>
      </c>
      <c r="AA81" s="50">
        <v>41580</v>
      </c>
      <c r="AB81" s="50">
        <v>70140</v>
      </c>
      <c r="AC81" s="50">
        <v>57074</v>
      </c>
      <c r="AD81" s="51">
        <v>38513</v>
      </c>
      <c r="AE81" s="51">
        <f t="shared" si="6"/>
        <v>1261059</v>
      </c>
      <c r="AF81" s="87">
        <v>316844</v>
      </c>
      <c r="AG81" s="87">
        <f t="shared" si="7"/>
        <v>316844</v>
      </c>
      <c r="AH81" s="87">
        <f t="shared" si="8"/>
        <v>6092546</v>
      </c>
      <c r="AJ81" s="52">
        <v>6092546</v>
      </c>
    </row>
    <row r="82" spans="1:36" ht="19.5" thickBot="1">
      <c r="A82" s="1" t="s">
        <v>3</v>
      </c>
      <c r="B82" s="48" t="s">
        <v>132</v>
      </c>
      <c r="C82" s="49">
        <v>260581</v>
      </c>
      <c r="D82" s="50">
        <v>316810</v>
      </c>
      <c r="E82" s="50">
        <v>298541</v>
      </c>
      <c r="F82" s="50">
        <v>284643</v>
      </c>
      <c r="G82" s="50">
        <v>297224</v>
      </c>
      <c r="H82" s="50">
        <v>274908</v>
      </c>
      <c r="I82" s="50">
        <v>283921</v>
      </c>
      <c r="J82" s="50">
        <v>242647</v>
      </c>
      <c r="K82" s="50">
        <v>245431</v>
      </c>
      <c r="L82" s="50">
        <v>260135</v>
      </c>
      <c r="M82" s="50">
        <v>0</v>
      </c>
      <c r="N82" s="50">
        <v>244364</v>
      </c>
      <c r="O82" s="50">
        <v>236315</v>
      </c>
      <c r="P82" s="50">
        <v>291342</v>
      </c>
      <c r="Q82" s="50">
        <v>285651</v>
      </c>
      <c r="R82" s="50">
        <v>260081</v>
      </c>
      <c r="S82" s="65">
        <v>240158</v>
      </c>
      <c r="T82" s="87">
        <f t="shared" si="5"/>
        <v>4322752</v>
      </c>
      <c r="U82" s="76">
        <v>372501</v>
      </c>
      <c r="V82" s="50">
        <v>358595</v>
      </c>
      <c r="W82" s="50">
        <v>98938</v>
      </c>
      <c r="X82" s="50">
        <v>89131</v>
      </c>
      <c r="Y82" s="50">
        <v>2460</v>
      </c>
      <c r="Z82" s="50">
        <v>72199</v>
      </c>
      <c r="AA82" s="50">
        <v>39654</v>
      </c>
      <c r="AB82" s="50">
        <v>74005</v>
      </c>
      <c r="AC82" s="50">
        <v>59586</v>
      </c>
      <c r="AD82" s="51">
        <v>42233</v>
      </c>
      <c r="AE82" s="51">
        <f t="shared" si="6"/>
        <v>1209302</v>
      </c>
      <c r="AF82" s="87">
        <v>298206</v>
      </c>
      <c r="AG82" s="87">
        <f t="shared" si="7"/>
        <v>298206</v>
      </c>
      <c r="AH82" s="87">
        <f t="shared" si="8"/>
        <v>5830260</v>
      </c>
      <c r="AJ82" s="52">
        <v>5830260</v>
      </c>
    </row>
    <row r="83" spans="1:36">
      <c r="A83" s="1" t="s">
        <v>3</v>
      </c>
      <c r="B83" s="26" t="s">
        <v>133</v>
      </c>
      <c r="C83" s="35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62">
        <v>0</v>
      </c>
      <c r="T83" s="84">
        <f t="shared" si="5"/>
        <v>0</v>
      </c>
      <c r="U83" s="73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7">
        <v>0</v>
      </c>
      <c r="AE83" s="37">
        <f t="shared" si="6"/>
        <v>0</v>
      </c>
      <c r="AF83" s="84">
        <v>0</v>
      </c>
      <c r="AG83" s="84">
        <f t="shared" si="7"/>
        <v>0</v>
      </c>
      <c r="AH83" s="84">
        <f t="shared" si="8"/>
        <v>0</v>
      </c>
      <c r="AJ83" s="38">
        <v>0</v>
      </c>
    </row>
    <row r="84" spans="1:36">
      <c r="A84" s="1" t="s">
        <v>3</v>
      </c>
      <c r="B84" s="5" t="s">
        <v>134</v>
      </c>
      <c r="C84" s="20">
        <v>260581</v>
      </c>
      <c r="D84" s="21">
        <v>316810</v>
      </c>
      <c r="E84" s="21">
        <v>298541</v>
      </c>
      <c r="F84" s="21">
        <v>284643</v>
      </c>
      <c r="G84" s="21">
        <v>297224</v>
      </c>
      <c r="H84" s="21">
        <v>274908</v>
      </c>
      <c r="I84" s="21">
        <v>283921</v>
      </c>
      <c r="J84" s="21">
        <v>242647</v>
      </c>
      <c r="K84" s="21">
        <v>245431</v>
      </c>
      <c r="L84" s="21">
        <v>260135</v>
      </c>
      <c r="M84" s="21">
        <v>0</v>
      </c>
      <c r="N84" s="21">
        <v>244364</v>
      </c>
      <c r="O84" s="21">
        <v>236315</v>
      </c>
      <c r="P84" s="21">
        <v>291342</v>
      </c>
      <c r="Q84" s="21">
        <v>285651</v>
      </c>
      <c r="R84" s="21">
        <v>260081</v>
      </c>
      <c r="S84" s="63">
        <v>240158</v>
      </c>
      <c r="T84" s="85">
        <f t="shared" si="5"/>
        <v>4322752</v>
      </c>
      <c r="U84" s="74">
        <v>372501</v>
      </c>
      <c r="V84" s="21">
        <v>358595</v>
      </c>
      <c r="W84" s="21">
        <v>98938</v>
      </c>
      <c r="X84" s="21">
        <v>89131</v>
      </c>
      <c r="Y84" s="21">
        <v>2460</v>
      </c>
      <c r="Z84" s="21">
        <v>72199</v>
      </c>
      <c r="AA84" s="21">
        <v>39654</v>
      </c>
      <c r="AB84" s="21">
        <v>74005</v>
      </c>
      <c r="AC84" s="21">
        <v>59586</v>
      </c>
      <c r="AD84" s="22">
        <v>42233</v>
      </c>
      <c r="AE84" s="22">
        <f t="shared" si="6"/>
        <v>1209302</v>
      </c>
      <c r="AF84" s="85">
        <v>298206</v>
      </c>
      <c r="AG84" s="85">
        <f t="shared" si="7"/>
        <v>298206</v>
      </c>
      <c r="AH84" s="85">
        <f t="shared" si="8"/>
        <v>5830260</v>
      </c>
      <c r="AJ84" s="9">
        <v>5830260</v>
      </c>
    </row>
    <row r="85" spans="1:36">
      <c r="A85" s="1" t="s">
        <v>3</v>
      </c>
      <c r="B85" s="5" t="s">
        <v>135</v>
      </c>
      <c r="C85" s="20">
        <v>1</v>
      </c>
      <c r="D85" s="21">
        <v>0</v>
      </c>
      <c r="E85" s="21">
        <v>1</v>
      </c>
      <c r="F85" s="21">
        <v>0</v>
      </c>
      <c r="G85" s="21">
        <v>1</v>
      </c>
      <c r="H85" s="21">
        <v>0</v>
      </c>
      <c r="I85" s="21">
        <v>0</v>
      </c>
      <c r="J85" s="21">
        <v>1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3</v>
      </c>
      <c r="R85" s="21">
        <v>0</v>
      </c>
      <c r="S85" s="63">
        <v>0</v>
      </c>
      <c r="T85" s="85"/>
      <c r="U85" s="74">
        <v>0</v>
      </c>
      <c r="V85" s="21">
        <v>1</v>
      </c>
      <c r="W85" s="21">
        <v>0</v>
      </c>
      <c r="X85" s="21">
        <v>0</v>
      </c>
      <c r="Y85" s="21">
        <v>0</v>
      </c>
      <c r="Z85" s="21">
        <v>1</v>
      </c>
      <c r="AA85" s="21">
        <v>1</v>
      </c>
      <c r="AB85" s="21">
        <v>1</v>
      </c>
      <c r="AC85" s="21">
        <v>1</v>
      </c>
      <c r="AD85" s="22">
        <v>1</v>
      </c>
      <c r="AE85" s="9"/>
      <c r="AF85" s="85">
        <v>0</v>
      </c>
      <c r="AG85" s="85"/>
      <c r="AH85" s="85"/>
    </row>
    <row r="86" spans="1:36" ht="19.5" thickBot="1">
      <c r="A86" s="1" t="s">
        <v>3</v>
      </c>
      <c r="B86" s="6" t="s">
        <v>136</v>
      </c>
      <c r="C86" s="23" t="s">
        <v>137</v>
      </c>
      <c r="D86" s="24" t="s">
        <v>137</v>
      </c>
      <c r="E86" s="24" t="s">
        <v>137</v>
      </c>
      <c r="F86" s="24" t="s">
        <v>137</v>
      </c>
      <c r="G86" s="24" t="s">
        <v>137</v>
      </c>
      <c r="H86" s="24" t="s">
        <v>137</v>
      </c>
      <c r="I86" s="24" t="s">
        <v>137</v>
      </c>
      <c r="J86" s="24" t="s">
        <v>137</v>
      </c>
      <c r="K86" s="24" t="s">
        <v>137</v>
      </c>
      <c r="L86" s="24" t="s">
        <v>137</v>
      </c>
      <c r="M86" s="24" t="s">
        <v>137</v>
      </c>
      <c r="N86" s="24" t="s">
        <v>137</v>
      </c>
      <c r="O86" s="24" t="s">
        <v>137</v>
      </c>
      <c r="P86" s="24" t="s">
        <v>137</v>
      </c>
      <c r="Q86" s="24" t="s">
        <v>137</v>
      </c>
      <c r="R86" s="24" t="s">
        <v>137</v>
      </c>
      <c r="S86" s="66" t="s">
        <v>137</v>
      </c>
      <c r="T86" s="89"/>
      <c r="U86" s="77" t="s">
        <v>137</v>
      </c>
      <c r="V86" s="24" t="s">
        <v>137</v>
      </c>
      <c r="W86" s="24" t="s">
        <v>137</v>
      </c>
      <c r="X86" s="24" t="s">
        <v>137</v>
      </c>
      <c r="Y86" s="24" t="s">
        <v>137</v>
      </c>
      <c r="Z86" s="24" t="s">
        <v>137</v>
      </c>
      <c r="AA86" s="24" t="s">
        <v>137</v>
      </c>
      <c r="AB86" s="24" t="s">
        <v>137</v>
      </c>
      <c r="AC86" s="24" t="s">
        <v>137</v>
      </c>
      <c r="AD86" s="25" t="s">
        <v>137</v>
      </c>
      <c r="AE86" s="10"/>
      <c r="AF86" s="89" t="s">
        <v>137</v>
      </c>
      <c r="AG86" s="89"/>
      <c r="AH86" s="89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F200-F4C0-4231-B2F7-0D20E1ECD987}">
  <sheetPr>
    <pageSetUpPr fitToPage="1"/>
  </sheetPr>
  <dimension ref="A1:R61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16" width="10" style="2" customWidth="1"/>
    <col min="17" max="241" width="9" style="2"/>
    <col min="242" max="242" width="2.375" style="2" customWidth="1"/>
    <col min="243" max="243" width="13.25" style="2" bestFit="1" customWidth="1"/>
    <col min="244" max="244" width="11.125" style="2" bestFit="1" customWidth="1"/>
    <col min="245" max="245" width="9.625" style="2" bestFit="1" customWidth="1"/>
    <col min="246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2" width="11.125" style="2" bestFit="1" customWidth="1"/>
    <col min="263" max="263" width="8" style="2" bestFit="1" customWidth="1"/>
    <col min="264" max="267" width="9" style="2"/>
    <col min="268" max="269" width="11.125" style="2" bestFit="1" customWidth="1"/>
    <col min="270" max="271" width="9" style="2"/>
    <col min="272" max="272" width="9.625" style="2" bestFit="1" customWidth="1"/>
    <col min="273" max="497" width="9" style="2"/>
    <col min="498" max="498" width="2.375" style="2" customWidth="1"/>
    <col min="499" max="499" width="13.25" style="2" bestFit="1" customWidth="1"/>
    <col min="500" max="500" width="11.125" style="2" bestFit="1" customWidth="1"/>
    <col min="501" max="501" width="9.625" style="2" bestFit="1" customWidth="1"/>
    <col min="502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18" width="11.125" style="2" bestFit="1" customWidth="1"/>
    <col min="519" max="519" width="8" style="2" bestFit="1" customWidth="1"/>
    <col min="520" max="523" width="9" style="2"/>
    <col min="524" max="525" width="11.125" style="2" bestFit="1" customWidth="1"/>
    <col min="526" max="527" width="9" style="2"/>
    <col min="528" max="528" width="9.625" style="2" bestFit="1" customWidth="1"/>
    <col min="529" max="753" width="9" style="2"/>
    <col min="754" max="754" width="2.375" style="2" customWidth="1"/>
    <col min="755" max="755" width="13.25" style="2" bestFit="1" customWidth="1"/>
    <col min="756" max="756" width="11.125" style="2" bestFit="1" customWidth="1"/>
    <col min="757" max="757" width="9.625" style="2" bestFit="1" customWidth="1"/>
    <col min="758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4" width="11.125" style="2" bestFit="1" customWidth="1"/>
    <col min="775" max="775" width="8" style="2" bestFit="1" customWidth="1"/>
    <col min="776" max="779" width="9" style="2"/>
    <col min="780" max="781" width="11.125" style="2" bestFit="1" customWidth="1"/>
    <col min="782" max="783" width="9" style="2"/>
    <col min="784" max="784" width="9.625" style="2" bestFit="1" customWidth="1"/>
    <col min="785" max="1009" width="9" style="2"/>
    <col min="1010" max="1010" width="2.375" style="2" customWidth="1"/>
    <col min="1011" max="1011" width="13.25" style="2" bestFit="1" customWidth="1"/>
    <col min="1012" max="1012" width="11.125" style="2" bestFit="1" customWidth="1"/>
    <col min="1013" max="1013" width="9.625" style="2" bestFit="1" customWidth="1"/>
    <col min="1014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0" width="11.125" style="2" bestFit="1" customWidth="1"/>
    <col min="1031" max="1031" width="8" style="2" bestFit="1" customWidth="1"/>
    <col min="1032" max="1035" width="9" style="2"/>
    <col min="1036" max="1037" width="11.125" style="2" bestFit="1" customWidth="1"/>
    <col min="1038" max="1039" width="9" style="2"/>
    <col min="1040" max="1040" width="9.625" style="2" bestFit="1" customWidth="1"/>
    <col min="1041" max="1265" width="9" style="2"/>
    <col min="1266" max="1266" width="2.375" style="2" customWidth="1"/>
    <col min="1267" max="1267" width="13.25" style="2" bestFit="1" customWidth="1"/>
    <col min="1268" max="1268" width="11.125" style="2" bestFit="1" customWidth="1"/>
    <col min="1269" max="1269" width="9.625" style="2" bestFit="1" customWidth="1"/>
    <col min="1270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6" width="11.125" style="2" bestFit="1" customWidth="1"/>
    <col min="1287" max="1287" width="8" style="2" bestFit="1" customWidth="1"/>
    <col min="1288" max="1291" width="9" style="2"/>
    <col min="1292" max="1293" width="11.125" style="2" bestFit="1" customWidth="1"/>
    <col min="1294" max="1295" width="9" style="2"/>
    <col min="1296" max="1296" width="9.625" style="2" bestFit="1" customWidth="1"/>
    <col min="1297" max="1521" width="9" style="2"/>
    <col min="1522" max="1522" width="2.375" style="2" customWidth="1"/>
    <col min="1523" max="1523" width="13.25" style="2" bestFit="1" customWidth="1"/>
    <col min="1524" max="1524" width="11.125" style="2" bestFit="1" customWidth="1"/>
    <col min="1525" max="1525" width="9.625" style="2" bestFit="1" customWidth="1"/>
    <col min="1526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2" width="11.125" style="2" bestFit="1" customWidth="1"/>
    <col min="1543" max="1543" width="8" style="2" bestFit="1" customWidth="1"/>
    <col min="1544" max="1547" width="9" style="2"/>
    <col min="1548" max="1549" width="11.125" style="2" bestFit="1" customWidth="1"/>
    <col min="1550" max="1551" width="9" style="2"/>
    <col min="1552" max="1552" width="9.625" style="2" bestFit="1" customWidth="1"/>
    <col min="1553" max="1777" width="9" style="2"/>
    <col min="1778" max="1778" width="2.375" style="2" customWidth="1"/>
    <col min="1779" max="1779" width="13.25" style="2" bestFit="1" customWidth="1"/>
    <col min="1780" max="1780" width="11.125" style="2" bestFit="1" customWidth="1"/>
    <col min="1781" max="1781" width="9.625" style="2" bestFit="1" customWidth="1"/>
    <col min="1782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798" width="11.125" style="2" bestFit="1" customWidth="1"/>
    <col min="1799" max="1799" width="8" style="2" bestFit="1" customWidth="1"/>
    <col min="1800" max="1803" width="9" style="2"/>
    <col min="1804" max="1805" width="11.125" style="2" bestFit="1" customWidth="1"/>
    <col min="1806" max="1807" width="9" style="2"/>
    <col min="1808" max="1808" width="9.625" style="2" bestFit="1" customWidth="1"/>
    <col min="1809" max="2033" width="9" style="2"/>
    <col min="2034" max="2034" width="2.375" style="2" customWidth="1"/>
    <col min="2035" max="2035" width="13.25" style="2" bestFit="1" customWidth="1"/>
    <col min="2036" max="2036" width="11.125" style="2" bestFit="1" customWidth="1"/>
    <col min="2037" max="2037" width="9.625" style="2" bestFit="1" customWidth="1"/>
    <col min="2038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4" width="11.125" style="2" bestFit="1" customWidth="1"/>
    <col min="2055" max="2055" width="8" style="2" bestFit="1" customWidth="1"/>
    <col min="2056" max="2059" width="9" style="2"/>
    <col min="2060" max="2061" width="11.125" style="2" bestFit="1" customWidth="1"/>
    <col min="2062" max="2063" width="9" style="2"/>
    <col min="2064" max="2064" width="9.625" style="2" bestFit="1" customWidth="1"/>
    <col min="2065" max="2289" width="9" style="2"/>
    <col min="2290" max="2290" width="2.375" style="2" customWidth="1"/>
    <col min="2291" max="2291" width="13.25" style="2" bestFit="1" customWidth="1"/>
    <col min="2292" max="2292" width="11.125" style="2" bestFit="1" customWidth="1"/>
    <col min="2293" max="2293" width="9.625" style="2" bestFit="1" customWidth="1"/>
    <col min="2294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0" width="11.125" style="2" bestFit="1" customWidth="1"/>
    <col min="2311" max="2311" width="8" style="2" bestFit="1" customWidth="1"/>
    <col min="2312" max="2315" width="9" style="2"/>
    <col min="2316" max="2317" width="11.125" style="2" bestFit="1" customWidth="1"/>
    <col min="2318" max="2319" width="9" style="2"/>
    <col min="2320" max="2320" width="9.625" style="2" bestFit="1" customWidth="1"/>
    <col min="2321" max="2545" width="9" style="2"/>
    <col min="2546" max="2546" width="2.375" style="2" customWidth="1"/>
    <col min="2547" max="2547" width="13.25" style="2" bestFit="1" customWidth="1"/>
    <col min="2548" max="2548" width="11.125" style="2" bestFit="1" customWidth="1"/>
    <col min="2549" max="2549" width="9.625" style="2" bestFit="1" customWidth="1"/>
    <col min="2550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6" width="11.125" style="2" bestFit="1" customWidth="1"/>
    <col min="2567" max="2567" width="8" style="2" bestFit="1" customWidth="1"/>
    <col min="2568" max="2571" width="9" style="2"/>
    <col min="2572" max="2573" width="11.125" style="2" bestFit="1" customWidth="1"/>
    <col min="2574" max="2575" width="9" style="2"/>
    <col min="2576" max="2576" width="9.625" style="2" bestFit="1" customWidth="1"/>
    <col min="2577" max="2801" width="9" style="2"/>
    <col min="2802" max="2802" width="2.375" style="2" customWidth="1"/>
    <col min="2803" max="2803" width="13.25" style="2" bestFit="1" customWidth="1"/>
    <col min="2804" max="2804" width="11.125" style="2" bestFit="1" customWidth="1"/>
    <col min="2805" max="2805" width="9.625" style="2" bestFit="1" customWidth="1"/>
    <col min="2806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2" width="11.125" style="2" bestFit="1" customWidth="1"/>
    <col min="2823" max="2823" width="8" style="2" bestFit="1" customWidth="1"/>
    <col min="2824" max="2827" width="9" style="2"/>
    <col min="2828" max="2829" width="11.125" style="2" bestFit="1" customWidth="1"/>
    <col min="2830" max="2831" width="9" style="2"/>
    <col min="2832" max="2832" width="9.625" style="2" bestFit="1" customWidth="1"/>
    <col min="2833" max="3057" width="9" style="2"/>
    <col min="3058" max="3058" width="2.375" style="2" customWidth="1"/>
    <col min="3059" max="3059" width="13.25" style="2" bestFit="1" customWidth="1"/>
    <col min="3060" max="3060" width="11.125" style="2" bestFit="1" customWidth="1"/>
    <col min="3061" max="3061" width="9.625" style="2" bestFit="1" customWidth="1"/>
    <col min="3062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78" width="11.125" style="2" bestFit="1" customWidth="1"/>
    <col min="3079" max="3079" width="8" style="2" bestFit="1" customWidth="1"/>
    <col min="3080" max="3083" width="9" style="2"/>
    <col min="3084" max="3085" width="11.125" style="2" bestFit="1" customWidth="1"/>
    <col min="3086" max="3087" width="9" style="2"/>
    <col min="3088" max="3088" width="9.625" style="2" bestFit="1" customWidth="1"/>
    <col min="3089" max="3313" width="9" style="2"/>
    <col min="3314" max="3314" width="2.375" style="2" customWidth="1"/>
    <col min="3315" max="3315" width="13.25" style="2" bestFit="1" customWidth="1"/>
    <col min="3316" max="3316" width="11.125" style="2" bestFit="1" customWidth="1"/>
    <col min="3317" max="3317" width="9.625" style="2" bestFit="1" customWidth="1"/>
    <col min="3318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4" width="11.125" style="2" bestFit="1" customWidth="1"/>
    <col min="3335" max="3335" width="8" style="2" bestFit="1" customWidth="1"/>
    <col min="3336" max="3339" width="9" style="2"/>
    <col min="3340" max="3341" width="11.125" style="2" bestFit="1" customWidth="1"/>
    <col min="3342" max="3343" width="9" style="2"/>
    <col min="3344" max="3344" width="9.625" style="2" bestFit="1" customWidth="1"/>
    <col min="3345" max="3569" width="9" style="2"/>
    <col min="3570" max="3570" width="2.375" style="2" customWidth="1"/>
    <col min="3571" max="3571" width="13.25" style="2" bestFit="1" customWidth="1"/>
    <col min="3572" max="3572" width="11.125" style="2" bestFit="1" customWidth="1"/>
    <col min="3573" max="3573" width="9.625" style="2" bestFit="1" customWidth="1"/>
    <col min="3574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0" width="11.125" style="2" bestFit="1" customWidth="1"/>
    <col min="3591" max="3591" width="8" style="2" bestFit="1" customWidth="1"/>
    <col min="3592" max="3595" width="9" style="2"/>
    <col min="3596" max="3597" width="11.125" style="2" bestFit="1" customWidth="1"/>
    <col min="3598" max="3599" width="9" style="2"/>
    <col min="3600" max="3600" width="9.625" style="2" bestFit="1" customWidth="1"/>
    <col min="3601" max="3825" width="9" style="2"/>
    <col min="3826" max="3826" width="2.375" style="2" customWidth="1"/>
    <col min="3827" max="3827" width="13.25" style="2" bestFit="1" customWidth="1"/>
    <col min="3828" max="3828" width="11.125" style="2" bestFit="1" customWidth="1"/>
    <col min="3829" max="3829" width="9.625" style="2" bestFit="1" customWidth="1"/>
    <col min="3830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6" width="11.125" style="2" bestFit="1" customWidth="1"/>
    <col min="3847" max="3847" width="8" style="2" bestFit="1" customWidth="1"/>
    <col min="3848" max="3851" width="9" style="2"/>
    <col min="3852" max="3853" width="11.125" style="2" bestFit="1" customWidth="1"/>
    <col min="3854" max="3855" width="9" style="2"/>
    <col min="3856" max="3856" width="9.625" style="2" bestFit="1" customWidth="1"/>
    <col min="3857" max="4081" width="9" style="2"/>
    <col min="4082" max="4082" width="2.375" style="2" customWidth="1"/>
    <col min="4083" max="4083" width="13.25" style="2" bestFit="1" customWidth="1"/>
    <col min="4084" max="4084" width="11.125" style="2" bestFit="1" customWidth="1"/>
    <col min="4085" max="4085" width="9.625" style="2" bestFit="1" customWidth="1"/>
    <col min="4086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2" width="11.125" style="2" bestFit="1" customWidth="1"/>
    <col min="4103" max="4103" width="8" style="2" bestFit="1" customWidth="1"/>
    <col min="4104" max="4107" width="9" style="2"/>
    <col min="4108" max="4109" width="11.125" style="2" bestFit="1" customWidth="1"/>
    <col min="4110" max="4111" width="9" style="2"/>
    <col min="4112" max="4112" width="9.625" style="2" bestFit="1" customWidth="1"/>
    <col min="4113" max="4337" width="9" style="2"/>
    <col min="4338" max="4338" width="2.375" style="2" customWidth="1"/>
    <col min="4339" max="4339" width="13.25" style="2" bestFit="1" customWidth="1"/>
    <col min="4340" max="4340" width="11.125" style="2" bestFit="1" customWidth="1"/>
    <col min="4341" max="4341" width="9.625" style="2" bestFit="1" customWidth="1"/>
    <col min="4342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58" width="11.125" style="2" bestFit="1" customWidth="1"/>
    <col min="4359" max="4359" width="8" style="2" bestFit="1" customWidth="1"/>
    <col min="4360" max="4363" width="9" style="2"/>
    <col min="4364" max="4365" width="11.125" style="2" bestFit="1" customWidth="1"/>
    <col min="4366" max="4367" width="9" style="2"/>
    <col min="4368" max="4368" width="9.625" style="2" bestFit="1" customWidth="1"/>
    <col min="4369" max="4593" width="9" style="2"/>
    <col min="4594" max="4594" width="2.375" style="2" customWidth="1"/>
    <col min="4595" max="4595" width="13.25" style="2" bestFit="1" customWidth="1"/>
    <col min="4596" max="4596" width="11.125" style="2" bestFit="1" customWidth="1"/>
    <col min="4597" max="4597" width="9.625" style="2" bestFit="1" customWidth="1"/>
    <col min="4598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4" width="11.125" style="2" bestFit="1" customWidth="1"/>
    <col min="4615" max="4615" width="8" style="2" bestFit="1" customWidth="1"/>
    <col min="4616" max="4619" width="9" style="2"/>
    <col min="4620" max="4621" width="11.125" style="2" bestFit="1" customWidth="1"/>
    <col min="4622" max="4623" width="9" style="2"/>
    <col min="4624" max="4624" width="9.625" style="2" bestFit="1" customWidth="1"/>
    <col min="4625" max="4849" width="9" style="2"/>
    <col min="4850" max="4850" width="2.375" style="2" customWidth="1"/>
    <col min="4851" max="4851" width="13.25" style="2" bestFit="1" customWidth="1"/>
    <col min="4852" max="4852" width="11.125" style="2" bestFit="1" customWidth="1"/>
    <col min="4853" max="4853" width="9.625" style="2" bestFit="1" customWidth="1"/>
    <col min="4854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0" width="11.125" style="2" bestFit="1" customWidth="1"/>
    <col min="4871" max="4871" width="8" style="2" bestFit="1" customWidth="1"/>
    <col min="4872" max="4875" width="9" style="2"/>
    <col min="4876" max="4877" width="11.125" style="2" bestFit="1" customWidth="1"/>
    <col min="4878" max="4879" width="9" style="2"/>
    <col min="4880" max="4880" width="9.625" style="2" bestFit="1" customWidth="1"/>
    <col min="4881" max="5105" width="9" style="2"/>
    <col min="5106" max="5106" width="2.375" style="2" customWidth="1"/>
    <col min="5107" max="5107" width="13.25" style="2" bestFit="1" customWidth="1"/>
    <col min="5108" max="5108" width="11.125" style="2" bestFit="1" customWidth="1"/>
    <col min="5109" max="5109" width="9.625" style="2" bestFit="1" customWidth="1"/>
    <col min="5110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6" width="11.125" style="2" bestFit="1" customWidth="1"/>
    <col min="5127" max="5127" width="8" style="2" bestFit="1" customWidth="1"/>
    <col min="5128" max="5131" width="9" style="2"/>
    <col min="5132" max="5133" width="11.125" style="2" bestFit="1" customWidth="1"/>
    <col min="5134" max="5135" width="9" style="2"/>
    <col min="5136" max="5136" width="9.625" style="2" bestFit="1" customWidth="1"/>
    <col min="5137" max="5361" width="9" style="2"/>
    <col min="5362" max="5362" width="2.375" style="2" customWidth="1"/>
    <col min="5363" max="5363" width="13.25" style="2" bestFit="1" customWidth="1"/>
    <col min="5364" max="5364" width="11.125" style="2" bestFit="1" customWidth="1"/>
    <col min="5365" max="5365" width="9.625" style="2" bestFit="1" customWidth="1"/>
    <col min="5366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2" width="11.125" style="2" bestFit="1" customWidth="1"/>
    <col min="5383" max="5383" width="8" style="2" bestFit="1" customWidth="1"/>
    <col min="5384" max="5387" width="9" style="2"/>
    <col min="5388" max="5389" width="11.125" style="2" bestFit="1" customWidth="1"/>
    <col min="5390" max="5391" width="9" style="2"/>
    <col min="5392" max="5392" width="9.625" style="2" bestFit="1" customWidth="1"/>
    <col min="5393" max="5617" width="9" style="2"/>
    <col min="5618" max="5618" width="2.375" style="2" customWidth="1"/>
    <col min="5619" max="5619" width="13.25" style="2" bestFit="1" customWidth="1"/>
    <col min="5620" max="5620" width="11.125" style="2" bestFit="1" customWidth="1"/>
    <col min="5621" max="5621" width="9.625" style="2" bestFit="1" customWidth="1"/>
    <col min="5622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38" width="11.125" style="2" bestFit="1" customWidth="1"/>
    <col min="5639" max="5639" width="8" style="2" bestFit="1" customWidth="1"/>
    <col min="5640" max="5643" width="9" style="2"/>
    <col min="5644" max="5645" width="11.125" style="2" bestFit="1" customWidth="1"/>
    <col min="5646" max="5647" width="9" style="2"/>
    <col min="5648" max="5648" width="9.625" style="2" bestFit="1" customWidth="1"/>
    <col min="5649" max="5873" width="9" style="2"/>
    <col min="5874" max="5874" width="2.375" style="2" customWidth="1"/>
    <col min="5875" max="5875" width="13.25" style="2" bestFit="1" customWidth="1"/>
    <col min="5876" max="5876" width="11.125" style="2" bestFit="1" customWidth="1"/>
    <col min="5877" max="5877" width="9.625" style="2" bestFit="1" customWidth="1"/>
    <col min="5878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4" width="11.125" style="2" bestFit="1" customWidth="1"/>
    <col min="5895" max="5895" width="8" style="2" bestFit="1" customWidth="1"/>
    <col min="5896" max="5899" width="9" style="2"/>
    <col min="5900" max="5901" width="11.125" style="2" bestFit="1" customWidth="1"/>
    <col min="5902" max="5903" width="9" style="2"/>
    <col min="5904" max="5904" width="9.625" style="2" bestFit="1" customWidth="1"/>
    <col min="5905" max="6129" width="9" style="2"/>
    <col min="6130" max="6130" width="2.375" style="2" customWidth="1"/>
    <col min="6131" max="6131" width="13.25" style="2" bestFit="1" customWidth="1"/>
    <col min="6132" max="6132" width="11.125" style="2" bestFit="1" customWidth="1"/>
    <col min="6133" max="6133" width="9.625" style="2" bestFit="1" customWidth="1"/>
    <col min="6134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0" width="11.125" style="2" bestFit="1" customWidth="1"/>
    <col min="6151" max="6151" width="8" style="2" bestFit="1" customWidth="1"/>
    <col min="6152" max="6155" width="9" style="2"/>
    <col min="6156" max="6157" width="11.125" style="2" bestFit="1" customWidth="1"/>
    <col min="6158" max="6159" width="9" style="2"/>
    <col min="6160" max="6160" width="9.625" style="2" bestFit="1" customWidth="1"/>
    <col min="6161" max="6385" width="9" style="2"/>
    <col min="6386" max="6386" width="2.375" style="2" customWidth="1"/>
    <col min="6387" max="6387" width="13.25" style="2" bestFit="1" customWidth="1"/>
    <col min="6388" max="6388" width="11.125" style="2" bestFit="1" customWidth="1"/>
    <col min="6389" max="6389" width="9.625" style="2" bestFit="1" customWidth="1"/>
    <col min="6390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6" width="11.125" style="2" bestFit="1" customWidth="1"/>
    <col min="6407" max="6407" width="8" style="2" bestFit="1" customWidth="1"/>
    <col min="6408" max="6411" width="9" style="2"/>
    <col min="6412" max="6413" width="11.125" style="2" bestFit="1" customWidth="1"/>
    <col min="6414" max="6415" width="9" style="2"/>
    <col min="6416" max="6416" width="9.625" style="2" bestFit="1" customWidth="1"/>
    <col min="6417" max="6641" width="9" style="2"/>
    <col min="6642" max="6642" width="2.375" style="2" customWidth="1"/>
    <col min="6643" max="6643" width="13.25" style="2" bestFit="1" customWidth="1"/>
    <col min="6644" max="6644" width="11.125" style="2" bestFit="1" customWidth="1"/>
    <col min="6645" max="6645" width="9.625" style="2" bestFit="1" customWidth="1"/>
    <col min="6646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2" width="11.125" style="2" bestFit="1" customWidth="1"/>
    <col min="6663" max="6663" width="8" style="2" bestFit="1" customWidth="1"/>
    <col min="6664" max="6667" width="9" style="2"/>
    <col min="6668" max="6669" width="11.125" style="2" bestFit="1" customWidth="1"/>
    <col min="6670" max="6671" width="9" style="2"/>
    <col min="6672" max="6672" width="9.625" style="2" bestFit="1" customWidth="1"/>
    <col min="6673" max="6897" width="9" style="2"/>
    <col min="6898" max="6898" width="2.375" style="2" customWidth="1"/>
    <col min="6899" max="6899" width="13.25" style="2" bestFit="1" customWidth="1"/>
    <col min="6900" max="6900" width="11.125" style="2" bestFit="1" customWidth="1"/>
    <col min="6901" max="6901" width="9.625" style="2" bestFit="1" customWidth="1"/>
    <col min="6902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18" width="11.125" style="2" bestFit="1" customWidth="1"/>
    <col min="6919" max="6919" width="8" style="2" bestFit="1" customWidth="1"/>
    <col min="6920" max="6923" width="9" style="2"/>
    <col min="6924" max="6925" width="11.125" style="2" bestFit="1" customWidth="1"/>
    <col min="6926" max="6927" width="9" style="2"/>
    <col min="6928" max="6928" width="9.625" style="2" bestFit="1" customWidth="1"/>
    <col min="6929" max="7153" width="9" style="2"/>
    <col min="7154" max="7154" width="2.375" style="2" customWidth="1"/>
    <col min="7155" max="7155" width="13.25" style="2" bestFit="1" customWidth="1"/>
    <col min="7156" max="7156" width="11.125" style="2" bestFit="1" customWidth="1"/>
    <col min="7157" max="7157" width="9.625" style="2" bestFit="1" customWidth="1"/>
    <col min="7158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4" width="11.125" style="2" bestFit="1" customWidth="1"/>
    <col min="7175" max="7175" width="8" style="2" bestFit="1" customWidth="1"/>
    <col min="7176" max="7179" width="9" style="2"/>
    <col min="7180" max="7181" width="11.125" style="2" bestFit="1" customWidth="1"/>
    <col min="7182" max="7183" width="9" style="2"/>
    <col min="7184" max="7184" width="9.625" style="2" bestFit="1" customWidth="1"/>
    <col min="7185" max="7409" width="9" style="2"/>
    <col min="7410" max="7410" width="2.375" style="2" customWidth="1"/>
    <col min="7411" max="7411" width="13.25" style="2" bestFit="1" customWidth="1"/>
    <col min="7412" max="7412" width="11.125" style="2" bestFit="1" customWidth="1"/>
    <col min="7413" max="7413" width="9.625" style="2" bestFit="1" customWidth="1"/>
    <col min="7414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0" width="11.125" style="2" bestFit="1" customWidth="1"/>
    <col min="7431" max="7431" width="8" style="2" bestFit="1" customWidth="1"/>
    <col min="7432" max="7435" width="9" style="2"/>
    <col min="7436" max="7437" width="11.125" style="2" bestFit="1" customWidth="1"/>
    <col min="7438" max="7439" width="9" style="2"/>
    <col min="7440" max="7440" width="9.625" style="2" bestFit="1" customWidth="1"/>
    <col min="7441" max="7665" width="9" style="2"/>
    <col min="7666" max="7666" width="2.375" style="2" customWidth="1"/>
    <col min="7667" max="7667" width="13.25" style="2" bestFit="1" customWidth="1"/>
    <col min="7668" max="7668" width="11.125" style="2" bestFit="1" customWidth="1"/>
    <col min="7669" max="7669" width="9.625" style="2" bestFit="1" customWidth="1"/>
    <col min="7670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6" width="11.125" style="2" bestFit="1" customWidth="1"/>
    <col min="7687" max="7687" width="8" style="2" bestFit="1" customWidth="1"/>
    <col min="7688" max="7691" width="9" style="2"/>
    <col min="7692" max="7693" width="11.125" style="2" bestFit="1" customWidth="1"/>
    <col min="7694" max="7695" width="9" style="2"/>
    <col min="7696" max="7696" width="9.625" style="2" bestFit="1" customWidth="1"/>
    <col min="7697" max="7921" width="9" style="2"/>
    <col min="7922" max="7922" width="2.375" style="2" customWidth="1"/>
    <col min="7923" max="7923" width="13.25" style="2" bestFit="1" customWidth="1"/>
    <col min="7924" max="7924" width="11.125" style="2" bestFit="1" customWidth="1"/>
    <col min="7925" max="7925" width="9.625" style="2" bestFit="1" customWidth="1"/>
    <col min="7926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2" width="11.125" style="2" bestFit="1" customWidth="1"/>
    <col min="7943" max="7943" width="8" style="2" bestFit="1" customWidth="1"/>
    <col min="7944" max="7947" width="9" style="2"/>
    <col min="7948" max="7949" width="11.125" style="2" bestFit="1" customWidth="1"/>
    <col min="7950" max="7951" width="9" style="2"/>
    <col min="7952" max="7952" width="9.625" style="2" bestFit="1" customWidth="1"/>
    <col min="7953" max="8177" width="9" style="2"/>
    <col min="8178" max="8178" width="2.375" style="2" customWidth="1"/>
    <col min="8179" max="8179" width="13.25" style="2" bestFit="1" customWidth="1"/>
    <col min="8180" max="8180" width="11.125" style="2" bestFit="1" customWidth="1"/>
    <col min="8181" max="8181" width="9.625" style="2" bestFit="1" customWidth="1"/>
    <col min="8182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198" width="11.125" style="2" bestFit="1" customWidth="1"/>
    <col min="8199" max="8199" width="8" style="2" bestFit="1" customWidth="1"/>
    <col min="8200" max="8203" width="9" style="2"/>
    <col min="8204" max="8205" width="11.125" style="2" bestFit="1" customWidth="1"/>
    <col min="8206" max="8207" width="9" style="2"/>
    <col min="8208" max="8208" width="9.625" style="2" bestFit="1" customWidth="1"/>
    <col min="8209" max="8433" width="9" style="2"/>
    <col min="8434" max="8434" width="2.375" style="2" customWidth="1"/>
    <col min="8435" max="8435" width="13.25" style="2" bestFit="1" customWidth="1"/>
    <col min="8436" max="8436" width="11.125" style="2" bestFit="1" customWidth="1"/>
    <col min="8437" max="8437" width="9.625" style="2" bestFit="1" customWidth="1"/>
    <col min="8438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4" width="11.125" style="2" bestFit="1" customWidth="1"/>
    <col min="8455" max="8455" width="8" style="2" bestFit="1" customWidth="1"/>
    <col min="8456" max="8459" width="9" style="2"/>
    <col min="8460" max="8461" width="11.125" style="2" bestFit="1" customWidth="1"/>
    <col min="8462" max="8463" width="9" style="2"/>
    <col min="8464" max="8464" width="9.625" style="2" bestFit="1" customWidth="1"/>
    <col min="8465" max="8689" width="9" style="2"/>
    <col min="8690" max="8690" width="2.375" style="2" customWidth="1"/>
    <col min="8691" max="8691" width="13.25" style="2" bestFit="1" customWidth="1"/>
    <col min="8692" max="8692" width="11.125" style="2" bestFit="1" customWidth="1"/>
    <col min="8693" max="8693" width="9.625" style="2" bestFit="1" customWidth="1"/>
    <col min="8694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0" width="11.125" style="2" bestFit="1" customWidth="1"/>
    <col min="8711" max="8711" width="8" style="2" bestFit="1" customWidth="1"/>
    <col min="8712" max="8715" width="9" style="2"/>
    <col min="8716" max="8717" width="11.125" style="2" bestFit="1" customWidth="1"/>
    <col min="8718" max="8719" width="9" style="2"/>
    <col min="8720" max="8720" width="9.625" style="2" bestFit="1" customWidth="1"/>
    <col min="8721" max="8945" width="9" style="2"/>
    <col min="8946" max="8946" width="2.375" style="2" customWidth="1"/>
    <col min="8947" max="8947" width="13.25" style="2" bestFit="1" customWidth="1"/>
    <col min="8948" max="8948" width="11.125" style="2" bestFit="1" customWidth="1"/>
    <col min="8949" max="8949" width="9.625" style="2" bestFit="1" customWidth="1"/>
    <col min="8950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6" width="11.125" style="2" bestFit="1" customWidth="1"/>
    <col min="8967" max="8967" width="8" style="2" bestFit="1" customWidth="1"/>
    <col min="8968" max="8971" width="9" style="2"/>
    <col min="8972" max="8973" width="11.125" style="2" bestFit="1" customWidth="1"/>
    <col min="8974" max="8975" width="9" style="2"/>
    <col min="8976" max="8976" width="9.625" style="2" bestFit="1" customWidth="1"/>
    <col min="8977" max="9201" width="9" style="2"/>
    <col min="9202" max="9202" width="2.375" style="2" customWidth="1"/>
    <col min="9203" max="9203" width="13.25" style="2" bestFit="1" customWidth="1"/>
    <col min="9204" max="9204" width="11.125" style="2" bestFit="1" customWidth="1"/>
    <col min="9205" max="9205" width="9.625" style="2" bestFit="1" customWidth="1"/>
    <col min="9206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2" width="11.125" style="2" bestFit="1" customWidth="1"/>
    <col min="9223" max="9223" width="8" style="2" bestFit="1" customWidth="1"/>
    <col min="9224" max="9227" width="9" style="2"/>
    <col min="9228" max="9229" width="11.125" style="2" bestFit="1" customWidth="1"/>
    <col min="9230" max="9231" width="9" style="2"/>
    <col min="9232" max="9232" width="9.625" style="2" bestFit="1" customWidth="1"/>
    <col min="9233" max="9457" width="9" style="2"/>
    <col min="9458" max="9458" width="2.375" style="2" customWidth="1"/>
    <col min="9459" max="9459" width="13.25" style="2" bestFit="1" customWidth="1"/>
    <col min="9460" max="9460" width="11.125" style="2" bestFit="1" customWidth="1"/>
    <col min="9461" max="9461" width="9.625" style="2" bestFit="1" customWidth="1"/>
    <col min="9462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78" width="11.125" style="2" bestFit="1" customWidth="1"/>
    <col min="9479" max="9479" width="8" style="2" bestFit="1" customWidth="1"/>
    <col min="9480" max="9483" width="9" style="2"/>
    <col min="9484" max="9485" width="11.125" style="2" bestFit="1" customWidth="1"/>
    <col min="9486" max="9487" width="9" style="2"/>
    <col min="9488" max="9488" width="9.625" style="2" bestFit="1" customWidth="1"/>
    <col min="9489" max="9713" width="9" style="2"/>
    <col min="9714" max="9714" width="2.375" style="2" customWidth="1"/>
    <col min="9715" max="9715" width="13.25" style="2" bestFit="1" customWidth="1"/>
    <col min="9716" max="9716" width="11.125" style="2" bestFit="1" customWidth="1"/>
    <col min="9717" max="9717" width="9.625" style="2" bestFit="1" customWidth="1"/>
    <col min="9718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4" width="11.125" style="2" bestFit="1" customWidth="1"/>
    <col min="9735" max="9735" width="8" style="2" bestFit="1" customWidth="1"/>
    <col min="9736" max="9739" width="9" style="2"/>
    <col min="9740" max="9741" width="11.125" style="2" bestFit="1" customWidth="1"/>
    <col min="9742" max="9743" width="9" style="2"/>
    <col min="9744" max="9744" width="9.625" style="2" bestFit="1" customWidth="1"/>
    <col min="9745" max="9969" width="9" style="2"/>
    <col min="9970" max="9970" width="2.375" style="2" customWidth="1"/>
    <col min="9971" max="9971" width="13.25" style="2" bestFit="1" customWidth="1"/>
    <col min="9972" max="9972" width="11.125" style="2" bestFit="1" customWidth="1"/>
    <col min="9973" max="9973" width="9.625" style="2" bestFit="1" customWidth="1"/>
    <col min="9974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0" width="11.125" style="2" bestFit="1" customWidth="1"/>
    <col min="9991" max="9991" width="8" style="2" bestFit="1" customWidth="1"/>
    <col min="9992" max="9995" width="9" style="2"/>
    <col min="9996" max="9997" width="11.125" style="2" bestFit="1" customWidth="1"/>
    <col min="9998" max="9999" width="9" style="2"/>
    <col min="10000" max="10000" width="9.625" style="2" bestFit="1" customWidth="1"/>
    <col min="10001" max="10225" width="9" style="2"/>
    <col min="10226" max="10226" width="2.375" style="2" customWidth="1"/>
    <col min="10227" max="10227" width="13.25" style="2" bestFit="1" customWidth="1"/>
    <col min="10228" max="10228" width="11.125" style="2" bestFit="1" customWidth="1"/>
    <col min="10229" max="10229" width="9.625" style="2" bestFit="1" customWidth="1"/>
    <col min="10230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6" width="11.125" style="2" bestFit="1" customWidth="1"/>
    <col min="10247" max="10247" width="8" style="2" bestFit="1" customWidth="1"/>
    <col min="10248" max="10251" width="9" style="2"/>
    <col min="10252" max="10253" width="11.125" style="2" bestFit="1" customWidth="1"/>
    <col min="10254" max="10255" width="9" style="2"/>
    <col min="10256" max="10256" width="9.625" style="2" bestFit="1" customWidth="1"/>
    <col min="10257" max="10481" width="9" style="2"/>
    <col min="10482" max="10482" width="2.375" style="2" customWidth="1"/>
    <col min="10483" max="10483" width="13.25" style="2" bestFit="1" customWidth="1"/>
    <col min="10484" max="10484" width="11.125" style="2" bestFit="1" customWidth="1"/>
    <col min="10485" max="10485" width="9.625" style="2" bestFit="1" customWidth="1"/>
    <col min="10486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2" width="11.125" style="2" bestFit="1" customWidth="1"/>
    <col min="10503" max="10503" width="8" style="2" bestFit="1" customWidth="1"/>
    <col min="10504" max="10507" width="9" style="2"/>
    <col min="10508" max="10509" width="11.125" style="2" bestFit="1" customWidth="1"/>
    <col min="10510" max="10511" width="9" style="2"/>
    <col min="10512" max="10512" width="9.625" style="2" bestFit="1" customWidth="1"/>
    <col min="10513" max="10737" width="9" style="2"/>
    <col min="10738" max="10738" width="2.375" style="2" customWidth="1"/>
    <col min="10739" max="10739" width="13.25" style="2" bestFit="1" customWidth="1"/>
    <col min="10740" max="10740" width="11.125" style="2" bestFit="1" customWidth="1"/>
    <col min="10741" max="10741" width="9.625" style="2" bestFit="1" customWidth="1"/>
    <col min="10742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58" width="11.125" style="2" bestFit="1" customWidth="1"/>
    <col min="10759" max="10759" width="8" style="2" bestFit="1" customWidth="1"/>
    <col min="10760" max="10763" width="9" style="2"/>
    <col min="10764" max="10765" width="11.125" style="2" bestFit="1" customWidth="1"/>
    <col min="10766" max="10767" width="9" style="2"/>
    <col min="10768" max="10768" width="9.625" style="2" bestFit="1" customWidth="1"/>
    <col min="10769" max="10993" width="9" style="2"/>
    <col min="10994" max="10994" width="2.375" style="2" customWidth="1"/>
    <col min="10995" max="10995" width="13.25" style="2" bestFit="1" customWidth="1"/>
    <col min="10996" max="10996" width="11.125" style="2" bestFit="1" customWidth="1"/>
    <col min="10997" max="10997" width="9.625" style="2" bestFit="1" customWidth="1"/>
    <col min="10998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4" width="11.125" style="2" bestFit="1" customWidth="1"/>
    <col min="11015" max="11015" width="8" style="2" bestFit="1" customWidth="1"/>
    <col min="11016" max="11019" width="9" style="2"/>
    <col min="11020" max="11021" width="11.125" style="2" bestFit="1" customWidth="1"/>
    <col min="11022" max="11023" width="9" style="2"/>
    <col min="11024" max="11024" width="9.625" style="2" bestFit="1" customWidth="1"/>
    <col min="11025" max="11249" width="9" style="2"/>
    <col min="11250" max="11250" width="2.375" style="2" customWidth="1"/>
    <col min="11251" max="11251" width="13.25" style="2" bestFit="1" customWidth="1"/>
    <col min="11252" max="11252" width="11.125" style="2" bestFit="1" customWidth="1"/>
    <col min="11253" max="11253" width="9.625" style="2" bestFit="1" customWidth="1"/>
    <col min="11254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0" width="11.125" style="2" bestFit="1" customWidth="1"/>
    <col min="11271" max="11271" width="8" style="2" bestFit="1" customWidth="1"/>
    <col min="11272" max="11275" width="9" style="2"/>
    <col min="11276" max="11277" width="11.125" style="2" bestFit="1" customWidth="1"/>
    <col min="11278" max="11279" width="9" style="2"/>
    <col min="11280" max="11280" width="9.625" style="2" bestFit="1" customWidth="1"/>
    <col min="11281" max="11505" width="9" style="2"/>
    <col min="11506" max="11506" width="2.375" style="2" customWidth="1"/>
    <col min="11507" max="11507" width="13.25" style="2" bestFit="1" customWidth="1"/>
    <col min="11508" max="11508" width="11.125" style="2" bestFit="1" customWidth="1"/>
    <col min="11509" max="11509" width="9.625" style="2" bestFit="1" customWidth="1"/>
    <col min="11510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6" width="11.125" style="2" bestFit="1" customWidth="1"/>
    <col min="11527" max="11527" width="8" style="2" bestFit="1" customWidth="1"/>
    <col min="11528" max="11531" width="9" style="2"/>
    <col min="11532" max="11533" width="11.125" style="2" bestFit="1" customWidth="1"/>
    <col min="11534" max="11535" width="9" style="2"/>
    <col min="11536" max="11536" width="9.625" style="2" bestFit="1" customWidth="1"/>
    <col min="11537" max="11761" width="9" style="2"/>
    <col min="11762" max="11762" width="2.375" style="2" customWidth="1"/>
    <col min="11763" max="11763" width="13.25" style="2" bestFit="1" customWidth="1"/>
    <col min="11764" max="11764" width="11.125" style="2" bestFit="1" customWidth="1"/>
    <col min="11765" max="11765" width="9.625" style="2" bestFit="1" customWidth="1"/>
    <col min="11766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2" width="11.125" style="2" bestFit="1" customWidth="1"/>
    <col min="11783" max="11783" width="8" style="2" bestFit="1" customWidth="1"/>
    <col min="11784" max="11787" width="9" style="2"/>
    <col min="11788" max="11789" width="11.125" style="2" bestFit="1" customWidth="1"/>
    <col min="11790" max="11791" width="9" style="2"/>
    <col min="11792" max="11792" width="9.625" style="2" bestFit="1" customWidth="1"/>
    <col min="11793" max="12017" width="9" style="2"/>
    <col min="12018" max="12018" width="2.375" style="2" customWidth="1"/>
    <col min="12019" max="12019" width="13.25" style="2" bestFit="1" customWidth="1"/>
    <col min="12020" max="12020" width="11.125" style="2" bestFit="1" customWidth="1"/>
    <col min="12021" max="12021" width="9.625" style="2" bestFit="1" customWidth="1"/>
    <col min="12022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38" width="11.125" style="2" bestFit="1" customWidth="1"/>
    <col min="12039" max="12039" width="8" style="2" bestFit="1" customWidth="1"/>
    <col min="12040" max="12043" width="9" style="2"/>
    <col min="12044" max="12045" width="11.125" style="2" bestFit="1" customWidth="1"/>
    <col min="12046" max="12047" width="9" style="2"/>
    <col min="12048" max="12048" width="9.625" style="2" bestFit="1" customWidth="1"/>
    <col min="12049" max="12273" width="9" style="2"/>
    <col min="12274" max="12274" width="2.375" style="2" customWidth="1"/>
    <col min="12275" max="12275" width="13.25" style="2" bestFit="1" customWidth="1"/>
    <col min="12276" max="12276" width="11.125" style="2" bestFit="1" customWidth="1"/>
    <col min="12277" max="12277" width="9.625" style="2" bestFit="1" customWidth="1"/>
    <col min="12278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4" width="11.125" style="2" bestFit="1" customWidth="1"/>
    <col min="12295" max="12295" width="8" style="2" bestFit="1" customWidth="1"/>
    <col min="12296" max="12299" width="9" style="2"/>
    <col min="12300" max="12301" width="11.125" style="2" bestFit="1" customWidth="1"/>
    <col min="12302" max="12303" width="9" style="2"/>
    <col min="12304" max="12304" width="9.625" style="2" bestFit="1" customWidth="1"/>
    <col min="12305" max="12529" width="9" style="2"/>
    <col min="12530" max="12530" width="2.375" style="2" customWidth="1"/>
    <col min="12531" max="12531" width="13.25" style="2" bestFit="1" customWidth="1"/>
    <col min="12532" max="12532" width="11.125" style="2" bestFit="1" customWidth="1"/>
    <col min="12533" max="12533" width="9.625" style="2" bestFit="1" customWidth="1"/>
    <col min="12534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0" width="11.125" style="2" bestFit="1" customWidth="1"/>
    <col min="12551" max="12551" width="8" style="2" bestFit="1" customWidth="1"/>
    <col min="12552" max="12555" width="9" style="2"/>
    <col min="12556" max="12557" width="11.125" style="2" bestFit="1" customWidth="1"/>
    <col min="12558" max="12559" width="9" style="2"/>
    <col min="12560" max="12560" width="9.625" style="2" bestFit="1" customWidth="1"/>
    <col min="12561" max="12785" width="9" style="2"/>
    <col min="12786" max="12786" width="2.375" style="2" customWidth="1"/>
    <col min="12787" max="12787" width="13.25" style="2" bestFit="1" customWidth="1"/>
    <col min="12788" max="12788" width="11.125" style="2" bestFit="1" customWidth="1"/>
    <col min="12789" max="12789" width="9.625" style="2" bestFit="1" customWidth="1"/>
    <col min="12790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6" width="11.125" style="2" bestFit="1" customWidth="1"/>
    <col min="12807" max="12807" width="8" style="2" bestFit="1" customWidth="1"/>
    <col min="12808" max="12811" width="9" style="2"/>
    <col min="12812" max="12813" width="11.125" style="2" bestFit="1" customWidth="1"/>
    <col min="12814" max="12815" width="9" style="2"/>
    <col min="12816" max="12816" width="9.625" style="2" bestFit="1" customWidth="1"/>
    <col min="12817" max="13041" width="9" style="2"/>
    <col min="13042" max="13042" width="2.375" style="2" customWidth="1"/>
    <col min="13043" max="13043" width="13.25" style="2" bestFit="1" customWidth="1"/>
    <col min="13044" max="13044" width="11.125" style="2" bestFit="1" customWidth="1"/>
    <col min="13045" max="13045" width="9.625" style="2" bestFit="1" customWidth="1"/>
    <col min="13046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2" width="11.125" style="2" bestFit="1" customWidth="1"/>
    <col min="13063" max="13063" width="8" style="2" bestFit="1" customWidth="1"/>
    <col min="13064" max="13067" width="9" style="2"/>
    <col min="13068" max="13069" width="11.125" style="2" bestFit="1" customWidth="1"/>
    <col min="13070" max="13071" width="9" style="2"/>
    <col min="13072" max="13072" width="9.625" style="2" bestFit="1" customWidth="1"/>
    <col min="13073" max="13297" width="9" style="2"/>
    <col min="13298" max="13298" width="2.375" style="2" customWidth="1"/>
    <col min="13299" max="13299" width="13.25" style="2" bestFit="1" customWidth="1"/>
    <col min="13300" max="13300" width="11.125" style="2" bestFit="1" customWidth="1"/>
    <col min="13301" max="13301" width="9.625" style="2" bestFit="1" customWidth="1"/>
    <col min="13302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18" width="11.125" style="2" bestFit="1" customWidth="1"/>
    <col min="13319" max="13319" width="8" style="2" bestFit="1" customWidth="1"/>
    <col min="13320" max="13323" width="9" style="2"/>
    <col min="13324" max="13325" width="11.125" style="2" bestFit="1" customWidth="1"/>
    <col min="13326" max="13327" width="9" style="2"/>
    <col min="13328" max="13328" width="9.625" style="2" bestFit="1" customWidth="1"/>
    <col min="13329" max="13553" width="9" style="2"/>
    <col min="13554" max="13554" width="2.375" style="2" customWidth="1"/>
    <col min="13555" max="13555" width="13.25" style="2" bestFit="1" customWidth="1"/>
    <col min="13556" max="13556" width="11.125" style="2" bestFit="1" customWidth="1"/>
    <col min="13557" max="13557" width="9.625" style="2" bestFit="1" customWidth="1"/>
    <col min="13558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4" width="11.125" style="2" bestFit="1" customWidth="1"/>
    <col min="13575" max="13575" width="8" style="2" bestFit="1" customWidth="1"/>
    <col min="13576" max="13579" width="9" style="2"/>
    <col min="13580" max="13581" width="11.125" style="2" bestFit="1" customWidth="1"/>
    <col min="13582" max="13583" width="9" style="2"/>
    <col min="13584" max="13584" width="9.625" style="2" bestFit="1" customWidth="1"/>
    <col min="13585" max="13809" width="9" style="2"/>
    <col min="13810" max="13810" width="2.375" style="2" customWidth="1"/>
    <col min="13811" max="13811" width="13.25" style="2" bestFit="1" customWidth="1"/>
    <col min="13812" max="13812" width="11.125" style="2" bestFit="1" customWidth="1"/>
    <col min="13813" max="13813" width="9.625" style="2" bestFit="1" customWidth="1"/>
    <col min="13814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0" width="11.125" style="2" bestFit="1" customWidth="1"/>
    <col min="13831" max="13831" width="8" style="2" bestFit="1" customWidth="1"/>
    <col min="13832" max="13835" width="9" style="2"/>
    <col min="13836" max="13837" width="11.125" style="2" bestFit="1" customWidth="1"/>
    <col min="13838" max="13839" width="9" style="2"/>
    <col min="13840" max="13840" width="9.625" style="2" bestFit="1" customWidth="1"/>
    <col min="13841" max="14065" width="9" style="2"/>
    <col min="14066" max="14066" width="2.375" style="2" customWidth="1"/>
    <col min="14067" max="14067" width="13.25" style="2" bestFit="1" customWidth="1"/>
    <col min="14068" max="14068" width="11.125" style="2" bestFit="1" customWidth="1"/>
    <col min="14069" max="14069" width="9.625" style="2" bestFit="1" customWidth="1"/>
    <col min="14070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6" width="11.125" style="2" bestFit="1" customWidth="1"/>
    <col min="14087" max="14087" width="8" style="2" bestFit="1" customWidth="1"/>
    <col min="14088" max="14091" width="9" style="2"/>
    <col min="14092" max="14093" width="11.125" style="2" bestFit="1" customWidth="1"/>
    <col min="14094" max="14095" width="9" style="2"/>
    <col min="14096" max="14096" width="9.625" style="2" bestFit="1" customWidth="1"/>
    <col min="14097" max="14321" width="9" style="2"/>
    <col min="14322" max="14322" width="2.375" style="2" customWidth="1"/>
    <col min="14323" max="14323" width="13.25" style="2" bestFit="1" customWidth="1"/>
    <col min="14324" max="14324" width="11.125" style="2" bestFit="1" customWidth="1"/>
    <col min="14325" max="14325" width="9.625" style="2" bestFit="1" customWidth="1"/>
    <col min="14326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2" width="11.125" style="2" bestFit="1" customWidth="1"/>
    <col min="14343" max="14343" width="8" style="2" bestFit="1" customWidth="1"/>
    <col min="14344" max="14347" width="9" style="2"/>
    <col min="14348" max="14349" width="11.125" style="2" bestFit="1" customWidth="1"/>
    <col min="14350" max="14351" width="9" style="2"/>
    <col min="14352" max="14352" width="9.625" style="2" bestFit="1" customWidth="1"/>
    <col min="14353" max="14577" width="9" style="2"/>
    <col min="14578" max="14578" width="2.375" style="2" customWidth="1"/>
    <col min="14579" max="14579" width="13.25" style="2" bestFit="1" customWidth="1"/>
    <col min="14580" max="14580" width="11.125" style="2" bestFit="1" customWidth="1"/>
    <col min="14581" max="14581" width="9.625" style="2" bestFit="1" customWidth="1"/>
    <col min="14582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598" width="11.125" style="2" bestFit="1" customWidth="1"/>
    <col min="14599" max="14599" width="8" style="2" bestFit="1" customWidth="1"/>
    <col min="14600" max="14603" width="9" style="2"/>
    <col min="14604" max="14605" width="11.125" style="2" bestFit="1" customWidth="1"/>
    <col min="14606" max="14607" width="9" style="2"/>
    <col min="14608" max="14608" width="9.625" style="2" bestFit="1" customWidth="1"/>
    <col min="14609" max="14833" width="9" style="2"/>
    <col min="14834" max="14834" width="2.375" style="2" customWidth="1"/>
    <col min="14835" max="14835" width="13.25" style="2" bestFit="1" customWidth="1"/>
    <col min="14836" max="14836" width="11.125" style="2" bestFit="1" customWidth="1"/>
    <col min="14837" max="14837" width="9.625" style="2" bestFit="1" customWidth="1"/>
    <col min="14838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4" width="11.125" style="2" bestFit="1" customWidth="1"/>
    <col min="14855" max="14855" width="8" style="2" bestFit="1" customWidth="1"/>
    <col min="14856" max="14859" width="9" style="2"/>
    <col min="14860" max="14861" width="11.125" style="2" bestFit="1" customWidth="1"/>
    <col min="14862" max="14863" width="9" style="2"/>
    <col min="14864" max="14864" width="9.625" style="2" bestFit="1" customWidth="1"/>
    <col min="14865" max="15089" width="9" style="2"/>
    <col min="15090" max="15090" width="2.375" style="2" customWidth="1"/>
    <col min="15091" max="15091" width="13.25" style="2" bestFit="1" customWidth="1"/>
    <col min="15092" max="15092" width="11.125" style="2" bestFit="1" customWidth="1"/>
    <col min="15093" max="15093" width="9.625" style="2" bestFit="1" customWidth="1"/>
    <col min="15094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0" width="11.125" style="2" bestFit="1" customWidth="1"/>
    <col min="15111" max="15111" width="8" style="2" bestFit="1" customWidth="1"/>
    <col min="15112" max="15115" width="9" style="2"/>
    <col min="15116" max="15117" width="11.125" style="2" bestFit="1" customWidth="1"/>
    <col min="15118" max="15119" width="9" style="2"/>
    <col min="15120" max="15120" width="9.625" style="2" bestFit="1" customWidth="1"/>
    <col min="15121" max="15345" width="9" style="2"/>
    <col min="15346" max="15346" width="2.375" style="2" customWidth="1"/>
    <col min="15347" max="15347" width="13.25" style="2" bestFit="1" customWidth="1"/>
    <col min="15348" max="15348" width="11.125" style="2" bestFit="1" customWidth="1"/>
    <col min="15349" max="15349" width="9.625" style="2" bestFit="1" customWidth="1"/>
    <col min="15350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6" width="11.125" style="2" bestFit="1" customWidth="1"/>
    <col min="15367" max="15367" width="8" style="2" bestFit="1" customWidth="1"/>
    <col min="15368" max="15371" width="9" style="2"/>
    <col min="15372" max="15373" width="11.125" style="2" bestFit="1" customWidth="1"/>
    <col min="15374" max="15375" width="9" style="2"/>
    <col min="15376" max="15376" width="9.625" style="2" bestFit="1" customWidth="1"/>
    <col min="15377" max="15601" width="9" style="2"/>
    <col min="15602" max="15602" width="2.375" style="2" customWidth="1"/>
    <col min="15603" max="15603" width="13.25" style="2" bestFit="1" customWidth="1"/>
    <col min="15604" max="15604" width="11.125" style="2" bestFit="1" customWidth="1"/>
    <col min="15605" max="15605" width="9.625" style="2" bestFit="1" customWidth="1"/>
    <col min="15606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2" width="11.125" style="2" bestFit="1" customWidth="1"/>
    <col min="15623" max="15623" width="8" style="2" bestFit="1" customWidth="1"/>
    <col min="15624" max="15627" width="9" style="2"/>
    <col min="15628" max="15629" width="11.125" style="2" bestFit="1" customWidth="1"/>
    <col min="15630" max="15631" width="9" style="2"/>
    <col min="15632" max="15632" width="9.625" style="2" bestFit="1" customWidth="1"/>
    <col min="15633" max="15857" width="9" style="2"/>
    <col min="15858" max="15858" width="2.375" style="2" customWidth="1"/>
    <col min="15859" max="15859" width="13.25" style="2" bestFit="1" customWidth="1"/>
    <col min="15860" max="15860" width="11.125" style="2" bestFit="1" customWidth="1"/>
    <col min="15861" max="15861" width="9.625" style="2" bestFit="1" customWidth="1"/>
    <col min="15862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78" width="11.125" style="2" bestFit="1" customWidth="1"/>
    <col min="15879" max="15879" width="8" style="2" bestFit="1" customWidth="1"/>
    <col min="15880" max="15883" width="9" style="2"/>
    <col min="15884" max="15885" width="11.125" style="2" bestFit="1" customWidth="1"/>
    <col min="15886" max="15887" width="9" style="2"/>
    <col min="15888" max="15888" width="9.625" style="2" bestFit="1" customWidth="1"/>
    <col min="15889" max="16113" width="9" style="2"/>
    <col min="16114" max="16114" width="2.375" style="2" customWidth="1"/>
    <col min="16115" max="16115" width="13.25" style="2" bestFit="1" customWidth="1"/>
    <col min="16116" max="16116" width="11.125" style="2" bestFit="1" customWidth="1"/>
    <col min="16117" max="16117" width="9.625" style="2" bestFit="1" customWidth="1"/>
    <col min="16118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4" width="11.125" style="2" bestFit="1" customWidth="1"/>
    <col min="16135" max="16135" width="8" style="2" bestFit="1" customWidth="1"/>
    <col min="16136" max="16139" width="9" style="2"/>
    <col min="16140" max="16141" width="11.125" style="2" bestFit="1" customWidth="1"/>
    <col min="16142" max="16143" width="9" style="2"/>
    <col min="16144" max="16144" width="9.625" style="2" bestFit="1" customWidth="1"/>
    <col min="16145" max="16384" width="9" style="2"/>
  </cols>
  <sheetData>
    <row r="1" spans="1:18">
      <c r="A1" s="1" t="s">
        <v>0</v>
      </c>
    </row>
    <row r="2" spans="1:18">
      <c r="A2" s="1" t="s">
        <v>1</v>
      </c>
    </row>
    <row r="3" spans="1:18" ht="19.5" thickBot="1">
      <c r="A3" s="1" t="s">
        <v>138</v>
      </c>
    </row>
    <row r="4" spans="1:18">
      <c r="B4" s="4"/>
      <c r="C4" s="67" t="s">
        <v>6</v>
      </c>
      <c r="D4" s="12" t="s">
        <v>7</v>
      </c>
      <c r="E4" s="12" t="s">
        <v>28</v>
      </c>
      <c r="F4" s="12" t="s">
        <v>29</v>
      </c>
      <c r="G4" s="12" t="s">
        <v>24</v>
      </c>
      <c r="H4" s="12" t="s">
        <v>25</v>
      </c>
      <c r="I4" s="12" t="s">
        <v>26</v>
      </c>
      <c r="J4" s="12" t="s">
        <v>27</v>
      </c>
      <c r="K4" s="12" t="s">
        <v>30</v>
      </c>
      <c r="L4" s="13" t="s">
        <v>31</v>
      </c>
      <c r="M4" s="90" t="s">
        <v>139</v>
      </c>
      <c r="N4" s="78" t="s">
        <v>8</v>
      </c>
      <c r="O4" s="90" t="s">
        <v>139</v>
      </c>
      <c r="P4" s="91"/>
    </row>
    <row r="5" spans="1:18" ht="19.5" thickBot="1">
      <c r="A5" s="94"/>
      <c r="B5" s="31" t="s">
        <v>32</v>
      </c>
      <c r="C5" s="68" t="s">
        <v>35</v>
      </c>
      <c r="D5" s="33" t="s">
        <v>36</v>
      </c>
      <c r="E5" s="33" t="s">
        <v>57</v>
      </c>
      <c r="F5" s="33" t="s">
        <v>58</v>
      </c>
      <c r="G5" s="33" t="s">
        <v>53</v>
      </c>
      <c r="H5" s="33" t="s">
        <v>54</v>
      </c>
      <c r="I5" s="33" t="s">
        <v>55</v>
      </c>
      <c r="J5" s="33" t="s">
        <v>56</v>
      </c>
      <c r="K5" s="33" t="s">
        <v>59</v>
      </c>
      <c r="L5" s="34" t="s">
        <v>60</v>
      </c>
      <c r="M5" s="79" t="s">
        <v>141</v>
      </c>
      <c r="N5" s="92" t="s">
        <v>37</v>
      </c>
      <c r="O5" s="79" t="s">
        <v>142</v>
      </c>
      <c r="P5" s="93" t="s">
        <v>61</v>
      </c>
    </row>
    <row r="6" spans="1:18">
      <c r="A6" s="1" t="s">
        <v>3</v>
      </c>
      <c r="B6" s="26" t="s">
        <v>62</v>
      </c>
      <c r="C6" s="69">
        <v>21</v>
      </c>
      <c r="D6" s="28">
        <v>21</v>
      </c>
      <c r="E6" s="28">
        <v>15</v>
      </c>
      <c r="F6" s="28">
        <v>14</v>
      </c>
      <c r="G6" s="28">
        <v>0</v>
      </c>
      <c r="H6" s="28">
        <v>10</v>
      </c>
      <c r="I6" s="28">
        <v>6</v>
      </c>
      <c r="J6" s="28">
        <v>10</v>
      </c>
      <c r="K6" s="28">
        <v>8</v>
      </c>
      <c r="L6" s="29">
        <v>11</v>
      </c>
      <c r="M6" s="30">
        <f>SUM(C6:L6)</f>
        <v>116</v>
      </c>
      <c r="N6" s="80">
        <v>21</v>
      </c>
      <c r="O6" s="80">
        <f>SUM(N6)</f>
        <v>21</v>
      </c>
      <c r="P6" s="80">
        <v>431</v>
      </c>
      <c r="R6"/>
    </row>
    <row r="7" spans="1:18">
      <c r="A7" s="1" t="s">
        <v>3</v>
      </c>
      <c r="B7" s="5" t="s">
        <v>63</v>
      </c>
      <c r="C7" s="70">
        <v>0</v>
      </c>
      <c r="D7" s="15">
        <v>3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6">
        <v>0</v>
      </c>
      <c r="M7" s="30">
        <f t="shared" ref="M7:M10" si="0">SUM(C7:L7)</f>
        <v>3</v>
      </c>
      <c r="N7" s="81">
        <v>0</v>
      </c>
      <c r="O7" s="81"/>
      <c r="P7" s="81">
        <v>46</v>
      </c>
      <c r="R7"/>
    </row>
    <row r="8" spans="1:18">
      <c r="A8" s="1" t="s">
        <v>3</v>
      </c>
      <c r="B8" s="5" t="s">
        <v>64</v>
      </c>
      <c r="C8" s="70">
        <v>0</v>
      </c>
      <c r="D8" s="15">
        <v>1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6">
        <v>0</v>
      </c>
      <c r="M8" s="30">
        <f t="shared" si="0"/>
        <v>1</v>
      </c>
      <c r="N8" s="81">
        <v>0</v>
      </c>
      <c r="O8" s="81"/>
      <c r="P8" s="81">
        <v>49</v>
      </c>
      <c r="R8"/>
    </row>
    <row r="9" spans="1:18">
      <c r="A9" s="1" t="s">
        <v>3</v>
      </c>
      <c r="B9" s="5" t="s">
        <v>65</v>
      </c>
      <c r="C9" s="70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6">
        <v>0</v>
      </c>
      <c r="M9" s="30">
        <f t="shared" si="0"/>
        <v>0</v>
      </c>
      <c r="N9" s="81">
        <v>0</v>
      </c>
      <c r="O9" s="81"/>
      <c r="P9" s="81">
        <v>2</v>
      </c>
      <c r="R9"/>
    </row>
    <row r="10" spans="1:18">
      <c r="A10" s="1" t="s">
        <v>3</v>
      </c>
      <c r="B10" s="5" t="s">
        <v>66</v>
      </c>
      <c r="C10" s="70">
        <v>0</v>
      </c>
      <c r="D10" s="15">
        <v>0</v>
      </c>
      <c r="E10" s="15">
        <v>1</v>
      </c>
      <c r="F10" s="15">
        <v>1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6">
        <v>0</v>
      </c>
      <c r="M10" s="30">
        <f t="shared" si="0"/>
        <v>3</v>
      </c>
      <c r="N10" s="81">
        <v>0</v>
      </c>
      <c r="O10" s="81"/>
      <c r="P10" s="81">
        <v>38</v>
      </c>
      <c r="R10"/>
    </row>
    <row r="11" spans="1:18">
      <c r="A11" s="1" t="s">
        <v>3</v>
      </c>
      <c r="B11" s="5" t="s">
        <v>67</v>
      </c>
      <c r="C11" s="70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6">
        <v>0</v>
      </c>
      <c r="M11" s="7"/>
      <c r="N11" s="81">
        <v>0</v>
      </c>
      <c r="O11" s="81"/>
      <c r="P11" s="81">
        <v>5</v>
      </c>
      <c r="R11"/>
    </row>
    <row r="12" spans="1:18">
      <c r="A12" s="1" t="s">
        <v>3</v>
      </c>
      <c r="B12" s="5" t="s">
        <v>68</v>
      </c>
      <c r="C12" s="7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6">
        <v>0</v>
      </c>
      <c r="M12" s="7"/>
      <c r="N12" s="81">
        <v>0</v>
      </c>
      <c r="O12" s="81"/>
      <c r="P12" s="81">
        <v>0</v>
      </c>
      <c r="R12"/>
    </row>
    <row r="13" spans="1:18">
      <c r="A13" s="1" t="s">
        <v>3</v>
      </c>
      <c r="B13" s="5" t="s">
        <v>69</v>
      </c>
      <c r="C13" s="70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6">
        <v>0</v>
      </c>
      <c r="M13" s="7"/>
      <c r="N13" s="81">
        <v>0</v>
      </c>
      <c r="O13" s="81"/>
      <c r="P13" s="81">
        <v>0</v>
      </c>
      <c r="R13"/>
    </row>
    <row r="14" spans="1:18">
      <c r="A14" s="1" t="s">
        <v>3</v>
      </c>
      <c r="B14" s="5" t="s">
        <v>70</v>
      </c>
      <c r="C14" s="71">
        <v>0</v>
      </c>
      <c r="D14" s="18">
        <v>0</v>
      </c>
      <c r="E14" s="18">
        <v>4.125</v>
      </c>
      <c r="F14" s="18">
        <v>3.7083333333333335</v>
      </c>
      <c r="G14" s="18">
        <v>0</v>
      </c>
      <c r="H14" s="18">
        <v>2.9166666666666665</v>
      </c>
      <c r="I14" s="18">
        <v>1.75</v>
      </c>
      <c r="J14" s="18">
        <v>2.9583333333333335</v>
      </c>
      <c r="K14" s="18">
        <v>2.5</v>
      </c>
      <c r="L14" s="19">
        <v>1.9166666666666665</v>
      </c>
      <c r="M14" s="8">
        <f>SUM(C14:L14)</f>
        <v>19.875000000000004</v>
      </c>
      <c r="N14" s="82">
        <v>0</v>
      </c>
      <c r="O14" s="82"/>
      <c r="P14" s="82">
        <v>19.875000000000004</v>
      </c>
      <c r="R14"/>
    </row>
    <row r="15" spans="1:18">
      <c r="A15" s="1" t="s">
        <v>3</v>
      </c>
      <c r="B15" s="5" t="s">
        <v>72</v>
      </c>
      <c r="C15" s="71">
        <v>0</v>
      </c>
      <c r="D15" s="18">
        <v>1.7916666666666665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0.125</v>
      </c>
      <c r="L15" s="19">
        <v>0</v>
      </c>
      <c r="M15" s="8">
        <f t="shared" ref="M15:M17" si="1">SUM(C15:L15)</f>
        <v>1.9166666666666665</v>
      </c>
      <c r="N15" s="82">
        <v>0</v>
      </c>
      <c r="O15" s="82"/>
      <c r="P15" s="82">
        <v>38.541666666666664</v>
      </c>
      <c r="R15"/>
    </row>
    <row r="16" spans="1:18">
      <c r="A16" s="1" t="s">
        <v>3</v>
      </c>
      <c r="B16" s="5" t="s">
        <v>73</v>
      </c>
      <c r="C16" s="71">
        <v>0</v>
      </c>
      <c r="D16" s="18">
        <v>1.0833333333333333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>
        <v>0</v>
      </c>
      <c r="M16" s="8">
        <f t="shared" si="1"/>
        <v>1.0833333333333333</v>
      </c>
      <c r="N16" s="82">
        <v>0</v>
      </c>
      <c r="O16" s="82"/>
      <c r="P16" s="82">
        <v>16.083333333333332</v>
      </c>
      <c r="R16"/>
    </row>
    <row r="17" spans="1:18">
      <c r="A17" s="1" t="s">
        <v>3</v>
      </c>
      <c r="B17" s="5" t="s">
        <v>74</v>
      </c>
      <c r="C17" s="71">
        <v>0</v>
      </c>
      <c r="D17" s="18">
        <v>8.3333333333333329E-2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9">
        <v>0</v>
      </c>
      <c r="M17" s="8">
        <f t="shared" si="1"/>
        <v>8.3333333333333329E-2</v>
      </c>
      <c r="N17" s="82">
        <v>0</v>
      </c>
      <c r="O17" s="82"/>
      <c r="P17" s="82">
        <v>18.166666666666668</v>
      </c>
      <c r="R17"/>
    </row>
    <row r="18" spans="1:18">
      <c r="A18" s="1" t="s">
        <v>3</v>
      </c>
      <c r="B18" s="5" t="s">
        <v>75</v>
      </c>
      <c r="C18" s="71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9">
        <v>0</v>
      </c>
      <c r="M18" s="8"/>
      <c r="N18" s="82">
        <v>0</v>
      </c>
      <c r="O18" s="82"/>
      <c r="P18" s="82">
        <v>0</v>
      </c>
      <c r="R18"/>
    </row>
    <row r="19" spans="1:18">
      <c r="A19" s="1" t="s">
        <v>3</v>
      </c>
      <c r="B19" s="5" t="s">
        <v>76</v>
      </c>
      <c r="C19" s="71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9">
        <v>0</v>
      </c>
      <c r="M19" s="8"/>
      <c r="N19" s="82">
        <v>0</v>
      </c>
      <c r="O19" s="82"/>
      <c r="P19" s="82">
        <v>0.83333333333333337</v>
      </c>
      <c r="R19"/>
    </row>
    <row r="20" spans="1:18">
      <c r="A20" s="1" t="s">
        <v>3</v>
      </c>
      <c r="B20" s="5" t="s">
        <v>77</v>
      </c>
      <c r="C20" s="71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>
        <v>0</v>
      </c>
      <c r="M20" s="8"/>
      <c r="N20" s="82">
        <v>0</v>
      </c>
      <c r="O20" s="82"/>
      <c r="P20" s="82">
        <v>0</v>
      </c>
      <c r="R20"/>
    </row>
    <row r="21" spans="1:18">
      <c r="A21" s="1" t="s">
        <v>3</v>
      </c>
      <c r="B21" s="5" t="s">
        <v>78</v>
      </c>
      <c r="C21" s="71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9">
        <v>0</v>
      </c>
      <c r="M21" s="8"/>
      <c r="N21" s="82">
        <v>0</v>
      </c>
      <c r="O21" s="82"/>
      <c r="P21" s="82">
        <v>0</v>
      </c>
      <c r="R21"/>
    </row>
    <row r="22" spans="1:18">
      <c r="A22" s="1" t="s">
        <v>3</v>
      </c>
      <c r="B22" s="5" t="s">
        <v>79</v>
      </c>
      <c r="C22" s="71">
        <v>0</v>
      </c>
      <c r="D22" s="18">
        <v>0</v>
      </c>
      <c r="E22" s="18">
        <v>0.29166666666666669</v>
      </c>
      <c r="F22" s="18">
        <v>0.29166666666666669</v>
      </c>
      <c r="G22" s="18">
        <v>0.16666666666666666</v>
      </c>
      <c r="H22" s="18">
        <v>0</v>
      </c>
      <c r="I22" s="18">
        <v>0</v>
      </c>
      <c r="J22" s="18">
        <v>0</v>
      </c>
      <c r="K22" s="18">
        <v>0</v>
      </c>
      <c r="L22" s="19">
        <v>0</v>
      </c>
      <c r="M22" s="8">
        <f>SUM(C22:L22)</f>
        <v>0.75</v>
      </c>
      <c r="N22" s="82">
        <v>0</v>
      </c>
      <c r="O22" s="82"/>
      <c r="P22" s="82">
        <v>0.75</v>
      </c>
      <c r="R22"/>
    </row>
    <row r="23" spans="1:18">
      <c r="A23" s="1" t="s">
        <v>3</v>
      </c>
      <c r="B23" s="5" t="s">
        <v>81</v>
      </c>
      <c r="C23" s="71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9">
        <v>0</v>
      </c>
      <c r="M23" s="8"/>
      <c r="N23" s="82">
        <v>0</v>
      </c>
      <c r="O23" s="82"/>
      <c r="P23" s="82">
        <v>0</v>
      </c>
      <c r="R23"/>
    </row>
    <row r="24" spans="1:18">
      <c r="A24" s="1" t="s">
        <v>3</v>
      </c>
      <c r="B24" s="5" t="s">
        <v>82</v>
      </c>
      <c r="C24" s="71">
        <v>0</v>
      </c>
      <c r="D24" s="18">
        <v>0</v>
      </c>
      <c r="E24" s="18">
        <v>0</v>
      </c>
      <c r="F24" s="18">
        <v>0</v>
      </c>
      <c r="G24" s="18">
        <v>0</v>
      </c>
      <c r="H24" s="18">
        <v>2.0833333333333335</v>
      </c>
      <c r="I24" s="18">
        <v>1.25</v>
      </c>
      <c r="J24" s="18">
        <v>2.0833333333333335</v>
      </c>
      <c r="K24" s="18">
        <v>0.83333333333333337</v>
      </c>
      <c r="L24" s="19">
        <v>0</v>
      </c>
      <c r="M24" s="8">
        <f>SUM(C24:L24)</f>
        <v>6.25</v>
      </c>
      <c r="N24" s="82">
        <v>4.1666666666666664E-2</v>
      </c>
      <c r="O24" s="82">
        <f>SUM(N24)</f>
        <v>4.1666666666666664E-2</v>
      </c>
      <c r="P24" s="82">
        <v>21.458333333333332</v>
      </c>
      <c r="R24"/>
    </row>
    <row r="25" spans="1:18" ht="19.5" thickBot="1">
      <c r="A25" s="1" t="s">
        <v>3</v>
      </c>
      <c r="B25" s="6" t="s">
        <v>83</v>
      </c>
      <c r="C25" s="72">
        <v>37</v>
      </c>
      <c r="D25" s="40">
        <v>38</v>
      </c>
      <c r="E25" s="40">
        <v>19</v>
      </c>
      <c r="F25" s="40">
        <v>17</v>
      </c>
      <c r="G25" s="40">
        <v>18</v>
      </c>
      <c r="H25" s="40">
        <v>5</v>
      </c>
      <c r="I25" s="40">
        <v>3</v>
      </c>
      <c r="J25" s="40">
        <v>3</v>
      </c>
      <c r="K25" s="40">
        <v>3</v>
      </c>
      <c r="L25" s="41">
        <v>0</v>
      </c>
      <c r="M25" s="42">
        <f>SUM(C25:L25)</f>
        <v>143</v>
      </c>
      <c r="N25" s="83">
        <v>39</v>
      </c>
      <c r="O25" s="83">
        <f>SUM(N25)</f>
        <v>39</v>
      </c>
      <c r="P25" s="83">
        <v>494</v>
      </c>
      <c r="R25"/>
    </row>
    <row r="26" spans="1:18">
      <c r="A26" s="1" t="s">
        <v>3</v>
      </c>
      <c r="B26" s="26" t="s">
        <v>84</v>
      </c>
      <c r="C26" s="73">
        <v>485000</v>
      </c>
      <c r="D26" s="36">
        <v>280000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7">
        <v>0</v>
      </c>
      <c r="M26" s="37">
        <f>SUM(C26:L26)</f>
        <v>765000</v>
      </c>
      <c r="N26" s="84">
        <v>375000</v>
      </c>
      <c r="O26" s="84">
        <f>SUM(N26)</f>
        <v>375000</v>
      </c>
      <c r="P26" s="84">
        <v>3999000</v>
      </c>
      <c r="R26"/>
    </row>
    <row r="27" spans="1:18">
      <c r="A27" s="1" t="s">
        <v>3</v>
      </c>
      <c r="B27" s="5" t="s">
        <v>85</v>
      </c>
      <c r="C27" s="74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2">
        <f t="shared" ref="M27:M59" si="2">SUM(C27:L27)</f>
        <v>0</v>
      </c>
      <c r="N27" s="85">
        <v>0</v>
      </c>
      <c r="O27" s="85">
        <f t="shared" ref="O27:O59" si="3">SUM(N27)</f>
        <v>0</v>
      </c>
      <c r="P27" s="85">
        <v>35000</v>
      </c>
      <c r="R27"/>
    </row>
    <row r="28" spans="1:18">
      <c r="A28" s="1" t="s">
        <v>3</v>
      </c>
      <c r="B28" s="5" t="s">
        <v>86</v>
      </c>
      <c r="C28" s="74">
        <v>0</v>
      </c>
      <c r="D28" s="21">
        <v>3000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2">
        <f t="shared" si="2"/>
        <v>3000</v>
      </c>
      <c r="N28" s="85">
        <v>0</v>
      </c>
      <c r="O28" s="85">
        <f t="shared" si="3"/>
        <v>0</v>
      </c>
      <c r="P28" s="85">
        <v>6000</v>
      </c>
      <c r="R28"/>
    </row>
    <row r="29" spans="1:18">
      <c r="A29" s="1" t="s">
        <v>3</v>
      </c>
      <c r="B29" s="5" t="s">
        <v>92</v>
      </c>
      <c r="C29" s="74">
        <v>0</v>
      </c>
      <c r="D29" s="21">
        <v>0</v>
      </c>
      <c r="E29" s="21">
        <v>91080</v>
      </c>
      <c r="F29" s="21">
        <v>81880</v>
      </c>
      <c r="G29" s="21">
        <v>0</v>
      </c>
      <c r="H29" s="21">
        <v>58800</v>
      </c>
      <c r="I29" s="21">
        <v>35280</v>
      </c>
      <c r="J29" s="21">
        <v>59640</v>
      </c>
      <c r="K29" s="21">
        <v>49800</v>
      </c>
      <c r="L29" s="22">
        <v>38640</v>
      </c>
      <c r="M29" s="22">
        <f t="shared" si="2"/>
        <v>415120</v>
      </c>
      <c r="N29" s="85">
        <v>0</v>
      </c>
      <c r="O29" s="85">
        <f t="shared" si="3"/>
        <v>0</v>
      </c>
      <c r="P29" s="85">
        <v>415120</v>
      </c>
      <c r="R29"/>
    </row>
    <row r="30" spans="1:18">
      <c r="A30" s="1" t="s">
        <v>3</v>
      </c>
      <c r="B30" s="5" t="s">
        <v>93</v>
      </c>
      <c r="C30" s="74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2">
        <f t="shared" si="2"/>
        <v>0</v>
      </c>
      <c r="N30" s="85">
        <v>0</v>
      </c>
      <c r="O30" s="85">
        <f t="shared" si="3"/>
        <v>0</v>
      </c>
      <c r="P30" s="85">
        <v>0</v>
      </c>
      <c r="R30"/>
    </row>
    <row r="31" spans="1:18">
      <c r="A31" s="1" t="s">
        <v>3</v>
      </c>
      <c r="B31" s="5" t="s">
        <v>94</v>
      </c>
      <c r="C31" s="74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2">
        <v>0</v>
      </c>
      <c r="M31" s="22">
        <f t="shared" si="2"/>
        <v>0</v>
      </c>
      <c r="N31" s="85">
        <v>0</v>
      </c>
      <c r="O31" s="85">
        <f t="shared" si="3"/>
        <v>0</v>
      </c>
      <c r="P31" s="85">
        <v>0</v>
      </c>
      <c r="R31"/>
    </row>
    <row r="32" spans="1:18">
      <c r="A32" s="1" t="s">
        <v>3</v>
      </c>
      <c r="B32" s="5" t="s">
        <v>96</v>
      </c>
      <c r="C32" s="74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2">
        <v>0</v>
      </c>
      <c r="M32" s="22">
        <f t="shared" si="2"/>
        <v>0</v>
      </c>
      <c r="N32" s="85">
        <v>0</v>
      </c>
      <c r="O32" s="85">
        <f t="shared" si="3"/>
        <v>0</v>
      </c>
      <c r="P32" s="85">
        <v>11000</v>
      </c>
      <c r="R32"/>
    </row>
    <row r="33" spans="1:18">
      <c r="A33" s="1" t="s">
        <v>3</v>
      </c>
      <c r="B33" s="5" t="s">
        <v>97</v>
      </c>
      <c r="C33" s="74">
        <v>0</v>
      </c>
      <c r="D33" s="21">
        <v>0</v>
      </c>
      <c r="E33" s="21">
        <v>6440</v>
      </c>
      <c r="F33" s="21">
        <v>6440</v>
      </c>
      <c r="G33" s="21">
        <v>3360</v>
      </c>
      <c r="H33" s="21">
        <v>0</v>
      </c>
      <c r="I33" s="21">
        <v>0</v>
      </c>
      <c r="J33" s="21">
        <v>0</v>
      </c>
      <c r="K33" s="21">
        <v>0</v>
      </c>
      <c r="L33" s="22">
        <v>0</v>
      </c>
      <c r="M33" s="22">
        <f t="shared" si="2"/>
        <v>16240</v>
      </c>
      <c r="N33" s="85">
        <v>0</v>
      </c>
      <c r="O33" s="85">
        <f t="shared" si="3"/>
        <v>0</v>
      </c>
      <c r="P33" s="85">
        <v>16240</v>
      </c>
      <c r="R33"/>
    </row>
    <row r="34" spans="1:18">
      <c r="A34" s="1" t="s">
        <v>3</v>
      </c>
      <c r="B34" s="5" t="s">
        <v>104</v>
      </c>
      <c r="C34" s="74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2">
        <v>0</v>
      </c>
      <c r="M34" s="22">
        <f t="shared" si="2"/>
        <v>0</v>
      </c>
      <c r="N34" s="85">
        <v>0</v>
      </c>
      <c r="O34" s="85">
        <f t="shared" si="3"/>
        <v>0</v>
      </c>
      <c r="P34" s="85">
        <v>0</v>
      </c>
      <c r="R34"/>
    </row>
    <row r="35" spans="1:18">
      <c r="A35" s="1" t="s">
        <v>3</v>
      </c>
      <c r="B35" s="5" t="s">
        <v>105</v>
      </c>
      <c r="C35" s="74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2">
        <v>0</v>
      </c>
      <c r="M35" s="22">
        <f t="shared" si="2"/>
        <v>0</v>
      </c>
      <c r="N35" s="85">
        <v>0</v>
      </c>
      <c r="O35" s="85">
        <f t="shared" si="3"/>
        <v>0</v>
      </c>
      <c r="P35" s="85">
        <v>0</v>
      </c>
      <c r="R35"/>
    </row>
    <row r="36" spans="1:18">
      <c r="A36" s="1" t="s">
        <v>3</v>
      </c>
      <c r="B36" s="5" t="s">
        <v>72</v>
      </c>
      <c r="C36" s="74">
        <v>0</v>
      </c>
      <c r="D36" s="21">
        <v>91117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3114</v>
      </c>
      <c r="L36" s="22">
        <v>0</v>
      </c>
      <c r="M36" s="22">
        <f t="shared" si="2"/>
        <v>94231</v>
      </c>
      <c r="N36" s="85">
        <v>0</v>
      </c>
      <c r="O36" s="85">
        <f t="shared" si="3"/>
        <v>0</v>
      </c>
      <c r="P36" s="85">
        <v>1290211</v>
      </c>
      <c r="R36"/>
    </row>
    <row r="37" spans="1:18">
      <c r="A37" s="1" t="s">
        <v>3</v>
      </c>
      <c r="B37" s="5" t="s">
        <v>107</v>
      </c>
      <c r="C37" s="74">
        <v>0</v>
      </c>
      <c r="D37" s="21">
        <v>59488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2">
        <v>0</v>
      </c>
      <c r="M37" s="22">
        <f t="shared" si="2"/>
        <v>59488</v>
      </c>
      <c r="N37" s="85">
        <v>0</v>
      </c>
      <c r="O37" s="85">
        <f t="shared" si="3"/>
        <v>0</v>
      </c>
      <c r="P37" s="85">
        <v>590672</v>
      </c>
      <c r="R37"/>
    </row>
    <row r="38" spans="1:18">
      <c r="A38" s="1" t="s">
        <v>3</v>
      </c>
      <c r="B38" s="5" t="s">
        <v>108</v>
      </c>
      <c r="C38" s="74">
        <v>0</v>
      </c>
      <c r="D38" s="21">
        <v>4576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2">
        <v>0</v>
      </c>
      <c r="M38" s="22">
        <f t="shared" si="2"/>
        <v>4576</v>
      </c>
      <c r="N38" s="85">
        <v>0</v>
      </c>
      <c r="O38" s="85">
        <f t="shared" si="3"/>
        <v>0</v>
      </c>
      <c r="P38" s="85">
        <v>646616</v>
      </c>
      <c r="R38"/>
    </row>
    <row r="39" spans="1:18">
      <c r="A39" s="1" t="s">
        <v>3</v>
      </c>
      <c r="B39" s="5" t="s">
        <v>110</v>
      </c>
      <c r="C39" s="74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2">
        <v>0</v>
      </c>
      <c r="M39" s="22">
        <f t="shared" si="2"/>
        <v>0</v>
      </c>
      <c r="N39" s="85">
        <v>0</v>
      </c>
      <c r="O39" s="85">
        <f t="shared" si="3"/>
        <v>0</v>
      </c>
      <c r="P39" s="85">
        <v>7120</v>
      </c>
      <c r="R39"/>
    </row>
    <row r="40" spans="1:18">
      <c r="A40" s="1" t="s">
        <v>3</v>
      </c>
      <c r="B40" s="5" t="s">
        <v>111</v>
      </c>
      <c r="C40" s="74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2">
        <v>0</v>
      </c>
      <c r="M40" s="22">
        <f t="shared" si="2"/>
        <v>0</v>
      </c>
      <c r="N40" s="85">
        <v>0</v>
      </c>
      <c r="O40" s="85">
        <f t="shared" si="3"/>
        <v>0</v>
      </c>
      <c r="P40" s="85">
        <v>0</v>
      </c>
      <c r="R40"/>
    </row>
    <row r="41" spans="1:18" ht="19.5" thickBot="1">
      <c r="A41" s="1" t="s">
        <v>3</v>
      </c>
      <c r="B41" s="43" t="s">
        <v>82</v>
      </c>
      <c r="C41" s="7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10500</v>
      </c>
      <c r="I41" s="45">
        <v>6300</v>
      </c>
      <c r="J41" s="45">
        <v>10500</v>
      </c>
      <c r="K41" s="45">
        <v>4160</v>
      </c>
      <c r="L41" s="46">
        <v>0</v>
      </c>
      <c r="M41" s="46">
        <f t="shared" si="2"/>
        <v>31460</v>
      </c>
      <c r="N41" s="86">
        <v>562</v>
      </c>
      <c r="O41" s="86">
        <f t="shared" si="3"/>
        <v>562</v>
      </c>
      <c r="P41" s="86">
        <v>130832</v>
      </c>
      <c r="R41"/>
    </row>
    <row r="42" spans="1:18" ht="19.5" thickBot="1">
      <c r="A42" s="1" t="s">
        <v>3</v>
      </c>
      <c r="B42" s="48" t="s">
        <v>112</v>
      </c>
      <c r="C42" s="76">
        <v>485000</v>
      </c>
      <c r="D42" s="50">
        <v>438181</v>
      </c>
      <c r="E42" s="50">
        <v>97520</v>
      </c>
      <c r="F42" s="50">
        <v>88320</v>
      </c>
      <c r="G42" s="50">
        <v>3360</v>
      </c>
      <c r="H42" s="50">
        <v>69300</v>
      </c>
      <c r="I42" s="50">
        <v>41580</v>
      </c>
      <c r="J42" s="50">
        <v>70140</v>
      </c>
      <c r="K42" s="50">
        <v>57074</v>
      </c>
      <c r="L42" s="51">
        <v>38640</v>
      </c>
      <c r="M42" s="51">
        <f t="shared" si="2"/>
        <v>1389115</v>
      </c>
      <c r="N42" s="87">
        <v>375562</v>
      </c>
      <c r="O42" s="87">
        <f t="shared" si="3"/>
        <v>375562</v>
      </c>
      <c r="P42" s="87">
        <v>7147811</v>
      </c>
      <c r="R42"/>
    </row>
    <row r="43" spans="1:18" ht="19.5" thickBot="1">
      <c r="A43" s="1" t="s">
        <v>3</v>
      </c>
      <c r="B43" s="26" t="s">
        <v>113</v>
      </c>
      <c r="C43" s="73">
        <v>9058</v>
      </c>
      <c r="D43" s="36">
        <v>5435</v>
      </c>
      <c r="E43" s="36">
        <v>2899</v>
      </c>
      <c r="F43" s="36">
        <v>1691</v>
      </c>
      <c r="G43" s="36">
        <v>0</v>
      </c>
      <c r="H43" s="36">
        <v>2899</v>
      </c>
      <c r="I43" s="36">
        <v>2174</v>
      </c>
      <c r="J43" s="36">
        <v>3865</v>
      </c>
      <c r="K43" s="36">
        <v>2512</v>
      </c>
      <c r="L43" s="37">
        <v>3720</v>
      </c>
      <c r="M43" s="37">
        <f t="shared" si="2"/>
        <v>34253</v>
      </c>
      <c r="N43" s="84">
        <v>7222</v>
      </c>
      <c r="O43" s="84">
        <f t="shared" si="3"/>
        <v>7222</v>
      </c>
      <c r="P43" s="84">
        <v>125754</v>
      </c>
      <c r="R43"/>
    </row>
    <row r="44" spans="1:18" ht="19.5" thickBot="1">
      <c r="A44" s="1" t="s">
        <v>3</v>
      </c>
      <c r="B44" s="48" t="s">
        <v>115</v>
      </c>
      <c r="C44" s="76">
        <v>9058</v>
      </c>
      <c r="D44" s="50">
        <v>5435</v>
      </c>
      <c r="E44" s="50">
        <v>2899</v>
      </c>
      <c r="F44" s="50">
        <v>1691</v>
      </c>
      <c r="G44" s="50">
        <v>0</v>
      </c>
      <c r="H44" s="50">
        <v>2899</v>
      </c>
      <c r="I44" s="50">
        <v>2174</v>
      </c>
      <c r="J44" s="50">
        <v>3865</v>
      </c>
      <c r="K44" s="50">
        <v>2512</v>
      </c>
      <c r="L44" s="51">
        <v>3720</v>
      </c>
      <c r="M44" s="51">
        <f t="shared" si="2"/>
        <v>34253</v>
      </c>
      <c r="N44" s="87">
        <v>7222</v>
      </c>
      <c r="O44" s="87">
        <f t="shared" si="3"/>
        <v>7222</v>
      </c>
      <c r="P44" s="87">
        <v>125754</v>
      </c>
      <c r="R44"/>
    </row>
    <row r="45" spans="1:18" ht="19.5" thickBot="1">
      <c r="A45" s="1" t="s">
        <v>3</v>
      </c>
      <c r="B45" s="48" t="s">
        <v>116</v>
      </c>
      <c r="C45" s="76">
        <v>494058</v>
      </c>
      <c r="D45" s="50">
        <v>443616</v>
      </c>
      <c r="E45" s="50">
        <v>100419</v>
      </c>
      <c r="F45" s="50">
        <v>90011</v>
      </c>
      <c r="G45" s="50">
        <v>3360</v>
      </c>
      <c r="H45" s="50">
        <v>72199</v>
      </c>
      <c r="I45" s="50">
        <v>43754</v>
      </c>
      <c r="J45" s="50">
        <v>74005</v>
      </c>
      <c r="K45" s="50">
        <v>59586</v>
      </c>
      <c r="L45" s="51">
        <v>42360</v>
      </c>
      <c r="M45" s="51">
        <f t="shared" si="2"/>
        <v>1423368</v>
      </c>
      <c r="N45" s="87">
        <v>382784</v>
      </c>
      <c r="O45" s="87">
        <f t="shared" si="3"/>
        <v>382784</v>
      </c>
      <c r="P45" s="87">
        <v>7273565</v>
      </c>
      <c r="R45"/>
    </row>
    <row r="46" spans="1:18">
      <c r="A46" s="1" t="s">
        <v>3</v>
      </c>
      <c r="B46" s="26" t="s">
        <v>117</v>
      </c>
      <c r="C46" s="73">
        <v>23970</v>
      </c>
      <c r="D46" s="36">
        <v>19380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7">
        <v>0</v>
      </c>
      <c r="M46" s="37">
        <f t="shared" si="2"/>
        <v>43350</v>
      </c>
      <c r="N46" s="84">
        <v>19380</v>
      </c>
      <c r="O46" s="84">
        <f t="shared" si="3"/>
        <v>19380</v>
      </c>
      <c r="P46" s="84">
        <v>351390</v>
      </c>
      <c r="R46"/>
    </row>
    <row r="47" spans="1:18">
      <c r="A47" s="1" t="s">
        <v>3</v>
      </c>
      <c r="B47" s="5" t="s">
        <v>118</v>
      </c>
      <c r="C47" s="74">
        <v>0</v>
      </c>
      <c r="D47" s="21">
        <v>3420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2">
        <v>0</v>
      </c>
      <c r="M47" s="22">
        <f t="shared" si="2"/>
        <v>3420</v>
      </c>
      <c r="N47" s="85">
        <v>3420</v>
      </c>
      <c r="O47" s="85">
        <f t="shared" si="3"/>
        <v>3420</v>
      </c>
      <c r="P47" s="85">
        <v>52380</v>
      </c>
      <c r="R47"/>
    </row>
    <row r="48" spans="1:18">
      <c r="A48" s="1" t="s">
        <v>3</v>
      </c>
      <c r="B48" s="5" t="s">
        <v>119</v>
      </c>
      <c r="C48" s="74">
        <v>43005</v>
      </c>
      <c r="D48" s="21">
        <v>34770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2">
        <v>0</v>
      </c>
      <c r="M48" s="22">
        <f t="shared" si="2"/>
        <v>77775</v>
      </c>
      <c r="N48" s="85">
        <v>34770</v>
      </c>
      <c r="O48" s="85">
        <f t="shared" si="3"/>
        <v>34770</v>
      </c>
      <c r="P48" s="85">
        <v>630435</v>
      </c>
      <c r="R48"/>
    </row>
    <row r="49" spans="1:18" ht="19.5" thickBot="1">
      <c r="A49" s="1" t="s">
        <v>3</v>
      </c>
      <c r="B49" s="5" t="s">
        <v>120</v>
      </c>
      <c r="C49" s="74">
        <v>1482</v>
      </c>
      <c r="D49" s="21">
        <v>1331</v>
      </c>
      <c r="E49" s="21">
        <v>301</v>
      </c>
      <c r="F49" s="21">
        <v>270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2">
        <v>127</v>
      </c>
      <c r="M49" s="22">
        <f t="shared" si="2"/>
        <v>3511</v>
      </c>
      <c r="N49" s="85">
        <v>1148</v>
      </c>
      <c r="O49" s="85">
        <f t="shared" si="3"/>
        <v>1148</v>
      </c>
      <c r="P49" s="85">
        <v>21060</v>
      </c>
      <c r="R49"/>
    </row>
    <row r="50" spans="1:18" ht="19.5" thickBot="1">
      <c r="A50" s="1" t="s">
        <v>3</v>
      </c>
      <c r="B50" s="48" t="s">
        <v>122</v>
      </c>
      <c r="C50" s="76">
        <v>68457</v>
      </c>
      <c r="D50" s="50">
        <v>58901</v>
      </c>
      <c r="E50" s="50">
        <v>301</v>
      </c>
      <c r="F50" s="50">
        <v>270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1">
        <v>127</v>
      </c>
      <c r="M50" s="51">
        <f t="shared" si="2"/>
        <v>128056</v>
      </c>
      <c r="N50" s="87">
        <v>58718</v>
      </c>
      <c r="O50" s="87">
        <f t="shared" si="3"/>
        <v>58718</v>
      </c>
      <c r="P50" s="87">
        <v>1055265</v>
      </c>
      <c r="R50"/>
    </row>
    <row r="51" spans="1:18">
      <c r="A51" s="1" t="s">
        <v>3</v>
      </c>
      <c r="B51" s="26" t="s">
        <v>123</v>
      </c>
      <c r="C51" s="73">
        <v>17900</v>
      </c>
      <c r="D51" s="36">
        <v>11620</v>
      </c>
      <c r="E51" s="36">
        <v>580</v>
      </c>
      <c r="F51" s="36">
        <v>110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7">
        <v>0</v>
      </c>
      <c r="M51" s="37">
        <f t="shared" si="2"/>
        <v>30210</v>
      </c>
      <c r="N51" s="84">
        <v>9760</v>
      </c>
      <c r="O51" s="84">
        <f t="shared" si="3"/>
        <v>9760</v>
      </c>
      <c r="P51" s="84">
        <v>157520</v>
      </c>
      <c r="R51"/>
    </row>
    <row r="52" spans="1:18">
      <c r="A52" s="1" t="s">
        <v>3</v>
      </c>
      <c r="B52" s="5" t="s">
        <v>124</v>
      </c>
      <c r="C52" s="74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2">
        <v>0</v>
      </c>
      <c r="M52" s="22">
        <f t="shared" si="2"/>
        <v>0</v>
      </c>
      <c r="N52" s="85">
        <v>0</v>
      </c>
      <c r="O52" s="85">
        <f t="shared" si="3"/>
        <v>0</v>
      </c>
      <c r="P52" s="85">
        <v>15600</v>
      </c>
      <c r="R52"/>
    </row>
    <row r="53" spans="1:18">
      <c r="A53" s="1" t="s">
        <v>3</v>
      </c>
      <c r="B53" s="5" t="s">
        <v>125</v>
      </c>
      <c r="C53" s="74">
        <v>35200</v>
      </c>
      <c r="D53" s="21">
        <v>14500</v>
      </c>
      <c r="E53" s="21">
        <v>600</v>
      </c>
      <c r="F53" s="21">
        <v>500</v>
      </c>
      <c r="G53" s="21">
        <v>900</v>
      </c>
      <c r="H53" s="21">
        <v>0</v>
      </c>
      <c r="I53" s="21">
        <v>4100</v>
      </c>
      <c r="J53" s="21">
        <v>0</v>
      </c>
      <c r="K53" s="21">
        <v>0</v>
      </c>
      <c r="L53" s="22">
        <v>0</v>
      </c>
      <c r="M53" s="22">
        <f t="shared" si="2"/>
        <v>55800</v>
      </c>
      <c r="N53" s="85">
        <v>16100</v>
      </c>
      <c r="O53" s="85">
        <f t="shared" si="3"/>
        <v>16100</v>
      </c>
      <c r="P53" s="85">
        <v>263900</v>
      </c>
      <c r="R53"/>
    </row>
    <row r="54" spans="1:18" ht="19.5" thickBot="1">
      <c r="A54" s="1" t="s">
        <v>3</v>
      </c>
      <c r="B54" s="5" t="s">
        <v>126</v>
      </c>
      <c r="C54" s="74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2">
        <v>0</v>
      </c>
      <c r="M54" s="22">
        <f t="shared" si="2"/>
        <v>0</v>
      </c>
      <c r="N54" s="85">
        <v>0</v>
      </c>
      <c r="O54" s="85">
        <f t="shared" si="3"/>
        <v>0</v>
      </c>
      <c r="P54" s="88">
        <v>-48980</v>
      </c>
      <c r="Q54" s="54"/>
      <c r="R54"/>
    </row>
    <row r="55" spans="1:18" ht="19.5" thickBot="1">
      <c r="A55" s="1" t="s">
        <v>3</v>
      </c>
      <c r="B55" s="48" t="s">
        <v>130</v>
      </c>
      <c r="C55" s="76">
        <v>121557</v>
      </c>
      <c r="D55" s="50">
        <v>85021</v>
      </c>
      <c r="E55" s="50">
        <v>1481</v>
      </c>
      <c r="F55" s="50">
        <v>880</v>
      </c>
      <c r="G55" s="50">
        <v>900</v>
      </c>
      <c r="H55" s="50">
        <v>0</v>
      </c>
      <c r="I55" s="50">
        <v>4100</v>
      </c>
      <c r="J55" s="50">
        <v>0</v>
      </c>
      <c r="K55" s="50">
        <v>0</v>
      </c>
      <c r="L55" s="51">
        <v>127</v>
      </c>
      <c r="M55" s="51">
        <f t="shared" si="2"/>
        <v>214066</v>
      </c>
      <c r="N55" s="87">
        <v>84578</v>
      </c>
      <c r="O55" s="87">
        <f t="shared" si="3"/>
        <v>84578</v>
      </c>
      <c r="P55" s="87">
        <v>1443305</v>
      </c>
      <c r="R55"/>
    </row>
    <row r="56" spans="1:18" ht="19.5" thickBot="1">
      <c r="A56" s="1" t="s">
        <v>3</v>
      </c>
      <c r="B56" s="48" t="s">
        <v>131</v>
      </c>
      <c r="C56" s="76">
        <v>416543</v>
      </c>
      <c r="D56" s="50">
        <v>379280</v>
      </c>
      <c r="E56" s="50">
        <v>97219</v>
      </c>
      <c r="F56" s="50">
        <v>88050</v>
      </c>
      <c r="G56" s="50">
        <v>3360</v>
      </c>
      <c r="H56" s="50">
        <v>69300</v>
      </c>
      <c r="I56" s="50">
        <v>41580</v>
      </c>
      <c r="J56" s="50">
        <v>70140</v>
      </c>
      <c r="K56" s="50">
        <v>57074</v>
      </c>
      <c r="L56" s="51">
        <v>38513</v>
      </c>
      <c r="M56" s="51">
        <f t="shared" si="2"/>
        <v>1261059</v>
      </c>
      <c r="N56" s="87">
        <v>316844</v>
      </c>
      <c r="O56" s="87">
        <f t="shared" si="3"/>
        <v>316844</v>
      </c>
      <c r="P56" s="87">
        <v>6092546</v>
      </c>
      <c r="R56"/>
    </row>
    <row r="57" spans="1:18" ht="19.5" thickBot="1">
      <c r="A57" s="1" t="s">
        <v>3</v>
      </c>
      <c r="B57" s="48" t="s">
        <v>132</v>
      </c>
      <c r="C57" s="76">
        <v>372501</v>
      </c>
      <c r="D57" s="50">
        <v>358595</v>
      </c>
      <c r="E57" s="50">
        <v>98938</v>
      </c>
      <c r="F57" s="50">
        <v>89131</v>
      </c>
      <c r="G57" s="50">
        <v>2460</v>
      </c>
      <c r="H57" s="50">
        <v>72199</v>
      </c>
      <c r="I57" s="50">
        <v>39654</v>
      </c>
      <c r="J57" s="50">
        <v>74005</v>
      </c>
      <c r="K57" s="50">
        <v>59586</v>
      </c>
      <c r="L57" s="51">
        <v>42233</v>
      </c>
      <c r="M57" s="51">
        <f t="shared" si="2"/>
        <v>1209302</v>
      </c>
      <c r="N57" s="87">
        <v>298206</v>
      </c>
      <c r="O57" s="87">
        <f t="shared" si="3"/>
        <v>298206</v>
      </c>
      <c r="P57" s="87">
        <v>5830260</v>
      </c>
      <c r="R57"/>
    </row>
    <row r="58" spans="1:18">
      <c r="A58" s="1" t="s">
        <v>3</v>
      </c>
      <c r="B58" s="26" t="s">
        <v>133</v>
      </c>
      <c r="C58" s="73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7">
        <v>0</v>
      </c>
      <c r="M58" s="37">
        <f t="shared" si="2"/>
        <v>0</v>
      </c>
      <c r="N58" s="84">
        <v>0</v>
      </c>
      <c r="O58" s="84">
        <f t="shared" si="3"/>
        <v>0</v>
      </c>
      <c r="P58" s="84">
        <v>0</v>
      </c>
      <c r="R58"/>
    </row>
    <row r="59" spans="1:18">
      <c r="A59" s="1" t="s">
        <v>3</v>
      </c>
      <c r="B59" s="5" t="s">
        <v>134</v>
      </c>
      <c r="C59" s="74">
        <v>372501</v>
      </c>
      <c r="D59" s="21">
        <v>358595</v>
      </c>
      <c r="E59" s="21">
        <v>98938</v>
      </c>
      <c r="F59" s="21">
        <v>89131</v>
      </c>
      <c r="G59" s="21">
        <v>2460</v>
      </c>
      <c r="H59" s="21">
        <v>72199</v>
      </c>
      <c r="I59" s="21">
        <v>39654</v>
      </c>
      <c r="J59" s="21">
        <v>74005</v>
      </c>
      <c r="K59" s="21">
        <v>59586</v>
      </c>
      <c r="L59" s="22">
        <v>42233</v>
      </c>
      <c r="M59" s="22">
        <f t="shared" si="2"/>
        <v>1209302</v>
      </c>
      <c r="N59" s="85">
        <v>298206</v>
      </c>
      <c r="O59" s="85">
        <f t="shared" si="3"/>
        <v>298206</v>
      </c>
      <c r="P59" s="85">
        <v>5830260</v>
      </c>
      <c r="R59"/>
    </row>
    <row r="60" spans="1:18">
      <c r="A60" s="1" t="s">
        <v>3</v>
      </c>
      <c r="B60" s="5" t="s">
        <v>135</v>
      </c>
      <c r="C60" s="74">
        <v>0</v>
      </c>
      <c r="D60" s="21">
        <v>1</v>
      </c>
      <c r="E60" s="21">
        <v>0</v>
      </c>
      <c r="F60" s="21">
        <v>0</v>
      </c>
      <c r="G60" s="21">
        <v>0</v>
      </c>
      <c r="H60" s="21">
        <v>1</v>
      </c>
      <c r="I60" s="21">
        <v>1</v>
      </c>
      <c r="J60" s="21">
        <v>1</v>
      </c>
      <c r="K60" s="21">
        <v>1</v>
      </c>
      <c r="L60" s="22">
        <v>1</v>
      </c>
      <c r="M60" s="9"/>
      <c r="N60" s="85">
        <v>0</v>
      </c>
      <c r="O60" s="85"/>
      <c r="P60" s="85"/>
      <c r="R60"/>
    </row>
    <row r="61" spans="1:18" ht="19.5" thickBot="1">
      <c r="A61" s="1" t="s">
        <v>3</v>
      </c>
      <c r="B61" s="6" t="s">
        <v>136</v>
      </c>
      <c r="C61" s="77" t="s">
        <v>137</v>
      </c>
      <c r="D61" s="24" t="s">
        <v>137</v>
      </c>
      <c r="E61" s="24" t="s">
        <v>137</v>
      </c>
      <c r="F61" s="24" t="s">
        <v>137</v>
      </c>
      <c r="G61" s="24" t="s">
        <v>137</v>
      </c>
      <c r="H61" s="24" t="s">
        <v>137</v>
      </c>
      <c r="I61" s="24" t="s">
        <v>137</v>
      </c>
      <c r="J61" s="24" t="s">
        <v>137</v>
      </c>
      <c r="K61" s="24" t="s">
        <v>137</v>
      </c>
      <c r="L61" s="25" t="s">
        <v>137</v>
      </c>
      <c r="M61" s="10"/>
      <c r="N61" s="89" t="s">
        <v>137</v>
      </c>
      <c r="O61" s="89"/>
      <c r="P61" s="89"/>
    </row>
  </sheetData>
  <phoneticPr fontId="3"/>
  <pageMargins left="0.31496062992125984" right="0.31496062992125984" top="0.15748031496062992" bottom="0.15748031496062992" header="0" footer="0"/>
  <pageSetup paperSize="12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5B9E-30D9-4281-8975-DDBA60FEDAD1}">
  <sheetPr>
    <pageSetUpPr fitToPage="1"/>
  </sheetPr>
  <dimension ref="A1:T66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20" width="11.75" style="2" customWidth="1"/>
    <col min="21" max="243" width="9" style="2"/>
    <col min="244" max="244" width="2.375" style="2" customWidth="1"/>
    <col min="245" max="245" width="13.25" style="2" bestFit="1" customWidth="1"/>
    <col min="246" max="246" width="11.125" style="2" bestFit="1" customWidth="1"/>
    <col min="247" max="247" width="9.625" style="2" bestFit="1" customWidth="1"/>
    <col min="248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4" width="11.125" style="2" bestFit="1" customWidth="1"/>
    <col min="265" max="265" width="8" style="2" bestFit="1" customWidth="1"/>
    <col min="266" max="269" width="9" style="2"/>
    <col min="270" max="271" width="11.125" style="2" bestFit="1" customWidth="1"/>
    <col min="272" max="273" width="9" style="2"/>
    <col min="274" max="274" width="9.625" style="2" bestFit="1" customWidth="1"/>
    <col min="275" max="499" width="9" style="2"/>
    <col min="500" max="500" width="2.375" style="2" customWidth="1"/>
    <col min="501" max="501" width="13.25" style="2" bestFit="1" customWidth="1"/>
    <col min="502" max="502" width="11.125" style="2" bestFit="1" customWidth="1"/>
    <col min="503" max="503" width="9.625" style="2" bestFit="1" customWidth="1"/>
    <col min="504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0" width="11.125" style="2" bestFit="1" customWidth="1"/>
    <col min="521" max="521" width="8" style="2" bestFit="1" customWidth="1"/>
    <col min="522" max="525" width="9" style="2"/>
    <col min="526" max="527" width="11.125" style="2" bestFit="1" customWidth="1"/>
    <col min="528" max="529" width="9" style="2"/>
    <col min="530" max="530" width="9.625" style="2" bestFit="1" customWidth="1"/>
    <col min="531" max="755" width="9" style="2"/>
    <col min="756" max="756" width="2.375" style="2" customWidth="1"/>
    <col min="757" max="757" width="13.25" style="2" bestFit="1" customWidth="1"/>
    <col min="758" max="758" width="11.125" style="2" bestFit="1" customWidth="1"/>
    <col min="759" max="759" width="9.625" style="2" bestFit="1" customWidth="1"/>
    <col min="760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76" width="11.125" style="2" bestFit="1" customWidth="1"/>
    <col min="777" max="777" width="8" style="2" bestFit="1" customWidth="1"/>
    <col min="778" max="781" width="9" style="2"/>
    <col min="782" max="783" width="11.125" style="2" bestFit="1" customWidth="1"/>
    <col min="784" max="785" width="9" style="2"/>
    <col min="786" max="786" width="9.625" style="2" bestFit="1" customWidth="1"/>
    <col min="787" max="1011" width="9" style="2"/>
    <col min="1012" max="1012" width="2.375" style="2" customWidth="1"/>
    <col min="1013" max="1013" width="13.25" style="2" bestFit="1" customWidth="1"/>
    <col min="1014" max="1014" width="11.125" style="2" bestFit="1" customWidth="1"/>
    <col min="1015" max="1015" width="9.625" style="2" bestFit="1" customWidth="1"/>
    <col min="1016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2" width="11.125" style="2" bestFit="1" customWidth="1"/>
    <col min="1033" max="1033" width="8" style="2" bestFit="1" customWidth="1"/>
    <col min="1034" max="1037" width="9" style="2"/>
    <col min="1038" max="1039" width="11.125" style="2" bestFit="1" customWidth="1"/>
    <col min="1040" max="1041" width="9" style="2"/>
    <col min="1042" max="1042" width="9.625" style="2" bestFit="1" customWidth="1"/>
    <col min="1043" max="1267" width="9" style="2"/>
    <col min="1268" max="1268" width="2.375" style="2" customWidth="1"/>
    <col min="1269" max="1269" width="13.25" style="2" bestFit="1" customWidth="1"/>
    <col min="1270" max="1270" width="11.125" style="2" bestFit="1" customWidth="1"/>
    <col min="1271" max="1271" width="9.625" style="2" bestFit="1" customWidth="1"/>
    <col min="1272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88" width="11.125" style="2" bestFit="1" customWidth="1"/>
    <col min="1289" max="1289" width="8" style="2" bestFit="1" customWidth="1"/>
    <col min="1290" max="1293" width="9" style="2"/>
    <col min="1294" max="1295" width="11.125" style="2" bestFit="1" customWidth="1"/>
    <col min="1296" max="1297" width="9" style="2"/>
    <col min="1298" max="1298" width="9.625" style="2" bestFit="1" customWidth="1"/>
    <col min="1299" max="1523" width="9" style="2"/>
    <col min="1524" max="1524" width="2.375" style="2" customWidth="1"/>
    <col min="1525" max="1525" width="13.25" style="2" bestFit="1" customWidth="1"/>
    <col min="1526" max="1526" width="11.125" style="2" bestFit="1" customWidth="1"/>
    <col min="1527" max="1527" width="9.625" style="2" bestFit="1" customWidth="1"/>
    <col min="1528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4" width="11.125" style="2" bestFit="1" customWidth="1"/>
    <col min="1545" max="1545" width="8" style="2" bestFit="1" customWidth="1"/>
    <col min="1546" max="1549" width="9" style="2"/>
    <col min="1550" max="1551" width="11.125" style="2" bestFit="1" customWidth="1"/>
    <col min="1552" max="1553" width="9" style="2"/>
    <col min="1554" max="1554" width="9.625" style="2" bestFit="1" customWidth="1"/>
    <col min="1555" max="1779" width="9" style="2"/>
    <col min="1780" max="1780" width="2.375" style="2" customWidth="1"/>
    <col min="1781" max="1781" width="13.25" style="2" bestFit="1" customWidth="1"/>
    <col min="1782" max="1782" width="11.125" style="2" bestFit="1" customWidth="1"/>
    <col min="1783" max="1783" width="9.625" style="2" bestFit="1" customWidth="1"/>
    <col min="1784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0" width="11.125" style="2" bestFit="1" customWidth="1"/>
    <col min="1801" max="1801" width="8" style="2" bestFit="1" customWidth="1"/>
    <col min="1802" max="1805" width="9" style="2"/>
    <col min="1806" max="1807" width="11.125" style="2" bestFit="1" customWidth="1"/>
    <col min="1808" max="1809" width="9" style="2"/>
    <col min="1810" max="1810" width="9.625" style="2" bestFit="1" customWidth="1"/>
    <col min="1811" max="2035" width="9" style="2"/>
    <col min="2036" max="2036" width="2.375" style="2" customWidth="1"/>
    <col min="2037" max="2037" width="13.25" style="2" bestFit="1" customWidth="1"/>
    <col min="2038" max="2038" width="11.125" style="2" bestFit="1" customWidth="1"/>
    <col min="2039" max="2039" width="9.625" style="2" bestFit="1" customWidth="1"/>
    <col min="2040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56" width="11.125" style="2" bestFit="1" customWidth="1"/>
    <col min="2057" max="2057" width="8" style="2" bestFit="1" customWidth="1"/>
    <col min="2058" max="2061" width="9" style="2"/>
    <col min="2062" max="2063" width="11.125" style="2" bestFit="1" customWidth="1"/>
    <col min="2064" max="2065" width="9" style="2"/>
    <col min="2066" max="2066" width="9.625" style="2" bestFit="1" customWidth="1"/>
    <col min="2067" max="2291" width="9" style="2"/>
    <col min="2292" max="2292" width="2.375" style="2" customWidth="1"/>
    <col min="2293" max="2293" width="13.25" style="2" bestFit="1" customWidth="1"/>
    <col min="2294" max="2294" width="11.125" style="2" bestFit="1" customWidth="1"/>
    <col min="2295" max="2295" width="9.625" style="2" bestFit="1" customWidth="1"/>
    <col min="2296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2" width="11.125" style="2" bestFit="1" customWidth="1"/>
    <col min="2313" max="2313" width="8" style="2" bestFit="1" customWidth="1"/>
    <col min="2314" max="2317" width="9" style="2"/>
    <col min="2318" max="2319" width="11.125" style="2" bestFit="1" customWidth="1"/>
    <col min="2320" max="2321" width="9" style="2"/>
    <col min="2322" max="2322" width="9.625" style="2" bestFit="1" customWidth="1"/>
    <col min="2323" max="2547" width="9" style="2"/>
    <col min="2548" max="2548" width="2.375" style="2" customWidth="1"/>
    <col min="2549" max="2549" width="13.25" style="2" bestFit="1" customWidth="1"/>
    <col min="2550" max="2550" width="11.125" style="2" bestFit="1" customWidth="1"/>
    <col min="2551" max="2551" width="9.625" style="2" bestFit="1" customWidth="1"/>
    <col min="2552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68" width="11.125" style="2" bestFit="1" customWidth="1"/>
    <col min="2569" max="2569" width="8" style="2" bestFit="1" customWidth="1"/>
    <col min="2570" max="2573" width="9" style="2"/>
    <col min="2574" max="2575" width="11.125" style="2" bestFit="1" customWidth="1"/>
    <col min="2576" max="2577" width="9" style="2"/>
    <col min="2578" max="2578" width="9.625" style="2" bestFit="1" customWidth="1"/>
    <col min="2579" max="2803" width="9" style="2"/>
    <col min="2804" max="2804" width="2.375" style="2" customWidth="1"/>
    <col min="2805" max="2805" width="13.25" style="2" bestFit="1" customWidth="1"/>
    <col min="2806" max="2806" width="11.125" style="2" bestFit="1" customWidth="1"/>
    <col min="2807" max="2807" width="9.625" style="2" bestFit="1" customWidth="1"/>
    <col min="2808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4" width="11.125" style="2" bestFit="1" customWidth="1"/>
    <col min="2825" max="2825" width="8" style="2" bestFit="1" customWidth="1"/>
    <col min="2826" max="2829" width="9" style="2"/>
    <col min="2830" max="2831" width="11.125" style="2" bestFit="1" customWidth="1"/>
    <col min="2832" max="2833" width="9" style="2"/>
    <col min="2834" max="2834" width="9.625" style="2" bestFit="1" customWidth="1"/>
    <col min="2835" max="3059" width="9" style="2"/>
    <col min="3060" max="3060" width="2.375" style="2" customWidth="1"/>
    <col min="3061" max="3061" width="13.25" style="2" bestFit="1" customWidth="1"/>
    <col min="3062" max="3062" width="11.125" style="2" bestFit="1" customWidth="1"/>
    <col min="3063" max="3063" width="9.625" style="2" bestFit="1" customWidth="1"/>
    <col min="3064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0" width="11.125" style="2" bestFit="1" customWidth="1"/>
    <col min="3081" max="3081" width="8" style="2" bestFit="1" customWidth="1"/>
    <col min="3082" max="3085" width="9" style="2"/>
    <col min="3086" max="3087" width="11.125" style="2" bestFit="1" customWidth="1"/>
    <col min="3088" max="3089" width="9" style="2"/>
    <col min="3090" max="3090" width="9.625" style="2" bestFit="1" customWidth="1"/>
    <col min="3091" max="3315" width="9" style="2"/>
    <col min="3316" max="3316" width="2.375" style="2" customWidth="1"/>
    <col min="3317" max="3317" width="13.25" style="2" bestFit="1" customWidth="1"/>
    <col min="3318" max="3318" width="11.125" style="2" bestFit="1" customWidth="1"/>
    <col min="3319" max="3319" width="9.625" style="2" bestFit="1" customWidth="1"/>
    <col min="3320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36" width="11.125" style="2" bestFit="1" customWidth="1"/>
    <col min="3337" max="3337" width="8" style="2" bestFit="1" customWidth="1"/>
    <col min="3338" max="3341" width="9" style="2"/>
    <col min="3342" max="3343" width="11.125" style="2" bestFit="1" customWidth="1"/>
    <col min="3344" max="3345" width="9" style="2"/>
    <col min="3346" max="3346" width="9.625" style="2" bestFit="1" customWidth="1"/>
    <col min="3347" max="3571" width="9" style="2"/>
    <col min="3572" max="3572" width="2.375" style="2" customWidth="1"/>
    <col min="3573" max="3573" width="13.25" style="2" bestFit="1" customWidth="1"/>
    <col min="3574" max="3574" width="11.125" style="2" bestFit="1" customWidth="1"/>
    <col min="3575" max="3575" width="9.625" style="2" bestFit="1" customWidth="1"/>
    <col min="3576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2" width="11.125" style="2" bestFit="1" customWidth="1"/>
    <col min="3593" max="3593" width="8" style="2" bestFit="1" customWidth="1"/>
    <col min="3594" max="3597" width="9" style="2"/>
    <col min="3598" max="3599" width="11.125" style="2" bestFit="1" customWidth="1"/>
    <col min="3600" max="3601" width="9" style="2"/>
    <col min="3602" max="3602" width="9.625" style="2" bestFit="1" customWidth="1"/>
    <col min="3603" max="3827" width="9" style="2"/>
    <col min="3828" max="3828" width="2.375" style="2" customWidth="1"/>
    <col min="3829" max="3829" width="13.25" style="2" bestFit="1" customWidth="1"/>
    <col min="3830" max="3830" width="11.125" style="2" bestFit="1" customWidth="1"/>
    <col min="3831" max="3831" width="9.625" style="2" bestFit="1" customWidth="1"/>
    <col min="3832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48" width="11.125" style="2" bestFit="1" customWidth="1"/>
    <col min="3849" max="3849" width="8" style="2" bestFit="1" customWidth="1"/>
    <col min="3850" max="3853" width="9" style="2"/>
    <col min="3854" max="3855" width="11.125" style="2" bestFit="1" customWidth="1"/>
    <col min="3856" max="3857" width="9" style="2"/>
    <col min="3858" max="3858" width="9.625" style="2" bestFit="1" customWidth="1"/>
    <col min="3859" max="4083" width="9" style="2"/>
    <col min="4084" max="4084" width="2.375" style="2" customWidth="1"/>
    <col min="4085" max="4085" width="13.25" style="2" bestFit="1" customWidth="1"/>
    <col min="4086" max="4086" width="11.125" style="2" bestFit="1" customWidth="1"/>
    <col min="4087" max="4087" width="9.625" style="2" bestFit="1" customWidth="1"/>
    <col min="4088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4" width="11.125" style="2" bestFit="1" customWidth="1"/>
    <col min="4105" max="4105" width="8" style="2" bestFit="1" customWidth="1"/>
    <col min="4106" max="4109" width="9" style="2"/>
    <col min="4110" max="4111" width="11.125" style="2" bestFit="1" customWidth="1"/>
    <col min="4112" max="4113" width="9" style="2"/>
    <col min="4114" max="4114" width="9.625" style="2" bestFit="1" customWidth="1"/>
    <col min="4115" max="4339" width="9" style="2"/>
    <col min="4340" max="4340" width="2.375" style="2" customWidth="1"/>
    <col min="4341" max="4341" width="13.25" style="2" bestFit="1" customWidth="1"/>
    <col min="4342" max="4342" width="11.125" style="2" bestFit="1" customWidth="1"/>
    <col min="4343" max="4343" width="9.625" style="2" bestFit="1" customWidth="1"/>
    <col min="4344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0" width="11.125" style="2" bestFit="1" customWidth="1"/>
    <col min="4361" max="4361" width="8" style="2" bestFit="1" customWidth="1"/>
    <col min="4362" max="4365" width="9" style="2"/>
    <col min="4366" max="4367" width="11.125" style="2" bestFit="1" customWidth="1"/>
    <col min="4368" max="4369" width="9" style="2"/>
    <col min="4370" max="4370" width="9.625" style="2" bestFit="1" customWidth="1"/>
    <col min="4371" max="4595" width="9" style="2"/>
    <col min="4596" max="4596" width="2.375" style="2" customWidth="1"/>
    <col min="4597" max="4597" width="13.25" style="2" bestFit="1" customWidth="1"/>
    <col min="4598" max="4598" width="11.125" style="2" bestFit="1" customWidth="1"/>
    <col min="4599" max="4599" width="9.625" style="2" bestFit="1" customWidth="1"/>
    <col min="4600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16" width="11.125" style="2" bestFit="1" customWidth="1"/>
    <col min="4617" max="4617" width="8" style="2" bestFit="1" customWidth="1"/>
    <col min="4618" max="4621" width="9" style="2"/>
    <col min="4622" max="4623" width="11.125" style="2" bestFit="1" customWidth="1"/>
    <col min="4624" max="4625" width="9" style="2"/>
    <col min="4626" max="4626" width="9.625" style="2" bestFit="1" customWidth="1"/>
    <col min="4627" max="4851" width="9" style="2"/>
    <col min="4852" max="4852" width="2.375" style="2" customWidth="1"/>
    <col min="4853" max="4853" width="13.25" style="2" bestFit="1" customWidth="1"/>
    <col min="4854" max="4854" width="11.125" style="2" bestFit="1" customWidth="1"/>
    <col min="4855" max="4855" width="9.625" style="2" bestFit="1" customWidth="1"/>
    <col min="4856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2" width="11.125" style="2" bestFit="1" customWidth="1"/>
    <col min="4873" max="4873" width="8" style="2" bestFit="1" customWidth="1"/>
    <col min="4874" max="4877" width="9" style="2"/>
    <col min="4878" max="4879" width="11.125" style="2" bestFit="1" customWidth="1"/>
    <col min="4880" max="4881" width="9" style="2"/>
    <col min="4882" max="4882" width="9.625" style="2" bestFit="1" customWidth="1"/>
    <col min="4883" max="5107" width="9" style="2"/>
    <col min="5108" max="5108" width="2.375" style="2" customWidth="1"/>
    <col min="5109" max="5109" width="13.25" style="2" bestFit="1" customWidth="1"/>
    <col min="5110" max="5110" width="11.125" style="2" bestFit="1" customWidth="1"/>
    <col min="5111" max="5111" width="9.625" style="2" bestFit="1" customWidth="1"/>
    <col min="5112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28" width="11.125" style="2" bestFit="1" customWidth="1"/>
    <col min="5129" max="5129" width="8" style="2" bestFit="1" customWidth="1"/>
    <col min="5130" max="5133" width="9" style="2"/>
    <col min="5134" max="5135" width="11.125" style="2" bestFit="1" customWidth="1"/>
    <col min="5136" max="5137" width="9" style="2"/>
    <col min="5138" max="5138" width="9.625" style="2" bestFit="1" customWidth="1"/>
    <col min="5139" max="5363" width="9" style="2"/>
    <col min="5364" max="5364" width="2.375" style="2" customWidth="1"/>
    <col min="5365" max="5365" width="13.25" style="2" bestFit="1" customWidth="1"/>
    <col min="5366" max="5366" width="11.125" style="2" bestFit="1" customWidth="1"/>
    <col min="5367" max="5367" width="9.625" style="2" bestFit="1" customWidth="1"/>
    <col min="5368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4" width="11.125" style="2" bestFit="1" customWidth="1"/>
    <col min="5385" max="5385" width="8" style="2" bestFit="1" customWidth="1"/>
    <col min="5386" max="5389" width="9" style="2"/>
    <col min="5390" max="5391" width="11.125" style="2" bestFit="1" customWidth="1"/>
    <col min="5392" max="5393" width="9" style="2"/>
    <col min="5394" max="5394" width="9.625" style="2" bestFit="1" customWidth="1"/>
    <col min="5395" max="5619" width="9" style="2"/>
    <col min="5620" max="5620" width="2.375" style="2" customWidth="1"/>
    <col min="5621" max="5621" width="13.25" style="2" bestFit="1" customWidth="1"/>
    <col min="5622" max="5622" width="11.125" style="2" bestFit="1" customWidth="1"/>
    <col min="5623" max="5623" width="9.625" style="2" bestFit="1" customWidth="1"/>
    <col min="5624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0" width="11.125" style="2" bestFit="1" customWidth="1"/>
    <col min="5641" max="5641" width="8" style="2" bestFit="1" customWidth="1"/>
    <col min="5642" max="5645" width="9" style="2"/>
    <col min="5646" max="5647" width="11.125" style="2" bestFit="1" customWidth="1"/>
    <col min="5648" max="5649" width="9" style="2"/>
    <col min="5650" max="5650" width="9.625" style="2" bestFit="1" customWidth="1"/>
    <col min="5651" max="5875" width="9" style="2"/>
    <col min="5876" max="5876" width="2.375" style="2" customWidth="1"/>
    <col min="5877" max="5877" width="13.25" style="2" bestFit="1" customWidth="1"/>
    <col min="5878" max="5878" width="11.125" style="2" bestFit="1" customWidth="1"/>
    <col min="5879" max="5879" width="9.625" style="2" bestFit="1" customWidth="1"/>
    <col min="5880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896" width="11.125" style="2" bestFit="1" customWidth="1"/>
    <col min="5897" max="5897" width="8" style="2" bestFit="1" customWidth="1"/>
    <col min="5898" max="5901" width="9" style="2"/>
    <col min="5902" max="5903" width="11.125" style="2" bestFit="1" customWidth="1"/>
    <col min="5904" max="5905" width="9" style="2"/>
    <col min="5906" max="5906" width="9.625" style="2" bestFit="1" customWidth="1"/>
    <col min="5907" max="6131" width="9" style="2"/>
    <col min="6132" max="6132" width="2.375" style="2" customWidth="1"/>
    <col min="6133" max="6133" width="13.25" style="2" bestFit="1" customWidth="1"/>
    <col min="6134" max="6134" width="11.125" style="2" bestFit="1" customWidth="1"/>
    <col min="6135" max="6135" width="9.625" style="2" bestFit="1" customWidth="1"/>
    <col min="6136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2" width="11.125" style="2" bestFit="1" customWidth="1"/>
    <col min="6153" max="6153" width="8" style="2" bestFit="1" customWidth="1"/>
    <col min="6154" max="6157" width="9" style="2"/>
    <col min="6158" max="6159" width="11.125" style="2" bestFit="1" customWidth="1"/>
    <col min="6160" max="6161" width="9" style="2"/>
    <col min="6162" max="6162" width="9.625" style="2" bestFit="1" customWidth="1"/>
    <col min="6163" max="6387" width="9" style="2"/>
    <col min="6388" max="6388" width="2.375" style="2" customWidth="1"/>
    <col min="6389" max="6389" width="13.25" style="2" bestFit="1" customWidth="1"/>
    <col min="6390" max="6390" width="11.125" style="2" bestFit="1" customWidth="1"/>
    <col min="6391" max="6391" width="9.625" style="2" bestFit="1" customWidth="1"/>
    <col min="6392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08" width="11.125" style="2" bestFit="1" customWidth="1"/>
    <col min="6409" max="6409" width="8" style="2" bestFit="1" customWidth="1"/>
    <col min="6410" max="6413" width="9" style="2"/>
    <col min="6414" max="6415" width="11.125" style="2" bestFit="1" customWidth="1"/>
    <col min="6416" max="6417" width="9" style="2"/>
    <col min="6418" max="6418" width="9.625" style="2" bestFit="1" customWidth="1"/>
    <col min="6419" max="6643" width="9" style="2"/>
    <col min="6644" max="6644" width="2.375" style="2" customWidth="1"/>
    <col min="6645" max="6645" width="13.25" style="2" bestFit="1" customWidth="1"/>
    <col min="6646" max="6646" width="11.125" style="2" bestFit="1" customWidth="1"/>
    <col min="6647" max="6647" width="9.625" style="2" bestFit="1" customWidth="1"/>
    <col min="6648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4" width="11.125" style="2" bestFit="1" customWidth="1"/>
    <col min="6665" max="6665" width="8" style="2" bestFit="1" customWidth="1"/>
    <col min="6666" max="6669" width="9" style="2"/>
    <col min="6670" max="6671" width="11.125" style="2" bestFit="1" customWidth="1"/>
    <col min="6672" max="6673" width="9" style="2"/>
    <col min="6674" max="6674" width="9.625" style="2" bestFit="1" customWidth="1"/>
    <col min="6675" max="6899" width="9" style="2"/>
    <col min="6900" max="6900" width="2.375" style="2" customWidth="1"/>
    <col min="6901" max="6901" width="13.25" style="2" bestFit="1" customWidth="1"/>
    <col min="6902" max="6902" width="11.125" style="2" bestFit="1" customWidth="1"/>
    <col min="6903" max="6903" width="9.625" style="2" bestFit="1" customWidth="1"/>
    <col min="6904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0" width="11.125" style="2" bestFit="1" customWidth="1"/>
    <col min="6921" max="6921" width="8" style="2" bestFit="1" customWidth="1"/>
    <col min="6922" max="6925" width="9" style="2"/>
    <col min="6926" max="6927" width="11.125" style="2" bestFit="1" customWidth="1"/>
    <col min="6928" max="6929" width="9" style="2"/>
    <col min="6930" max="6930" width="9.625" style="2" bestFit="1" customWidth="1"/>
    <col min="6931" max="7155" width="9" style="2"/>
    <col min="7156" max="7156" width="2.375" style="2" customWidth="1"/>
    <col min="7157" max="7157" width="13.25" style="2" bestFit="1" customWidth="1"/>
    <col min="7158" max="7158" width="11.125" style="2" bestFit="1" customWidth="1"/>
    <col min="7159" max="7159" width="9.625" style="2" bestFit="1" customWidth="1"/>
    <col min="7160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76" width="11.125" style="2" bestFit="1" customWidth="1"/>
    <col min="7177" max="7177" width="8" style="2" bestFit="1" customWidth="1"/>
    <col min="7178" max="7181" width="9" style="2"/>
    <col min="7182" max="7183" width="11.125" style="2" bestFit="1" customWidth="1"/>
    <col min="7184" max="7185" width="9" style="2"/>
    <col min="7186" max="7186" width="9.625" style="2" bestFit="1" customWidth="1"/>
    <col min="7187" max="7411" width="9" style="2"/>
    <col min="7412" max="7412" width="2.375" style="2" customWidth="1"/>
    <col min="7413" max="7413" width="13.25" style="2" bestFit="1" customWidth="1"/>
    <col min="7414" max="7414" width="11.125" style="2" bestFit="1" customWidth="1"/>
    <col min="7415" max="7415" width="9.625" style="2" bestFit="1" customWidth="1"/>
    <col min="7416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2" width="11.125" style="2" bestFit="1" customWidth="1"/>
    <col min="7433" max="7433" width="8" style="2" bestFit="1" customWidth="1"/>
    <col min="7434" max="7437" width="9" style="2"/>
    <col min="7438" max="7439" width="11.125" style="2" bestFit="1" customWidth="1"/>
    <col min="7440" max="7441" width="9" style="2"/>
    <col min="7442" max="7442" width="9.625" style="2" bestFit="1" customWidth="1"/>
    <col min="7443" max="7667" width="9" style="2"/>
    <col min="7668" max="7668" width="2.375" style="2" customWidth="1"/>
    <col min="7669" max="7669" width="13.25" style="2" bestFit="1" customWidth="1"/>
    <col min="7670" max="7670" width="11.125" style="2" bestFit="1" customWidth="1"/>
    <col min="7671" max="7671" width="9.625" style="2" bestFit="1" customWidth="1"/>
    <col min="7672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88" width="11.125" style="2" bestFit="1" customWidth="1"/>
    <col min="7689" max="7689" width="8" style="2" bestFit="1" customWidth="1"/>
    <col min="7690" max="7693" width="9" style="2"/>
    <col min="7694" max="7695" width="11.125" style="2" bestFit="1" customWidth="1"/>
    <col min="7696" max="7697" width="9" style="2"/>
    <col min="7698" max="7698" width="9.625" style="2" bestFit="1" customWidth="1"/>
    <col min="7699" max="7923" width="9" style="2"/>
    <col min="7924" max="7924" width="2.375" style="2" customWidth="1"/>
    <col min="7925" max="7925" width="13.25" style="2" bestFit="1" customWidth="1"/>
    <col min="7926" max="7926" width="11.125" style="2" bestFit="1" customWidth="1"/>
    <col min="7927" max="7927" width="9.625" style="2" bestFit="1" customWidth="1"/>
    <col min="7928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4" width="11.125" style="2" bestFit="1" customWidth="1"/>
    <col min="7945" max="7945" width="8" style="2" bestFit="1" customWidth="1"/>
    <col min="7946" max="7949" width="9" style="2"/>
    <col min="7950" max="7951" width="11.125" style="2" bestFit="1" customWidth="1"/>
    <col min="7952" max="7953" width="9" style="2"/>
    <col min="7954" max="7954" width="9.625" style="2" bestFit="1" customWidth="1"/>
    <col min="7955" max="8179" width="9" style="2"/>
    <col min="8180" max="8180" width="2.375" style="2" customWidth="1"/>
    <col min="8181" max="8181" width="13.25" style="2" bestFit="1" customWidth="1"/>
    <col min="8182" max="8182" width="11.125" style="2" bestFit="1" customWidth="1"/>
    <col min="8183" max="8183" width="9.625" style="2" bestFit="1" customWidth="1"/>
    <col min="8184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0" width="11.125" style="2" bestFit="1" customWidth="1"/>
    <col min="8201" max="8201" width="8" style="2" bestFit="1" customWidth="1"/>
    <col min="8202" max="8205" width="9" style="2"/>
    <col min="8206" max="8207" width="11.125" style="2" bestFit="1" customWidth="1"/>
    <col min="8208" max="8209" width="9" style="2"/>
    <col min="8210" max="8210" width="9.625" style="2" bestFit="1" customWidth="1"/>
    <col min="8211" max="8435" width="9" style="2"/>
    <col min="8436" max="8436" width="2.375" style="2" customWidth="1"/>
    <col min="8437" max="8437" width="13.25" style="2" bestFit="1" customWidth="1"/>
    <col min="8438" max="8438" width="11.125" style="2" bestFit="1" customWidth="1"/>
    <col min="8439" max="8439" width="9.625" style="2" bestFit="1" customWidth="1"/>
    <col min="8440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56" width="11.125" style="2" bestFit="1" customWidth="1"/>
    <col min="8457" max="8457" width="8" style="2" bestFit="1" customWidth="1"/>
    <col min="8458" max="8461" width="9" style="2"/>
    <col min="8462" max="8463" width="11.125" style="2" bestFit="1" customWidth="1"/>
    <col min="8464" max="8465" width="9" style="2"/>
    <col min="8466" max="8466" width="9.625" style="2" bestFit="1" customWidth="1"/>
    <col min="8467" max="8691" width="9" style="2"/>
    <col min="8692" max="8692" width="2.375" style="2" customWidth="1"/>
    <col min="8693" max="8693" width="13.25" style="2" bestFit="1" customWidth="1"/>
    <col min="8694" max="8694" width="11.125" style="2" bestFit="1" customWidth="1"/>
    <col min="8695" max="8695" width="9.625" style="2" bestFit="1" customWidth="1"/>
    <col min="8696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2" width="11.125" style="2" bestFit="1" customWidth="1"/>
    <col min="8713" max="8713" width="8" style="2" bestFit="1" customWidth="1"/>
    <col min="8714" max="8717" width="9" style="2"/>
    <col min="8718" max="8719" width="11.125" style="2" bestFit="1" customWidth="1"/>
    <col min="8720" max="8721" width="9" style="2"/>
    <col min="8722" max="8722" width="9.625" style="2" bestFit="1" customWidth="1"/>
    <col min="8723" max="8947" width="9" style="2"/>
    <col min="8948" max="8948" width="2.375" style="2" customWidth="1"/>
    <col min="8949" max="8949" width="13.25" style="2" bestFit="1" customWidth="1"/>
    <col min="8950" max="8950" width="11.125" style="2" bestFit="1" customWidth="1"/>
    <col min="8951" max="8951" width="9.625" style="2" bestFit="1" customWidth="1"/>
    <col min="8952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68" width="11.125" style="2" bestFit="1" customWidth="1"/>
    <col min="8969" max="8969" width="8" style="2" bestFit="1" customWidth="1"/>
    <col min="8970" max="8973" width="9" style="2"/>
    <col min="8974" max="8975" width="11.125" style="2" bestFit="1" customWidth="1"/>
    <col min="8976" max="8977" width="9" style="2"/>
    <col min="8978" max="8978" width="9.625" style="2" bestFit="1" customWidth="1"/>
    <col min="8979" max="9203" width="9" style="2"/>
    <col min="9204" max="9204" width="2.375" style="2" customWidth="1"/>
    <col min="9205" max="9205" width="13.25" style="2" bestFit="1" customWidth="1"/>
    <col min="9206" max="9206" width="11.125" style="2" bestFit="1" customWidth="1"/>
    <col min="9207" max="9207" width="9.625" style="2" bestFit="1" customWidth="1"/>
    <col min="9208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4" width="11.125" style="2" bestFit="1" customWidth="1"/>
    <col min="9225" max="9225" width="8" style="2" bestFit="1" customWidth="1"/>
    <col min="9226" max="9229" width="9" style="2"/>
    <col min="9230" max="9231" width="11.125" style="2" bestFit="1" customWidth="1"/>
    <col min="9232" max="9233" width="9" style="2"/>
    <col min="9234" max="9234" width="9.625" style="2" bestFit="1" customWidth="1"/>
    <col min="9235" max="9459" width="9" style="2"/>
    <col min="9460" max="9460" width="2.375" style="2" customWidth="1"/>
    <col min="9461" max="9461" width="13.25" style="2" bestFit="1" customWidth="1"/>
    <col min="9462" max="9462" width="11.125" style="2" bestFit="1" customWidth="1"/>
    <col min="9463" max="9463" width="9.625" style="2" bestFit="1" customWidth="1"/>
    <col min="9464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0" width="11.125" style="2" bestFit="1" customWidth="1"/>
    <col min="9481" max="9481" width="8" style="2" bestFit="1" customWidth="1"/>
    <col min="9482" max="9485" width="9" style="2"/>
    <col min="9486" max="9487" width="11.125" style="2" bestFit="1" customWidth="1"/>
    <col min="9488" max="9489" width="9" style="2"/>
    <col min="9490" max="9490" width="9.625" style="2" bestFit="1" customWidth="1"/>
    <col min="9491" max="9715" width="9" style="2"/>
    <col min="9716" max="9716" width="2.375" style="2" customWidth="1"/>
    <col min="9717" max="9717" width="13.25" style="2" bestFit="1" customWidth="1"/>
    <col min="9718" max="9718" width="11.125" style="2" bestFit="1" customWidth="1"/>
    <col min="9719" max="9719" width="9.625" style="2" bestFit="1" customWidth="1"/>
    <col min="9720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36" width="11.125" style="2" bestFit="1" customWidth="1"/>
    <col min="9737" max="9737" width="8" style="2" bestFit="1" customWidth="1"/>
    <col min="9738" max="9741" width="9" style="2"/>
    <col min="9742" max="9743" width="11.125" style="2" bestFit="1" customWidth="1"/>
    <col min="9744" max="9745" width="9" style="2"/>
    <col min="9746" max="9746" width="9.625" style="2" bestFit="1" customWidth="1"/>
    <col min="9747" max="9971" width="9" style="2"/>
    <col min="9972" max="9972" width="2.375" style="2" customWidth="1"/>
    <col min="9973" max="9973" width="13.25" style="2" bestFit="1" customWidth="1"/>
    <col min="9974" max="9974" width="11.125" style="2" bestFit="1" customWidth="1"/>
    <col min="9975" max="9975" width="9.625" style="2" bestFit="1" customWidth="1"/>
    <col min="9976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2" width="11.125" style="2" bestFit="1" customWidth="1"/>
    <col min="9993" max="9993" width="8" style="2" bestFit="1" customWidth="1"/>
    <col min="9994" max="9997" width="9" style="2"/>
    <col min="9998" max="9999" width="11.125" style="2" bestFit="1" customWidth="1"/>
    <col min="10000" max="10001" width="9" style="2"/>
    <col min="10002" max="10002" width="9.625" style="2" bestFit="1" customWidth="1"/>
    <col min="10003" max="10227" width="9" style="2"/>
    <col min="10228" max="10228" width="2.375" style="2" customWidth="1"/>
    <col min="10229" max="10229" width="13.25" style="2" bestFit="1" customWidth="1"/>
    <col min="10230" max="10230" width="11.125" style="2" bestFit="1" customWidth="1"/>
    <col min="10231" max="10231" width="9.625" style="2" bestFit="1" customWidth="1"/>
    <col min="10232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48" width="11.125" style="2" bestFit="1" customWidth="1"/>
    <col min="10249" max="10249" width="8" style="2" bestFit="1" customWidth="1"/>
    <col min="10250" max="10253" width="9" style="2"/>
    <col min="10254" max="10255" width="11.125" style="2" bestFit="1" customWidth="1"/>
    <col min="10256" max="10257" width="9" style="2"/>
    <col min="10258" max="10258" width="9.625" style="2" bestFit="1" customWidth="1"/>
    <col min="10259" max="10483" width="9" style="2"/>
    <col min="10484" max="10484" width="2.375" style="2" customWidth="1"/>
    <col min="10485" max="10485" width="13.25" style="2" bestFit="1" customWidth="1"/>
    <col min="10486" max="10486" width="11.125" style="2" bestFit="1" customWidth="1"/>
    <col min="10487" max="10487" width="9.625" style="2" bestFit="1" customWidth="1"/>
    <col min="10488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4" width="11.125" style="2" bestFit="1" customWidth="1"/>
    <col min="10505" max="10505" width="8" style="2" bestFit="1" customWidth="1"/>
    <col min="10506" max="10509" width="9" style="2"/>
    <col min="10510" max="10511" width="11.125" style="2" bestFit="1" customWidth="1"/>
    <col min="10512" max="10513" width="9" style="2"/>
    <col min="10514" max="10514" width="9.625" style="2" bestFit="1" customWidth="1"/>
    <col min="10515" max="10739" width="9" style="2"/>
    <col min="10740" max="10740" width="2.375" style="2" customWidth="1"/>
    <col min="10741" max="10741" width="13.25" style="2" bestFit="1" customWidth="1"/>
    <col min="10742" max="10742" width="11.125" style="2" bestFit="1" customWidth="1"/>
    <col min="10743" max="10743" width="9.625" style="2" bestFit="1" customWidth="1"/>
    <col min="10744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0" width="11.125" style="2" bestFit="1" customWidth="1"/>
    <col min="10761" max="10761" width="8" style="2" bestFit="1" customWidth="1"/>
    <col min="10762" max="10765" width="9" style="2"/>
    <col min="10766" max="10767" width="11.125" style="2" bestFit="1" customWidth="1"/>
    <col min="10768" max="10769" width="9" style="2"/>
    <col min="10770" max="10770" width="9.625" style="2" bestFit="1" customWidth="1"/>
    <col min="10771" max="10995" width="9" style="2"/>
    <col min="10996" max="10996" width="2.375" style="2" customWidth="1"/>
    <col min="10997" max="10997" width="13.25" style="2" bestFit="1" customWidth="1"/>
    <col min="10998" max="10998" width="11.125" style="2" bestFit="1" customWidth="1"/>
    <col min="10999" max="10999" width="9.625" style="2" bestFit="1" customWidth="1"/>
    <col min="11000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16" width="11.125" style="2" bestFit="1" customWidth="1"/>
    <col min="11017" max="11017" width="8" style="2" bestFit="1" customWidth="1"/>
    <col min="11018" max="11021" width="9" style="2"/>
    <col min="11022" max="11023" width="11.125" style="2" bestFit="1" customWidth="1"/>
    <col min="11024" max="11025" width="9" style="2"/>
    <col min="11026" max="11026" width="9.625" style="2" bestFit="1" customWidth="1"/>
    <col min="11027" max="11251" width="9" style="2"/>
    <col min="11252" max="11252" width="2.375" style="2" customWidth="1"/>
    <col min="11253" max="11253" width="13.25" style="2" bestFit="1" customWidth="1"/>
    <col min="11254" max="11254" width="11.125" style="2" bestFit="1" customWidth="1"/>
    <col min="11255" max="11255" width="9.625" style="2" bestFit="1" customWidth="1"/>
    <col min="11256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2" width="11.125" style="2" bestFit="1" customWidth="1"/>
    <col min="11273" max="11273" width="8" style="2" bestFit="1" customWidth="1"/>
    <col min="11274" max="11277" width="9" style="2"/>
    <col min="11278" max="11279" width="11.125" style="2" bestFit="1" customWidth="1"/>
    <col min="11280" max="11281" width="9" style="2"/>
    <col min="11282" max="11282" width="9.625" style="2" bestFit="1" customWidth="1"/>
    <col min="11283" max="11507" width="9" style="2"/>
    <col min="11508" max="11508" width="2.375" style="2" customWidth="1"/>
    <col min="11509" max="11509" width="13.25" style="2" bestFit="1" customWidth="1"/>
    <col min="11510" max="11510" width="11.125" style="2" bestFit="1" customWidth="1"/>
    <col min="11511" max="11511" width="9.625" style="2" bestFit="1" customWidth="1"/>
    <col min="11512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28" width="11.125" style="2" bestFit="1" customWidth="1"/>
    <col min="11529" max="11529" width="8" style="2" bestFit="1" customWidth="1"/>
    <col min="11530" max="11533" width="9" style="2"/>
    <col min="11534" max="11535" width="11.125" style="2" bestFit="1" customWidth="1"/>
    <col min="11536" max="11537" width="9" style="2"/>
    <col min="11538" max="11538" width="9.625" style="2" bestFit="1" customWidth="1"/>
    <col min="11539" max="11763" width="9" style="2"/>
    <col min="11764" max="11764" width="2.375" style="2" customWidth="1"/>
    <col min="11765" max="11765" width="13.25" style="2" bestFit="1" customWidth="1"/>
    <col min="11766" max="11766" width="11.125" style="2" bestFit="1" customWidth="1"/>
    <col min="11767" max="11767" width="9.625" style="2" bestFit="1" customWidth="1"/>
    <col min="11768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4" width="11.125" style="2" bestFit="1" customWidth="1"/>
    <col min="11785" max="11785" width="8" style="2" bestFit="1" customWidth="1"/>
    <col min="11786" max="11789" width="9" style="2"/>
    <col min="11790" max="11791" width="11.125" style="2" bestFit="1" customWidth="1"/>
    <col min="11792" max="11793" width="9" style="2"/>
    <col min="11794" max="11794" width="9.625" style="2" bestFit="1" customWidth="1"/>
    <col min="11795" max="12019" width="9" style="2"/>
    <col min="12020" max="12020" width="2.375" style="2" customWidth="1"/>
    <col min="12021" max="12021" width="13.25" style="2" bestFit="1" customWidth="1"/>
    <col min="12022" max="12022" width="11.125" style="2" bestFit="1" customWidth="1"/>
    <col min="12023" max="12023" width="9.625" style="2" bestFit="1" customWidth="1"/>
    <col min="12024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0" width="11.125" style="2" bestFit="1" customWidth="1"/>
    <col min="12041" max="12041" width="8" style="2" bestFit="1" customWidth="1"/>
    <col min="12042" max="12045" width="9" style="2"/>
    <col min="12046" max="12047" width="11.125" style="2" bestFit="1" customWidth="1"/>
    <col min="12048" max="12049" width="9" style="2"/>
    <col min="12050" max="12050" width="9.625" style="2" bestFit="1" customWidth="1"/>
    <col min="12051" max="12275" width="9" style="2"/>
    <col min="12276" max="12276" width="2.375" style="2" customWidth="1"/>
    <col min="12277" max="12277" width="13.25" style="2" bestFit="1" customWidth="1"/>
    <col min="12278" max="12278" width="11.125" style="2" bestFit="1" customWidth="1"/>
    <col min="12279" max="12279" width="9.625" style="2" bestFit="1" customWidth="1"/>
    <col min="12280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296" width="11.125" style="2" bestFit="1" customWidth="1"/>
    <col min="12297" max="12297" width="8" style="2" bestFit="1" customWidth="1"/>
    <col min="12298" max="12301" width="9" style="2"/>
    <col min="12302" max="12303" width="11.125" style="2" bestFit="1" customWidth="1"/>
    <col min="12304" max="12305" width="9" style="2"/>
    <col min="12306" max="12306" width="9.625" style="2" bestFit="1" customWidth="1"/>
    <col min="12307" max="12531" width="9" style="2"/>
    <col min="12532" max="12532" width="2.375" style="2" customWidth="1"/>
    <col min="12533" max="12533" width="13.25" style="2" bestFit="1" customWidth="1"/>
    <col min="12534" max="12534" width="11.125" style="2" bestFit="1" customWidth="1"/>
    <col min="12535" max="12535" width="9.625" style="2" bestFit="1" customWidth="1"/>
    <col min="12536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2" width="11.125" style="2" bestFit="1" customWidth="1"/>
    <col min="12553" max="12553" width="8" style="2" bestFit="1" customWidth="1"/>
    <col min="12554" max="12557" width="9" style="2"/>
    <col min="12558" max="12559" width="11.125" style="2" bestFit="1" customWidth="1"/>
    <col min="12560" max="12561" width="9" style="2"/>
    <col min="12562" max="12562" width="9.625" style="2" bestFit="1" customWidth="1"/>
    <col min="12563" max="12787" width="9" style="2"/>
    <col min="12788" max="12788" width="2.375" style="2" customWidth="1"/>
    <col min="12789" max="12789" width="13.25" style="2" bestFit="1" customWidth="1"/>
    <col min="12790" max="12790" width="11.125" style="2" bestFit="1" customWidth="1"/>
    <col min="12791" max="12791" width="9.625" style="2" bestFit="1" customWidth="1"/>
    <col min="12792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08" width="11.125" style="2" bestFit="1" customWidth="1"/>
    <col min="12809" max="12809" width="8" style="2" bestFit="1" customWidth="1"/>
    <col min="12810" max="12813" width="9" style="2"/>
    <col min="12814" max="12815" width="11.125" style="2" bestFit="1" customWidth="1"/>
    <col min="12816" max="12817" width="9" style="2"/>
    <col min="12818" max="12818" width="9.625" style="2" bestFit="1" customWidth="1"/>
    <col min="12819" max="13043" width="9" style="2"/>
    <col min="13044" max="13044" width="2.375" style="2" customWidth="1"/>
    <col min="13045" max="13045" width="13.25" style="2" bestFit="1" customWidth="1"/>
    <col min="13046" max="13046" width="11.125" style="2" bestFit="1" customWidth="1"/>
    <col min="13047" max="13047" width="9.625" style="2" bestFit="1" customWidth="1"/>
    <col min="13048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4" width="11.125" style="2" bestFit="1" customWidth="1"/>
    <col min="13065" max="13065" width="8" style="2" bestFit="1" customWidth="1"/>
    <col min="13066" max="13069" width="9" style="2"/>
    <col min="13070" max="13071" width="11.125" style="2" bestFit="1" customWidth="1"/>
    <col min="13072" max="13073" width="9" style="2"/>
    <col min="13074" max="13074" width="9.625" style="2" bestFit="1" customWidth="1"/>
    <col min="13075" max="13299" width="9" style="2"/>
    <col min="13300" max="13300" width="2.375" style="2" customWidth="1"/>
    <col min="13301" max="13301" width="13.25" style="2" bestFit="1" customWidth="1"/>
    <col min="13302" max="13302" width="11.125" style="2" bestFit="1" customWidth="1"/>
    <col min="13303" max="13303" width="9.625" style="2" bestFit="1" customWidth="1"/>
    <col min="13304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0" width="11.125" style="2" bestFit="1" customWidth="1"/>
    <col min="13321" max="13321" width="8" style="2" bestFit="1" customWidth="1"/>
    <col min="13322" max="13325" width="9" style="2"/>
    <col min="13326" max="13327" width="11.125" style="2" bestFit="1" customWidth="1"/>
    <col min="13328" max="13329" width="9" style="2"/>
    <col min="13330" max="13330" width="9.625" style="2" bestFit="1" customWidth="1"/>
    <col min="13331" max="13555" width="9" style="2"/>
    <col min="13556" max="13556" width="2.375" style="2" customWidth="1"/>
    <col min="13557" max="13557" width="13.25" style="2" bestFit="1" customWidth="1"/>
    <col min="13558" max="13558" width="11.125" style="2" bestFit="1" customWidth="1"/>
    <col min="13559" max="13559" width="9.625" style="2" bestFit="1" customWidth="1"/>
    <col min="13560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76" width="11.125" style="2" bestFit="1" customWidth="1"/>
    <col min="13577" max="13577" width="8" style="2" bestFit="1" customWidth="1"/>
    <col min="13578" max="13581" width="9" style="2"/>
    <col min="13582" max="13583" width="11.125" style="2" bestFit="1" customWidth="1"/>
    <col min="13584" max="13585" width="9" style="2"/>
    <col min="13586" max="13586" width="9.625" style="2" bestFit="1" customWidth="1"/>
    <col min="13587" max="13811" width="9" style="2"/>
    <col min="13812" max="13812" width="2.375" style="2" customWidth="1"/>
    <col min="13813" max="13813" width="13.25" style="2" bestFit="1" customWidth="1"/>
    <col min="13814" max="13814" width="11.125" style="2" bestFit="1" customWidth="1"/>
    <col min="13815" max="13815" width="9.625" style="2" bestFit="1" customWidth="1"/>
    <col min="13816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2" width="11.125" style="2" bestFit="1" customWidth="1"/>
    <col min="13833" max="13833" width="8" style="2" bestFit="1" customWidth="1"/>
    <col min="13834" max="13837" width="9" style="2"/>
    <col min="13838" max="13839" width="11.125" style="2" bestFit="1" customWidth="1"/>
    <col min="13840" max="13841" width="9" style="2"/>
    <col min="13842" max="13842" width="9.625" style="2" bestFit="1" customWidth="1"/>
    <col min="13843" max="14067" width="9" style="2"/>
    <col min="14068" max="14068" width="2.375" style="2" customWidth="1"/>
    <col min="14069" max="14069" width="13.25" style="2" bestFit="1" customWidth="1"/>
    <col min="14070" max="14070" width="11.125" style="2" bestFit="1" customWidth="1"/>
    <col min="14071" max="14071" width="9.625" style="2" bestFit="1" customWidth="1"/>
    <col min="14072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88" width="11.125" style="2" bestFit="1" customWidth="1"/>
    <col min="14089" max="14089" width="8" style="2" bestFit="1" customWidth="1"/>
    <col min="14090" max="14093" width="9" style="2"/>
    <col min="14094" max="14095" width="11.125" style="2" bestFit="1" customWidth="1"/>
    <col min="14096" max="14097" width="9" style="2"/>
    <col min="14098" max="14098" width="9.625" style="2" bestFit="1" customWidth="1"/>
    <col min="14099" max="14323" width="9" style="2"/>
    <col min="14324" max="14324" width="2.375" style="2" customWidth="1"/>
    <col min="14325" max="14325" width="13.25" style="2" bestFit="1" customWidth="1"/>
    <col min="14326" max="14326" width="11.125" style="2" bestFit="1" customWidth="1"/>
    <col min="14327" max="14327" width="9.625" style="2" bestFit="1" customWidth="1"/>
    <col min="14328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4" width="11.125" style="2" bestFit="1" customWidth="1"/>
    <col min="14345" max="14345" width="8" style="2" bestFit="1" customWidth="1"/>
    <col min="14346" max="14349" width="9" style="2"/>
    <col min="14350" max="14351" width="11.125" style="2" bestFit="1" customWidth="1"/>
    <col min="14352" max="14353" width="9" style="2"/>
    <col min="14354" max="14354" width="9.625" style="2" bestFit="1" customWidth="1"/>
    <col min="14355" max="14579" width="9" style="2"/>
    <col min="14580" max="14580" width="2.375" style="2" customWidth="1"/>
    <col min="14581" max="14581" width="13.25" style="2" bestFit="1" customWidth="1"/>
    <col min="14582" max="14582" width="11.125" style="2" bestFit="1" customWidth="1"/>
    <col min="14583" max="14583" width="9.625" style="2" bestFit="1" customWidth="1"/>
    <col min="14584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0" width="11.125" style="2" bestFit="1" customWidth="1"/>
    <col min="14601" max="14601" width="8" style="2" bestFit="1" customWidth="1"/>
    <col min="14602" max="14605" width="9" style="2"/>
    <col min="14606" max="14607" width="11.125" style="2" bestFit="1" customWidth="1"/>
    <col min="14608" max="14609" width="9" style="2"/>
    <col min="14610" max="14610" width="9.625" style="2" bestFit="1" customWidth="1"/>
    <col min="14611" max="14835" width="9" style="2"/>
    <col min="14836" max="14836" width="2.375" style="2" customWidth="1"/>
    <col min="14837" max="14837" width="13.25" style="2" bestFit="1" customWidth="1"/>
    <col min="14838" max="14838" width="11.125" style="2" bestFit="1" customWidth="1"/>
    <col min="14839" max="14839" width="9.625" style="2" bestFit="1" customWidth="1"/>
    <col min="14840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56" width="11.125" style="2" bestFit="1" customWidth="1"/>
    <col min="14857" max="14857" width="8" style="2" bestFit="1" customWidth="1"/>
    <col min="14858" max="14861" width="9" style="2"/>
    <col min="14862" max="14863" width="11.125" style="2" bestFit="1" customWidth="1"/>
    <col min="14864" max="14865" width="9" style="2"/>
    <col min="14866" max="14866" width="9.625" style="2" bestFit="1" customWidth="1"/>
    <col min="14867" max="15091" width="9" style="2"/>
    <col min="15092" max="15092" width="2.375" style="2" customWidth="1"/>
    <col min="15093" max="15093" width="13.25" style="2" bestFit="1" customWidth="1"/>
    <col min="15094" max="15094" width="11.125" style="2" bestFit="1" customWidth="1"/>
    <col min="15095" max="15095" width="9.625" style="2" bestFit="1" customWidth="1"/>
    <col min="15096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2" width="11.125" style="2" bestFit="1" customWidth="1"/>
    <col min="15113" max="15113" width="8" style="2" bestFit="1" customWidth="1"/>
    <col min="15114" max="15117" width="9" style="2"/>
    <col min="15118" max="15119" width="11.125" style="2" bestFit="1" customWidth="1"/>
    <col min="15120" max="15121" width="9" style="2"/>
    <col min="15122" max="15122" width="9.625" style="2" bestFit="1" customWidth="1"/>
    <col min="15123" max="15347" width="9" style="2"/>
    <col min="15348" max="15348" width="2.375" style="2" customWidth="1"/>
    <col min="15349" max="15349" width="13.25" style="2" bestFit="1" customWidth="1"/>
    <col min="15350" max="15350" width="11.125" style="2" bestFit="1" customWidth="1"/>
    <col min="15351" max="15351" width="9.625" style="2" bestFit="1" customWidth="1"/>
    <col min="15352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68" width="11.125" style="2" bestFit="1" customWidth="1"/>
    <col min="15369" max="15369" width="8" style="2" bestFit="1" customWidth="1"/>
    <col min="15370" max="15373" width="9" style="2"/>
    <col min="15374" max="15375" width="11.125" style="2" bestFit="1" customWidth="1"/>
    <col min="15376" max="15377" width="9" style="2"/>
    <col min="15378" max="15378" width="9.625" style="2" bestFit="1" customWidth="1"/>
    <col min="15379" max="15603" width="9" style="2"/>
    <col min="15604" max="15604" width="2.375" style="2" customWidth="1"/>
    <col min="15605" max="15605" width="13.25" style="2" bestFit="1" customWidth="1"/>
    <col min="15606" max="15606" width="11.125" style="2" bestFit="1" customWidth="1"/>
    <col min="15607" max="15607" width="9.625" style="2" bestFit="1" customWidth="1"/>
    <col min="15608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4" width="11.125" style="2" bestFit="1" customWidth="1"/>
    <col min="15625" max="15625" width="8" style="2" bestFit="1" customWidth="1"/>
    <col min="15626" max="15629" width="9" style="2"/>
    <col min="15630" max="15631" width="11.125" style="2" bestFit="1" customWidth="1"/>
    <col min="15632" max="15633" width="9" style="2"/>
    <col min="15634" max="15634" width="9.625" style="2" bestFit="1" customWidth="1"/>
    <col min="15635" max="15859" width="9" style="2"/>
    <col min="15860" max="15860" width="2.375" style="2" customWidth="1"/>
    <col min="15861" max="15861" width="13.25" style="2" bestFit="1" customWidth="1"/>
    <col min="15862" max="15862" width="11.125" style="2" bestFit="1" customWidth="1"/>
    <col min="15863" max="15863" width="9.625" style="2" bestFit="1" customWidth="1"/>
    <col min="15864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0" width="11.125" style="2" bestFit="1" customWidth="1"/>
    <col min="15881" max="15881" width="8" style="2" bestFit="1" customWidth="1"/>
    <col min="15882" max="15885" width="9" style="2"/>
    <col min="15886" max="15887" width="11.125" style="2" bestFit="1" customWidth="1"/>
    <col min="15888" max="15889" width="9" style="2"/>
    <col min="15890" max="15890" width="9.625" style="2" bestFit="1" customWidth="1"/>
    <col min="15891" max="16115" width="9" style="2"/>
    <col min="16116" max="16116" width="2.375" style="2" customWidth="1"/>
    <col min="16117" max="16117" width="13.25" style="2" bestFit="1" customWidth="1"/>
    <col min="16118" max="16118" width="11.125" style="2" bestFit="1" customWidth="1"/>
    <col min="16119" max="16119" width="9.625" style="2" bestFit="1" customWidth="1"/>
    <col min="16120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36" width="11.125" style="2" bestFit="1" customWidth="1"/>
    <col min="16137" max="16137" width="8" style="2" bestFit="1" customWidth="1"/>
    <col min="16138" max="16141" width="9" style="2"/>
    <col min="16142" max="16143" width="11.125" style="2" bestFit="1" customWidth="1"/>
    <col min="16144" max="16145" width="9" style="2"/>
    <col min="16146" max="16146" width="9.625" style="2" bestFit="1" customWidth="1"/>
    <col min="16147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 ht="19.5" thickBot="1">
      <c r="A3" s="1" t="s">
        <v>138</v>
      </c>
    </row>
    <row r="4" spans="1:20">
      <c r="B4" s="4"/>
      <c r="C4" s="11" t="s">
        <v>4</v>
      </c>
      <c r="D4" s="12" t="s">
        <v>5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14</v>
      </c>
      <c r="K4" s="12" t="s">
        <v>15</v>
      </c>
      <c r="L4" s="1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22</v>
      </c>
      <c r="S4" s="56" t="s">
        <v>23</v>
      </c>
      <c r="T4" s="90" t="s">
        <v>139</v>
      </c>
    </row>
    <row r="5" spans="1:20" ht="19.5" thickBot="1">
      <c r="A5" s="94"/>
      <c r="B5" s="31" t="s">
        <v>32</v>
      </c>
      <c r="C5" s="32" t="s">
        <v>33</v>
      </c>
      <c r="D5" s="33" t="s">
        <v>34</v>
      </c>
      <c r="E5" s="33" t="s">
        <v>38</v>
      </c>
      <c r="F5" s="33" t="s">
        <v>39</v>
      </c>
      <c r="G5" s="33" t="s">
        <v>40</v>
      </c>
      <c r="H5" s="33" t="s">
        <v>41</v>
      </c>
      <c r="I5" s="33" t="s">
        <v>42</v>
      </c>
      <c r="J5" s="33" t="s">
        <v>43</v>
      </c>
      <c r="K5" s="33" t="s">
        <v>44</v>
      </c>
      <c r="L5" s="33" t="s">
        <v>45</v>
      </c>
      <c r="M5" s="33" t="s">
        <v>46</v>
      </c>
      <c r="N5" s="33" t="s">
        <v>47</v>
      </c>
      <c r="O5" s="33" t="s">
        <v>48</v>
      </c>
      <c r="P5" s="33" t="s">
        <v>49</v>
      </c>
      <c r="Q5" s="33" t="s">
        <v>50</v>
      </c>
      <c r="R5" s="33" t="s">
        <v>51</v>
      </c>
      <c r="S5" s="57" t="s">
        <v>52</v>
      </c>
      <c r="T5" s="79" t="s">
        <v>140</v>
      </c>
    </row>
    <row r="6" spans="1:20">
      <c r="A6" s="1" t="s">
        <v>3</v>
      </c>
      <c r="B6" s="26" t="s">
        <v>62</v>
      </c>
      <c r="C6" s="27">
        <v>16</v>
      </c>
      <c r="D6" s="28">
        <v>19</v>
      </c>
      <c r="E6" s="28">
        <v>17</v>
      </c>
      <c r="F6" s="28">
        <v>21</v>
      </c>
      <c r="G6" s="28">
        <v>20</v>
      </c>
      <c r="H6" s="28">
        <v>19</v>
      </c>
      <c r="I6" s="28">
        <v>20</v>
      </c>
      <c r="J6" s="28">
        <v>18</v>
      </c>
      <c r="K6" s="28">
        <v>20</v>
      </c>
      <c r="L6" s="28">
        <v>19</v>
      </c>
      <c r="M6" s="28">
        <v>0</v>
      </c>
      <c r="N6" s="28">
        <v>10</v>
      </c>
      <c r="O6" s="28">
        <v>19</v>
      </c>
      <c r="P6" s="28">
        <v>17</v>
      </c>
      <c r="Q6" s="28">
        <v>20</v>
      </c>
      <c r="R6" s="28">
        <v>20</v>
      </c>
      <c r="S6" s="58">
        <v>19</v>
      </c>
      <c r="T6" s="80">
        <f>SUM(C6:S6)</f>
        <v>294</v>
      </c>
    </row>
    <row r="7" spans="1:20">
      <c r="A7" s="1" t="s">
        <v>3</v>
      </c>
      <c r="B7" s="5" t="s">
        <v>63</v>
      </c>
      <c r="C7" s="14">
        <v>3</v>
      </c>
      <c r="D7" s="15">
        <v>4</v>
      </c>
      <c r="E7" s="15">
        <v>4</v>
      </c>
      <c r="F7" s="15">
        <v>1</v>
      </c>
      <c r="G7" s="15">
        <v>3</v>
      </c>
      <c r="H7" s="15">
        <v>3</v>
      </c>
      <c r="I7" s="15">
        <v>3</v>
      </c>
      <c r="J7" s="15">
        <v>2</v>
      </c>
      <c r="K7" s="15">
        <v>3</v>
      </c>
      <c r="L7" s="15">
        <v>4</v>
      </c>
      <c r="M7" s="15">
        <v>0</v>
      </c>
      <c r="N7" s="15">
        <v>2</v>
      </c>
      <c r="O7" s="15">
        <v>3</v>
      </c>
      <c r="P7" s="15">
        <v>2</v>
      </c>
      <c r="Q7" s="15">
        <v>3</v>
      </c>
      <c r="R7" s="15">
        <v>2</v>
      </c>
      <c r="S7" s="59">
        <v>1</v>
      </c>
      <c r="T7" s="80">
        <f t="shared" ref="T7:T10" si="0">SUM(C7:S7)</f>
        <v>43</v>
      </c>
    </row>
    <row r="8" spans="1:20">
      <c r="A8" s="1" t="s">
        <v>3</v>
      </c>
      <c r="B8" s="5" t="s">
        <v>64</v>
      </c>
      <c r="C8" s="14">
        <v>5</v>
      </c>
      <c r="D8" s="15">
        <v>3</v>
      </c>
      <c r="E8" s="15">
        <v>3</v>
      </c>
      <c r="F8" s="15">
        <v>3</v>
      </c>
      <c r="G8" s="15">
        <v>3</v>
      </c>
      <c r="H8" s="15">
        <v>2</v>
      </c>
      <c r="I8" s="15">
        <v>3</v>
      </c>
      <c r="J8" s="15">
        <v>4</v>
      </c>
      <c r="K8" s="15">
        <v>3</v>
      </c>
      <c r="L8" s="15">
        <v>2</v>
      </c>
      <c r="M8" s="15">
        <v>0</v>
      </c>
      <c r="N8" s="15">
        <v>4</v>
      </c>
      <c r="O8" s="15">
        <v>3</v>
      </c>
      <c r="P8" s="15">
        <v>4</v>
      </c>
      <c r="Q8" s="15">
        <v>1</v>
      </c>
      <c r="R8" s="15">
        <v>3</v>
      </c>
      <c r="S8" s="59">
        <v>2</v>
      </c>
      <c r="T8" s="80">
        <f t="shared" si="0"/>
        <v>48</v>
      </c>
    </row>
    <row r="9" spans="1:20">
      <c r="A9" s="1" t="s">
        <v>3</v>
      </c>
      <c r="B9" s="5" t="s">
        <v>65</v>
      </c>
      <c r="C9" s="14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59">
        <v>2</v>
      </c>
      <c r="T9" s="80">
        <f t="shared" si="0"/>
        <v>2</v>
      </c>
    </row>
    <row r="10" spans="1:20">
      <c r="A10" s="1" t="s">
        <v>3</v>
      </c>
      <c r="B10" s="5" t="s">
        <v>66</v>
      </c>
      <c r="C10" s="14">
        <v>5</v>
      </c>
      <c r="D10" s="15">
        <v>2</v>
      </c>
      <c r="E10" s="15">
        <v>4</v>
      </c>
      <c r="F10" s="15">
        <v>0</v>
      </c>
      <c r="G10" s="15">
        <v>1</v>
      </c>
      <c r="H10" s="15">
        <v>2</v>
      </c>
      <c r="I10" s="15">
        <v>1</v>
      </c>
      <c r="J10" s="15">
        <v>3</v>
      </c>
      <c r="K10" s="15">
        <v>1</v>
      </c>
      <c r="L10" s="15">
        <v>2</v>
      </c>
      <c r="M10" s="15">
        <v>0</v>
      </c>
      <c r="N10" s="15">
        <v>8</v>
      </c>
      <c r="O10" s="15">
        <v>2</v>
      </c>
      <c r="P10" s="15">
        <v>2</v>
      </c>
      <c r="Q10" s="15">
        <v>1</v>
      </c>
      <c r="R10" s="15">
        <v>1</v>
      </c>
      <c r="S10" s="59">
        <v>0</v>
      </c>
      <c r="T10" s="80">
        <f t="shared" si="0"/>
        <v>35</v>
      </c>
    </row>
    <row r="11" spans="1:20">
      <c r="A11" s="1" t="s">
        <v>3</v>
      </c>
      <c r="B11" s="5" t="s">
        <v>67</v>
      </c>
      <c r="C11" s="14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3</v>
      </c>
      <c r="O11" s="15">
        <v>0</v>
      </c>
      <c r="P11" s="15">
        <v>2</v>
      </c>
      <c r="Q11" s="15">
        <v>0</v>
      </c>
      <c r="R11" s="15">
        <v>0</v>
      </c>
      <c r="S11" s="59">
        <v>0</v>
      </c>
      <c r="T11" s="81"/>
    </row>
    <row r="12" spans="1:20">
      <c r="A12" s="1" t="s">
        <v>3</v>
      </c>
      <c r="B12" s="5" t="s">
        <v>68</v>
      </c>
      <c r="C12" s="14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59">
        <v>0</v>
      </c>
      <c r="T12" s="81"/>
    </row>
    <row r="13" spans="1:20">
      <c r="A13" s="1" t="s">
        <v>3</v>
      </c>
      <c r="B13" s="5" t="s">
        <v>69</v>
      </c>
      <c r="C13" s="14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59">
        <v>0</v>
      </c>
      <c r="T13" s="81"/>
    </row>
    <row r="14" spans="1:20">
      <c r="A14" s="1" t="s">
        <v>3</v>
      </c>
      <c r="B14" s="5" t="s">
        <v>70</v>
      </c>
      <c r="C14" s="17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60">
        <v>0</v>
      </c>
      <c r="T14" s="82"/>
    </row>
    <row r="15" spans="1:20">
      <c r="A15" s="1" t="s">
        <v>3</v>
      </c>
      <c r="B15" s="5" t="s">
        <v>72</v>
      </c>
      <c r="C15" s="17">
        <v>1</v>
      </c>
      <c r="D15" s="18">
        <v>2.7916666666666665</v>
      </c>
      <c r="E15" s="18">
        <v>1.5</v>
      </c>
      <c r="F15" s="18">
        <v>2.9166666666666665</v>
      </c>
      <c r="G15" s="18">
        <v>2.125</v>
      </c>
      <c r="H15" s="18">
        <v>2.7916666666666665</v>
      </c>
      <c r="I15" s="18">
        <v>3.0416666666666665</v>
      </c>
      <c r="J15" s="18">
        <v>1.5833333333333335</v>
      </c>
      <c r="K15" s="18">
        <v>2.125</v>
      </c>
      <c r="L15" s="18">
        <v>2.6666666666666665</v>
      </c>
      <c r="M15" s="18">
        <v>0</v>
      </c>
      <c r="N15" s="18">
        <v>1.2083333333333333</v>
      </c>
      <c r="O15" s="18">
        <v>1.9166666666666665</v>
      </c>
      <c r="P15" s="18">
        <v>3.25</v>
      </c>
      <c r="Q15" s="18">
        <v>3.5416666666666665</v>
      </c>
      <c r="R15" s="18">
        <v>1.625</v>
      </c>
      <c r="S15" s="60">
        <v>2.5416666666666665</v>
      </c>
      <c r="T15" s="82">
        <f>SUM(C15:S15)</f>
        <v>36.624999999999993</v>
      </c>
    </row>
    <row r="16" spans="1:20">
      <c r="A16" s="1" t="s">
        <v>3</v>
      </c>
      <c r="B16" s="5" t="s">
        <v>73</v>
      </c>
      <c r="C16" s="17">
        <v>1.2083333333333333</v>
      </c>
      <c r="D16" s="18">
        <v>1.8333333333333335</v>
      </c>
      <c r="E16" s="18">
        <v>1.2083333333333333</v>
      </c>
      <c r="F16" s="18">
        <v>0.375</v>
      </c>
      <c r="G16" s="18">
        <v>1.0833333333333333</v>
      </c>
      <c r="H16" s="18">
        <v>0.875</v>
      </c>
      <c r="I16" s="18">
        <v>1.0833333333333333</v>
      </c>
      <c r="J16" s="18">
        <v>0.95833333333333337</v>
      </c>
      <c r="K16" s="18">
        <v>1.1666666666666667</v>
      </c>
      <c r="L16" s="18">
        <v>1.25</v>
      </c>
      <c r="M16" s="18">
        <v>0</v>
      </c>
      <c r="N16" s="18">
        <v>0.70833333333333337</v>
      </c>
      <c r="O16" s="18">
        <v>0.83333333333333337</v>
      </c>
      <c r="P16" s="18">
        <v>0.5</v>
      </c>
      <c r="Q16" s="18">
        <v>0.79166666666666663</v>
      </c>
      <c r="R16" s="18">
        <v>0.79166666666666663</v>
      </c>
      <c r="S16" s="60">
        <v>0.33333333333333331</v>
      </c>
      <c r="T16" s="82">
        <f t="shared" ref="T16:T19" si="1">SUM(C16:S16)</f>
        <v>15</v>
      </c>
    </row>
    <row r="17" spans="1:20">
      <c r="A17" s="1" t="s">
        <v>3</v>
      </c>
      <c r="B17" s="5" t="s">
        <v>74</v>
      </c>
      <c r="C17" s="17">
        <v>1.8333333333333335</v>
      </c>
      <c r="D17" s="18">
        <v>1.0833333333333333</v>
      </c>
      <c r="E17" s="18">
        <v>1.375</v>
      </c>
      <c r="F17" s="18">
        <v>1.4583333333333333</v>
      </c>
      <c r="G17" s="18">
        <v>1.375</v>
      </c>
      <c r="H17" s="18">
        <v>0.875</v>
      </c>
      <c r="I17" s="18">
        <v>1.2083333333333333</v>
      </c>
      <c r="J17" s="18">
        <v>1.125</v>
      </c>
      <c r="K17" s="18">
        <v>1.0833333333333333</v>
      </c>
      <c r="L17" s="18">
        <v>0.625</v>
      </c>
      <c r="M17" s="18">
        <v>0</v>
      </c>
      <c r="N17" s="18">
        <v>1.7916666666666665</v>
      </c>
      <c r="O17" s="18">
        <v>1.125</v>
      </c>
      <c r="P17" s="18">
        <v>1.4583333333333333</v>
      </c>
      <c r="Q17" s="18">
        <v>0.5</v>
      </c>
      <c r="R17" s="18">
        <v>1.1666666666666667</v>
      </c>
      <c r="S17" s="60">
        <v>0</v>
      </c>
      <c r="T17" s="82">
        <f t="shared" si="1"/>
        <v>18.083333333333336</v>
      </c>
    </row>
    <row r="18" spans="1:20">
      <c r="A18" s="1" t="s">
        <v>3</v>
      </c>
      <c r="B18" s="5" t="s">
        <v>75</v>
      </c>
      <c r="C18" s="17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60">
        <v>0</v>
      </c>
      <c r="T18" s="82">
        <f t="shared" si="1"/>
        <v>0</v>
      </c>
    </row>
    <row r="19" spans="1:20">
      <c r="A19" s="1" t="s">
        <v>3</v>
      </c>
      <c r="B19" s="5" t="s">
        <v>76</v>
      </c>
      <c r="C19" s="17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60">
        <v>0.83333333333333337</v>
      </c>
      <c r="T19" s="82">
        <f t="shared" si="1"/>
        <v>0.83333333333333337</v>
      </c>
    </row>
    <row r="20" spans="1:20">
      <c r="A20" s="1" t="s">
        <v>3</v>
      </c>
      <c r="B20" s="5" t="s">
        <v>77</v>
      </c>
      <c r="C20" s="17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60">
        <v>0</v>
      </c>
      <c r="T20" s="82"/>
    </row>
    <row r="21" spans="1:20">
      <c r="A21" s="1" t="s">
        <v>3</v>
      </c>
      <c r="B21" s="5" t="s">
        <v>78</v>
      </c>
      <c r="C21" s="17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60">
        <v>0</v>
      </c>
      <c r="T21" s="82"/>
    </row>
    <row r="22" spans="1:20">
      <c r="A22" s="1" t="s">
        <v>3</v>
      </c>
      <c r="B22" s="5" t="s">
        <v>79</v>
      </c>
      <c r="C22" s="17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60">
        <v>0</v>
      </c>
      <c r="T22" s="82"/>
    </row>
    <row r="23" spans="1:20">
      <c r="A23" s="1" t="s">
        <v>3</v>
      </c>
      <c r="B23" s="5" t="s">
        <v>81</v>
      </c>
      <c r="C23" s="17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60">
        <v>0</v>
      </c>
      <c r="T23" s="82"/>
    </row>
    <row r="24" spans="1:20">
      <c r="A24" s="1" t="s">
        <v>3</v>
      </c>
      <c r="B24" s="5" t="s">
        <v>82</v>
      </c>
      <c r="C24" s="17">
        <v>8.3333333333333329E-2</v>
      </c>
      <c r="D24" s="18">
        <v>0.33333333333333331</v>
      </c>
      <c r="E24" s="18">
        <v>0.125</v>
      </c>
      <c r="F24" s="18">
        <v>1.2916666666666667</v>
      </c>
      <c r="G24" s="18">
        <v>2.5833333333333335</v>
      </c>
      <c r="H24" s="18">
        <v>1.125</v>
      </c>
      <c r="I24" s="18">
        <v>0.33333333333333331</v>
      </c>
      <c r="J24" s="18">
        <v>0.45833333333333331</v>
      </c>
      <c r="K24" s="18">
        <v>4.1666666666666664E-2</v>
      </c>
      <c r="L24" s="18">
        <v>0.375</v>
      </c>
      <c r="M24" s="18">
        <v>0</v>
      </c>
      <c r="N24" s="18">
        <v>1.3333333333333333</v>
      </c>
      <c r="O24" s="18">
        <v>8.3333333333333329E-2</v>
      </c>
      <c r="P24" s="18">
        <v>1.5416666666666665</v>
      </c>
      <c r="Q24" s="18">
        <v>1.625</v>
      </c>
      <c r="R24" s="18">
        <v>1.375</v>
      </c>
      <c r="S24" s="60">
        <v>2.4583333333333335</v>
      </c>
      <c r="T24" s="82">
        <f>SUM(C24:S24)</f>
        <v>15.166666666666668</v>
      </c>
    </row>
    <row r="25" spans="1:20" ht="19.5" thickBot="1">
      <c r="A25" s="1" t="s">
        <v>3</v>
      </c>
      <c r="B25" s="6" t="s">
        <v>83</v>
      </c>
      <c r="C25" s="39">
        <v>20</v>
      </c>
      <c r="D25" s="40">
        <v>28</v>
      </c>
      <c r="E25" s="40">
        <v>33</v>
      </c>
      <c r="F25" s="40">
        <v>34</v>
      </c>
      <c r="G25" s="40">
        <v>20</v>
      </c>
      <c r="H25" s="40">
        <v>28</v>
      </c>
      <c r="I25" s="40">
        <v>28</v>
      </c>
      <c r="J25" s="40">
        <v>13</v>
      </c>
      <c r="K25" s="40">
        <v>20</v>
      </c>
      <c r="L25" s="40">
        <v>29</v>
      </c>
      <c r="M25" s="40">
        <v>6</v>
      </c>
      <c r="N25" s="40">
        <v>5</v>
      </c>
      <c r="O25" s="40">
        <v>19</v>
      </c>
      <c r="P25" s="40">
        <v>11</v>
      </c>
      <c r="Q25" s="40">
        <v>10</v>
      </c>
      <c r="R25" s="40">
        <v>8</v>
      </c>
      <c r="S25" s="61">
        <v>0</v>
      </c>
      <c r="T25" s="83">
        <f>SUM(C25:S25)</f>
        <v>312</v>
      </c>
    </row>
    <row r="26" spans="1:20">
      <c r="A26" s="1" t="s">
        <v>3</v>
      </c>
      <c r="B26" s="26" t="s">
        <v>84</v>
      </c>
      <c r="C26" s="35">
        <v>177000</v>
      </c>
      <c r="D26" s="36">
        <v>187000</v>
      </c>
      <c r="E26" s="36">
        <v>187000</v>
      </c>
      <c r="F26" s="36">
        <v>192000</v>
      </c>
      <c r="G26" s="36">
        <v>182000</v>
      </c>
      <c r="H26" s="36">
        <v>187000</v>
      </c>
      <c r="I26" s="36">
        <v>177000</v>
      </c>
      <c r="J26" s="36">
        <v>177000</v>
      </c>
      <c r="K26" s="36">
        <v>172000</v>
      </c>
      <c r="L26" s="36">
        <v>177000</v>
      </c>
      <c r="M26" s="36">
        <v>0</v>
      </c>
      <c r="N26" s="36">
        <v>177000</v>
      </c>
      <c r="O26" s="36">
        <v>170000</v>
      </c>
      <c r="P26" s="36">
        <v>177000</v>
      </c>
      <c r="Q26" s="36">
        <v>175000</v>
      </c>
      <c r="R26" s="36">
        <v>175000</v>
      </c>
      <c r="S26" s="62">
        <v>170000</v>
      </c>
      <c r="T26" s="84">
        <f>SUM(C26:S26)</f>
        <v>2859000</v>
      </c>
    </row>
    <row r="27" spans="1:20">
      <c r="A27" s="1" t="s">
        <v>3</v>
      </c>
      <c r="B27" s="5" t="s">
        <v>85</v>
      </c>
      <c r="C27" s="20">
        <v>0</v>
      </c>
      <c r="D27" s="21">
        <v>0</v>
      </c>
      <c r="E27" s="21">
        <v>20000</v>
      </c>
      <c r="F27" s="21">
        <v>5000</v>
      </c>
      <c r="G27" s="21">
        <v>5000</v>
      </c>
      <c r="H27" s="21">
        <v>5000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63">
        <v>0</v>
      </c>
      <c r="T27" s="85">
        <f t="shared" ref="T27:T64" si="2">SUM(C27:S27)</f>
        <v>35000</v>
      </c>
    </row>
    <row r="28" spans="1:20">
      <c r="A28" s="1" t="s">
        <v>3</v>
      </c>
      <c r="B28" s="5" t="s">
        <v>86</v>
      </c>
      <c r="C28" s="20">
        <v>0</v>
      </c>
      <c r="D28" s="21">
        <v>0</v>
      </c>
      <c r="E28" s="21">
        <v>3000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63">
        <v>0</v>
      </c>
      <c r="T28" s="85">
        <f t="shared" si="2"/>
        <v>3000</v>
      </c>
    </row>
    <row r="29" spans="1:20">
      <c r="A29" s="1" t="s">
        <v>3</v>
      </c>
      <c r="B29" s="5" t="s">
        <v>92</v>
      </c>
      <c r="C29" s="20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63">
        <v>0</v>
      </c>
      <c r="T29" s="85">
        <f t="shared" si="2"/>
        <v>0</v>
      </c>
    </row>
    <row r="30" spans="1:20">
      <c r="A30" s="1" t="s">
        <v>3</v>
      </c>
      <c r="B30" s="5" t="s">
        <v>93</v>
      </c>
      <c r="C30" s="20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63">
        <v>0</v>
      </c>
      <c r="T30" s="85">
        <f t="shared" si="2"/>
        <v>0</v>
      </c>
    </row>
    <row r="31" spans="1:20">
      <c r="A31" s="1" t="s">
        <v>3</v>
      </c>
      <c r="B31" s="5" t="s">
        <v>94</v>
      </c>
      <c r="C31" s="20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63">
        <v>0</v>
      </c>
      <c r="T31" s="85">
        <f t="shared" si="2"/>
        <v>0</v>
      </c>
    </row>
    <row r="32" spans="1:20">
      <c r="A32" s="1" t="s">
        <v>3</v>
      </c>
      <c r="B32" s="5" t="s">
        <v>95</v>
      </c>
      <c r="C32" s="20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63">
        <v>0</v>
      </c>
      <c r="T32" s="85">
        <f t="shared" si="2"/>
        <v>0</v>
      </c>
    </row>
    <row r="33" spans="1:20">
      <c r="A33" s="1" t="s">
        <v>3</v>
      </c>
      <c r="B33" s="5" t="s">
        <v>96</v>
      </c>
      <c r="C33" s="20">
        <v>0</v>
      </c>
      <c r="D33" s="21">
        <v>1000</v>
      </c>
      <c r="E33" s="21">
        <v>1000</v>
      </c>
      <c r="F33" s="21">
        <v>1000</v>
      </c>
      <c r="G33" s="21">
        <v>0</v>
      </c>
      <c r="H33" s="21">
        <v>1000</v>
      </c>
      <c r="I33" s="21">
        <v>0</v>
      </c>
      <c r="J33" s="21">
        <v>1000</v>
      </c>
      <c r="K33" s="21">
        <v>0</v>
      </c>
      <c r="L33" s="21">
        <v>1000</v>
      </c>
      <c r="M33" s="21">
        <v>0</v>
      </c>
      <c r="N33" s="21">
        <v>1000</v>
      </c>
      <c r="O33" s="21">
        <v>1000</v>
      </c>
      <c r="P33" s="21">
        <v>1000</v>
      </c>
      <c r="Q33" s="21">
        <v>1000</v>
      </c>
      <c r="R33" s="21">
        <v>1000</v>
      </c>
      <c r="S33" s="63">
        <v>0</v>
      </c>
      <c r="T33" s="85">
        <f t="shared" si="2"/>
        <v>11000</v>
      </c>
    </row>
    <row r="34" spans="1:20">
      <c r="A34" s="1" t="s">
        <v>3</v>
      </c>
      <c r="B34" s="5" t="s">
        <v>97</v>
      </c>
      <c r="C34" s="20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63">
        <v>0</v>
      </c>
      <c r="T34" s="85">
        <f t="shared" si="2"/>
        <v>0</v>
      </c>
    </row>
    <row r="35" spans="1:20">
      <c r="A35" s="1" t="s">
        <v>3</v>
      </c>
      <c r="B35" s="5" t="s">
        <v>104</v>
      </c>
      <c r="C35" s="20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63">
        <v>0</v>
      </c>
      <c r="T35" s="85">
        <f t="shared" si="2"/>
        <v>0</v>
      </c>
    </row>
    <row r="36" spans="1:20">
      <c r="A36" s="1" t="s">
        <v>3</v>
      </c>
      <c r="B36" s="5" t="s">
        <v>105</v>
      </c>
      <c r="C36" s="20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63">
        <v>0</v>
      </c>
      <c r="T36" s="85">
        <f t="shared" si="2"/>
        <v>0</v>
      </c>
    </row>
    <row r="37" spans="1:20">
      <c r="A37" s="1" t="s">
        <v>3</v>
      </c>
      <c r="B37" s="5" t="s">
        <v>106</v>
      </c>
      <c r="C37" s="20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63">
        <v>0</v>
      </c>
      <c r="T37" s="85">
        <f t="shared" si="2"/>
        <v>0</v>
      </c>
    </row>
    <row r="38" spans="1:20">
      <c r="A38" s="1" t="s">
        <v>3</v>
      </c>
      <c r="B38" s="5" t="s">
        <v>72</v>
      </c>
      <c r="C38" s="20">
        <v>31800</v>
      </c>
      <c r="D38" s="21">
        <v>94336</v>
      </c>
      <c r="E38" s="21">
        <v>56844</v>
      </c>
      <c r="F38" s="21">
        <v>103810</v>
      </c>
      <c r="G38" s="21">
        <v>71400</v>
      </c>
      <c r="H38" s="21">
        <v>96815</v>
      </c>
      <c r="I38" s="21">
        <v>96725</v>
      </c>
      <c r="J38" s="21">
        <v>50654</v>
      </c>
      <c r="K38" s="21">
        <v>65688</v>
      </c>
      <c r="L38" s="21">
        <v>85312</v>
      </c>
      <c r="M38" s="21">
        <v>0</v>
      </c>
      <c r="N38" s="21">
        <v>38657</v>
      </c>
      <c r="O38" s="21">
        <v>58880</v>
      </c>
      <c r="P38" s="21">
        <v>103974</v>
      </c>
      <c r="Q38" s="21">
        <v>112030</v>
      </c>
      <c r="R38" s="21">
        <v>51402</v>
      </c>
      <c r="S38" s="63">
        <v>77653</v>
      </c>
      <c r="T38" s="85">
        <f t="shared" si="2"/>
        <v>1195980</v>
      </c>
    </row>
    <row r="39" spans="1:20">
      <c r="A39" s="1" t="s">
        <v>3</v>
      </c>
      <c r="B39" s="5" t="s">
        <v>107</v>
      </c>
      <c r="C39" s="20">
        <v>41499</v>
      </c>
      <c r="D39" s="21">
        <v>66880</v>
      </c>
      <c r="E39" s="21">
        <v>49445</v>
      </c>
      <c r="F39" s="21">
        <v>14409</v>
      </c>
      <c r="G39" s="21">
        <v>39312</v>
      </c>
      <c r="H39" s="21">
        <v>32781</v>
      </c>
      <c r="I39" s="21">
        <v>37206</v>
      </c>
      <c r="J39" s="21">
        <v>33097</v>
      </c>
      <c r="K39" s="21">
        <v>38948</v>
      </c>
      <c r="L39" s="21">
        <v>43170</v>
      </c>
      <c r="M39" s="21">
        <v>0</v>
      </c>
      <c r="N39" s="21">
        <v>24463</v>
      </c>
      <c r="O39" s="21">
        <v>27640</v>
      </c>
      <c r="P39" s="21">
        <v>17268</v>
      </c>
      <c r="Q39" s="21">
        <v>27037</v>
      </c>
      <c r="R39" s="21">
        <v>27037</v>
      </c>
      <c r="S39" s="63">
        <v>10992</v>
      </c>
      <c r="T39" s="85">
        <f t="shared" si="2"/>
        <v>531184</v>
      </c>
    </row>
    <row r="40" spans="1:20">
      <c r="A40" s="1" t="s">
        <v>3</v>
      </c>
      <c r="B40" s="5" t="s">
        <v>108</v>
      </c>
      <c r="C40" s="20">
        <v>62964</v>
      </c>
      <c r="D40" s="21">
        <v>39520</v>
      </c>
      <c r="E40" s="21">
        <v>56265</v>
      </c>
      <c r="F40" s="21">
        <v>56035</v>
      </c>
      <c r="G40" s="21">
        <v>49896</v>
      </c>
      <c r="H40" s="21">
        <v>32781</v>
      </c>
      <c r="I40" s="21">
        <v>41499</v>
      </c>
      <c r="J40" s="21">
        <v>38853</v>
      </c>
      <c r="K40" s="21">
        <v>36166</v>
      </c>
      <c r="L40" s="21">
        <v>21585</v>
      </c>
      <c r="M40" s="21">
        <v>0</v>
      </c>
      <c r="N40" s="21">
        <v>61877</v>
      </c>
      <c r="O40" s="21">
        <v>37314</v>
      </c>
      <c r="P40" s="21">
        <v>50365</v>
      </c>
      <c r="Q40" s="21">
        <v>17076</v>
      </c>
      <c r="R40" s="21">
        <v>39844</v>
      </c>
      <c r="S40" s="63">
        <v>0</v>
      </c>
      <c r="T40" s="85">
        <f t="shared" si="2"/>
        <v>642040</v>
      </c>
    </row>
    <row r="41" spans="1:20">
      <c r="A41" s="1" t="s">
        <v>3</v>
      </c>
      <c r="B41" s="5" t="s">
        <v>109</v>
      </c>
      <c r="C41" s="20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63">
        <v>0</v>
      </c>
      <c r="T41" s="85">
        <f t="shared" si="2"/>
        <v>0</v>
      </c>
    </row>
    <row r="42" spans="1:20">
      <c r="A42" s="1" t="s">
        <v>3</v>
      </c>
      <c r="B42" s="5" t="s">
        <v>110</v>
      </c>
      <c r="C42" s="20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63">
        <v>7120</v>
      </c>
      <c r="T42" s="85">
        <f t="shared" si="2"/>
        <v>7120</v>
      </c>
    </row>
    <row r="43" spans="1:20">
      <c r="A43" s="1" t="s">
        <v>3</v>
      </c>
      <c r="B43" s="5" t="s">
        <v>111</v>
      </c>
      <c r="C43" s="20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63">
        <v>0</v>
      </c>
      <c r="T43" s="85">
        <f t="shared" si="2"/>
        <v>0</v>
      </c>
    </row>
    <row r="44" spans="1:20" ht="19.5" thickBot="1">
      <c r="A44" s="1" t="s">
        <v>3</v>
      </c>
      <c r="B44" s="43" t="s">
        <v>82</v>
      </c>
      <c r="C44" s="44">
        <v>530</v>
      </c>
      <c r="D44" s="45">
        <v>2256</v>
      </c>
      <c r="E44" s="45">
        <v>948</v>
      </c>
      <c r="F44" s="45">
        <v>9207</v>
      </c>
      <c r="G44" s="45">
        <v>17360</v>
      </c>
      <c r="H44" s="45">
        <v>7803</v>
      </c>
      <c r="I44" s="45">
        <v>2120</v>
      </c>
      <c r="J44" s="45">
        <v>2937</v>
      </c>
      <c r="K44" s="45">
        <v>258</v>
      </c>
      <c r="L44" s="45">
        <v>2403</v>
      </c>
      <c r="M44" s="45">
        <v>0</v>
      </c>
      <c r="N44" s="45">
        <v>8544</v>
      </c>
      <c r="O44" s="45">
        <v>512</v>
      </c>
      <c r="P44" s="45">
        <v>9879</v>
      </c>
      <c r="Q44" s="45">
        <v>10296</v>
      </c>
      <c r="R44" s="45">
        <v>8712</v>
      </c>
      <c r="S44" s="64">
        <v>15045</v>
      </c>
      <c r="T44" s="86">
        <f t="shared" si="2"/>
        <v>98810</v>
      </c>
    </row>
    <row r="45" spans="1:20" ht="19.5" thickBot="1">
      <c r="A45" s="1" t="s">
        <v>3</v>
      </c>
      <c r="B45" s="48" t="s">
        <v>112</v>
      </c>
      <c r="C45" s="49">
        <v>313793</v>
      </c>
      <c r="D45" s="50">
        <v>390992</v>
      </c>
      <c r="E45" s="50">
        <v>374502</v>
      </c>
      <c r="F45" s="50">
        <v>381461</v>
      </c>
      <c r="G45" s="50">
        <v>364968</v>
      </c>
      <c r="H45" s="50">
        <v>363180</v>
      </c>
      <c r="I45" s="50">
        <v>354550</v>
      </c>
      <c r="J45" s="50">
        <v>303541</v>
      </c>
      <c r="K45" s="50">
        <v>313060</v>
      </c>
      <c r="L45" s="50">
        <v>330470</v>
      </c>
      <c r="M45" s="50">
        <v>0</v>
      </c>
      <c r="N45" s="50">
        <v>311541</v>
      </c>
      <c r="O45" s="50">
        <v>295346</v>
      </c>
      <c r="P45" s="50">
        <v>359486</v>
      </c>
      <c r="Q45" s="50">
        <v>342439</v>
      </c>
      <c r="R45" s="50">
        <v>302995</v>
      </c>
      <c r="S45" s="65">
        <v>280810</v>
      </c>
      <c r="T45" s="87">
        <f t="shared" si="2"/>
        <v>5383134</v>
      </c>
    </row>
    <row r="46" spans="1:20">
      <c r="A46" s="1" t="s">
        <v>3</v>
      </c>
      <c r="B46" s="26" t="s">
        <v>113</v>
      </c>
      <c r="C46" s="35">
        <v>11594</v>
      </c>
      <c r="D46" s="36">
        <v>3140</v>
      </c>
      <c r="E46" s="36">
        <v>5218</v>
      </c>
      <c r="F46" s="36">
        <v>3020</v>
      </c>
      <c r="G46" s="36">
        <v>14444</v>
      </c>
      <c r="H46" s="36">
        <v>2319</v>
      </c>
      <c r="I46" s="36">
        <v>2512</v>
      </c>
      <c r="J46" s="36">
        <v>1160</v>
      </c>
      <c r="K46" s="36">
        <v>3140</v>
      </c>
      <c r="L46" s="36">
        <v>4831</v>
      </c>
      <c r="M46" s="36">
        <v>0</v>
      </c>
      <c r="N46" s="36">
        <v>2706</v>
      </c>
      <c r="O46" s="36">
        <v>7247</v>
      </c>
      <c r="P46" s="36">
        <v>3334</v>
      </c>
      <c r="Q46" s="36">
        <v>5797</v>
      </c>
      <c r="R46" s="36">
        <v>10266</v>
      </c>
      <c r="S46" s="62">
        <v>3551</v>
      </c>
      <c r="T46" s="84">
        <f t="shared" si="2"/>
        <v>84279</v>
      </c>
    </row>
    <row r="47" spans="1:20" ht="19.5" thickBot="1">
      <c r="A47" s="1" t="s">
        <v>3</v>
      </c>
      <c r="B47" s="43" t="s">
        <v>114</v>
      </c>
      <c r="C47" s="44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64">
        <v>0</v>
      </c>
      <c r="T47" s="86">
        <f t="shared" si="2"/>
        <v>0</v>
      </c>
    </row>
    <row r="48" spans="1:20" ht="19.5" thickBot="1">
      <c r="A48" s="1" t="s">
        <v>3</v>
      </c>
      <c r="B48" s="48" t="s">
        <v>115</v>
      </c>
      <c r="C48" s="49">
        <v>11594</v>
      </c>
      <c r="D48" s="50">
        <v>3140</v>
      </c>
      <c r="E48" s="50">
        <v>5218</v>
      </c>
      <c r="F48" s="50">
        <v>3020</v>
      </c>
      <c r="G48" s="50">
        <v>14444</v>
      </c>
      <c r="H48" s="50">
        <v>2319</v>
      </c>
      <c r="I48" s="50">
        <v>2512</v>
      </c>
      <c r="J48" s="50">
        <v>1160</v>
      </c>
      <c r="K48" s="50">
        <v>3140</v>
      </c>
      <c r="L48" s="50">
        <v>4831</v>
      </c>
      <c r="M48" s="50">
        <v>0</v>
      </c>
      <c r="N48" s="50">
        <v>2706</v>
      </c>
      <c r="O48" s="50">
        <v>7247</v>
      </c>
      <c r="P48" s="50">
        <v>3334</v>
      </c>
      <c r="Q48" s="50">
        <v>5797</v>
      </c>
      <c r="R48" s="50">
        <v>10266</v>
      </c>
      <c r="S48" s="65">
        <v>3551</v>
      </c>
      <c r="T48" s="87">
        <f t="shared" si="2"/>
        <v>84279</v>
      </c>
    </row>
    <row r="49" spans="1:20" ht="19.5" thickBot="1">
      <c r="A49" s="1" t="s">
        <v>3</v>
      </c>
      <c r="B49" s="48" t="s">
        <v>116</v>
      </c>
      <c r="C49" s="49">
        <v>325387</v>
      </c>
      <c r="D49" s="50">
        <v>394132</v>
      </c>
      <c r="E49" s="50">
        <v>379720</v>
      </c>
      <c r="F49" s="50">
        <v>384481</v>
      </c>
      <c r="G49" s="50">
        <v>379412</v>
      </c>
      <c r="H49" s="50">
        <v>365499</v>
      </c>
      <c r="I49" s="50">
        <v>357062</v>
      </c>
      <c r="J49" s="50">
        <v>304701</v>
      </c>
      <c r="K49" s="50">
        <v>316200</v>
      </c>
      <c r="L49" s="50">
        <v>335301</v>
      </c>
      <c r="M49" s="50">
        <v>0</v>
      </c>
      <c r="N49" s="50">
        <v>314247</v>
      </c>
      <c r="O49" s="50">
        <v>302593</v>
      </c>
      <c r="P49" s="50">
        <v>362820</v>
      </c>
      <c r="Q49" s="50">
        <v>348236</v>
      </c>
      <c r="R49" s="50">
        <v>313261</v>
      </c>
      <c r="S49" s="65">
        <v>284361</v>
      </c>
      <c r="T49" s="87">
        <f t="shared" si="2"/>
        <v>5467413</v>
      </c>
    </row>
    <row r="50" spans="1:20">
      <c r="A50" s="1" t="s">
        <v>3</v>
      </c>
      <c r="B50" s="26" t="s">
        <v>117</v>
      </c>
      <c r="C50" s="35">
        <v>16320</v>
      </c>
      <c r="D50" s="36">
        <v>16320</v>
      </c>
      <c r="E50" s="36">
        <v>19380</v>
      </c>
      <c r="F50" s="36">
        <v>20910</v>
      </c>
      <c r="G50" s="36">
        <v>19380</v>
      </c>
      <c r="H50" s="36">
        <v>20910</v>
      </c>
      <c r="I50" s="36">
        <v>16320</v>
      </c>
      <c r="J50" s="36">
        <v>15300</v>
      </c>
      <c r="K50" s="36">
        <v>16320</v>
      </c>
      <c r="L50" s="36">
        <v>17340</v>
      </c>
      <c r="M50" s="36">
        <v>16320</v>
      </c>
      <c r="N50" s="36">
        <v>17340</v>
      </c>
      <c r="O50" s="36">
        <v>15300</v>
      </c>
      <c r="P50" s="36">
        <v>15300</v>
      </c>
      <c r="Q50" s="36">
        <v>17340</v>
      </c>
      <c r="R50" s="36">
        <v>15300</v>
      </c>
      <c r="S50" s="62">
        <v>13260</v>
      </c>
      <c r="T50" s="84">
        <f t="shared" si="2"/>
        <v>288660</v>
      </c>
    </row>
    <row r="51" spans="1:20">
      <c r="A51" s="1" t="s">
        <v>3</v>
      </c>
      <c r="B51" s="5" t="s">
        <v>118</v>
      </c>
      <c r="C51" s="20">
        <v>2880</v>
      </c>
      <c r="D51" s="21">
        <v>2880</v>
      </c>
      <c r="E51" s="21">
        <v>3420</v>
      </c>
      <c r="F51" s="21">
        <v>3690</v>
      </c>
      <c r="G51" s="21">
        <v>3420</v>
      </c>
      <c r="H51" s="21">
        <v>3690</v>
      </c>
      <c r="I51" s="21">
        <v>2880</v>
      </c>
      <c r="J51" s="21">
        <v>2700</v>
      </c>
      <c r="K51" s="21">
        <v>2880</v>
      </c>
      <c r="L51" s="21">
        <v>3060</v>
      </c>
      <c r="M51" s="21">
        <v>2880</v>
      </c>
      <c r="N51" s="21">
        <v>0</v>
      </c>
      <c r="O51" s="21">
        <v>2700</v>
      </c>
      <c r="P51" s="21">
        <v>2700</v>
      </c>
      <c r="Q51" s="21">
        <v>3060</v>
      </c>
      <c r="R51" s="21">
        <v>2700</v>
      </c>
      <c r="S51" s="63">
        <v>0</v>
      </c>
      <c r="T51" s="85">
        <f t="shared" si="2"/>
        <v>45540</v>
      </c>
    </row>
    <row r="52" spans="1:20">
      <c r="A52" s="1" t="s">
        <v>3</v>
      </c>
      <c r="B52" s="5" t="s">
        <v>119</v>
      </c>
      <c r="C52" s="20">
        <v>29280</v>
      </c>
      <c r="D52" s="21">
        <v>29280</v>
      </c>
      <c r="E52" s="21">
        <v>34770</v>
      </c>
      <c r="F52" s="21">
        <v>37515</v>
      </c>
      <c r="G52" s="21">
        <v>34770</v>
      </c>
      <c r="H52" s="21">
        <v>37515</v>
      </c>
      <c r="I52" s="21">
        <v>29280</v>
      </c>
      <c r="J52" s="21">
        <v>27450</v>
      </c>
      <c r="K52" s="21">
        <v>29280</v>
      </c>
      <c r="L52" s="21">
        <v>31110</v>
      </c>
      <c r="M52" s="21">
        <v>29280</v>
      </c>
      <c r="N52" s="21">
        <v>31110</v>
      </c>
      <c r="O52" s="21">
        <v>27450</v>
      </c>
      <c r="P52" s="21">
        <v>27450</v>
      </c>
      <c r="Q52" s="21">
        <v>31110</v>
      </c>
      <c r="R52" s="21">
        <v>27450</v>
      </c>
      <c r="S52" s="63">
        <v>23790</v>
      </c>
      <c r="T52" s="85">
        <f t="shared" si="2"/>
        <v>517890</v>
      </c>
    </row>
    <row r="53" spans="1:20" ht="19.5" thickBot="1">
      <c r="A53" s="1" t="s">
        <v>3</v>
      </c>
      <c r="B53" s="5" t="s">
        <v>120</v>
      </c>
      <c r="C53" s="20">
        <v>976</v>
      </c>
      <c r="D53" s="21">
        <v>1182</v>
      </c>
      <c r="E53" s="21">
        <v>1139</v>
      </c>
      <c r="F53" s="21">
        <v>1153</v>
      </c>
      <c r="G53" s="21">
        <v>1138</v>
      </c>
      <c r="H53" s="21">
        <v>1096</v>
      </c>
      <c r="I53" s="21">
        <v>1071</v>
      </c>
      <c r="J53" s="21">
        <v>914</v>
      </c>
      <c r="K53" s="21">
        <v>949</v>
      </c>
      <c r="L53" s="21">
        <v>1006</v>
      </c>
      <c r="M53" s="21">
        <v>0</v>
      </c>
      <c r="N53" s="21">
        <v>943</v>
      </c>
      <c r="O53" s="21">
        <v>908</v>
      </c>
      <c r="P53" s="21">
        <v>1088</v>
      </c>
      <c r="Q53" s="21">
        <v>1045</v>
      </c>
      <c r="R53" s="21">
        <v>940</v>
      </c>
      <c r="S53" s="63">
        <v>853</v>
      </c>
      <c r="T53" s="85">
        <f t="shared" si="2"/>
        <v>16401</v>
      </c>
    </row>
    <row r="54" spans="1:20" ht="19.5" thickBot="1">
      <c r="A54" s="1" t="s">
        <v>3</v>
      </c>
      <c r="B54" s="48" t="s">
        <v>122</v>
      </c>
      <c r="C54" s="49">
        <v>49456</v>
      </c>
      <c r="D54" s="50">
        <v>49662</v>
      </c>
      <c r="E54" s="50">
        <v>58709</v>
      </c>
      <c r="F54" s="50">
        <v>63268</v>
      </c>
      <c r="G54" s="50">
        <v>58708</v>
      </c>
      <c r="H54" s="50">
        <v>63211</v>
      </c>
      <c r="I54" s="50">
        <v>49551</v>
      </c>
      <c r="J54" s="50">
        <v>46364</v>
      </c>
      <c r="K54" s="50">
        <v>49429</v>
      </c>
      <c r="L54" s="50">
        <v>52516</v>
      </c>
      <c r="M54" s="50">
        <v>48480</v>
      </c>
      <c r="N54" s="50">
        <v>49393</v>
      </c>
      <c r="O54" s="50">
        <v>46358</v>
      </c>
      <c r="P54" s="50">
        <v>46538</v>
      </c>
      <c r="Q54" s="50">
        <v>52555</v>
      </c>
      <c r="R54" s="50">
        <v>46390</v>
      </c>
      <c r="S54" s="65">
        <v>37903</v>
      </c>
      <c r="T54" s="87">
        <f t="shared" si="2"/>
        <v>868491</v>
      </c>
    </row>
    <row r="55" spans="1:20">
      <c r="A55" s="1" t="s">
        <v>3</v>
      </c>
      <c r="B55" s="26" t="s">
        <v>123</v>
      </c>
      <c r="C55" s="35">
        <v>5450</v>
      </c>
      <c r="D55" s="36">
        <v>11760</v>
      </c>
      <c r="E55" s="36">
        <v>7370</v>
      </c>
      <c r="F55" s="36">
        <v>9870</v>
      </c>
      <c r="G55" s="36">
        <v>6980</v>
      </c>
      <c r="H55" s="36">
        <v>8380</v>
      </c>
      <c r="I55" s="36">
        <v>8790</v>
      </c>
      <c r="J55" s="36">
        <v>5190</v>
      </c>
      <c r="K55" s="36">
        <v>7040</v>
      </c>
      <c r="L55" s="36">
        <v>7550</v>
      </c>
      <c r="M55" s="36">
        <v>0</v>
      </c>
      <c r="N55" s="36">
        <v>6990</v>
      </c>
      <c r="O55" s="36">
        <v>6520</v>
      </c>
      <c r="P55" s="36">
        <v>9440</v>
      </c>
      <c r="Q55" s="36">
        <v>3130</v>
      </c>
      <c r="R55" s="36">
        <v>6790</v>
      </c>
      <c r="S55" s="62">
        <v>6300</v>
      </c>
      <c r="T55" s="84">
        <f t="shared" si="2"/>
        <v>117550</v>
      </c>
    </row>
    <row r="56" spans="1:20">
      <c r="A56" s="1" t="s">
        <v>3</v>
      </c>
      <c r="B56" s="5" t="s">
        <v>124</v>
      </c>
      <c r="C56" s="20">
        <v>1300</v>
      </c>
      <c r="D56" s="21">
        <v>1300</v>
      </c>
      <c r="E56" s="21">
        <v>1300</v>
      </c>
      <c r="F56" s="21">
        <v>0</v>
      </c>
      <c r="G56" s="21">
        <v>1300</v>
      </c>
      <c r="H56" s="21">
        <v>1300</v>
      </c>
      <c r="I56" s="21">
        <v>1300</v>
      </c>
      <c r="J56" s="21">
        <v>1300</v>
      </c>
      <c r="K56" s="21">
        <v>1300</v>
      </c>
      <c r="L56" s="21">
        <v>1300</v>
      </c>
      <c r="M56" s="21">
        <v>0</v>
      </c>
      <c r="N56" s="21">
        <v>0</v>
      </c>
      <c r="O56" s="21">
        <v>1300</v>
      </c>
      <c r="P56" s="21">
        <v>1300</v>
      </c>
      <c r="Q56" s="21">
        <v>1300</v>
      </c>
      <c r="R56" s="21">
        <v>0</v>
      </c>
      <c r="S56" s="63">
        <v>0</v>
      </c>
      <c r="T56" s="85">
        <f t="shared" si="2"/>
        <v>15600</v>
      </c>
    </row>
    <row r="57" spans="1:20">
      <c r="A57" s="1" t="s">
        <v>3</v>
      </c>
      <c r="B57" s="5" t="s">
        <v>125</v>
      </c>
      <c r="C57" s="20">
        <v>8600</v>
      </c>
      <c r="D57" s="21">
        <v>14600</v>
      </c>
      <c r="E57" s="21">
        <v>13800</v>
      </c>
      <c r="F57" s="21">
        <v>16700</v>
      </c>
      <c r="G57" s="21">
        <v>15200</v>
      </c>
      <c r="H57" s="21">
        <v>17700</v>
      </c>
      <c r="I57" s="21">
        <v>13500</v>
      </c>
      <c r="J57" s="21">
        <v>9200</v>
      </c>
      <c r="K57" s="21">
        <v>13000</v>
      </c>
      <c r="L57" s="21">
        <v>13800</v>
      </c>
      <c r="M57" s="21">
        <v>10500</v>
      </c>
      <c r="N57" s="21">
        <v>13500</v>
      </c>
      <c r="O57" s="21">
        <v>12100</v>
      </c>
      <c r="P57" s="21">
        <v>14200</v>
      </c>
      <c r="Q57" s="21">
        <v>5600</v>
      </c>
      <c r="R57" s="21">
        <v>0</v>
      </c>
      <c r="S57" s="63">
        <v>0</v>
      </c>
      <c r="T57" s="85">
        <f t="shared" si="2"/>
        <v>192000</v>
      </c>
    </row>
    <row r="58" spans="1:20">
      <c r="A58" s="1" t="s">
        <v>3</v>
      </c>
      <c r="B58" s="5" t="s">
        <v>126</v>
      </c>
      <c r="C58" s="20">
        <v>0</v>
      </c>
      <c r="D58" s="21">
        <v>0</v>
      </c>
      <c r="E58" s="21">
        <v>0</v>
      </c>
      <c r="F58" s="21">
        <v>10000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53">
        <v>-58980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63">
        <v>0</v>
      </c>
      <c r="T58" s="88">
        <f t="shared" si="2"/>
        <v>-48980</v>
      </c>
    </row>
    <row r="59" spans="1:20" ht="19.5" thickBot="1">
      <c r="A59" s="1" t="s">
        <v>3</v>
      </c>
      <c r="B59" s="43" t="s">
        <v>129</v>
      </c>
      <c r="C59" s="44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64">
        <v>0</v>
      </c>
      <c r="T59" s="86">
        <f t="shared" si="2"/>
        <v>0</v>
      </c>
    </row>
    <row r="60" spans="1:20" ht="19.5" thickBot="1">
      <c r="A60" s="1" t="s">
        <v>3</v>
      </c>
      <c r="B60" s="48" t="s">
        <v>130</v>
      </c>
      <c r="C60" s="49">
        <v>64806</v>
      </c>
      <c r="D60" s="50">
        <v>77322</v>
      </c>
      <c r="E60" s="50">
        <v>81179</v>
      </c>
      <c r="F60" s="50">
        <v>99838</v>
      </c>
      <c r="G60" s="50">
        <v>82188</v>
      </c>
      <c r="H60" s="50">
        <v>90591</v>
      </c>
      <c r="I60" s="50">
        <v>73141</v>
      </c>
      <c r="J60" s="50">
        <v>62054</v>
      </c>
      <c r="K60" s="50">
        <v>70769</v>
      </c>
      <c r="L60" s="50">
        <v>75166</v>
      </c>
      <c r="M60" s="50">
        <v>0</v>
      </c>
      <c r="N60" s="50">
        <v>69883</v>
      </c>
      <c r="O60" s="50">
        <v>66278</v>
      </c>
      <c r="P60" s="50">
        <v>71478</v>
      </c>
      <c r="Q60" s="50">
        <v>62585</v>
      </c>
      <c r="R60" s="50">
        <v>53180</v>
      </c>
      <c r="S60" s="65">
        <v>44203</v>
      </c>
      <c r="T60" s="87">
        <f t="shared" si="2"/>
        <v>1144661</v>
      </c>
    </row>
    <row r="61" spans="1:20" ht="19.5" thickBot="1">
      <c r="A61" s="1" t="s">
        <v>3</v>
      </c>
      <c r="B61" s="48" t="s">
        <v>131</v>
      </c>
      <c r="C61" s="49">
        <v>264337</v>
      </c>
      <c r="D61" s="50">
        <v>341330</v>
      </c>
      <c r="E61" s="50">
        <v>315793</v>
      </c>
      <c r="F61" s="50">
        <v>318193</v>
      </c>
      <c r="G61" s="50">
        <v>306260</v>
      </c>
      <c r="H61" s="50">
        <v>299969</v>
      </c>
      <c r="I61" s="50">
        <v>304999</v>
      </c>
      <c r="J61" s="50">
        <v>257177</v>
      </c>
      <c r="K61" s="50">
        <v>263631</v>
      </c>
      <c r="L61" s="50">
        <v>277954</v>
      </c>
      <c r="M61" s="50">
        <v>-48480</v>
      </c>
      <c r="N61" s="50">
        <v>262148</v>
      </c>
      <c r="O61" s="50">
        <v>248988</v>
      </c>
      <c r="P61" s="50">
        <v>312948</v>
      </c>
      <c r="Q61" s="50">
        <v>289884</v>
      </c>
      <c r="R61" s="50">
        <v>256605</v>
      </c>
      <c r="S61" s="65">
        <v>242907</v>
      </c>
      <c r="T61" s="87">
        <f t="shared" si="2"/>
        <v>4514643</v>
      </c>
    </row>
    <row r="62" spans="1:20" ht="19.5" thickBot="1">
      <c r="A62" s="1" t="s">
        <v>3</v>
      </c>
      <c r="B62" s="48" t="s">
        <v>132</v>
      </c>
      <c r="C62" s="49">
        <v>260581</v>
      </c>
      <c r="D62" s="50">
        <v>316810</v>
      </c>
      <c r="E62" s="50">
        <v>298541</v>
      </c>
      <c r="F62" s="50">
        <v>284643</v>
      </c>
      <c r="G62" s="50">
        <v>297224</v>
      </c>
      <c r="H62" s="50">
        <v>274908</v>
      </c>
      <c r="I62" s="50">
        <v>283921</v>
      </c>
      <c r="J62" s="50">
        <v>242647</v>
      </c>
      <c r="K62" s="50">
        <v>245431</v>
      </c>
      <c r="L62" s="50">
        <v>260135</v>
      </c>
      <c r="M62" s="50">
        <v>0</v>
      </c>
      <c r="N62" s="50">
        <v>244364</v>
      </c>
      <c r="O62" s="50">
        <v>236315</v>
      </c>
      <c r="P62" s="50">
        <v>291342</v>
      </c>
      <c r="Q62" s="50">
        <v>285651</v>
      </c>
      <c r="R62" s="50">
        <v>260081</v>
      </c>
      <c r="S62" s="65">
        <v>240158</v>
      </c>
      <c r="T62" s="87">
        <f t="shared" si="2"/>
        <v>4322752</v>
      </c>
    </row>
    <row r="63" spans="1:20">
      <c r="A63" s="1" t="s">
        <v>3</v>
      </c>
      <c r="B63" s="26" t="s">
        <v>133</v>
      </c>
      <c r="C63" s="35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62">
        <v>0</v>
      </c>
      <c r="T63" s="84">
        <f t="shared" si="2"/>
        <v>0</v>
      </c>
    </row>
    <row r="64" spans="1:20">
      <c r="A64" s="1" t="s">
        <v>3</v>
      </c>
      <c r="B64" s="5" t="s">
        <v>134</v>
      </c>
      <c r="C64" s="20">
        <v>260581</v>
      </c>
      <c r="D64" s="21">
        <v>316810</v>
      </c>
      <c r="E64" s="21">
        <v>298541</v>
      </c>
      <c r="F64" s="21">
        <v>284643</v>
      </c>
      <c r="G64" s="21">
        <v>297224</v>
      </c>
      <c r="H64" s="21">
        <v>274908</v>
      </c>
      <c r="I64" s="21">
        <v>283921</v>
      </c>
      <c r="J64" s="21">
        <v>242647</v>
      </c>
      <c r="K64" s="21">
        <v>245431</v>
      </c>
      <c r="L64" s="21">
        <v>260135</v>
      </c>
      <c r="M64" s="21">
        <v>0</v>
      </c>
      <c r="N64" s="21">
        <v>244364</v>
      </c>
      <c r="O64" s="21">
        <v>236315</v>
      </c>
      <c r="P64" s="21">
        <v>291342</v>
      </c>
      <c r="Q64" s="21">
        <v>285651</v>
      </c>
      <c r="R64" s="21">
        <v>260081</v>
      </c>
      <c r="S64" s="63">
        <v>240158</v>
      </c>
      <c r="T64" s="85">
        <f t="shared" si="2"/>
        <v>4322752</v>
      </c>
    </row>
    <row r="65" spans="1:20">
      <c r="A65" s="1" t="s">
        <v>3</v>
      </c>
      <c r="B65" s="5" t="s">
        <v>135</v>
      </c>
      <c r="C65" s="20">
        <v>1</v>
      </c>
      <c r="D65" s="21">
        <v>0</v>
      </c>
      <c r="E65" s="21">
        <v>1</v>
      </c>
      <c r="F65" s="21">
        <v>0</v>
      </c>
      <c r="G65" s="21">
        <v>1</v>
      </c>
      <c r="H65" s="21">
        <v>0</v>
      </c>
      <c r="I65" s="21">
        <v>0</v>
      </c>
      <c r="J65" s="21">
        <v>1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3</v>
      </c>
      <c r="R65" s="21">
        <v>0</v>
      </c>
      <c r="S65" s="63">
        <v>0</v>
      </c>
      <c r="T65" s="85"/>
    </row>
    <row r="66" spans="1:20" ht="19.5" thickBot="1">
      <c r="A66" s="1" t="s">
        <v>3</v>
      </c>
      <c r="B66" s="6" t="s">
        <v>136</v>
      </c>
      <c r="C66" s="23" t="s">
        <v>137</v>
      </c>
      <c r="D66" s="24" t="s">
        <v>137</v>
      </c>
      <c r="E66" s="24" t="s">
        <v>137</v>
      </c>
      <c r="F66" s="24" t="s">
        <v>137</v>
      </c>
      <c r="G66" s="24" t="s">
        <v>137</v>
      </c>
      <c r="H66" s="24" t="s">
        <v>137</v>
      </c>
      <c r="I66" s="24" t="s">
        <v>137</v>
      </c>
      <c r="J66" s="24" t="s">
        <v>137</v>
      </c>
      <c r="K66" s="24" t="s">
        <v>137</v>
      </c>
      <c r="L66" s="24" t="s">
        <v>137</v>
      </c>
      <c r="M66" s="24" t="s">
        <v>137</v>
      </c>
      <c r="N66" s="24" t="s">
        <v>137</v>
      </c>
      <c r="O66" s="24" t="s">
        <v>137</v>
      </c>
      <c r="P66" s="24" t="s">
        <v>137</v>
      </c>
      <c r="Q66" s="24" t="s">
        <v>137</v>
      </c>
      <c r="R66" s="24" t="s">
        <v>137</v>
      </c>
      <c r="S66" s="66" t="s">
        <v>137</v>
      </c>
      <c r="T66" s="89"/>
    </row>
  </sheetData>
  <phoneticPr fontId="3"/>
  <pageMargins left="0.11811023622047245" right="0.11811023622047245" top="0.15748031496062992" bottom="0.15748031496062992" header="0" footer="0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2021年11月度給与 (2)</vt:lpstr>
      <vt:lpstr>2021年11月度給与 (3)</vt:lpstr>
      <vt:lpstr>2021年11月度給与 (4)</vt:lpstr>
      <vt:lpstr>'2021年11月度給与 (3)'!Print_Area</vt:lpstr>
      <vt:lpstr>'2021年11月度給与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2021-12-11T05:54:27Z</cp:lastPrinted>
  <dcterms:created xsi:type="dcterms:W3CDTF">2021-12-07T04:56:09Z</dcterms:created>
  <dcterms:modified xsi:type="dcterms:W3CDTF">2021-12-11T06:52:47Z</dcterms:modified>
</cp:coreProperties>
</file>