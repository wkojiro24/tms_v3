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1\"/>
    </mc:Choice>
  </mc:AlternateContent>
  <xr:revisionPtr revIDLastSave="0" documentId="13_ncr:1_{6DD1D997-E14F-40B4-BCEC-12FD9FD68C8E}" xr6:coauthVersionLast="47" xr6:coauthVersionMax="47" xr10:uidLastSave="{00000000-0000-0000-0000-000000000000}"/>
  <bookViews>
    <workbookView xWindow="-120" yWindow="-120" windowWidth="20730" windowHeight="11160" xr2:uid="{3ED1A5BE-25B6-481F-A448-B5573E835A02}"/>
  </bookViews>
  <sheets>
    <sheet name="2021年11月度給与 (2)" sheetId="3" r:id="rId1"/>
  </sheets>
  <definedNames>
    <definedName name="_xlnm.Print_Area" localSheetId="0">'2021年11月度給与 (2)'!$A$1:$K$56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3" l="1"/>
  <c r="K9" i="3"/>
  <c r="K11" i="3"/>
  <c r="K12" i="3"/>
  <c r="K13" i="3"/>
  <c r="K18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21" i="3"/>
  <c r="J20" i="3"/>
  <c r="J19" i="3"/>
  <c r="J16" i="3"/>
  <c r="K16" i="3" s="1"/>
  <c r="J15" i="3"/>
  <c r="K15" i="3" s="1"/>
  <c r="J10" i="3"/>
  <c r="J7" i="3"/>
  <c r="K7" i="3" s="1"/>
  <c r="J6" i="3"/>
  <c r="E22" i="3"/>
  <c r="E23" i="3"/>
  <c r="E24" i="3"/>
  <c r="E25" i="3"/>
  <c r="E26" i="3"/>
  <c r="E27" i="3"/>
  <c r="E28" i="3"/>
  <c r="K28" i="3" s="1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21" i="3"/>
  <c r="E20" i="3"/>
  <c r="E19" i="3"/>
  <c r="E17" i="3"/>
  <c r="K17" i="3" s="1"/>
  <c r="E14" i="3"/>
  <c r="K14" i="3" s="1"/>
  <c r="E10" i="3"/>
  <c r="E6" i="3"/>
  <c r="K22" i="3" l="1"/>
  <c r="K54" i="3"/>
  <c r="K49" i="3"/>
  <c r="K45" i="3"/>
  <c r="K42" i="3"/>
  <c r="K32" i="3"/>
  <c r="K50" i="3"/>
  <c r="K6" i="3"/>
  <c r="K48" i="3"/>
  <c r="K35" i="3"/>
  <c r="K34" i="3"/>
  <c r="K27" i="3"/>
  <c r="K25" i="3"/>
  <c r="K51" i="3"/>
  <c r="K46" i="3"/>
  <c r="K43" i="3"/>
  <c r="K39" i="3"/>
  <c r="K36" i="3"/>
  <c r="K30" i="3"/>
  <c r="K23" i="3"/>
  <c r="K10" i="3"/>
  <c r="K20" i="3"/>
  <c r="K52" i="3"/>
  <c r="K47" i="3"/>
  <c r="K44" i="3"/>
  <c r="K40" i="3"/>
  <c r="K37" i="3"/>
  <c r="K33" i="3"/>
  <c r="K29" i="3"/>
  <c r="K26" i="3"/>
  <c r="K24" i="3"/>
  <c r="K53" i="3"/>
  <c r="K41" i="3"/>
  <c r="K38" i="3"/>
  <c r="K31" i="3"/>
  <c r="K21" i="3"/>
  <c r="K19" i="3"/>
</calcChain>
</file>

<file path=xl/sharedStrings.xml><?xml version="1.0" encoding="utf-8"?>
<sst xmlns="http://schemas.openxmlformats.org/spreadsheetml/2006/main" count="130" uniqueCount="72">
  <si>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</si>
  <si>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</si>
  <si>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</si>
  <si>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</si>
  <si>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</si>
  <si>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</si>
  <si>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</si>
  <si>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</si>
  <si>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</si>
  <si>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</si>
  <si>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</si>
  <si>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</si>
  <si>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</si>
  <si>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</si>
  <si>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</si>
  <si>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秋田愛美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</si>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</sst>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5ABBED83-9003-4D10-9B0D-D3A320BD9F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C86B-E796-4D62-962A-1EDAAFE41BAC}">
  <sheetPr>
    <pageSetUpPr fitToPage="1"/>
  </sheetPr>
  <dimension ref="A1:M56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1" width="11.5" style="2" customWidth="1"/>
    <col min="12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6" width="9" style="2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2" width="9" style="2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78" width="9" style="2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4" width="9" style="2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0" width="9" style="2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6" width="9" style="2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2" width="9" style="2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58" width="9" style="2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4" width="9" style="2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0" width="9" style="2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6" width="9" style="2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2" width="9" style="2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38" width="9" style="2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4" width="9" style="2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0" width="9" style="2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6" width="9" style="2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2" width="9" style="2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18" width="9" style="2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4" width="9" style="2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0" width="9" style="2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6" width="9" style="2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2" width="9" style="2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898" width="9" style="2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4" width="9" style="2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0" width="9" style="2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6" width="9" style="2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2" width="9" style="2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78" width="9" style="2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4" width="9" style="2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0" width="9" style="2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6" width="9" style="2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2" width="9" style="2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58" width="9" style="2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4" width="9" style="2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0" width="9" style="2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6" width="9" style="2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2" width="9" style="2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38" width="9" style="2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4" width="9" style="2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0" width="9" style="2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6" width="9" style="2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2" width="9" style="2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18" width="9" style="2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4" width="9" style="2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0" width="9" style="2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6" width="9" style="2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2" width="9" style="2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298" width="9" style="2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4" width="9" style="2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0" width="9" style="2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6" width="9" style="2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2" width="9" style="2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78" width="9" style="2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4" width="9" style="2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0" width="9" style="2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6" width="9" style="2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2" width="9" style="2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58" width="9" style="2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4" width="9" style="2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0" width="9" style="2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6" width="9" style="2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2" width="9" style="2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38" width="9" style="2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67</v>
      </c>
    </row>
    <row r="4" spans="1:13">
      <c r="B4" s="3"/>
      <c r="C4" s="7" t="s">
        <v>6</v>
      </c>
      <c r="D4" s="8" t="s">
        <v>8</v>
      </c>
      <c r="E4" s="49" t="s">
        <v>68</v>
      </c>
      <c r="F4" s="6" t="s">
        <v>3</v>
      </c>
      <c r="G4" s="7" t="s">
        <v>4</v>
      </c>
      <c r="H4" s="7" t="s">
        <v>5</v>
      </c>
      <c r="I4" s="51" t="s">
        <v>7</v>
      </c>
      <c r="J4" s="62" t="s">
        <v>68</v>
      </c>
      <c r="K4" s="63" t="s">
        <v>16</v>
      </c>
    </row>
    <row r="5" spans="1:13" ht="19.5" thickBot="1">
      <c r="A5" s="75"/>
      <c r="B5" s="25" t="s">
        <v>9</v>
      </c>
      <c r="C5" s="27" t="s">
        <v>13</v>
      </c>
      <c r="D5" s="28" t="s">
        <v>15</v>
      </c>
      <c r="E5" s="50" t="s">
        <v>69</v>
      </c>
      <c r="F5" s="26" t="s">
        <v>10</v>
      </c>
      <c r="G5" s="27" t="s">
        <v>11</v>
      </c>
      <c r="H5" s="27" t="s">
        <v>12</v>
      </c>
      <c r="I5" s="52" t="s">
        <v>14</v>
      </c>
      <c r="J5" s="64" t="s">
        <v>70</v>
      </c>
      <c r="K5" s="65" t="s">
        <v>71</v>
      </c>
    </row>
    <row r="6" spans="1:13">
      <c r="A6" s="1" t="s">
        <v>2</v>
      </c>
      <c r="B6" s="21" t="s">
        <v>17</v>
      </c>
      <c r="C6" s="23">
        <v>21</v>
      </c>
      <c r="D6" s="24">
        <v>18</v>
      </c>
      <c r="E6" s="43">
        <f>SUM(C6:D6)</f>
        <v>39</v>
      </c>
      <c r="F6" s="22">
        <v>21</v>
      </c>
      <c r="G6" s="23">
        <v>19</v>
      </c>
      <c r="H6" s="23">
        <v>18</v>
      </c>
      <c r="I6" s="53">
        <v>20</v>
      </c>
      <c r="J6" s="66">
        <f>SUM(F6:I6)</f>
        <v>78</v>
      </c>
      <c r="K6" s="66">
        <f>E6+J6</f>
        <v>117</v>
      </c>
      <c r="M6"/>
    </row>
    <row r="7" spans="1:13">
      <c r="A7" s="1" t="s">
        <v>2</v>
      </c>
      <c r="B7" s="4" t="s">
        <v>18</v>
      </c>
      <c r="C7" s="10">
        <v>0</v>
      </c>
      <c r="D7" s="11">
        <v>0</v>
      </c>
      <c r="E7" s="44"/>
      <c r="F7" s="9">
        <v>1</v>
      </c>
      <c r="G7" s="10">
        <v>1</v>
      </c>
      <c r="H7" s="10">
        <v>2</v>
      </c>
      <c r="I7" s="54">
        <v>0</v>
      </c>
      <c r="J7" s="67">
        <f>SUM(F7:I7)</f>
        <v>4</v>
      </c>
      <c r="K7" s="67">
        <f t="shared" ref="K7:K46" si="0">E7+J7</f>
        <v>4</v>
      </c>
      <c r="M7"/>
    </row>
    <row r="8" spans="1:13">
      <c r="A8" s="1" t="s">
        <v>2</v>
      </c>
      <c r="B8" s="4" t="s">
        <v>19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54">
        <v>0</v>
      </c>
      <c r="J8" s="67"/>
      <c r="K8" s="67">
        <f t="shared" si="0"/>
        <v>0</v>
      </c>
      <c r="M8"/>
    </row>
    <row r="9" spans="1:13">
      <c r="A9" s="1" t="s">
        <v>2</v>
      </c>
      <c r="B9" s="4" t="s">
        <v>20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54">
        <v>0</v>
      </c>
      <c r="J9" s="67"/>
      <c r="K9" s="67">
        <f t="shared" si="0"/>
        <v>0</v>
      </c>
      <c r="M9"/>
    </row>
    <row r="10" spans="1:13">
      <c r="A10" s="1" t="s">
        <v>2</v>
      </c>
      <c r="B10" s="4" t="s">
        <v>21</v>
      </c>
      <c r="C10" s="10">
        <v>0</v>
      </c>
      <c r="D10" s="11">
        <v>1</v>
      </c>
      <c r="E10" s="44">
        <f>SUM(C10:D10)</f>
        <v>1</v>
      </c>
      <c r="F10" s="9">
        <v>0</v>
      </c>
      <c r="G10" s="10">
        <v>2</v>
      </c>
      <c r="H10" s="10">
        <v>3</v>
      </c>
      <c r="I10" s="54">
        <v>1</v>
      </c>
      <c r="J10" s="67">
        <f>SUM(F10:I10)</f>
        <v>6</v>
      </c>
      <c r="K10" s="67">
        <f t="shared" si="0"/>
        <v>7</v>
      </c>
      <c r="M10"/>
    </row>
    <row r="11" spans="1:13">
      <c r="A11" s="1" t="s">
        <v>2</v>
      </c>
      <c r="B11" s="4" t="s">
        <v>22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54">
        <v>0</v>
      </c>
      <c r="J11" s="67"/>
      <c r="K11" s="67">
        <f t="shared" si="0"/>
        <v>0</v>
      </c>
      <c r="M11"/>
    </row>
    <row r="12" spans="1:13">
      <c r="A12" s="1" t="s">
        <v>2</v>
      </c>
      <c r="B12" s="4" t="s">
        <v>23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54">
        <v>0</v>
      </c>
      <c r="J12" s="67"/>
      <c r="K12" s="67">
        <f t="shared" si="0"/>
        <v>0</v>
      </c>
      <c r="M12"/>
    </row>
    <row r="13" spans="1:13">
      <c r="A13" s="1" t="s">
        <v>2</v>
      </c>
      <c r="B13" s="4" t="s">
        <v>24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54">
        <v>0</v>
      </c>
      <c r="J13" s="67"/>
      <c r="K13" s="67">
        <f t="shared" si="0"/>
        <v>0</v>
      </c>
      <c r="M13"/>
    </row>
    <row r="14" spans="1:13">
      <c r="A14" s="1" t="s">
        <v>2</v>
      </c>
      <c r="B14" s="4" t="s">
        <v>25</v>
      </c>
      <c r="C14" s="13">
        <v>0</v>
      </c>
      <c r="D14" s="14">
        <v>2.375</v>
      </c>
      <c r="E14" s="45">
        <f>SUM(C14:D14)</f>
        <v>2.375</v>
      </c>
      <c r="F14" s="12">
        <v>0</v>
      </c>
      <c r="G14" s="13">
        <v>0</v>
      </c>
      <c r="H14" s="13">
        <v>0</v>
      </c>
      <c r="I14" s="55">
        <v>0</v>
      </c>
      <c r="J14" s="68"/>
      <c r="K14" s="68">
        <f t="shared" si="0"/>
        <v>2.375</v>
      </c>
      <c r="M14"/>
    </row>
    <row r="15" spans="1:13">
      <c r="A15" s="1" t="s">
        <v>2</v>
      </c>
      <c r="B15" s="4" t="s">
        <v>26</v>
      </c>
      <c r="C15" s="13">
        <v>0</v>
      </c>
      <c r="D15" s="14">
        <v>0</v>
      </c>
      <c r="E15" s="45"/>
      <c r="F15" s="12">
        <v>1.25</v>
      </c>
      <c r="G15" s="13">
        <v>2.0416666666666665</v>
      </c>
      <c r="H15" s="13">
        <v>1.7083333333333335</v>
      </c>
      <c r="I15" s="55">
        <v>1.6666666666666665</v>
      </c>
      <c r="J15" s="68">
        <f>SUM(F15:I15)</f>
        <v>6.6666666666666661</v>
      </c>
      <c r="K15" s="68">
        <f t="shared" si="0"/>
        <v>6.6666666666666661</v>
      </c>
      <c r="M15"/>
    </row>
    <row r="16" spans="1:13">
      <c r="A16" s="1" t="s">
        <v>2</v>
      </c>
      <c r="B16" s="4" t="s">
        <v>27</v>
      </c>
      <c r="C16" s="13">
        <v>0</v>
      </c>
      <c r="D16" s="14">
        <v>0</v>
      </c>
      <c r="E16" s="45"/>
      <c r="F16" s="12">
        <v>0.33333333333333331</v>
      </c>
      <c r="G16" s="13">
        <v>0.375</v>
      </c>
      <c r="H16" s="13">
        <v>0.5</v>
      </c>
      <c r="I16" s="55">
        <v>0</v>
      </c>
      <c r="J16" s="68">
        <f>SUM(F16:I16)</f>
        <v>1.2083333333333333</v>
      </c>
      <c r="K16" s="68">
        <f t="shared" si="0"/>
        <v>1.2083333333333333</v>
      </c>
      <c r="M16"/>
    </row>
    <row r="17" spans="1:13">
      <c r="A17" s="1" t="s">
        <v>2</v>
      </c>
      <c r="B17" s="4" t="s">
        <v>28</v>
      </c>
      <c r="C17" s="13">
        <v>0</v>
      </c>
      <c r="D17" s="14">
        <v>0.14583333333333334</v>
      </c>
      <c r="E17" s="45">
        <f>SUM(C17:D17)</f>
        <v>0.14583333333333334</v>
      </c>
      <c r="F17" s="12">
        <v>0</v>
      </c>
      <c r="G17" s="13">
        <v>0</v>
      </c>
      <c r="H17" s="13">
        <v>0</v>
      </c>
      <c r="I17" s="55">
        <v>0</v>
      </c>
      <c r="J17" s="68"/>
      <c r="K17" s="68">
        <f t="shared" si="0"/>
        <v>0.14583333333333334</v>
      </c>
      <c r="M17"/>
    </row>
    <row r="18" spans="1:13">
      <c r="A18" s="1" t="s">
        <v>2</v>
      </c>
      <c r="B18" s="4" t="s">
        <v>29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55">
        <v>0</v>
      </c>
      <c r="J18" s="68"/>
      <c r="K18" s="68">
        <f t="shared" si="0"/>
        <v>0</v>
      </c>
      <c r="M18"/>
    </row>
    <row r="19" spans="1:13">
      <c r="A19" s="1" t="s">
        <v>2</v>
      </c>
      <c r="B19" s="4" t="s">
        <v>30</v>
      </c>
      <c r="C19" s="13">
        <v>4.1666666666666664E-2</v>
      </c>
      <c r="D19" s="14">
        <v>0</v>
      </c>
      <c r="E19" s="45">
        <f>SUM(C19:D19)</f>
        <v>4.1666666666666664E-2</v>
      </c>
      <c r="F19" s="12">
        <v>0.29166666666666669</v>
      </c>
      <c r="G19" s="13">
        <v>0.54166666666666663</v>
      </c>
      <c r="H19" s="13">
        <v>0.33333333333333331</v>
      </c>
      <c r="I19" s="55">
        <v>0.41666666666666669</v>
      </c>
      <c r="J19" s="68">
        <f>SUM(F19:I19)</f>
        <v>1.5833333333333333</v>
      </c>
      <c r="K19" s="68">
        <f t="shared" si="0"/>
        <v>1.625</v>
      </c>
      <c r="M19"/>
    </row>
    <row r="20" spans="1:13" ht="19.5" thickBot="1">
      <c r="A20" s="1" t="s">
        <v>2</v>
      </c>
      <c r="B20" s="5" t="s">
        <v>31</v>
      </c>
      <c r="C20" s="33">
        <v>23</v>
      </c>
      <c r="D20" s="34">
        <v>6</v>
      </c>
      <c r="E20" s="46">
        <f>SUM(C20:D20)</f>
        <v>29</v>
      </c>
      <c r="F20" s="32">
        <v>21</v>
      </c>
      <c r="G20" s="33">
        <v>28</v>
      </c>
      <c r="H20" s="33">
        <v>25</v>
      </c>
      <c r="I20" s="56">
        <v>8</v>
      </c>
      <c r="J20" s="69">
        <f>SUM(F20:I20)</f>
        <v>82</v>
      </c>
      <c r="K20" s="69">
        <f t="shared" si="0"/>
        <v>111</v>
      </c>
      <c r="M20"/>
    </row>
    <row r="21" spans="1:13">
      <c r="A21" s="1" t="s">
        <v>2</v>
      </c>
      <c r="B21" s="21" t="s">
        <v>32</v>
      </c>
      <c r="C21" s="30">
        <v>355000</v>
      </c>
      <c r="D21" s="31">
        <v>0</v>
      </c>
      <c r="E21" s="31">
        <f>SUM(C21:D21)</f>
        <v>355000</v>
      </c>
      <c r="F21" s="29">
        <v>182000</v>
      </c>
      <c r="G21" s="30">
        <v>192000</v>
      </c>
      <c r="H21" s="30">
        <v>177000</v>
      </c>
      <c r="I21" s="57">
        <v>182000</v>
      </c>
      <c r="J21" s="70">
        <f>SUM(F21:I21)</f>
        <v>733000</v>
      </c>
      <c r="K21" s="70">
        <f t="shared" si="0"/>
        <v>1088000</v>
      </c>
      <c r="M21"/>
    </row>
    <row r="22" spans="1:13">
      <c r="A22" s="1" t="s">
        <v>2</v>
      </c>
      <c r="B22" s="4" t="s">
        <v>33</v>
      </c>
      <c r="C22" s="16">
        <v>0</v>
      </c>
      <c r="D22" s="17">
        <v>0</v>
      </c>
      <c r="E22" s="17">
        <f t="shared" ref="E22:E54" si="1">SUM(C22:D22)</f>
        <v>0</v>
      </c>
      <c r="F22" s="15">
        <v>5000</v>
      </c>
      <c r="G22" s="16">
        <v>0</v>
      </c>
      <c r="H22" s="16">
        <v>0</v>
      </c>
      <c r="I22" s="58">
        <v>0</v>
      </c>
      <c r="J22" s="71">
        <f t="shared" ref="J22:J54" si="2">SUM(F22:I22)</f>
        <v>5000</v>
      </c>
      <c r="K22" s="71">
        <f t="shared" si="0"/>
        <v>5000</v>
      </c>
      <c r="M22"/>
    </row>
    <row r="23" spans="1:13">
      <c r="A23" s="1" t="s">
        <v>2</v>
      </c>
      <c r="B23" s="4" t="s">
        <v>34</v>
      </c>
      <c r="C23" s="16">
        <v>0</v>
      </c>
      <c r="D23" s="17">
        <v>0</v>
      </c>
      <c r="E23" s="17">
        <f t="shared" si="1"/>
        <v>0</v>
      </c>
      <c r="F23" s="15">
        <v>3000</v>
      </c>
      <c r="G23" s="16">
        <v>3000</v>
      </c>
      <c r="H23" s="16">
        <v>0</v>
      </c>
      <c r="I23" s="58">
        <v>0</v>
      </c>
      <c r="J23" s="71">
        <f t="shared" si="2"/>
        <v>6000</v>
      </c>
      <c r="K23" s="71">
        <f t="shared" si="0"/>
        <v>6000</v>
      </c>
      <c r="M23"/>
    </row>
    <row r="24" spans="1:13">
      <c r="A24" s="1" t="s">
        <v>2</v>
      </c>
      <c r="B24" s="4" t="s">
        <v>35</v>
      </c>
      <c r="C24" s="16">
        <v>50000</v>
      </c>
      <c r="D24" s="17">
        <v>0</v>
      </c>
      <c r="E24" s="17">
        <f t="shared" si="1"/>
        <v>50000</v>
      </c>
      <c r="F24" s="15">
        <v>50000</v>
      </c>
      <c r="G24" s="16">
        <v>50000</v>
      </c>
      <c r="H24" s="16">
        <v>50000</v>
      </c>
      <c r="I24" s="58">
        <v>50000</v>
      </c>
      <c r="J24" s="71">
        <f t="shared" si="2"/>
        <v>200000</v>
      </c>
      <c r="K24" s="71">
        <f t="shared" si="0"/>
        <v>250000</v>
      </c>
      <c r="M24"/>
    </row>
    <row r="25" spans="1:13">
      <c r="A25" s="1" t="s">
        <v>2</v>
      </c>
      <c r="B25" s="4" t="s">
        <v>36</v>
      </c>
      <c r="C25" s="16">
        <v>0</v>
      </c>
      <c r="D25" s="17">
        <v>62985</v>
      </c>
      <c r="E25" s="17">
        <f t="shared" si="1"/>
        <v>62985</v>
      </c>
      <c r="F25" s="15">
        <v>0</v>
      </c>
      <c r="G25" s="16">
        <v>0</v>
      </c>
      <c r="H25" s="16">
        <v>0</v>
      </c>
      <c r="I25" s="58">
        <v>0</v>
      </c>
      <c r="J25" s="71">
        <f t="shared" si="2"/>
        <v>0</v>
      </c>
      <c r="K25" s="71">
        <f t="shared" si="0"/>
        <v>62985</v>
      </c>
      <c r="M25"/>
    </row>
    <row r="26" spans="1:13">
      <c r="A26" s="1" t="s">
        <v>2</v>
      </c>
      <c r="B26" s="4" t="s">
        <v>37</v>
      </c>
      <c r="C26" s="16">
        <v>0</v>
      </c>
      <c r="D26" s="17">
        <v>0</v>
      </c>
      <c r="E26" s="17">
        <f t="shared" si="1"/>
        <v>0</v>
      </c>
      <c r="F26" s="15">
        <v>0</v>
      </c>
      <c r="G26" s="16">
        <v>0</v>
      </c>
      <c r="H26" s="16">
        <v>0</v>
      </c>
      <c r="I26" s="58">
        <v>0</v>
      </c>
      <c r="J26" s="71">
        <f t="shared" si="2"/>
        <v>0</v>
      </c>
      <c r="K26" s="71">
        <f t="shared" si="0"/>
        <v>0</v>
      </c>
      <c r="M26"/>
    </row>
    <row r="27" spans="1:13">
      <c r="A27" s="1" t="s">
        <v>2</v>
      </c>
      <c r="B27" s="4" t="s">
        <v>38</v>
      </c>
      <c r="C27" s="16">
        <v>0</v>
      </c>
      <c r="D27" s="17">
        <v>0</v>
      </c>
      <c r="E27" s="17">
        <f t="shared" si="1"/>
        <v>0</v>
      </c>
      <c r="F27" s="15">
        <v>1000</v>
      </c>
      <c r="G27" s="16">
        <v>1000</v>
      </c>
      <c r="H27" s="16">
        <v>0</v>
      </c>
      <c r="I27" s="58">
        <v>1000</v>
      </c>
      <c r="J27" s="71">
        <f t="shared" si="2"/>
        <v>3000</v>
      </c>
      <c r="K27" s="71">
        <f t="shared" si="0"/>
        <v>3000</v>
      </c>
      <c r="M27"/>
    </row>
    <row r="28" spans="1:13">
      <c r="A28" s="1" t="s">
        <v>2</v>
      </c>
      <c r="B28" s="4" t="s">
        <v>39</v>
      </c>
      <c r="C28" s="16">
        <v>0</v>
      </c>
      <c r="D28" s="17">
        <v>3868</v>
      </c>
      <c r="E28" s="17">
        <f t="shared" si="1"/>
        <v>3868</v>
      </c>
      <c r="F28" s="15">
        <v>0</v>
      </c>
      <c r="G28" s="16">
        <v>0</v>
      </c>
      <c r="H28" s="16">
        <v>0</v>
      </c>
      <c r="I28" s="58">
        <v>0</v>
      </c>
      <c r="J28" s="71">
        <f t="shared" si="2"/>
        <v>0</v>
      </c>
      <c r="K28" s="71">
        <f t="shared" si="0"/>
        <v>3868</v>
      </c>
      <c r="M28"/>
    </row>
    <row r="29" spans="1:13">
      <c r="A29" s="1" t="s">
        <v>2</v>
      </c>
      <c r="B29" s="4" t="s">
        <v>40</v>
      </c>
      <c r="C29" s="16">
        <v>0</v>
      </c>
      <c r="D29" s="17">
        <v>0</v>
      </c>
      <c r="E29" s="17">
        <f t="shared" si="1"/>
        <v>0</v>
      </c>
      <c r="F29" s="15">
        <v>0</v>
      </c>
      <c r="G29" s="16">
        <v>0</v>
      </c>
      <c r="H29" s="16">
        <v>0</v>
      </c>
      <c r="I29" s="58">
        <v>0</v>
      </c>
      <c r="J29" s="71">
        <f t="shared" si="2"/>
        <v>0</v>
      </c>
      <c r="K29" s="71">
        <f t="shared" si="0"/>
        <v>0</v>
      </c>
      <c r="M29"/>
    </row>
    <row r="30" spans="1:13">
      <c r="A30" s="1" t="s">
        <v>2</v>
      </c>
      <c r="B30" s="4" t="s">
        <v>41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13000</v>
      </c>
      <c r="H30" s="16">
        <v>0</v>
      </c>
      <c r="I30" s="58">
        <v>13000</v>
      </c>
      <c r="J30" s="71">
        <f t="shared" si="2"/>
        <v>26000</v>
      </c>
      <c r="K30" s="71">
        <f t="shared" si="0"/>
        <v>26000</v>
      </c>
      <c r="M30"/>
    </row>
    <row r="31" spans="1:13">
      <c r="A31" s="1" t="s">
        <v>2</v>
      </c>
      <c r="B31" s="4" t="s">
        <v>42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16">
        <v>0</v>
      </c>
      <c r="I31" s="58">
        <v>0</v>
      </c>
      <c r="J31" s="71">
        <f t="shared" si="2"/>
        <v>0</v>
      </c>
      <c r="K31" s="71">
        <f t="shared" si="0"/>
        <v>0</v>
      </c>
      <c r="M31"/>
    </row>
    <row r="32" spans="1:13">
      <c r="A32" s="1" t="s">
        <v>2</v>
      </c>
      <c r="B32" s="4" t="s">
        <v>43</v>
      </c>
      <c r="C32" s="16">
        <v>0</v>
      </c>
      <c r="D32" s="17">
        <v>0</v>
      </c>
      <c r="E32" s="17">
        <f t="shared" si="1"/>
        <v>0</v>
      </c>
      <c r="F32" s="15">
        <v>0</v>
      </c>
      <c r="G32" s="16">
        <v>0</v>
      </c>
      <c r="H32" s="16">
        <v>0</v>
      </c>
      <c r="I32" s="58">
        <v>0</v>
      </c>
      <c r="J32" s="71">
        <f t="shared" si="2"/>
        <v>0</v>
      </c>
      <c r="K32" s="71">
        <f t="shared" si="0"/>
        <v>0</v>
      </c>
      <c r="M32"/>
    </row>
    <row r="33" spans="1:13">
      <c r="A33" s="1" t="s">
        <v>2</v>
      </c>
      <c r="B33" s="4" t="s">
        <v>26</v>
      </c>
      <c r="C33" s="16">
        <v>0</v>
      </c>
      <c r="D33" s="17">
        <v>0</v>
      </c>
      <c r="E33" s="17">
        <f t="shared" si="1"/>
        <v>0</v>
      </c>
      <c r="F33" s="15">
        <v>54120</v>
      </c>
      <c r="G33" s="16">
        <v>95011</v>
      </c>
      <c r="H33" s="16">
        <v>69659</v>
      </c>
      <c r="I33" s="58">
        <v>73640</v>
      </c>
      <c r="J33" s="71">
        <f t="shared" si="2"/>
        <v>292430</v>
      </c>
      <c r="K33" s="71">
        <f t="shared" si="0"/>
        <v>292430</v>
      </c>
      <c r="M33"/>
    </row>
    <row r="34" spans="1:13">
      <c r="A34" s="1" t="s">
        <v>2</v>
      </c>
      <c r="B34" s="4" t="s">
        <v>44</v>
      </c>
      <c r="C34" s="16">
        <v>0</v>
      </c>
      <c r="D34" s="17">
        <v>0</v>
      </c>
      <c r="E34" s="17">
        <f t="shared" si="1"/>
        <v>0</v>
      </c>
      <c r="F34" s="15">
        <v>15584</v>
      </c>
      <c r="G34" s="16">
        <v>18846</v>
      </c>
      <c r="H34" s="16">
        <v>22020</v>
      </c>
      <c r="I34" s="58">
        <v>0</v>
      </c>
      <c r="J34" s="71">
        <f t="shared" si="2"/>
        <v>56450</v>
      </c>
      <c r="K34" s="71">
        <f t="shared" si="0"/>
        <v>56450</v>
      </c>
      <c r="M34"/>
    </row>
    <row r="35" spans="1:13">
      <c r="A35" s="1" t="s">
        <v>2</v>
      </c>
      <c r="B35" s="4" t="s">
        <v>45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16">
        <v>0</v>
      </c>
      <c r="I35" s="58">
        <v>0</v>
      </c>
      <c r="J35" s="71">
        <f t="shared" si="2"/>
        <v>0</v>
      </c>
      <c r="K35" s="71">
        <f t="shared" si="0"/>
        <v>0</v>
      </c>
      <c r="M35"/>
    </row>
    <row r="36" spans="1:13" ht="19.5" thickBot="1">
      <c r="A36" s="1" t="s">
        <v>2</v>
      </c>
      <c r="B36" s="35" t="s">
        <v>30</v>
      </c>
      <c r="C36" s="37">
        <v>606</v>
      </c>
      <c r="D36" s="38">
        <v>0</v>
      </c>
      <c r="E36" s="38">
        <f t="shared" si="1"/>
        <v>606</v>
      </c>
      <c r="F36" s="36">
        <v>2527</v>
      </c>
      <c r="G36" s="37">
        <v>5044</v>
      </c>
      <c r="H36" s="37">
        <v>2720</v>
      </c>
      <c r="I36" s="59">
        <v>3680</v>
      </c>
      <c r="J36" s="72">
        <f t="shared" si="2"/>
        <v>13971</v>
      </c>
      <c r="K36" s="72">
        <f t="shared" si="0"/>
        <v>14577</v>
      </c>
      <c r="M36"/>
    </row>
    <row r="37" spans="1:13" ht="19.5" thickBot="1">
      <c r="A37" s="1" t="s">
        <v>2</v>
      </c>
      <c r="B37" s="39" t="s">
        <v>46</v>
      </c>
      <c r="C37" s="41">
        <v>405606</v>
      </c>
      <c r="D37" s="42">
        <v>66853</v>
      </c>
      <c r="E37" s="42">
        <f t="shared" si="1"/>
        <v>472459</v>
      </c>
      <c r="F37" s="40">
        <v>313231</v>
      </c>
      <c r="G37" s="41">
        <v>377901</v>
      </c>
      <c r="H37" s="41">
        <v>321399</v>
      </c>
      <c r="I37" s="60">
        <v>323320</v>
      </c>
      <c r="J37" s="73">
        <f t="shared" si="2"/>
        <v>1335851</v>
      </c>
      <c r="K37" s="73">
        <f t="shared" si="0"/>
        <v>1808310</v>
      </c>
      <c r="M37"/>
    </row>
    <row r="38" spans="1:13" ht="19.5" thickBot="1">
      <c r="A38" s="1" t="s">
        <v>2</v>
      </c>
      <c r="B38" s="21" t="s">
        <v>47</v>
      </c>
      <c r="C38" s="30">
        <v>10482</v>
      </c>
      <c r="D38" s="31">
        <v>0</v>
      </c>
      <c r="E38" s="31">
        <f t="shared" si="1"/>
        <v>10482</v>
      </c>
      <c r="F38" s="29">
        <v>6296</v>
      </c>
      <c r="G38" s="30">
        <v>1440</v>
      </c>
      <c r="H38" s="30">
        <v>14919</v>
      </c>
      <c r="I38" s="57">
        <v>0</v>
      </c>
      <c r="J38" s="70">
        <f t="shared" si="2"/>
        <v>22655</v>
      </c>
      <c r="K38" s="70">
        <f t="shared" si="0"/>
        <v>33137</v>
      </c>
      <c r="M38"/>
    </row>
    <row r="39" spans="1:13" ht="19.5" thickBot="1">
      <c r="A39" s="1" t="s">
        <v>2</v>
      </c>
      <c r="B39" s="39" t="s">
        <v>48</v>
      </c>
      <c r="C39" s="41">
        <v>10482</v>
      </c>
      <c r="D39" s="42">
        <v>0</v>
      </c>
      <c r="E39" s="42">
        <f t="shared" si="1"/>
        <v>10482</v>
      </c>
      <c r="F39" s="40">
        <v>6296</v>
      </c>
      <c r="G39" s="41">
        <v>1440</v>
      </c>
      <c r="H39" s="41">
        <v>14919</v>
      </c>
      <c r="I39" s="60">
        <v>0</v>
      </c>
      <c r="J39" s="73">
        <f t="shared" si="2"/>
        <v>22655</v>
      </c>
      <c r="K39" s="73">
        <f t="shared" si="0"/>
        <v>33137</v>
      </c>
      <c r="M39"/>
    </row>
    <row r="40" spans="1:13" ht="19.5" thickBot="1">
      <c r="A40" s="1" t="s">
        <v>2</v>
      </c>
      <c r="B40" s="39" t="s">
        <v>49</v>
      </c>
      <c r="C40" s="41">
        <v>416088</v>
      </c>
      <c r="D40" s="42">
        <v>66853</v>
      </c>
      <c r="E40" s="42">
        <f t="shared" si="1"/>
        <v>482941</v>
      </c>
      <c r="F40" s="40">
        <v>319527</v>
      </c>
      <c r="G40" s="41">
        <v>379341</v>
      </c>
      <c r="H40" s="41">
        <v>336318</v>
      </c>
      <c r="I40" s="60">
        <v>323320</v>
      </c>
      <c r="J40" s="73">
        <f t="shared" si="2"/>
        <v>1358506</v>
      </c>
      <c r="K40" s="73">
        <f t="shared" si="0"/>
        <v>1841447</v>
      </c>
      <c r="M40"/>
    </row>
    <row r="41" spans="1:13">
      <c r="A41" s="1" t="s">
        <v>2</v>
      </c>
      <c r="B41" s="21" t="s">
        <v>50</v>
      </c>
      <c r="C41" s="30">
        <v>20910</v>
      </c>
      <c r="D41" s="31">
        <v>0</v>
      </c>
      <c r="E41" s="31">
        <f t="shared" si="1"/>
        <v>20910</v>
      </c>
      <c r="F41" s="29">
        <v>17340</v>
      </c>
      <c r="G41" s="30">
        <v>19380</v>
      </c>
      <c r="H41" s="30">
        <v>18360</v>
      </c>
      <c r="I41" s="57">
        <v>18360</v>
      </c>
      <c r="J41" s="70">
        <f t="shared" si="2"/>
        <v>73440</v>
      </c>
      <c r="K41" s="70">
        <f t="shared" si="0"/>
        <v>94350</v>
      </c>
      <c r="M41"/>
    </row>
    <row r="42" spans="1:13">
      <c r="A42" s="1" t="s">
        <v>2</v>
      </c>
      <c r="B42" s="4" t="s">
        <v>51</v>
      </c>
      <c r="C42" s="16">
        <v>3690</v>
      </c>
      <c r="D42" s="17">
        <v>0</v>
      </c>
      <c r="E42" s="17">
        <f t="shared" si="1"/>
        <v>3690</v>
      </c>
      <c r="F42" s="15">
        <v>3060</v>
      </c>
      <c r="G42" s="16">
        <v>3420</v>
      </c>
      <c r="H42" s="16">
        <v>3240</v>
      </c>
      <c r="I42" s="58">
        <v>3240</v>
      </c>
      <c r="J42" s="71">
        <f t="shared" si="2"/>
        <v>12960</v>
      </c>
      <c r="K42" s="71">
        <f t="shared" si="0"/>
        <v>16650</v>
      </c>
      <c r="M42"/>
    </row>
    <row r="43" spans="1:13">
      <c r="A43" s="1" t="s">
        <v>2</v>
      </c>
      <c r="B43" s="4" t="s">
        <v>52</v>
      </c>
      <c r="C43" s="16">
        <v>37515</v>
      </c>
      <c r="D43" s="17">
        <v>0</v>
      </c>
      <c r="E43" s="17">
        <f t="shared" si="1"/>
        <v>37515</v>
      </c>
      <c r="F43" s="15">
        <v>31110</v>
      </c>
      <c r="G43" s="16">
        <v>34770</v>
      </c>
      <c r="H43" s="16">
        <v>32940</v>
      </c>
      <c r="I43" s="58">
        <v>32940</v>
      </c>
      <c r="J43" s="71">
        <f t="shared" si="2"/>
        <v>131760</v>
      </c>
      <c r="K43" s="71">
        <f t="shared" si="0"/>
        <v>169275</v>
      </c>
      <c r="M43"/>
    </row>
    <row r="44" spans="1:13" ht="19.5" thickBot="1">
      <c r="A44" s="1" t="s">
        <v>2</v>
      </c>
      <c r="B44" s="4" t="s">
        <v>53</v>
      </c>
      <c r="C44" s="16">
        <v>1248</v>
      </c>
      <c r="D44" s="17">
        <v>0</v>
      </c>
      <c r="E44" s="17">
        <f t="shared" si="1"/>
        <v>1248</v>
      </c>
      <c r="F44" s="15">
        <v>959</v>
      </c>
      <c r="G44" s="16">
        <v>1138</v>
      </c>
      <c r="H44" s="16">
        <v>1009</v>
      </c>
      <c r="I44" s="58">
        <v>970</v>
      </c>
      <c r="J44" s="71">
        <f t="shared" si="2"/>
        <v>4076</v>
      </c>
      <c r="K44" s="71">
        <f t="shared" si="0"/>
        <v>5324</v>
      </c>
      <c r="M44"/>
    </row>
    <row r="45" spans="1:13" ht="19.5" thickBot="1">
      <c r="A45" s="1" t="s">
        <v>2</v>
      </c>
      <c r="B45" s="39" t="s">
        <v>54</v>
      </c>
      <c r="C45" s="41">
        <v>63363</v>
      </c>
      <c r="D45" s="42">
        <v>0</v>
      </c>
      <c r="E45" s="42">
        <f t="shared" si="1"/>
        <v>63363</v>
      </c>
      <c r="F45" s="40">
        <v>52469</v>
      </c>
      <c r="G45" s="41">
        <v>58708</v>
      </c>
      <c r="H45" s="41">
        <v>55549</v>
      </c>
      <c r="I45" s="60">
        <v>55510</v>
      </c>
      <c r="J45" s="73">
        <f t="shared" si="2"/>
        <v>222236</v>
      </c>
      <c r="K45" s="73">
        <f t="shared" si="0"/>
        <v>285599</v>
      </c>
      <c r="M45"/>
    </row>
    <row r="46" spans="1:13">
      <c r="A46" s="1" t="s">
        <v>2</v>
      </c>
      <c r="B46" s="21" t="s">
        <v>55</v>
      </c>
      <c r="C46" s="30">
        <v>8600</v>
      </c>
      <c r="D46" s="31">
        <v>0</v>
      </c>
      <c r="E46" s="31">
        <f t="shared" si="1"/>
        <v>8600</v>
      </c>
      <c r="F46" s="29">
        <v>6940</v>
      </c>
      <c r="G46" s="30">
        <v>9950</v>
      </c>
      <c r="H46" s="30">
        <v>7120</v>
      </c>
      <c r="I46" s="57">
        <v>3950</v>
      </c>
      <c r="J46" s="70">
        <f t="shared" si="2"/>
        <v>27960</v>
      </c>
      <c r="K46" s="70">
        <f t="shared" si="0"/>
        <v>36560</v>
      </c>
      <c r="M46"/>
    </row>
    <row r="47" spans="1:13">
      <c r="A47" s="1" t="s">
        <v>2</v>
      </c>
      <c r="B47" s="4" t="s">
        <v>56</v>
      </c>
      <c r="C47" s="16">
        <v>0</v>
      </c>
      <c r="D47" s="17">
        <v>0</v>
      </c>
      <c r="E47" s="17">
        <f t="shared" si="1"/>
        <v>0</v>
      </c>
      <c r="F47" s="15">
        <v>0</v>
      </c>
      <c r="G47" s="16">
        <v>0</v>
      </c>
      <c r="H47" s="16">
        <v>0</v>
      </c>
      <c r="I47" s="58">
        <v>0</v>
      </c>
      <c r="J47" s="71">
        <f t="shared" si="2"/>
        <v>0</v>
      </c>
      <c r="K47" s="71">
        <f t="shared" ref="K47:K54" si="3">E47+J47</f>
        <v>0</v>
      </c>
      <c r="M47"/>
    </row>
    <row r="48" spans="1:13">
      <c r="A48" s="1" t="s">
        <v>2</v>
      </c>
      <c r="B48" s="4" t="s">
        <v>57</v>
      </c>
      <c r="C48" s="16">
        <v>16300</v>
      </c>
      <c r="D48" s="17">
        <v>0</v>
      </c>
      <c r="E48" s="17">
        <f t="shared" si="1"/>
        <v>16300</v>
      </c>
      <c r="F48" s="15">
        <v>14800</v>
      </c>
      <c r="G48" s="16">
        <v>17000</v>
      </c>
      <c r="H48" s="16">
        <v>12100</v>
      </c>
      <c r="I48" s="58">
        <v>5000</v>
      </c>
      <c r="J48" s="71">
        <f t="shared" si="2"/>
        <v>48900</v>
      </c>
      <c r="K48" s="71">
        <f t="shared" si="3"/>
        <v>65200</v>
      </c>
      <c r="M48"/>
    </row>
    <row r="49" spans="1:13" ht="19.5" thickBot="1">
      <c r="A49" s="1" t="s">
        <v>2</v>
      </c>
      <c r="B49" s="4" t="s">
        <v>58</v>
      </c>
      <c r="C49" s="16">
        <v>0</v>
      </c>
      <c r="D49" s="17">
        <v>0</v>
      </c>
      <c r="E49" s="17">
        <f t="shared" si="1"/>
        <v>0</v>
      </c>
      <c r="F49" s="15">
        <v>0</v>
      </c>
      <c r="G49" s="16">
        <v>0</v>
      </c>
      <c r="H49" s="16">
        <v>0</v>
      </c>
      <c r="I49" s="58">
        <v>0</v>
      </c>
      <c r="J49" s="71">
        <f t="shared" si="2"/>
        <v>0</v>
      </c>
      <c r="K49" s="71">
        <f t="shared" si="3"/>
        <v>0</v>
      </c>
      <c r="M49"/>
    </row>
    <row r="50" spans="1:13" ht="19.5" thickBot="1">
      <c r="A50" s="1" t="s">
        <v>2</v>
      </c>
      <c r="B50" s="39" t="s">
        <v>59</v>
      </c>
      <c r="C50" s="41">
        <v>88263</v>
      </c>
      <c r="D50" s="42">
        <v>0</v>
      </c>
      <c r="E50" s="42">
        <f t="shared" si="1"/>
        <v>88263</v>
      </c>
      <c r="F50" s="40">
        <v>74209</v>
      </c>
      <c r="G50" s="41">
        <v>85658</v>
      </c>
      <c r="H50" s="41">
        <v>74769</v>
      </c>
      <c r="I50" s="60">
        <v>64460</v>
      </c>
      <c r="J50" s="73">
        <f t="shared" si="2"/>
        <v>299096</v>
      </c>
      <c r="K50" s="73">
        <f t="shared" si="3"/>
        <v>387359</v>
      </c>
      <c r="M50"/>
    </row>
    <row r="51" spans="1:13" ht="19.5" thickBot="1">
      <c r="A51" s="1" t="s">
        <v>2</v>
      </c>
      <c r="B51" s="39" t="s">
        <v>60</v>
      </c>
      <c r="C51" s="41">
        <v>342243</v>
      </c>
      <c r="D51" s="42">
        <v>66853</v>
      </c>
      <c r="E51" s="42">
        <f t="shared" si="1"/>
        <v>409096</v>
      </c>
      <c r="F51" s="40">
        <v>260762</v>
      </c>
      <c r="G51" s="41">
        <v>319193</v>
      </c>
      <c r="H51" s="41">
        <v>265850</v>
      </c>
      <c r="I51" s="60">
        <v>267810</v>
      </c>
      <c r="J51" s="73">
        <f t="shared" si="2"/>
        <v>1113615</v>
      </c>
      <c r="K51" s="73">
        <f t="shared" si="3"/>
        <v>1522711</v>
      </c>
      <c r="M51"/>
    </row>
    <row r="52" spans="1:13" ht="19.5" thickBot="1">
      <c r="A52" s="1" t="s">
        <v>2</v>
      </c>
      <c r="B52" s="39" t="s">
        <v>61</v>
      </c>
      <c r="C52" s="41">
        <v>327825</v>
      </c>
      <c r="D52" s="42">
        <v>66853</v>
      </c>
      <c r="E52" s="42">
        <f t="shared" si="1"/>
        <v>394678</v>
      </c>
      <c r="F52" s="40">
        <v>245318</v>
      </c>
      <c r="G52" s="41">
        <v>293683</v>
      </c>
      <c r="H52" s="41">
        <v>261549</v>
      </c>
      <c r="I52" s="60">
        <v>258860</v>
      </c>
      <c r="J52" s="73">
        <f t="shared" si="2"/>
        <v>1059410</v>
      </c>
      <c r="K52" s="73">
        <f t="shared" si="3"/>
        <v>1454088</v>
      </c>
      <c r="M52"/>
    </row>
    <row r="53" spans="1:13">
      <c r="A53" s="1" t="s">
        <v>2</v>
      </c>
      <c r="B53" s="21" t="s">
        <v>62</v>
      </c>
      <c r="C53" s="30">
        <v>0</v>
      </c>
      <c r="D53" s="31">
        <v>0</v>
      </c>
      <c r="E53" s="31">
        <f t="shared" si="1"/>
        <v>0</v>
      </c>
      <c r="F53" s="29">
        <v>0</v>
      </c>
      <c r="G53" s="30">
        <v>0</v>
      </c>
      <c r="H53" s="30">
        <v>0</v>
      </c>
      <c r="I53" s="57">
        <v>0</v>
      </c>
      <c r="J53" s="70">
        <f t="shared" si="2"/>
        <v>0</v>
      </c>
      <c r="K53" s="70">
        <f t="shared" si="3"/>
        <v>0</v>
      </c>
      <c r="M53"/>
    </row>
    <row r="54" spans="1:13">
      <c r="A54" s="1" t="s">
        <v>2</v>
      </c>
      <c r="B54" s="4" t="s">
        <v>63</v>
      </c>
      <c r="C54" s="16">
        <v>327825</v>
      </c>
      <c r="D54" s="17">
        <v>66853</v>
      </c>
      <c r="E54" s="17">
        <f t="shared" si="1"/>
        <v>394678</v>
      </c>
      <c r="F54" s="15">
        <v>245318</v>
      </c>
      <c r="G54" s="16">
        <v>293683</v>
      </c>
      <c r="H54" s="16">
        <v>261549</v>
      </c>
      <c r="I54" s="58">
        <v>258860</v>
      </c>
      <c r="J54" s="71">
        <f t="shared" si="2"/>
        <v>1059410</v>
      </c>
      <c r="K54" s="71">
        <f t="shared" si="3"/>
        <v>1454088</v>
      </c>
      <c r="M54"/>
    </row>
    <row r="55" spans="1:13">
      <c r="A55" s="1" t="s">
        <v>2</v>
      </c>
      <c r="B55" s="4" t="s">
        <v>64</v>
      </c>
      <c r="C55" s="16">
        <v>1</v>
      </c>
      <c r="D55" s="17">
        <v>0</v>
      </c>
      <c r="E55" s="47"/>
      <c r="F55" s="15">
        <v>0</v>
      </c>
      <c r="G55" s="16">
        <v>0</v>
      </c>
      <c r="H55" s="16">
        <v>0</v>
      </c>
      <c r="I55" s="58">
        <v>2</v>
      </c>
      <c r="J55" s="71"/>
      <c r="K55" s="71"/>
    </row>
    <row r="56" spans="1:13" ht="19.5" thickBot="1">
      <c r="A56" s="1" t="s">
        <v>2</v>
      </c>
      <c r="B56" s="5" t="s">
        <v>65</v>
      </c>
      <c r="C56" s="19" t="s">
        <v>66</v>
      </c>
      <c r="D56" s="20" t="s">
        <v>66</v>
      </c>
      <c r="E56" s="48"/>
      <c r="F56" s="18" t="s">
        <v>66</v>
      </c>
      <c r="G56" s="19" t="s">
        <v>66</v>
      </c>
      <c r="H56" s="19" t="s">
        <v>66</v>
      </c>
      <c r="I56" s="61" t="s">
        <v>66</v>
      </c>
      <c r="J56" s="74"/>
      <c r="K56" s="74"/>
    </row>
  </sheetData>
  <phoneticPr fontId="3"/>
  <pageMargins left="0.31496062992125984" right="0.31496062992125984" top="0.15748031496062992" bottom="0.15748031496062992" header="0" footer="0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2021年11月度給与 (2)</vt:lpstr>
      <vt:lpstr>'2021年11月度給与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2021-12-11T02:23:01Z</cp:lastPrinted>
  <dcterms:created xsi:type="dcterms:W3CDTF">2021-12-07T05:18:42Z</dcterms:created>
  <dcterms:modified xsi:type="dcterms:W3CDTF">2021-12-11T06:52:08Z</dcterms:modified>
</cp:coreProperties>
</file>