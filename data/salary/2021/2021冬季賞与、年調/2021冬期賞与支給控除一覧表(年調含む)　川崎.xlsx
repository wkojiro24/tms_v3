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冬季賞与、年調\"/>
    </mc:Choice>
  </mc:AlternateContent>
  <xr:revisionPtr revIDLastSave="0" documentId="13_ncr:1_{9A3D6357-8E75-41E8-A408-7E4FD50A6350}" xr6:coauthVersionLast="47" xr6:coauthVersionMax="47" xr10:uidLastSave="{00000000-0000-0000-0000-000000000000}"/>
  <bookViews>
    <workbookView xWindow="-120" yWindow="-120" windowWidth="20730" windowHeight="11160" xr2:uid="{FDF08980-4235-4923-A03B-FF25C4DF6D87}"/>
  </bookViews>
  <sheets>
    <sheet name="3年冬賞与 (2)" sheetId="3" r:id="rId1"/>
  </sheets>
  <definedNames>
    <definedName name="_xlnm.Print_Area" localSheetId="0">'3年冬賞与 (2)'!$A$1:$J$30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3" l="1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7" i="3"/>
</calcChain>
</file>

<file path=xl/sharedStrings.xml><?xml version="1.0" encoding="utf-8"?>
<sst xmlns="http://schemas.openxmlformats.org/spreadsheetml/2006/main" count="69" uniqueCount="45">
  <si>
    <t>賞与支給控除一覧表</t>
    <phoneticPr fontId="4"/>
  </si>
  <si>
    <t>若林運送株式会社</t>
    <phoneticPr fontId="4"/>
  </si>
  <si>
    <t>2021年12月20日 作成</t>
    <phoneticPr fontId="4"/>
  </si>
  <si>
    <t/>
  </si>
  <si>
    <t>3年冬賞与</t>
    <phoneticPr fontId="4"/>
  </si>
  <si>
    <t>1049</t>
    <phoneticPr fontId="4"/>
  </si>
  <si>
    <t>1050</t>
    <phoneticPr fontId="4"/>
  </si>
  <si>
    <t>1062</t>
    <phoneticPr fontId="4"/>
  </si>
  <si>
    <t>1078</t>
    <phoneticPr fontId="4"/>
  </si>
  <si>
    <t>1090</t>
    <phoneticPr fontId="4"/>
  </si>
  <si>
    <t>項目名</t>
    <phoneticPr fontId="4"/>
  </si>
  <si>
    <t>菅原幸志</t>
    <phoneticPr fontId="4"/>
  </si>
  <si>
    <t>伊藤正典</t>
    <phoneticPr fontId="4"/>
  </si>
  <si>
    <t>上野誠也</t>
    <phoneticPr fontId="4"/>
  </si>
  <si>
    <t>伊藤尚</t>
    <phoneticPr fontId="4"/>
  </si>
  <si>
    <t>橋本淳志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</si>
  <si>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</si>
  <si>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</si>
  <si>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</si>
  <si>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</si>
  <si>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</si>
  <si>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</si>
  <si>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</si>
  <si>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</si>
  <si>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</si>
  <si>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</si>
  <si>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</si>
  <si>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</si>
  <si>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</si>
  <si>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</si>
  <si>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</si>
  <si>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</si>
  <si>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</si>
  <si>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</si>
  <si>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</si>
  <si>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</si>
  <si>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</si>
  <si>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</si>
  <si>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</si>
  <si>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</si>
  <si>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</si>
  <si>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</si>
  <si>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１名</t>
    <rPh sb="1" eb="2">
      <t>メイ</t>
    </rPh>
    <phoneticPr fontId="3"/>
  </si>
  <si>
    <t>４名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</si>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</sst>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176" fontId="2" fillId="0" borderId="9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0" fontId="2" fillId="0" borderId="27" xfId="1" applyFont="1" applyBorder="1"/>
    <xf numFmtId="49" fontId="2" fillId="0" borderId="2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right"/>
    </xf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176" fontId="2" fillId="0" borderId="32" xfId="1" applyNumberFormat="1" applyFont="1" applyBorder="1"/>
    <xf numFmtId="3" fontId="2" fillId="0" borderId="30" xfId="1" applyNumberFormat="1" applyFont="1" applyBorder="1"/>
    <xf numFmtId="49" fontId="2" fillId="0" borderId="35" xfId="1" applyNumberFormat="1" applyFont="1" applyBorder="1" applyAlignment="1">
      <alignment horizontal="left"/>
    </xf>
    <xf numFmtId="49" fontId="2" fillId="0" borderId="36" xfId="1" applyNumberFormat="1" applyFont="1" applyBorder="1" applyAlignment="1">
      <alignment horizontal="right"/>
    </xf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28" xfId="1" applyNumberFormat="1" applyFont="1" applyBorder="1"/>
    <xf numFmtId="176" fontId="2" fillId="0" borderId="38" xfId="1" applyNumberFormat="1" applyFont="1" applyBorder="1"/>
    <xf numFmtId="3" fontId="2" fillId="0" borderId="36" xfId="1" applyNumberFormat="1" applyFont="1" applyBorder="1"/>
    <xf numFmtId="0" fontId="2" fillId="0" borderId="5" xfId="1" applyFont="1" applyBorder="1" applyAlignment="1">
      <alignment horizontal="right"/>
    </xf>
  </cellXfs>
  <cellStyles count="2">
    <cellStyle name="標準" xfId="0" builtinId="0"/>
    <cellStyle name="標準 2" xfId="1" xr:uid="{BA958E0A-A07B-4EEF-AD44-2BBED2B8F3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28BA-3969-4352-B792-FCA4F5A76521}">
  <sheetPr>
    <pageSetUpPr fitToPage="1"/>
  </sheetPr>
  <dimension ref="A1:L30"/>
  <sheetViews>
    <sheetView showZeros="0" tabSelected="1" workbookViewId="0">
      <selection activeCell="I7" sqref="I7"/>
    </sheetView>
  </sheetViews>
  <sheetFormatPr defaultRowHeight="18.75"/>
  <cols>
    <col min="1" max="1" width="2.375" style="2" customWidth="1"/>
    <col min="2" max="2" width="13.25" style="2" bestFit="1" customWidth="1"/>
    <col min="3" max="10" width="10.75" style="2" customWidth="1"/>
    <col min="11" max="257" width="9" style="2"/>
    <col min="258" max="258" width="2.375" style="2" customWidth="1"/>
    <col min="259" max="259" width="13.25" style="2" bestFit="1" customWidth="1"/>
    <col min="260" max="513" width="9" style="2"/>
    <col min="514" max="514" width="2.375" style="2" customWidth="1"/>
    <col min="515" max="515" width="13.25" style="2" bestFit="1" customWidth="1"/>
    <col min="516" max="769" width="9" style="2"/>
    <col min="770" max="770" width="2.375" style="2" customWidth="1"/>
    <col min="771" max="771" width="13.25" style="2" bestFit="1" customWidth="1"/>
    <col min="772" max="1025" width="9" style="2"/>
    <col min="1026" max="1026" width="2.375" style="2" customWidth="1"/>
    <col min="1027" max="1027" width="13.25" style="2" bestFit="1" customWidth="1"/>
    <col min="1028" max="1281" width="9" style="2"/>
    <col min="1282" max="1282" width="2.375" style="2" customWidth="1"/>
    <col min="1283" max="1283" width="13.25" style="2" bestFit="1" customWidth="1"/>
    <col min="1284" max="1537" width="9" style="2"/>
    <col min="1538" max="1538" width="2.375" style="2" customWidth="1"/>
    <col min="1539" max="1539" width="13.25" style="2" bestFit="1" customWidth="1"/>
    <col min="1540" max="1793" width="9" style="2"/>
    <col min="1794" max="1794" width="2.375" style="2" customWidth="1"/>
    <col min="1795" max="1795" width="13.25" style="2" bestFit="1" customWidth="1"/>
    <col min="1796" max="2049" width="9" style="2"/>
    <col min="2050" max="2050" width="2.375" style="2" customWidth="1"/>
    <col min="2051" max="2051" width="13.25" style="2" bestFit="1" customWidth="1"/>
    <col min="2052" max="2305" width="9" style="2"/>
    <col min="2306" max="2306" width="2.375" style="2" customWidth="1"/>
    <col min="2307" max="2307" width="13.25" style="2" bestFit="1" customWidth="1"/>
    <col min="2308" max="2561" width="9" style="2"/>
    <col min="2562" max="2562" width="2.375" style="2" customWidth="1"/>
    <col min="2563" max="2563" width="13.25" style="2" bestFit="1" customWidth="1"/>
    <col min="2564" max="2817" width="9" style="2"/>
    <col min="2818" max="2818" width="2.375" style="2" customWidth="1"/>
    <col min="2819" max="2819" width="13.25" style="2" bestFit="1" customWidth="1"/>
    <col min="2820" max="3073" width="9" style="2"/>
    <col min="3074" max="3074" width="2.375" style="2" customWidth="1"/>
    <col min="3075" max="3075" width="13.25" style="2" bestFit="1" customWidth="1"/>
    <col min="3076" max="3329" width="9" style="2"/>
    <col min="3330" max="3330" width="2.375" style="2" customWidth="1"/>
    <col min="3331" max="3331" width="13.25" style="2" bestFit="1" customWidth="1"/>
    <col min="3332" max="3585" width="9" style="2"/>
    <col min="3586" max="3586" width="2.375" style="2" customWidth="1"/>
    <col min="3587" max="3587" width="13.25" style="2" bestFit="1" customWidth="1"/>
    <col min="3588" max="3841" width="9" style="2"/>
    <col min="3842" max="3842" width="2.375" style="2" customWidth="1"/>
    <col min="3843" max="3843" width="13.25" style="2" bestFit="1" customWidth="1"/>
    <col min="3844" max="4097" width="9" style="2"/>
    <col min="4098" max="4098" width="2.375" style="2" customWidth="1"/>
    <col min="4099" max="4099" width="13.25" style="2" bestFit="1" customWidth="1"/>
    <col min="4100" max="4353" width="9" style="2"/>
    <col min="4354" max="4354" width="2.375" style="2" customWidth="1"/>
    <col min="4355" max="4355" width="13.25" style="2" bestFit="1" customWidth="1"/>
    <col min="4356" max="4609" width="9" style="2"/>
    <col min="4610" max="4610" width="2.375" style="2" customWidth="1"/>
    <col min="4611" max="4611" width="13.25" style="2" bestFit="1" customWidth="1"/>
    <col min="4612" max="4865" width="9" style="2"/>
    <col min="4866" max="4866" width="2.375" style="2" customWidth="1"/>
    <col min="4867" max="4867" width="13.25" style="2" bestFit="1" customWidth="1"/>
    <col min="4868" max="5121" width="9" style="2"/>
    <col min="5122" max="5122" width="2.375" style="2" customWidth="1"/>
    <col min="5123" max="5123" width="13.25" style="2" bestFit="1" customWidth="1"/>
    <col min="5124" max="5377" width="9" style="2"/>
    <col min="5378" max="5378" width="2.375" style="2" customWidth="1"/>
    <col min="5379" max="5379" width="13.25" style="2" bestFit="1" customWidth="1"/>
    <col min="5380" max="5633" width="9" style="2"/>
    <col min="5634" max="5634" width="2.375" style="2" customWidth="1"/>
    <col min="5635" max="5635" width="13.25" style="2" bestFit="1" customWidth="1"/>
    <col min="5636" max="5889" width="9" style="2"/>
    <col min="5890" max="5890" width="2.375" style="2" customWidth="1"/>
    <col min="5891" max="5891" width="13.25" style="2" bestFit="1" customWidth="1"/>
    <col min="5892" max="6145" width="9" style="2"/>
    <col min="6146" max="6146" width="2.375" style="2" customWidth="1"/>
    <col min="6147" max="6147" width="13.25" style="2" bestFit="1" customWidth="1"/>
    <col min="6148" max="6401" width="9" style="2"/>
    <col min="6402" max="6402" width="2.375" style="2" customWidth="1"/>
    <col min="6403" max="6403" width="13.25" style="2" bestFit="1" customWidth="1"/>
    <col min="6404" max="6657" width="9" style="2"/>
    <col min="6658" max="6658" width="2.375" style="2" customWidth="1"/>
    <col min="6659" max="6659" width="13.25" style="2" bestFit="1" customWidth="1"/>
    <col min="6660" max="6913" width="9" style="2"/>
    <col min="6914" max="6914" width="2.375" style="2" customWidth="1"/>
    <col min="6915" max="6915" width="13.25" style="2" bestFit="1" customWidth="1"/>
    <col min="6916" max="7169" width="9" style="2"/>
    <col min="7170" max="7170" width="2.375" style="2" customWidth="1"/>
    <col min="7171" max="7171" width="13.25" style="2" bestFit="1" customWidth="1"/>
    <col min="7172" max="7425" width="9" style="2"/>
    <col min="7426" max="7426" width="2.375" style="2" customWidth="1"/>
    <col min="7427" max="7427" width="13.25" style="2" bestFit="1" customWidth="1"/>
    <col min="7428" max="7681" width="9" style="2"/>
    <col min="7682" max="7682" width="2.375" style="2" customWidth="1"/>
    <col min="7683" max="7683" width="13.25" style="2" bestFit="1" customWidth="1"/>
    <col min="7684" max="7937" width="9" style="2"/>
    <col min="7938" max="7938" width="2.375" style="2" customWidth="1"/>
    <col min="7939" max="7939" width="13.25" style="2" bestFit="1" customWidth="1"/>
    <col min="7940" max="8193" width="9" style="2"/>
    <col min="8194" max="8194" width="2.375" style="2" customWidth="1"/>
    <col min="8195" max="8195" width="13.25" style="2" bestFit="1" customWidth="1"/>
    <col min="8196" max="8449" width="9" style="2"/>
    <col min="8450" max="8450" width="2.375" style="2" customWidth="1"/>
    <col min="8451" max="8451" width="13.25" style="2" bestFit="1" customWidth="1"/>
    <col min="8452" max="8705" width="9" style="2"/>
    <col min="8706" max="8706" width="2.375" style="2" customWidth="1"/>
    <col min="8707" max="8707" width="13.25" style="2" bestFit="1" customWidth="1"/>
    <col min="8708" max="8961" width="9" style="2"/>
    <col min="8962" max="8962" width="2.375" style="2" customWidth="1"/>
    <col min="8963" max="8963" width="13.25" style="2" bestFit="1" customWidth="1"/>
    <col min="8964" max="9217" width="9" style="2"/>
    <col min="9218" max="9218" width="2.375" style="2" customWidth="1"/>
    <col min="9219" max="9219" width="13.25" style="2" bestFit="1" customWidth="1"/>
    <col min="9220" max="9473" width="9" style="2"/>
    <col min="9474" max="9474" width="2.375" style="2" customWidth="1"/>
    <col min="9475" max="9475" width="13.25" style="2" bestFit="1" customWidth="1"/>
    <col min="9476" max="9729" width="9" style="2"/>
    <col min="9730" max="9730" width="2.375" style="2" customWidth="1"/>
    <col min="9731" max="9731" width="13.25" style="2" bestFit="1" customWidth="1"/>
    <col min="9732" max="9985" width="9" style="2"/>
    <col min="9986" max="9986" width="2.375" style="2" customWidth="1"/>
    <col min="9987" max="9987" width="13.25" style="2" bestFit="1" customWidth="1"/>
    <col min="9988" max="10241" width="9" style="2"/>
    <col min="10242" max="10242" width="2.375" style="2" customWidth="1"/>
    <col min="10243" max="10243" width="13.25" style="2" bestFit="1" customWidth="1"/>
    <col min="10244" max="10497" width="9" style="2"/>
    <col min="10498" max="10498" width="2.375" style="2" customWidth="1"/>
    <col min="10499" max="10499" width="13.25" style="2" bestFit="1" customWidth="1"/>
    <col min="10500" max="10753" width="9" style="2"/>
    <col min="10754" max="10754" width="2.375" style="2" customWidth="1"/>
    <col min="10755" max="10755" width="13.25" style="2" bestFit="1" customWidth="1"/>
    <col min="10756" max="11009" width="9" style="2"/>
    <col min="11010" max="11010" width="2.375" style="2" customWidth="1"/>
    <col min="11011" max="11011" width="13.25" style="2" bestFit="1" customWidth="1"/>
    <col min="11012" max="11265" width="9" style="2"/>
    <col min="11266" max="11266" width="2.375" style="2" customWidth="1"/>
    <col min="11267" max="11267" width="13.25" style="2" bestFit="1" customWidth="1"/>
    <col min="11268" max="11521" width="9" style="2"/>
    <col min="11522" max="11522" width="2.375" style="2" customWidth="1"/>
    <col min="11523" max="11523" width="13.25" style="2" bestFit="1" customWidth="1"/>
    <col min="11524" max="11777" width="9" style="2"/>
    <col min="11778" max="11778" width="2.375" style="2" customWidth="1"/>
    <col min="11779" max="11779" width="13.25" style="2" bestFit="1" customWidth="1"/>
    <col min="11780" max="12033" width="9" style="2"/>
    <col min="12034" max="12034" width="2.375" style="2" customWidth="1"/>
    <col min="12035" max="12035" width="13.25" style="2" bestFit="1" customWidth="1"/>
    <col min="12036" max="12289" width="9" style="2"/>
    <col min="12290" max="12290" width="2.375" style="2" customWidth="1"/>
    <col min="12291" max="12291" width="13.25" style="2" bestFit="1" customWidth="1"/>
    <col min="12292" max="12545" width="9" style="2"/>
    <col min="12546" max="12546" width="2.375" style="2" customWidth="1"/>
    <col min="12547" max="12547" width="13.25" style="2" bestFit="1" customWidth="1"/>
    <col min="12548" max="12801" width="9" style="2"/>
    <col min="12802" max="12802" width="2.375" style="2" customWidth="1"/>
    <col min="12803" max="12803" width="13.25" style="2" bestFit="1" customWidth="1"/>
    <col min="12804" max="13057" width="9" style="2"/>
    <col min="13058" max="13058" width="2.375" style="2" customWidth="1"/>
    <col min="13059" max="13059" width="13.25" style="2" bestFit="1" customWidth="1"/>
    <col min="13060" max="13313" width="9" style="2"/>
    <col min="13314" max="13314" width="2.375" style="2" customWidth="1"/>
    <col min="13315" max="13315" width="13.25" style="2" bestFit="1" customWidth="1"/>
    <col min="13316" max="13569" width="9" style="2"/>
    <col min="13570" max="13570" width="2.375" style="2" customWidth="1"/>
    <col min="13571" max="13571" width="13.25" style="2" bestFit="1" customWidth="1"/>
    <col min="13572" max="13825" width="9" style="2"/>
    <col min="13826" max="13826" width="2.375" style="2" customWidth="1"/>
    <col min="13827" max="13827" width="13.25" style="2" bestFit="1" customWidth="1"/>
    <col min="13828" max="14081" width="9" style="2"/>
    <col min="14082" max="14082" width="2.375" style="2" customWidth="1"/>
    <col min="14083" max="14083" width="13.25" style="2" bestFit="1" customWidth="1"/>
    <col min="14084" max="14337" width="9" style="2"/>
    <col min="14338" max="14338" width="2.375" style="2" customWidth="1"/>
    <col min="14339" max="14339" width="13.25" style="2" bestFit="1" customWidth="1"/>
    <col min="14340" max="14593" width="9" style="2"/>
    <col min="14594" max="14594" width="2.375" style="2" customWidth="1"/>
    <col min="14595" max="14595" width="13.25" style="2" bestFit="1" customWidth="1"/>
    <col min="14596" max="14849" width="9" style="2"/>
    <col min="14850" max="14850" width="2.375" style="2" customWidth="1"/>
    <col min="14851" max="14851" width="13.25" style="2" bestFit="1" customWidth="1"/>
    <col min="14852" max="15105" width="9" style="2"/>
    <col min="15106" max="15106" width="2.375" style="2" customWidth="1"/>
    <col min="15107" max="15107" width="13.25" style="2" bestFit="1" customWidth="1"/>
    <col min="15108" max="15361" width="9" style="2"/>
    <col min="15362" max="15362" width="2.375" style="2" customWidth="1"/>
    <col min="15363" max="15363" width="13.25" style="2" bestFit="1" customWidth="1"/>
    <col min="15364" max="15617" width="9" style="2"/>
    <col min="15618" max="15618" width="2.375" style="2" customWidth="1"/>
    <col min="15619" max="15619" width="13.25" style="2" bestFit="1" customWidth="1"/>
    <col min="15620" max="15873" width="9" style="2"/>
    <col min="15874" max="15874" width="2.375" style="2" customWidth="1"/>
    <col min="15875" max="15875" width="13.25" style="2" bestFit="1" customWidth="1"/>
    <col min="15876" max="16129" width="9" style="2"/>
    <col min="16130" max="16130" width="2.375" style="2" customWidth="1"/>
    <col min="16131" max="16131" width="13.25" style="2" bestFit="1" customWidth="1"/>
    <col min="16132" max="16384" width="9" style="2"/>
  </cols>
  <sheetData>
    <row r="1" spans="1:12">
      <c r="A1" s="1" t="s">
        <v>0</v>
      </c>
    </row>
    <row r="2" spans="1:12">
      <c r="A2" s="1" t="s">
        <v>1</v>
      </c>
    </row>
    <row r="3" spans="1:12">
      <c r="A3" s="1" t="s">
        <v>2</v>
      </c>
    </row>
    <row r="4" spans="1:12" ht="19.5" thickBot="1">
      <c r="A4" s="1" t="s">
        <v>4</v>
      </c>
    </row>
    <row r="5" spans="1:12">
      <c r="B5" s="3"/>
      <c r="C5" s="38" t="s">
        <v>8</v>
      </c>
      <c r="D5" s="46" t="s">
        <v>41</v>
      </c>
      <c r="E5" s="7" t="s">
        <v>5</v>
      </c>
      <c r="F5" s="8" t="s">
        <v>6</v>
      </c>
      <c r="G5" s="8" t="s">
        <v>7</v>
      </c>
      <c r="H5" s="9" t="s">
        <v>9</v>
      </c>
      <c r="I5" s="36" t="s">
        <v>41</v>
      </c>
      <c r="J5" s="4" t="s">
        <v>16</v>
      </c>
    </row>
    <row r="6" spans="1:12" ht="19.5" thickBot="1">
      <c r="A6" s="35"/>
      <c r="B6" s="23" t="s">
        <v>10</v>
      </c>
      <c r="C6" s="39" t="s">
        <v>14</v>
      </c>
      <c r="D6" s="47" t="s">
        <v>42</v>
      </c>
      <c r="E6" s="24" t="s">
        <v>11</v>
      </c>
      <c r="F6" s="25" t="s">
        <v>12</v>
      </c>
      <c r="G6" s="25" t="s">
        <v>13</v>
      </c>
      <c r="H6" s="26" t="s">
        <v>15</v>
      </c>
      <c r="I6" s="37" t="s">
        <v>43</v>
      </c>
      <c r="J6" s="54" t="s">
        <v>44</v>
      </c>
    </row>
    <row r="7" spans="1:12">
      <c r="A7" s="1" t="s">
        <v>3</v>
      </c>
      <c r="B7" s="19" t="s">
        <v>17</v>
      </c>
      <c r="C7" s="40">
        <v>391000</v>
      </c>
      <c r="D7" s="48">
        <f>SUM(C7)</f>
        <v>391000</v>
      </c>
      <c r="E7" s="20">
        <v>75000</v>
      </c>
      <c r="F7" s="21">
        <v>88000</v>
      </c>
      <c r="G7" s="21">
        <v>56000</v>
      </c>
      <c r="H7" s="22">
        <v>63000</v>
      </c>
      <c r="I7" s="22">
        <f>SUM(E7:H7)</f>
        <v>282000</v>
      </c>
      <c r="J7" s="22">
        <f>D7+I7</f>
        <v>673000</v>
      </c>
      <c r="L7"/>
    </row>
    <row r="8" spans="1:12">
      <c r="A8" s="1" t="s">
        <v>3</v>
      </c>
      <c r="B8" s="5" t="s">
        <v>18</v>
      </c>
      <c r="C8" s="41">
        <v>0</v>
      </c>
      <c r="D8" s="49">
        <f t="shared" ref="D8:D27" si="0">SUM(C8)</f>
        <v>0</v>
      </c>
      <c r="E8" s="10">
        <v>0</v>
      </c>
      <c r="F8" s="11">
        <v>0</v>
      </c>
      <c r="G8" s="11">
        <v>0</v>
      </c>
      <c r="H8" s="12">
        <v>0</v>
      </c>
      <c r="I8" s="12">
        <f t="shared" ref="I8:I27" si="1">SUM(E8:H8)</f>
        <v>0</v>
      </c>
      <c r="J8" s="12">
        <f t="shared" ref="J8:J27" si="2">D8+I8</f>
        <v>0</v>
      </c>
      <c r="L8"/>
    </row>
    <row r="9" spans="1:12">
      <c r="A9" s="1" t="s">
        <v>3</v>
      </c>
      <c r="B9" s="5" t="s">
        <v>19</v>
      </c>
      <c r="C9" s="41">
        <v>0</v>
      </c>
      <c r="D9" s="49">
        <f t="shared" si="0"/>
        <v>0</v>
      </c>
      <c r="E9" s="10">
        <v>15000</v>
      </c>
      <c r="F9" s="11">
        <v>0</v>
      </c>
      <c r="G9" s="11">
        <v>0</v>
      </c>
      <c r="H9" s="12">
        <v>0</v>
      </c>
      <c r="I9" s="12">
        <f t="shared" si="1"/>
        <v>15000</v>
      </c>
      <c r="J9" s="12">
        <f t="shared" si="2"/>
        <v>15000</v>
      </c>
      <c r="L9"/>
    </row>
    <row r="10" spans="1:12" ht="19.5" thickBot="1">
      <c r="A10" s="1" t="s">
        <v>3</v>
      </c>
      <c r="B10" s="27" t="s">
        <v>20</v>
      </c>
      <c r="C10" s="42">
        <v>0</v>
      </c>
      <c r="D10" s="50">
        <f t="shared" si="0"/>
        <v>0</v>
      </c>
      <c r="E10" s="28">
        <v>3000</v>
      </c>
      <c r="F10" s="29">
        <v>3000</v>
      </c>
      <c r="G10" s="29">
        <v>0</v>
      </c>
      <c r="H10" s="30">
        <v>0</v>
      </c>
      <c r="I10" s="30">
        <f t="shared" si="1"/>
        <v>6000</v>
      </c>
      <c r="J10" s="30">
        <f t="shared" si="2"/>
        <v>6000</v>
      </c>
      <c r="L10"/>
    </row>
    <row r="11" spans="1:12" ht="19.5" thickBot="1">
      <c r="A11" s="1" t="s">
        <v>3</v>
      </c>
      <c r="B11" s="31" t="s">
        <v>21</v>
      </c>
      <c r="C11" s="43">
        <v>391000</v>
      </c>
      <c r="D11" s="51">
        <f t="shared" si="0"/>
        <v>391000</v>
      </c>
      <c r="E11" s="32">
        <v>93000</v>
      </c>
      <c r="F11" s="33">
        <v>91000</v>
      </c>
      <c r="G11" s="33">
        <v>56000</v>
      </c>
      <c r="H11" s="34">
        <v>63000</v>
      </c>
      <c r="I11" s="34">
        <f t="shared" si="1"/>
        <v>303000</v>
      </c>
      <c r="J11" s="34">
        <f t="shared" si="2"/>
        <v>694000</v>
      </c>
      <c r="L11"/>
    </row>
    <row r="12" spans="1:12" ht="19.5" thickBot="1">
      <c r="A12" s="1" t="s">
        <v>3</v>
      </c>
      <c r="B12" s="31" t="s">
        <v>22</v>
      </c>
      <c r="C12" s="43">
        <v>0</v>
      </c>
      <c r="D12" s="51">
        <f t="shared" si="0"/>
        <v>0</v>
      </c>
      <c r="E12" s="32">
        <v>0</v>
      </c>
      <c r="F12" s="33">
        <v>0</v>
      </c>
      <c r="G12" s="33">
        <v>0</v>
      </c>
      <c r="H12" s="34">
        <v>0</v>
      </c>
      <c r="I12" s="34">
        <f t="shared" si="1"/>
        <v>0</v>
      </c>
      <c r="J12" s="34">
        <f t="shared" si="2"/>
        <v>0</v>
      </c>
      <c r="L12"/>
    </row>
    <row r="13" spans="1:12" ht="19.5" thickBot="1">
      <c r="A13" s="1" t="s">
        <v>3</v>
      </c>
      <c r="B13" s="31" t="s">
        <v>23</v>
      </c>
      <c r="C13" s="43">
        <v>391000</v>
      </c>
      <c r="D13" s="51">
        <f t="shared" si="0"/>
        <v>391000</v>
      </c>
      <c r="E13" s="32">
        <v>93000</v>
      </c>
      <c r="F13" s="33">
        <v>91000</v>
      </c>
      <c r="G13" s="33">
        <v>56000</v>
      </c>
      <c r="H13" s="34">
        <v>63000</v>
      </c>
      <c r="I13" s="34">
        <f t="shared" si="1"/>
        <v>303000</v>
      </c>
      <c r="J13" s="34">
        <f t="shared" si="2"/>
        <v>694000</v>
      </c>
      <c r="L13"/>
    </row>
    <row r="14" spans="1:12">
      <c r="A14" s="1" t="s">
        <v>3</v>
      </c>
      <c r="B14" s="19" t="s">
        <v>24</v>
      </c>
      <c r="C14" s="40">
        <v>19941</v>
      </c>
      <c r="D14" s="48">
        <f t="shared" si="0"/>
        <v>19941</v>
      </c>
      <c r="E14" s="20">
        <v>4743</v>
      </c>
      <c r="F14" s="21">
        <v>4641</v>
      </c>
      <c r="G14" s="21">
        <v>2856</v>
      </c>
      <c r="H14" s="22">
        <v>3213</v>
      </c>
      <c r="I14" s="22">
        <f t="shared" si="1"/>
        <v>15453</v>
      </c>
      <c r="J14" s="22">
        <f t="shared" si="2"/>
        <v>35394</v>
      </c>
      <c r="L14"/>
    </row>
    <row r="15" spans="1:12">
      <c r="A15" s="1" t="s">
        <v>3</v>
      </c>
      <c r="B15" s="5" t="s">
        <v>25</v>
      </c>
      <c r="C15" s="41">
        <v>3519</v>
      </c>
      <c r="D15" s="49">
        <f t="shared" si="0"/>
        <v>3519</v>
      </c>
      <c r="E15" s="10">
        <v>837</v>
      </c>
      <c r="F15" s="11">
        <v>819</v>
      </c>
      <c r="G15" s="11">
        <v>504</v>
      </c>
      <c r="H15" s="12">
        <v>567</v>
      </c>
      <c r="I15" s="12">
        <f t="shared" si="1"/>
        <v>2727</v>
      </c>
      <c r="J15" s="12">
        <f t="shared" si="2"/>
        <v>6246</v>
      </c>
      <c r="L15"/>
    </row>
    <row r="16" spans="1:12">
      <c r="A16" s="1" t="s">
        <v>3</v>
      </c>
      <c r="B16" s="5" t="s">
        <v>26</v>
      </c>
      <c r="C16" s="41">
        <v>35776</v>
      </c>
      <c r="D16" s="49">
        <f t="shared" si="0"/>
        <v>35776</v>
      </c>
      <c r="E16" s="10">
        <v>8509</v>
      </c>
      <c r="F16" s="11">
        <v>8326</v>
      </c>
      <c r="G16" s="11">
        <v>5124</v>
      </c>
      <c r="H16" s="12">
        <v>5764</v>
      </c>
      <c r="I16" s="12">
        <f t="shared" si="1"/>
        <v>27723</v>
      </c>
      <c r="J16" s="12">
        <f t="shared" si="2"/>
        <v>63499</v>
      </c>
      <c r="L16"/>
    </row>
    <row r="17" spans="1:12" ht="19.5" thickBot="1">
      <c r="A17" s="1" t="s">
        <v>3</v>
      </c>
      <c r="B17" s="27" t="s">
        <v>27</v>
      </c>
      <c r="C17" s="42">
        <v>1173</v>
      </c>
      <c r="D17" s="50">
        <f t="shared" si="0"/>
        <v>1173</v>
      </c>
      <c r="E17" s="28">
        <v>279</v>
      </c>
      <c r="F17" s="29">
        <v>273</v>
      </c>
      <c r="G17" s="29">
        <v>168</v>
      </c>
      <c r="H17" s="30">
        <v>189</v>
      </c>
      <c r="I17" s="30">
        <f t="shared" si="1"/>
        <v>909</v>
      </c>
      <c r="J17" s="30">
        <f t="shared" si="2"/>
        <v>2082</v>
      </c>
      <c r="L17"/>
    </row>
    <row r="18" spans="1:12" ht="19.5" thickBot="1">
      <c r="A18" s="1" t="s">
        <v>3</v>
      </c>
      <c r="B18" s="31" t="s">
        <v>30</v>
      </c>
      <c r="C18" s="43">
        <v>60409</v>
      </c>
      <c r="D18" s="51">
        <f t="shared" si="0"/>
        <v>60409</v>
      </c>
      <c r="E18" s="32">
        <v>14368</v>
      </c>
      <c r="F18" s="33">
        <v>14059</v>
      </c>
      <c r="G18" s="33">
        <v>8652</v>
      </c>
      <c r="H18" s="34">
        <v>9733</v>
      </c>
      <c r="I18" s="34">
        <f t="shared" si="1"/>
        <v>46812</v>
      </c>
      <c r="J18" s="34">
        <f t="shared" si="2"/>
        <v>107221</v>
      </c>
      <c r="L18"/>
    </row>
    <row r="19" spans="1:12">
      <c r="A19" s="1" t="s">
        <v>3</v>
      </c>
      <c r="B19" s="19" t="s">
        <v>28</v>
      </c>
      <c r="C19" s="40">
        <v>330591</v>
      </c>
      <c r="D19" s="48">
        <f t="shared" si="0"/>
        <v>330591</v>
      </c>
      <c r="E19" s="20">
        <v>78632</v>
      </c>
      <c r="F19" s="21">
        <v>76941</v>
      </c>
      <c r="G19" s="21">
        <v>47348</v>
      </c>
      <c r="H19" s="22">
        <v>53267</v>
      </c>
      <c r="I19" s="22">
        <f t="shared" si="1"/>
        <v>256188</v>
      </c>
      <c r="J19" s="22">
        <f t="shared" si="2"/>
        <v>586779</v>
      </c>
      <c r="L19"/>
    </row>
    <row r="20" spans="1:12" ht="19.5" thickBot="1">
      <c r="A20" s="1" t="s">
        <v>3</v>
      </c>
      <c r="B20" s="27" t="s">
        <v>29</v>
      </c>
      <c r="C20" s="42">
        <v>27002</v>
      </c>
      <c r="D20" s="50">
        <f t="shared" si="0"/>
        <v>27002</v>
      </c>
      <c r="E20" s="28">
        <v>4816</v>
      </c>
      <c r="F20" s="29">
        <v>7855</v>
      </c>
      <c r="G20" s="29">
        <v>2900</v>
      </c>
      <c r="H20" s="30">
        <v>3263</v>
      </c>
      <c r="I20" s="30">
        <f t="shared" si="1"/>
        <v>18834</v>
      </c>
      <c r="J20" s="30">
        <f t="shared" si="2"/>
        <v>45836</v>
      </c>
      <c r="L20"/>
    </row>
    <row r="21" spans="1:12" ht="19.5" thickBot="1">
      <c r="A21" s="1" t="s">
        <v>3</v>
      </c>
      <c r="B21" s="31" t="s">
        <v>31</v>
      </c>
      <c r="C21" s="43">
        <v>87411</v>
      </c>
      <c r="D21" s="51">
        <f t="shared" si="0"/>
        <v>87411</v>
      </c>
      <c r="E21" s="32">
        <v>19184</v>
      </c>
      <c r="F21" s="33">
        <v>21914</v>
      </c>
      <c r="G21" s="33">
        <v>11552</v>
      </c>
      <c r="H21" s="34">
        <v>12996</v>
      </c>
      <c r="I21" s="34">
        <f t="shared" si="1"/>
        <v>65646</v>
      </c>
      <c r="J21" s="34">
        <f t="shared" si="2"/>
        <v>153057</v>
      </c>
      <c r="L21"/>
    </row>
    <row r="22" spans="1:12">
      <c r="A22" s="1" t="s">
        <v>3</v>
      </c>
      <c r="B22" s="19" t="s">
        <v>32</v>
      </c>
      <c r="C22" s="40">
        <v>21013</v>
      </c>
      <c r="D22" s="48">
        <f t="shared" si="0"/>
        <v>21013</v>
      </c>
      <c r="E22" s="20">
        <v>34999</v>
      </c>
      <c r="F22" s="21">
        <v>28150</v>
      </c>
      <c r="G22" s="21">
        <v>23406</v>
      </c>
      <c r="H22" s="22">
        <v>30406</v>
      </c>
      <c r="I22" s="22">
        <f t="shared" si="1"/>
        <v>116961</v>
      </c>
      <c r="J22" s="22">
        <f t="shared" si="2"/>
        <v>137974</v>
      </c>
      <c r="L22"/>
    </row>
    <row r="23" spans="1:12" ht="19.5" thickBot="1">
      <c r="A23" s="1" t="s">
        <v>3</v>
      </c>
      <c r="B23" s="27" t="s">
        <v>33</v>
      </c>
      <c r="C23" s="42">
        <v>0</v>
      </c>
      <c r="D23" s="50">
        <f t="shared" si="0"/>
        <v>0</v>
      </c>
      <c r="E23" s="28">
        <v>0</v>
      </c>
      <c r="F23" s="29">
        <v>0</v>
      </c>
      <c r="G23" s="29">
        <v>0</v>
      </c>
      <c r="H23" s="30">
        <v>0</v>
      </c>
      <c r="I23" s="30">
        <f t="shared" si="1"/>
        <v>0</v>
      </c>
      <c r="J23" s="30">
        <f t="shared" si="2"/>
        <v>0</v>
      </c>
      <c r="L23"/>
    </row>
    <row r="24" spans="1:12" ht="19.5" thickBot="1">
      <c r="A24" s="1" t="s">
        <v>3</v>
      </c>
      <c r="B24" s="31" t="s">
        <v>34</v>
      </c>
      <c r="C24" s="43">
        <v>21013</v>
      </c>
      <c r="D24" s="51">
        <f t="shared" si="0"/>
        <v>21013</v>
      </c>
      <c r="E24" s="32">
        <v>34999</v>
      </c>
      <c r="F24" s="33">
        <v>28150</v>
      </c>
      <c r="G24" s="33">
        <v>23406</v>
      </c>
      <c r="H24" s="34">
        <v>30406</v>
      </c>
      <c r="I24" s="34">
        <f t="shared" si="1"/>
        <v>116961</v>
      </c>
      <c r="J24" s="34">
        <f t="shared" si="2"/>
        <v>137974</v>
      </c>
      <c r="L24"/>
    </row>
    <row r="25" spans="1:12" ht="19.5" thickBot="1">
      <c r="A25" s="1" t="s">
        <v>3</v>
      </c>
      <c r="B25" s="31" t="s">
        <v>35</v>
      </c>
      <c r="C25" s="43">
        <v>324602</v>
      </c>
      <c r="D25" s="51">
        <f t="shared" si="0"/>
        <v>324602</v>
      </c>
      <c r="E25" s="32">
        <v>108815</v>
      </c>
      <c r="F25" s="33">
        <v>97236</v>
      </c>
      <c r="G25" s="33">
        <v>67854</v>
      </c>
      <c r="H25" s="34">
        <v>80410</v>
      </c>
      <c r="I25" s="34">
        <f t="shared" si="1"/>
        <v>354315</v>
      </c>
      <c r="J25" s="34">
        <f t="shared" si="2"/>
        <v>678917</v>
      </c>
      <c r="L25"/>
    </row>
    <row r="26" spans="1:12" ht="19.5" thickBot="1">
      <c r="A26" s="1" t="s">
        <v>3</v>
      </c>
      <c r="B26" s="31" t="s">
        <v>36</v>
      </c>
      <c r="C26" s="43">
        <v>0</v>
      </c>
      <c r="D26" s="51">
        <f t="shared" si="0"/>
        <v>0</v>
      </c>
      <c r="E26" s="32">
        <v>0</v>
      </c>
      <c r="F26" s="33">
        <v>0</v>
      </c>
      <c r="G26" s="33">
        <v>0</v>
      </c>
      <c r="H26" s="34">
        <v>0</v>
      </c>
      <c r="I26" s="34">
        <f t="shared" si="1"/>
        <v>0</v>
      </c>
      <c r="J26" s="34">
        <f t="shared" si="2"/>
        <v>0</v>
      </c>
      <c r="L26"/>
    </row>
    <row r="27" spans="1:12" ht="19.5" thickBot="1">
      <c r="A27" s="1" t="s">
        <v>3</v>
      </c>
      <c r="B27" s="31" t="s">
        <v>37</v>
      </c>
      <c r="C27" s="43">
        <v>324602</v>
      </c>
      <c r="D27" s="51">
        <f t="shared" si="0"/>
        <v>324602</v>
      </c>
      <c r="E27" s="32">
        <v>108815</v>
      </c>
      <c r="F27" s="33">
        <v>97236</v>
      </c>
      <c r="G27" s="33">
        <v>67854</v>
      </c>
      <c r="H27" s="34">
        <v>80410</v>
      </c>
      <c r="I27" s="34">
        <f t="shared" si="1"/>
        <v>354315</v>
      </c>
      <c r="J27" s="34">
        <f t="shared" si="2"/>
        <v>678917</v>
      </c>
      <c r="L27"/>
    </row>
    <row r="28" spans="1:12">
      <c r="A28" s="1" t="s">
        <v>3</v>
      </c>
      <c r="B28" s="19" t="s">
        <v>38</v>
      </c>
      <c r="C28" s="40">
        <v>1</v>
      </c>
      <c r="D28" s="48"/>
      <c r="E28" s="20">
        <v>1</v>
      </c>
      <c r="F28" s="21">
        <v>0</v>
      </c>
      <c r="G28" s="21">
        <v>0</v>
      </c>
      <c r="H28" s="22">
        <v>2</v>
      </c>
      <c r="I28" s="22"/>
      <c r="J28" s="22"/>
    </row>
    <row r="29" spans="1:12">
      <c r="A29" s="1" t="s">
        <v>3</v>
      </c>
      <c r="B29" s="5" t="s">
        <v>39</v>
      </c>
      <c r="C29" s="44">
        <v>8.1679999999999993</v>
      </c>
      <c r="D29" s="52"/>
      <c r="E29" s="13">
        <v>6.1260000000000003</v>
      </c>
      <c r="F29" s="14">
        <v>10.210000000000001</v>
      </c>
      <c r="G29" s="14">
        <v>6.1260000000000003</v>
      </c>
      <c r="H29" s="15">
        <v>6.1260000000000003</v>
      </c>
      <c r="I29" s="15"/>
      <c r="J29" s="15"/>
    </row>
    <row r="30" spans="1:12" ht="19.5" thickBot="1">
      <c r="A30" s="1" t="s">
        <v>3</v>
      </c>
      <c r="B30" s="6" t="s">
        <v>40</v>
      </c>
      <c r="C30" s="45">
        <v>341639</v>
      </c>
      <c r="D30" s="53"/>
      <c r="E30" s="16">
        <v>288530</v>
      </c>
      <c r="F30" s="17">
        <v>360564</v>
      </c>
      <c r="G30" s="17">
        <v>265441</v>
      </c>
      <c r="H30" s="18">
        <v>314427</v>
      </c>
      <c r="I30" s="18"/>
      <c r="J30" s="18"/>
    </row>
  </sheetData>
  <phoneticPr fontId="3"/>
  <pageMargins left="0.70866141732283472" right="0.70866141732283472" top="0.74803149606299213" bottom="0.74803149606299213" header="0.31496062992125984" footer="0.31496062992125984"/>
  <pageSetup paperSize="9" scale="8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3年冬賞与 (2)</vt:lpstr>
      <vt:lpstr>'3年冬賞与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2021-12-20T05:37:33Z</cp:lastPrinted>
  <dcterms:created xsi:type="dcterms:W3CDTF">2021-12-20T03:14:04Z</dcterms:created>
  <dcterms:modified xsi:type="dcterms:W3CDTF">2021-12-20T07:24:26Z</dcterms:modified>
</cp:coreProperties>
</file>