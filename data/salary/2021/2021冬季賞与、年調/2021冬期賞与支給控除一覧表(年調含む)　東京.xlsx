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冬季賞与、年調\"/>
    </mc:Choice>
  </mc:AlternateContent>
  <xr:revisionPtr revIDLastSave="0" documentId="13_ncr:1_{0C42B212-9213-46FC-98A2-E8EDC2DCEC42}" xr6:coauthVersionLast="47" xr6:coauthVersionMax="47" xr10:uidLastSave="{00000000-0000-0000-0000-000000000000}"/>
  <bookViews>
    <workbookView xWindow="-120" yWindow="-120" windowWidth="20730" windowHeight="11160" xr2:uid="{EEF97C65-6BAE-443C-BE6D-12F95A3D8CF3}"/>
  </bookViews>
  <sheets>
    <sheet name="3年冬賞与 (2)" sheetId="3" r:id="rId1"/>
  </sheets>
  <definedNames>
    <definedName name="_xlnm.Print_Area" localSheetId="0">'3年冬賞与 (2)'!$A$1:$M$30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3" l="1"/>
  <c r="M23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7" i="3"/>
  <c r="E7" i="3"/>
  <c r="E8" i="3"/>
  <c r="M8" i="3" s="1"/>
  <c r="E9" i="3"/>
  <c r="M9" i="3" s="1"/>
  <c r="E10" i="3"/>
  <c r="E11" i="3"/>
  <c r="M11" i="3" s="1"/>
  <c r="E12" i="3"/>
  <c r="M12" i="3" s="1"/>
  <c r="E13" i="3"/>
  <c r="M13" i="3" s="1"/>
  <c r="E14" i="3"/>
  <c r="E15" i="3"/>
  <c r="E16" i="3"/>
  <c r="M16" i="3" s="1"/>
  <c r="E17" i="3"/>
  <c r="M17" i="3" s="1"/>
  <c r="E18" i="3"/>
  <c r="E19" i="3"/>
  <c r="M19" i="3" s="1"/>
  <c r="E20" i="3"/>
  <c r="M20" i="3" s="1"/>
  <c r="E21" i="3"/>
  <c r="M21" i="3" s="1"/>
  <c r="E22" i="3"/>
  <c r="E23" i="3"/>
  <c r="E24" i="3"/>
  <c r="M24" i="3" s="1"/>
  <c r="E25" i="3"/>
  <c r="M25" i="3" s="1"/>
  <c r="E26" i="3"/>
  <c r="E27" i="3"/>
  <c r="M27" i="3" s="1"/>
  <c r="M26" i="3" l="1"/>
  <c r="M22" i="3"/>
  <c r="M18" i="3"/>
  <c r="M14" i="3"/>
  <c r="M10" i="3"/>
  <c r="M7" i="3"/>
</calcChain>
</file>

<file path=xl/sharedStrings.xml><?xml version="1.0" encoding="utf-8"?>
<sst xmlns="http://schemas.openxmlformats.org/spreadsheetml/2006/main" count="75" uniqueCount="51">
  <si>
    <t>賞与支給控除一覧表</t>
    <phoneticPr fontId="4"/>
  </si>
  <si>
    <t>若林運送株式会社</t>
    <phoneticPr fontId="4"/>
  </si>
  <si>
    <t>2021年12月20日 作成</t>
    <phoneticPr fontId="4"/>
  </si>
  <si>
    <t/>
  </si>
  <si>
    <t>3年冬賞与</t>
    <phoneticPr fontId="4"/>
  </si>
  <si>
    <t>1011</t>
    <phoneticPr fontId="4"/>
  </si>
  <si>
    <t>1025</t>
    <phoneticPr fontId="4"/>
  </si>
  <si>
    <t>1029</t>
    <phoneticPr fontId="4"/>
  </si>
  <si>
    <t>1030</t>
    <phoneticPr fontId="4"/>
  </si>
  <si>
    <t>1033</t>
    <phoneticPr fontId="4"/>
  </si>
  <si>
    <t>1052</t>
    <phoneticPr fontId="4"/>
  </si>
  <si>
    <t>1054</t>
    <phoneticPr fontId="4"/>
  </si>
  <si>
    <t>1060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</si>
  <si>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</si>
  <si>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</si>
  <si>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</si>
  <si>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</si>
  <si>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</si>
  <si>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新治泰子</t>
    <phoneticPr fontId="4"/>
  </si>
  <si>
    <t>銅谷和久</t>
    <phoneticPr fontId="4"/>
  </si>
  <si>
    <t>土屋勝三</t>
    <phoneticPr fontId="4"/>
  </si>
  <si>
    <t>本間裕康</t>
    <phoneticPr fontId="4"/>
  </si>
  <si>
    <t>合計</t>
    <phoneticPr fontId="4"/>
  </si>
  <si>
    <t>賞与</t>
    <phoneticPr fontId="4"/>
  </si>
  <si>
    <t>役員賞与</t>
    <phoneticPr fontId="4"/>
  </si>
  <si>
    <t>職位加算</t>
    <phoneticPr fontId="4"/>
  </si>
  <si>
    <t>職責加算</t>
    <phoneticPr fontId="4"/>
  </si>
  <si>
    <t>課税支給合計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</si>
  <si>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</si>
  <si>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</si>
  <si>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</si>
  <si>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</si>
  <si>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</si>
  <si>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</si>
  <si>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</si>
  <si>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</si>
  <si>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</si>
  <si>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</si>
  <si>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</si>
  <si>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</si>
  <si>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その他合計</t>
    <phoneticPr fontId="4"/>
  </si>
  <si>
    <t>差引支給合計</t>
    <phoneticPr fontId="4"/>
  </si>
  <si>
    <t>現金支給額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</si>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</sst>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176" fontId="2" fillId="0" borderId="5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0" fontId="2" fillId="0" borderId="29" xfId="1" applyFont="1" applyBorder="1"/>
    <xf numFmtId="49" fontId="2" fillId="0" borderId="30" xfId="1" applyNumberFormat="1" applyFont="1" applyBorder="1" applyAlignment="1">
      <alignment horizontal="left"/>
    </xf>
    <xf numFmtId="49" fontId="2" fillId="0" borderId="31" xfId="1" applyNumberFormat="1" applyFont="1" applyBorder="1" applyAlignment="1">
      <alignment horizontal="righ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</cellXfs>
  <cellStyles count="2">
    <cellStyle name="標準" xfId="0" builtinId="0"/>
    <cellStyle name="標準 2" xfId="1" xr:uid="{D9F9948E-29EF-4DFA-ADDC-2BE67ED270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BC5E-6517-4E6A-A72E-A310C2C33F88}">
  <sheetPr>
    <pageSetUpPr fitToPage="1"/>
  </sheetPr>
  <dimension ref="A1:O30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0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 ht="19.5" thickBot="1">
      <c r="A4" s="1" t="s">
        <v>4</v>
      </c>
    </row>
    <row r="5" spans="1:15">
      <c r="B5" s="3"/>
      <c r="C5" s="10" t="s">
        <v>7</v>
      </c>
      <c r="D5" s="10" t="s">
        <v>9</v>
      </c>
      <c r="E5" s="39" t="s">
        <v>47</v>
      </c>
      <c r="F5" s="9" t="s">
        <v>5</v>
      </c>
      <c r="G5" s="10" t="s">
        <v>6</v>
      </c>
      <c r="H5" s="10" t="s">
        <v>8</v>
      </c>
      <c r="I5" s="10" t="s">
        <v>10</v>
      </c>
      <c r="J5" s="10" t="s">
        <v>11</v>
      </c>
      <c r="K5" s="11" t="s">
        <v>12</v>
      </c>
      <c r="L5" s="41" t="s">
        <v>47</v>
      </c>
      <c r="M5" s="4" t="s">
        <v>22</v>
      </c>
    </row>
    <row r="6" spans="1:15" ht="19.5" thickBot="1">
      <c r="A6" s="38"/>
      <c r="B6" s="26" t="s">
        <v>13</v>
      </c>
      <c r="C6" s="28" t="s">
        <v>16</v>
      </c>
      <c r="D6" s="28" t="s">
        <v>18</v>
      </c>
      <c r="E6" s="40" t="s">
        <v>48</v>
      </c>
      <c r="F6" s="27" t="s">
        <v>14</v>
      </c>
      <c r="G6" s="28" t="s">
        <v>15</v>
      </c>
      <c r="H6" s="28" t="s">
        <v>17</v>
      </c>
      <c r="I6" s="28" t="s">
        <v>19</v>
      </c>
      <c r="J6" s="28" t="s">
        <v>20</v>
      </c>
      <c r="K6" s="29" t="s">
        <v>21</v>
      </c>
      <c r="L6" s="42" t="s">
        <v>49</v>
      </c>
      <c r="M6" s="43" t="s">
        <v>50</v>
      </c>
    </row>
    <row r="7" spans="1:15">
      <c r="A7" s="1" t="s">
        <v>3</v>
      </c>
      <c r="B7" s="21" t="s">
        <v>23</v>
      </c>
      <c r="C7" s="23">
        <v>366000</v>
      </c>
      <c r="D7" s="23">
        <v>0</v>
      </c>
      <c r="E7" s="23">
        <f>SUM(C7:D7)</f>
        <v>366000</v>
      </c>
      <c r="F7" s="22">
        <v>63000</v>
      </c>
      <c r="G7" s="23">
        <v>88000</v>
      </c>
      <c r="H7" s="23">
        <v>63000</v>
      </c>
      <c r="I7" s="23">
        <v>63000</v>
      </c>
      <c r="J7" s="23">
        <v>63000</v>
      </c>
      <c r="K7" s="24">
        <v>56000</v>
      </c>
      <c r="L7" s="24">
        <f>SUM(F7:K7)</f>
        <v>396000</v>
      </c>
      <c r="M7" s="24">
        <f>E7+L7</f>
        <v>762000</v>
      </c>
      <c r="O7"/>
    </row>
    <row r="8" spans="1:15">
      <c r="A8" s="1" t="s">
        <v>3</v>
      </c>
      <c r="B8" s="5" t="s">
        <v>24</v>
      </c>
      <c r="C8" s="13">
        <v>0</v>
      </c>
      <c r="D8" s="13">
        <v>0</v>
      </c>
      <c r="E8" s="13">
        <f t="shared" ref="E8:E27" si="0">SUM(C8:D8)</f>
        <v>0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  <c r="L8" s="14">
        <f t="shared" ref="L8:L27" si="1">SUM(F8:K8)</f>
        <v>0</v>
      </c>
      <c r="M8" s="14">
        <f t="shared" ref="M8:M27" si="2">E8+L8</f>
        <v>0</v>
      </c>
      <c r="O8"/>
    </row>
    <row r="9" spans="1:15">
      <c r="A9" s="1" t="s">
        <v>3</v>
      </c>
      <c r="B9" s="5" t="s">
        <v>25</v>
      </c>
      <c r="C9" s="13">
        <v>0</v>
      </c>
      <c r="D9" s="13">
        <v>0</v>
      </c>
      <c r="E9" s="13">
        <f t="shared" si="0"/>
        <v>0</v>
      </c>
      <c r="F9" s="12">
        <v>0</v>
      </c>
      <c r="G9" s="13">
        <v>15000</v>
      </c>
      <c r="H9" s="13">
        <v>0</v>
      </c>
      <c r="I9" s="13">
        <v>0</v>
      </c>
      <c r="J9" s="13">
        <v>0</v>
      </c>
      <c r="K9" s="14">
        <v>0</v>
      </c>
      <c r="L9" s="14">
        <f t="shared" si="1"/>
        <v>15000</v>
      </c>
      <c r="M9" s="14">
        <f t="shared" si="2"/>
        <v>15000</v>
      </c>
      <c r="O9"/>
    </row>
    <row r="10" spans="1:15" ht="19.5" thickBot="1">
      <c r="A10" s="1" t="s">
        <v>3</v>
      </c>
      <c r="B10" s="30" t="s">
        <v>26</v>
      </c>
      <c r="C10" s="32">
        <v>0</v>
      </c>
      <c r="D10" s="32">
        <v>0</v>
      </c>
      <c r="E10" s="32">
        <f t="shared" si="0"/>
        <v>0</v>
      </c>
      <c r="F10" s="31">
        <v>6000</v>
      </c>
      <c r="G10" s="32">
        <v>0</v>
      </c>
      <c r="H10" s="32">
        <v>3000</v>
      </c>
      <c r="I10" s="32">
        <v>0</v>
      </c>
      <c r="J10" s="32">
        <v>0</v>
      </c>
      <c r="K10" s="33">
        <v>0</v>
      </c>
      <c r="L10" s="33">
        <f t="shared" si="1"/>
        <v>9000</v>
      </c>
      <c r="M10" s="33">
        <f t="shared" si="2"/>
        <v>9000</v>
      </c>
      <c r="O10"/>
    </row>
    <row r="11" spans="1:15" ht="19.5" thickBot="1">
      <c r="A11" s="1" t="s">
        <v>3</v>
      </c>
      <c r="B11" s="34" t="s">
        <v>27</v>
      </c>
      <c r="C11" s="36">
        <v>366000</v>
      </c>
      <c r="D11" s="36">
        <v>0</v>
      </c>
      <c r="E11" s="36">
        <f t="shared" si="0"/>
        <v>366000</v>
      </c>
      <c r="F11" s="35">
        <v>69000</v>
      </c>
      <c r="G11" s="36">
        <v>103000</v>
      </c>
      <c r="H11" s="36">
        <v>66000</v>
      </c>
      <c r="I11" s="36">
        <v>63000</v>
      </c>
      <c r="J11" s="36">
        <v>63000</v>
      </c>
      <c r="K11" s="37">
        <v>56000</v>
      </c>
      <c r="L11" s="37">
        <f t="shared" si="1"/>
        <v>420000</v>
      </c>
      <c r="M11" s="37">
        <f t="shared" si="2"/>
        <v>786000</v>
      </c>
      <c r="O11"/>
    </row>
    <row r="12" spans="1:15" ht="19.5" thickBot="1">
      <c r="A12" s="1" t="s">
        <v>3</v>
      </c>
      <c r="B12" s="34" t="s">
        <v>28</v>
      </c>
      <c r="C12" s="36">
        <v>0</v>
      </c>
      <c r="D12" s="36">
        <v>0</v>
      </c>
      <c r="E12" s="36">
        <f t="shared" si="0"/>
        <v>0</v>
      </c>
      <c r="F12" s="35">
        <v>0</v>
      </c>
      <c r="G12" s="36">
        <v>0</v>
      </c>
      <c r="H12" s="36">
        <v>0</v>
      </c>
      <c r="I12" s="36">
        <v>0</v>
      </c>
      <c r="J12" s="36">
        <v>0</v>
      </c>
      <c r="K12" s="37">
        <v>0</v>
      </c>
      <c r="L12" s="37">
        <f t="shared" si="1"/>
        <v>0</v>
      </c>
      <c r="M12" s="37">
        <f t="shared" si="2"/>
        <v>0</v>
      </c>
      <c r="O12"/>
    </row>
    <row r="13" spans="1:15" ht="19.5" thickBot="1">
      <c r="A13" s="1" t="s">
        <v>3</v>
      </c>
      <c r="B13" s="34" t="s">
        <v>29</v>
      </c>
      <c r="C13" s="36">
        <v>366000</v>
      </c>
      <c r="D13" s="36">
        <v>0</v>
      </c>
      <c r="E13" s="36">
        <f t="shared" si="0"/>
        <v>366000</v>
      </c>
      <c r="F13" s="35">
        <v>69000</v>
      </c>
      <c r="G13" s="36">
        <v>103000</v>
      </c>
      <c r="H13" s="36">
        <v>66000</v>
      </c>
      <c r="I13" s="36">
        <v>63000</v>
      </c>
      <c r="J13" s="36">
        <v>63000</v>
      </c>
      <c r="K13" s="37">
        <v>56000</v>
      </c>
      <c r="L13" s="37">
        <f t="shared" si="1"/>
        <v>420000</v>
      </c>
      <c r="M13" s="37">
        <f t="shared" si="2"/>
        <v>786000</v>
      </c>
      <c r="O13"/>
    </row>
    <row r="14" spans="1:15">
      <c r="A14" s="1" t="s">
        <v>3</v>
      </c>
      <c r="B14" s="21" t="s">
        <v>30</v>
      </c>
      <c r="C14" s="23">
        <v>18666</v>
      </c>
      <c r="D14" s="23">
        <v>0</v>
      </c>
      <c r="E14" s="23">
        <f t="shared" si="0"/>
        <v>18666</v>
      </c>
      <c r="F14" s="22">
        <v>3519</v>
      </c>
      <c r="G14" s="23">
        <v>5253</v>
      </c>
      <c r="H14" s="23">
        <v>3366</v>
      </c>
      <c r="I14" s="23">
        <v>3213</v>
      </c>
      <c r="J14" s="23">
        <v>3213</v>
      </c>
      <c r="K14" s="24">
        <v>2856</v>
      </c>
      <c r="L14" s="24">
        <f t="shared" si="1"/>
        <v>21420</v>
      </c>
      <c r="M14" s="24">
        <f t="shared" si="2"/>
        <v>40086</v>
      </c>
      <c r="O14"/>
    </row>
    <row r="15" spans="1:15">
      <c r="A15" s="1" t="s">
        <v>3</v>
      </c>
      <c r="B15" s="5" t="s">
        <v>31</v>
      </c>
      <c r="C15" s="13">
        <v>3294</v>
      </c>
      <c r="D15" s="13">
        <v>0</v>
      </c>
      <c r="E15" s="13">
        <f t="shared" si="0"/>
        <v>3294</v>
      </c>
      <c r="F15" s="12">
        <v>621</v>
      </c>
      <c r="G15" s="13">
        <v>927</v>
      </c>
      <c r="H15" s="13">
        <v>594</v>
      </c>
      <c r="I15" s="13">
        <v>567</v>
      </c>
      <c r="J15" s="13">
        <v>567</v>
      </c>
      <c r="K15" s="14">
        <v>504</v>
      </c>
      <c r="L15" s="14">
        <f t="shared" si="1"/>
        <v>3780</v>
      </c>
      <c r="M15" s="14">
        <f t="shared" si="2"/>
        <v>7074</v>
      </c>
      <c r="O15"/>
    </row>
    <row r="16" spans="1:15">
      <c r="A16" s="1" t="s">
        <v>3</v>
      </c>
      <c r="B16" s="5" t="s">
        <v>32</v>
      </c>
      <c r="C16" s="13">
        <v>33489</v>
      </c>
      <c r="D16" s="13">
        <v>0</v>
      </c>
      <c r="E16" s="13">
        <f t="shared" si="0"/>
        <v>33489</v>
      </c>
      <c r="F16" s="12">
        <v>6313</v>
      </c>
      <c r="G16" s="13">
        <v>9424</v>
      </c>
      <c r="H16" s="13">
        <v>6039</v>
      </c>
      <c r="I16" s="13">
        <v>5764</v>
      </c>
      <c r="J16" s="13">
        <v>5764</v>
      </c>
      <c r="K16" s="14">
        <v>5124</v>
      </c>
      <c r="L16" s="14">
        <f t="shared" si="1"/>
        <v>38428</v>
      </c>
      <c r="M16" s="14">
        <f t="shared" si="2"/>
        <v>71917</v>
      </c>
      <c r="O16"/>
    </row>
    <row r="17" spans="1:15" ht="19.5" thickBot="1">
      <c r="A17" s="1" t="s">
        <v>3</v>
      </c>
      <c r="B17" s="30" t="s">
        <v>33</v>
      </c>
      <c r="C17" s="32">
        <v>1098</v>
      </c>
      <c r="D17" s="32">
        <v>0</v>
      </c>
      <c r="E17" s="32">
        <f t="shared" si="0"/>
        <v>1098</v>
      </c>
      <c r="F17" s="31">
        <v>207</v>
      </c>
      <c r="G17" s="32">
        <v>309</v>
      </c>
      <c r="H17" s="32">
        <v>198</v>
      </c>
      <c r="I17" s="32">
        <v>189</v>
      </c>
      <c r="J17" s="32">
        <v>189</v>
      </c>
      <c r="K17" s="33">
        <v>168</v>
      </c>
      <c r="L17" s="33">
        <f t="shared" si="1"/>
        <v>1260</v>
      </c>
      <c r="M17" s="33">
        <f t="shared" si="2"/>
        <v>2358</v>
      </c>
      <c r="O17"/>
    </row>
    <row r="18" spans="1:15" ht="19.5" thickBot="1">
      <c r="A18" s="1" t="s">
        <v>3</v>
      </c>
      <c r="B18" s="34" t="s">
        <v>36</v>
      </c>
      <c r="C18" s="36">
        <v>56547</v>
      </c>
      <c r="D18" s="36">
        <v>0</v>
      </c>
      <c r="E18" s="36">
        <f t="shared" si="0"/>
        <v>56547</v>
      </c>
      <c r="F18" s="35">
        <v>10660</v>
      </c>
      <c r="G18" s="36">
        <v>15913</v>
      </c>
      <c r="H18" s="36">
        <v>10197</v>
      </c>
      <c r="I18" s="36">
        <v>9733</v>
      </c>
      <c r="J18" s="36">
        <v>9733</v>
      </c>
      <c r="K18" s="37">
        <v>8652</v>
      </c>
      <c r="L18" s="37">
        <f t="shared" si="1"/>
        <v>64888</v>
      </c>
      <c r="M18" s="37">
        <f t="shared" si="2"/>
        <v>121435</v>
      </c>
      <c r="O18"/>
    </row>
    <row r="19" spans="1:15">
      <c r="A19" s="1" t="s">
        <v>3</v>
      </c>
      <c r="B19" s="21" t="s">
        <v>34</v>
      </c>
      <c r="C19" s="23">
        <v>309453</v>
      </c>
      <c r="D19" s="23">
        <v>0</v>
      </c>
      <c r="E19" s="23">
        <f t="shared" si="0"/>
        <v>309453</v>
      </c>
      <c r="F19" s="22">
        <v>58340</v>
      </c>
      <c r="G19" s="23">
        <v>87087</v>
      </c>
      <c r="H19" s="23">
        <v>55803</v>
      </c>
      <c r="I19" s="23">
        <v>53267</v>
      </c>
      <c r="J19" s="23">
        <v>53267</v>
      </c>
      <c r="K19" s="24">
        <v>47348</v>
      </c>
      <c r="L19" s="24">
        <f t="shared" si="1"/>
        <v>355112</v>
      </c>
      <c r="M19" s="24">
        <f t="shared" si="2"/>
        <v>664565</v>
      </c>
      <c r="O19"/>
    </row>
    <row r="20" spans="1:15" ht="19.5" thickBot="1">
      <c r="A20" s="1" t="s">
        <v>3</v>
      </c>
      <c r="B20" s="30" t="s">
        <v>35</v>
      </c>
      <c r="C20" s="32">
        <v>25276</v>
      </c>
      <c r="D20" s="32">
        <v>0</v>
      </c>
      <c r="E20" s="32">
        <f t="shared" si="0"/>
        <v>25276</v>
      </c>
      <c r="F20" s="31">
        <v>3573</v>
      </c>
      <c r="G20" s="32">
        <v>8891</v>
      </c>
      <c r="H20" s="32">
        <v>3418</v>
      </c>
      <c r="I20" s="32">
        <v>3263</v>
      </c>
      <c r="J20" s="32">
        <v>4350</v>
      </c>
      <c r="K20" s="33">
        <v>4834</v>
      </c>
      <c r="L20" s="33">
        <f t="shared" si="1"/>
        <v>28329</v>
      </c>
      <c r="M20" s="33">
        <f t="shared" si="2"/>
        <v>53605</v>
      </c>
      <c r="O20"/>
    </row>
    <row r="21" spans="1:15" ht="19.5" thickBot="1">
      <c r="A21" s="1" t="s">
        <v>3</v>
      </c>
      <c r="B21" s="34" t="s">
        <v>37</v>
      </c>
      <c r="C21" s="36">
        <v>81823</v>
      </c>
      <c r="D21" s="36">
        <v>0</v>
      </c>
      <c r="E21" s="36">
        <f t="shared" si="0"/>
        <v>81823</v>
      </c>
      <c r="F21" s="35">
        <v>14233</v>
      </c>
      <c r="G21" s="36">
        <v>24804</v>
      </c>
      <c r="H21" s="36">
        <v>13615</v>
      </c>
      <c r="I21" s="36">
        <v>12996</v>
      </c>
      <c r="J21" s="36">
        <v>14083</v>
      </c>
      <c r="K21" s="37">
        <v>13486</v>
      </c>
      <c r="L21" s="37">
        <f t="shared" si="1"/>
        <v>93217</v>
      </c>
      <c r="M21" s="37">
        <f t="shared" si="2"/>
        <v>175040</v>
      </c>
      <c r="O21"/>
    </row>
    <row r="22" spans="1:15">
      <c r="A22" s="1" t="s">
        <v>3</v>
      </c>
      <c r="B22" s="21" t="s">
        <v>38</v>
      </c>
      <c r="C22" s="23">
        <v>23127</v>
      </c>
      <c r="D22" s="23">
        <v>2180</v>
      </c>
      <c r="E22" s="23">
        <f t="shared" si="0"/>
        <v>25307</v>
      </c>
      <c r="F22" s="22">
        <v>75298</v>
      </c>
      <c r="G22" s="23">
        <v>28475</v>
      </c>
      <c r="H22" s="23">
        <v>19374</v>
      </c>
      <c r="I22" s="23">
        <v>46496</v>
      </c>
      <c r="J22" s="23">
        <v>116468</v>
      </c>
      <c r="K22" s="24">
        <v>92906</v>
      </c>
      <c r="L22" s="24">
        <f t="shared" si="1"/>
        <v>379017</v>
      </c>
      <c r="M22" s="24">
        <f t="shared" si="2"/>
        <v>404324</v>
      </c>
      <c r="O22"/>
    </row>
    <row r="23" spans="1:15" ht="19.5" thickBot="1">
      <c r="A23" s="1" t="s">
        <v>3</v>
      </c>
      <c r="B23" s="30" t="s">
        <v>39</v>
      </c>
      <c r="C23" s="32">
        <v>0</v>
      </c>
      <c r="D23" s="32">
        <v>0</v>
      </c>
      <c r="E23" s="32">
        <f t="shared" si="0"/>
        <v>0</v>
      </c>
      <c r="F23" s="31">
        <v>0</v>
      </c>
      <c r="G23" s="32">
        <v>0</v>
      </c>
      <c r="H23" s="32">
        <v>0</v>
      </c>
      <c r="I23" s="32">
        <v>0</v>
      </c>
      <c r="J23" s="32">
        <v>0</v>
      </c>
      <c r="K23" s="33">
        <v>0</v>
      </c>
      <c r="L23" s="33">
        <f t="shared" si="1"/>
        <v>0</v>
      </c>
      <c r="M23" s="33">
        <f t="shared" si="2"/>
        <v>0</v>
      </c>
      <c r="O23"/>
    </row>
    <row r="24" spans="1:15" ht="19.5" thickBot="1">
      <c r="A24" s="1" t="s">
        <v>3</v>
      </c>
      <c r="B24" s="34" t="s">
        <v>40</v>
      </c>
      <c r="C24" s="36">
        <v>23127</v>
      </c>
      <c r="D24" s="36">
        <v>2180</v>
      </c>
      <c r="E24" s="36">
        <f t="shared" si="0"/>
        <v>25307</v>
      </c>
      <c r="F24" s="35">
        <v>75298</v>
      </c>
      <c r="G24" s="36">
        <v>28475</v>
      </c>
      <c r="H24" s="36">
        <v>19374</v>
      </c>
      <c r="I24" s="36">
        <v>46496</v>
      </c>
      <c r="J24" s="36">
        <v>116468</v>
      </c>
      <c r="K24" s="37">
        <v>92906</v>
      </c>
      <c r="L24" s="37">
        <f t="shared" si="1"/>
        <v>379017</v>
      </c>
      <c r="M24" s="37">
        <f t="shared" si="2"/>
        <v>404324</v>
      </c>
      <c r="O24"/>
    </row>
    <row r="25" spans="1:15" ht="19.5" thickBot="1">
      <c r="A25" s="1" t="s">
        <v>3</v>
      </c>
      <c r="B25" s="34" t="s">
        <v>41</v>
      </c>
      <c r="C25" s="36">
        <v>307304</v>
      </c>
      <c r="D25" s="36">
        <v>2180</v>
      </c>
      <c r="E25" s="36">
        <f t="shared" si="0"/>
        <v>309484</v>
      </c>
      <c r="F25" s="35">
        <v>130065</v>
      </c>
      <c r="G25" s="36">
        <v>106671</v>
      </c>
      <c r="H25" s="36">
        <v>71759</v>
      </c>
      <c r="I25" s="36">
        <v>96500</v>
      </c>
      <c r="J25" s="36">
        <v>165385</v>
      </c>
      <c r="K25" s="37">
        <v>135420</v>
      </c>
      <c r="L25" s="37">
        <f t="shared" si="1"/>
        <v>705800</v>
      </c>
      <c r="M25" s="37">
        <f t="shared" si="2"/>
        <v>1015284</v>
      </c>
      <c r="O25"/>
    </row>
    <row r="26" spans="1:15" ht="19.5" thickBot="1">
      <c r="A26" s="1" t="s">
        <v>3</v>
      </c>
      <c r="B26" s="34" t="s">
        <v>42</v>
      </c>
      <c r="C26" s="36">
        <v>0</v>
      </c>
      <c r="D26" s="36">
        <v>0</v>
      </c>
      <c r="E26" s="36">
        <f t="shared" si="0"/>
        <v>0</v>
      </c>
      <c r="F26" s="35">
        <v>0</v>
      </c>
      <c r="G26" s="36">
        <v>0</v>
      </c>
      <c r="H26" s="36">
        <v>0</v>
      </c>
      <c r="I26" s="36">
        <v>0</v>
      </c>
      <c r="J26" s="36">
        <v>0</v>
      </c>
      <c r="K26" s="37">
        <v>0</v>
      </c>
      <c r="L26" s="37">
        <f t="shared" si="1"/>
        <v>0</v>
      </c>
      <c r="M26" s="37">
        <f t="shared" si="2"/>
        <v>0</v>
      </c>
      <c r="O26"/>
    </row>
    <row r="27" spans="1:15" ht="19.5" thickBot="1">
      <c r="A27" s="1" t="s">
        <v>3</v>
      </c>
      <c r="B27" s="34" t="s">
        <v>43</v>
      </c>
      <c r="C27" s="36">
        <v>307304</v>
      </c>
      <c r="D27" s="36">
        <v>2180</v>
      </c>
      <c r="E27" s="36">
        <f t="shared" si="0"/>
        <v>309484</v>
      </c>
      <c r="F27" s="35">
        <v>130065</v>
      </c>
      <c r="G27" s="36">
        <v>106671</v>
      </c>
      <c r="H27" s="36">
        <v>71759</v>
      </c>
      <c r="I27" s="36">
        <v>96500</v>
      </c>
      <c r="J27" s="36">
        <v>165385</v>
      </c>
      <c r="K27" s="37">
        <v>135420</v>
      </c>
      <c r="L27" s="37">
        <f t="shared" si="1"/>
        <v>705800</v>
      </c>
      <c r="M27" s="37">
        <f t="shared" si="2"/>
        <v>1015284</v>
      </c>
      <c r="O27"/>
    </row>
    <row r="28" spans="1:15">
      <c r="A28" s="1" t="s">
        <v>3</v>
      </c>
      <c r="B28" s="21" t="s">
        <v>44</v>
      </c>
      <c r="C28" s="23">
        <v>1</v>
      </c>
      <c r="D28" s="23">
        <v>0</v>
      </c>
      <c r="E28" s="23"/>
      <c r="F28" s="22">
        <v>1</v>
      </c>
      <c r="G28" s="23">
        <v>0</v>
      </c>
      <c r="H28" s="23">
        <v>1</v>
      </c>
      <c r="I28" s="23">
        <v>2</v>
      </c>
      <c r="J28" s="23">
        <v>0</v>
      </c>
      <c r="K28" s="24">
        <v>0</v>
      </c>
      <c r="L28" s="24"/>
      <c r="M28" s="25"/>
    </row>
    <row r="29" spans="1:15">
      <c r="A29" s="1" t="s">
        <v>3</v>
      </c>
      <c r="B29" s="5" t="s">
        <v>45</v>
      </c>
      <c r="C29" s="16">
        <v>8.1679999999999993</v>
      </c>
      <c r="D29" s="16">
        <v>4.0839999999999996</v>
      </c>
      <c r="E29" s="16"/>
      <c r="F29" s="15">
        <v>6.1260000000000003</v>
      </c>
      <c r="G29" s="16">
        <v>10.210000000000001</v>
      </c>
      <c r="H29" s="16">
        <v>6.1260000000000003</v>
      </c>
      <c r="I29" s="16">
        <v>6.1260000000000003</v>
      </c>
      <c r="J29" s="16">
        <v>8.1679999999999993</v>
      </c>
      <c r="K29" s="17">
        <v>10.210000000000001</v>
      </c>
      <c r="L29" s="17"/>
      <c r="M29" s="7"/>
    </row>
    <row r="30" spans="1:15" ht="19.5" thickBot="1">
      <c r="A30" s="1" t="s">
        <v>3</v>
      </c>
      <c r="B30" s="6" t="s">
        <v>46</v>
      </c>
      <c r="C30" s="19">
        <v>343449</v>
      </c>
      <c r="D30" s="19">
        <v>86370</v>
      </c>
      <c r="E30" s="19"/>
      <c r="F30" s="18">
        <v>328754</v>
      </c>
      <c r="G30" s="19">
        <v>339661</v>
      </c>
      <c r="H30" s="19">
        <v>292330</v>
      </c>
      <c r="I30" s="19">
        <v>319859</v>
      </c>
      <c r="J30" s="19">
        <v>324627</v>
      </c>
      <c r="K30" s="20">
        <v>339078</v>
      </c>
      <c r="L30" s="20"/>
      <c r="M30" s="8"/>
    </row>
  </sheetData>
  <phoneticPr fontId="3"/>
  <pageMargins left="0.70866141732283472" right="0.70866141732283472" top="0.74803149606299213" bottom="0.74803149606299213" header="0.31496062992125984" footer="0.31496062992125984"/>
  <pageSetup paperSize="9"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3年冬賞与 (2)</vt:lpstr>
      <vt:lpstr>'3年冬賞与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2021-12-20T05:36:45Z</cp:lastPrinted>
  <dcterms:created xsi:type="dcterms:W3CDTF">2021-12-20T03:01:12Z</dcterms:created>
  <dcterms:modified xsi:type="dcterms:W3CDTF">2021-12-20T07:24:44Z</dcterms:modified>
</cp:coreProperties>
</file>