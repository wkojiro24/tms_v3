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冬季賞与、年調\"/>
    </mc:Choice>
  </mc:AlternateContent>
  <xr:revisionPtr revIDLastSave="0" documentId="13_ncr:1_{E4E10296-1B56-41A9-B606-0245B1CEFD18}" xr6:coauthVersionLast="47" xr6:coauthVersionMax="47" xr10:uidLastSave="{00000000-0000-0000-0000-000000000000}"/>
  <bookViews>
    <workbookView xWindow="-120" yWindow="-120" windowWidth="20730" windowHeight="11160" xr2:uid="{242A7F9D-8712-4EEB-B4BE-1F94B3BFE099}"/>
  </bookViews>
  <sheets>
    <sheet name="3年冬賞与 (2)" sheetId="3" r:id="rId1"/>
  </sheets>
  <definedNames>
    <definedName name="_xlnm.Print_Area" localSheetId="0">'3年冬賞与 (2)'!$A$1:$O$30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3" l="1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7" i="3"/>
</calcChain>
</file>

<file path=xl/sharedStrings.xml><?xml version="1.0" encoding="utf-8"?>
<sst xmlns="http://schemas.openxmlformats.org/spreadsheetml/2006/main" count="79" uniqueCount="55">
  <si>
    <t>賞与支給控除一覧表</t>
    <phoneticPr fontId="4"/>
  </si>
  <si>
    <t>若林運送株式会社</t>
    <phoneticPr fontId="4"/>
  </si>
  <si>
    <t>2021年12月20日 作成</t>
    <phoneticPr fontId="4"/>
  </si>
  <si>
    <t/>
  </si>
  <si>
    <t>3年冬賞与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</si>
  <si>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</si>
  <si>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</si>
  <si>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</si>
  <si>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</si>
  <si>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</si>
  <si>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</si>
  <si>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</si>
  <si>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1091</t>
    <phoneticPr fontId="4"/>
  </si>
  <si>
    <t>1093</t>
    <phoneticPr fontId="4"/>
  </si>
  <si>
    <t>1099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</si>
  <si>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</si>
  <si>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</si>
  <si>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</si>
  <si>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</si>
  <si>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</si>
  <si>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</si>
  <si>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</si>
  <si>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大沼幸夫</t>
    <phoneticPr fontId="4"/>
  </si>
  <si>
    <t>大野翼</t>
    <phoneticPr fontId="4"/>
  </si>
  <si>
    <t>佐藤禎尚</t>
    <phoneticPr fontId="4"/>
  </si>
  <si>
    <t>土谷栄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</si>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</sst>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31" xfId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176" fontId="2" fillId="0" borderId="35" xfId="1" applyNumberFormat="1" applyFont="1" applyBorder="1"/>
    <xf numFmtId="3" fontId="2" fillId="0" borderId="33" xfId="1" applyNumberFormat="1" applyFont="1" applyBorder="1"/>
    <xf numFmtId="49" fontId="2" fillId="0" borderId="39" xfId="1" applyNumberFormat="1" applyFont="1" applyBorder="1" applyAlignment="1">
      <alignment horizontal="right"/>
    </xf>
    <xf numFmtId="3" fontId="2" fillId="0" borderId="38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176" fontId="2" fillId="0" borderId="40" xfId="1" applyNumberFormat="1" applyFont="1" applyBorder="1"/>
    <xf numFmtId="3" fontId="2" fillId="0" borderId="39" xfId="1" applyNumberFormat="1" applyFont="1" applyBorder="1"/>
    <xf numFmtId="49" fontId="2" fillId="0" borderId="43" xfId="1" applyNumberFormat="1" applyFont="1" applyBorder="1" applyAlignment="1">
      <alignment horizontal="left"/>
    </xf>
    <xf numFmtId="0" fontId="2" fillId="0" borderId="6" xfId="1" applyFont="1" applyBorder="1" applyAlignment="1">
      <alignment horizontal="right"/>
    </xf>
  </cellXfs>
  <cellStyles count="2">
    <cellStyle name="標準" xfId="0" builtinId="0"/>
    <cellStyle name="標準 2" xfId="1" xr:uid="{8BD23C08-FD7E-46F9-A395-AEB64D2757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F2BF-B741-4E6F-862A-32ADDBC1C94B}">
  <sheetPr>
    <pageSetUpPr fitToPage="1"/>
  </sheetPr>
  <dimension ref="A1:Q30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9" style="2" customWidth="1"/>
    <col min="16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7" width="9" style="2"/>
    <col min="268" max="268" width="8" style="2" bestFit="1" customWidth="1"/>
    <col min="269" max="269" width="9" style="2"/>
    <col min="270" max="270" width="7.125" style="2" bestFit="1" customWidth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3" width="9" style="2"/>
    <col min="524" max="524" width="8" style="2" bestFit="1" customWidth="1"/>
    <col min="525" max="525" width="9" style="2"/>
    <col min="526" max="526" width="7.125" style="2" bestFit="1" customWidth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79" width="9" style="2"/>
    <col min="780" max="780" width="8" style="2" bestFit="1" customWidth="1"/>
    <col min="781" max="781" width="9" style="2"/>
    <col min="782" max="782" width="7.125" style="2" bestFit="1" customWidth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5" width="9" style="2"/>
    <col min="1036" max="1036" width="8" style="2" bestFit="1" customWidth="1"/>
    <col min="1037" max="1037" width="9" style="2"/>
    <col min="1038" max="1038" width="7.125" style="2" bestFit="1" customWidth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1" width="9" style="2"/>
    <col min="1292" max="1292" width="8" style="2" bestFit="1" customWidth="1"/>
    <col min="1293" max="1293" width="9" style="2"/>
    <col min="1294" max="1294" width="7.125" style="2" bestFit="1" customWidth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7" width="9" style="2"/>
    <col min="1548" max="1548" width="8" style="2" bestFit="1" customWidth="1"/>
    <col min="1549" max="1549" width="9" style="2"/>
    <col min="1550" max="1550" width="7.125" style="2" bestFit="1" customWidth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3" width="9" style="2"/>
    <col min="1804" max="1804" width="8" style="2" bestFit="1" customWidth="1"/>
    <col min="1805" max="1805" width="9" style="2"/>
    <col min="1806" max="1806" width="7.125" style="2" bestFit="1" customWidth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59" width="9" style="2"/>
    <col min="2060" max="2060" width="8" style="2" bestFit="1" customWidth="1"/>
    <col min="2061" max="2061" width="9" style="2"/>
    <col min="2062" max="2062" width="7.125" style="2" bestFit="1" customWidth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5" width="9" style="2"/>
    <col min="2316" max="2316" width="8" style="2" bestFit="1" customWidth="1"/>
    <col min="2317" max="2317" width="9" style="2"/>
    <col min="2318" max="2318" width="7.125" style="2" bestFit="1" customWidth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1" width="9" style="2"/>
    <col min="2572" max="2572" width="8" style="2" bestFit="1" customWidth="1"/>
    <col min="2573" max="2573" width="9" style="2"/>
    <col min="2574" max="2574" width="7.125" style="2" bestFit="1" customWidth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7" width="9" style="2"/>
    <col min="2828" max="2828" width="8" style="2" bestFit="1" customWidth="1"/>
    <col min="2829" max="2829" width="9" style="2"/>
    <col min="2830" max="2830" width="7.125" style="2" bestFit="1" customWidth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3" width="9" style="2"/>
    <col min="3084" max="3084" width="8" style="2" bestFit="1" customWidth="1"/>
    <col min="3085" max="3085" width="9" style="2"/>
    <col min="3086" max="3086" width="7.125" style="2" bestFit="1" customWidth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39" width="9" style="2"/>
    <col min="3340" max="3340" width="8" style="2" bestFit="1" customWidth="1"/>
    <col min="3341" max="3341" width="9" style="2"/>
    <col min="3342" max="3342" width="7.125" style="2" bestFit="1" customWidth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5" width="9" style="2"/>
    <col min="3596" max="3596" width="8" style="2" bestFit="1" customWidth="1"/>
    <col min="3597" max="3597" width="9" style="2"/>
    <col min="3598" max="3598" width="7.125" style="2" bestFit="1" customWidth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1" width="9" style="2"/>
    <col min="3852" max="3852" width="8" style="2" bestFit="1" customWidth="1"/>
    <col min="3853" max="3853" width="9" style="2"/>
    <col min="3854" max="3854" width="7.125" style="2" bestFit="1" customWidth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7" width="9" style="2"/>
    <col min="4108" max="4108" width="8" style="2" bestFit="1" customWidth="1"/>
    <col min="4109" max="4109" width="9" style="2"/>
    <col min="4110" max="4110" width="7.125" style="2" bestFit="1" customWidth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3" width="9" style="2"/>
    <col min="4364" max="4364" width="8" style="2" bestFit="1" customWidth="1"/>
    <col min="4365" max="4365" width="9" style="2"/>
    <col min="4366" max="4366" width="7.125" style="2" bestFit="1" customWidth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19" width="9" style="2"/>
    <col min="4620" max="4620" width="8" style="2" bestFit="1" customWidth="1"/>
    <col min="4621" max="4621" width="9" style="2"/>
    <col min="4622" max="4622" width="7.125" style="2" bestFit="1" customWidth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5" width="9" style="2"/>
    <col min="4876" max="4876" width="8" style="2" bestFit="1" customWidth="1"/>
    <col min="4877" max="4877" width="9" style="2"/>
    <col min="4878" max="4878" width="7.125" style="2" bestFit="1" customWidth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1" width="9" style="2"/>
    <col min="5132" max="5132" width="8" style="2" bestFit="1" customWidth="1"/>
    <col min="5133" max="5133" width="9" style="2"/>
    <col min="5134" max="5134" width="7.125" style="2" bestFit="1" customWidth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7" width="9" style="2"/>
    <col min="5388" max="5388" width="8" style="2" bestFit="1" customWidth="1"/>
    <col min="5389" max="5389" width="9" style="2"/>
    <col min="5390" max="5390" width="7.125" style="2" bestFit="1" customWidth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3" width="9" style="2"/>
    <col min="5644" max="5644" width="8" style="2" bestFit="1" customWidth="1"/>
    <col min="5645" max="5645" width="9" style="2"/>
    <col min="5646" max="5646" width="7.125" style="2" bestFit="1" customWidth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899" width="9" style="2"/>
    <col min="5900" max="5900" width="8" style="2" bestFit="1" customWidth="1"/>
    <col min="5901" max="5901" width="9" style="2"/>
    <col min="5902" max="5902" width="7.125" style="2" bestFit="1" customWidth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5" width="9" style="2"/>
    <col min="6156" max="6156" width="8" style="2" bestFit="1" customWidth="1"/>
    <col min="6157" max="6157" width="9" style="2"/>
    <col min="6158" max="6158" width="7.125" style="2" bestFit="1" customWidth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1" width="9" style="2"/>
    <col min="6412" max="6412" width="8" style="2" bestFit="1" customWidth="1"/>
    <col min="6413" max="6413" width="9" style="2"/>
    <col min="6414" max="6414" width="7.125" style="2" bestFit="1" customWidth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7" width="9" style="2"/>
    <col min="6668" max="6668" width="8" style="2" bestFit="1" customWidth="1"/>
    <col min="6669" max="6669" width="9" style="2"/>
    <col min="6670" max="6670" width="7.125" style="2" bestFit="1" customWidth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3" width="9" style="2"/>
    <col min="6924" max="6924" width="8" style="2" bestFit="1" customWidth="1"/>
    <col min="6925" max="6925" width="9" style="2"/>
    <col min="6926" max="6926" width="7.125" style="2" bestFit="1" customWidth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79" width="9" style="2"/>
    <col min="7180" max="7180" width="8" style="2" bestFit="1" customWidth="1"/>
    <col min="7181" max="7181" width="9" style="2"/>
    <col min="7182" max="7182" width="7.125" style="2" bestFit="1" customWidth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5" width="9" style="2"/>
    <col min="7436" max="7436" width="8" style="2" bestFit="1" customWidth="1"/>
    <col min="7437" max="7437" width="9" style="2"/>
    <col min="7438" max="7438" width="7.125" style="2" bestFit="1" customWidth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1" width="9" style="2"/>
    <col min="7692" max="7692" width="8" style="2" bestFit="1" customWidth="1"/>
    <col min="7693" max="7693" width="9" style="2"/>
    <col min="7694" max="7694" width="7.125" style="2" bestFit="1" customWidth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7" width="9" style="2"/>
    <col min="7948" max="7948" width="8" style="2" bestFit="1" customWidth="1"/>
    <col min="7949" max="7949" width="9" style="2"/>
    <col min="7950" max="7950" width="7.125" style="2" bestFit="1" customWidth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3" width="9" style="2"/>
    <col min="8204" max="8204" width="8" style="2" bestFit="1" customWidth="1"/>
    <col min="8205" max="8205" width="9" style="2"/>
    <col min="8206" max="8206" width="7.125" style="2" bestFit="1" customWidth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59" width="9" style="2"/>
    <col min="8460" max="8460" width="8" style="2" bestFit="1" customWidth="1"/>
    <col min="8461" max="8461" width="9" style="2"/>
    <col min="8462" max="8462" width="7.125" style="2" bestFit="1" customWidth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5" width="9" style="2"/>
    <col min="8716" max="8716" width="8" style="2" bestFit="1" customWidth="1"/>
    <col min="8717" max="8717" width="9" style="2"/>
    <col min="8718" max="8718" width="7.125" style="2" bestFit="1" customWidth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1" width="9" style="2"/>
    <col min="8972" max="8972" width="8" style="2" bestFit="1" customWidth="1"/>
    <col min="8973" max="8973" width="9" style="2"/>
    <col min="8974" max="8974" width="7.125" style="2" bestFit="1" customWidth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7" width="9" style="2"/>
    <col min="9228" max="9228" width="8" style="2" bestFit="1" customWidth="1"/>
    <col min="9229" max="9229" width="9" style="2"/>
    <col min="9230" max="9230" width="7.125" style="2" bestFit="1" customWidth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3" width="9" style="2"/>
    <col min="9484" max="9484" width="8" style="2" bestFit="1" customWidth="1"/>
    <col min="9485" max="9485" width="9" style="2"/>
    <col min="9486" max="9486" width="7.125" style="2" bestFit="1" customWidth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39" width="9" style="2"/>
    <col min="9740" max="9740" width="8" style="2" bestFit="1" customWidth="1"/>
    <col min="9741" max="9741" width="9" style="2"/>
    <col min="9742" max="9742" width="7.125" style="2" bestFit="1" customWidth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5" width="9" style="2"/>
    <col min="9996" max="9996" width="8" style="2" bestFit="1" customWidth="1"/>
    <col min="9997" max="9997" width="9" style="2"/>
    <col min="9998" max="9998" width="7.125" style="2" bestFit="1" customWidth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1" width="9" style="2"/>
    <col min="10252" max="10252" width="8" style="2" bestFit="1" customWidth="1"/>
    <col min="10253" max="10253" width="9" style="2"/>
    <col min="10254" max="10254" width="7.125" style="2" bestFit="1" customWidth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7" width="9" style="2"/>
    <col min="10508" max="10508" width="8" style="2" bestFit="1" customWidth="1"/>
    <col min="10509" max="10509" width="9" style="2"/>
    <col min="10510" max="10510" width="7.125" style="2" bestFit="1" customWidth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3" width="9" style="2"/>
    <col min="10764" max="10764" width="8" style="2" bestFit="1" customWidth="1"/>
    <col min="10765" max="10765" width="9" style="2"/>
    <col min="10766" max="10766" width="7.125" style="2" bestFit="1" customWidth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19" width="9" style="2"/>
    <col min="11020" max="11020" width="8" style="2" bestFit="1" customWidth="1"/>
    <col min="11021" max="11021" width="9" style="2"/>
    <col min="11022" max="11022" width="7.125" style="2" bestFit="1" customWidth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5" width="9" style="2"/>
    <col min="11276" max="11276" width="8" style="2" bestFit="1" customWidth="1"/>
    <col min="11277" max="11277" width="9" style="2"/>
    <col min="11278" max="11278" width="7.125" style="2" bestFit="1" customWidth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1" width="9" style="2"/>
    <col min="11532" max="11532" width="8" style="2" bestFit="1" customWidth="1"/>
    <col min="11533" max="11533" width="9" style="2"/>
    <col min="11534" max="11534" width="7.125" style="2" bestFit="1" customWidth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7" width="9" style="2"/>
    <col min="11788" max="11788" width="8" style="2" bestFit="1" customWidth="1"/>
    <col min="11789" max="11789" width="9" style="2"/>
    <col min="11790" max="11790" width="7.125" style="2" bestFit="1" customWidth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3" width="9" style="2"/>
    <col min="12044" max="12044" width="8" style="2" bestFit="1" customWidth="1"/>
    <col min="12045" max="12045" width="9" style="2"/>
    <col min="12046" max="12046" width="7.125" style="2" bestFit="1" customWidth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299" width="9" style="2"/>
    <col min="12300" max="12300" width="8" style="2" bestFit="1" customWidth="1"/>
    <col min="12301" max="12301" width="9" style="2"/>
    <col min="12302" max="12302" width="7.125" style="2" bestFit="1" customWidth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5" width="9" style="2"/>
    <col min="12556" max="12556" width="8" style="2" bestFit="1" customWidth="1"/>
    <col min="12557" max="12557" width="9" style="2"/>
    <col min="12558" max="12558" width="7.125" style="2" bestFit="1" customWidth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1" width="9" style="2"/>
    <col min="12812" max="12812" width="8" style="2" bestFit="1" customWidth="1"/>
    <col min="12813" max="12813" width="9" style="2"/>
    <col min="12814" max="12814" width="7.125" style="2" bestFit="1" customWidth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7" width="9" style="2"/>
    <col min="13068" max="13068" width="8" style="2" bestFit="1" customWidth="1"/>
    <col min="13069" max="13069" width="9" style="2"/>
    <col min="13070" max="13070" width="7.125" style="2" bestFit="1" customWidth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3" width="9" style="2"/>
    <col min="13324" max="13324" width="8" style="2" bestFit="1" customWidth="1"/>
    <col min="13325" max="13325" width="9" style="2"/>
    <col min="13326" max="13326" width="7.125" style="2" bestFit="1" customWidth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79" width="9" style="2"/>
    <col min="13580" max="13580" width="8" style="2" bestFit="1" customWidth="1"/>
    <col min="13581" max="13581" width="9" style="2"/>
    <col min="13582" max="13582" width="7.125" style="2" bestFit="1" customWidth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5" width="9" style="2"/>
    <col min="13836" max="13836" width="8" style="2" bestFit="1" customWidth="1"/>
    <col min="13837" max="13837" width="9" style="2"/>
    <col min="13838" max="13838" width="7.125" style="2" bestFit="1" customWidth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1" width="9" style="2"/>
    <col min="14092" max="14092" width="8" style="2" bestFit="1" customWidth="1"/>
    <col min="14093" max="14093" width="9" style="2"/>
    <col min="14094" max="14094" width="7.125" style="2" bestFit="1" customWidth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7" width="9" style="2"/>
    <col min="14348" max="14348" width="8" style="2" bestFit="1" customWidth="1"/>
    <col min="14349" max="14349" width="9" style="2"/>
    <col min="14350" max="14350" width="7.125" style="2" bestFit="1" customWidth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3" width="9" style="2"/>
    <col min="14604" max="14604" width="8" style="2" bestFit="1" customWidth="1"/>
    <col min="14605" max="14605" width="9" style="2"/>
    <col min="14606" max="14606" width="7.125" style="2" bestFit="1" customWidth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59" width="9" style="2"/>
    <col min="14860" max="14860" width="8" style="2" bestFit="1" customWidth="1"/>
    <col min="14861" max="14861" width="9" style="2"/>
    <col min="14862" max="14862" width="7.125" style="2" bestFit="1" customWidth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5" width="9" style="2"/>
    <col min="15116" max="15116" width="8" style="2" bestFit="1" customWidth="1"/>
    <col min="15117" max="15117" width="9" style="2"/>
    <col min="15118" max="15118" width="7.125" style="2" bestFit="1" customWidth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1" width="9" style="2"/>
    <col min="15372" max="15372" width="8" style="2" bestFit="1" customWidth="1"/>
    <col min="15373" max="15373" width="9" style="2"/>
    <col min="15374" max="15374" width="7.125" style="2" bestFit="1" customWidth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7" width="9" style="2"/>
    <col min="15628" max="15628" width="8" style="2" bestFit="1" customWidth="1"/>
    <col min="15629" max="15629" width="9" style="2"/>
    <col min="15630" max="15630" width="7.125" style="2" bestFit="1" customWidth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3" width="9" style="2"/>
    <col min="15884" max="15884" width="8" style="2" bestFit="1" customWidth="1"/>
    <col min="15885" max="15885" width="9" style="2"/>
    <col min="15886" max="15886" width="7.125" style="2" bestFit="1" customWidth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39" width="9" style="2"/>
    <col min="16140" max="16140" width="8" style="2" bestFit="1" customWidth="1"/>
    <col min="16141" max="16141" width="9" style="2"/>
    <col min="16142" max="16142" width="7.125" style="2" bestFit="1" customWidth="1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>
      <c r="A3" s="1" t="s">
        <v>2</v>
      </c>
    </row>
    <row r="4" spans="1:17" ht="19.5" thickBot="1">
      <c r="A4" s="1" t="s">
        <v>4</v>
      </c>
    </row>
    <row r="5" spans="1:17">
      <c r="B5" s="3"/>
      <c r="C5" s="11" t="s">
        <v>8</v>
      </c>
      <c r="D5" s="11" t="s">
        <v>13</v>
      </c>
      <c r="E5" s="42" t="s">
        <v>10</v>
      </c>
      <c r="F5" s="57" t="s">
        <v>51</v>
      </c>
      <c r="G5" s="10" t="s">
        <v>5</v>
      </c>
      <c r="H5" s="11" t="s">
        <v>6</v>
      </c>
      <c r="I5" s="11" t="s">
        <v>7</v>
      </c>
      <c r="J5" s="11" t="s">
        <v>9</v>
      </c>
      <c r="K5" s="11" t="s">
        <v>11</v>
      </c>
      <c r="L5" s="11" t="s">
        <v>12</v>
      </c>
      <c r="M5" s="12" t="s">
        <v>14</v>
      </c>
      <c r="N5" s="57" t="s">
        <v>51</v>
      </c>
      <c r="O5" s="4" t="s">
        <v>26</v>
      </c>
    </row>
    <row r="6" spans="1:17" ht="19.5" thickBot="1">
      <c r="A6" s="41"/>
      <c r="B6" s="27" t="s">
        <v>15</v>
      </c>
      <c r="C6" s="29" t="s">
        <v>19</v>
      </c>
      <c r="D6" s="29" t="s">
        <v>24</v>
      </c>
      <c r="E6" s="43" t="s">
        <v>21</v>
      </c>
      <c r="F6" s="50" t="s">
        <v>52</v>
      </c>
      <c r="G6" s="28" t="s">
        <v>16</v>
      </c>
      <c r="H6" s="29" t="s">
        <v>17</v>
      </c>
      <c r="I6" s="29" t="s">
        <v>18</v>
      </c>
      <c r="J6" s="29" t="s">
        <v>20</v>
      </c>
      <c r="K6" s="29" t="s">
        <v>22</v>
      </c>
      <c r="L6" s="29" t="s">
        <v>23</v>
      </c>
      <c r="M6" s="30" t="s">
        <v>25</v>
      </c>
      <c r="N6" s="50" t="s">
        <v>53</v>
      </c>
      <c r="O6" s="58" t="s">
        <v>54</v>
      </c>
    </row>
    <row r="7" spans="1:17">
      <c r="A7" s="1" t="s">
        <v>3</v>
      </c>
      <c r="B7" s="22" t="s">
        <v>27</v>
      </c>
      <c r="C7" s="24">
        <v>340000</v>
      </c>
      <c r="D7" s="24">
        <v>340000</v>
      </c>
      <c r="E7" s="44">
        <v>28000</v>
      </c>
      <c r="F7" s="51">
        <f>SUM(C7:E7)</f>
        <v>708000</v>
      </c>
      <c r="G7" s="23">
        <v>56000</v>
      </c>
      <c r="H7" s="24">
        <v>63000</v>
      </c>
      <c r="I7" s="24">
        <v>63000</v>
      </c>
      <c r="J7" s="24">
        <v>75000</v>
      </c>
      <c r="K7" s="24">
        <v>63000</v>
      </c>
      <c r="L7" s="24">
        <v>56000</v>
      </c>
      <c r="M7" s="25">
        <v>0</v>
      </c>
      <c r="N7" s="51">
        <f>SUM(G7:M7)</f>
        <v>376000</v>
      </c>
      <c r="O7" s="26">
        <f>SUM(N7,F7)</f>
        <v>1084000</v>
      </c>
      <c r="Q7"/>
    </row>
    <row r="8" spans="1:17">
      <c r="A8" s="1" t="s">
        <v>3</v>
      </c>
      <c r="B8" s="5" t="s">
        <v>28</v>
      </c>
      <c r="C8" s="14">
        <v>0</v>
      </c>
      <c r="D8" s="14">
        <v>0</v>
      </c>
      <c r="E8" s="45">
        <v>0</v>
      </c>
      <c r="F8" s="52">
        <f t="shared" ref="F8:F27" si="0">SUM(C8:E8)</f>
        <v>0</v>
      </c>
      <c r="G8" s="13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5">
        <v>0</v>
      </c>
      <c r="N8" s="52">
        <f t="shared" ref="N8:N27" si="1">SUM(G8:M8)</f>
        <v>0</v>
      </c>
      <c r="O8" s="7">
        <f t="shared" ref="O8:O27" si="2">SUM(N8,F8)</f>
        <v>0</v>
      </c>
      <c r="Q8"/>
    </row>
    <row r="9" spans="1:17">
      <c r="A9" s="1" t="s">
        <v>3</v>
      </c>
      <c r="B9" s="5" t="s">
        <v>29</v>
      </c>
      <c r="C9" s="14">
        <v>0</v>
      </c>
      <c r="D9" s="14">
        <v>0</v>
      </c>
      <c r="E9" s="45">
        <v>0</v>
      </c>
      <c r="F9" s="52">
        <f t="shared" si="0"/>
        <v>0</v>
      </c>
      <c r="G9" s="13">
        <v>15000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5">
        <v>0</v>
      </c>
      <c r="N9" s="52">
        <f t="shared" si="1"/>
        <v>15000</v>
      </c>
      <c r="O9" s="7">
        <f t="shared" si="2"/>
        <v>15000</v>
      </c>
      <c r="Q9"/>
    </row>
    <row r="10" spans="1:17" ht="19.5" thickBot="1">
      <c r="A10" s="1" t="s">
        <v>3</v>
      </c>
      <c r="B10" s="31" t="s">
        <v>30</v>
      </c>
      <c r="C10" s="33">
        <v>0</v>
      </c>
      <c r="D10" s="33">
        <v>0</v>
      </c>
      <c r="E10" s="46">
        <v>1500</v>
      </c>
      <c r="F10" s="53">
        <f t="shared" si="0"/>
        <v>1500</v>
      </c>
      <c r="G10" s="32">
        <v>3000</v>
      </c>
      <c r="H10" s="33">
        <v>5000</v>
      </c>
      <c r="I10" s="33">
        <v>0</v>
      </c>
      <c r="J10" s="33">
        <v>0</v>
      </c>
      <c r="K10" s="33">
        <v>0</v>
      </c>
      <c r="L10" s="33">
        <v>0</v>
      </c>
      <c r="M10" s="34">
        <v>0</v>
      </c>
      <c r="N10" s="53">
        <f t="shared" si="1"/>
        <v>8000</v>
      </c>
      <c r="O10" s="35">
        <f t="shared" si="2"/>
        <v>9500</v>
      </c>
      <c r="Q10"/>
    </row>
    <row r="11" spans="1:17" ht="19.5" thickBot="1">
      <c r="A11" s="1" t="s">
        <v>3</v>
      </c>
      <c r="B11" s="36" t="s">
        <v>31</v>
      </c>
      <c r="C11" s="38">
        <v>340000</v>
      </c>
      <c r="D11" s="38">
        <v>340000</v>
      </c>
      <c r="E11" s="47">
        <v>29500</v>
      </c>
      <c r="F11" s="54">
        <f t="shared" si="0"/>
        <v>709500</v>
      </c>
      <c r="G11" s="37">
        <v>74000</v>
      </c>
      <c r="H11" s="38">
        <v>68000</v>
      </c>
      <c r="I11" s="38">
        <v>63000</v>
      </c>
      <c r="J11" s="38">
        <v>75000</v>
      </c>
      <c r="K11" s="38">
        <v>63000</v>
      </c>
      <c r="L11" s="38">
        <v>56000</v>
      </c>
      <c r="M11" s="39">
        <v>0</v>
      </c>
      <c r="N11" s="54">
        <f t="shared" si="1"/>
        <v>399000</v>
      </c>
      <c r="O11" s="40">
        <f t="shared" si="2"/>
        <v>1108500</v>
      </c>
      <c r="Q11"/>
    </row>
    <row r="12" spans="1:17" ht="19.5" thickBot="1">
      <c r="A12" s="1" t="s">
        <v>3</v>
      </c>
      <c r="B12" s="36" t="s">
        <v>32</v>
      </c>
      <c r="C12" s="38">
        <v>0</v>
      </c>
      <c r="D12" s="38">
        <v>0</v>
      </c>
      <c r="E12" s="47">
        <v>0</v>
      </c>
      <c r="F12" s="54">
        <f t="shared" si="0"/>
        <v>0</v>
      </c>
      <c r="G12" s="37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9">
        <v>0</v>
      </c>
      <c r="N12" s="54">
        <f t="shared" si="1"/>
        <v>0</v>
      </c>
      <c r="O12" s="40">
        <f t="shared" si="2"/>
        <v>0</v>
      </c>
      <c r="Q12"/>
    </row>
    <row r="13" spans="1:17" ht="19.5" thickBot="1">
      <c r="A13" s="1" t="s">
        <v>3</v>
      </c>
      <c r="B13" s="36" t="s">
        <v>33</v>
      </c>
      <c r="C13" s="38">
        <v>340000</v>
      </c>
      <c r="D13" s="38">
        <v>340000</v>
      </c>
      <c r="E13" s="47">
        <v>29500</v>
      </c>
      <c r="F13" s="54">
        <f t="shared" si="0"/>
        <v>709500</v>
      </c>
      <c r="G13" s="37">
        <v>74000</v>
      </c>
      <c r="H13" s="38">
        <v>68000</v>
      </c>
      <c r="I13" s="38">
        <v>63000</v>
      </c>
      <c r="J13" s="38">
        <v>75000</v>
      </c>
      <c r="K13" s="38">
        <v>63000</v>
      </c>
      <c r="L13" s="38">
        <v>56000</v>
      </c>
      <c r="M13" s="39">
        <v>0</v>
      </c>
      <c r="N13" s="54">
        <f t="shared" si="1"/>
        <v>399000</v>
      </c>
      <c r="O13" s="40">
        <f t="shared" si="2"/>
        <v>1108500</v>
      </c>
      <c r="Q13"/>
    </row>
    <row r="14" spans="1:17">
      <c r="A14" s="1" t="s">
        <v>3</v>
      </c>
      <c r="B14" s="22" t="s">
        <v>34</v>
      </c>
      <c r="C14" s="24">
        <v>17340</v>
      </c>
      <c r="D14" s="24">
        <v>17340</v>
      </c>
      <c r="E14" s="44">
        <v>1479</v>
      </c>
      <c r="F14" s="51">
        <f t="shared" si="0"/>
        <v>36159</v>
      </c>
      <c r="G14" s="23">
        <v>3774</v>
      </c>
      <c r="H14" s="24">
        <v>3468</v>
      </c>
      <c r="I14" s="24">
        <v>3213</v>
      </c>
      <c r="J14" s="24">
        <v>3825</v>
      </c>
      <c r="K14" s="24">
        <v>3213</v>
      </c>
      <c r="L14" s="24">
        <v>2856</v>
      </c>
      <c r="M14" s="25">
        <v>0</v>
      </c>
      <c r="N14" s="51">
        <f t="shared" si="1"/>
        <v>20349</v>
      </c>
      <c r="O14" s="26">
        <f t="shared" si="2"/>
        <v>56508</v>
      </c>
      <c r="Q14"/>
    </row>
    <row r="15" spans="1:17">
      <c r="A15" s="1" t="s">
        <v>3</v>
      </c>
      <c r="B15" s="5" t="s">
        <v>35</v>
      </c>
      <c r="C15" s="14">
        <v>3060</v>
      </c>
      <c r="D15" s="14">
        <v>3060</v>
      </c>
      <c r="E15" s="45">
        <v>0</v>
      </c>
      <c r="F15" s="52">
        <f t="shared" si="0"/>
        <v>6120</v>
      </c>
      <c r="G15" s="13">
        <v>666</v>
      </c>
      <c r="H15" s="14">
        <v>612</v>
      </c>
      <c r="I15" s="14">
        <v>567</v>
      </c>
      <c r="J15" s="14">
        <v>675</v>
      </c>
      <c r="K15" s="14">
        <v>567</v>
      </c>
      <c r="L15" s="14">
        <v>0</v>
      </c>
      <c r="M15" s="15">
        <v>0</v>
      </c>
      <c r="N15" s="52">
        <f t="shared" si="1"/>
        <v>3087</v>
      </c>
      <c r="O15" s="7">
        <f t="shared" si="2"/>
        <v>9207</v>
      </c>
      <c r="Q15"/>
    </row>
    <row r="16" spans="1:17">
      <c r="A16" s="1" t="s">
        <v>3</v>
      </c>
      <c r="B16" s="5" t="s">
        <v>36</v>
      </c>
      <c r="C16" s="14">
        <v>31110</v>
      </c>
      <c r="D16" s="14">
        <v>31110</v>
      </c>
      <c r="E16" s="45">
        <v>2653</v>
      </c>
      <c r="F16" s="52">
        <f t="shared" si="0"/>
        <v>64873</v>
      </c>
      <c r="G16" s="13">
        <v>6771</v>
      </c>
      <c r="H16" s="14">
        <v>6222</v>
      </c>
      <c r="I16" s="14">
        <v>5764</v>
      </c>
      <c r="J16" s="14">
        <v>6862</v>
      </c>
      <c r="K16" s="14">
        <v>5764</v>
      </c>
      <c r="L16" s="14">
        <v>5124</v>
      </c>
      <c r="M16" s="15">
        <v>0</v>
      </c>
      <c r="N16" s="52">
        <f t="shared" si="1"/>
        <v>36507</v>
      </c>
      <c r="O16" s="7">
        <f t="shared" si="2"/>
        <v>101380</v>
      </c>
      <c r="Q16"/>
    </row>
    <row r="17" spans="1:17" ht="19.5" thickBot="1">
      <c r="A17" s="1" t="s">
        <v>3</v>
      </c>
      <c r="B17" s="31" t="s">
        <v>37</v>
      </c>
      <c r="C17" s="33">
        <v>1020</v>
      </c>
      <c r="D17" s="33">
        <v>1020</v>
      </c>
      <c r="E17" s="46">
        <v>88</v>
      </c>
      <c r="F17" s="53">
        <f t="shared" si="0"/>
        <v>2128</v>
      </c>
      <c r="G17" s="32">
        <v>222</v>
      </c>
      <c r="H17" s="33">
        <v>204</v>
      </c>
      <c r="I17" s="33">
        <v>189</v>
      </c>
      <c r="J17" s="33">
        <v>225</v>
      </c>
      <c r="K17" s="33">
        <v>189</v>
      </c>
      <c r="L17" s="33">
        <v>168</v>
      </c>
      <c r="M17" s="34">
        <v>0</v>
      </c>
      <c r="N17" s="53">
        <f t="shared" si="1"/>
        <v>1197</v>
      </c>
      <c r="O17" s="35">
        <f t="shared" si="2"/>
        <v>3325</v>
      </c>
      <c r="Q17"/>
    </row>
    <row r="18" spans="1:17" ht="19.5" thickBot="1">
      <c r="A18" s="1" t="s">
        <v>3</v>
      </c>
      <c r="B18" s="36" t="s">
        <v>40</v>
      </c>
      <c r="C18" s="38">
        <v>52530</v>
      </c>
      <c r="D18" s="38">
        <v>52530</v>
      </c>
      <c r="E18" s="47">
        <v>4220</v>
      </c>
      <c r="F18" s="54">
        <f t="shared" si="0"/>
        <v>109280</v>
      </c>
      <c r="G18" s="37">
        <v>11433</v>
      </c>
      <c r="H18" s="38">
        <v>10506</v>
      </c>
      <c r="I18" s="38">
        <v>9733</v>
      </c>
      <c r="J18" s="38">
        <v>11587</v>
      </c>
      <c r="K18" s="38">
        <v>9733</v>
      </c>
      <c r="L18" s="38">
        <v>8148</v>
      </c>
      <c r="M18" s="39">
        <v>0</v>
      </c>
      <c r="N18" s="54">
        <f t="shared" si="1"/>
        <v>61140</v>
      </c>
      <c r="O18" s="40">
        <f t="shared" si="2"/>
        <v>170420</v>
      </c>
      <c r="Q18"/>
    </row>
    <row r="19" spans="1:17">
      <c r="A19" s="1" t="s">
        <v>3</v>
      </c>
      <c r="B19" s="22" t="s">
        <v>38</v>
      </c>
      <c r="C19" s="24">
        <v>287470</v>
      </c>
      <c r="D19" s="24">
        <v>287470</v>
      </c>
      <c r="E19" s="44">
        <v>25280</v>
      </c>
      <c r="F19" s="51">
        <f t="shared" si="0"/>
        <v>600220</v>
      </c>
      <c r="G19" s="23">
        <v>62567</v>
      </c>
      <c r="H19" s="24">
        <v>57494</v>
      </c>
      <c r="I19" s="24">
        <v>53267</v>
      </c>
      <c r="J19" s="24">
        <v>63413</v>
      </c>
      <c r="K19" s="24">
        <v>53267</v>
      </c>
      <c r="L19" s="24">
        <v>47852</v>
      </c>
      <c r="M19" s="25">
        <v>0</v>
      </c>
      <c r="N19" s="51">
        <f t="shared" si="1"/>
        <v>337860</v>
      </c>
      <c r="O19" s="26">
        <f t="shared" si="2"/>
        <v>938080</v>
      </c>
      <c r="Q19"/>
    </row>
    <row r="20" spans="1:17" ht="19.5" thickBot="1">
      <c r="A20" s="1" t="s">
        <v>3</v>
      </c>
      <c r="B20" s="31" t="s">
        <v>39</v>
      </c>
      <c r="C20" s="33">
        <v>17610</v>
      </c>
      <c r="D20" s="33">
        <v>17610</v>
      </c>
      <c r="E20" s="46">
        <v>1032</v>
      </c>
      <c r="F20" s="53">
        <f t="shared" si="0"/>
        <v>36252</v>
      </c>
      <c r="G20" s="32">
        <v>2555</v>
      </c>
      <c r="H20" s="33">
        <v>3522</v>
      </c>
      <c r="I20" s="33">
        <v>3263</v>
      </c>
      <c r="J20" s="33">
        <v>3884</v>
      </c>
      <c r="K20" s="33">
        <v>2175</v>
      </c>
      <c r="L20" s="33">
        <v>3908</v>
      </c>
      <c r="M20" s="34">
        <v>0</v>
      </c>
      <c r="N20" s="53">
        <f t="shared" si="1"/>
        <v>19307</v>
      </c>
      <c r="O20" s="35">
        <f t="shared" si="2"/>
        <v>55559</v>
      </c>
      <c r="Q20"/>
    </row>
    <row r="21" spans="1:17" ht="19.5" thickBot="1">
      <c r="A21" s="1" t="s">
        <v>3</v>
      </c>
      <c r="B21" s="36" t="s">
        <v>41</v>
      </c>
      <c r="C21" s="38">
        <v>70140</v>
      </c>
      <c r="D21" s="38">
        <v>70140</v>
      </c>
      <c r="E21" s="47">
        <v>5252</v>
      </c>
      <c r="F21" s="54">
        <f t="shared" si="0"/>
        <v>145532</v>
      </c>
      <c r="G21" s="37">
        <v>13988</v>
      </c>
      <c r="H21" s="38">
        <v>14028</v>
      </c>
      <c r="I21" s="38">
        <v>12996</v>
      </c>
      <c r="J21" s="38">
        <v>15471</v>
      </c>
      <c r="K21" s="38">
        <v>11908</v>
      </c>
      <c r="L21" s="38">
        <v>12056</v>
      </c>
      <c r="M21" s="39">
        <v>0</v>
      </c>
      <c r="N21" s="54">
        <f t="shared" si="1"/>
        <v>80447</v>
      </c>
      <c r="O21" s="40">
        <f t="shared" si="2"/>
        <v>225979</v>
      </c>
      <c r="Q21"/>
    </row>
    <row r="22" spans="1:17">
      <c r="A22" s="1" t="s">
        <v>3</v>
      </c>
      <c r="B22" s="22" t="s">
        <v>42</v>
      </c>
      <c r="C22" s="24">
        <v>127581</v>
      </c>
      <c r="D22" s="24">
        <v>124334</v>
      </c>
      <c r="E22" s="44">
        <v>1892</v>
      </c>
      <c r="F22" s="51">
        <f t="shared" si="0"/>
        <v>253807</v>
      </c>
      <c r="G22" s="23">
        <v>17701</v>
      </c>
      <c r="H22" s="24">
        <v>21224</v>
      </c>
      <c r="I22" s="24">
        <v>16193</v>
      </c>
      <c r="J22" s="24">
        <v>16340</v>
      </c>
      <c r="K22" s="24">
        <v>14723</v>
      </c>
      <c r="L22" s="24">
        <v>1511</v>
      </c>
      <c r="M22" s="25">
        <v>8949</v>
      </c>
      <c r="N22" s="51">
        <f t="shared" si="1"/>
        <v>96641</v>
      </c>
      <c r="O22" s="26">
        <f t="shared" si="2"/>
        <v>350448</v>
      </c>
      <c r="Q22"/>
    </row>
    <row r="23" spans="1:17" ht="19.5" thickBot="1">
      <c r="A23" s="1" t="s">
        <v>3</v>
      </c>
      <c r="B23" s="31" t="s">
        <v>43</v>
      </c>
      <c r="C23" s="33">
        <v>0</v>
      </c>
      <c r="D23" s="33">
        <v>0</v>
      </c>
      <c r="E23" s="46">
        <v>0</v>
      </c>
      <c r="F23" s="53">
        <f t="shared" si="0"/>
        <v>0</v>
      </c>
      <c r="G23" s="32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4">
        <v>0</v>
      </c>
      <c r="N23" s="53">
        <f t="shared" si="1"/>
        <v>0</v>
      </c>
      <c r="O23" s="35">
        <f t="shared" si="2"/>
        <v>0</v>
      </c>
      <c r="Q23"/>
    </row>
    <row r="24" spans="1:17" ht="19.5" thickBot="1">
      <c r="A24" s="1" t="s">
        <v>3</v>
      </c>
      <c r="B24" s="36" t="s">
        <v>44</v>
      </c>
      <c r="C24" s="38">
        <v>127581</v>
      </c>
      <c r="D24" s="38">
        <v>124334</v>
      </c>
      <c r="E24" s="47">
        <v>1892</v>
      </c>
      <c r="F24" s="54">
        <f t="shared" si="0"/>
        <v>253807</v>
      </c>
      <c r="G24" s="37">
        <v>17701</v>
      </c>
      <c r="H24" s="38">
        <v>21224</v>
      </c>
      <c r="I24" s="38">
        <v>16193</v>
      </c>
      <c r="J24" s="38">
        <v>16340</v>
      </c>
      <c r="K24" s="38">
        <v>14723</v>
      </c>
      <c r="L24" s="38">
        <v>1511</v>
      </c>
      <c r="M24" s="39">
        <v>8949</v>
      </c>
      <c r="N24" s="54">
        <f t="shared" si="1"/>
        <v>96641</v>
      </c>
      <c r="O24" s="40">
        <f t="shared" si="2"/>
        <v>350448</v>
      </c>
      <c r="Q24"/>
    </row>
    <row r="25" spans="1:17" ht="19.5" thickBot="1">
      <c r="A25" s="1" t="s">
        <v>3</v>
      </c>
      <c r="B25" s="36" t="s">
        <v>45</v>
      </c>
      <c r="C25" s="38">
        <v>397441</v>
      </c>
      <c r="D25" s="38">
        <v>394194</v>
      </c>
      <c r="E25" s="47">
        <v>26140</v>
      </c>
      <c r="F25" s="54">
        <f t="shared" si="0"/>
        <v>817775</v>
      </c>
      <c r="G25" s="37">
        <v>77713</v>
      </c>
      <c r="H25" s="38">
        <v>75196</v>
      </c>
      <c r="I25" s="38">
        <v>66197</v>
      </c>
      <c r="J25" s="38">
        <v>75869</v>
      </c>
      <c r="K25" s="38">
        <v>65815</v>
      </c>
      <c r="L25" s="38">
        <v>45455</v>
      </c>
      <c r="M25" s="39">
        <v>8949</v>
      </c>
      <c r="N25" s="54">
        <f t="shared" si="1"/>
        <v>415194</v>
      </c>
      <c r="O25" s="40">
        <f t="shared" si="2"/>
        <v>1232969</v>
      </c>
      <c r="Q25"/>
    </row>
    <row r="26" spans="1:17" ht="19.5" thickBot="1">
      <c r="A26" s="1" t="s">
        <v>3</v>
      </c>
      <c r="B26" s="36" t="s">
        <v>46</v>
      </c>
      <c r="C26" s="38">
        <v>0</v>
      </c>
      <c r="D26" s="38">
        <v>0</v>
      </c>
      <c r="E26" s="47">
        <v>0</v>
      </c>
      <c r="F26" s="54">
        <f t="shared" si="0"/>
        <v>0</v>
      </c>
      <c r="G26" s="37">
        <v>0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9">
        <v>0</v>
      </c>
      <c r="N26" s="54">
        <f t="shared" si="1"/>
        <v>0</v>
      </c>
      <c r="O26" s="40">
        <f t="shared" si="2"/>
        <v>0</v>
      </c>
      <c r="Q26"/>
    </row>
    <row r="27" spans="1:17" ht="19.5" thickBot="1">
      <c r="A27" s="1" t="s">
        <v>3</v>
      </c>
      <c r="B27" s="36" t="s">
        <v>47</v>
      </c>
      <c r="C27" s="38">
        <v>397441</v>
      </c>
      <c r="D27" s="38">
        <v>394194</v>
      </c>
      <c r="E27" s="47">
        <v>26140</v>
      </c>
      <c r="F27" s="54">
        <f t="shared" si="0"/>
        <v>817775</v>
      </c>
      <c r="G27" s="37">
        <v>77713</v>
      </c>
      <c r="H27" s="38">
        <v>75196</v>
      </c>
      <c r="I27" s="38">
        <v>66197</v>
      </c>
      <c r="J27" s="38">
        <v>75869</v>
      </c>
      <c r="K27" s="38">
        <v>65815</v>
      </c>
      <c r="L27" s="38">
        <v>45455</v>
      </c>
      <c r="M27" s="39">
        <v>8949</v>
      </c>
      <c r="N27" s="54">
        <f t="shared" si="1"/>
        <v>415194</v>
      </c>
      <c r="O27" s="40">
        <f t="shared" si="2"/>
        <v>1232969</v>
      </c>
      <c r="Q27"/>
    </row>
    <row r="28" spans="1:17">
      <c r="A28" s="1" t="s">
        <v>3</v>
      </c>
      <c r="B28" s="22" t="s">
        <v>48</v>
      </c>
      <c r="C28" s="24">
        <v>0</v>
      </c>
      <c r="D28" s="24">
        <v>0</v>
      </c>
      <c r="E28" s="44">
        <v>0</v>
      </c>
      <c r="F28" s="51"/>
      <c r="G28" s="23">
        <v>2</v>
      </c>
      <c r="H28" s="24">
        <v>2</v>
      </c>
      <c r="I28" s="24">
        <v>0</v>
      </c>
      <c r="J28" s="24">
        <v>0</v>
      </c>
      <c r="K28" s="24">
        <v>1</v>
      </c>
      <c r="L28" s="24">
        <v>0</v>
      </c>
      <c r="M28" s="25">
        <v>0</v>
      </c>
      <c r="N28" s="51"/>
      <c r="O28" s="26"/>
    </row>
    <row r="29" spans="1:17">
      <c r="A29" s="1" t="s">
        <v>3</v>
      </c>
      <c r="B29" s="5" t="s">
        <v>49</v>
      </c>
      <c r="C29" s="17">
        <v>6.1260000000000003</v>
      </c>
      <c r="D29" s="17">
        <v>6.1260000000000003</v>
      </c>
      <c r="E29" s="48">
        <v>4.0839999999999996</v>
      </c>
      <c r="F29" s="55"/>
      <c r="G29" s="16">
        <v>4.0839999999999996</v>
      </c>
      <c r="H29" s="17">
        <v>6.1260000000000003</v>
      </c>
      <c r="I29" s="17">
        <v>6.1260000000000003</v>
      </c>
      <c r="J29" s="17">
        <v>6.1260000000000003</v>
      </c>
      <c r="K29" s="17">
        <v>4.0839999999999996</v>
      </c>
      <c r="L29" s="17">
        <v>8.1679999999999993</v>
      </c>
      <c r="M29" s="18">
        <v>0</v>
      </c>
      <c r="N29" s="55"/>
      <c r="O29" s="8"/>
    </row>
    <row r="30" spans="1:17" ht="19.5" thickBot="1">
      <c r="A30" s="1" t="s">
        <v>3</v>
      </c>
      <c r="B30" s="6" t="s">
        <v>50</v>
      </c>
      <c r="C30" s="20">
        <v>287470</v>
      </c>
      <c r="D30" s="20">
        <v>282932</v>
      </c>
      <c r="E30" s="49">
        <v>178029</v>
      </c>
      <c r="F30" s="56"/>
      <c r="G30" s="19">
        <v>285915</v>
      </c>
      <c r="H30" s="20">
        <v>318584</v>
      </c>
      <c r="I30" s="20">
        <v>283952</v>
      </c>
      <c r="J30" s="20">
        <v>281451</v>
      </c>
      <c r="K30" s="20">
        <v>276507</v>
      </c>
      <c r="L30" s="20">
        <v>316139</v>
      </c>
      <c r="M30" s="21">
        <v>0</v>
      </c>
      <c r="N30" s="56"/>
      <c r="O30" s="9"/>
    </row>
  </sheetData>
  <phoneticPr fontId="3"/>
  <pageMargins left="0.70866141732283472" right="0.70866141732283472" top="0.74803149606299213" bottom="0.74803149606299213" header="0.31496062992125984" footer="0.31496062992125984"/>
  <pageSetup paperSize="9"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3年冬賞与 (2)</vt:lpstr>
      <vt:lpstr>'3年冬賞与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2021-12-20T05:35:04Z</cp:lastPrinted>
  <dcterms:created xsi:type="dcterms:W3CDTF">2021-12-20T02:55:29Z</dcterms:created>
  <dcterms:modified xsi:type="dcterms:W3CDTF">2021-12-20T07:24:00Z</dcterms:modified>
</cp:coreProperties>
</file>