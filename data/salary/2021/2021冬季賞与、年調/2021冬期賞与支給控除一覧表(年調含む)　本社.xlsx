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冬季賞与、年調\"/>
    </mc:Choice>
  </mc:AlternateContent>
  <xr:revisionPtr revIDLastSave="0" documentId="13_ncr:1_{7F46CEA0-210F-4D52-A5F6-E53C963C5A3D}" xr6:coauthVersionLast="47" xr6:coauthVersionMax="47" xr10:uidLastSave="{00000000-0000-0000-0000-000000000000}"/>
  <bookViews>
    <workbookView xWindow="-120" yWindow="-120" windowWidth="20730" windowHeight="11160" xr2:uid="{4C88A329-AE9D-4942-895D-388844A8F588}"/>
  </bookViews>
  <sheets>
    <sheet name="3年冬賞与 (2)" sheetId="3" r:id="rId1"/>
  </sheets>
  <definedNames>
    <definedName name="_xlnm.Print_Area" localSheetId="0">'3年冬賞与 (2)'!$A$1:$M$29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" l="1"/>
  <c r="M7" i="3" s="1"/>
  <c r="L8" i="3"/>
  <c r="M8" i="3" s="1"/>
  <c r="L9" i="3"/>
  <c r="M9" i="3" s="1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6" i="3"/>
  <c r="J26" i="3"/>
  <c r="J11" i="3"/>
  <c r="M11" i="3" s="1"/>
  <c r="J12" i="3"/>
  <c r="J13" i="3"/>
  <c r="J14" i="3"/>
  <c r="J15" i="3"/>
  <c r="M15" i="3" s="1"/>
  <c r="J16" i="3"/>
  <c r="M16" i="3" s="1"/>
  <c r="J17" i="3"/>
  <c r="J18" i="3"/>
  <c r="J19" i="3"/>
  <c r="M19" i="3" s="1"/>
  <c r="J20" i="3"/>
  <c r="M20" i="3" s="1"/>
  <c r="J21" i="3"/>
  <c r="J22" i="3"/>
  <c r="J23" i="3"/>
  <c r="J24" i="3"/>
  <c r="J25" i="3"/>
  <c r="J27" i="3"/>
  <c r="J10" i="3"/>
  <c r="J6" i="3"/>
  <c r="M6" i="3" s="1"/>
  <c r="F22" i="3"/>
  <c r="F23" i="3"/>
  <c r="F24" i="3"/>
  <c r="F25" i="3"/>
  <c r="M25" i="3" s="1"/>
  <c r="F26" i="3"/>
  <c r="F21" i="3"/>
  <c r="M21" i="3" l="1"/>
  <c r="M23" i="3"/>
  <c r="M18" i="3"/>
  <c r="M14" i="3"/>
  <c r="M26" i="3"/>
  <c r="M22" i="3"/>
  <c r="M17" i="3"/>
  <c r="M13" i="3"/>
  <c r="M12" i="3"/>
  <c r="M24" i="3"/>
  <c r="M10" i="3"/>
</calcChain>
</file>

<file path=xl/sharedStrings.xml><?xml version="1.0" encoding="utf-8"?>
<sst xmlns="http://schemas.openxmlformats.org/spreadsheetml/2006/main" count="74" uniqueCount="48">
  <si>
    <t>賞与支給控除一覧表</t>
    <phoneticPr fontId="4"/>
  </si>
  <si>
    <t>若林運送株式会社</t>
    <phoneticPr fontId="4"/>
  </si>
  <si>
    <t/>
  </si>
  <si>
    <t>3年冬賞与</t>
    <phoneticPr fontId="4"/>
  </si>
  <si>
    <t>1010</t>
    <phoneticPr fontId="4"/>
  </si>
  <si>
    <t>1019</t>
    <phoneticPr fontId="4"/>
  </si>
  <si>
    <t>1020</t>
    <phoneticPr fontId="4"/>
  </si>
  <si>
    <t>1024</t>
    <phoneticPr fontId="4"/>
  </si>
  <si>
    <t>1036</t>
    <phoneticPr fontId="4"/>
  </si>
  <si>
    <t>1041</t>
    <phoneticPr fontId="4"/>
  </si>
  <si>
    <t>1053</t>
    <phoneticPr fontId="4"/>
  </si>
  <si>
    <t>項目名</t>
    <phoneticPr fontId="4"/>
  </si>
  <si>
    <t>若林権太郎</t>
    <phoneticPr fontId="4"/>
  </si>
  <si>
    <t>若林孝次郎</t>
    <phoneticPr fontId="4"/>
  </si>
  <si>
    <t>深沢道夫</t>
    <phoneticPr fontId="4"/>
  </si>
  <si>
    <t>若林裕子</t>
    <phoneticPr fontId="4"/>
  </si>
  <si>
    <t>渋谷晶子</t>
    <phoneticPr fontId="4"/>
  </si>
  <si>
    <t>浅田恵美子</t>
    <phoneticPr fontId="4"/>
  </si>
  <si>
    <t>高田智幸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</si>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</sst>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3" fontId="2" fillId="0" borderId="10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0" fontId="2" fillId="0" borderId="6" xfId="1" applyFont="1" applyBorder="1" applyAlignment="1">
      <alignment horizontal="right"/>
    </xf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176" fontId="2" fillId="0" borderId="29" xfId="1" applyNumberFormat="1" applyFont="1" applyBorder="1"/>
    <xf numFmtId="3" fontId="2" fillId="0" borderId="27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176" fontId="2" fillId="0" borderId="35" xfId="1" applyNumberFormat="1" applyFont="1" applyBorder="1"/>
    <xf numFmtId="3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25" xfId="1" applyNumberFormat="1" applyFont="1" applyBorder="1"/>
    <xf numFmtId="176" fontId="2" fillId="0" borderId="41" xfId="1" applyNumberFormat="1" applyFont="1" applyBorder="1"/>
    <xf numFmtId="3" fontId="2" fillId="0" borderId="39" xfId="1" applyNumberFormat="1" applyFont="1" applyBorder="1"/>
    <xf numFmtId="0" fontId="2" fillId="0" borderId="43" xfId="1" applyFont="1" applyBorder="1"/>
  </cellXfs>
  <cellStyles count="2">
    <cellStyle name="標準" xfId="0" builtinId="0"/>
    <cellStyle name="標準 2" xfId="1" xr:uid="{983CE709-64E5-4688-BC32-07863E9E0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3DF3-0F21-45DA-85AB-857B21379C32}">
  <sheetPr>
    <pageSetUpPr fitToPage="1"/>
  </sheetPr>
  <dimension ref="A1:O29"/>
  <sheetViews>
    <sheetView showZeros="0" tabSelected="1" workbookViewId="0">
      <selection activeCell="C12" sqref="C12"/>
    </sheetView>
  </sheetViews>
  <sheetFormatPr defaultRowHeight="18.75"/>
  <cols>
    <col min="1" max="1" width="2.375" style="2" customWidth="1"/>
    <col min="2" max="2" width="13.25" style="2" bestFit="1" customWidth="1"/>
    <col min="3" max="13" width="11.125" style="2" customWidth="1"/>
    <col min="14" max="14" width="9.625" style="2" bestFit="1" customWidth="1"/>
    <col min="15" max="260" width="9" style="2"/>
    <col min="261" max="261" width="2.375" style="2" customWidth="1"/>
    <col min="262" max="262" width="13.25" style="2" bestFit="1" customWidth="1"/>
    <col min="263" max="264" width="11.125" style="2" bestFit="1" customWidth="1"/>
    <col min="265" max="267" width="9" style="2"/>
    <col min="268" max="268" width="11.125" style="2" bestFit="1" customWidth="1"/>
    <col min="269" max="269" width="9" style="2"/>
    <col min="270" max="270" width="9.625" style="2" bestFit="1" customWidth="1"/>
    <col min="271" max="516" width="9" style="2"/>
    <col min="517" max="517" width="2.375" style="2" customWidth="1"/>
    <col min="518" max="518" width="13.25" style="2" bestFit="1" customWidth="1"/>
    <col min="519" max="520" width="11.125" style="2" bestFit="1" customWidth="1"/>
    <col min="521" max="523" width="9" style="2"/>
    <col min="524" max="524" width="11.125" style="2" bestFit="1" customWidth="1"/>
    <col min="525" max="525" width="9" style="2"/>
    <col min="526" max="526" width="9.625" style="2" bestFit="1" customWidth="1"/>
    <col min="527" max="772" width="9" style="2"/>
    <col min="773" max="773" width="2.375" style="2" customWidth="1"/>
    <col min="774" max="774" width="13.25" style="2" bestFit="1" customWidth="1"/>
    <col min="775" max="776" width="11.125" style="2" bestFit="1" customWidth="1"/>
    <col min="777" max="779" width="9" style="2"/>
    <col min="780" max="780" width="11.125" style="2" bestFit="1" customWidth="1"/>
    <col min="781" max="781" width="9" style="2"/>
    <col min="782" max="782" width="9.625" style="2" bestFit="1" customWidth="1"/>
    <col min="783" max="1028" width="9" style="2"/>
    <col min="1029" max="1029" width="2.375" style="2" customWidth="1"/>
    <col min="1030" max="1030" width="13.25" style="2" bestFit="1" customWidth="1"/>
    <col min="1031" max="1032" width="11.125" style="2" bestFit="1" customWidth="1"/>
    <col min="1033" max="1035" width="9" style="2"/>
    <col min="1036" max="1036" width="11.125" style="2" bestFit="1" customWidth="1"/>
    <col min="1037" max="1037" width="9" style="2"/>
    <col min="1038" max="1038" width="9.625" style="2" bestFit="1" customWidth="1"/>
    <col min="1039" max="1284" width="9" style="2"/>
    <col min="1285" max="1285" width="2.375" style="2" customWidth="1"/>
    <col min="1286" max="1286" width="13.25" style="2" bestFit="1" customWidth="1"/>
    <col min="1287" max="1288" width="11.125" style="2" bestFit="1" customWidth="1"/>
    <col min="1289" max="1291" width="9" style="2"/>
    <col min="1292" max="1292" width="11.125" style="2" bestFit="1" customWidth="1"/>
    <col min="1293" max="1293" width="9" style="2"/>
    <col min="1294" max="1294" width="9.625" style="2" bestFit="1" customWidth="1"/>
    <col min="1295" max="1540" width="9" style="2"/>
    <col min="1541" max="1541" width="2.375" style="2" customWidth="1"/>
    <col min="1542" max="1542" width="13.25" style="2" bestFit="1" customWidth="1"/>
    <col min="1543" max="1544" width="11.125" style="2" bestFit="1" customWidth="1"/>
    <col min="1545" max="1547" width="9" style="2"/>
    <col min="1548" max="1548" width="11.125" style="2" bestFit="1" customWidth="1"/>
    <col min="1549" max="1549" width="9" style="2"/>
    <col min="1550" max="1550" width="9.625" style="2" bestFit="1" customWidth="1"/>
    <col min="1551" max="1796" width="9" style="2"/>
    <col min="1797" max="1797" width="2.375" style="2" customWidth="1"/>
    <col min="1798" max="1798" width="13.25" style="2" bestFit="1" customWidth="1"/>
    <col min="1799" max="1800" width="11.125" style="2" bestFit="1" customWidth="1"/>
    <col min="1801" max="1803" width="9" style="2"/>
    <col min="1804" max="1804" width="11.125" style="2" bestFit="1" customWidth="1"/>
    <col min="1805" max="1805" width="9" style="2"/>
    <col min="1806" max="1806" width="9.625" style="2" bestFit="1" customWidth="1"/>
    <col min="1807" max="2052" width="9" style="2"/>
    <col min="2053" max="2053" width="2.375" style="2" customWidth="1"/>
    <col min="2054" max="2054" width="13.25" style="2" bestFit="1" customWidth="1"/>
    <col min="2055" max="2056" width="11.125" style="2" bestFit="1" customWidth="1"/>
    <col min="2057" max="2059" width="9" style="2"/>
    <col min="2060" max="2060" width="11.125" style="2" bestFit="1" customWidth="1"/>
    <col min="2061" max="2061" width="9" style="2"/>
    <col min="2062" max="2062" width="9.625" style="2" bestFit="1" customWidth="1"/>
    <col min="2063" max="2308" width="9" style="2"/>
    <col min="2309" max="2309" width="2.375" style="2" customWidth="1"/>
    <col min="2310" max="2310" width="13.25" style="2" bestFit="1" customWidth="1"/>
    <col min="2311" max="2312" width="11.125" style="2" bestFit="1" customWidth="1"/>
    <col min="2313" max="2315" width="9" style="2"/>
    <col min="2316" max="2316" width="11.125" style="2" bestFit="1" customWidth="1"/>
    <col min="2317" max="2317" width="9" style="2"/>
    <col min="2318" max="2318" width="9.625" style="2" bestFit="1" customWidth="1"/>
    <col min="2319" max="2564" width="9" style="2"/>
    <col min="2565" max="2565" width="2.375" style="2" customWidth="1"/>
    <col min="2566" max="2566" width="13.25" style="2" bestFit="1" customWidth="1"/>
    <col min="2567" max="2568" width="11.125" style="2" bestFit="1" customWidth="1"/>
    <col min="2569" max="2571" width="9" style="2"/>
    <col min="2572" max="2572" width="11.125" style="2" bestFit="1" customWidth="1"/>
    <col min="2573" max="2573" width="9" style="2"/>
    <col min="2574" max="2574" width="9.625" style="2" bestFit="1" customWidth="1"/>
    <col min="2575" max="2820" width="9" style="2"/>
    <col min="2821" max="2821" width="2.375" style="2" customWidth="1"/>
    <col min="2822" max="2822" width="13.25" style="2" bestFit="1" customWidth="1"/>
    <col min="2823" max="2824" width="11.125" style="2" bestFit="1" customWidth="1"/>
    <col min="2825" max="2827" width="9" style="2"/>
    <col min="2828" max="2828" width="11.125" style="2" bestFit="1" customWidth="1"/>
    <col min="2829" max="2829" width="9" style="2"/>
    <col min="2830" max="2830" width="9.625" style="2" bestFit="1" customWidth="1"/>
    <col min="2831" max="3076" width="9" style="2"/>
    <col min="3077" max="3077" width="2.375" style="2" customWidth="1"/>
    <col min="3078" max="3078" width="13.25" style="2" bestFit="1" customWidth="1"/>
    <col min="3079" max="3080" width="11.125" style="2" bestFit="1" customWidth="1"/>
    <col min="3081" max="3083" width="9" style="2"/>
    <col min="3084" max="3084" width="11.125" style="2" bestFit="1" customWidth="1"/>
    <col min="3085" max="3085" width="9" style="2"/>
    <col min="3086" max="3086" width="9.625" style="2" bestFit="1" customWidth="1"/>
    <col min="3087" max="3332" width="9" style="2"/>
    <col min="3333" max="3333" width="2.375" style="2" customWidth="1"/>
    <col min="3334" max="3334" width="13.25" style="2" bestFit="1" customWidth="1"/>
    <col min="3335" max="3336" width="11.125" style="2" bestFit="1" customWidth="1"/>
    <col min="3337" max="3339" width="9" style="2"/>
    <col min="3340" max="3340" width="11.125" style="2" bestFit="1" customWidth="1"/>
    <col min="3341" max="3341" width="9" style="2"/>
    <col min="3342" max="3342" width="9.625" style="2" bestFit="1" customWidth="1"/>
    <col min="3343" max="3588" width="9" style="2"/>
    <col min="3589" max="3589" width="2.375" style="2" customWidth="1"/>
    <col min="3590" max="3590" width="13.25" style="2" bestFit="1" customWidth="1"/>
    <col min="3591" max="3592" width="11.125" style="2" bestFit="1" customWidth="1"/>
    <col min="3593" max="3595" width="9" style="2"/>
    <col min="3596" max="3596" width="11.125" style="2" bestFit="1" customWidth="1"/>
    <col min="3597" max="3597" width="9" style="2"/>
    <col min="3598" max="3598" width="9.625" style="2" bestFit="1" customWidth="1"/>
    <col min="3599" max="3844" width="9" style="2"/>
    <col min="3845" max="3845" width="2.375" style="2" customWidth="1"/>
    <col min="3846" max="3846" width="13.25" style="2" bestFit="1" customWidth="1"/>
    <col min="3847" max="3848" width="11.125" style="2" bestFit="1" customWidth="1"/>
    <col min="3849" max="3851" width="9" style="2"/>
    <col min="3852" max="3852" width="11.125" style="2" bestFit="1" customWidth="1"/>
    <col min="3853" max="3853" width="9" style="2"/>
    <col min="3854" max="3854" width="9.625" style="2" bestFit="1" customWidth="1"/>
    <col min="3855" max="4100" width="9" style="2"/>
    <col min="4101" max="4101" width="2.375" style="2" customWidth="1"/>
    <col min="4102" max="4102" width="13.25" style="2" bestFit="1" customWidth="1"/>
    <col min="4103" max="4104" width="11.125" style="2" bestFit="1" customWidth="1"/>
    <col min="4105" max="4107" width="9" style="2"/>
    <col min="4108" max="4108" width="11.125" style="2" bestFit="1" customWidth="1"/>
    <col min="4109" max="4109" width="9" style="2"/>
    <col min="4110" max="4110" width="9.625" style="2" bestFit="1" customWidth="1"/>
    <col min="4111" max="4356" width="9" style="2"/>
    <col min="4357" max="4357" width="2.375" style="2" customWidth="1"/>
    <col min="4358" max="4358" width="13.25" style="2" bestFit="1" customWidth="1"/>
    <col min="4359" max="4360" width="11.125" style="2" bestFit="1" customWidth="1"/>
    <col min="4361" max="4363" width="9" style="2"/>
    <col min="4364" max="4364" width="11.125" style="2" bestFit="1" customWidth="1"/>
    <col min="4365" max="4365" width="9" style="2"/>
    <col min="4366" max="4366" width="9.625" style="2" bestFit="1" customWidth="1"/>
    <col min="4367" max="4612" width="9" style="2"/>
    <col min="4613" max="4613" width="2.375" style="2" customWidth="1"/>
    <col min="4614" max="4614" width="13.25" style="2" bestFit="1" customWidth="1"/>
    <col min="4615" max="4616" width="11.125" style="2" bestFit="1" customWidth="1"/>
    <col min="4617" max="4619" width="9" style="2"/>
    <col min="4620" max="4620" width="11.125" style="2" bestFit="1" customWidth="1"/>
    <col min="4621" max="4621" width="9" style="2"/>
    <col min="4622" max="4622" width="9.625" style="2" bestFit="1" customWidth="1"/>
    <col min="4623" max="4868" width="9" style="2"/>
    <col min="4869" max="4869" width="2.375" style="2" customWidth="1"/>
    <col min="4870" max="4870" width="13.25" style="2" bestFit="1" customWidth="1"/>
    <col min="4871" max="4872" width="11.125" style="2" bestFit="1" customWidth="1"/>
    <col min="4873" max="4875" width="9" style="2"/>
    <col min="4876" max="4876" width="11.125" style="2" bestFit="1" customWidth="1"/>
    <col min="4877" max="4877" width="9" style="2"/>
    <col min="4878" max="4878" width="9.625" style="2" bestFit="1" customWidth="1"/>
    <col min="4879" max="5124" width="9" style="2"/>
    <col min="5125" max="5125" width="2.375" style="2" customWidth="1"/>
    <col min="5126" max="5126" width="13.25" style="2" bestFit="1" customWidth="1"/>
    <col min="5127" max="5128" width="11.125" style="2" bestFit="1" customWidth="1"/>
    <col min="5129" max="5131" width="9" style="2"/>
    <col min="5132" max="5132" width="11.125" style="2" bestFit="1" customWidth="1"/>
    <col min="5133" max="5133" width="9" style="2"/>
    <col min="5134" max="5134" width="9.625" style="2" bestFit="1" customWidth="1"/>
    <col min="5135" max="5380" width="9" style="2"/>
    <col min="5381" max="5381" width="2.375" style="2" customWidth="1"/>
    <col min="5382" max="5382" width="13.25" style="2" bestFit="1" customWidth="1"/>
    <col min="5383" max="5384" width="11.125" style="2" bestFit="1" customWidth="1"/>
    <col min="5385" max="5387" width="9" style="2"/>
    <col min="5388" max="5388" width="11.125" style="2" bestFit="1" customWidth="1"/>
    <col min="5389" max="5389" width="9" style="2"/>
    <col min="5390" max="5390" width="9.625" style="2" bestFit="1" customWidth="1"/>
    <col min="5391" max="5636" width="9" style="2"/>
    <col min="5637" max="5637" width="2.375" style="2" customWidth="1"/>
    <col min="5638" max="5638" width="13.25" style="2" bestFit="1" customWidth="1"/>
    <col min="5639" max="5640" width="11.125" style="2" bestFit="1" customWidth="1"/>
    <col min="5641" max="5643" width="9" style="2"/>
    <col min="5644" max="5644" width="11.125" style="2" bestFit="1" customWidth="1"/>
    <col min="5645" max="5645" width="9" style="2"/>
    <col min="5646" max="5646" width="9.625" style="2" bestFit="1" customWidth="1"/>
    <col min="5647" max="5892" width="9" style="2"/>
    <col min="5893" max="5893" width="2.375" style="2" customWidth="1"/>
    <col min="5894" max="5894" width="13.25" style="2" bestFit="1" customWidth="1"/>
    <col min="5895" max="5896" width="11.125" style="2" bestFit="1" customWidth="1"/>
    <col min="5897" max="5899" width="9" style="2"/>
    <col min="5900" max="5900" width="11.125" style="2" bestFit="1" customWidth="1"/>
    <col min="5901" max="5901" width="9" style="2"/>
    <col min="5902" max="5902" width="9.625" style="2" bestFit="1" customWidth="1"/>
    <col min="5903" max="6148" width="9" style="2"/>
    <col min="6149" max="6149" width="2.375" style="2" customWidth="1"/>
    <col min="6150" max="6150" width="13.25" style="2" bestFit="1" customWidth="1"/>
    <col min="6151" max="6152" width="11.125" style="2" bestFit="1" customWidth="1"/>
    <col min="6153" max="6155" width="9" style="2"/>
    <col min="6156" max="6156" width="11.125" style="2" bestFit="1" customWidth="1"/>
    <col min="6157" max="6157" width="9" style="2"/>
    <col min="6158" max="6158" width="9.625" style="2" bestFit="1" customWidth="1"/>
    <col min="6159" max="6404" width="9" style="2"/>
    <col min="6405" max="6405" width="2.375" style="2" customWidth="1"/>
    <col min="6406" max="6406" width="13.25" style="2" bestFit="1" customWidth="1"/>
    <col min="6407" max="6408" width="11.125" style="2" bestFit="1" customWidth="1"/>
    <col min="6409" max="6411" width="9" style="2"/>
    <col min="6412" max="6412" width="11.125" style="2" bestFit="1" customWidth="1"/>
    <col min="6413" max="6413" width="9" style="2"/>
    <col min="6414" max="6414" width="9.625" style="2" bestFit="1" customWidth="1"/>
    <col min="6415" max="6660" width="9" style="2"/>
    <col min="6661" max="6661" width="2.375" style="2" customWidth="1"/>
    <col min="6662" max="6662" width="13.25" style="2" bestFit="1" customWidth="1"/>
    <col min="6663" max="6664" width="11.125" style="2" bestFit="1" customWidth="1"/>
    <col min="6665" max="6667" width="9" style="2"/>
    <col min="6668" max="6668" width="11.125" style="2" bestFit="1" customWidth="1"/>
    <col min="6669" max="6669" width="9" style="2"/>
    <col min="6670" max="6670" width="9.625" style="2" bestFit="1" customWidth="1"/>
    <col min="6671" max="6916" width="9" style="2"/>
    <col min="6917" max="6917" width="2.375" style="2" customWidth="1"/>
    <col min="6918" max="6918" width="13.25" style="2" bestFit="1" customWidth="1"/>
    <col min="6919" max="6920" width="11.125" style="2" bestFit="1" customWidth="1"/>
    <col min="6921" max="6923" width="9" style="2"/>
    <col min="6924" max="6924" width="11.125" style="2" bestFit="1" customWidth="1"/>
    <col min="6925" max="6925" width="9" style="2"/>
    <col min="6926" max="6926" width="9.625" style="2" bestFit="1" customWidth="1"/>
    <col min="6927" max="7172" width="9" style="2"/>
    <col min="7173" max="7173" width="2.375" style="2" customWidth="1"/>
    <col min="7174" max="7174" width="13.25" style="2" bestFit="1" customWidth="1"/>
    <col min="7175" max="7176" width="11.125" style="2" bestFit="1" customWidth="1"/>
    <col min="7177" max="7179" width="9" style="2"/>
    <col min="7180" max="7180" width="11.125" style="2" bestFit="1" customWidth="1"/>
    <col min="7181" max="7181" width="9" style="2"/>
    <col min="7182" max="7182" width="9.625" style="2" bestFit="1" customWidth="1"/>
    <col min="7183" max="7428" width="9" style="2"/>
    <col min="7429" max="7429" width="2.375" style="2" customWidth="1"/>
    <col min="7430" max="7430" width="13.25" style="2" bestFit="1" customWidth="1"/>
    <col min="7431" max="7432" width="11.125" style="2" bestFit="1" customWidth="1"/>
    <col min="7433" max="7435" width="9" style="2"/>
    <col min="7436" max="7436" width="11.125" style="2" bestFit="1" customWidth="1"/>
    <col min="7437" max="7437" width="9" style="2"/>
    <col min="7438" max="7438" width="9.625" style="2" bestFit="1" customWidth="1"/>
    <col min="7439" max="7684" width="9" style="2"/>
    <col min="7685" max="7685" width="2.375" style="2" customWidth="1"/>
    <col min="7686" max="7686" width="13.25" style="2" bestFit="1" customWidth="1"/>
    <col min="7687" max="7688" width="11.125" style="2" bestFit="1" customWidth="1"/>
    <col min="7689" max="7691" width="9" style="2"/>
    <col min="7692" max="7692" width="11.125" style="2" bestFit="1" customWidth="1"/>
    <col min="7693" max="7693" width="9" style="2"/>
    <col min="7694" max="7694" width="9.625" style="2" bestFit="1" customWidth="1"/>
    <col min="7695" max="7940" width="9" style="2"/>
    <col min="7941" max="7941" width="2.375" style="2" customWidth="1"/>
    <col min="7942" max="7942" width="13.25" style="2" bestFit="1" customWidth="1"/>
    <col min="7943" max="7944" width="11.125" style="2" bestFit="1" customWidth="1"/>
    <col min="7945" max="7947" width="9" style="2"/>
    <col min="7948" max="7948" width="11.125" style="2" bestFit="1" customWidth="1"/>
    <col min="7949" max="7949" width="9" style="2"/>
    <col min="7950" max="7950" width="9.625" style="2" bestFit="1" customWidth="1"/>
    <col min="7951" max="8196" width="9" style="2"/>
    <col min="8197" max="8197" width="2.375" style="2" customWidth="1"/>
    <col min="8198" max="8198" width="13.25" style="2" bestFit="1" customWidth="1"/>
    <col min="8199" max="8200" width="11.125" style="2" bestFit="1" customWidth="1"/>
    <col min="8201" max="8203" width="9" style="2"/>
    <col min="8204" max="8204" width="11.125" style="2" bestFit="1" customWidth="1"/>
    <col min="8205" max="8205" width="9" style="2"/>
    <col min="8206" max="8206" width="9.625" style="2" bestFit="1" customWidth="1"/>
    <col min="8207" max="8452" width="9" style="2"/>
    <col min="8453" max="8453" width="2.375" style="2" customWidth="1"/>
    <col min="8454" max="8454" width="13.25" style="2" bestFit="1" customWidth="1"/>
    <col min="8455" max="8456" width="11.125" style="2" bestFit="1" customWidth="1"/>
    <col min="8457" max="8459" width="9" style="2"/>
    <col min="8460" max="8460" width="11.125" style="2" bestFit="1" customWidth="1"/>
    <col min="8461" max="8461" width="9" style="2"/>
    <col min="8462" max="8462" width="9.625" style="2" bestFit="1" customWidth="1"/>
    <col min="8463" max="8708" width="9" style="2"/>
    <col min="8709" max="8709" width="2.375" style="2" customWidth="1"/>
    <col min="8710" max="8710" width="13.25" style="2" bestFit="1" customWidth="1"/>
    <col min="8711" max="8712" width="11.125" style="2" bestFit="1" customWidth="1"/>
    <col min="8713" max="8715" width="9" style="2"/>
    <col min="8716" max="8716" width="11.125" style="2" bestFit="1" customWidth="1"/>
    <col min="8717" max="8717" width="9" style="2"/>
    <col min="8718" max="8718" width="9.625" style="2" bestFit="1" customWidth="1"/>
    <col min="8719" max="8964" width="9" style="2"/>
    <col min="8965" max="8965" width="2.375" style="2" customWidth="1"/>
    <col min="8966" max="8966" width="13.25" style="2" bestFit="1" customWidth="1"/>
    <col min="8967" max="8968" width="11.125" style="2" bestFit="1" customWidth="1"/>
    <col min="8969" max="8971" width="9" style="2"/>
    <col min="8972" max="8972" width="11.125" style="2" bestFit="1" customWidth="1"/>
    <col min="8973" max="8973" width="9" style="2"/>
    <col min="8974" max="8974" width="9.625" style="2" bestFit="1" customWidth="1"/>
    <col min="8975" max="9220" width="9" style="2"/>
    <col min="9221" max="9221" width="2.375" style="2" customWidth="1"/>
    <col min="9222" max="9222" width="13.25" style="2" bestFit="1" customWidth="1"/>
    <col min="9223" max="9224" width="11.125" style="2" bestFit="1" customWidth="1"/>
    <col min="9225" max="9227" width="9" style="2"/>
    <col min="9228" max="9228" width="11.125" style="2" bestFit="1" customWidth="1"/>
    <col min="9229" max="9229" width="9" style="2"/>
    <col min="9230" max="9230" width="9.625" style="2" bestFit="1" customWidth="1"/>
    <col min="9231" max="9476" width="9" style="2"/>
    <col min="9477" max="9477" width="2.375" style="2" customWidth="1"/>
    <col min="9478" max="9478" width="13.25" style="2" bestFit="1" customWidth="1"/>
    <col min="9479" max="9480" width="11.125" style="2" bestFit="1" customWidth="1"/>
    <col min="9481" max="9483" width="9" style="2"/>
    <col min="9484" max="9484" width="11.125" style="2" bestFit="1" customWidth="1"/>
    <col min="9485" max="9485" width="9" style="2"/>
    <col min="9486" max="9486" width="9.625" style="2" bestFit="1" customWidth="1"/>
    <col min="9487" max="9732" width="9" style="2"/>
    <col min="9733" max="9733" width="2.375" style="2" customWidth="1"/>
    <col min="9734" max="9734" width="13.25" style="2" bestFit="1" customWidth="1"/>
    <col min="9735" max="9736" width="11.125" style="2" bestFit="1" customWidth="1"/>
    <col min="9737" max="9739" width="9" style="2"/>
    <col min="9740" max="9740" width="11.125" style="2" bestFit="1" customWidth="1"/>
    <col min="9741" max="9741" width="9" style="2"/>
    <col min="9742" max="9742" width="9.625" style="2" bestFit="1" customWidth="1"/>
    <col min="9743" max="9988" width="9" style="2"/>
    <col min="9989" max="9989" width="2.375" style="2" customWidth="1"/>
    <col min="9990" max="9990" width="13.25" style="2" bestFit="1" customWidth="1"/>
    <col min="9991" max="9992" width="11.125" style="2" bestFit="1" customWidth="1"/>
    <col min="9993" max="9995" width="9" style="2"/>
    <col min="9996" max="9996" width="11.125" style="2" bestFit="1" customWidth="1"/>
    <col min="9997" max="9997" width="9" style="2"/>
    <col min="9998" max="9998" width="9.625" style="2" bestFit="1" customWidth="1"/>
    <col min="9999" max="10244" width="9" style="2"/>
    <col min="10245" max="10245" width="2.375" style="2" customWidth="1"/>
    <col min="10246" max="10246" width="13.25" style="2" bestFit="1" customWidth="1"/>
    <col min="10247" max="10248" width="11.125" style="2" bestFit="1" customWidth="1"/>
    <col min="10249" max="10251" width="9" style="2"/>
    <col min="10252" max="10252" width="11.125" style="2" bestFit="1" customWidth="1"/>
    <col min="10253" max="10253" width="9" style="2"/>
    <col min="10254" max="10254" width="9.625" style="2" bestFit="1" customWidth="1"/>
    <col min="10255" max="10500" width="9" style="2"/>
    <col min="10501" max="10501" width="2.375" style="2" customWidth="1"/>
    <col min="10502" max="10502" width="13.25" style="2" bestFit="1" customWidth="1"/>
    <col min="10503" max="10504" width="11.125" style="2" bestFit="1" customWidth="1"/>
    <col min="10505" max="10507" width="9" style="2"/>
    <col min="10508" max="10508" width="11.125" style="2" bestFit="1" customWidth="1"/>
    <col min="10509" max="10509" width="9" style="2"/>
    <col min="10510" max="10510" width="9.625" style="2" bestFit="1" customWidth="1"/>
    <col min="10511" max="10756" width="9" style="2"/>
    <col min="10757" max="10757" width="2.375" style="2" customWidth="1"/>
    <col min="10758" max="10758" width="13.25" style="2" bestFit="1" customWidth="1"/>
    <col min="10759" max="10760" width="11.125" style="2" bestFit="1" customWidth="1"/>
    <col min="10761" max="10763" width="9" style="2"/>
    <col min="10764" max="10764" width="11.125" style="2" bestFit="1" customWidth="1"/>
    <col min="10765" max="10765" width="9" style="2"/>
    <col min="10766" max="10766" width="9.625" style="2" bestFit="1" customWidth="1"/>
    <col min="10767" max="11012" width="9" style="2"/>
    <col min="11013" max="11013" width="2.375" style="2" customWidth="1"/>
    <col min="11014" max="11014" width="13.25" style="2" bestFit="1" customWidth="1"/>
    <col min="11015" max="11016" width="11.125" style="2" bestFit="1" customWidth="1"/>
    <col min="11017" max="11019" width="9" style="2"/>
    <col min="11020" max="11020" width="11.125" style="2" bestFit="1" customWidth="1"/>
    <col min="11021" max="11021" width="9" style="2"/>
    <col min="11022" max="11022" width="9.625" style="2" bestFit="1" customWidth="1"/>
    <col min="11023" max="11268" width="9" style="2"/>
    <col min="11269" max="11269" width="2.375" style="2" customWidth="1"/>
    <col min="11270" max="11270" width="13.25" style="2" bestFit="1" customWidth="1"/>
    <col min="11271" max="11272" width="11.125" style="2" bestFit="1" customWidth="1"/>
    <col min="11273" max="11275" width="9" style="2"/>
    <col min="11276" max="11276" width="11.125" style="2" bestFit="1" customWidth="1"/>
    <col min="11277" max="11277" width="9" style="2"/>
    <col min="11278" max="11278" width="9.625" style="2" bestFit="1" customWidth="1"/>
    <col min="11279" max="11524" width="9" style="2"/>
    <col min="11525" max="11525" width="2.375" style="2" customWidth="1"/>
    <col min="11526" max="11526" width="13.25" style="2" bestFit="1" customWidth="1"/>
    <col min="11527" max="11528" width="11.125" style="2" bestFit="1" customWidth="1"/>
    <col min="11529" max="11531" width="9" style="2"/>
    <col min="11532" max="11532" width="11.125" style="2" bestFit="1" customWidth="1"/>
    <col min="11533" max="11533" width="9" style="2"/>
    <col min="11534" max="11534" width="9.625" style="2" bestFit="1" customWidth="1"/>
    <col min="11535" max="11780" width="9" style="2"/>
    <col min="11781" max="11781" width="2.375" style="2" customWidth="1"/>
    <col min="11782" max="11782" width="13.25" style="2" bestFit="1" customWidth="1"/>
    <col min="11783" max="11784" width="11.125" style="2" bestFit="1" customWidth="1"/>
    <col min="11785" max="11787" width="9" style="2"/>
    <col min="11788" max="11788" width="11.125" style="2" bestFit="1" customWidth="1"/>
    <col min="11789" max="11789" width="9" style="2"/>
    <col min="11790" max="11790" width="9.625" style="2" bestFit="1" customWidth="1"/>
    <col min="11791" max="12036" width="9" style="2"/>
    <col min="12037" max="12037" width="2.375" style="2" customWidth="1"/>
    <col min="12038" max="12038" width="13.25" style="2" bestFit="1" customWidth="1"/>
    <col min="12039" max="12040" width="11.125" style="2" bestFit="1" customWidth="1"/>
    <col min="12041" max="12043" width="9" style="2"/>
    <col min="12044" max="12044" width="11.125" style="2" bestFit="1" customWidth="1"/>
    <col min="12045" max="12045" width="9" style="2"/>
    <col min="12046" max="12046" width="9.625" style="2" bestFit="1" customWidth="1"/>
    <col min="12047" max="12292" width="9" style="2"/>
    <col min="12293" max="12293" width="2.375" style="2" customWidth="1"/>
    <col min="12294" max="12294" width="13.25" style="2" bestFit="1" customWidth="1"/>
    <col min="12295" max="12296" width="11.125" style="2" bestFit="1" customWidth="1"/>
    <col min="12297" max="12299" width="9" style="2"/>
    <col min="12300" max="12300" width="11.125" style="2" bestFit="1" customWidth="1"/>
    <col min="12301" max="12301" width="9" style="2"/>
    <col min="12302" max="12302" width="9.625" style="2" bestFit="1" customWidth="1"/>
    <col min="12303" max="12548" width="9" style="2"/>
    <col min="12549" max="12549" width="2.375" style="2" customWidth="1"/>
    <col min="12550" max="12550" width="13.25" style="2" bestFit="1" customWidth="1"/>
    <col min="12551" max="12552" width="11.125" style="2" bestFit="1" customWidth="1"/>
    <col min="12553" max="12555" width="9" style="2"/>
    <col min="12556" max="12556" width="11.125" style="2" bestFit="1" customWidth="1"/>
    <col min="12557" max="12557" width="9" style="2"/>
    <col min="12558" max="12558" width="9.625" style="2" bestFit="1" customWidth="1"/>
    <col min="12559" max="12804" width="9" style="2"/>
    <col min="12805" max="12805" width="2.375" style="2" customWidth="1"/>
    <col min="12806" max="12806" width="13.25" style="2" bestFit="1" customWidth="1"/>
    <col min="12807" max="12808" width="11.125" style="2" bestFit="1" customWidth="1"/>
    <col min="12809" max="12811" width="9" style="2"/>
    <col min="12812" max="12812" width="11.125" style="2" bestFit="1" customWidth="1"/>
    <col min="12813" max="12813" width="9" style="2"/>
    <col min="12814" max="12814" width="9.625" style="2" bestFit="1" customWidth="1"/>
    <col min="12815" max="13060" width="9" style="2"/>
    <col min="13061" max="13061" width="2.375" style="2" customWidth="1"/>
    <col min="13062" max="13062" width="13.25" style="2" bestFit="1" customWidth="1"/>
    <col min="13063" max="13064" width="11.125" style="2" bestFit="1" customWidth="1"/>
    <col min="13065" max="13067" width="9" style="2"/>
    <col min="13068" max="13068" width="11.125" style="2" bestFit="1" customWidth="1"/>
    <col min="13069" max="13069" width="9" style="2"/>
    <col min="13070" max="13070" width="9.625" style="2" bestFit="1" customWidth="1"/>
    <col min="13071" max="13316" width="9" style="2"/>
    <col min="13317" max="13317" width="2.375" style="2" customWidth="1"/>
    <col min="13318" max="13318" width="13.25" style="2" bestFit="1" customWidth="1"/>
    <col min="13319" max="13320" width="11.125" style="2" bestFit="1" customWidth="1"/>
    <col min="13321" max="13323" width="9" style="2"/>
    <col min="13324" max="13324" width="11.125" style="2" bestFit="1" customWidth="1"/>
    <col min="13325" max="13325" width="9" style="2"/>
    <col min="13326" max="13326" width="9.625" style="2" bestFit="1" customWidth="1"/>
    <col min="13327" max="13572" width="9" style="2"/>
    <col min="13573" max="13573" width="2.375" style="2" customWidth="1"/>
    <col min="13574" max="13574" width="13.25" style="2" bestFit="1" customWidth="1"/>
    <col min="13575" max="13576" width="11.125" style="2" bestFit="1" customWidth="1"/>
    <col min="13577" max="13579" width="9" style="2"/>
    <col min="13580" max="13580" width="11.125" style="2" bestFit="1" customWidth="1"/>
    <col min="13581" max="13581" width="9" style="2"/>
    <col min="13582" max="13582" width="9.625" style="2" bestFit="1" customWidth="1"/>
    <col min="13583" max="13828" width="9" style="2"/>
    <col min="13829" max="13829" width="2.375" style="2" customWidth="1"/>
    <col min="13830" max="13830" width="13.25" style="2" bestFit="1" customWidth="1"/>
    <col min="13831" max="13832" width="11.125" style="2" bestFit="1" customWidth="1"/>
    <col min="13833" max="13835" width="9" style="2"/>
    <col min="13836" max="13836" width="11.125" style="2" bestFit="1" customWidth="1"/>
    <col min="13837" max="13837" width="9" style="2"/>
    <col min="13838" max="13838" width="9.625" style="2" bestFit="1" customWidth="1"/>
    <col min="13839" max="14084" width="9" style="2"/>
    <col min="14085" max="14085" width="2.375" style="2" customWidth="1"/>
    <col min="14086" max="14086" width="13.25" style="2" bestFit="1" customWidth="1"/>
    <col min="14087" max="14088" width="11.125" style="2" bestFit="1" customWidth="1"/>
    <col min="14089" max="14091" width="9" style="2"/>
    <col min="14092" max="14092" width="11.125" style="2" bestFit="1" customWidth="1"/>
    <col min="14093" max="14093" width="9" style="2"/>
    <col min="14094" max="14094" width="9.625" style="2" bestFit="1" customWidth="1"/>
    <col min="14095" max="14340" width="9" style="2"/>
    <col min="14341" max="14341" width="2.375" style="2" customWidth="1"/>
    <col min="14342" max="14342" width="13.25" style="2" bestFit="1" customWidth="1"/>
    <col min="14343" max="14344" width="11.125" style="2" bestFit="1" customWidth="1"/>
    <col min="14345" max="14347" width="9" style="2"/>
    <col min="14348" max="14348" width="11.125" style="2" bestFit="1" customWidth="1"/>
    <col min="14349" max="14349" width="9" style="2"/>
    <col min="14350" max="14350" width="9.625" style="2" bestFit="1" customWidth="1"/>
    <col min="14351" max="14596" width="9" style="2"/>
    <col min="14597" max="14597" width="2.375" style="2" customWidth="1"/>
    <col min="14598" max="14598" width="13.25" style="2" bestFit="1" customWidth="1"/>
    <col min="14599" max="14600" width="11.125" style="2" bestFit="1" customWidth="1"/>
    <col min="14601" max="14603" width="9" style="2"/>
    <col min="14604" max="14604" width="11.125" style="2" bestFit="1" customWidth="1"/>
    <col min="14605" max="14605" width="9" style="2"/>
    <col min="14606" max="14606" width="9.625" style="2" bestFit="1" customWidth="1"/>
    <col min="14607" max="14852" width="9" style="2"/>
    <col min="14853" max="14853" width="2.375" style="2" customWidth="1"/>
    <col min="14854" max="14854" width="13.25" style="2" bestFit="1" customWidth="1"/>
    <col min="14855" max="14856" width="11.125" style="2" bestFit="1" customWidth="1"/>
    <col min="14857" max="14859" width="9" style="2"/>
    <col min="14860" max="14860" width="11.125" style="2" bestFit="1" customWidth="1"/>
    <col min="14861" max="14861" width="9" style="2"/>
    <col min="14862" max="14862" width="9.625" style="2" bestFit="1" customWidth="1"/>
    <col min="14863" max="15108" width="9" style="2"/>
    <col min="15109" max="15109" width="2.375" style="2" customWidth="1"/>
    <col min="15110" max="15110" width="13.25" style="2" bestFit="1" customWidth="1"/>
    <col min="15111" max="15112" width="11.125" style="2" bestFit="1" customWidth="1"/>
    <col min="15113" max="15115" width="9" style="2"/>
    <col min="15116" max="15116" width="11.125" style="2" bestFit="1" customWidth="1"/>
    <col min="15117" max="15117" width="9" style="2"/>
    <col min="15118" max="15118" width="9.625" style="2" bestFit="1" customWidth="1"/>
    <col min="15119" max="15364" width="9" style="2"/>
    <col min="15365" max="15365" width="2.375" style="2" customWidth="1"/>
    <col min="15366" max="15366" width="13.25" style="2" bestFit="1" customWidth="1"/>
    <col min="15367" max="15368" width="11.125" style="2" bestFit="1" customWidth="1"/>
    <col min="15369" max="15371" width="9" style="2"/>
    <col min="15372" max="15372" width="11.125" style="2" bestFit="1" customWidth="1"/>
    <col min="15373" max="15373" width="9" style="2"/>
    <col min="15374" max="15374" width="9.625" style="2" bestFit="1" customWidth="1"/>
    <col min="15375" max="15620" width="9" style="2"/>
    <col min="15621" max="15621" width="2.375" style="2" customWidth="1"/>
    <col min="15622" max="15622" width="13.25" style="2" bestFit="1" customWidth="1"/>
    <col min="15623" max="15624" width="11.125" style="2" bestFit="1" customWidth="1"/>
    <col min="15625" max="15627" width="9" style="2"/>
    <col min="15628" max="15628" width="11.125" style="2" bestFit="1" customWidth="1"/>
    <col min="15629" max="15629" width="9" style="2"/>
    <col min="15630" max="15630" width="9.625" style="2" bestFit="1" customWidth="1"/>
    <col min="15631" max="15876" width="9" style="2"/>
    <col min="15877" max="15877" width="2.375" style="2" customWidth="1"/>
    <col min="15878" max="15878" width="13.25" style="2" bestFit="1" customWidth="1"/>
    <col min="15879" max="15880" width="11.125" style="2" bestFit="1" customWidth="1"/>
    <col min="15881" max="15883" width="9" style="2"/>
    <col min="15884" max="15884" width="11.125" style="2" bestFit="1" customWidth="1"/>
    <col min="15885" max="15885" width="9" style="2"/>
    <col min="15886" max="15886" width="9.625" style="2" bestFit="1" customWidth="1"/>
    <col min="15887" max="16132" width="9" style="2"/>
    <col min="16133" max="16133" width="2.375" style="2" customWidth="1"/>
    <col min="16134" max="16134" width="13.25" style="2" bestFit="1" customWidth="1"/>
    <col min="16135" max="16136" width="11.125" style="2" bestFit="1" customWidth="1"/>
    <col min="16137" max="16139" width="9" style="2"/>
    <col min="16140" max="16140" width="11.125" style="2" bestFit="1" customWidth="1"/>
    <col min="16141" max="16141" width="9" style="2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3</v>
      </c>
    </row>
    <row r="4" spans="1:15">
      <c r="B4" s="3"/>
      <c r="C4" s="10" t="s">
        <v>4</v>
      </c>
      <c r="D4" s="11" t="s">
        <v>5</v>
      </c>
      <c r="E4" s="36" t="s">
        <v>7</v>
      </c>
      <c r="F4" s="52" t="s">
        <v>44</v>
      </c>
      <c r="G4" s="44" t="s">
        <v>6</v>
      </c>
      <c r="H4" s="11" t="s">
        <v>9</v>
      </c>
      <c r="I4" s="36" t="s">
        <v>8</v>
      </c>
      <c r="J4" s="52" t="s">
        <v>44</v>
      </c>
      <c r="K4" s="33" t="s">
        <v>10</v>
      </c>
      <c r="L4" s="52" t="s">
        <v>44</v>
      </c>
      <c r="M4" s="4" t="s">
        <v>19</v>
      </c>
    </row>
    <row r="5" spans="1:15" ht="19.5" thickBot="1">
      <c r="A5" s="60"/>
      <c r="B5" s="22" t="s">
        <v>11</v>
      </c>
      <c r="C5" s="23" t="s">
        <v>12</v>
      </c>
      <c r="D5" s="24" t="s">
        <v>13</v>
      </c>
      <c r="E5" s="37" t="s">
        <v>15</v>
      </c>
      <c r="F5" s="53" t="s">
        <v>45</v>
      </c>
      <c r="G5" s="45" t="s">
        <v>14</v>
      </c>
      <c r="H5" s="24" t="s">
        <v>17</v>
      </c>
      <c r="I5" s="37" t="s">
        <v>16</v>
      </c>
      <c r="J5" s="53" t="s">
        <v>45</v>
      </c>
      <c r="K5" s="34" t="s">
        <v>18</v>
      </c>
      <c r="L5" s="53" t="s">
        <v>46</v>
      </c>
      <c r="M5" s="35" t="s">
        <v>47</v>
      </c>
    </row>
    <row r="6" spans="1:15">
      <c r="A6" s="1" t="s">
        <v>2</v>
      </c>
      <c r="B6" s="18" t="s">
        <v>20</v>
      </c>
      <c r="C6" s="19">
        <v>0</v>
      </c>
      <c r="D6" s="20"/>
      <c r="E6" s="38">
        <v>0</v>
      </c>
      <c r="F6" s="54"/>
      <c r="G6" s="46">
        <v>391000</v>
      </c>
      <c r="H6" s="20">
        <v>391000</v>
      </c>
      <c r="I6" s="38">
        <v>0</v>
      </c>
      <c r="J6" s="54">
        <f>SUM(G6:I6)</f>
        <v>782000</v>
      </c>
      <c r="K6" s="21">
        <v>73000</v>
      </c>
      <c r="L6" s="54">
        <f>SUM(K6)</f>
        <v>73000</v>
      </c>
      <c r="M6" s="21">
        <f>F6+J6+L6</f>
        <v>855000</v>
      </c>
      <c r="O6"/>
    </row>
    <row r="7" spans="1:15">
      <c r="A7" s="1" t="s">
        <v>2</v>
      </c>
      <c r="B7" s="5" t="s">
        <v>21</v>
      </c>
      <c r="C7" s="12">
        <v>0</v>
      </c>
      <c r="D7" s="13"/>
      <c r="E7" s="39">
        <v>0</v>
      </c>
      <c r="F7" s="55"/>
      <c r="G7" s="47">
        <v>0</v>
      </c>
      <c r="H7" s="13">
        <v>0</v>
      </c>
      <c r="I7" s="39">
        <v>0</v>
      </c>
      <c r="J7" s="55"/>
      <c r="K7" s="7">
        <v>0</v>
      </c>
      <c r="L7" s="55">
        <f t="shared" ref="L7:L26" si="0">SUM(K7)</f>
        <v>0</v>
      </c>
      <c r="M7" s="7">
        <f t="shared" ref="M7:M26" si="1">F7+J7+L7</f>
        <v>0</v>
      </c>
      <c r="O7"/>
    </row>
    <row r="8" spans="1:15">
      <c r="A8" s="1" t="s">
        <v>2</v>
      </c>
      <c r="B8" s="5" t="s">
        <v>22</v>
      </c>
      <c r="C8" s="12">
        <v>0</v>
      </c>
      <c r="D8" s="13"/>
      <c r="E8" s="39">
        <v>0</v>
      </c>
      <c r="F8" s="55"/>
      <c r="G8" s="47">
        <v>0</v>
      </c>
      <c r="H8" s="13">
        <v>0</v>
      </c>
      <c r="I8" s="39">
        <v>0</v>
      </c>
      <c r="J8" s="55"/>
      <c r="K8" s="7">
        <v>15000</v>
      </c>
      <c r="L8" s="55">
        <f t="shared" si="0"/>
        <v>15000</v>
      </c>
      <c r="M8" s="7">
        <f t="shared" si="1"/>
        <v>15000</v>
      </c>
      <c r="O8"/>
    </row>
    <row r="9" spans="1:15" ht="19.5" thickBot="1">
      <c r="A9" s="1" t="s">
        <v>2</v>
      </c>
      <c r="B9" s="25" t="s">
        <v>23</v>
      </c>
      <c r="C9" s="26">
        <v>0</v>
      </c>
      <c r="D9" s="27"/>
      <c r="E9" s="40">
        <v>0</v>
      </c>
      <c r="F9" s="56"/>
      <c r="G9" s="48">
        <v>0</v>
      </c>
      <c r="H9" s="27">
        <v>0</v>
      </c>
      <c r="I9" s="40">
        <v>0</v>
      </c>
      <c r="J9" s="56"/>
      <c r="K9" s="28">
        <v>33000</v>
      </c>
      <c r="L9" s="56">
        <f t="shared" si="0"/>
        <v>33000</v>
      </c>
      <c r="M9" s="28">
        <f t="shared" si="1"/>
        <v>33000</v>
      </c>
      <c r="O9"/>
    </row>
    <row r="10" spans="1:15" ht="19.5" thickBot="1">
      <c r="A10" s="1" t="s">
        <v>2</v>
      </c>
      <c r="B10" s="29" t="s">
        <v>24</v>
      </c>
      <c r="C10" s="30">
        <v>0</v>
      </c>
      <c r="D10" s="31"/>
      <c r="E10" s="41">
        <v>0</v>
      </c>
      <c r="F10" s="57"/>
      <c r="G10" s="49">
        <v>391000</v>
      </c>
      <c r="H10" s="31">
        <v>391000</v>
      </c>
      <c r="I10" s="41">
        <v>0</v>
      </c>
      <c r="J10" s="57">
        <f>SUM(G10:I10)</f>
        <v>782000</v>
      </c>
      <c r="K10" s="32">
        <v>121000</v>
      </c>
      <c r="L10" s="57">
        <f t="shared" si="0"/>
        <v>121000</v>
      </c>
      <c r="M10" s="32">
        <f t="shared" si="1"/>
        <v>903000</v>
      </c>
      <c r="O10"/>
    </row>
    <row r="11" spans="1:15" ht="19.5" thickBot="1">
      <c r="A11" s="1" t="s">
        <v>2</v>
      </c>
      <c r="B11" s="29" t="s">
        <v>25</v>
      </c>
      <c r="C11" s="30">
        <v>0</v>
      </c>
      <c r="D11" s="31"/>
      <c r="E11" s="41">
        <v>0</v>
      </c>
      <c r="F11" s="57"/>
      <c r="G11" s="49">
        <v>0</v>
      </c>
      <c r="H11" s="31">
        <v>0</v>
      </c>
      <c r="I11" s="41">
        <v>0</v>
      </c>
      <c r="J11" s="57">
        <f t="shared" ref="J11:J27" si="2">SUM(G11:I11)</f>
        <v>0</v>
      </c>
      <c r="K11" s="32">
        <v>0</v>
      </c>
      <c r="L11" s="57">
        <f t="shared" si="0"/>
        <v>0</v>
      </c>
      <c r="M11" s="32">
        <f t="shared" si="1"/>
        <v>0</v>
      </c>
      <c r="O11"/>
    </row>
    <row r="12" spans="1:15" ht="19.5" thickBot="1">
      <c r="A12" s="1" t="s">
        <v>2</v>
      </c>
      <c r="B12" s="29" t="s">
        <v>26</v>
      </c>
      <c r="C12" s="30">
        <v>0</v>
      </c>
      <c r="D12" s="31"/>
      <c r="E12" s="41">
        <v>0</v>
      </c>
      <c r="F12" s="57"/>
      <c r="G12" s="49">
        <v>391000</v>
      </c>
      <c r="H12" s="31">
        <v>391000</v>
      </c>
      <c r="I12" s="41">
        <v>0</v>
      </c>
      <c r="J12" s="57">
        <f t="shared" si="2"/>
        <v>782000</v>
      </c>
      <c r="K12" s="32">
        <v>121000</v>
      </c>
      <c r="L12" s="57">
        <f t="shared" si="0"/>
        <v>121000</v>
      </c>
      <c r="M12" s="32">
        <f t="shared" si="1"/>
        <v>903000</v>
      </c>
      <c r="O12"/>
    </row>
    <row r="13" spans="1:15">
      <c r="A13" s="1" t="s">
        <v>2</v>
      </c>
      <c r="B13" s="18" t="s">
        <v>27</v>
      </c>
      <c r="C13" s="19">
        <v>0</v>
      </c>
      <c r="D13" s="20"/>
      <c r="E13" s="38">
        <v>0</v>
      </c>
      <c r="F13" s="54"/>
      <c r="G13" s="46">
        <v>19941</v>
      </c>
      <c r="H13" s="20">
        <v>19941</v>
      </c>
      <c r="I13" s="38">
        <v>0</v>
      </c>
      <c r="J13" s="54">
        <f t="shared" si="2"/>
        <v>39882</v>
      </c>
      <c r="K13" s="21">
        <v>6171</v>
      </c>
      <c r="L13" s="54">
        <f t="shared" si="0"/>
        <v>6171</v>
      </c>
      <c r="M13" s="21">
        <f t="shared" si="1"/>
        <v>46053</v>
      </c>
      <c r="O13"/>
    </row>
    <row r="14" spans="1:15">
      <c r="A14" s="1" t="s">
        <v>2</v>
      </c>
      <c r="B14" s="5" t="s">
        <v>28</v>
      </c>
      <c r="C14" s="12">
        <v>0</v>
      </c>
      <c r="D14" s="13"/>
      <c r="E14" s="39">
        <v>0</v>
      </c>
      <c r="F14" s="55"/>
      <c r="G14" s="47">
        <v>3519</v>
      </c>
      <c r="H14" s="13">
        <v>3519</v>
      </c>
      <c r="I14" s="39">
        <v>0</v>
      </c>
      <c r="J14" s="55">
        <f t="shared" si="2"/>
        <v>7038</v>
      </c>
      <c r="K14" s="7">
        <v>1089</v>
      </c>
      <c r="L14" s="55">
        <f t="shared" si="0"/>
        <v>1089</v>
      </c>
      <c r="M14" s="7">
        <f t="shared" si="1"/>
        <v>8127</v>
      </c>
      <c r="O14"/>
    </row>
    <row r="15" spans="1:15">
      <c r="A15" s="1" t="s">
        <v>2</v>
      </c>
      <c r="B15" s="5" t="s">
        <v>29</v>
      </c>
      <c r="C15" s="12">
        <v>0</v>
      </c>
      <c r="D15" s="13"/>
      <c r="E15" s="39">
        <v>0</v>
      </c>
      <c r="F15" s="55"/>
      <c r="G15" s="47">
        <v>35776</v>
      </c>
      <c r="H15" s="13">
        <v>35776</v>
      </c>
      <c r="I15" s="39">
        <v>0</v>
      </c>
      <c r="J15" s="55">
        <f t="shared" si="2"/>
        <v>71552</v>
      </c>
      <c r="K15" s="7">
        <v>11071</v>
      </c>
      <c r="L15" s="55">
        <f t="shared" si="0"/>
        <v>11071</v>
      </c>
      <c r="M15" s="7">
        <f t="shared" si="1"/>
        <v>82623</v>
      </c>
      <c r="O15"/>
    </row>
    <row r="16" spans="1:15" ht="19.5" thickBot="1">
      <c r="A16" s="1" t="s">
        <v>2</v>
      </c>
      <c r="B16" s="5" t="s">
        <v>30</v>
      </c>
      <c r="C16" s="12">
        <v>0</v>
      </c>
      <c r="D16" s="13"/>
      <c r="E16" s="39">
        <v>0</v>
      </c>
      <c r="F16" s="55"/>
      <c r="G16" s="47">
        <v>1173</v>
      </c>
      <c r="H16" s="13">
        <v>1173</v>
      </c>
      <c r="I16" s="39">
        <v>0</v>
      </c>
      <c r="J16" s="55">
        <f t="shared" si="2"/>
        <v>2346</v>
      </c>
      <c r="K16" s="7">
        <v>363</v>
      </c>
      <c r="L16" s="55">
        <f t="shared" si="0"/>
        <v>363</v>
      </c>
      <c r="M16" s="7">
        <f t="shared" si="1"/>
        <v>2709</v>
      </c>
      <c r="O16"/>
    </row>
    <row r="17" spans="1:15" ht="19.5" thickBot="1">
      <c r="A17" s="1" t="s">
        <v>2</v>
      </c>
      <c r="B17" s="29" t="s">
        <v>33</v>
      </c>
      <c r="C17" s="30">
        <v>0</v>
      </c>
      <c r="D17" s="31"/>
      <c r="E17" s="41">
        <v>0</v>
      </c>
      <c r="F17" s="57"/>
      <c r="G17" s="49">
        <v>60409</v>
      </c>
      <c r="H17" s="31">
        <v>60409</v>
      </c>
      <c r="I17" s="41">
        <v>0</v>
      </c>
      <c r="J17" s="57">
        <f t="shared" si="2"/>
        <v>120818</v>
      </c>
      <c r="K17" s="32">
        <v>18694</v>
      </c>
      <c r="L17" s="57">
        <f t="shared" si="0"/>
        <v>18694</v>
      </c>
      <c r="M17" s="32">
        <f t="shared" si="1"/>
        <v>139512</v>
      </c>
      <c r="O17"/>
    </row>
    <row r="18" spans="1:15">
      <c r="A18" s="1" t="s">
        <v>2</v>
      </c>
      <c r="B18" s="5" t="s">
        <v>31</v>
      </c>
      <c r="C18" s="12">
        <v>0</v>
      </c>
      <c r="D18" s="13"/>
      <c r="E18" s="39">
        <v>0</v>
      </c>
      <c r="F18" s="55"/>
      <c r="G18" s="47">
        <v>330591</v>
      </c>
      <c r="H18" s="13">
        <v>330591</v>
      </c>
      <c r="I18" s="39">
        <v>0</v>
      </c>
      <c r="J18" s="55">
        <f t="shared" si="2"/>
        <v>661182</v>
      </c>
      <c r="K18" s="7">
        <v>102306</v>
      </c>
      <c r="L18" s="55">
        <f t="shared" si="0"/>
        <v>102306</v>
      </c>
      <c r="M18" s="7">
        <f t="shared" si="1"/>
        <v>763488</v>
      </c>
      <c r="O18"/>
    </row>
    <row r="19" spans="1:15" ht="19.5" thickBot="1">
      <c r="A19" s="1" t="s">
        <v>2</v>
      </c>
      <c r="B19" s="25" t="s">
        <v>32</v>
      </c>
      <c r="C19" s="26">
        <v>0</v>
      </c>
      <c r="D19" s="27"/>
      <c r="E19" s="40">
        <v>0</v>
      </c>
      <c r="F19" s="56"/>
      <c r="G19" s="48">
        <v>33753</v>
      </c>
      <c r="H19" s="27">
        <v>33753</v>
      </c>
      <c r="I19" s="40">
        <v>0</v>
      </c>
      <c r="J19" s="56">
        <f t="shared" si="2"/>
        <v>67506</v>
      </c>
      <c r="K19" s="28">
        <v>6267</v>
      </c>
      <c r="L19" s="56">
        <f t="shared" si="0"/>
        <v>6267</v>
      </c>
      <c r="M19" s="28">
        <f t="shared" si="1"/>
        <v>73773</v>
      </c>
      <c r="O19"/>
    </row>
    <row r="20" spans="1:15" ht="19.5" thickBot="1">
      <c r="A20" s="1" t="s">
        <v>2</v>
      </c>
      <c r="B20" s="29" t="s">
        <v>34</v>
      </c>
      <c r="C20" s="30">
        <v>0</v>
      </c>
      <c r="D20" s="31"/>
      <c r="E20" s="41">
        <v>0</v>
      </c>
      <c r="F20" s="57"/>
      <c r="G20" s="49">
        <v>94162</v>
      </c>
      <c r="H20" s="31">
        <v>94162</v>
      </c>
      <c r="I20" s="41">
        <v>0</v>
      </c>
      <c r="J20" s="57">
        <f t="shared" si="2"/>
        <v>188324</v>
      </c>
      <c r="K20" s="32">
        <v>24961</v>
      </c>
      <c r="L20" s="57">
        <f t="shared" si="0"/>
        <v>24961</v>
      </c>
      <c r="M20" s="32">
        <f t="shared" si="1"/>
        <v>213285</v>
      </c>
      <c r="O20"/>
    </row>
    <row r="21" spans="1:15">
      <c r="A21" s="1" t="s">
        <v>2</v>
      </c>
      <c r="B21" s="18" t="s">
        <v>35</v>
      </c>
      <c r="C21" s="19">
        <v>321230</v>
      </c>
      <c r="D21" s="20"/>
      <c r="E21" s="38">
        <v>40</v>
      </c>
      <c r="F21" s="54">
        <f>SUM(C21:E21)</f>
        <v>321270</v>
      </c>
      <c r="G21" s="46">
        <v>40410</v>
      </c>
      <c r="H21" s="20">
        <v>35228</v>
      </c>
      <c r="I21" s="38">
        <v>4600</v>
      </c>
      <c r="J21" s="54">
        <f t="shared" si="2"/>
        <v>80238</v>
      </c>
      <c r="K21" s="21">
        <v>15673</v>
      </c>
      <c r="L21" s="54">
        <f t="shared" si="0"/>
        <v>15673</v>
      </c>
      <c r="M21" s="21">
        <f t="shared" si="1"/>
        <v>417181</v>
      </c>
      <c r="O21"/>
    </row>
    <row r="22" spans="1:15" ht="19.5" thickBot="1">
      <c r="A22" s="1" t="s">
        <v>2</v>
      </c>
      <c r="B22" s="25" t="s">
        <v>36</v>
      </c>
      <c r="C22" s="26">
        <v>0</v>
      </c>
      <c r="D22" s="27"/>
      <c r="E22" s="40">
        <v>0</v>
      </c>
      <c r="F22" s="56">
        <f t="shared" ref="F22:F26" si="3">SUM(C22:E22)</f>
        <v>0</v>
      </c>
      <c r="G22" s="48">
        <v>0</v>
      </c>
      <c r="H22" s="27">
        <v>0</v>
      </c>
      <c r="I22" s="40">
        <v>0</v>
      </c>
      <c r="J22" s="56">
        <f t="shared" si="2"/>
        <v>0</v>
      </c>
      <c r="K22" s="28">
        <v>0</v>
      </c>
      <c r="L22" s="56">
        <f t="shared" si="0"/>
        <v>0</v>
      </c>
      <c r="M22" s="28">
        <f t="shared" si="1"/>
        <v>0</v>
      </c>
      <c r="O22"/>
    </row>
    <row r="23" spans="1:15" ht="19.5" thickBot="1">
      <c r="A23" s="1" t="s">
        <v>2</v>
      </c>
      <c r="B23" s="29" t="s">
        <v>37</v>
      </c>
      <c r="C23" s="30">
        <v>321230</v>
      </c>
      <c r="D23" s="31"/>
      <c r="E23" s="41">
        <v>40</v>
      </c>
      <c r="F23" s="57">
        <f t="shared" si="3"/>
        <v>321270</v>
      </c>
      <c r="G23" s="49">
        <v>40410</v>
      </c>
      <c r="H23" s="31">
        <v>35228</v>
      </c>
      <c r="I23" s="41">
        <v>4600</v>
      </c>
      <c r="J23" s="57">
        <f t="shared" si="2"/>
        <v>80238</v>
      </c>
      <c r="K23" s="32">
        <v>15673</v>
      </c>
      <c r="L23" s="57">
        <f t="shared" si="0"/>
        <v>15673</v>
      </c>
      <c r="M23" s="32">
        <f t="shared" si="1"/>
        <v>417181</v>
      </c>
      <c r="O23"/>
    </row>
    <row r="24" spans="1:15" ht="19.5" thickBot="1">
      <c r="A24" s="1" t="s">
        <v>2</v>
      </c>
      <c r="B24" s="29" t="s">
        <v>38</v>
      </c>
      <c r="C24" s="30">
        <v>321230</v>
      </c>
      <c r="D24" s="31"/>
      <c r="E24" s="41">
        <v>40</v>
      </c>
      <c r="F24" s="57">
        <f t="shared" si="3"/>
        <v>321270</v>
      </c>
      <c r="G24" s="49">
        <v>337248</v>
      </c>
      <c r="H24" s="31">
        <v>332066</v>
      </c>
      <c r="I24" s="41">
        <v>4600</v>
      </c>
      <c r="J24" s="57">
        <f t="shared" si="2"/>
        <v>673914</v>
      </c>
      <c r="K24" s="32">
        <v>111712</v>
      </c>
      <c r="L24" s="57">
        <f t="shared" si="0"/>
        <v>111712</v>
      </c>
      <c r="M24" s="32">
        <f t="shared" si="1"/>
        <v>1106896</v>
      </c>
      <c r="O24"/>
    </row>
    <row r="25" spans="1:15" ht="19.5" thickBot="1">
      <c r="A25" s="1" t="s">
        <v>2</v>
      </c>
      <c r="B25" s="29" t="s">
        <v>39</v>
      </c>
      <c r="C25" s="30">
        <v>0</v>
      </c>
      <c r="D25" s="31"/>
      <c r="E25" s="41">
        <v>40</v>
      </c>
      <c r="F25" s="57">
        <f t="shared" si="3"/>
        <v>40</v>
      </c>
      <c r="G25" s="49">
        <v>0</v>
      </c>
      <c r="H25" s="31">
        <v>0</v>
      </c>
      <c r="I25" s="41">
        <v>0</v>
      </c>
      <c r="J25" s="57">
        <f t="shared" si="2"/>
        <v>0</v>
      </c>
      <c r="K25" s="32">
        <v>0</v>
      </c>
      <c r="L25" s="57">
        <f t="shared" si="0"/>
        <v>0</v>
      </c>
      <c r="M25" s="32">
        <f t="shared" si="1"/>
        <v>40</v>
      </c>
      <c r="O25"/>
    </row>
    <row r="26" spans="1:15" ht="19.5" thickBot="1">
      <c r="A26" s="1" t="s">
        <v>2</v>
      </c>
      <c r="B26" s="29" t="s">
        <v>40</v>
      </c>
      <c r="C26" s="30">
        <v>321230</v>
      </c>
      <c r="D26" s="31"/>
      <c r="E26" s="41">
        <v>0</v>
      </c>
      <c r="F26" s="57">
        <f t="shared" si="3"/>
        <v>321230</v>
      </c>
      <c r="G26" s="49">
        <v>337248</v>
      </c>
      <c r="H26" s="31">
        <v>332066</v>
      </c>
      <c r="I26" s="41">
        <v>4600</v>
      </c>
      <c r="J26" s="57">
        <f t="shared" si="2"/>
        <v>673914</v>
      </c>
      <c r="K26" s="32">
        <v>111712</v>
      </c>
      <c r="L26" s="57">
        <f t="shared" si="0"/>
        <v>111712</v>
      </c>
      <c r="M26" s="32">
        <f t="shared" si="1"/>
        <v>1106856</v>
      </c>
      <c r="O26"/>
    </row>
    <row r="27" spans="1:15">
      <c r="A27" s="1" t="s">
        <v>2</v>
      </c>
      <c r="B27" s="18" t="s">
        <v>41</v>
      </c>
      <c r="C27" s="19">
        <v>1</v>
      </c>
      <c r="D27" s="20"/>
      <c r="E27" s="38">
        <v>0</v>
      </c>
      <c r="F27" s="54"/>
      <c r="G27" s="46">
        <v>0</v>
      </c>
      <c r="H27" s="20">
        <v>0</v>
      </c>
      <c r="I27" s="38">
        <v>0</v>
      </c>
      <c r="J27" s="54">
        <f t="shared" si="2"/>
        <v>0</v>
      </c>
      <c r="K27" s="21">
        <v>0</v>
      </c>
      <c r="L27" s="54"/>
      <c r="M27" s="21"/>
    </row>
    <row r="28" spans="1:15">
      <c r="A28" s="1" t="s">
        <v>2</v>
      </c>
      <c r="B28" s="5" t="s">
        <v>42</v>
      </c>
      <c r="C28" s="14">
        <v>32.671999999999997</v>
      </c>
      <c r="D28" s="15"/>
      <c r="E28" s="42">
        <v>4.0839999999999996</v>
      </c>
      <c r="F28" s="58"/>
      <c r="G28" s="50">
        <v>10.210000000000001</v>
      </c>
      <c r="H28" s="15">
        <v>10.210000000000001</v>
      </c>
      <c r="I28" s="42">
        <v>4.0839999999999996</v>
      </c>
      <c r="J28" s="58"/>
      <c r="K28" s="8">
        <v>6.1260000000000003</v>
      </c>
      <c r="L28" s="58"/>
      <c r="M28" s="8"/>
    </row>
    <row r="29" spans="1:15" ht="19.5" thickBot="1">
      <c r="A29" s="1" t="s">
        <v>2</v>
      </c>
      <c r="B29" s="6" t="s">
        <v>43</v>
      </c>
      <c r="C29" s="16">
        <v>1179325</v>
      </c>
      <c r="D29" s="17"/>
      <c r="E29" s="43">
        <v>100000</v>
      </c>
      <c r="F29" s="59"/>
      <c r="G29" s="51">
        <v>357059</v>
      </c>
      <c r="H29" s="17">
        <v>351608</v>
      </c>
      <c r="I29" s="43">
        <v>106604</v>
      </c>
      <c r="J29" s="59"/>
      <c r="K29" s="9">
        <v>295793</v>
      </c>
      <c r="L29" s="59"/>
      <c r="M29" s="9"/>
    </row>
  </sheetData>
  <phoneticPr fontId="3"/>
  <pageMargins left="0.70866141732283472" right="0.70866141732283472" top="0.74803149606299213" bottom="0.74803149606299213" header="0.31496062992125984" footer="0.31496062992125984"/>
  <pageSetup paperSize="9" scale="8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3年冬賞与 (2)</vt:lpstr>
      <vt:lpstr>'3年冬賞与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2021-12-20T05:35:57Z</cp:lastPrinted>
  <dcterms:created xsi:type="dcterms:W3CDTF">2021-12-20T02:43:58Z</dcterms:created>
  <dcterms:modified xsi:type="dcterms:W3CDTF">2021-12-20T07:25:00Z</dcterms:modified>
</cp:coreProperties>
</file>