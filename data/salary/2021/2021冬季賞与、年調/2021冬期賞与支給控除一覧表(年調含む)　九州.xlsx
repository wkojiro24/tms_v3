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冬季賞与、年調\"/>
    </mc:Choice>
  </mc:AlternateContent>
  <xr:revisionPtr revIDLastSave="0" documentId="13_ncr:1_{29F383A4-3B7E-441B-A597-5F6B0AD084D9}" xr6:coauthVersionLast="47" xr6:coauthVersionMax="47" xr10:uidLastSave="{00000000-0000-0000-0000-000000000000}"/>
  <bookViews>
    <workbookView xWindow="-120" yWindow="-120" windowWidth="20730" windowHeight="11160" xr2:uid="{83756DB9-C905-44D7-8615-415227EA6D0A}"/>
  </bookViews>
  <sheets>
    <sheet name="3年冬賞与 (2)" sheetId="3" r:id="rId1"/>
  </sheets>
  <definedNames>
    <definedName name="_xlnm.Print_Area" localSheetId="0">'3年冬賞与 (2)'!$A$1:$M$30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3" l="1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7" i="3"/>
</calcChain>
</file>

<file path=xl/sharedStrings.xml><?xml version="1.0" encoding="utf-8"?>
<sst xmlns="http://schemas.openxmlformats.org/spreadsheetml/2006/main" count="75" uniqueCount="51">
  <si>
    <t>賞与支給控除一覧表</t>
    <phoneticPr fontId="4"/>
  </si>
  <si>
    <t>若林運送株式会社</t>
    <phoneticPr fontId="4"/>
  </si>
  <si>
    <t>2021年12月20日 作成</t>
    <phoneticPr fontId="4"/>
  </si>
  <si>
    <t/>
  </si>
  <si>
    <t>3年冬賞与</t>
    <phoneticPr fontId="4"/>
  </si>
  <si>
    <t>1056</t>
    <phoneticPr fontId="4"/>
  </si>
  <si>
    <t>1057</t>
    <phoneticPr fontId="4"/>
  </si>
  <si>
    <t>1061</t>
    <phoneticPr fontId="4"/>
  </si>
  <si>
    <t>1063</t>
    <phoneticPr fontId="4"/>
  </si>
  <si>
    <t>1067</t>
    <phoneticPr fontId="4"/>
  </si>
  <si>
    <t>1071</t>
    <phoneticPr fontId="4"/>
  </si>
  <si>
    <t>1092</t>
    <phoneticPr fontId="4"/>
  </si>
  <si>
    <t>1097</t>
    <phoneticPr fontId="4"/>
  </si>
  <si>
    <t>項目名</t>
    <phoneticPr fontId="4"/>
  </si>
  <si>
    <t>河村智春</t>
    <phoneticPr fontId="4"/>
  </si>
  <si>
    <t>赤﨑功幸</t>
    <phoneticPr fontId="4"/>
  </si>
  <si>
    <t>櫻木諭治</t>
    <phoneticPr fontId="4"/>
  </si>
  <si>
    <t>木下知美</t>
    <phoneticPr fontId="4"/>
  </si>
  <si>
    <t>米澤敬</t>
    <phoneticPr fontId="4"/>
  </si>
  <si>
    <t>大賀勇也</t>
    <phoneticPr fontId="4"/>
  </si>
  <si>
    <t>西口真樹</t>
    <phoneticPr fontId="4"/>
  </si>
  <si>
    <t>新田竜二</t>
    <phoneticPr fontId="4"/>
  </si>
  <si>
    <t>合計</t>
    <phoneticPr fontId="4"/>
  </si>
  <si>
    <t>賞与</t>
    <phoneticPr fontId="4"/>
  </si>
  <si>
    <t>役員賞与</t>
    <phoneticPr fontId="4"/>
  </si>
  <si>
    <t>職位加算</t>
    <phoneticPr fontId="4"/>
  </si>
  <si>
    <t>職責加算</t>
    <phoneticPr fontId="4"/>
  </si>
  <si>
    <t>課税支給合計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</si>
  <si>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</si>
  <si>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</si>
  <si>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</si>
  <si>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</si>
  <si>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</si>
  <si>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</si>
  <si>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</si>
  <si>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</si>
  <si>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</si>
  <si>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</si>
  <si>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年末調整還付</t>
    <phoneticPr fontId="4"/>
  </si>
  <si>
    <t>年末調整徴収</t>
    <phoneticPr fontId="4"/>
  </si>
  <si>
    <t>その他合計</t>
    <phoneticPr fontId="4"/>
  </si>
  <si>
    <t>差引支給合計</t>
    <phoneticPr fontId="4"/>
  </si>
  <si>
    <t>現金支給額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</si>
  <si>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</si>
  <si>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</si>
  <si>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</si>
  <si>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</si>
  <si>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</si>
  <si>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</si>
  <si>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６名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</si>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</sst>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176" fontId="2" fillId="0" borderId="5" xfId="1" applyNumberFormat="1" applyFont="1" applyBorder="1"/>
    <xf numFmtId="3" fontId="2" fillId="0" borderId="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5" xfId="1" applyNumberFormat="1" applyFont="1" applyBorder="1" applyAlignment="1">
      <alignment horizontal="left"/>
    </xf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0" fontId="2" fillId="0" borderId="29" xfId="1" applyFont="1" applyBorder="1"/>
    <xf numFmtId="49" fontId="2" fillId="0" borderId="2" xfId="1" applyNumberFormat="1" applyFont="1" applyBorder="1" applyAlignment="1">
      <alignment horizontal="left"/>
    </xf>
    <xf numFmtId="49" fontId="2" fillId="0" borderId="6" xfId="1" applyNumberFormat="1" applyFont="1" applyBorder="1" applyAlignment="1">
      <alignment horizontal="right"/>
    </xf>
    <xf numFmtId="0" fontId="2" fillId="0" borderId="6" xfId="1" applyFont="1" applyBorder="1" applyAlignment="1">
      <alignment horizontal="right"/>
    </xf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176" fontId="2" fillId="0" borderId="34" xfId="1" applyNumberFormat="1" applyFont="1" applyBorder="1"/>
    <xf numFmtId="3" fontId="2" fillId="0" borderId="32" xfId="1" applyNumberFormat="1" applyFont="1" applyBorder="1"/>
    <xf numFmtId="49" fontId="2" fillId="0" borderId="37" xfId="1" applyNumberFormat="1" applyFont="1" applyBorder="1" applyAlignment="1">
      <alignment horizontal="left"/>
    </xf>
    <xf numFmtId="49" fontId="2" fillId="0" borderId="38" xfId="1" applyNumberFormat="1" applyFont="1" applyBorder="1" applyAlignment="1">
      <alignment horizontal="right"/>
    </xf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30" xfId="1" applyNumberFormat="1" applyFont="1" applyBorder="1"/>
    <xf numFmtId="176" fontId="2" fillId="0" borderId="40" xfId="1" applyNumberFormat="1" applyFont="1" applyBorder="1"/>
    <xf numFmtId="3" fontId="2" fillId="0" borderId="38" xfId="1" applyNumberFormat="1" applyFont="1" applyBorder="1"/>
  </cellXfs>
  <cellStyles count="2">
    <cellStyle name="標準" xfId="0" builtinId="0"/>
    <cellStyle name="標準 2" xfId="1" xr:uid="{C3BC0362-86AE-4251-BD00-F5F6A71CA3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8AD2-E4BD-45DC-8620-6C7CA69B9054}">
  <sheetPr>
    <pageSetUpPr fitToPage="1"/>
  </sheetPr>
  <dimension ref="A1:O30"/>
  <sheetViews>
    <sheetView showZeros="0" tabSelected="1" workbookViewId="0"/>
  </sheetViews>
  <sheetFormatPr defaultRowHeight="18.75"/>
  <cols>
    <col min="1" max="1" width="2.375" style="2" customWidth="1"/>
    <col min="2" max="2" width="13.25" style="2" bestFit="1" customWidth="1"/>
    <col min="3" max="13" width="10.875" style="2" customWidth="1"/>
    <col min="14" max="258" width="9" style="2"/>
    <col min="259" max="259" width="2.375" style="2" customWidth="1"/>
    <col min="260" max="260" width="13.25" style="2" bestFit="1" customWidth="1"/>
    <col min="261" max="514" width="9" style="2"/>
    <col min="515" max="515" width="2.375" style="2" customWidth="1"/>
    <col min="516" max="516" width="13.25" style="2" bestFit="1" customWidth="1"/>
    <col min="517" max="770" width="9" style="2"/>
    <col min="771" max="771" width="2.375" style="2" customWidth="1"/>
    <col min="772" max="772" width="13.25" style="2" bestFit="1" customWidth="1"/>
    <col min="773" max="1026" width="9" style="2"/>
    <col min="1027" max="1027" width="2.375" style="2" customWidth="1"/>
    <col min="1028" max="1028" width="13.25" style="2" bestFit="1" customWidth="1"/>
    <col min="1029" max="1282" width="9" style="2"/>
    <col min="1283" max="1283" width="2.375" style="2" customWidth="1"/>
    <col min="1284" max="1284" width="13.25" style="2" bestFit="1" customWidth="1"/>
    <col min="1285" max="1538" width="9" style="2"/>
    <col min="1539" max="1539" width="2.375" style="2" customWidth="1"/>
    <col min="1540" max="1540" width="13.25" style="2" bestFit="1" customWidth="1"/>
    <col min="1541" max="1794" width="9" style="2"/>
    <col min="1795" max="1795" width="2.375" style="2" customWidth="1"/>
    <col min="1796" max="1796" width="13.25" style="2" bestFit="1" customWidth="1"/>
    <col min="1797" max="2050" width="9" style="2"/>
    <col min="2051" max="2051" width="2.375" style="2" customWidth="1"/>
    <col min="2052" max="2052" width="13.25" style="2" bestFit="1" customWidth="1"/>
    <col min="2053" max="2306" width="9" style="2"/>
    <col min="2307" max="2307" width="2.375" style="2" customWidth="1"/>
    <col min="2308" max="2308" width="13.25" style="2" bestFit="1" customWidth="1"/>
    <col min="2309" max="2562" width="9" style="2"/>
    <col min="2563" max="2563" width="2.375" style="2" customWidth="1"/>
    <col min="2564" max="2564" width="13.25" style="2" bestFit="1" customWidth="1"/>
    <col min="2565" max="2818" width="9" style="2"/>
    <col min="2819" max="2819" width="2.375" style="2" customWidth="1"/>
    <col min="2820" max="2820" width="13.25" style="2" bestFit="1" customWidth="1"/>
    <col min="2821" max="3074" width="9" style="2"/>
    <col min="3075" max="3075" width="2.375" style="2" customWidth="1"/>
    <col min="3076" max="3076" width="13.25" style="2" bestFit="1" customWidth="1"/>
    <col min="3077" max="3330" width="9" style="2"/>
    <col min="3331" max="3331" width="2.375" style="2" customWidth="1"/>
    <col min="3332" max="3332" width="13.25" style="2" bestFit="1" customWidth="1"/>
    <col min="3333" max="3586" width="9" style="2"/>
    <col min="3587" max="3587" width="2.375" style="2" customWidth="1"/>
    <col min="3588" max="3588" width="13.25" style="2" bestFit="1" customWidth="1"/>
    <col min="3589" max="3842" width="9" style="2"/>
    <col min="3843" max="3843" width="2.375" style="2" customWidth="1"/>
    <col min="3844" max="3844" width="13.25" style="2" bestFit="1" customWidth="1"/>
    <col min="3845" max="4098" width="9" style="2"/>
    <col min="4099" max="4099" width="2.375" style="2" customWidth="1"/>
    <col min="4100" max="4100" width="13.25" style="2" bestFit="1" customWidth="1"/>
    <col min="4101" max="4354" width="9" style="2"/>
    <col min="4355" max="4355" width="2.375" style="2" customWidth="1"/>
    <col min="4356" max="4356" width="13.25" style="2" bestFit="1" customWidth="1"/>
    <col min="4357" max="4610" width="9" style="2"/>
    <col min="4611" max="4611" width="2.375" style="2" customWidth="1"/>
    <col min="4612" max="4612" width="13.25" style="2" bestFit="1" customWidth="1"/>
    <col min="4613" max="4866" width="9" style="2"/>
    <col min="4867" max="4867" width="2.375" style="2" customWidth="1"/>
    <col min="4868" max="4868" width="13.25" style="2" bestFit="1" customWidth="1"/>
    <col min="4869" max="5122" width="9" style="2"/>
    <col min="5123" max="5123" width="2.375" style="2" customWidth="1"/>
    <col min="5124" max="5124" width="13.25" style="2" bestFit="1" customWidth="1"/>
    <col min="5125" max="5378" width="9" style="2"/>
    <col min="5379" max="5379" width="2.375" style="2" customWidth="1"/>
    <col min="5380" max="5380" width="13.25" style="2" bestFit="1" customWidth="1"/>
    <col min="5381" max="5634" width="9" style="2"/>
    <col min="5635" max="5635" width="2.375" style="2" customWidth="1"/>
    <col min="5636" max="5636" width="13.25" style="2" bestFit="1" customWidth="1"/>
    <col min="5637" max="5890" width="9" style="2"/>
    <col min="5891" max="5891" width="2.375" style="2" customWidth="1"/>
    <col min="5892" max="5892" width="13.25" style="2" bestFit="1" customWidth="1"/>
    <col min="5893" max="6146" width="9" style="2"/>
    <col min="6147" max="6147" width="2.375" style="2" customWidth="1"/>
    <col min="6148" max="6148" width="13.25" style="2" bestFit="1" customWidth="1"/>
    <col min="6149" max="6402" width="9" style="2"/>
    <col min="6403" max="6403" width="2.375" style="2" customWidth="1"/>
    <col min="6404" max="6404" width="13.25" style="2" bestFit="1" customWidth="1"/>
    <col min="6405" max="6658" width="9" style="2"/>
    <col min="6659" max="6659" width="2.375" style="2" customWidth="1"/>
    <col min="6660" max="6660" width="13.25" style="2" bestFit="1" customWidth="1"/>
    <col min="6661" max="6914" width="9" style="2"/>
    <col min="6915" max="6915" width="2.375" style="2" customWidth="1"/>
    <col min="6916" max="6916" width="13.25" style="2" bestFit="1" customWidth="1"/>
    <col min="6917" max="7170" width="9" style="2"/>
    <col min="7171" max="7171" width="2.375" style="2" customWidth="1"/>
    <col min="7172" max="7172" width="13.25" style="2" bestFit="1" customWidth="1"/>
    <col min="7173" max="7426" width="9" style="2"/>
    <col min="7427" max="7427" width="2.375" style="2" customWidth="1"/>
    <col min="7428" max="7428" width="13.25" style="2" bestFit="1" customWidth="1"/>
    <col min="7429" max="7682" width="9" style="2"/>
    <col min="7683" max="7683" width="2.375" style="2" customWidth="1"/>
    <col min="7684" max="7684" width="13.25" style="2" bestFit="1" customWidth="1"/>
    <col min="7685" max="7938" width="9" style="2"/>
    <col min="7939" max="7939" width="2.375" style="2" customWidth="1"/>
    <col min="7940" max="7940" width="13.25" style="2" bestFit="1" customWidth="1"/>
    <col min="7941" max="8194" width="9" style="2"/>
    <col min="8195" max="8195" width="2.375" style="2" customWidth="1"/>
    <col min="8196" max="8196" width="13.25" style="2" bestFit="1" customWidth="1"/>
    <col min="8197" max="8450" width="9" style="2"/>
    <col min="8451" max="8451" width="2.375" style="2" customWidth="1"/>
    <col min="8452" max="8452" width="13.25" style="2" bestFit="1" customWidth="1"/>
    <col min="8453" max="8706" width="9" style="2"/>
    <col min="8707" max="8707" width="2.375" style="2" customWidth="1"/>
    <col min="8708" max="8708" width="13.25" style="2" bestFit="1" customWidth="1"/>
    <col min="8709" max="8962" width="9" style="2"/>
    <col min="8963" max="8963" width="2.375" style="2" customWidth="1"/>
    <col min="8964" max="8964" width="13.25" style="2" bestFit="1" customWidth="1"/>
    <col min="8965" max="9218" width="9" style="2"/>
    <col min="9219" max="9219" width="2.375" style="2" customWidth="1"/>
    <col min="9220" max="9220" width="13.25" style="2" bestFit="1" customWidth="1"/>
    <col min="9221" max="9474" width="9" style="2"/>
    <col min="9475" max="9475" width="2.375" style="2" customWidth="1"/>
    <col min="9476" max="9476" width="13.25" style="2" bestFit="1" customWidth="1"/>
    <col min="9477" max="9730" width="9" style="2"/>
    <col min="9731" max="9731" width="2.375" style="2" customWidth="1"/>
    <col min="9732" max="9732" width="13.25" style="2" bestFit="1" customWidth="1"/>
    <col min="9733" max="9986" width="9" style="2"/>
    <col min="9987" max="9987" width="2.375" style="2" customWidth="1"/>
    <col min="9988" max="9988" width="13.25" style="2" bestFit="1" customWidth="1"/>
    <col min="9989" max="10242" width="9" style="2"/>
    <col min="10243" max="10243" width="2.375" style="2" customWidth="1"/>
    <col min="10244" max="10244" width="13.25" style="2" bestFit="1" customWidth="1"/>
    <col min="10245" max="10498" width="9" style="2"/>
    <col min="10499" max="10499" width="2.375" style="2" customWidth="1"/>
    <col min="10500" max="10500" width="13.25" style="2" bestFit="1" customWidth="1"/>
    <col min="10501" max="10754" width="9" style="2"/>
    <col min="10755" max="10755" width="2.375" style="2" customWidth="1"/>
    <col min="10756" max="10756" width="13.25" style="2" bestFit="1" customWidth="1"/>
    <col min="10757" max="11010" width="9" style="2"/>
    <col min="11011" max="11011" width="2.375" style="2" customWidth="1"/>
    <col min="11012" max="11012" width="13.25" style="2" bestFit="1" customWidth="1"/>
    <col min="11013" max="11266" width="9" style="2"/>
    <col min="11267" max="11267" width="2.375" style="2" customWidth="1"/>
    <col min="11268" max="11268" width="13.25" style="2" bestFit="1" customWidth="1"/>
    <col min="11269" max="11522" width="9" style="2"/>
    <col min="11523" max="11523" width="2.375" style="2" customWidth="1"/>
    <col min="11524" max="11524" width="13.25" style="2" bestFit="1" customWidth="1"/>
    <col min="11525" max="11778" width="9" style="2"/>
    <col min="11779" max="11779" width="2.375" style="2" customWidth="1"/>
    <col min="11780" max="11780" width="13.25" style="2" bestFit="1" customWidth="1"/>
    <col min="11781" max="12034" width="9" style="2"/>
    <col min="12035" max="12035" width="2.375" style="2" customWidth="1"/>
    <col min="12036" max="12036" width="13.25" style="2" bestFit="1" customWidth="1"/>
    <col min="12037" max="12290" width="9" style="2"/>
    <col min="12291" max="12291" width="2.375" style="2" customWidth="1"/>
    <col min="12292" max="12292" width="13.25" style="2" bestFit="1" customWidth="1"/>
    <col min="12293" max="12546" width="9" style="2"/>
    <col min="12547" max="12547" width="2.375" style="2" customWidth="1"/>
    <col min="12548" max="12548" width="13.25" style="2" bestFit="1" customWidth="1"/>
    <col min="12549" max="12802" width="9" style="2"/>
    <col min="12803" max="12803" width="2.375" style="2" customWidth="1"/>
    <col min="12804" max="12804" width="13.25" style="2" bestFit="1" customWidth="1"/>
    <col min="12805" max="13058" width="9" style="2"/>
    <col min="13059" max="13059" width="2.375" style="2" customWidth="1"/>
    <col min="13060" max="13060" width="13.25" style="2" bestFit="1" customWidth="1"/>
    <col min="13061" max="13314" width="9" style="2"/>
    <col min="13315" max="13315" width="2.375" style="2" customWidth="1"/>
    <col min="13316" max="13316" width="13.25" style="2" bestFit="1" customWidth="1"/>
    <col min="13317" max="13570" width="9" style="2"/>
    <col min="13571" max="13571" width="2.375" style="2" customWidth="1"/>
    <col min="13572" max="13572" width="13.25" style="2" bestFit="1" customWidth="1"/>
    <col min="13573" max="13826" width="9" style="2"/>
    <col min="13827" max="13827" width="2.375" style="2" customWidth="1"/>
    <col min="13828" max="13828" width="13.25" style="2" bestFit="1" customWidth="1"/>
    <col min="13829" max="14082" width="9" style="2"/>
    <col min="14083" max="14083" width="2.375" style="2" customWidth="1"/>
    <col min="14084" max="14084" width="13.25" style="2" bestFit="1" customWidth="1"/>
    <col min="14085" max="14338" width="9" style="2"/>
    <col min="14339" max="14339" width="2.375" style="2" customWidth="1"/>
    <col min="14340" max="14340" width="13.25" style="2" bestFit="1" customWidth="1"/>
    <col min="14341" max="14594" width="9" style="2"/>
    <col min="14595" max="14595" width="2.375" style="2" customWidth="1"/>
    <col min="14596" max="14596" width="13.25" style="2" bestFit="1" customWidth="1"/>
    <col min="14597" max="14850" width="9" style="2"/>
    <col min="14851" max="14851" width="2.375" style="2" customWidth="1"/>
    <col min="14852" max="14852" width="13.25" style="2" bestFit="1" customWidth="1"/>
    <col min="14853" max="15106" width="9" style="2"/>
    <col min="15107" max="15107" width="2.375" style="2" customWidth="1"/>
    <col min="15108" max="15108" width="13.25" style="2" bestFit="1" customWidth="1"/>
    <col min="15109" max="15362" width="9" style="2"/>
    <col min="15363" max="15363" width="2.375" style="2" customWidth="1"/>
    <col min="15364" max="15364" width="13.25" style="2" bestFit="1" customWidth="1"/>
    <col min="15365" max="15618" width="9" style="2"/>
    <col min="15619" max="15619" width="2.375" style="2" customWidth="1"/>
    <col min="15620" max="15620" width="13.25" style="2" bestFit="1" customWidth="1"/>
    <col min="15621" max="15874" width="9" style="2"/>
    <col min="15875" max="15875" width="2.375" style="2" customWidth="1"/>
    <col min="15876" max="15876" width="13.25" style="2" bestFit="1" customWidth="1"/>
    <col min="15877" max="16130" width="9" style="2"/>
    <col min="16131" max="16131" width="2.375" style="2" customWidth="1"/>
    <col min="16132" max="16132" width="13.25" style="2" bestFit="1" customWidth="1"/>
    <col min="16133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>
      <c r="A3" s="1" t="s">
        <v>2</v>
      </c>
    </row>
    <row r="4" spans="1:15" ht="19.5" thickBot="1">
      <c r="A4" s="1" t="s">
        <v>4</v>
      </c>
    </row>
    <row r="5" spans="1:15">
      <c r="B5" s="3"/>
      <c r="C5" s="10" t="s">
        <v>6</v>
      </c>
      <c r="D5" s="42" t="s">
        <v>8</v>
      </c>
      <c r="E5" s="50" t="s">
        <v>47</v>
      </c>
      <c r="F5" s="9" t="s">
        <v>5</v>
      </c>
      <c r="G5" s="10" t="s">
        <v>7</v>
      </c>
      <c r="H5" s="10" t="s">
        <v>9</v>
      </c>
      <c r="I5" s="10" t="s">
        <v>10</v>
      </c>
      <c r="J5" s="10" t="s">
        <v>11</v>
      </c>
      <c r="K5" s="11" t="s">
        <v>12</v>
      </c>
      <c r="L5" s="39" t="s">
        <v>47</v>
      </c>
      <c r="M5" s="4" t="s">
        <v>22</v>
      </c>
    </row>
    <row r="6" spans="1:15" ht="19.5" thickBot="1">
      <c r="A6" s="38"/>
      <c r="B6" s="26" t="s">
        <v>13</v>
      </c>
      <c r="C6" s="28" t="s">
        <v>15</v>
      </c>
      <c r="D6" s="43" t="s">
        <v>17</v>
      </c>
      <c r="E6" s="51" t="s">
        <v>48</v>
      </c>
      <c r="F6" s="27" t="s">
        <v>14</v>
      </c>
      <c r="G6" s="28" t="s">
        <v>16</v>
      </c>
      <c r="H6" s="28" t="s">
        <v>18</v>
      </c>
      <c r="I6" s="28" t="s">
        <v>19</v>
      </c>
      <c r="J6" s="28" t="s">
        <v>20</v>
      </c>
      <c r="K6" s="29" t="s">
        <v>21</v>
      </c>
      <c r="L6" s="40" t="s">
        <v>49</v>
      </c>
      <c r="M6" s="41" t="s">
        <v>50</v>
      </c>
    </row>
    <row r="7" spans="1:15">
      <c r="A7" s="1" t="s">
        <v>3</v>
      </c>
      <c r="B7" s="21" t="s">
        <v>23</v>
      </c>
      <c r="C7" s="23">
        <v>391000</v>
      </c>
      <c r="D7" s="44">
        <v>0</v>
      </c>
      <c r="E7" s="52">
        <f>SUM(C7:D7)</f>
        <v>391000</v>
      </c>
      <c r="F7" s="22">
        <v>75000</v>
      </c>
      <c r="G7" s="23">
        <v>75000</v>
      </c>
      <c r="H7" s="23">
        <v>75000</v>
      </c>
      <c r="I7" s="23">
        <v>88000</v>
      </c>
      <c r="J7" s="23">
        <v>0</v>
      </c>
      <c r="K7" s="24">
        <v>31500</v>
      </c>
      <c r="L7" s="24">
        <f>SUM(F7:K7)</f>
        <v>344500</v>
      </c>
      <c r="M7" s="24">
        <f>SUM(L7,E7)</f>
        <v>735500</v>
      </c>
      <c r="O7"/>
    </row>
    <row r="8" spans="1:15">
      <c r="A8" s="1" t="s">
        <v>3</v>
      </c>
      <c r="B8" s="5" t="s">
        <v>24</v>
      </c>
      <c r="C8" s="13">
        <v>0</v>
      </c>
      <c r="D8" s="45">
        <v>0</v>
      </c>
      <c r="E8" s="53">
        <f t="shared" ref="E8:E27" si="0">SUM(C8:D8)</f>
        <v>0</v>
      </c>
      <c r="F8" s="12">
        <v>0</v>
      </c>
      <c r="G8" s="13">
        <v>0</v>
      </c>
      <c r="H8" s="13">
        <v>0</v>
      </c>
      <c r="I8" s="13">
        <v>0</v>
      </c>
      <c r="J8" s="13">
        <v>0</v>
      </c>
      <c r="K8" s="14">
        <v>0</v>
      </c>
      <c r="L8" s="14">
        <f t="shared" ref="L8:L27" si="1">SUM(F8:K8)</f>
        <v>0</v>
      </c>
      <c r="M8" s="14">
        <f t="shared" ref="M8:M27" si="2">SUM(L8,E8)</f>
        <v>0</v>
      </c>
      <c r="O8"/>
    </row>
    <row r="9" spans="1:15">
      <c r="A9" s="1" t="s">
        <v>3</v>
      </c>
      <c r="B9" s="5" t="s">
        <v>25</v>
      </c>
      <c r="C9" s="13">
        <v>0</v>
      </c>
      <c r="D9" s="45">
        <v>0</v>
      </c>
      <c r="E9" s="53">
        <f t="shared" si="0"/>
        <v>0</v>
      </c>
      <c r="F9" s="12">
        <v>0</v>
      </c>
      <c r="G9" s="13">
        <v>0</v>
      </c>
      <c r="H9" s="13">
        <v>0</v>
      </c>
      <c r="I9" s="13">
        <v>0</v>
      </c>
      <c r="J9" s="13">
        <v>0</v>
      </c>
      <c r="K9" s="14">
        <v>0</v>
      </c>
      <c r="L9" s="14">
        <f t="shared" si="1"/>
        <v>0</v>
      </c>
      <c r="M9" s="14">
        <f t="shared" si="2"/>
        <v>0</v>
      </c>
      <c r="O9"/>
    </row>
    <row r="10" spans="1:15" ht="19.5" thickBot="1">
      <c r="A10" s="1" t="s">
        <v>3</v>
      </c>
      <c r="B10" s="30" t="s">
        <v>26</v>
      </c>
      <c r="C10" s="32">
        <v>0</v>
      </c>
      <c r="D10" s="46">
        <v>0</v>
      </c>
      <c r="E10" s="54">
        <f t="shared" si="0"/>
        <v>0</v>
      </c>
      <c r="F10" s="31">
        <v>0</v>
      </c>
      <c r="G10" s="32">
        <v>0</v>
      </c>
      <c r="H10" s="32">
        <v>6000</v>
      </c>
      <c r="I10" s="32">
        <v>0</v>
      </c>
      <c r="J10" s="32">
        <v>0</v>
      </c>
      <c r="K10" s="33">
        <v>0</v>
      </c>
      <c r="L10" s="33">
        <f t="shared" si="1"/>
        <v>6000</v>
      </c>
      <c r="M10" s="33">
        <f t="shared" si="2"/>
        <v>6000</v>
      </c>
      <c r="O10"/>
    </row>
    <row r="11" spans="1:15" ht="19.5" thickBot="1">
      <c r="A11" s="1" t="s">
        <v>3</v>
      </c>
      <c r="B11" s="34" t="s">
        <v>27</v>
      </c>
      <c r="C11" s="36">
        <v>391000</v>
      </c>
      <c r="D11" s="47">
        <v>0</v>
      </c>
      <c r="E11" s="55">
        <f t="shared" si="0"/>
        <v>391000</v>
      </c>
      <c r="F11" s="35">
        <v>75000</v>
      </c>
      <c r="G11" s="36">
        <v>75000</v>
      </c>
      <c r="H11" s="36">
        <v>81000</v>
      </c>
      <c r="I11" s="36">
        <v>88000</v>
      </c>
      <c r="J11" s="36">
        <v>0</v>
      </c>
      <c r="K11" s="37">
        <v>31500</v>
      </c>
      <c r="L11" s="37">
        <f t="shared" si="1"/>
        <v>350500</v>
      </c>
      <c r="M11" s="37">
        <f t="shared" si="2"/>
        <v>741500</v>
      </c>
      <c r="O11"/>
    </row>
    <row r="12" spans="1:15" ht="19.5" thickBot="1">
      <c r="A12" s="1" t="s">
        <v>3</v>
      </c>
      <c r="B12" s="34" t="s">
        <v>28</v>
      </c>
      <c r="C12" s="36">
        <v>0</v>
      </c>
      <c r="D12" s="47">
        <v>0</v>
      </c>
      <c r="E12" s="55">
        <f t="shared" si="0"/>
        <v>0</v>
      </c>
      <c r="F12" s="35">
        <v>0</v>
      </c>
      <c r="G12" s="36">
        <v>0</v>
      </c>
      <c r="H12" s="36">
        <v>0</v>
      </c>
      <c r="I12" s="36">
        <v>0</v>
      </c>
      <c r="J12" s="36">
        <v>0</v>
      </c>
      <c r="K12" s="37">
        <v>0</v>
      </c>
      <c r="L12" s="37">
        <f t="shared" si="1"/>
        <v>0</v>
      </c>
      <c r="M12" s="37">
        <f t="shared" si="2"/>
        <v>0</v>
      </c>
      <c r="O12"/>
    </row>
    <row r="13" spans="1:15" ht="19.5" thickBot="1">
      <c r="A13" s="1" t="s">
        <v>3</v>
      </c>
      <c r="B13" s="34" t="s">
        <v>29</v>
      </c>
      <c r="C13" s="36">
        <v>391000</v>
      </c>
      <c r="D13" s="47">
        <v>0</v>
      </c>
      <c r="E13" s="55">
        <f t="shared" si="0"/>
        <v>391000</v>
      </c>
      <c r="F13" s="35">
        <v>75000</v>
      </c>
      <c r="G13" s="36">
        <v>75000</v>
      </c>
      <c r="H13" s="36">
        <v>81000</v>
      </c>
      <c r="I13" s="36">
        <v>88000</v>
      </c>
      <c r="J13" s="36">
        <v>0</v>
      </c>
      <c r="K13" s="37">
        <v>31500</v>
      </c>
      <c r="L13" s="37">
        <f t="shared" si="1"/>
        <v>350500</v>
      </c>
      <c r="M13" s="37">
        <f t="shared" si="2"/>
        <v>741500</v>
      </c>
      <c r="O13"/>
    </row>
    <row r="14" spans="1:15">
      <c r="A14" s="1" t="s">
        <v>3</v>
      </c>
      <c r="B14" s="21" t="s">
        <v>30</v>
      </c>
      <c r="C14" s="23">
        <v>19941</v>
      </c>
      <c r="D14" s="44">
        <v>0</v>
      </c>
      <c r="E14" s="52">
        <f t="shared" si="0"/>
        <v>19941</v>
      </c>
      <c r="F14" s="22">
        <v>3825</v>
      </c>
      <c r="G14" s="23">
        <v>3825</v>
      </c>
      <c r="H14" s="23">
        <v>4131</v>
      </c>
      <c r="I14" s="23">
        <v>4488</v>
      </c>
      <c r="J14" s="23">
        <v>0</v>
      </c>
      <c r="K14" s="24">
        <v>1581</v>
      </c>
      <c r="L14" s="24">
        <f t="shared" si="1"/>
        <v>17850</v>
      </c>
      <c r="M14" s="24">
        <f t="shared" si="2"/>
        <v>37791</v>
      </c>
      <c r="O14"/>
    </row>
    <row r="15" spans="1:15">
      <c r="A15" s="1" t="s">
        <v>3</v>
      </c>
      <c r="B15" s="5" t="s">
        <v>31</v>
      </c>
      <c r="C15" s="13">
        <v>3519</v>
      </c>
      <c r="D15" s="45">
        <v>0</v>
      </c>
      <c r="E15" s="53">
        <f t="shared" si="0"/>
        <v>3519</v>
      </c>
      <c r="F15" s="12">
        <v>0</v>
      </c>
      <c r="G15" s="13">
        <v>675</v>
      </c>
      <c r="H15" s="13">
        <v>729</v>
      </c>
      <c r="I15" s="13">
        <v>792</v>
      </c>
      <c r="J15" s="13">
        <v>0</v>
      </c>
      <c r="K15" s="14">
        <v>279</v>
      </c>
      <c r="L15" s="14">
        <f t="shared" si="1"/>
        <v>2475</v>
      </c>
      <c r="M15" s="14">
        <f t="shared" si="2"/>
        <v>5994</v>
      </c>
      <c r="O15"/>
    </row>
    <row r="16" spans="1:15">
      <c r="A16" s="1" t="s">
        <v>3</v>
      </c>
      <c r="B16" s="5" t="s">
        <v>32</v>
      </c>
      <c r="C16" s="13">
        <v>35776</v>
      </c>
      <c r="D16" s="45">
        <v>0</v>
      </c>
      <c r="E16" s="53">
        <f t="shared" si="0"/>
        <v>35776</v>
      </c>
      <c r="F16" s="12">
        <v>6862</v>
      </c>
      <c r="G16" s="13">
        <v>6862</v>
      </c>
      <c r="H16" s="13">
        <v>7411</v>
      </c>
      <c r="I16" s="13">
        <v>8052</v>
      </c>
      <c r="J16" s="13">
        <v>0</v>
      </c>
      <c r="K16" s="14">
        <v>2836</v>
      </c>
      <c r="L16" s="14">
        <f t="shared" si="1"/>
        <v>32023</v>
      </c>
      <c r="M16" s="14">
        <f t="shared" si="2"/>
        <v>67799</v>
      </c>
      <c r="O16"/>
    </row>
    <row r="17" spans="1:15" ht="19.5" thickBot="1">
      <c r="A17" s="1" t="s">
        <v>3</v>
      </c>
      <c r="B17" s="30" t="s">
        <v>33</v>
      </c>
      <c r="C17" s="32">
        <v>1173</v>
      </c>
      <c r="D17" s="46">
        <v>0</v>
      </c>
      <c r="E17" s="54">
        <f t="shared" si="0"/>
        <v>1173</v>
      </c>
      <c r="F17" s="31">
        <v>225</v>
      </c>
      <c r="G17" s="32">
        <v>225</v>
      </c>
      <c r="H17" s="32">
        <v>243</v>
      </c>
      <c r="I17" s="32">
        <v>264</v>
      </c>
      <c r="J17" s="32">
        <v>0</v>
      </c>
      <c r="K17" s="33">
        <v>94</v>
      </c>
      <c r="L17" s="33">
        <f t="shared" si="1"/>
        <v>1051</v>
      </c>
      <c r="M17" s="33">
        <f t="shared" si="2"/>
        <v>2224</v>
      </c>
      <c r="O17"/>
    </row>
    <row r="18" spans="1:15" ht="19.5" thickBot="1">
      <c r="A18" s="1" t="s">
        <v>3</v>
      </c>
      <c r="B18" s="34" t="s">
        <v>36</v>
      </c>
      <c r="C18" s="36">
        <v>60409</v>
      </c>
      <c r="D18" s="47">
        <v>0</v>
      </c>
      <c r="E18" s="55">
        <f t="shared" si="0"/>
        <v>60409</v>
      </c>
      <c r="F18" s="35">
        <v>10912</v>
      </c>
      <c r="G18" s="36">
        <v>11587</v>
      </c>
      <c r="H18" s="36">
        <v>12514</v>
      </c>
      <c r="I18" s="36">
        <v>13596</v>
      </c>
      <c r="J18" s="36">
        <v>0</v>
      </c>
      <c r="K18" s="37">
        <v>4790</v>
      </c>
      <c r="L18" s="37">
        <f t="shared" si="1"/>
        <v>53399</v>
      </c>
      <c r="M18" s="37">
        <f t="shared" si="2"/>
        <v>113808</v>
      </c>
      <c r="O18"/>
    </row>
    <row r="19" spans="1:15">
      <c r="A19" s="1" t="s">
        <v>3</v>
      </c>
      <c r="B19" s="21" t="s">
        <v>34</v>
      </c>
      <c r="C19" s="23">
        <v>330591</v>
      </c>
      <c r="D19" s="44">
        <v>0</v>
      </c>
      <c r="E19" s="52">
        <f t="shared" si="0"/>
        <v>330591</v>
      </c>
      <c r="F19" s="22">
        <v>64088</v>
      </c>
      <c r="G19" s="23">
        <v>63413</v>
      </c>
      <c r="H19" s="23">
        <v>68486</v>
      </c>
      <c r="I19" s="23">
        <v>74404</v>
      </c>
      <c r="J19" s="23">
        <v>0</v>
      </c>
      <c r="K19" s="24">
        <v>26710</v>
      </c>
      <c r="L19" s="24">
        <f t="shared" si="1"/>
        <v>297101</v>
      </c>
      <c r="M19" s="24">
        <f t="shared" si="2"/>
        <v>627692</v>
      </c>
      <c r="O19"/>
    </row>
    <row r="20" spans="1:15" ht="19.5" thickBot="1">
      <c r="A20" s="1" t="s">
        <v>3</v>
      </c>
      <c r="B20" s="30" t="s">
        <v>35</v>
      </c>
      <c r="C20" s="32">
        <v>27002</v>
      </c>
      <c r="D20" s="46">
        <v>0</v>
      </c>
      <c r="E20" s="54">
        <f t="shared" si="0"/>
        <v>27002</v>
      </c>
      <c r="F20" s="31">
        <v>5234</v>
      </c>
      <c r="G20" s="32">
        <v>2589</v>
      </c>
      <c r="H20" s="32">
        <v>4195</v>
      </c>
      <c r="I20" s="32">
        <v>3038</v>
      </c>
      <c r="J20" s="32">
        <v>0</v>
      </c>
      <c r="K20" s="33">
        <v>1090</v>
      </c>
      <c r="L20" s="33">
        <f t="shared" si="1"/>
        <v>16146</v>
      </c>
      <c r="M20" s="33">
        <f t="shared" si="2"/>
        <v>43148</v>
      </c>
      <c r="O20"/>
    </row>
    <row r="21" spans="1:15" ht="19.5" thickBot="1">
      <c r="A21" s="1" t="s">
        <v>3</v>
      </c>
      <c r="B21" s="34" t="s">
        <v>37</v>
      </c>
      <c r="C21" s="36">
        <v>87411</v>
      </c>
      <c r="D21" s="47">
        <v>0</v>
      </c>
      <c r="E21" s="55">
        <f t="shared" si="0"/>
        <v>87411</v>
      </c>
      <c r="F21" s="35">
        <v>16146</v>
      </c>
      <c r="G21" s="36">
        <v>14176</v>
      </c>
      <c r="H21" s="36">
        <v>16709</v>
      </c>
      <c r="I21" s="36">
        <v>16634</v>
      </c>
      <c r="J21" s="36">
        <v>0</v>
      </c>
      <c r="K21" s="37">
        <v>5880</v>
      </c>
      <c r="L21" s="37">
        <f t="shared" si="1"/>
        <v>69545</v>
      </c>
      <c r="M21" s="37">
        <f t="shared" si="2"/>
        <v>156956</v>
      </c>
      <c r="O21"/>
    </row>
    <row r="22" spans="1:15">
      <c r="A22" s="1" t="s">
        <v>3</v>
      </c>
      <c r="B22" s="21" t="s">
        <v>38</v>
      </c>
      <c r="C22" s="23">
        <v>28970</v>
      </c>
      <c r="D22" s="44">
        <v>1040</v>
      </c>
      <c r="E22" s="52">
        <f t="shared" si="0"/>
        <v>30010</v>
      </c>
      <c r="F22" s="22">
        <v>15228</v>
      </c>
      <c r="G22" s="23">
        <v>52645</v>
      </c>
      <c r="H22" s="23">
        <v>97982</v>
      </c>
      <c r="I22" s="23">
        <v>4942</v>
      </c>
      <c r="J22" s="23">
        <v>20224</v>
      </c>
      <c r="K22" s="24">
        <v>11600</v>
      </c>
      <c r="L22" s="24">
        <f t="shared" si="1"/>
        <v>202621</v>
      </c>
      <c r="M22" s="24">
        <f t="shared" si="2"/>
        <v>232631</v>
      </c>
      <c r="O22"/>
    </row>
    <row r="23" spans="1:15" ht="19.5" thickBot="1">
      <c r="A23" s="1" t="s">
        <v>3</v>
      </c>
      <c r="B23" s="30" t="s">
        <v>39</v>
      </c>
      <c r="C23" s="32">
        <v>0</v>
      </c>
      <c r="D23" s="46">
        <v>0</v>
      </c>
      <c r="E23" s="54">
        <f t="shared" si="0"/>
        <v>0</v>
      </c>
      <c r="F23" s="31">
        <v>0</v>
      </c>
      <c r="G23" s="32">
        <v>0</v>
      </c>
      <c r="H23" s="32">
        <v>0</v>
      </c>
      <c r="I23" s="32">
        <v>0</v>
      </c>
      <c r="J23" s="32">
        <v>0</v>
      </c>
      <c r="K23" s="33">
        <v>0</v>
      </c>
      <c r="L23" s="33">
        <f t="shared" si="1"/>
        <v>0</v>
      </c>
      <c r="M23" s="33">
        <f t="shared" si="2"/>
        <v>0</v>
      </c>
      <c r="O23"/>
    </row>
    <row r="24" spans="1:15" ht="19.5" thickBot="1">
      <c r="A24" s="1" t="s">
        <v>3</v>
      </c>
      <c r="B24" s="34" t="s">
        <v>40</v>
      </c>
      <c r="C24" s="36">
        <v>28970</v>
      </c>
      <c r="D24" s="47">
        <v>1040</v>
      </c>
      <c r="E24" s="55">
        <f t="shared" si="0"/>
        <v>30010</v>
      </c>
      <c r="F24" s="35">
        <v>15228</v>
      </c>
      <c r="G24" s="36">
        <v>52645</v>
      </c>
      <c r="H24" s="36">
        <v>97982</v>
      </c>
      <c r="I24" s="36">
        <v>4942</v>
      </c>
      <c r="J24" s="36">
        <v>20224</v>
      </c>
      <c r="K24" s="37">
        <v>11600</v>
      </c>
      <c r="L24" s="37">
        <f t="shared" si="1"/>
        <v>202621</v>
      </c>
      <c r="M24" s="37">
        <f t="shared" si="2"/>
        <v>232631</v>
      </c>
      <c r="O24"/>
    </row>
    <row r="25" spans="1:15" ht="19.5" thickBot="1">
      <c r="A25" s="1" t="s">
        <v>3</v>
      </c>
      <c r="B25" s="34" t="s">
        <v>41</v>
      </c>
      <c r="C25" s="36">
        <v>332559</v>
      </c>
      <c r="D25" s="47">
        <v>1040</v>
      </c>
      <c r="E25" s="55">
        <f t="shared" si="0"/>
        <v>333599</v>
      </c>
      <c r="F25" s="35">
        <v>74082</v>
      </c>
      <c r="G25" s="36">
        <v>113469</v>
      </c>
      <c r="H25" s="36">
        <v>162273</v>
      </c>
      <c r="I25" s="36">
        <v>76308</v>
      </c>
      <c r="J25" s="36">
        <v>20224</v>
      </c>
      <c r="K25" s="37">
        <v>37220</v>
      </c>
      <c r="L25" s="37">
        <f t="shared" si="1"/>
        <v>483576</v>
      </c>
      <c r="M25" s="37">
        <f t="shared" si="2"/>
        <v>817175</v>
      </c>
      <c r="O25"/>
    </row>
    <row r="26" spans="1:15" ht="19.5" thickBot="1">
      <c r="A26" s="1" t="s">
        <v>3</v>
      </c>
      <c r="B26" s="34" t="s">
        <v>42</v>
      </c>
      <c r="C26" s="36">
        <v>0</v>
      </c>
      <c r="D26" s="47">
        <v>0</v>
      </c>
      <c r="E26" s="55">
        <f t="shared" si="0"/>
        <v>0</v>
      </c>
      <c r="F26" s="35">
        <v>0</v>
      </c>
      <c r="G26" s="36">
        <v>0</v>
      </c>
      <c r="H26" s="36">
        <v>0</v>
      </c>
      <c r="I26" s="36">
        <v>0</v>
      </c>
      <c r="J26" s="36">
        <v>0</v>
      </c>
      <c r="K26" s="37">
        <v>0</v>
      </c>
      <c r="L26" s="37">
        <f t="shared" si="1"/>
        <v>0</v>
      </c>
      <c r="M26" s="37">
        <f t="shared" si="2"/>
        <v>0</v>
      </c>
      <c r="O26"/>
    </row>
    <row r="27" spans="1:15" ht="19.5" thickBot="1">
      <c r="A27" s="1" t="s">
        <v>3</v>
      </c>
      <c r="B27" s="34" t="s">
        <v>43</v>
      </c>
      <c r="C27" s="36">
        <v>332559</v>
      </c>
      <c r="D27" s="47">
        <v>1040</v>
      </c>
      <c r="E27" s="55">
        <f t="shared" si="0"/>
        <v>333599</v>
      </c>
      <c r="F27" s="35">
        <v>74082</v>
      </c>
      <c r="G27" s="36">
        <v>113469</v>
      </c>
      <c r="H27" s="36">
        <v>162273</v>
      </c>
      <c r="I27" s="36">
        <v>76308</v>
      </c>
      <c r="J27" s="36">
        <v>20224</v>
      </c>
      <c r="K27" s="37">
        <v>37220</v>
      </c>
      <c r="L27" s="37">
        <f t="shared" si="1"/>
        <v>483576</v>
      </c>
      <c r="M27" s="37">
        <f t="shared" si="2"/>
        <v>817175</v>
      </c>
      <c r="O27"/>
    </row>
    <row r="28" spans="1:15">
      <c r="A28" s="1" t="s">
        <v>3</v>
      </c>
      <c r="B28" s="21" t="s">
        <v>44</v>
      </c>
      <c r="C28" s="23">
        <v>0</v>
      </c>
      <c r="D28" s="44">
        <v>0</v>
      </c>
      <c r="E28" s="52"/>
      <c r="F28" s="22">
        <v>0</v>
      </c>
      <c r="G28" s="23">
        <v>1</v>
      </c>
      <c r="H28" s="23">
        <v>0</v>
      </c>
      <c r="I28" s="23">
        <v>1</v>
      </c>
      <c r="J28" s="23">
        <v>1</v>
      </c>
      <c r="K28" s="24">
        <v>0</v>
      </c>
      <c r="L28" s="24"/>
      <c r="M28" s="25"/>
      <c r="O28"/>
    </row>
    <row r="29" spans="1:15">
      <c r="A29" s="1" t="s">
        <v>3</v>
      </c>
      <c r="B29" s="5" t="s">
        <v>45</v>
      </c>
      <c r="C29" s="16">
        <v>8.1679999999999993</v>
      </c>
      <c r="D29" s="48">
        <v>2.0419999999999998</v>
      </c>
      <c r="E29" s="56"/>
      <c r="F29" s="15">
        <v>8.1679999999999993</v>
      </c>
      <c r="G29" s="16">
        <v>4.0839999999999996</v>
      </c>
      <c r="H29" s="16">
        <v>6.1260000000000003</v>
      </c>
      <c r="I29" s="16">
        <v>4.0839999999999996</v>
      </c>
      <c r="J29" s="16">
        <v>4.0839999999999996</v>
      </c>
      <c r="K29" s="17">
        <v>4.0839999999999996</v>
      </c>
      <c r="L29" s="17"/>
      <c r="M29" s="7"/>
      <c r="O29"/>
    </row>
    <row r="30" spans="1:15" ht="19.5" thickBot="1">
      <c r="A30" s="1" t="s">
        <v>3</v>
      </c>
      <c r="B30" s="6" t="s">
        <v>46</v>
      </c>
      <c r="C30" s="19">
        <v>309351</v>
      </c>
      <c r="D30" s="49">
        <v>78381</v>
      </c>
      <c r="E30" s="57"/>
      <c r="F30" s="18">
        <v>303411</v>
      </c>
      <c r="G30" s="19">
        <v>279639</v>
      </c>
      <c r="H30" s="19">
        <v>262847</v>
      </c>
      <c r="I30" s="19">
        <v>270880</v>
      </c>
      <c r="J30" s="19">
        <v>263174</v>
      </c>
      <c r="K30" s="20">
        <v>206234</v>
      </c>
      <c r="L30" s="20"/>
      <c r="M30" s="8"/>
    </row>
  </sheetData>
  <phoneticPr fontId="3"/>
  <pageMargins left="0.70866141732283472" right="0.70866141732283472" top="0.74803149606299213" bottom="0.74803149606299213" header="0.31496062992125984" footer="0.31496062992125984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3年冬賞与 (2)</vt:lpstr>
      <vt:lpstr>'3年冬賞与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2021-12-20T05:05:00Z</cp:lastPrinted>
  <dcterms:created xsi:type="dcterms:W3CDTF">2021-12-20T03:19:26Z</dcterms:created>
  <dcterms:modified xsi:type="dcterms:W3CDTF">2021-12-20T07:23:15Z</dcterms:modified>
</cp:coreProperties>
</file>