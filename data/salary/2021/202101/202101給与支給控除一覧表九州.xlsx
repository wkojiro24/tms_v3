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1\"/>
    </mc:Choice>
  </mc:AlternateContent>
  <xr:revisionPtr revIDLastSave="0" documentId="13_ncr:1_{009D6B32-E51B-4712-B206-C0AD7D6C7FFA}" xr6:coauthVersionLast="46" xr6:coauthVersionMax="46" xr10:uidLastSave="{00000000-0000-0000-0000-000000000000}"/>
  <bookViews>
    <workbookView xWindow="0" yWindow="0" windowWidth="20490" windowHeight="1092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(2)'!$A$1:$L$77</definedName>
    <definedName name="_xlnm.Print_Area" localSheetId="1">助成金!$A$1:$L$77</definedName>
  </definedName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34" i="3"/>
  <c r="D34" i="3"/>
  <c r="K33" i="3"/>
  <c r="D33" i="3"/>
  <c r="K32" i="3"/>
  <c r="D32" i="3"/>
  <c r="K31" i="3"/>
  <c r="D31" i="3"/>
  <c r="K30" i="3"/>
  <c r="D30" i="3"/>
  <c r="K29" i="3"/>
  <c r="D29" i="3"/>
  <c r="K28" i="3"/>
  <c r="D28" i="3"/>
  <c r="K27" i="3"/>
  <c r="D27" i="3"/>
  <c r="K26" i="3"/>
  <c r="D26" i="3"/>
  <c r="K25" i="3"/>
  <c r="D25" i="3"/>
  <c r="K24" i="3"/>
  <c r="D24" i="3"/>
  <c r="K23" i="3"/>
  <c r="D23" i="3"/>
  <c r="K22" i="3"/>
  <c r="D22" i="3"/>
  <c r="K16" i="3"/>
  <c r="K15" i="3"/>
  <c r="K14" i="3"/>
  <c r="D13" i="3"/>
  <c r="K12" i="3"/>
  <c r="K8" i="3"/>
  <c r="D8" i="3"/>
  <c r="K7" i="3"/>
  <c r="D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5" i="2"/>
  <c r="K16" i="2"/>
  <c r="K22" i="2"/>
  <c r="K14" i="2"/>
  <c r="K12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13" i="2"/>
  <c r="D8" i="2"/>
  <c r="D7" i="2"/>
  <c r="D6" i="2"/>
</calcChain>
</file>

<file path=xl/sharedStrings.xml><?xml version="1.0" encoding="utf-8"?>
<sst xmlns="http://schemas.openxmlformats.org/spreadsheetml/2006/main" count="208" uniqueCount="85">
  <si>
    <t>所　属</t>
  </si>
  <si>
    <t>社　員</t>
  </si>
  <si>
    <t>2021年1月分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</si>
  <si>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</si>
  <si>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</si>
  <si>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</si>
  <si>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</si>
  <si>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</si>
  <si>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</si>
  <si>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</si>
  <si>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</si>
  <si>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</si>
  <si>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</si>
  <si>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</si>
  <si>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</si>
  <si>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</si>
  <si>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</si>
  <si>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</si>
  <si>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</si>
  <si>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</si>
  <si>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</si>
  <si>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</si>
  <si>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</si>
  <si>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</si>
  <si>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</si>
  <si>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</si>
  <si>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</si>
  <si>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</si>
  <si>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</si>
  <si>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</si>
  <si>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</si>
  <si>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</si>
  <si>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</si>
  <si>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</si>
  <si>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</si>
  <si>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</si>
  <si>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</si>
  <si>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</si>
  <si>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</si>
  <si>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</si>
  <si>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</si>
  <si>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</si>
  <si>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</si>
  <si>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</si>
  <si>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</si>
  <si>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</si>
  <si>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</si>
  <si>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</si>
  <si>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</si>
  <si>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</si>
  <si>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</si>
  <si>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</si>
  <si>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</si>
  <si>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</si>
  <si>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</si>
  <si>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</si>
  <si>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</si>
  <si>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</si>
  <si>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</si>
  <si>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</si>
  <si>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</si>
  <si>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</si>
  <si>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</si>
  <si>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</si>
  <si>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</si>
  <si>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</si>
  <si>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</si>
  <si>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</si>
  <si>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</si>
  <si>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</si>
  <si>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</si>
  <si>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</si>
  <si>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</si>
  <si>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</si>
  <si>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</si>
  <si>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</si>
  <si>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</si>
  <si>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</si>
  <si>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</si>
  <si>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</si>
  <si>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8名</t>
  </si>
  <si>
    <t>全社計</t>
  </si>
  <si>
    <t>小計</t>
    <rPh sb="0" eb="2">
      <t>ショウケイ</t>
    </rPh>
    <phoneticPr fontId="1"/>
  </si>
  <si>
    <t>6名</t>
    <rPh sb="1" eb="2">
      <t>メイ</t>
    </rPh>
    <phoneticPr fontId="1"/>
  </si>
  <si>
    <t>2名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</si>
</sst>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177" fontId="2" fillId="0" borderId="48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45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D13A-C6AD-45D4-B3C6-08E964C126CC}">
  <sheetPr>
    <pageSetUpPr fitToPage="1"/>
  </sheetPr>
  <dimension ref="A1:AL77"/>
  <sheetViews>
    <sheetView zoomScale="80" zoomScaleNormal="80" workbookViewId="0"/>
  </sheetViews>
  <sheetFormatPr defaultRowHeight="13.5" x14ac:dyDescent="0.15"/>
  <cols>
    <col min="1" max="1" width="17.625" style="2" customWidth="1"/>
    <col min="2" max="12" width="11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7"/>
      <c r="D1" s="7"/>
      <c r="E1" s="7"/>
      <c r="F1" s="1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1" t="s">
        <v>3</v>
      </c>
      <c r="D3" s="84" t="s">
        <v>82</v>
      </c>
      <c r="E3" s="35" t="s">
        <v>3</v>
      </c>
      <c r="F3" s="20" t="s">
        <v>3</v>
      </c>
      <c r="G3" s="20" t="s">
        <v>3</v>
      </c>
      <c r="H3" s="20" t="s">
        <v>3</v>
      </c>
      <c r="I3" s="35" t="s">
        <v>3</v>
      </c>
      <c r="J3" s="51" t="s">
        <v>3</v>
      </c>
      <c r="K3" s="84" t="s">
        <v>82</v>
      </c>
      <c r="L3" s="67" t="s">
        <v>81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2">
        <v>1063</v>
      </c>
      <c r="D4" s="85"/>
      <c r="E4" s="36">
        <v>1056</v>
      </c>
      <c r="F4" s="22">
        <v>1059</v>
      </c>
      <c r="G4" s="22">
        <v>1061</v>
      </c>
      <c r="H4" s="22">
        <v>1067</v>
      </c>
      <c r="I4" s="36">
        <v>1071</v>
      </c>
      <c r="J4" s="52">
        <v>1092</v>
      </c>
      <c r="K4" s="85"/>
      <c r="L4" s="6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22</v>
      </c>
      <c r="C5" s="52" t="s">
        <v>79</v>
      </c>
      <c r="D5" s="86" t="s">
        <v>84</v>
      </c>
      <c r="E5" s="36" t="s">
        <v>4</v>
      </c>
      <c r="F5" s="22" t="s">
        <v>23</v>
      </c>
      <c r="G5" s="22" t="s">
        <v>24</v>
      </c>
      <c r="H5" s="22" t="s">
        <v>25</v>
      </c>
      <c r="I5" s="36" t="s">
        <v>77</v>
      </c>
      <c r="J5" s="52" t="s">
        <v>78</v>
      </c>
      <c r="K5" s="86" t="s">
        <v>83</v>
      </c>
      <c r="L5" s="69" t="s">
        <v>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4">
        <v>19</v>
      </c>
      <c r="C6" s="53">
        <v>18</v>
      </c>
      <c r="D6" s="87">
        <f>SUM(B6:C6)</f>
        <v>37</v>
      </c>
      <c r="E6" s="37">
        <v>16</v>
      </c>
      <c r="F6" s="24">
        <v>17</v>
      </c>
      <c r="G6" s="24">
        <v>12</v>
      </c>
      <c r="H6" s="24">
        <v>15</v>
      </c>
      <c r="I6" s="37">
        <v>16</v>
      </c>
      <c r="J6" s="53">
        <v>16</v>
      </c>
      <c r="K6" s="87">
        <f>SUM(E6:J6)</f>
        <v>92</v>
      </c>
      <c r="L6" s="70">
        <v>129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9">
        <v>4</v>
      </c>
      <c r="C7" s="55"/>
      <c r="D7" s="88">
        <f>SUM(B7:C7)</f>
        <v>4</v>
      </c>
      <c r="E7" s="38">
        <v>2</v>
      </c>
      <c r="F7" s="9">
        <v>3</v>
      </c>
      <c r="G7" s="9">
        <v>1</v>
      </c>
      <c r="H7" s="9">
        <v>3</v>
      </c>
      <c r="I7" s="38">
        <v>2</v>
      </c>
      <c r="J7" s="54">
        <v>4</v>
      </c>
      <c r="K7" s="88">
        <f>SUM(E7:J7)</f>
        <v>15</v>
      </c>
      <c r="L7" s="71">
        <v>19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9">
        <v>3</v>
      </c>
      <c r="C8" s="55"/>
      <c r="D8" s="88">
        <f>SUM(B8:C8)</f>
        <v>3</v>
      </c>
      <c r="E8" s="38">
        <v>1</v>
      </c>
      <c r="F8" s="9">
        <v>1</v>
      </c>
      <c r="G8" s="10"/>
      <c r="H8" s="9">
        <v>2</v>
      </c>
      <c r="I8" s="39"/>
      <c r="J8" s="54">
        <v>2</v>
      </c>
      <c r="K8" s="88">
        <f>SUM(E8:J8)</f>
        <v>6</v>
      </c>
      <c r="L8" s="71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10"/>
      <c r="C9" s="55"/>
      <c r="D9" s="89"/>
      <c r="E9" s="39"/>
      <c r="F9" s="10"/>
      <c r="G9" s="10"/>
      <c r="H9" s="10"/>
      <c r="I9" s="39"/>
      <c r="J9" s="55"/>
      <c r="K9" s="89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/>
      <c r="C10" s="55"/>
      <c r="D10" s="89"/>
      <c r="E10" s="39"/>
      <c r="F10" s="10"/>
      <c r="G10" s="10"/>
      <c r="H10" s="10"/>
      <c r="I10" s="39"/>
      <c r="J10" s="55"/>
      <c r="K10" s="89"/>
      <c r="L10" s="72"/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10"/>
      <c r="C11" s="55"/>
      <c r="D11" s="89"/>
      <c r="E11" s="39"/>
      <c r="F11" s="10"/>
      <c r="G11" s="10"/>
      <c r="H11" s="10"/>
      <c r="I11" s="39"/>
      <c r="J11" s="55"/>
      <c r="K11" s="89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11</v>
      </c>
      <c r="B12" s="10"/>
      <c r="C12" s="55"/>
      <c r="D12" s="89"/>
      <c r="E12" s="38">
        <v>3</v>
      </c>
      <c r="F12" s="9">
        <v>2</v>
      </c>
      <c r="G12" s="9">
        <v>7</v>
      </c>
      <c r="H12" s="9">
        <v>4</v>
      </c>
      <c r="I12" s="38">
        <v>3</v>
      </c>
      <c r="J12" s="54">
        <v>3</v>
      </c>
      <c r="K12" s="88">
        <f>SUM(E12:J12)</f>
        <v>22</v>
      </c>
      <c r="L12" s="71">
        <v>22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10"/>
      <c r="C13" s="56">
        <v>3.75</v>
      </c>
      <c r="D13" s="90">
        <f>SUM(B13:C13)</f>
        <v>3.75</v>
      </c>
      <c r="E13" s="39"/>
      <c r="F13" s="10"/>
      <c r="G13" s="10"/>
      <c r="H13" s="10"/>
      <c r="I13" s="39"/>
      <c r="J13" s="55"/>
      <c r="K13" s="89"/>
      <c r="L13" s="73">
        <v>3.75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10"/>
      <c r="C14" s="55"/>
      <c r="D14" s="89"/>
      <c r="E14" s="40">
        <v>1.1666666666666667</v>
      </c>
      <c r="F14" s="11">
        <v>0.79166666666666663</v>
      </c>
      <c r="G14" s="11">
        <v>0.70833333333333337</v>
      </c>
      <c r="H14" s="11">
        <v>1.4166666666666667</v>
      </c>
      <c r="I14" s="40">
        <v>1.0833333333333333</v>
      </c>
      <c r="J14" s="56">
        <v>1.1666666666666667</v>
      </c>
      <c r="K14" s="90">
        <f>SUM(E14:J14)</f>
        <v>6.3333333333333339</v>
      </c>
      <c r="L14" s="73">
        <v>6.333333333333333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10"/>
      <c r="C15" s="55"/>
      <c r="D15" s="89"/>
      <c r="E15" s="40">
        <v>0.91666666666666663</v>
      </c>
      <c r="F15" s="11">
        <v>1.0833333333333333</v>
      </c>
      <c r="G15" s="11">
        <v>0.375</v>
      </c>
      <c r="H15" s="11">
        <v>1.6666666666666667</v>
      </c>
      <c r="I15" s="40">
        <v>0.91666666666666663</v>
      </c>
      <c r="J15" s="56">
        <v>2</v>
      </c>
      <c r="K15" s="90">
        <f t="shared" ref="K15:K22" si="0">SUM(E15:J15)</f>
        <v>6.9583333333333339</v>
      </c>
      <c r="L15" s="73">
        <v>6.958333333333333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10"/>
      <c r="C16" s="55"/>
      <c r="D16" s="89"/>
      <c r="E16" s="40">
        <v>0.5</v>
      </c>
      <c r="F16" s="11">
        <v>0.41666666666666669</v>
      </c>
      <c r="G16" s="10"/>
      <c r="H16" s="11">
        <v>0.58333333333333337</v>
      </c>
      <c r="I16" s="39"/>
      <c r="J16" s="56">
        <v>0.58333333333333337</v>
      </c>
      <c r="K16" s="90">
        <f t="shared" si="0"/>
        <v>2.0833333333333335</v>
      </c>
      <c r="L16" s="73">
        <v>2.0833333333333335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10"/>
      <c r="C17" s="55"/>
      <c r="D17" s="89"/>
      <c r="E17" s="39"/>
      <c r="F17" s="10"/>
      <c r="G17" s="10"/>
      <c r="H17" s="10"/>
      <c r="I17" s="39"/>
      <c r="J17" s="55"/>
      <c r="K17" s="90"/>
      <c r="L17" s="7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10"/>
      <c r="C18" s="55"/>
      <c r="D18" s="89"/>
      <c r="E18" s="39"/>
      <c r="F18" s="10"/>
      <c r="G18" s="10"/>
      <c r="H18" s="10"/>
      <c r="I18" s="39"/>
      <c r="J18" s="55"/>
      <c r="K18" s="90"/>
      <c r="L18" s="7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10"/>
      <c r="C19" s="55"/>
      <c r="D19" s="89"/>
      <c r="E19" s="39"/>
      <c r="F19" s="10"/>
      <c r="G19" s="10"/>
      <c r="H19" s="10"/>
      <c r="I19" s="39"/>
      <c r="J19" s="55"/>
      <c r="K19" s="90"/>
      <c r="L19" s="7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10"/>
      <c r="C20" s="55"/>
      <c r="D20" s="89"/>
      <c r="E20" s="39"/>
      <c r="F20" s="10"/>
      <c r="G20" s="10"/>
      <c r="H20" s="10"/>
      <c r="I20" s="39"/>
      <c r="J20" s="55"/>
      <c r="K20" s="90"/>
      <c r="L20" s="7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10"/>
      <c r="C21" s="55"/>
      <c r="D21" s="89"/>
      <c r="E21" s="39"/>
      <c r="F21" s="10"/>
      <c r="G21" s="10"/>
      <c r="H21" s="10"/>
      <c r="I21" s="39"/>
      <c r="J21" s="55"/>
      <c r="K21" s="90"/>
      <c r="L21" s="72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21</v>
      </c>
      <c r="B22" s="26">
        <v>0.125</v>
      </c>
      <c r="C22" s="100"/>
      <c r="D22" s="101">
        <f>SUM(B22:C22)</f>
        <v>0.125</v>
      </c>
      <c r="E22" s="41">
        <v>0.125</v>
      </c>
      <c r="F22" s="26">
        <v>0.125</v>
      </c>
      <c r="G22" s="26">
        <v>4.1666666666666664E-2</v>
      </c>
      <c r="H22" s="26">
        <v>0.25</v>
      </c>
      <c r="I22" s="41">
        <v>4.1666666666666664E-2</v>
      </c>
      <c r="J22" s="57">
        <v>0.125</v>
      </c>
      <c r="K22" s="90">
        <f t="shared" si="0"/>
        <v>0.70833333333333337</v>
      </c>
      <c r="L22" s="74">
        <v>0.83333333333333337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26</v>
      </c>
      <c r="B23" s="27">
        <v>365000</v>
      </c>
      <c r="C23" s="58">
        <v>0</v>
      </c>
      <c r="D23" s="91">
        <f>SUM(B23:C23)</f>
        <v>365000</v>
      </c>
      <c r="E23" s="42">
        <v>177000</v>
      </c>
      <c r="F23" s="27">
        <v>187000</v>
      </c>
      <c r="G23" s="27">
        <v>187000</v>
      </c>
      <c r="H23" s="27">
        <v>177000</v>
      </c>
      <c r="I23" s="42">
        <v>187000</v>
      </c>
      <c r="J23" s="58">
        <v>170000</v>
      </c>
      <c r="K23" s="91">
        <f>SUM(E23:J23)</f>
        <v>1085000</v>
      </c>
      <c r="L23" s="75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27</v>
      </c>
      <c r="B24" s="10">
        <v>0</v>
      </c>
      <c r="C24" s="55">
        <v>0</v>
      </c>
      <c r="D24" s="89">
        <f t="shared" ref="D24:D74" si="1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89">
        <f t="shared" ref="K24:K74" si="2">SUM(E24:J24)</f>
        <v>5000</v>
      </c>
      <c r="L24" s="7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28</v>
      </c>
      <c r="B25" s="10">
        <v>0</v>
      </c>
      <c r="C25" s="55">
        <v>0</v>
      </c>
      <c r="D25" s="89">
        <f t="shared" si="1"/>
        <v>0</v>
      </c>
      <c r="E25" s="39">
        <v>0</v>
      </c>
      <c r="F25" s="10">
        <v>0</v>
      </c>
      <c r="G25" s="10">
        <v>0</v>
      </c>
      <c r="H25" s="10">
        <v>6000</v>
      </c>
      <c r="I25" s="39">
        <v>0</v>
      </c>
      <c r="J25" s="55">
        <v>0</v>
      </c>
      <c r="K25" s="89">
        <f t="shared" si="2"/>
        <v>6000</v>
      </c>
      <c r="L25" s="7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10">
        <v>0</v>
      </c>
      <c r="C26" s="55">
        <v>0</v>
      </c>
      <c r="D26" s="89">
        <f t="shared" si="1"/>
        <v>0</v>
      </c>
      <c r="E26" s="39">
        <v>0</v>
      </c>
      <c r="F26" s="10">
        <v>0</v>
      </c>
      <c r="G26" s="10">
        <v>0</v>
      </c>
      <c r="H26" s="10">
        <v>0</v>
      </c>
      <c r="I26" s="39">
        <v>0</v>
      </c>
      <c r="J26" s="55">
        <v>0</v>
      </c>
      <c r="K26" s="89">
        <f t="shared" si="2"/>
        <v>0</v>
      </c>
      <c r="L26" s="72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10">
        <v>0</v>
      </c>
      <c r="C27" s="55">
        <v>0</v>
      </c>
      <c r="D27" s="89">
        <f t="shared" si="1"/>
        <v>0</v>
      </c>
      <c r="E27" s="39">
        <v>66250</v>
      </c>
      <c r="F27" s="10">
        <v>71900</v>
      </c>
      <c r="G27" s="10">
        <v>72800</v>
      </c>
      <c r="H27" s="10">
        <v>50690</v>
      </c>
      <c r="I27" s="39">
        <v>60200</v>
      </c>
      <c r="J27" s="55">
        <v>40736</v>
      </c>
      <c r="K27" s="89">
        <f t="shared" si="2"/>
        <v>362576</v>
      </c>
      <c r="L27" s="72">
        <v>362576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10">
        <v>0</v>
      </c>
      <c r="C28" s="55">
        <v>0</v>
      </c>
      <c r="D28" s="89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89">
        <f t="shared" si="2"/>
        <v>0</v>
      </c>
      <c r="L28" s="7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10">
        <v>0</v>
      </c>
      <c r="C29" s="55">
        <v>0</v>
      </c>
      <c r="D29" s="89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89">
        <f t="shared" si="2"/>
        <v>0</v>
      </c>
      <c r="L29" s="7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10">
        <v>0</v>
      </c>
      <c r="C30" s="55">
        <v>0</v>
      </c>
      <c r="D30" s="89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89">
        <f t="shared" si="2"/>
        <v>0</v>
      </c>
      <c r="L30" s="7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10">
        <v>0</v>
      </c>
      <c r="C31" s="55">
        <v>81975</v>
      </c>
      <c r="D31" s="89">
        <f t="shared" si="1"/>
        <v>81975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89">
        <f t="shared" si="2"/>
        <v>0</v>
      </c>
      <c r="L31" s="72">
        <v>81975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10">
        <v>0</v>
      </c>
      <c r="C32" s="55">
        <v>0</v>
      </c>
      <c r="D32" s="89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89">
        <f t="shared" si="2"/>
        <v>0</v>
      </c>
      <c r="L32" s="7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10">
        <v>0</v>
      </c>
      <c r="C33" s="55">
        <v>0</v>
      </c>
      <c r="D33" s="89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89">
        <f t="shared" si="2"/>
        <v>0</v>
      </c>
      <c r="L33" s="7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10">
        <v>0</v>
      </c>
      <c r="C34" s="55">
        <v>0</v>
      </c>
      <c r="D34" s="89">
        <f t="shared" si="1"/>
        <v>0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89">
        <f t="shared" si="2"/>
        <v>0</v>
      </c>
      <c r="L34" s="72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10">
        <v>0</v>
      </c>
      <c r="C35" s="55">
        <v>0</v>
      </c>
      <c r="D35" s="89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89">
        <f t="shared" si="2"/>
        <v>0</v>
      </c>
      <c r="L35" s="7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10">
        <v>0</v>
      </c>
      <c r="C36" s="55">
        <v>0</v>
      </c>
      <c r="D36" s="89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89">
        <f t="shared" si="2"/>
        <v>0</v>
      </c>
      <c r="L36" s="7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10">
        <v>0</v>
      </c>
      <c r="C37" s="55">
        <v>0</v>
      </c>
      <c r="D37" s="89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89">
        <f t="shared" si="2"/>
        <v>0</v>
      </c>
      <c r="L37" s="7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10">
        <v>0</v>
      </c>
      <c r="C38" s="55">
        <v>0</v>
      </c>
      <c r="D38" s="89">
        <f t="shared" si="1"/>
        <v>0</v>
      </c>
      <c r="E38" s="39">
        <v>0</v>
      </c>
      <c r="F38" s="10">
        <v>0</v>
      </c>
      <c r="G38" s="10">
        <v>0</v>
      </c>
      <c r="H38" s="10">
        <v>0</v>
      </c>
      <c r="I38" s="39">
        <v>0</v>
      </c>
      <c r="J38" s="55">
        <v>0</v>
      </c>
      <c r="K38" s="89">
        <f t="shared" si="2"/>
        <v>0</v>
      </c>
      <c r="L38" s="72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10">
        <v>4500</v>
      </c>
      <c r="C39" s="55">
        <v>0</v>
      </c>
      <c r="D39" s="89">
        <f t="shared" si="1"/>
        <v>4500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6000</v>
      </c>
      <c r="K39" s="89">
        <f t="shared" si="2"/>
        <v>6000</v>
      </c>
      <c r="L39" s="72">
        <v>10500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10">
        <v>0</v>
      </c>
      <c r="C40" s="55">
        <v>0</v>
      </c>
      <c r="D40" s="89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89">
        <f t="shared" si="2"/>
        <v>0</v>
      </c>
      <c r="L40" s="7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10">
        <v>0</v>
      </c>
      <c r="C41" s="55">
        <v>0</v>
      </c>
      <c r="D41" s="89">
        <f t="shared" si="1"/>
        <v>0</v>
      </c>
      <c r="E41" s="39">
        <v>-25404</v>
      </c>
      <c r="F41" s="10">
        <v>-18372</v>
      </c>
      <c r="G41" s="10">
        <v>-62629</v>
      </c>
      <c r="H41" s="10">
        <v>-35020</v>
      </c>
      <c r="I41" s="39">
        <v>-26841</v>
      </c>
      <c r="J41" s="55">
        <v>-24399</v>
      </c>
      <c r="K41" s="89">
        <f t="shared" si="2"/>
        <v>-192665</v>
      </c>
      <c r="L41" s="72">
        <v>-192665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10">
        <v>0</v>
      </c>
      <c r="C42" s="55">
        <v>0</v>
      </c>
      <c r="D42" s="89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89">
        <f t="shared" si="2"/>
        <v>0</v>
      </c>
      <c r="L42" s="7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13</v>
      </c>
      <c r="B43" s="10">
        <v>0</v>
      </c>
      <c r="C43" s="55">
        <v>0</v>
      </c>
      <c r="D43" s="89">
        <f t="shared" si="1"/>
        <v>0</v>
      </c>
      <c r="E43" s="39">
        <v>37100</v>
      </c>
      <c r="F43" s="10">
        <v>27322</v>
      </c>
      <c r="G43" s="10">
        <v>23800</v>
      </c>
      <c r="H43" s="10">
        <v>46580</v>
      </c>
      <c r="I43" s="39">
        <v>36400</v>
      </c>
      <c r="J43" s="55">
        <v>35644</v>
      </c>
      <c r="K43" s="89">
        <f t="shared" si="2"/>
        <v>206846</v>
      </c>
      <c r="L43" s="72">
        <v>206846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6</v>
      </c>
      <c r="B44" s="10">
        <v>0</v>
      </c>
      <c r="C44" s="55">
        <v>0</v>
      </c>
      <c r="D44" s="89">
        <f t="shared" si="1"/>
        <v>0</v>
      </c>
      <c r="E44" s="39">
        <v>31482</v>
      </c>
      <c r="F44" s="10">
        <v>40378</v>
      </c>
      <c r="G44" s="10">
        <v>13608</v>
      </c>
      <c r="H44" s="10">
        <v>59200</v>
      </c>
      <c r="I44" s="39">
        <v>33264</v>
      </c>
      <c r="J44" s="55">
        <v>65952</v>
      </c>
      <c r="K44" s="89">
        <f t="shared" si="2"/>
        <v>243884</v>
      </c>
      <c r="L44" s="72">
        <v>243884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7</v>
      </c>
      <c r="B45" s="10">
        <v>0</v>
      </c>
      <c r="C45" s="55">
        <v>0</v>
      </c>
      <c r="D45" s="89">
        <f t="shared" si="1"/>
        <v>0</v>
      </c>
      <c r="E45" s="39">
        <v>17172</v>
      </c>
      <c r="F45" s="10">
        <v>15530</v>
      </c>
      <c r="G45" s="10">
        <v>0</v>
      </c>
      <c r="H45" s="10">
        <v>20720</v>
      </c>
      <c r="I45" s="39">
        <v>0</v>
      </c>
      <c r="J45" s="55">
        <v>19236</v>
      </c>
      <c r="K45" s="89">
        <f t="shared" si="2"/>
        <v>72658</v>
      </c>
      <c r="L45" s="72">
        <v>72658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46</v>
      </c>
      <c r="B46" s="10">
        <v>0</v>
      </c>
      <c r="C46" s="55">
        <v>0</v>
      </c>
      <c r="D46" s="89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89">
        <f t="shared" si="2"/>
        <v>0</v>
      </c>
      <c r="L46" s="7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47</v>
      </c>
      <c r="B47" s="10">
        <v>0</v>
      </c>
      <c r="C47" s="55">
        <v>0</v>
      </c>
      <c r="D47" s="89">
        <f t="shared" si="1"/>
        <v>0</v>
      </c>
      <c r="E47" s="39">
        <v>25404</v>
      </c>
      <c r="F47" s="10">
        <v>18372</v>
      </c>
      <c r="G47" s="10">
        <v>62629</v>
      </c>
      <c r="H47" s="10">
        <v>35020</v>
      </c>
      <c r="I47" s="39">
        <v>26841</v>
      </c>
      <c r="J47" s="55">
        <v>24399</v>
      </c>
      <c r="K47" s="89">
        <f t="shared" si="2"/>
        <v>192665</v>
      </c>
      <c r="L47" s="72">
        <v>192665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17</v>
      </c>
      <c r="B48" s="10">
        <v>0</v>
      </c>
      <c r="C48" s="55">
        <v>0</v>
      </c>
      <c r="D48" s="89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89">
        <f t="shared" si="2"/>
        <v>0</v>
      </c>
      <c r="L48" s="7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48</v>
      </c>
      <c r="B49" s="12">
        <v>0</v>
      </c>
      <c r="C49" s="59">
        <v>0</v>
      </c>
      <c r="D49" s="92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92">
        <f t="shared" si="2"/>
        <v>0</v>
      </c>
      <c r="L49" s="7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21</v>
      </c>
      <c r="B50" s="12">
        <v>1641</v>
      </c>
      <c r="C50" s="59">
        <v>0</v>
      </c>
      <c r="D50" s="92">
        <f t="shared" si="1"/>
        <v>1641</v>
      </c>
      <c r="E50" s="43">
        <v>795</v>
      </c>
      <c r="F50" s="12">
        <v>864</v>
      </c>
      <c r="G50" s="12">
        <v>280</v>
      </c>
      <c r="H50" s="12">
        <v>1644</v>
      </c>
      <c r="I50" s="43">
        <v>280</v>
      </c>
      <c r="J50" s="59">
        <v>765</v>
      </c>
      <c r="K50" s="92">
        <f t="shared" si="2"/>
        <v>4628</v>
      </c>
      <c r="L50" s="76">
        <v>6269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49</v>
      </c>
      <c r="B51" s="30">
        <v>371141</v>
      </c>
      <c r="C51" s="60">
        <v>81975</v>
      </c>
      <c r="D51" s="93">
        <f t="shared" si="1"/>
        <v>453116</v>
      </c>
      <c r="E51" s="44">
        <v>329799</v>
      </c>
      <c r="F51" s="30">
        <v>347994</v>
      </c>
      <c r="G51" s="30">
        <v>297488</v>
      </c>
      <c r="H51" s="30">
        <v>361834</v>
      </c>
      <c r="I51" s="44">
        <v>317144</v>
      </c>
      <c r="J51" s="60">
        <v>338333</v>
      </c>
      <c r="K51" s="93">
        <f t="shared" si="2"/>
        <v>1992592</v>
      </c>
      <c r="L51" s="77">
        <v>2445708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50</v>
      </c>
      <c r="B52" s="29">
        <v>4170</v>
      </c>
      <c r="C52" s="61">
        <v>2526</v>
      </c>
      <c r="D52" s="94">
        <f t="shared" si="1"/>
        <v>6696</v>
      </c>
      <c r="E52" s="45">
        <v>3809</v>
      </c>
      <c r="F52" s="29">
        <v>3789</v>
      </c>
      <c r="G52" s="29">
        <v>2346</v>
      </c>
      <c r="H52" s="29">
        <v>6816</v>
      </c>
      <c r="I52" s="45">
        <v>3609</v>
      </c>
      <c r="J52" s="61">
        <v>10585</v>
      </c>
      <c r="K52" s="94">
        <f t="shared" si="2"/>
        <v>30954</v>
      </c>
      <c r="L52" s="78">
        <v>37650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51</v>
      </c>
      <c r="B53" s="32">
        <v>4170</v>
      </c>
      <c r="C53" s="62">
        <v>2526</v>
      </c>
      <c r="D53" s="95">
        <f t="shared" si="1"/>
        <v>6696</v>
      </c>
      <c r="E53" s="46">
        <v>3809</v>
      </c>
      <c r="F53" s="32">
        <v>3789</v>
      </c>
      <c r="G53" s="32">
        <v>2346</v>
      </c>
      <c r="H53" s="32">
        <v>6816</v>
      </c>
      <c r="I53" s="46">
        <v>3609</v>
      </c>
      <c r="J53" s="62">
        <v>10585</v>
      </c>
      <c r="K53" s="95">
        <f t="shared" si="2"/>
        <v>30954</v>
      </c>
      <c r="L53" s="79">
        <v>37650</v>
      </c>
    </row>
    <row r="54" spans="1:19" ht="14.25" thickBot="1" x14ac:dyDescent="0.2">
      <c r="A54" s="33" t="s">
        <v>52</v>
      </c>
      <c r="B54" s="34">
        <v>375311</v>
      </c>
      <c r="C54" s="63">
        <v>84501</v>
      </c>
      <c r="D54" s="96">
        <f t="shared" si="1"/>
        <v>459812</v>
      </c>
      <c r="E54" s="47">
        <v>333608</v>
      </c>
      <c r="F54" s="34">
        <v>351783</v>
      </c>
      <c r="G54" s="34">
        <v>299834</v>
      </c>
      <c r="H54" s="34">
        <v>368650</v>
      </c>
      <c r="I54" s="47">
        <v>320753</v>
      </c>
      <c r="J54" s="63">
        <v>348918</v>
      </c>
      <c r="K54" s="96">
        <f t="shared" si="2"/>
        <v>2023546</v>
      </c>
      <c r="L54" s="80">
        <v>2483358</v>
      </c>
    </row>
    <row r="55" spans="1:19" x14ac:dyDescent="0.15">
      <c r="A55" s="28" t="s">
        <v>53</v>
      </c>
      <c r="B55" s="29">
        <v>18360</v>
      </c>
      <c r="C55" s="61">
        <v>0</v>
      </c>
      <c r="D55" s="94">
        <f t="shared" si="1"/>
        <v>18360</v>
      </c>
      <c r="E55" s="45">
        <v>15300</v>
      </c>
      <c r="F55" s="29">
        <v>18360</v>
      </c>
      <c r="G55" s="29">
        <v>16320</v>
      </c>
      <c r="H55" s="29">
        <v>16320</v>
      </c>
      <c r="I55" s="45">
        <v>16320</v>
      </c>
      <c r="J55" s="61">
        <v>13260</v>
      </c>
      <c r="K55" s="94">
        <f t="shared" si="2"/>
        <v>95880</v>
      </c>
      <c r="L55" s="78">
        <v>114240</v>
      </c>
    </row>
    <row r="56" spans="1:19" x14ac:dyDescent="0.15">
      <c r="A56" s="16" t="s">
        <v>54</v>
      </c>
      <c r="B56" s="12">
        <v>3240</v>
      </c>
      <c r="C56" s="59">
        <v>0</v>
      </c>
      <c r="D56" s="92">
        <f t="shared" si="1"/>
        <v>3240</v>
      </c>
      <c r="E56" s="43">
        <v>0</v>
      </c>
      <c r="F56" s="12">
        <v>3240</v>
      </c>
      <c r="G56" s="12">
        <v>2880</v>
      </c>
      <c r="H56" s="12">
        <v>2880</v>
      </c>
      <c r="I56" s="43">
        <v>2880</v>
      </c>
      <c r="J56" s="59">
        <v>2340</v>
      </c>
      <c r="K56" s="92">
        <f t="shared" si="2"/>
        <v>14220</v>
      </c>
      <c r="L56" s="76">
        <v>17460</v>
      </c>
    </row>
    <row r="57" spans="1:19" x14ac:dyDescent="0.15">
      <c r="A57" s="16" t="s">
        <v>55</v>
      </c>
      <c r="B57" s="12">
        <v>32940</v>
      </c>
      <c r="C57" s="59">
        <v>0</v>
      </c>
      <c r="D57" s="92">
        <f t="shared" si="1"/>
        <v>32940</v>
      </c>
      <c r="E57" s="43">
        <v>27450</v>
      </c>
      <c r="F57" s="12">
        <v>32940</v>
      </c>
      <c r="G57" s="12">
        <v>29280</v>
      </c>
      <c r="H57" s="12">
        <v>29280</v>
      </c>
      <c r="I57" s="43">
        <v>29280</v>
      </c>
      <c r="J57" s="59">
        <v>23790</v>
      </c>
      <c r="K57" s="92">
        <f t="shared" si="2"/>
        <v>172020</v>
      </c>
      <c r="L57" s="76">
        <v>204960</v>
      </c>
    </row>
    <row r="58" spans="1:19" x14ac:dyDescent="0.15">
      <c r="A58" s="16" t="s">
        <v>56</v>
      </c>
      <c r="B58" s="12">
        <v>0</v>
      </c>
      <c r="C58" s="59">
        <v>0</v>
      </c>
      <c r="D58" s="92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92">
        <f t="shared" si="2"/>
        <v>0</v>
      </c>
      <c r="L58" s="76">
        <v>0</v>
      </c>
    </row>
    <row r="59" spans="1:19" x14ac:dyDescent="0.15">
      <c r="A59" s="16" t="s">
        <v>57</v>
      </c>
      <c r="B59" s="12">
        <v>1126</v>
      </c>
      <c r="C59" s="59">
        <v>254</v>
      </c>
      <c r="D59" s="92">
        <f t="shared" si="1"/>
        <v>1380</v>
      </c>
      <c r="E59" s="43">
        <v>1001</v>
      </c>
      <c r="F59" s="12">
        <v>1055</v>
      </c>
      <c r="G59" s="12">
        <v>900</v>
      </c>
      <c r="H59" s="12">
        <v>1106</v>
      </c>
      <c r="I59" s="43">
        <v>962</v>
      </c>
      <c r="J59" s="59">
        <v>1047</v>
      </c>
      <c r="K59" s="92">
        <f t="shared" si="2"/>
        <v>6071</v>
      </c>
      <c r="L59" s="76">
        <v>7451</v>
      </c>
    </row>
    <row r="60" spans="1:19" x14ac:dyDescent="0.15">
      <c r="A60" s="16" t="s">
        <v>58</v>
      </c>
      <c r="B60" s="12">
        <v>0</v>
      </c>
      <c r="C60" s="59">
        <v>0</v>
      </c>
      <c r="D60" s="92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92">
        <f t="shared" si="2"/>
        <v>0</v>
      </c>
      <c r="L60" s="76">
        <v>0</v>
      </c>
    </row>
    <row r="61" spans="1:19" ht="14.25" thickBot="1" x14ac:dyDescent="0.2">
      <c r="A61" s="31" t="s">
        <v>59</v>
      </c>
      <c r="B61" s="32">
        <v>55666</v>
      </c>
      <c r="C61" s="62">
        <v>254</v>
      </c>
      <c r="D61" s="95">
        <f t="shared" si="1"/>
        <v>55920</v>
      </c>
      <c r="E61" s="46">
        <v>43751</v>
      </c>
      <c r="F61" s="32">
        <v>55595</v>
      </c>
      <c r="G61" s="32">
        <v>49380</v>
      </c>
      <c r="H61" s="32">
        <v>49586</v>
      </c>
      <c r="I61" s="46">
        <v>49442</v>
      </c>
      <c r="J61" s="62">
        <v>40437</v>
      </c>
      <c r="K61" s="95">
        <f t="shared" si="2"/>
        <v>288191</v>
      </c>
      <c r="L61" s="79">
        <v>344111</v>
      </c>
    </row>
    <row r="62" spans="1:19" ht="14.25" thickBot="1" x14ac:dyDescent="0.2">
      <c r="A62" s="33" t="s">
        <v>60</v>
      </c>
      <c r="B62" s="34">
        <v>315475</v>
      </c>
      <c r="C62" s="63">
        <v>81721</v>
      </c>
      <c r="D62" s="96">
        <f t="shared" si="1"/>
        <v>397196</v>
      </c>
      <c r="E62" s="47">
        <v>286048</v>
      </c>
      <c r="F62" s="34">
        <v>292399</v>
      </c>
      <c r="G62" s="34">
        <v>248108</v>
      </c>
      <c r="H62" s="34">
        <v>312248</v>
      </c>
      <c r="I62" s="47">
        <v>267702</v>
      </c>
      <c r="J62" s="63">
        <v>297896</v>
      </c>
      <c r="K62" s="96">
        <f t="shared" si="2"/>
        <v>1704401</v>
      </c>
      <c r="L62" s="80">
        <v>2101597</v>
      </c>
    </row>
    <row r="63" spans="1:19" x14ac:dyDescent="0.15">
      <c r="A63" s="28" t="s">
        <v>61</v>
      </c>
      <c r="B63" s="29">
        <v>9640</v>
      </c>
      <c r="C63" s="61">
        <v>0</v>
      </c>
      <c r="D63" s="94">
        <f t="shared" si="1"/>
        <v>9640</v>
      </c>
      <c r="E63" s="45">
        <v>7840</v>
      </c>
      <c r="F63" s="29">
        <v>8070</v>
      </c>
      <c r="G63" s="29">
        <v>4870</v>
      </c>
      <c r="H63" s="29">
        <v>9380</v>
      </c>
      <c r="I63" s="45">
        <v>5570</v>
      </c>
      <c r="J63" s="61">
        <v>6650</v>
      </c>
      <c r="K63" s="94">
        <f t="shared" si="2"/>
        <v>42380</v>
      </c>
      <c r="L63" s="78">
        <v>52020</v>
      </c>
    </row>
    <row r="64" spans="1:19" x14ac:dyDescent="0.15">
      <c r="A64" s="16" t="s">
        <v>62</v>
      </c>
      <c r="B64" s="12">
        <v>0</v>
      </c>
      <c r="C64" s="59">
        <v>0</v>
      </c>
      <c r="D64" s="92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92">
        <f t="shared" si="2"/>
        <v>0</v>
      </c>
      <c r="L64" s="76">
        <v>0</v>
      </c>
    </row>
    <row r="65" spans="1:12" x14ac:dyDescent="0.15">
      <c r="A65" s="16" t="s">
        <v>63</v>
      </c>
      <c r="B65" s="12">
        <v>18600</v>
      </c>
      <c r="C65" s="59">
        <v>500</v>
      </c>
      <c r="D65" s="92">
        <f t="shared" si="1"/>
        <v>19100</v>
      </c>
      <c r="E65" s="43">
        <v>11400</v>
      </c>
      <c r="F65" s="12">
        <v>14000</v>
      </c>
      <c r="G65" s="12">
        <v>1500</v>
      </c>
      <c r="H65" s="12">
        <v>4000</v>
      </c>
      <c r="I65" s="43">
        <v>9700</v>
      </c>
      <c r="J65" s="59">
        <v>0</v>
      </c>
      <c r="K65" s="92">
        <f t="shared" si="2"/>
        <v>40600</v>
      </c>
      <c r="L65" s="76">
        <v>59700</v>
      </c>
    </row>
    <row r="66" spans="1:12" x14ac:dyDescent="0.15">
      <c r="A66" s="16" t="s">
        <v>64</v>
      </c>
      <c r="B66" s="12">
        <v>0</v>
      </c>
      <c r="C66" s="59">
        <v>0</v>
      </c>
      <c r="D66" s="92">
        <f t="shared" si="1"/>
        <v>0</v>
      </c>
      <c r="E66" s="43">
        <v>0</v>
      </c>
      <c r="F66" s="12">
        <v>0</v>
      </c>
      <c r="G66" s="12">
        <v>5000</v>
      </c>
      <c r="H66" s="12">
        <v>0</v>
      </c>
      <c r="I66" s="43">
        <v>0</v>
      </c>
      <c r="J66" s="59">
        <v>0</v>
      </c>
      <c r="K66" s="92">
        <f t="shared" si="2"/>
        <v>5000</v>
      </c>
      <c r="L66" s="76">
        <v>5000</v>
      </c>
    </row>
    <row r="67" spans="1:12" x14ac:dyDescent="0.15">
      <c r="A67" s="16" t="s">
        <v>65</v>
      </c>
      <c r="B67" s="12">
        <v>0</v>
      </c>
      <c r="C67" s="59">
        <v>0</v>
      </c>
      <c r="D67" s="92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92">
        <f t="shared" si="2"/>
        <v>0</v>
      </c>
      <c r="L67" s="76">
        <v>0</v>
      </c>
    </row>
    <row r="68" spans="1:12" x14ac:dyDescent="0.15">
      <c r="A68" s="16" t="s">
        <v>66</v>
      </c>
      <c r="B68" s="12">
        <v>0</v>
      </c>
      <c r="C68" s="59">
        <v>0</v>
      </c>
      <c r="D68" s="92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92">
        <f t="shared" si="2"/>
        <v>0</v>
      </c>
      <c r="L68" s="76">
        <v>0</v>
      </c>
    </row>
    <row r="69" spans="1:12" x14ac:dyDescent="0.15">
      <c r="A69" s="16" t="s">
        <v>67</v>
      </c>
      <c r="B69" s="12">
        <v>0</v>
      </c>
      <c r="C69" s="59">
        <v>0</v>
      </c>
      <c r="D69" s="92">
        <f t="shared" si="1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92">
        <f t="shared" si="2"/>
        <v>0</v>
      </c>
      <c r="L69" s="76">
        <v>0</v>
      </c>
    </row>
    <row r="70" spans="1:12" ht="14.25" thickBot="1" x14ac:dyDescent="0.2">
      <c r="A70" s="31" t="s">
        <v>68</v>
      </c>
      <c r="B70" s="32">
        <v>28240</v>
      </c>
      <c r="C70" s="62">
        <v>500</v>
      </c>
      <c r="D70" s="95">
        <f t="shared" si="1"/>
        <v>28740</v>
      </c>
      <c r="E70" s="46">
        <v>19240</v>
      </c>
      <c r="F70" s="32">
        <v>22070</v>
      </c>
      <c r="G70" s="32">
        <v>11370</v>
      </c>
      <c r="H70" s="32">
        <v>13380</v>
      </c>
      <c r="I70" s="46">
        <v>15270</v>
      </c>
      <c r="J70" s="62">
        <v>6650</v>
      </c>
      <c r="K70" s="95">
        <f t="shared" si="2"/>
        <v>87980</v>
      </c>
      <c r="L70" s="79">
        <v>116720</v>
      </c>
    </row>
    <row r="71" spans="1:12" ht="14.25" thickBot="1" x14ac:dyDescent="0.2">
      <c r="A71" s="33" t="s">
        <v>69</v>
      </c>
      <c r="B71" s="34">
        <v>83906</v>
      </c>
      <c r="C71" s="63">
        <v>754</v>
      </c>
      <c r="D71" s="96">
        <f t="shared" si="1"/>
        <v>84660</v>
      </c>
      <c r="E71" s="47">
        <v>62991</v>
      </c>
      <c r="F71" s="34">
        <v>77665</v>
      </c>
      <c r="G71" s="34">
        <v>60750</v>
      </c>
      <c r="H71" s="34">
        <v>62966</v>
      </c>
      <c r="I71" s="47">
        <v>64712</v>
      </c>
      <c r="J71" s="63">
        <v>47087</v>
      </c>
      <c r="K71" s="96">
        <f t="shared" si="2"/>
        <v>376171</v>
      </c>
      <c r="L71" s="80">
        <v>460831</v>
      </c>
    </row>
    <row r="72" spans="1:12" ht="14.25" thickBot="1" x14ac:dyDescent="0.2">
      <c r="A72" s="33" t="s">
        <v>70</v>
      </c>
      <c r="B72" s="34">
        <v>291405</v>
      </c>
      <c r="C72" s="63">
        <v>83747</v>
      </c>
      <c r="D72" s="96">
        <f t="shared" si="1"/>
        <v>375152</v>
      </c>
      <c r="E72" s="47">
        <v>270617</v>
      </c>
      <c r="F72" s="34">
        <v>274118</v>
      </c>
      <c r="G72" s="34">
        <v>239084</v>
      </c>
      <c r="H72" s="34">
        <v>305684</v>
      </c>
      <c r="I72" s="47">
        <v>256041</v>
      </c>
      <c r="J72" s="63">
        <v>301831</v>
      </c>
      <c r="K72" s="96">
        <f t="shared" si="2"/>
        <v>1647375</v>
      </c>
      <c r="L72" s="80">
        <v>2022527</v>
      </c>
    </row>
    <row r="73" spans="1:12" x14ac:dyDescent="0.15">
      <c r="A73" s="28" t="s">
        <v>71</v>
      </c>
      <c r="B73" s="29">
        <v>0</v>
      </c>
      <c r="C73" s="61">
        <v>0</v>
      </c>
      <c r="D73" s="94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94">
        <f t="shared" si="2"/>
        <v>0</v>
      </c>
      <c r="L73" s="78">
        <v>0</v>
      </c>
    </row>
    <row r="74" spans="1:12" x14ac:dyDescent="0.15">
      <c r="A74" s="16" t="s">
        <v>72</v>
      </c>
      <c r="B74" s="12">
        <v>291405</v>
      </c>
      <c r="C74" s="59">
        <v>83747</v>
      </c>
      <c r="D74" s="92">
        <f t="shared" si="1"/>
        <v>375152</v>
      </c>
      <c r="E74" s="43">
        <v>270617</v>
      </c>
      <c r="F74" s="12">
        <v>274118</v>
      </c>
      <c r="G74" s="12">
        <v>239084</v>
      </c>
      <c r="H74" s="12">
        <v>305684</v>
      </c>
      <c r="I74" s="43">
        <v>256041</v>
      </c>
      <c r="J74" s="59">
        <v>301831</v>
      </c>
      <c r="K74" s="92">
        <f t="shared" si="2"/>
        <v>1647375</v>
      </c>
      <c r="L74" s="76">
        <v>2022527</v>
      </c>
    </row>
    <row r="75" spans="1:12" x14ac:dyDescent="0.15">
      <c r="A75" s="16" t="s">
        <v>73</v>
      </c>
      <c r="B75" s="13">
        <v>21</v>
      </c>
      <c r="C75" s="64">
        <v>7</v>
      </c>
      <c r="D75" s="97"/>
      <c r="E75" s="48">
        <v>4</v>
      </c>
      <c r="F75" s="13">
        <v>10</v>
      </c>
      <c r="G75" s="13">
        <v>2</v>
      </c>
      <c r="H75" s="13">
        <v>14</v>
      </c>
      <c r="I75" s="48">
        <v>14</v>
      </c>
      <c r="J75" s="64">
        <v>8</v>
      </c>
      <c r="K75" s="97"/>
      <c r="L75" s="81">
        <v>80</v>
      </c>
    </row>
    <row r="76" spans="1:12" x14ac:dyDescent="0.15">
      <c r="A76" s="16" t="s">
        <v>74</v>
      </c>
      <c r="B76" s="14"/>
      <c r="C76" s="65"/>
      <c r="D76" s="98"/>
      <c r="E76" s="49"/>
      <c r="F76" s="14"/>
      <c r="G76" s="14">
        <v>1</v>
      </c>
      <c r="H76" s="14"/>
      <c r="I76" s="49">
        <v>1</v>
      </c>
      <c r="J76" s="65">
        <v>1</v>
      </c>
      <c r="K76" s="98"/>
      <c r="L76" s="82"/>
    </row>
    <row r="77" spans="1:12" ht="14.25" thickBot="1" x14ac:dyDescent="0.2">
      <c r="A77" s="17" t="s">
        <v>75</v>
      </c>
      <c r="B77" s="18" t="s">
        <v>76</v>
      </c>
      <c r="C77" s="66" t="s">
        <v>76</v>
      </c>
      <c r="D77" s="99"/>
      <c r="E77" s="50"/>
      <c r="F77" s="18" t="s">
        <v>76</v>
      </c>
      <c r="G77" s="18" t="s">
        <v>76</v>
      </c>
      <c r="H77" s="18" t="s">
        <v>76</v>
      </c>
      <c r="I77" s="50" t="s">
        <v>76</v>
      </c>
      <c r="J77" s="66" t="s">
        <v>76</v>
      </c>
      <c r="K77" s="99"/>
      <c r="L77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8574-560E-49D5-8F3F-1BB79B979391}">
  <sheetPr>
    <pageSetUpPr fitToPage="1"/>
  </sheetPr>
  <dimension ref="A1:AL77"/>
  <sheetViews>
    <sheetView tabSelected="1" zoomScale="80" zoomScaleNormal="80" workbookViewId="0">
      <selection activeCell="D35" sqref="D35"/>
    </sheetView>
  </sheetViews>
  <sheetFormatPr defaultRowHeight="13.5" x14ac:dyDescent="0.15"/>
  <cols>
    <col min="1" max="1" width="17.625" style="2" customWidth="1"/>
    <col min="2" max="12" width="11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7"/>
      <c r="D1" s="7"/>
      <c r="E1" s="7"/>
      <c r="F1" s="1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1" t="s">
        <v>3</v>
      </c>
      <c r="D3" s="84" t="s">
        <v>82</v>
      </c>
      <c r="E3" s="35" t="s">
        <v>3</v>
      </c>
      <c r="F3" s="20" t="s">
        <v>3</v>
      </c>
      <c r="G3" s="20" t="s">
        <v>3</v>
      </c>
      <c r="H3" s="20" t="s">
        <v>3</v>
      </c>
      <c r="I3" s="35" t="s">
        <v>3</v>
      </c>
      <c r="J3" s="51" t="s">
        <v>3</v>
      </c>
      <c r="K3" s="84" t="s">
        <v>82</v>
      </c>
      <c r="L3" s="67" t="s">
        <v>81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2">
        <v>1063</v>
      </c>
      <c r="D4" s="85"/>
      <c r="E4" s="36">
        <v>1056</v>
      </c>
      <c r="F4" s="22">
        <v>1059</v>
      </c>
      <c r="G4" s="22">
        <v>1061</v>
      </c>
      <c r="H4" s="22">
        <v>1067</v>
      </c>
      <c r="I4" s="36">
        <v>1071</v>
      </c>
      <c r="J4" s="52">
        <v>1092</v>
      </c>
      <c r="K4" s="85"/>
      <c r="L4" s="6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22</v>
      </c>
      <c r="C5" s="52" t="s">
        <v>79</v>
      </c>
      <c r="D5" s="86" t="s">
        <v>84</v>
      </c>
      <c r="E5" s="36" t="s">
        <v>4</v>
      </c>
      <c r="F5" s="22" t="s">
        <v>23</v>
      </c>
      <c r="G5" s="22" t="s">
        <v>24</v>
      </c>
      <c r="H5" s="22" t="s">
        <v>25</v>
      </c>
      <c r="I5" s="36" t="s">
        <v>77</v>
      </c>
      <c r="J5" s="52" t="s">
        <v>78</v>
      </c>
      <c r="K5" s="86" t="s">
        <v>83</v>
      </c>
      <c r="L5" s="69" t="s">
        <v>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4">
        <v>19</v>
      </c>
      <c r="C6" s="53">
        <v>18</v>
      </c>
      <c r="D6" s="87">
        <f>SUM(B6:C6)</f>
        <v>37</v>
      </c>
      <c r="E6" s="37">
        <v>16</v>
      </c>
      <c r="F6" s="24">
        <v>17</v>
      </c>
      <c r="G6" s="24">
        <v>12</v>
      </c>
      <c r="H6" s="24">
        <v>15</v>
      </c>
      <c r="I6" s="37">
        <v>16</v>
      </c>
      <c r="J6" s="53">
        <v>16</v>
      </c>
      <c r="K6" s="87">
        <f>SUM(E6:J6)</f>
        <v>92</v>
      </c>
      <c r="L6" s="70">
        <v>129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9">
        <v>4</v>
      </c>
      <c r="C7" s="55"/>
      <c r="D7" s="88">
        <f>SUM(B7:C7)</f>
        <v>4</v>
      </c>
      <c r="E7" s="38">
        <v>2</v>
      </c>
      <c r="F7" s="9">
        <v>3</v>
      </c>
      <c r="G7" s="9">
        <v>1</v>
      </c>
      <c r="H7" s="9">
        <v>3</v>
      </c>
      <c r="I7" s="38">
        <v>2</v>
      </c>
      <c r="J7" s="54">
        <v>4</v>
      </c>
      <c r="K7" s="88">
        <f>SUM(E7:J7)</f>
        <v>15</v>
      </c>
      <c r="L7" s="71">
        <v>19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9">
        <v>3</v>
      </c>
      <c r="C8" s="55"/>
      <c r="D8" s="88">
        <f>SUM(B8:C8)</f>
        <v>3</v>
      </c>
      <c r="E8" s="38">
        <v>1</v>
      </c>
      <c r="F8" s="9">
        <v>1</v>
      </c>
      <c r="G8" s="10"/>
      <c r="H8" s="9">
        <v>2</v>
      </c>
      <c r="I8" s="39"/>
      <c r="J8" s="54">
        <v>2</v>
      </c>
      <c r="K8" s="88">
        <f>SUM(E8:J8)</f>
        <v>6</v>
      </c>
      <c r="L8" s="71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10"/>
      <c r="C9" s="55"/>
      <c r="D9" s="89"/>
      <c r="E9" s="39"/>
      <c r="F9" s="10"/>
      <c r="G9" s="10"/>
      <c r="H9" s="10"/>
      <c r="I9" s="39"/>
      <c r="J9" s="55"/>
      <c r="K9" s="89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/>
      <c r="C10" s="55"/>
      <c r="D10" s="89"/>
      <c r="E10" s="39"/>
      <c r="F10" s="10"/>
      <c r="G10" s="10"/>
      <c r="H10" s="10"/>
      <c r="I10" s="39"/>
      <c r="J10" s="55"/>
      <c r="K10" s="89"/>
      <c r="L10" s="72"/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10"/>
      <c r="C11" s="55"/>
      <c r="D11" s="89"/>
      <c r="E11" s="39"/>
      <c r="F11" s="10"/>
      <c r="G11" s="10"/>
      <c r="H11" s="10"/>
      <c r="I11" s="39"/>
      <c r="J11" s="55"/>
      <c r="K11" s="89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11</v>
      </c>
      <c r="B12" s="10"/>
      <c r="C12" s="55"/>
      <c r="D12" s="89"/>
      <c r="E12" s="38">
        <v>3</v>
      </c>
      <c r="F12" s="9">
        <v>2</v>
      </c>
      <c r="G12" s="9">
        <v>7</v>
      </c>
      <c r="H12" s="9">
        <v>4</v>
      </c>
      <c r="I12" s="38">
        <v>3</v>
      </c>
      <c r="J12" s="54">
        <v>3</v>
      </c>
      <c r="K12" s="88">
        <f>SUM(E12:J12)</f>
        <v>22</v>
      </c>
      <c r="L12" s="71">
        <v>22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10"/>
      <c r="C13" s="56">
        <v>3.75</v>
      </c>
      <c r="D13" s="90">
        <f>SUM(B13:C13)</f>
        <v>3.75</v>
      </c>
      <c r="E13" s="39"/>
      <c r="F13" s="10"/>
      <c r="G13" s="10"/>
      <c r="H13" s="10"/>
      <c r="I13" s="39"/>
      <c r="J13" s="55"/>
      <c r="K13" s="89"/>
      <c r="L13" s="73">
        <v>3.75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10"/>
      <c r="C14" s="55"/>
      <c r="D14" s="89"/>
      <c r="E14" s="40">
        <v>1.1666666666666667</v>
      </c>
      <c r="F14" s="11">
        <v>0.79166666666666663</v>
      </c>
      <c r="G14" s="11">
        <v>0.70833333333333337</v>
      </c>
      <c r="H14" s="11">
        <v>1.4166666666666667</v>
      </c>
      <c r="I14" s="40">
        <v>1.0833333333333333</v>
      </c>
      <c r="J14" s="56">
        <v>1.1666666666666667</v>
      </c>
      <c r="K14" s="90">
        <f>SUM(E14:J14)</f>
        <v>6.3333333333333339</v>
      </c>
      <c r="L14" s="73">
        <v>6.333333333333333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10"/>
      <c r="C15" s="55"/>
      <c r="D15" s="89"/>
      <c r="E15" s="40">
        <v>0.91666666666666663</v>
      </c>
      <c r="F15" s="11">
        <v>1.0833333333333333</v>
      </c>
      <c r="G15" s="11">
        <v>0.375</v>
      </c>
      <c r="H15" s="11">
        <v>1.6666666666666667</v>
      </c>
      <c r="I15" s="40">
        <v>0.91666666666666663</v>
      </c>
      <c r="J15" s="56">
        <v>2</v>
      </c>
      <c r="K15" s="90">
        <f t="shared" ref="K15:K22" si="0">SUM(E15:J15)</f>
        <v>6.9583333333333339</v>
      </c>
      <c r="L15" s="73">
        <v>6.958333333333333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10"/>
      <c r="C16" s="55"/>
      <c r="D16" s="89"/>
      <c r="E16" s="40">
        <v>0.5</v>
      </c>
      <c r="F16" s="11">
        <v>0.41666666666666669</v>
      </c>
      <c r="G16" s="10"/>
      <c r="H16" s="11">
        <v>0.58333333333333337</v>
      </c>
      <c r="I16" s="39"/>
      <c r="J16" s="56">
        <v>0.58333333333333337</v>
      </c>
      <c r="K16" s="90">
        <f t="shared" si="0"/>
        <v>2.0833333333333335</v>
      </c>
      <c r="L16" s="73">
        <v>2.0833333333333335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10"/>
      <c r="C17" s="55"/>
      <c r="D17" s="89"/>
      <c r="E17" s="39"/>
      <c r="F17" s="10"/>
      <c r="G17" s="10"/>
      <c r="H17" s="10"/>
      <c r="I17" s="39"/>
      <c r="J17" s="55"/>
      <c r="K17" s="90"/>
      <c r="L17" s="7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10"/>
      <c r="C18" s="55"/>
      <c r="D18" s="89"/>
      <c r="E18" s="39"/>
      <c r="F18" s="10"/>
      <c r="G18" s="10"/>
      <c r="H18" s="10"/>
      <c r="I18" s="39"/>
      <c r="J18" s="55"/>
      <c r="K18" s="90"/>
      <c r="L18" s="7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10"/>
      <c r="C19" s="55"/>
      <c r="D19" s="89"/>
      <c r="E19" s="39"/>
      <c r="F19" s="10"/>
      <c r="G19" s="10"/>
      <c r="H19" s="10"/>
      <c r="I19" s="39"/>
      <c r="J19" s="55"/>
      <c r="K19" s="90"/>
      <c r="L19" s="7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10"/>
      <c r="C20" s="55"/>
      <c r="D20" s="89"/>
      <c r="E20" s="39"/>
      <c r="F20" s="10"/>
      <c r="G20" s="10"/>
      <c r="H20" s="10"/>
      <c r="I20" s="39"/>
      <c r="J20" s="55"/>
      <c r="K20" s="90"/>
      <c r="L20" s="7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10"/>
      <c r="C21" s="55"/>
      <c r="D21" s="89"/>
      <c r="E21" s="39"/>
      <c r="F21" s="10"/>
      <c r="G21" s="10"/>
      <c r="H21" s="10"/>
      <c r="I21" s="39"/>
      <c r="J21" s="55"/>
      <c r="K21" s="90"/>
      <c r="L21" s="72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21</v>
      </c>
      <c r="B22" s="26">
        <v>0.125</v>
      </c>
      <c r="C22" s="100"/>
      <c r="D22" s="101">
        <f>SUM(B22:C22)</f>
        <v>0.125</v>
      </c>
      <c r="E22" s="41">
        <v>0.125</v>
      </c>
      <c r="F22" s="26">
        <v>0.125</v>
      </c>
      <c r="G22" s="26">
        <v>4.1666666666666664E-2</v>
      </c>
      <c r="H22" s="26">
        <v>0.25</v>
      </c>
      <c r="I22" s="41">
        <v>4.1666666666666664E-2</v>
      </c>
      <c r="J22" s="57">
        <v>0.125</v>
      </c>
      <c r="K22" s="90">
        <f t="shared" si="0"/>
        <v>0.70833333333333337</v>
      </c>
      <c r="L22" s="74">
        <v>0.83333333333333337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26</v>
      </c>
      <c r="B23" s="27">
        <v>365000</v>
      </c>
      <c r="C23" s="58">
        <v>0</v>
      </c>
      <c r="D23" s="91">
        <f>SUM(B23:C23)</f>
        <v>365000</v>
      </c>
      <c r="E23" s="42">
        <v>177000</v>
      </c>
      <c r="F23" s="27">
        <v>187000</v>
      </c>
      <c r="G23" s="27">
        <v>187000</v>
      </c>
      <c r="H23" s="27">
        <v>177000</v>
      </c>
      <c r="I23" s="42">
        <v>187000</v>
      </c>
      <c r="J23" s="58">
        <v>170000</v>
      </c>
      <c r="K23" s="91">
        <f>SUM(E23:J23)</f>
        <v>1085000</v>
      </c>
      <c r="L23" s="75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27</v>
      </c>
      <c r="B24" s="10">
        <v>0</v>
      </c>
      <c r="C24" s="55">
        <v>0</v>
      </c>
      <c r="D24" s="89">
        <f t="shared" ref="D24:D74" si="1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89">
        <f t="shared" ref="K24:K74" si="2">SUM(E24:J24)</f>
        <v>5000</v>
      </c>
      <c r="L24" s="7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28</v>
      </c>
      <c r="B25" s="10">
        <v>0</v>
      </c>
      <c r="C25" s="55">
        <v>0</v>
      </c>
      <c r="D25" s="89">
        <f t="shared" si="1"/>
        <v>0</v>
      </c>
      <c r="E25" s="39">
        <v>0</v>
      </c>
      <c r="F25" s="10">
        <v>0</v>
      </c>
      <c r="G25" s="10">
        <v>0</v>
      </c>
      <c r="H25" s="10">
        <v>6000</v>
      </c>
      <c r="I25" s="39">
        <v>0</v>
      </c>
      <c r="J25" s="55">
        <v>0</v>
      </c>
      <c r="K25" s="89">
        <f t="shared" si="2"/>
        <v>6000</v>
      </c>
      <c r="L25" s="7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10">
        <v>0</v>
      </c>
      <c r="C26" s="55">
        <v>0</v>
      </c>
      <c r="D26" s="89">
        <f t="shared" si="1"/>
        <v>0</v>
      </c>
      <c r="E26" s="39">
        <v>0</v>
      </c>
      <c r="F26" s="10">
        <v>0</v>
      </c>
      <c r="G26" s="10">
        <v>0</v>
      </c>
      <c r="H26" s="10">
        <v>0</v>
      </c>
      <c r="I26" s="39">
        <v>0</v>
      </c>
      <c r="J26" s="55">
        <v>0</v>
      </c>
      <c r="K26" s="89">
        <f t="shared" si="2"/>
        <v>0</v>
      </c>
      <c r="L26" s="72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10">
        <v>0</v>
      </c>
      <c r="C27" s="55">
        <v>0</v>
      </c>
      <c r="D27" s="89">
        <f t="shared" si="1"/>
        <v>0</v>
      </c>
      <c r="E27" s="39">
        <v>66250</v>
      </c>
      <c r="F27" s="10">
        <v>71900</v>
      </c>
      <c r="G27" s="10">
        <v>72800</v>
      </c>
      <c r="H27" s="10">
        <v>50690</v>
      </c>
      <c r="I27" s="39">
        <v>60200</v>
      </c>
      <c r="J27" s="55">
        <v>40736</v>
      </c>
      <c r="K27" s="89">
        <f t="shared" si="2"/>
        <v>362576</v>
      </c>
      <c r="L27" s="72">
        <v>362576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10">
        <v>0</v>
      </c>
      <c r="C28" s="55">
        <v>0</v>
      </c>
      <c r="D28" s="89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89">
        <f t="shared" si="2"/>
        <v>0</v>
      </c>
      <c r="L28" s="7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10">
        <v>0</v>
      </c>
      <c r="C29" s="55">
        <v>0</v>
      </c>
      <c r="D29" s="89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89">
        <f t="shared" si="2"/>
        <v>0</v>
      </c>
      <c r="L29" s="7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10">
        <v>0</v>
      </c>
      <c r="C30" s="55">
        <v>0</v>
      </c>
      <c r="D30" s="89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89">
        <f t="shared" si="2"/>
        <v>0</v>
      </c>
      <c r="L30" s="7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10">
        <v>0</v>
      </c>
      <c r="C31" s="55">
        <v>81975</v>
      </c>
      <c r="D31" s="89">
        <f t="shared" si="1"/>
        <v>81975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89">
        <f t="shared" si="2"/>
        <v>0</v>
      </c>
      <c r="L31" s="72">
        <v>81975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10">
        <v>0</v>
      </c>
      <c r="C32" s="55">
        <v>0</v>
      </c>
      <c r="D32" s="89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89">
        <f t="shared" si="2"/>
        <v>0</v>
      </c>
      <c r="L32" s="7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10">
        <v>0</v>
      </c>
      <c r="C33" s="55">
        <v>0</v>
      </c>
      <c r="D33" s="89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89">
        <f t="shared" si="2"/>
        <v>0</v>
      </c>
      <c r="L33" s="7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10">
        <v>0</v>
      </c>
      <c r="C34" s="55">
        <v>0</v>
      </c>
      <c r="D34" s="89">
        <f t="shared" si="1"/>
        <v>0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89">
        <f t="shared" si="2"/>
        <v>0</v>
      </c>
      <c r="L34" s="72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10">
        <v>0</v>
      </c>
      <c r="C35" s="55">
        <v>0</v>
      </c>
      <c r="D35" s="89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89">
        <f t="shared" si="2"/>
        <v>0</v>
      </c>
      <c r="L35" s="7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10">
        <v>0</v>
      </c>
      <c r="C36" s="55">
        <v>0</v>
      </c>
      <c r="D36" s="89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89">
        <f t="shared" si="2"/>
        <v>0</v>
      </c>
      <c r="L36" s="7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10">
        <v>0</v>
      </c>
      <c r="C37" s="55">
        <v>0</v>
      </c>
      <c r="D37" s="89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89">
        <f t="shared" si="2"/>
        <v>0</v>
      </c>
      <c r="L37" s="7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10">
        <v>0</v>
      </c>
      <c r="C38" s="55">
        <v>0</v>
      </c>
      <c r="D38" s="89">
        <f t="shared" si="1"/>
        <v>0</v>
      </c>
      <c r="E38" s="39">
        <v>0</v>
      </c>
      <c r="F38" s="10">
        <v>0</v>
      </c>
      <c r="G38" s="10">
        <v>0</v>
      </c>
      <c r="H38" s="10">
        <v>0</v>
      </c>
      <c r="I38" s="39">
        <v>0</v>
      </c>
      <c r="J38" s="55">
        <v>0</v>
      </c>
      <c r="K38" s="89">
        <f t="shared" si="2"/>
        <v>0</v>
      </c>
      <c r="L38" s="72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10">
        <v>4500</v>
      </c>
      <c r="C39" s="55">
        <v>0</v>
      </c>
      <c r="D39" s="89">
        <f t="shared" si="1"/>
        <v>4500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6000</v>
      </c>
      <c r="K39" s="89">
        <f t="shared" si="2"/>
        <v>6000</v>
      </c>
      <c r="L39" s="72">
        <v>10500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10">
        <v>0</v>
      </c>
      <c r="C40" s="55">
        <v>0</v>
      </c>
      <c r="D40" s="89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89">
        <f t="shared" si="2"/>
        <v>0</v>
      </c>
      <c r="L40" s="7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10">
        <v>0</v>
      </c>
      <c r="C41" s="55">
        <v>0</v>
      </c>
      <c r="D41" s="89">
        <f t="shared" si="1"/>
        <v>0</v>
      </c>
      <c r="E41" s="39">
        <v>-25404</v>
      </c>
      <c r="F41" s="10">
        <v>-18372</v>
      </c>
      <c r="G41" s="10">
        <v>-62629</v>
      </c>
      <c r="H41" s="10">
        <v>-35020</v>
      </c>
      <c r="I41" s="39">
        <v>-26841</v>
      </c>
      <c r="J41" s="55">
        <v>-24399</v>
      </c>
      <c r="K41" s="89">
        <f t="shared" si="2"/>
        <v>-192665</v>
      </c>
      <c r="L41" s="72">
        <v>-192665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10">
        <v>0</v>
      </c>
      <c r="C42" s="55">
        <v>0</v>
      </c>
      <c r="D42" s="89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89">
        <f t="shared" si="2"/>
        <v>0</v>
      </c>
      <c r="L42" s="7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13</v>
      </c>
      <c r="B43" s="10">
        <v>0</v>
      </c>
      <c r="C43" s="55">
        <v>0</v>
      </c>
      <c r="D43" s="89">
        <f t="shared" si="1"/>
        <v>0</v>
      </c>
      <c r="E43" s="39">
        <v>37100</v>
      </c>
      <c r="F43" s="10">
        <v>27322</v>
      </c>
      <c r="G43" s="10">
        <v>23800</v>
      </c>
      <c r="H43" s="10">
        <v>46580</v>
      </c>
      <c r="I43" s="39">
        <v>36400</v>
      </c>
      <c r="J43" s="55">
        <v>35644</v>
      </c>
      <c r="K43" s="89">
        <f t="shared" si="2"/>
        <v>206846</v>
      </c>
      <c r="L43" s="72">
        <v>206846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6</v>
      </c>
      <c r="B44" s="10">
        <v>0</v>
      </c>
      <c r="C44" s="55">
        <v>0</v>
      </c>
      <c r="D44" s="89">
        <f t="shared" si="1"/>
        <v>0</v>
      </c>
      <c r="E44" s="39">
        <v>31482</v>
      </c>
      <c r="F44" s="10">
        <v>40378</v>
      </c>
      <c r="G44" s="10">
        <v>13608</v>
      </c>
      <c r="H44" s="10">
        <v>59200</v>
      </c>
      <c r="I44" s="39">
        <v>33264</v>
      </c>
      <c r="J44" s="55">
        <v>65952</v>
      </c>
      <c r="K44" s="89">
        <f t="shared" si="2"/>
        <v>243884</v>
      </c>
      <c r="L44" s="72">
        <v>243884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7</v>
      </c>
      <c r="B45" s="10">
        <v>0</v>
      </c>
      <c r="C45" s="55">
        <v>0</v>
      </c>
      <c r="D45" s="89">
        <f t="shared" si="1"/>
        <v>0</v>
      </c>
      <c r="E45" s="39">
        <v>17172</v>
      </c>
      <c r="F45" s="10">
        <v>15530</v>
      </c>
      <c r="G45" s="10">
        <v>0</v>
      </c>
      <c r="H45" s="10">
        <v>20720</v>
      </c>
      <c r="I45" s="39">
        <v>0</v>
      </c>
      <c r="J45" s="55">
        <v>19236</v>
      </c>
      <c r="K45" s="89">
        <f t="shared" si="2"/>
        <v>72658</v>
      </c>
      <c r="L45" s="72">
        <v>72658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46</v>
      </c>
      <c r="B46" s="10">
        <v>0</v>
      </c>
      <c r="C46" s="55">
        <v>0</v>
      </c>
      <c r="D46" s="89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89">
        <f t="shared" si="2"/>
        <v>0</v>
      </c>
      <c r="L46" s="7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02" t="s">
        <v>47</v>
      </c>
      <c r="B47" s="103">
        <v>0</v>
      </c>
      <c r="C47" s="104">
        <v>0</v>
      </c>
      <c r="D47" s="105">
        <f t="shared" si="1"/>
        <v>0</v>
      </c>
      <c r="E47" s="106">
        <v>25404</v>
      </c>
      <c r="F47" s="103">
        <v>18372</v>
      </c>
      <c r="G47" s="103">
        <v>62629</v>
      </c>
      <c r="H47" s="103">
        <v>35020</v>
      </c>
      <c r="I47" s="106">
        <v>26841</v>
      </c>
      <c r="J47" s="104">
        <v>24399</v>
      </c>
      <c r="K47" s="105">
        <f t="shared" si="2"/>
        <v>192665</v>
      </c>
      <c r="L47" s="107">
        <v>192665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17</v>
      </c>
      <c r="B48" s="10">
        <v>0</v>
      </c>
      <c r="C48" s="55">
        <v>0</v>
      </c>
      <c r="D48" s="89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89">
        <f t="shared" si="2"/>
        <v>0</v>
      </c>
      <c r="L48" s="7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48</v>
      </c>
      <c r="B49" s="12">
        <v>0</v>
      </c>
      <c r="C49" s="59">
        <v>0</v>
      </c>
      <c r="D49" s="92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92">
        <f t="shared" si="2"/>
        <v>0</v>
      </c>
      <c r="L49" s="7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21</v>
      </c>
      <c r="B50" s="12">
        <v>1641</v>
      </c>
      <c r="C50" s="59">
        <v>0</v>
      </c>
      <c r="D50" s="92">
        <f t="shared" si="1"/>
        <v>1641</v>
      </c>
      <c r="E50" s="43">
        <v>795</v>
      </c>
      <c r="F50" s="12">
        <v>864</v>
      </c>
      <c r="G50" s="12">
        <v>280</v>
      </c>
      <c r="H50" s="12">
        <v>1644</v>
      </c>
      <c r="I50" s="43">
        <v>280</v>
      </c>
      <c r="J50" s="59">
        <v>765</v>
      </c>
      <c r="K50" s="92">
        <f t="shared" si="2"/>
        <v>4628</v>
      </c>
      <c r="L50" s="76">
        <v>6269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49</v>
      </c>
      <c r="B51" s="30">
        <v>371141</v>
      </c>
      <c r="C51" s="60">
        <v>81975</v>
      </c>
      <c r="D51" s="93">
        <f t="shared" si="1"/>
        <v>453116</v>
      </c>
      <c r="E51" s="44">
        <v>329799</v>
      </c>
      <c r="F51" s="30">
        <v>347994</v>
      </c>
      <c r="G51" s="30">
        <v>297488</v>
      </c>
      <c r="H51" s="30">
        <v>361834</v>
      </c>
      <c r="I51" s="44">
        <v>317144</v>
      </c>
      <c r="J51" s="60">
        <v>338333</v>
      </c>
      <c r="K51" s="93">
        <f t="shared" si="2"/>
        <v>1992592</v>
      </c>
      <c r="L51" s="77">
        <v>2445708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50</v>
      </c>
      <c r="B52" s="29">
        <v>4170</v>
      </c>
      <c r="C52" s="61">
        <v>2526</v>
      </c>
      <c r="D52" s="94">
        <f t="shared" si="1"/>
        <v>6696</v>
      </c>
      <c r="E52" s="45">
        <v>3809</v>
      </c>
      <c r="F52" s="29">
        <v>3789</v>
      </c>
      <c r="G52" s="29">
        <v>2346</v>
      </c>
      <c r="H52" s="29">
        <v>6816</v>
      </c>
      <c r="I52" s="45">
        <v>3609</v>
      </c>
      <c r="J52" s="61">
        <v>10585</v>
      </c>
      <c r="K52" s="94">
        <f t="shared" si="2"/>
        <v>30954</v>
      </c>
      <c r="L52" s="78">
        <v>37650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51</v>
      </c>
      <c r="B53" s="32">
        <v>4170</v>
      </c>
      <c r="C53" s="62">
        <v>2526</v>
      </c>
      <c r="D53" s="95">
        <f t="shared" si="1"/>
        <v>6696</v>
      </c>
      <c r="E53" s="46">
        <v>3809</v>
      </c>
      <c r="F53" s="32">
        <v>3789</v>
      </c>
      <c r="G53" s="32">
        <v>2346</v>
      </c>
      <c r="H53" s="32">
        <v>6816</v>
      </c>
      <c r="I53" s="46">
        <v>3609</v>
      </c>
      <c r="J53" s="62">
        <v>10585</v>
      </c>
      <c r="K53" s="95">
        <f t="shared" si="2"/>
        <v>30954</v>
      </c>
      <c r="L53" s="79">
        <v>37650</v>
      </c>
    </row>
    <row r="54" spans="1:19" ht="14.25" thickBot="1" x14ac:dyDescent="0.2">
      <c r="A54" s="33" t="s">
        <v>52</v>
      </c>
      <c r="B54" s="34">
        <v>375311</v>
      </c>
      <c r="C54" s="63">
        <v>84501</v>
      </c>
      <c r="D54" s="96">
        <f t="shared" si="1"/>
        <v>459812</v>
      </c>
      <c r="E54" s="47">
        <v>333608</v>
      </c>
      <c r="F54" s="34">
        <v>351783</v>
      </c>
      <c r="G54" s="34">
        <v>299834</v>
      </c>
      <c r="H54" s="34">
        <v>368650</v>
      </c>
      <c r="I54" s="47">
        <v>320753</v>
      </c>
      <c r="J54" s="63">
        <v>348918</v>
      </c>
      <c r="K54" s="96">
        <f t="shared" si="2"/>
        <v>2023546</v>
      </c>
      <c r="L54" s="80">
        <v>2483358</v>
      </c>
    </row>
    <row r="55" spans="1:19" x14ac:dyDescent="0.15">
      <c r="A55" s="28" t="s">
        <v>53</v>
      </c>
      <c r="B55" s="29">
        <v>18360</v>
      </c>
      <c r="C55" s="61">
        <v>0</v>
      </c>
      <c r="D55" s="94">
        <f t="shared" si="1"/>
        <v>18360</v>
      </c>
      <c r="E55" s="45">
        <v>15300</v>
      </c>
      <c r="F55" s="29">
        <v>18360</v>
      </c>
      <c r="G55" s="29">
        <v>16320</v>
      </c>
      <c r="H55" s="29">
        <v>16320</v>
      </c>
      <c r="I55" s="45">
        <v>16320</v>
      </c>
      <c r="J55" s="61">
        <v>13260</v>
      </c>
      <c r="K55" s="94">
        <f t="shared" si="2"/>
        <v>95880</v>
      </c>
      <c r="L55" s="78">
        <v>114240</v>
      </c>
    </row>
    <row r="56" spans="1:19" x14ac:dyDescent="0.15">
      <c r="A56" s="16" t="s">
        <v>54</v>
      </c>
      <c r="B56" s="12">
        <v>3240</v>
      </c>
      <c r="C56" s="59">
        <v>0</v>
      </c>
      <c r="D56" s="92">
        <f t="shared" si="1"/>
        <v>3240</v>
      </c>
      <c r="E56" s="43">
        <v>0</v>
      </c>
      <c r="F56" s="12">
        <v>3240</v>
      </c>
      <c r="G56" s="12">
        <v>2880</v>
      </c>
      <c r="H56" s="12">
        <v>2880</v>
      </c>
      <c r="I56" s="43">
        <v>2880</v>
      </c>
      <c r="J56" s="59">
        <v>2340</v>
      </c>
      <c r="K56" s="92">
        <f t="shared" si="2"/>
        <v>14220</v>
      </c>
      <c r="L56" s="76">
        <v>17460</v>
      </c>
    </row>
    <row r="57" spans="1:19" x14ac:dyDescent="0.15">
      <c r="A57" s="16" t="s">
        <v>55</v>
      </c>
      <c r="B57" s="12">
        <v>32940</v>
      </c>
      <c r="C57" s="59">
        <v>0</v>
      </c>
      <c r="D57" s="92">
        <f t="shared" si="1"/>
        <v>32940</v>
      </c>
      <c r="E57" s="43">
        <v>27450</v>
      </c>
      <c r="F57" s="12">
        <v>32940</v>
      </c>
      <c r="G57" s="12">
        <v>29280</v>
      </c>
      <c r="H57" s="12">
        <v>29280</v>
      </c>
      <c r="I57" s="43">
        <v>29280</v>
      </c>
      <c r="J57" s="59">
        <v>23790</v>
      </c>
      <c r="K57" s="92">
        <f t="shared" si="2"/>
        <v>172020</v>
      </c>
      <c r="L57" s="76">
        <v>204960</v>
      </c>
    </row>
    <row r="58" spans="1:19" x14ac:dyDescent="0.15">
      <c r="A58" s="16" t="s">
        <v>56</v>
      </c>
      <c r="B58" s="12">
        <v>0</v>
      </c>
      <c r="C58" s="59">
        <v>0</v>
      </c>
      <c r="D58" s="92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92">
        <f t="shared" si="2"/>
        <v>0</v>
      </c>
      <c r="L58" s="76">
        <v>0</v>
      </c>
    </row>
    <row r="59" spans="1:19" x14ac:dyDescent="0.15">
      <c r="A59" s="16" t="s">
        <v>57</v>
      </c>
      <c r="B59" s="12">
        <v>1126</v>
      </c>
      <c r="C59" s="59">
        <v>254</v>
      </c>
      <c r="D59" s="92">
        <f t="shared" si="1"/>
        <v>1380</v>
      </c>
      <c r="E59" s="43">
        <v>1001</v>
      </c>
      <c r="F59" s="12">
        <v>1055</v>
      </c>
      <c r="G59" s="12">
        <v>900</v>
      </c>
      <c r="H59" s="12">
        <v>1106</v>
      </c>
      <c r="I59" s="43">
        <v>962</v>
      </c>
      <c r="J59" s="59">
        <v>1047</v>
      </c>
      <c r="K59" s="92">
        <f t="shared" si="2"/>
        <v>6071</v>
      </c>
      <c r="L59" s="76">
        <v>7451</v>
      </c>
    </row>
    <row r="60" spans="1:19" x14ac:dyDescent="0.15">
      <c r="A60" s="16" t="s">
        <v>58</v>
      </c>
      <c r="B60" s="12">
        <v>0</v>
      </c>
      <c r="C60" s="59">
        <v>0</v>
      </c>
      <c r="D60" s="92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92">
        <f t="shared" si="2"/>
        <v>0</v>
      </c>
      <c r="L60" s="76">
        <v>0</v>
      </c>
    </row>
    <row r="61" spans="1:19" ht="14.25" thickBot="1" x14ac:dyDescent="0.2">
      <c r="A61" s="31" t="s">
        <v>59</v>
      </c>
      <c r="B61" s="32">
        <v>55666</v>
      </c>
      <c r="C61" s="62">
        <v>254</v>
      </c>
      <c r="D61" s="95">
        <f t="shared" si="1"/>
        <v>55920</v>
      </c>
      <c r="E61" s="46">
        <v>43751</v>
      </c>
      <c r="F61" s="32">
        <v>55595</v>
      </c>
      <c r="G61" s="32">
        <v>49380</v>
      </c>
      <c r="H61" s="32">
        <v>49586</v>
      </c>
      <c r="I61" s="46">
        <v>49442</v>
      </c>
      <c r="J61" s="62">
        <v>40437</v>
      </c>
      <c r="K61" s="95">
        <f t="shared" si="2"/>
        <v>288191</v>
      </c>
      <c r="L61" s="79">
        <v>344111</v>
      </c>
    </row>
    <row r="62" spans="1:19" ht="14.25" thickBot="1" x14ac:dyDescent="0.2">
      <c r="A62" s="33" t="s">
        <v>60</v>
      </c>
      <c r="B62" s="34">
        <v>315475</v>
      </c>
      <c r="C62" s="63">
        <v>81721</v>
      </c>
      <c r="D62" s="96">
        <f t="shared" si="1"/>
        <v>397196</v>
      </c>
      <c r="E62" s="47">
        <v>286048</v>
      </c>
      <c r="F62" s="34">
        <v>292399</v>
      </c>
      <c r="G62" s="34">
        <v>248108</v>
      </c>
      <c r="H62" s="34">
        <v>312248</v>
      </c>
      <c r="I62" s="47">
        <v>267702</v>
      </c>
      <c r="J62" s="63">
        <v>297896</v>
      </c>
      <c r="K62" s="96">
        <f t="shared" si="2"/>
        <v>1704401</v>
      </c>
      <c r="L62" s="80">
        <v>2101597</v>
      </c>
    </row>
    <row r="63" spans="1:19" x14ac:dyDescent="0.15">
      <c r="A63" s="28" t="s">
        <v>61</v>
      </c>
      <c r="B63" s="29">
        <v>9640</v>
      </c>
      <c r="C63" s="61">
        <v>0</v>
      </c>
      <c r="D63" s="94">
        <f t="shared" si="1"/>
        <v>9640</v>
      </c>
      <c r="E63" s="45">
        <v>7840</v>
      </c>
      <c r="F63" s="29">
        <v>8070</v>
      </c>
      <c r="G63" s="29">
        <v>4870</v>
      </c>
      <c r="H63" s="29">
        <v>9380</v>
      </c>
      <c r="I63" s="45">
        <v>5570</v>
      </c>
      <c r="J63" s="61">
        <v>6650</v>
      </c>
      <c r="K63" s="94">
        <f t="shared" si="2"/>
        <v>42380</v>
      </c>
      <c r="L63" s="78">
        <v>52020</v>
      </c>
    </row>
    <row r="64" spans="1:19" x14ac:dyDescent="0.15">
      <c r="A64" s="16" t="s">
        <v>62</v>
      </c>
      <c r="B64" s="12">
        <v>0</v>
      </c>
      <c r="C64" s="59">
        <v>0</v>
      </c>
      <c r="D64" s="92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92">
        <f t="shared" si="2"/>
        <v>0</v>
      </c>
      <c r="L64" s="76">
        <v>0</v>
      </c>
    </row>
    <row r="65" spans="1:12" x14ac:dyDescent="0.15">
      <c r="A65" s="16" t="s">
        <v>63</v>
      </c>
      <c r="B65" s="12">
        <v>18600</v>
      </c>
      <c r="C65" s="59">
        <v>500</v>
      </c>
      <c r="D65" s="92">
        <f t="shared" si="1"/>
        <v>19100</v>
      </c>
      <c r="E65" s="43">
        <v>11400</v>
      </c>
      <c r="F65" s="12">
        <v>14000</v>
      </c>
      <c r="G65" s="12">
        <v>1500</v>
      </c>
      <c r="H65" s="12">
        <v>4000</v>
      </c>
      <c r="I65" s="43">
        <v>9700</v>
      </c>
      <c r="J65" s="59">
        <v>0</v>
      </c>
      <c r="K65" s="92">
        <f t="shared" si="2"/>
        <v>40600</v>
      </c>
      <c r="L65" s="76">
        <v>59700</v>
      </c>
    </row>
    <row r="66" spans="1:12" x14ac:dyDescent="0.15">
      <c r="A66" s="16" t="s">
        <v>64</v>
      </c>
      <c r="B66" s="12">
        <v>0</v>
      </c>
      <c r="C66" s="59">
        <v>0</v>
      </c>
      <c r="D66" s="92">
        <f t="shared" si="1"/>
        <v>0</v>
      </c>
      <c r="E66" s="43">
        <v>0</v>
      </c>
      <c r="F66" s="12">
        <v>0</v>
      </c>
      <c r="G66" s="12">
        <v>5000</v>
      </c>
      <c r="H66" s="12">
        <v>0</v>
      </c>
      <c r="I66" s="43">
        <v>0</v>
      </c>
      <c r="J66" s="59">
        <v>0</v>
      </c>
      <c r="K66" s="92">
        <f t="shared" si="2"/>
        <v>5000</v>
      </c>
      <c r="L66" s="76">
        <v>5000</v>
      </c>
    </row>
    <row r="67" spans="1:12" x14ac:dyDescent="0.15">
      <c r="A67" s="16" t="s">
        <v>65</v>
      </c>
      <c r="B67" s="12">
        <v>0</v>
      </c>
      <c r="C67" s="59">
        <v>0</v>
      </c>
      <c r="D67" s="92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92">
        <f t="shared" si="2"/>
        <v>0</v>
      </c>
      <c r="L67" s="76">
        <v>0</v>
      </c>
    </row>
    <row r="68" spans="1:12" x14ac:dyDescent="0.15">
      <c r="A68" s="16" t="s">
        <v>66</v>
      </c>
      <c r="B68" s="12">
        <v>0</v>
      </c>
      <c r="C68" s="59">
        <v>0</v>
      </c>
      <c r="D68" s="92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92">
        <f t="shared" si="2"/>
        <v>0</v>
      </c>
      <c r="L68" s="76">
        <v>0</v>
      </c>
    </row>
    <row r="69" spans="1:12" x14ac:dyDescent="0.15">
      <c r="A69" s="16" t="s">
        <v>67</v>
      </c>
      <c r="B69" s="12">
        <v>0</v>
      </c>
      <c r="C69" s="59">
        <v>0</v>
      </c>
      <c r="D69" s="92">
        <f t="shared" si="1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92">
        <f t="shared" si="2"/>
        <v>0</v>
      </c>
      <c r="L69" s="76">
        <v>0</v>
      </c>
    </row>
    <row r="70" spans="1:12" ht="14.25" thickBot="1" x14ac:dyDescent="0.2">
      <c r="A70" s="31" t="s">
        <v>68</v>
      </c>
      <c r="B70" s="32">
        <v>28240</v>
      </c>
      <c r="C70" s="62">
        <v>500</v>
      </c>
      <c r="D70" s="95">
        <f t="shared" si="1"/>
        <v>28740</v>
      </c>
      <c r="E70" s="46">
        <v>19240</v>
      </c>
      <c r="F70" s="32">
        <v>22070</v>
      </c>
      <c r="G70" s="32">
        <v>11370</v>
      </c>
      <c r="H70" s="32">
        <v>13380</v>
      </c>
      <c r="I70" s="46">
        <v>15270</v>
      </c>
      <c r="J70" s="62">
        <v>6650</v>
      </c>
      <c r="K70" s="95">
        <f t="shared" si="2"/>
        <v>87980</v>
      </c>
      <c r="L70" s="79">
        <v>116720</v>
      </c>
    </row>
    <row r="71" spans="1:12" ht="14.25" thickBot="1" x14ac:dyDescent="0.2">
      <c r="A71" s="33" t="s">
        <v>69</v>
      </c>
      <c r="B71" s="34">
        <v>83906</v>
      </c>
      <c r="C71" s="63">
        <v>754</v>
      </c>
      <c r="D71" s="96">
        <f t="shared" si="1"/>
        <v>84660</v>
      </c>
      <c r="E71" s="47">
        <v>62991</v>
      </c>
      <c r="F71" s="34">
        <v>77665</v>
      </c>
      <c r="G71" s="34">
        <v>60750</v>
      </c>
      <c r="H71" s="34">
        <v>62966</v>
      </c>
      <c r="I71" s="47">
        <v>64712</v>
      </c>
      <c r="J71" s="63">
        <v>47087</v>
      </c>
      <c r="K71" s="96">
        <f t="shared" si="2"/>
        <v>376171</v>
      </c>
      <c r="L71" s="80">
        <v>460831</v>
      </c>
    </row>
    <row r="72" spans="1:12" ht="14.25" thickBot="1" x14ac:dyDescent="0.2">
      <c r="A72" s="33" t="s">
        <v>70</v>
      </c>
      <c r="B72" s="34">
        <v>291405</v>
      </c>
      <c r="C72" s="63">
        <v>83747</v>
      </c>
      <c r="D72" s="96">
        <f t="shared" si="1"/>
        <v>375152</v>
      </c>
      <c r="E72" s="47">
        <v>270617</v>
      </c>
      <c r="F72" s="34">
        <v>274118</v>
      </c>
      <c r="G72" s="34">
        <v>239084</v>
      </c>
      <c r="H72" s="34">
        <v>305684</v>
      </c>
      <c r="I72" s="47">
        <v>256041</v>
      </c>
      <c r="J72" s="63">
        <v>301831</v>
      </c>
      <c r="K72" s="96">
        <f t="shared" si="2"/>
        <v>1647375</v>
      </c>
      <c r="L72" s="80">
        <v>2022527</v>
      </c>
    </row>
    <row r="73" spans="1:12" x14ac:dyDescent="0.15">
      <c r="A73" s="28" t="s">
        <v>71</v>
      </c>
      <c r="B73" s="29">
        <v>0</v>
      </c>
      <c r="C73" s="61">
        <v>0</v>
      </c>
      <c r="D73" s="94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94">
        <f t="shared" si="2"/>
        <v>0</v>
      </c>
      <c r="L73" s="78">
        <v>0</v>
      </c>
    </row>
    <row r="74" spans="1:12" x14ac:dyDescent="0.15">
      <c r="A74" s="16" t="s">
        <v>72</v>
      </c>
      <c r="B74" s="12">
        <v>291405</v>
      </c>
      <c r="C74" s="59">
        <v>83747</v>
      </c>
      <c r="D74" s="92">
        <f t="shared" si="1"/>
        <v>375152</v>
      </c>
      <c r="E74" s="43">
        <v>270617</v>
      </c>
      <c r="F74" s="12">
        <v>274118</v>
      </c>
      <c r="G74" s="12">
        <v>239084</v>
      </c>
      <c r="H74" s="12">
        <v>305684</v>
      </c>
      <c r="I74" s="43">
        <v>256041</v>
      </c>
      <c r="J74" s="59">
        <v>301831</v>
      </c>
      <c r="K74" s="92">
        <f t="shared" si="2"/>
        <v>1647375</v>
      </c>
      <c r="L74" s="76">
        <v>2022527</v>
      </c>
    </row>
    <row r="75" spans="1:12" x14ac:dyDescent="0.15">
      <c r="A75" s="16" t="s">
        <v>73</v>
      </c>
      <c r="B75" s="13">
        <v>21</v>
      </c>
      <c r="C75" s="64">
        <v>7</v>
      </c>
      <c r="D75" s="97"/>
      <c r="E75" s="48">
        <v>4</v>
      </c>
      <c r="F75" s="13">
        <v>10</v>
      </c>
      <c r="G75" s="13">
        <v>2</v>
      </c>
      <c r="H75" s="13">
        <v>14</v>
      </c>
      <c r="I75" s="48">
        <v>14</v>
      </c>
      <c r="J75" s="64">
        <v>8</v>
      </c>
      <c r="K75" s="97"/>
      <c r="L75" s="81">
        <v>80</v>
      </c>
    </row>
    <row r="76" spans="1:12" x14ac:dyDescent="0.15">
      <c r="A76" s="16" t="s">
        <v>74</v>
      </c>
      <c r="B76" s="14"/>
      <c r="C76" s="65"/>
      <c r="D76" s="98"/>
      <c r="E76" s="49"/>
      <c r="F76" s="14"/>
      <c r="G76" s="14">
        <v>1</v>
      </c>
      <c r="H76" s="14"/>
      <c r="I76" s="49">
        <v>1</v>
      </c>
      <c r="J76" s="65">
        <v>1</v>
      </c>
      <c r="K76" s="98"/>
      <c r="L76" s="82"/>
    </row>
    <row r="77" spans="1:12" ht="14.25" thickBot="1" x14ac:dyDescent="0.2">
      <c r="A77" s="17" t="s">
        <v>75</v>
      </c>
      <c r="B77" s="18" t="s">
        <v>76</v>
      </c>
      <c r="C77" s="66" t="s">
        <v>76</v>
      </c>
      <c r="D77" s="99"/>
      <c r="E77" s="50"/>
      <c r="F77" s="18" t="s">
        <v>76</v>
      </c>
      <c r="G77" s="18" t="s">
        <v>76</v>
      </c>
      <c r="H77" s="18" t="s">
        <v>76</v>
      </c>
      <c r="I77" s="50" t="s">
        <v>76</v>
      </c>
      <c r="J77" s="66" t="s">
        <v>76</v>
      </c>
      <c r="K77" s="99"/>
      <c r="L77" s="83"/>
    </row>
  </sheetData>
  <phoneticPr fontId="1"/>
  <pageMargins left="0.43307086614173229" right="0.35433070866141736" top="0.51181102362204722" bottom="0.35433070866141736" header="0.19685039370078741" footer="0.27559055118110237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2021-02-18T06:40:25Z</cp:lastPrinted>
  <dcterms:created xsi:type="dcterms:W3CDTF">2011-10-11T01:59:58Z</dcterms:created>
  <dcterms:modified xsi:type="dcterms:W3CDTF">2021-02-18T06:40:29Z</dcterms:modified>
</cp:coreProperties>
</file>