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1\"/>
    </mc:Choice>
  </mc:AlternateContent>
  <xr:revisionPtr revIDLastSave="0" documentId="13_ncr:1_{8CED0A83-9E13-43F9-A832-F597B7C86319}" xr6:coauthVersionLast="46" xr6:coauthVersionMax="46" xr10:uidLastSave="{00000000-0000-0000-0000-000000000000}"/>
  <bookViews>
    <workbookView xWindow="0" yWindow="600" windowWidth="20490" windowHeight="10920" activeTab="1" xr2:uid="{00000000-000D-0000-FFFF-FFFF00000000}"/>
  </bookViews>
  <sheets>
    <sheet name="1頁 (2)" sheetId="2" r:id="rId1"/>
    <sheet name="助成金" sheetId="3" r:id="rId2"/>
  </sheets>
  <definedNames>
    <definedName name="_xlnm.Print_Area" localSheetId="0">'1頁 (2)'!$A$1:$L$77</definedName>
    <definedName name="_xlnm.Print_Area" localSheetId="1">助成金!$A$1:$L$77</definedName>
  </definedNames>
  <calcPr calcId="191029"/>
</workbook>
</file>

<file path=xl/calcChain.xml><?xml version="1.0" encoding="utf-8"?>
<calcChain xmlns="http://schemas.openxmlformats.org/spreadsheetml/2006/main">
  <c r="K74" i="3" l="1"/>
  <c r="D74" i="3"/>
  <c r="K73" i="3"/>
  <c r="D73" i="3"/>
  <c r="K72" i="3"/>
  <c r="D72" i="3"/>
  <c r="K71" i="3"/>
  <c r="D71" i="3"/>
  <c r="K70" i="3"/>
  <c r="D70" i="3"/>
  <c r="K69" i="3"/>
  <c r="D69" i="3"/>
  <c r="K68" i="3"/>
  <c r="D68" i="3"/>
  <c r="K67" i="3"/>
  <c r="D67" i="3"/>
  <c r="K66" i="3"/>
  <c r="D66" i="3"/>
  <c r="K65" i="3"/>
  <c r="D65" i="3"/>
  <c r="K64" i="3"/>
  <c r="D64" i="3"/>
  <c r="K63" i="3"/>
  <c r="D63" i="3"/>
  <c r="K62" i="3"/>
  <c r="D62" i="3"/>
  <c r="K61" i="3"/>
  <c r="D61" i="3"/>
  <c r="K60" i="3"/>
  <c r="D60" i="3"/>
  <c r="K59" i="3"/>
  <c r="D59" i="3"/>
  <c r="K58" i="3"/>
  <c r="D58" i="3"/>
  <c r="K57" i="3"/>
  <c r="D57" i="3"/>
  <c r="K56" i="3"/>
  <c r="D56" i="3"/>
  <c r="K55" i="3"/>
  <c r="D55" i="3"/>
  <c r="K54" i="3"/>
  <c r="D54" i="3"/>
  <c r="K53" i="3"/>
  <c r="D53" i="3"/>
  <c r="K52" i="3"/>
  <c r="D52" i="3"/>
  <c r="K51" i="3"/>
  <c r="D51" i="3"/>
  <c r="K50" i="3"/>
  <c r="D50" i="3"/>
  <c r="K49" i="3"/>
  <c r="D49" i="3"/>
  <c r="K48" i="3"/>
  <c r="D48" i="3"/>
  <c r="K47" i="3"/>
  <c r="D47" i="3"/>
  <c r="K46" i="3"/>
  <c r="D46" i="3"/>
  <c r="K45" i="3"/>
  <c r="D45" i="3"/>
  <c r="K44" i="3"/>
  <c r="D44" i="3"/>
  <c r="K43" i="3"/>
  <c r="D43" i="3"/>
  <c r="K42" i="3"/>
  <c r="D42" i="3"/>
  <c r="K41" i="3"/>
  <c r="D41" i="3"/>
  <c r="K40" i="3"/>
  <c r="D40" i="3"/>
  <c r="K39" i="3"/>
  <c r="D39" i="3"/>
  <c r="K38" i="3"/>
  <c r="D38" i="3"/>
  <c r="K37" i="3"/>
  <c r="D37" i="3"/>
  <c r="K36" i="3"/>
  <c r="D36" i="3"/>
  <c r="K35" i="3"/>
  <c r="D35" i="3"/>
  <c r="K34" i="3"/>
  <c r="D34" i="3"/>
  <c r="K33" i="3"/>
  <c r="D33" i="3"/>
  <c r="K32" i="3"/>
  <c r="D32" i="3"/>
  <c r="K31" i="3"/>
  <c r="D31" i="3"/>
  <c r="K30" i="3"/>
  <c r="D30" i="3"/>
  <c r="K29" i="3"/>
  <c r="D29" i="3"/>
  <c r="K28" i="3"/>
  <c r="D28" i="3"/>
  <c r="K27" i="3"/>
  <c r="D27" i="3"/>
  <c r="K26" i="3"/>
  <c r="D26" i="3"/>
  <c r="K25" i="3"/>
  <c r="D25" i="3"/>
  <c r="K24" i="3"/>
  <c r="D24" i="3"/>
  <c r="K23" i="3"/>
  <c r="D23" i="3"/>
  <c r="K22" i="3"/>
  <c r="D22" i="3"/>
  <c r="D21" i="3"/>
  <c r="K16" i="3"/>
  <c r="K15" i="3"/>
  <c r="K14" i="3"/>
  <c r="D13" i="3"/>
  <c r="K12" i="3"/>
  <c r="D10" i="3"/>
  <c r="K8" i="3"/>
  <c r="K7" i="3"/>
  <c r="K6" i="3"/>
  <c r="D6" i="3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22" i="2"/>
  <c r="K15" i="2"/>
  <c r="K16" i="2"/>
  <c r="K14" i="2"/>
  <c r="K12" i="2"/>
  <c r="K8" i="2"/>
  <c r="K7" i="2"/>
  <c r="K6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23" i="2"/>
  <c r="D22" i="2"/>
  <c r="D21" i="2"/>
  <c r="D13" i="2"/>
  <c r="D10" i="2"/>
  <c r="D6" i="2"/>
</calcChain>
</file>

<file path=xl/sharedStrings.xml><?xml version="1.0" encoding="utf-8"?>
<sst xmlns="http://schemas.openxmlformats.org/spreadsheetml/2006/main" count="212" uniqueCount="86">
  <si>
    <t>所　属</t>
  </si>
  <si>
    <t>社　員</t>
  </si>
  <si>
    <t>2021年1月分</t>
  </si>
  <si>
    <t>若林運送株式会社</t>
  </si>
  <si>
    <t>東京営業所</t>
  </si>
  <si>
    <t>宮腰　真也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</si>
  <si>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</si>
  <si>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</si>
  <si>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</si>
  <si>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</si>
  <si>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</si>
  <si>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</si>
  <si>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</si>
  <si>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</si>
  <si>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</si>
  <si>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</si>
  <si>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</si>
  <si>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</si>
  <si>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</si>
  <si>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</si>
  <si>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</si>
  <si>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</si>
  <si>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</si>
  <si>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金子　勝彦</t>
  </si>
  <si>
    <t>上原　勉</t>
  </si>
  <si>
    <t>米山　勝</t>
  </si>
  <si>
    <t>銅谷　和久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</si>
  <si>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</si>
  <si>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</si>
  <si>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</si>
  <si>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</si>
  <si>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</si>
  <si>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</si>
  <si>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</si>
  <si>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</si>
  <si>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</si>
  <si>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</si>
  <si>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</si>
  <si>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</si>
  <si>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</si>
  <si>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</si>
  <si>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</si>
  <si>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</si>
  <si>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</si>
  <si>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</si>
  <si>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</si>
  <si>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</si>
  <si>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</si>
  <si>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</si>
  <si>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</si>
  <si>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</si>
  <si>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</si>
  <si>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</si>
  <si>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</si>
  <si>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</si>
  <si>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</si>
  <si>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</si>
  <si>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</si>
  <si>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</si>
  <si>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</si>
  <si>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</si>
  <si>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</si>
  <si>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</si>
  <si>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</si>
  <si>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</si>
  <si>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</si>
  <si>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</si>
  <si>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</si>
  <si>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</si>
  <si>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</si>
  <si>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</si>
  <si>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</si>
  <si>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</si>
  <si>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</si>
  <si>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</si>
  <si>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</si>
  <si>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</si>
  <si>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</si>
  <si>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土屋　勝三</t>
  </si>
  <si>
    <t>本間　裕康</t>
  </si>
  <si>
    <t>新治　泰子</t>
  </si>
  <si>
    <t>8名</t>
  </si>
  <si>
    <t>全社計</t>
  </si>
  <si>
    <t>小計</t>
    <rPh sb="0" eb="2">
      <t>ショウケイ</t>
    </rPh>
    <phoneticPr fontId="1"/>
  </si>
  <si>
    <t>２名</t>
    <rPh sb="1" eb="2">
      <t>メイ</t>
    </rPh>
    <phoneticPr fontId="1"/>
  </si>
  <si>
    <t>6名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</si>
</sst>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0.00"/>
    <numFmt numFmtId="177" formatCode="[h]:mm"/>
    <numFmt numFmtId="178" formatCode="#,##0_ "/>
    <numFmt numFmtId="179" formatCode="#,###_ "/>
    <numFmt numFmtId="181" formatCode="#,###.00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1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7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9" fontId="2" fillId="0" borderId="29" xfId="0" applyNumberFormat="1" applyFont="1" applyFill="1" applyBorder="1">
      <alignment vertical="center"/>
    </xf>
    <xf numFmtId="0" fontId="2" fillId="0" borderId="34" xfId="0" applyFont="1" applyFill="1" applyBorder="1" applyAlignment="1">
      <alignment horizontal="left" vertical="center"/>
    </xf>
    <xf numFmtId="0" fontId="2" fillId="0" borderId="35" xfId="0" applyFont="1" applyFill="1" applyBorder="1" applyAlignment="1">
      <alignment horizontal="center"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0" fontId="2" fillId="0" borderId="37" xfId="0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7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179" fontId="2" fillId="2" borderId="1" xfId="0" applyNumberFormat="1" applyFont="1" applyFill="1" applyBorder="1">
      <alignment vertical="center"/>
    </xf>
    <xf numFmtId="179" fontId="2" fillId="2" borderId="28" xfId="0" applyNumberFormat="1" applyFont="1" applyFill="1" applyBorder="1">
      <alignment vertical="center"/>
    </xf>
    <xf numFmtId="179" fontId="2" fillId="2" borderId="37" xfId="0" applyNumberFormat="1" applyFont="1" applyFill="1" applyBorder="1">
      <alignment vertical="center"/>
    </xf>
    <xf numFmtId="179" fontId="2" fillId="2" borderId="20" xfId="0" applyNumberFormat="1" applyFont="1" applyFill="1" applyBorder="1">
      <alignment vertical="center"/>
    </xf>
    <xf numFmtId="179" fontId="2" fillId="2" borderId="44" xfId="0" applyNumberFormat="1" applyFont="1" applyFill="1" applyBorder="1">
      <alignment vertical="center"/>
    </xf>
    <xf numFmtId="179" fontId="2" fillId="3" borderId="1" xfId="0" applyNumberFormat="1" applyFont="1" applyFill="1" applyBorder="1">
      <alignment vertical="center"/>
    </xf>
    <xf numFmtId="181" fontId="2" fillId="3" borderId="1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6FD1-2A9C-4A27-A82E-DC531562192D}">
  <sheetPr>
    <pageSetUpPr fitToPage="1"/>
  </sheetPr>
  <dimension ref="A1:AL77"/>
  <sheetViews>
    <sheetView zoomScale="80" zoomScaleNormal="80" workbookViewId="0"/>
  </sheetViews>
  <sheetFormatPr defaultRowHeight="13.5" x14ac:dyDescent="0.15"/>
  <cols>
    <col min="1" max="1" width="17.625" style="2" customWidth="1"/>
    <col min="2" max="12" width="12.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7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4</v>
      </c>
      <c r="C3" s="51" t="s">
        <v>4</v>
      </c>
      <c r="D3" s="68" t="s">
        <v>83</v>
      </c>
      <c r="E3" s="35" t="s">
        <v>4</v>
      </c>
      <c r="F3" s="20" t="s">
        <v>4</v>
      </c>
      <c r="G3" s="20" t="s">
        <v>4</v>
      </c>
      <c r="H3" s="20" t="s">
        <v>4</v>
      </c>
      <c r="I3" s="35" t="s">
        <v>4</v>
      </c>
      <c r="J3" s="51" t="s">
        <v>4</v>
      </c>
      <c r="K3" s="68" t="s">
        <v>83</v>
      </c>
      <c r="L3" s="86" t="s">
        <v>82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1029</v>
      </c>
      <c r="C4" s="52">
        <v>1033</v>
      </c>
      <c r="D4" s="69"/>
      <c r="E4" s="36">
        <v>1011</v>
      </c>
      <c r="F4" s="22">
        <v>1025</v>
      </c>
      <c r="G4" s="22">
        <v>1030</v>
      </c>
      <c r="H4" s="22">
        <v>1052</v>
      </c>
      <c r="I4" s="36">
        <v>1054</v>
      </c>
      <c r="J4" s="52">
        <v>1060</v>
      </c>
      <c r="K4" s="69"/>
      <c r="L4" s="8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24</v>
      </c>
      <c r="C5" s="52" t="s">
        <v>80</v>
      </c>
      <c r="D5" s="70" t="s">
        <v>84</v>
      </c>
      <c r="E5" s="36" t="s">
        <v>5</v>
      </c>
      <c r="F5" s="22" t="s">
        <v>23</v>
      </c>
      <c r="G5" s="22" t="s">
        <v>25</v>
      </c>
      <c r="H5" s="22" t="s">
        <v>26</v>
      </c>
      <c r="I5" s="36" t="s">
        <v>78</v>
      </c>
      <c r="J5" s="52" t="s">
        <v>79</v>
      </c>
      <c r="K5" s="70" t="s">
        <v>85</v>
      </c>
      <c r="L5" s="88" t="s">
        <v>81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6</v>
      </c>
      <c r="B6" s="24">
        <v>19</v>
      </c>
      <c r="C6" s="53">
        <v>11</v>
      </c>
      <c r="D6" s="71">
        <f>SUM(B6:C6)</f>
        <v>30</v>
      </c>
      <c r="E6" s="37">
        <v>18</v>
      </c>
      <c r="F6" s="24">
        <v>18</v>
      </c>
      <c r="G6" s="24">
        <v>14</v>
      </c>
      <c r="H6" s="24">
        <v>18</v>
      </c>
      <c r="I6" s="37">
        <v>19</v>
      </c>
      <c r="J6" s="53">
        <v>19</v>
      </c>
      <c r="K6" s="71">
        <f>SUM(E6:J6)</f>
        <v>106</v>
      </c>
      <c r="L6" s="89">
        <v>136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7</v>
      </c>
      <c r="B7" s="10"/>
      <c r="C7" s="55"/>
      <c r="D7" s="72"/>
      <c r="E7" s="38">
        <v>2</v>
      </c>
      <c r="F7" s="9">
        <v>1</v>
      </c>
      <c r="G7" s="10"/>
      <c r="H7" s="9">
        <v>2</v>
      </c>
      <c r="I7" s="38">
        <v>4</v>
      </c>
      <c r="J7" s="54">
        <v>4</v>
      </c>
      <c r="K7" s="73">
        <f>SUM(E7:J7)</f>
        <v>13</v>
      </c>
      <c r="L7" s="90">
        <v>13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8</v>
      </c>
      <c r="B8" s="10"/>
      <c r="C8" s="55"/>
      <c r="D8" s="72"/>
      <c r="E8" s="39"/>
      <c r="F8" s="10"/>
      <c r="G8" s="10"/>
      <c r="H8" s="10"/>
      <c r="I8" s="38">
        <v>1</v>
      </c>
      <c r="J8" s="54">
        <v>1</v>
      </c>
      <c r="K8" s="73">
        <f>SUM(E8:J8)</f>
        <v>2</v>
      </c>
      <c r="L8" s="90">
        <v>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9</v>
      </c>
      <c r="B9" s="10"/>
      <c r="C9" s="55"/>
      <c r="D9" s="72"/>
      <c r="E9" s="39"/>
      <c r="F9" s="10"/>
      <c r="G9" s="10"/>
      <c r="H9" s="10"/>
      <c r="I9" s="39"/>
      <c r="J9" s="55"/>
      <c r="K9" s="77"/>
      <c r="L9" s="9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10</v>
      </c>
      <c r="B10" s="10"/>
      <c r="C10" s="54">
        <v>1</v>
      </c>
      <c r="D10" s="73">
        <f>SUM(B10:C10)</f>
        <v>1</v>
      </c>
      <c r="E10" s="39"/>
      <c r="F10" s="10"/>
      <c r="G10" s="10"/>
      <c r="H10" s="10"/>
      <c r="I10" s="39"/>
      <c r="J10" s="55"/>
      <c r="K10" s="77"/>
      <c r="L10" s="90">
        <v>1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11</v>
      </c>
      <c r="B11" s="10"/>
      <c r="C11" s="55"/>
      <c r="D11" s="72"/>
      <c r="E11" s="39"/>
      <c r="F11" s="10"/>
      <c r="G11" s="10"/>
      <c r="H11" s="10"/>
      <c r="I11" s="39"/>
      <c r="J11" s="55"/>
      <c r="K11" s="77"/>
      <c r="L11" s="9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12</v>
      </c>
      <c r="B12" s="10"/>
      <c r="C12" s="55"/>
      <c r="D12" s="72"/>
      <c r="E12" s="38">
        <v>1</v>
      </c>
      <c r="F12" s="9">
        <v>1</v>
      </c>
      <c r="G12" s="9">
        <v>5</v>
      </c>
      <c r="H12" s="9">
        <v>1</v>
      </c>
      <c r="I12" s="39"/>
      <c r="J12" s="55"/>
      <c r="K12" s="73">
        <f>SUM(E12:J12)</f>
        <v>8</v>
      </c>
      <c r="L12" s="90">
        <v>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13</v>
      </c>
      <c r="B13" s="10"/>
      <c r="C13" s="56">
        <v>3</v>
      </c>
      <c r="D13" s="74">
        <f>SUM(B13:C13)</f>
        <v>3</v>
      </c>
      <c r="E13" s="39"/>
      <c r="F13" s="10"/>
      <c r="G13" s="10"/>
      <c r="H13" s="10"/>
      <c r="I13" s="39"/>
      <c r="J13" s="55"/>
      <c r="K13" s="77"/>
      <c r="L13" s="92">
        <v>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14</v>
      </c>
      <c r="B14" s="10"/>
      <c r="C14" s="55"/>
      <c r="D14" s="72"/>
      <c r="E14" s="40">
        <v>1.5833333333333333</v>
      </c>
      <c r="F14" s="11">
        <v>1.375</v>
      </c>
      <c r="G14" s="11">
        <v>4.1666666666666664E-2</v>
      </c>
      <c r="H14" s="11">
        <v>1.625</v>
      </c>
      <c r="I14" s="40">
        <v>1.625</v>
      </c>
      <c r="J14" s="56">
        <v>1.625</v>
      </c>
      <c r="K14" s="74">
        <f>SUM(E14:J14)</f>
        <v>7.875</v>
      </c>
      <c r="L14" s="92">
        <v>7.875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15</v>
      </c>
      <c r="B15" s="10"/>
      <c r="C15" s="55"/>
      <c r="D15" s="72"/>
      <c r="E15" s="40">
        <v>0.66666666666666663</v>
      </c>
      <c r="F15" s="11">
        <v>0.375</v>
      </c>
      <c r="G15" s="10"/>
      <c r="H15" s="11">
        <v>0.625</v>
      </c>
      <c r="I15" s="40">
        <v>1.4166666666666667</v>
      </c>
      <c r="J15" s="56">
        <v>1.25</v>
      </c>
      <c r="K15" s="74">
        <f t="shared" ref="K15:K16" si="0">SUM(E15:J15)</f>
        <v>4.333333333333333</v>
      </c>
      <c r="L15" s="92">
        <v>4.333333333333333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16</v>
      </c>
      <c r="B16" s="10"/>
      <c r="C16" s="55"/>
      <c r="D16" s="72"/>
      <c r="E16" s="39"/>
      <c r="F16" s="10"/>
      <c r="G16" s="10"/>
      <c r="H16" s="10"/>
      <c r="I16" s="40">
        <v>0.375</v>
      </c>
      <c r="J16" s="56">
        <v>0.33333333333333331</v>
      </c>
      <c r="K16" s="74">
        <f t="shared" si="0"/>
        <v>0.70833333333333326</v>
      </c>
      <c r="L16" s="92">
        <v>0.70833333333333337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17</v>
      </c>
      <c r="B17" s="10"/>
      <c r="C17" s="55"/>
      <c r="D17" s="72"/>
      <c r="E17" s="39"/>
      <c r="F17" s="10"/>
      <c r="G17" s="10"/>
      <c r="H17" s="10"/>
      <c r="I17" s="39"/>
      <c r="J17" s="55"/>
      <c r="K17" s="77"/>
      <c r="L17" s="91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18</v>
      </c>
      <c r="B18" s="10"/>
      <c r="C18" s="55"/>
      <c r="D18" s="72"/>
      <c r="E18" s="39"/>
      <c r="F18" s="10"/>
      <c r="G18" s="10"/>
      <c r="H18" s="10"/>
      <c r="I18" s="39"/>
      <c r="J18" s="55"/>
      <c r="K18" s="77"/>
      <c r="L18" s="91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19</v>
      </c>
      <c r="B19" s="10"/>
      <c r="C19" s="55"/>
      <c r="D19" s="72"/>
      <c r="E19" s="39"/>
      <c r="F19" s="10"/>
      <c r="G19" s="10"/>
      <c r="H19" s="10"/>
      <c r="I19" s="39"/>
      <c r="J19" s="55"/>
      <c r="K19" s="77"/>
      <c r="L19" s="91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20</v>
      </c>
      <c r="B20" s="10"/>
      <c r="C20" s="55"/>
      <c r="D20" s="72"/>
      <c r="E20" s="39"/>
      <c r="F20" s="10"/>
      <c r="G20" s="10"/>
      <c r="H20" s="10"/>
      <c r="I20" s="39"/>
      <c r="J20" s="55"/>
      <c r="K20" s="77"/>
      <c r="L20" s="91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21</v>
      </c>
      <c r="B21" s="10"/>
      <c r="C21" s="56">
        <v>0.29166666666666669</v>
      </c>
      <c r="D21" s="74">
        <f>SUM(B20:C21)</f>
        <v>0.29166666666666669</v>
      </c>
      <c r="E21" s="39"/>
      <c r="F21" s="10"/>
      <c r="G21" s="10"/>
      <c r="H21" s="10"/>
      <c r="I21" s="39"/>
      <c r="J21" s="55"/>
      <c r="K21" s="77"/>
      <c r="L21" s="92">
        <v>0.29166666666666669</v>
      </c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5" t="s">
        <v>22</v>
      </c>
      <c r="B22" s="26">
        <v>8.3333333333333329E-2</v>
      </c>
      <c r="C22" s="67"/>
      <c r="D22" s="75">
        <f>SUM(B22:C22)</f>
        <v>8.3333333333333329E-2</v>
      </c>
      <c r="E22" s="41">
        <v>0.54166666666666663</v>
      </c>
      <c r="F22" s="26">
        <v>0.66666666666666663</v>
      </c>
      <c r="G22" s="26">
        <v>8.3333333333333329E-2</v>
      </c>
      <c r="H22" s="26">
        <v>0.70833333333333337</v>
      </c>
      <c r="I22" s="41">
        <v>0.25</v>
      </c>
      <c r="J22" s="57">
        <v>0.16666666666666666</v>
      </c>
      <c r="K22" s="75">
        <f>SUM(E22:J22)</f>
        <v>2.4166666666666665</v>
      </c>
      <c r="L22" s="93">
        <v>2.5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27</v>
      </c>
      <c r="B23" s="27">
        <v>355000</v>
      </c>
      <c r="C23" s="58">
        <v>0</v>
      </c>
      <c r="D23" s="76">
        <f>SUM(B23:C23)</f>
        <v>355000</v>
      </c>
      <c r="E23" s="42">
        <v>177000</v>
      </c>
      <c r="F23" s="27">
        <v>192000</v>
      </c>
      <c r="G23" s="27">
        <v>177000</v>
      </c>
      <c r="H23" s="27">
        <v>175000</v>
      </c>
      <c r="I23" s="42">
        <v>177000</v>
      </c>
      <c r="J23" s="58">
        <v>165000</v>
      </c>
      <c r="K23" s="76">
        <f>SUM(E23:J23)</f>
        <v>1063000</v>
      </c>
      <c r="L23" s="94">
        <v>1418000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28</v>
      </c>
      <c r="B24" s="10">
        <v>0</v>
      </c>
      <c r="C24" s="55">
        <v>0</v>
      </c>
      <c r="D24" s="77">
        <f t="shared" ref="D24:D74" si="1">SUM(B24:C24)</f>
        <v>0</v>
      </c>
      <c r="E24" s="39">
        <v>0</v>
      </c>
      <c r="F24" s="10">
        <v>5000</v>
      </c>
      <c r="G24" s="10">
        <v>0</v>
      </c>
      <c r="H24" s="10">
        <v>0</v>
      </c>
      <c r="I24" s="39">
        <v>0</v>
      </c>
      <c r="J24" s="55">
        <v>0</v>
      </c>
      <c r="K24" s="77">
        <f t="shared" ref="K24:K74" si="2">SUM(E24:J24)</f>
        <v>5000</v>
      </c>
      <c r="L24" s="91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29</v>
      </c>
      <c r="B25" s="10">
        <v>0</v>
      </c>
      <c r="C25" s="55">
        <v>0</v>
      </c>
      <c r="D25" s="77">
        <f t="shared" si="1"/>
        <v>0</v>
      </c>
      <c r="E25" s="39">
        <v>6000</v>
      </c>
      <c r="F25" s="10">
        <v>0</v>
      </c>
      <c r="G25" s="10">
        <v>3000</v>
      </c>
      <c r="H25" s="10">
        <v>0</v>
      </c>
      <c r="I25" s="39">
        <v>0</v>
      </c>
      <c r="J25" s="55">
        <v>0</v>
      </c>
      <c r="K25" s="77">
        <f t="shared" si="2"/>
        <v>9000</v>
      </c>
      <c r="L25" s="91">
        <v>9000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30</v>
      </c>
      <c r="B26" s="10">
        <v>50000</v>
      </c>
      <c r="C26" s="55">
        <v>0</v>
      </c>
      <c r="D26" s="77">
        <f t="shared" si="1"/>
        <v>50000</v>
      </c>
      <c r="E26" s="39">
        <v>50000</v>
      </c>
      <c r="F26" s="10">
        <v>50000</v>
      </c>
      <c r="G26" s="10">
        <v>50000</v>
      </c>
      <c r="H26" s="10">
        <v>50000</v>
      </c>
      <c r="I26" s="39">
        <v>50000</v>
      </c>
      <c r="J26" s="55">
        <v>50000</v>
      </c>
      <c r="K26" s="77">
        <f t="shared" si="2"/>
        <v>300000</v>
      </c>
      <c r="L26" s="91">
        <v>350000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31</v>
      </c>
      <c r="B27" s="10">
        <v>0</v>
      </c>
      <c r="C27" s="55">
        <v>0</v>
      </c>
      <c r="D27" s="77">
        <f t="shared" si="1"/>
        <v>0</v>
      </c>
      <c r="E27" s="39">
        <v>0</v>
      </c>
      <c r="F27" s="10">
        <v>0</v>
      </c>
      <c r="G27" s="10">
        <v>0</v>
      </c>
      <c r="H27" s="10">
        <v>0</v>
      </c>
      <c r="I27" s="39">
        <v>0</v>
      </c>
      <c r="J27" s="55">
        <v>0</v>
      </c>
      <c r="K27" s="77">
        <f t="shared" si="2"/>
        <v>0</v>
      </c>
      <c r="L27" s="91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32</v>
      </c>
      <c r="B28" s="10">
        <v>0</v>
      </c>
      <c r="C28" s="55">
        <v>0</v>
      </c>
      <c r="D28" s="77">
        <f t="shared" si="1"/>
        <v>0</v>
      </c>
      <c r="E28" s="39">
        <v>0</v>
      </c>
      <c r="F28" s="10">
        <v>0</v>
      </c>
      <c r="G28" s="10">
        <v>0</v>
      </c>
      <c r="H28" s="10">
        <v>0</v>
      </c>
      <c r="I28" s="39">
        <v>0</v>
      </c>
      <c r="J28" s="55">
        <v>0</v>
      </c>
      <c r="K28" s="77">
        <f t="shared" si="2"/>
        <v>0</v>
      </c>
      <c r="L28" s="91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33</v>
      </c>
      <c r="B29" s="10">
        <v>0</v>
      </c>
      <c r="C29" s="55">
        <v>0</v>
      </c>
      <c r="D29" s="77">
        <f t="shared" si="1"/>
        <v>0</v>
      </c>
      <c r="E29" s="39">
        <v>0</v>
      </c>
      <c r="F29" s="10">
        <v>0</v>
      </c>
      <c r="G29" s="10">
        <v>0</v>
      </c>
      <c r="H29" s="10">
        <v>0</v>
      </c>
      <c r="I29" s="39">
        <v>0</v>
      </c>
      <c r="J29" s="55">
        <v>0</v>
      </c>
      <c r="K29" s="77">
        <f t="shared" si="2"/>
        <v>0</v>
      </c>
      <c r="L29" s="91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34</v>
      </c>
      <c r="B30" s="10">
        <v>0</v>
      </c>
      <c r="C30" s="55">
        <v>0</v>
      </c>
      <c r="D30" s="77">
        <f t="shared" si="1"/>
        <v>0</v>
      </c>
      <c r="E30" s="39">
        <v>0</v>
      </c>
      <c r="F30" s="10">
        <v>0</v>
      </c>
      <c r="G30" s="10">
        <v>0</v>
      </c>
      <c r="H30" s="10">
        <v>0</v>
      </c>
      <c r="I30" s="39">
        <v>0</v>
      </c>
      <c r="J30" s="55">
        <v>0</v>
      </c>
      <c r="K30" s="77">
        <f t="shared" si="2"/>
        <v>0</v>
      </c>
      <c r="L30" s="91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35</v>
      </c>
      <c r="B31" s="10">
        <v>0</v>
      </c>
      <c r="C31" s="55">
        <v>79560</v>
      </c>
      <c r="D31" s="77">
        <f t="shared" si="1"/>
        <v>79560</v>
      </c>
      <c r="E31" s="39">
        <v>0</v>
      </c>
      <c r="F31" s="10">
        <v>0</v>
      </c>
      <c r="G31" s="10">
        <v>0</v>
      </c>
      <c r="H31" s="10">
        <v>0</v>
      </c>
      <c r="I31" s="39">
        <v>0</v>
      </c>
      <c r="J31" s="55">
        <v>0</v>
      </c>
      <c r="K31" s="77">
        <f t="shared" si="2"/>
        <v>0</v>
      </c>
      <c r="L31" s="91">
        <v>79560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36</v>
      </c>
      <c r="B32" s="10">
        <v>0</v>
      </c>
      <c r="C32" s="55">
        <v>0</v>
      </c>
      <c r="D32" s="77">
        <f t="shared" si="1"/>
        <v>0</v>
      </c>
      <c r="E32" s="39">
        <v>0</v>
      </c>
      <c r="F32" s="10">
        <v>0</v>
      </c>
      <c r="G32" s="10">
        <v>0</v>
      </c>
      <c r="H32" s="10">
        <v>0</v>
      </c>
      <c r="I32" s="39">
        <v>0</v>
      </c>
      <c r="J32" s="55">
        <v>0</v>
      </c>
      <c r="K32" s="77">
        <f t="shared" si="2"/>
        <v>0</v>
      </c>
      <c r="L32" s="91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37</v>
      </c>
      <c r="B33" s="10">
        <v>0</v>
      </c>
      <c r="C33" s="55">
        <v>0</v>
      </c>
      <c r="D33" s="77">
        <f t="shared" si="1"/>
        <v>0</v>
      </c>
      <c r="E33" s="39">
        <v>0</v>
      </c>
      <c r="F33" s="10">
        <v>0</v>
      </c>
      <c r="G33" s="10">
        <v>0</v>
      </c>
      <c r="H33" s="10">
        <v>0</v>
      </c>
      <c r="I33" s="39">
        <v>0</v>
      </c>
      <c r="J33" s="55">
        <v>0</v>
      </c>
      <c r="K33" s="77">
        <f t="shared" si="2"/>
        <v>0</v>
      </c>
      <c r="L33" s="91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38</v>
      </c>
      <c r="B34" s="10">
        <v>0</v>
      </c>
      <c r="C34" s="55">
        <v>7735</v>
      </c>
      <c r="D34" s="77">
        <f t="shared" si="1"/>
        <v>7735</v>
      </c>
      <c r="E34" s="39">
        <v>0</v>
      </c>
      <c r="F34" s="10">
        <v>0</v>
      </c>
      <c r="G34" s="10">
        <v>0</v>
      </c>
      <c r="H34" s="10">
        <v>0</v>
      </c>
      <c r="I34" s="39">
        <v>0</v>
      </c>
      <c r="J34" s="55">
        <v>0</v>
      </c>
      <c r="K34" s="77">
        <f t="shared" si="2"/>
        <v>0</v>
      </c>
      <c r="L34" s="91">
        <v>7735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39</v>
      </c>
      <c r="B35" s="10">
        <v>0</v>
      </c>
      <c r="C35" s="55">
        <v>0</v>
      </c>
      <c r="D35" s="77">
        <f t="shared" si="1"/>
        <v>0</v>
      </c>
      <c r="E35" s="39">
        <v>0</v>
      </c>
      <c r="F35" s="10">
        <v>0</v>
      </c>
      <c r="G35" s="10">
        <v>0</v>
      </c>
      <c r="H35" s="10">
        <v>0</v>
      </c>
      <c r="I35" s="39">
        <v>0</v>
      </c>
      <c r="J35" s="55">
        <v>0</v>
      </c>
      <c r="K35" s="77">
        <f t="shared" si="2"/>
        <v>0</v>
      </c>
      <c r="L35" s="91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40</v>
      </c>
      <c r="B36" s="10">
        <v>0</v>
      </c>
      <c r="C36" s="55">
        <v>0</v>
      </c>
      <c r="D36" s="77">
        <f t="shared" si="1"/>
        <v>0</v>
      </c>
      <c r="E36" s="39">
        <v>0</v>
      </c>
      <c r="F36" s="10">
        <v>0</v>
      </c>
      <c r="G36" s="10">
        <v>0</v>
      </c>
      <c r="H36" s="10">
        <v>0</v>
      </c>
      <c r="I36" s="39">
        <v>0</v>
      </c>
      <c r="J36" s="55">
        <v>0</v>
      </c>
      <c r="K36" s="77">
        <f t="shared" si="2"/>
        <v>0</v>
      </c>
      <c r="L36" s="91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41</v>
      </c>
      <c r="B37" s="10">
        <v>0</v>
      </c>
      <c r="C37" s="55">
        <v>0</v>
      </c>
      <c r="D37" s="77">
        <f t="shared" si="1"/>
        <v>0</v>
      </c>
      <c r="E37" s="39">
        <v>0</v>
      </c>
      <c r="F37" s="10">
        <v>0</v>
      </c>
      <c r="G37" s="10">
        <v>0</v>
      </c>
      <c r="H37" s="10">
        <v>0</v>
      </c>
      <c r="I37" s="39">
        <v>0</v>
      </c>
      <c r="J37" s="55">
        <v>0</v>
      </c>
      <c r="K37" s="77">
        <f t="shared" si="2"/>
        <v>0</v>
      </c>
      <c r="L37" s="91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42</v>
      </c>
      <c r="B38" s="10">
        <v>0</v>
      </c>
      <c r="C38" s="55">
        <v>0</v>
      </c>
      <c r="D38" s="77">
        <f t="shared" si="1"/>
        <v>0</v>
      </c>
      <c r="E38" s="39">
        <v>33900</v>
      </c>
      <c r="F38" s="10">
        <v>10500</v>
      </c>
      <c r="G38" s="10">
        <v>13500</v>
      </c>
      <c r="H38" s="10">
        <v>15000</v>
      </c>
      <c r="I38" s="39">
        <v>13000</v>
      </c>
      <c r="J38" s="55">
        <v>15000</v>
      </c>
      <c r="K38" s="77">
        <f t="shared" si="2"/>
        <v>100900</v>
      </c>
      <c r="L38" s="91">
        <v>100900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43</v>
      </c>
      <c r="B39" s="10">
        <v>0</v>
      </c>
      <c r="C39" s="55">
        <v>0</v>
      </c>
      <c r="D39" s="77">
        <f t="shared" si="1"/>
        <v>0</v>
      </c>
      <c r="E39" s="39">
        <v>0</v>
      </c>
      <c r="F39" s="10">
        <v>0</v>
      </c>
      <c r="G39" s="10">
        <v>0</v>
      </c>
      <c r="H39" s="10">
        <v>0</v>
      </c>
      <c r="I39" s="39">
        <v>0</v>
      </c>
      <c r="J39" s="55">
        <v>3000</v>
      </c>
      <c r="K39" s="77">
        <f t="shared" si="2"/>
        <v>3000</v>
      </c>
      <c r="L39" s="91">
        <v>3000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44</v>
      </c>
      <c r="B40" s="10">
        <v>0</v>
      </c>
      <c r="C40" s="55">
        <v>0</v>
      </c>
      <c r="D40" s="77">
        <f t="shared" si="1"/>
        <v>0</v>
      </c>
      <c r="E40" s="39">
        <v>0</v>
      </c>
      <c r="F40" s="10">
        <v>0</v>
      </c>
      <c r="G40" s="10">
        <v>0</v>
      </c>
      <c r="H40" s="10">
        <v>0</v>
      </c>
      <c r="I40" s="39">
        <v>0</v>
      </c>
      <c r="J40" s="55">
        <v>0</v>
      </c>
      <c r="K40" s="77">
        <f t="shared" si="2"/>
        <v>0</v>
      </c>
      <c r="L40" s="91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45</v>
      </c>
      <c r="B41" s="10">
        <v>0</v>
      </c>
      <c r="C41" s="55">
        <v>0</v>
      </c>
      <c r="D41" s="77">
        <f t="shared" si="1"/>
        <v>0</v>
      </c>
      <c r="E41" s="39">
        <v>-12770</v>
      </c>
      <c r="F41" s="10">
        <v>-12320</v>
      </c>
      <c r="G41" s="10">
        <v>-58250</v>
      </c>
      <c r="H41" s="10">
        <v>-11483</v>
      </c>
      <c r="I41" s="39">
        <v>0</v>
      </c>
      <c r="J41" s="55">
        <v>0</v>
      </c>
      <c r="K41" s="77">
        <f t="shared" si="2"/>
        <v>-94823</v>
      </c>
      <c r="L41" s="91">
        <v>-94823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46</v>
      </c>
      <c r="B42" s="10">
        <v>0</v>
      </c>
      <c r="C42" s="55">
        <v>0</v>
      </c>
      <c r="D42" s="77">
        <f t="shared" si="1"/>
        <v>0</v>
      </c>
      <c r="E42" s="39">
        <v>0</v>
      </c>
      <c r="F42" s="10">
        <v>0</v>
      </c>
      <c r="G42" s="10">
        <v>0</v>
      </c>
      <c r="H42" s="10">
        <v>0</v>
      </c>
      <c r="I42" s="39">
        <v>0</v>
      </c>
      <c r="J42" s="55">
        <v>0</v>
      </c>
      <c r="K42" s="77">
        <f t="shared" si="2"/>
        <v>0</v>
      </c>
      <c r="L42" s="91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14</v>
      </c>
      <c r="B43" s="10">
        <v>0</v>
      </c>
      <c r="C43" s="55">
        <v>0</v>
      </c>
      <c r="D43" s="77">
        <f t="shared" si="1"/>
        <v>0</v>
      </c>
      <c r="E43" s="39">
        <v>75924</v>
      </c>
      <c r="F43" s="10">
        <v>63624</v>
      </c>
      <c r="G43" s="10">
        <v>1823</v>
      </c>
      <c r="H43" s="10">
        <v>70044</v>
      </c>
      <c r="I43" s="39">
        <v>70044</v>
      </c>
      <c r="J43" s="55">
        <v>67119</v>
      </c>
      <c r="K43" s="77">
        <f t="shared" si="2"/>
        <v>348578</v>
      </c>
      <c r="L43" s="91">
        <v>348578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7</v>
      </c>
      <c r="B44" s="10">
        <v>0</v>
      </c>
      <c r="C44" s="55">
        <v>0</v>
      </c>
      <c r="D44" s="77">
        <f t="shared" si="1"/>
        <v>0</v>
      </c>
      <c r="E44" s="39">
        <v>34512</v>
      </c>
      <c r="F44" s="10">
        <v>18738</v>
      </c>
      <c r="G44" s="10">
        <v>0</v>
      </c>
      <c r="H44" s="10">
        <v>29100</v>
      </c>
      <c r="I44" s="39">
        <v>65960</v>
      </c>
      <c r="J44" s="55">
        <v>55770</v>
      </c>
      <c r="K44" s="77">
        <f t="shared" si="2"/>
        <v>204080</v>
      </c>
      <c r="L44" s="91">
        <v>204080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8</v>
      </c>
      <c r="B45" s="10">
        <v>0</v>
      </c>
      <c r="C45" s="55">
        <v>0</v>
      </c>
      <c r="D45" s="77">
        <f t="shared" si="1"/>
        <v>0</v>
      </c>
      <c r="E45" s="39">
        <v>0</v>
      </c>
      <c r="F45" s="10">
        <v>0</v>
      </c>
      <c r="G45" s="10">
        <v>0</v>
      </c>
      <c r="H45" s="10">
        <v>0</v>
      </c>
      <c r="I45" s="39">
        <v>17460</v>
      </c>
      <c r="J45" s="55">
        <v>14872</v>
      </c>
      <c r="K45" s="77">
        <f t="shared" si="2"/>
        <v>32332</v>
      </c>
      <c r="L45" s="91">
        <v>32332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47</v>
      </c>
      <c r="B46" s="10">
        <v>0</v>
      </c>
      <c r="C46" s="55">
        <v>0</v>
      </c>
      <c r="D46" s="77">
        <f t="shared" si="1"/>
        <v>0</v>
      </c>
      <c r="E46" s="39">
        <v>0</v>
      </c>
      <c r="F46" s="10">
        <v>0</v>
      </c>
      <c r="G46" s="10">
        <v>0</v>
      </c>
      <c r="H46" s="10">
        <v>0</v>
      </c>
      <c r="I46" s="39">
        <v>0</v>
      </c>
      <c r="J46" s="55">
        <v>0</v>
      </c>
      <c r="K46" s="77">
        <f t="shared" si="2"/>
        <v>0</v>
      </c>
      <c r="L46" s="91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5" t="s">
        <v>48</v>
      </c>
      <c r="B47" s="10">
        <v>0</v>
      </c>
      <c r="C47" s="55">
        <v>0</v>
      </c>
      <c r="D47" s="77">
        <f t="shared" si="1"/>
        <v>0</v>
      </c>
      <c r="E47" s="39">
        <v>12770</v>
      </c>
      <c r="F47" s="10">
        <v>12320</v>
      </c>
      <c r="G47" s="10">
        <v>0</v>
      </c>
      <c r="H47" s="10">
        <v>11483</v>
      </c>
      <c r="I47" s="39">
        <v>0</v>
      </c>
      <c r="J47" s="55">
        <v>0</v>
      </c>
      <c r="K47" s="77">
        <f t="shared" si="2"/>
        <v>36573</v>
      </c>
      <c r="L47" s="91">
        <v>36573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18</v>
      </c>
      <c r="B48" s="10">
        <v>0</v>
      </c>
      <c r="C48" s="55">
        <v>0</v>
      </c>
      <c r="D48" s="77">
        <f t="shared" si="1"/>
        <v>0</v>
      </c>
      <c r="E48" s="39">
        <v>0</v>
      </c>
      <c r="F48" s="10">
        <v>0</v>
      </c>
      <c r="G48" s="10">
        <v>0</v>
      </c>
      <c r="H48" s="10">
        <v>0</v>
      </c>
      <c r="I48" s="39">
        <v>0</v>
      </c>
      <c r="J48" s="55">
        <v>0</v>
      </c>
      <c r="K48" s="77">
        <f t="shared" si="2"/>
        <v>0</v>
      </c>
      <c r="L48" s="91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49</v>
      </c>
      <c r="B49" s="12">
        <v>0</v>
      </c>
      <c r="C49" s="59">
        <v>0</v>
      </c>
      <c r="D49" s="78">
        <f t="shared" si="1"/>
        <v>0</v>
      </c>
      <c r="E49" s="43">
        <v>0</v>
      </c>
      <c r="F49" s="12">
        <v>0</v>
      </c>
      <c r="G49" s="12">
        <v>0</v>
      </c>
      <c r="H49" s="12">
        <v>0</v>
      </c>
      <c r="I49" s="43">
        <v>0</v>
      </c>
      <c r="J49" s="59">
        <v>0</v>
      </c>
      <c r="K49" s="78">
        <f t="shared" si="2"/>
        <v>0</v>
      </c>
      <c r="L49" s="95">
        <v>0</v>
      </c>
      <c r="M49" s="6"/>
      <c r="N49" s="6"/>
      <c r="O49" s="6"/>
      <c r="P49" s="6"/>
      <c r="Q49" s="6"/>
      <c r="R49" s="6"/>
      <c r="S49" s="6"/>
    </row>
    <row r="50" spans="1:19" x14ac:dyDescent="0.15">
      <c r="A50" s="16" t="s">
        <v>22</v>
      </c>
      <c r="B50" s="12">
        <v>1212</v>
      </c>
      <c r="C50" s="59">
        <v>0</v>
      </c>
      <c r="D50" s="78">
        <f t="shared" si="1"/>
        <v>1212</v>
      </c>
      <c r="E50" s="43">
        <v>5200</v>
      </c>
      <c r="F50" s="12">
        <v>6176</v>
      </c>
      <c r="G50" s="12">
        <v>730</v>
      </c>
      <c r="H50" s="12">
        <v>6103</v>
      </c>
      <c r="I50" s="43">
        <v>2154</v>
      </c>
      <c r="J50" s="59">
        <v>1376</v>
      </c>
      <c r="K50" s="78">
        <f t="shared" si="2"/>
        <v>21739</v>
      </c>
      <c r="L50" s="95">
        <v>22951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7" t="s">
        <v>50</v>
      </c>
      <c r="B51" s="30">
        <v>406212</v>
      </c>
      <c r="C51" s="60">
        <v>87295</v>
      </c>
      <c r="D51" s="79">
        <f t="shared" si="1"/>
        <v>493507</v>
      </c>
      <c r="E51" s="44">
        <v>382536</v>
      </c>
      <c r="F51" s="30">
        <v>346038</v>
      </c>
      <c r="G51" s="30">
        <v>187803</v>
      </c>
      <c r="H51" s="30">
        <v>345247</v>
      </c>
      <c r="I51" s="44">
        <v>395618</v>
      </c>
      <c r="J51" s="60">
        <v>372137</v>
      </c>
      <c r="K51" s="79">
        <f t="shared" si="2"/>
        <v>2029379</v>
      </c>
      <c r="L51" s="96">
        <v>2522886</v>
      </c>
      <c r="M51" s="6"/>
      <c r="N51" s="6"/>
      <c r="O51" s="6"/>
      <c r="P51" s="6"/>
      <c r="Q51" s="6"/>
      <c r="R51" s="6"/>
      <c r="S51" s="6"/>
    </row>
    <row r="52" spans="1:19" x14ac:dyDescent="0.15">
      <c r="A52" s="28" t="s">
        <v>51</v>
      </c>
      <c r="B52" s="29">
        <v>8903</v>
      </c>
      <c r="C52" s="61">
        <v>3240</v>
      </c>
      <c r="D52" s="80">
        <f t="shared" si="1"/>
        <v>12143</v>
      </c>
      <c r="E52" s="45">
        <v>4296</v>
      </c>
      <c r="F52" s="29">
        <v>3710</v>
      </c>
      <c r="G52" s="29">
        <v>4112</v>
      </c>
      <c r="H52" s="29">
        <v>3559</v>
      </c>
      <c r="I52" s="45">
        <v>3280</v>
      </c>
      <c r="J52" s="61">
        <v>4686</v>
      </c>
      <c r="K52" s="80">
        <f t="shared" si="2"/>
        <v>23643</v>
      </c>
      <c r="L52" s="97">
        <v>35786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31" t="s">
        <v>52</v>
      </c>
      <c r="B53" s="32">
        <v>8903</v>
      </c>
      <c r="C53" s="62">
        <v>3240</v>
      </c>
      <c r="D53" s="81">
        <f t="shared" si="1"/>
        <v>12143</v>
      </c>
      <c r="E53" s="46">
        <v>4296</v>
      </c>
      <c r="F53" s="32">
        <v>3710</v>
      </c>
      <c r="G53" s="32">
        <v>4112</v>
      </c>
      <c r="H53" s="32">
        <v>3559</v>
      </c>
      <c r="I53" s="46">
        <v>3280</v>
      </c>
      <c r="J53" s="62">
        <v>4686</v>
      </c>
      <c r="K53" s="81">
        <f t="shared" si="2"/>
        <v>23643</v>
      </c>
      <c r="L53" s="98">
        <v>35786</v>
      </c>
    </row>
    <row r="54" spans="1:19" ht="14.25" thickBot="1" x14ac:dyDescent="0.2">
      <c r="A54" s="33" t="s">
        <v>53</v>
      </c>
      <c r="B54" s="34">
        <v>415115</v>
      </c>
      <c r="C54" s="63">
        <v>90535</v>
      </c>
      <c r="D54" s="82">
        <f t="shared" si="1"/>
        <v>505650</v>
      </c>
      <c r="E54" s="47">
        <v>386832</v>
      </c>
      <c r="F54" s="34">
        <v>349748</v>
      </c>
      <c r="G54" s="34">
        <v>191915</v>
      </c>
      <c r="H54" s="34">
        <v>348806</v>
      </c>
      <c r="I54" s="47">
        <v>398898</v>
      </c>
      <c r="J54" s="63">
        <v>376823</v>
      </c>
      <c r="K54" s="82">
        <f t="shared" si="2"/>
        <v>2053022</v>
      </c>
      <c r="L54" s="99">
        <v>2558672</v>
      </c>
    </row>
    <row r="55" spans="1:19" x14ac:dyDescent="0.15">
      <c r="A55" s="28" t="s">
        <v>54</v>
      </c>
      <c r="B55" s="29">
        <v>20910</v>
      </c>
      <c r="C55" s="61">
        <v>0</v>
      </c>
      <c r="D55" s="80">
        <f t="shared" si="1"/>
        <v>20910</v>
      </c>
      <c r="E55" s="45">
        <v>20910</v>
      </c>
      <c r="F55" s="29">
        <v>19380</v>
      </c>
      <c r="G55" s="29">
        <v>18360</v>
      </c>
      <c r="H55" s="29">
        <v>18360</v>
      </c>
      <c r="I55" s="45">
        <v>19380</v>
      </c>
      <c r="J55" s="61">
        <v>19380</v>
      </c>
      <c r="K55" s="80">
        <f t="shared" si="2"/>
        <v>115770</v>
      </c>
      <c r="L55" s="97">
        <v>136680</v>
      </c>
    </row>
    <row r="56" spans="1:19" x14ac:dyDescent="0.15">
      <c r="A56" s="16" t="s">
        <v>55</v>
      </c>
      <c r="B56" s="12">
        <v>3690</v>
      </c>
      <c r="C56" s="59">
        <v>0</v>
      </c>
      <c r="D56" s="78">
        <f t="shared" si="1"/>
        <v>3690</v>
      </c>
      <c r="E56" s="43">
        <v>3690</v>
      </c>
      <c r="F56" s="12">
        <v>3420</v>
      </c>
      <c r="G56" s="12">
        <v>3240</v>
      </c>
      <c r="H56" s="12">
        <v>3240</v>
      </c>
      <c r="I56" s="43">
        <v>3420</v>
      </c>
      <c r="J56" s="59">
        <v>3420</v>
      </c>
      <c r="K56" s="78">
        <f t="shared" si="2"/>
        <v>20430</v>
      </c>
      <c r="L56" s="95">
        <v>24120</v>
      </c>
    </row>
    <row r="57" spans="1:19" x14ac:dyDescent="0.15">
      <c r="A57" s="16" t="s">
        <v>56</v>
      </c>
      <c r="B57" s="12">
        <v>37515</v>
      </c>
      <c r="C57" s="59">
        <v>0</v>
      </c>
      <c r="D57" s="78">
        <f t="shared" si="1"/>
        <v>37515</v>
      </c>
      <c r="E57" s="43">
        <v>37515</v>
      </c>
      <c r="F57" s="12">
        <v>34770</v>
      </c>
      <c r="G57" s="12">
        <v>32940</v>
      </c>
      <c r="H57" s="12">
        <v>32940</v>
      </c>
      <c r="I57" s="43">
        <v>34770</v>
      </c>
      <c r="J57" s="59">
        <v>34770</v>
      </c>
      <c r="K57" s="78">
        <f t="shared" si="2"/>
        <v>207705</v>
      </c>
      <c r="L57" s="95">
        <v>245220</v>
      </c>
    </row>
    <row r="58" spans="1:19" x14ac:dyDescent="0.15">
      <c r="A58" s="16" t="s">
        <v>57</v>
      </c>
      <c r="B58" s="12">
        <v>0</v>
      </c>
      <c r="C58" s="59">
        <v>0</v>
      </c>
      <c r="D58" s="78">
        <f t="shared" si="1"/>
        <v>0</v>
      </c>
      <c r="E58" s="43">
        <v>0</v>
      </c>
      <c r="F58" s="12">
        <v>0</v>
      </c>
      <c r="G58" s="12">
        <v>0</v>
      </c>
      <c r="H58" s="12">
        <v>0</v>
      </c>
      <c r="I58" s="43">
        <v>0</v>
      </c>
      <c r="J58" s="59">
        <v>0</v>
      </c>
      <c r="K58" s="78">
        <f t="shared" si="2"/>
        <v>0</v>
      </c>
      <c r="L58" s="95">
        <v>0</v>
      </c>
    </row>
    <row r="59" spans="1:19" x14ac:dyDescent="0.15">
      <c r="A59" s="16" t="s">
        <v>58</v>
      </c>
      <c r="B59" s="12">
        <v>1245</v>
      </c>
      <c r="C59" s="59">
        <v>272</v>
      </c>
      <c r="D59" s="78">
        <f t="shared" si="1"/>
        <v>1517</v>
      </c>
      <c r="E59" s="43">
        <v>1160</v>
      </c>
      <c r="F59" s="12">
        <v>1049</v>
      </c>
      <c r="G59" s="12">
        <v>576</v>
      </c>
      <c r="H59" s="12">
        <v>1046</v>
      </c>
      <c r="I59" s="43">
        <v>1197</v>
      </c>
      <c r="J59" s="59">
        <v>1130</v>
      </c>
      <c r="K59" s="78">
        <f t="shared" si="2"/>
        <v>6158</v>
      </c>
      <c r="L59" s="95">
        <v>7675</v>
      </c>
    </row>
    <row r="60" spans="1:19" x14ac:dyDescent="0.15">
      <c r="A60" s="16" t="s">
        <v>59</v>
      </c>
      <c r="B60" s="12">
        <v>0</v>
      </c>
      <c r="C60" s="59">
        <v>0</v>
      </c>
      <c r="D60" s="78">
        <f t="shared" si="1"/>
        <v>0</v>
      </c>
      <c r="E60" s="43">
        <v>0</v>
      </c>
      <c r="F60" s="12">
        <v>0</v>
      </c>
      <c r="G60" s="12">
        <v>0</v>
      </c>
      <c r="H60" s="12">
        <v>0</v>
      </c>
      <c r="I60" s="43">
        <v>0</v>
      </c>
      <c r="J60" s="59">
        <v>0</v>
      </c>
      <c r="K60" s="78">
        <f t="shared" si="2"/>
        <v>0</v>
      </c>
      <c r="L60" s="95">
        <v>0</v>
      </c>
    </row>
    <row r="61" spans="1:19" ht="14.25" thickBot="1" x14ac:dyDescent="0.2">
      <c r="A61" s="31" t="s">
        <v>60</v>
      </c>
      <c r="B61" s="32">
        <v>63360</v>
      </c>
      <c r="C61" s="62">
        <v>272</v>
      </c>
      <c r="D61" s="81">
        <f t="shared" si="1"/>
        <v>63632</v>
      </c>
      <c r="E61" s="46">
        <v>63275</v>
      </c>
      <c r="F61" s="32">
        <v>58619</v>
      </c>
      <c r="G61" s="32">
        <v>55116</v>
      </c>
      <c r="H61" s="32">
        <v>55586</v>
      </c>
      <c r="I61" s="46">
        <v>58767</v>
      </c>
      <c r="J61" s="62">
        <v>58700</v>
      </c>
      <c r="K61" s="81">
        <f t="shared" si="2"/>
        <v>350063</v>
      </c>
      <c r="L61" s="98">
        <v>413695</v>
      </c>
    </row>
    <row r="62" spans="1:19" ht="14.25" thickBot="1" x14ac:dyDescent="0.2">
      <c r="A62" s="33" t="s">
        <v>61</v>
      </c>
      <c r="B62" s="34">
        <v>342852</v>
      </c>
      <c r="C62" s="63">
        <v>87023</v>
      </c>
      <c r="D62" s="82">
        <f t="shared" si="1"/>
        <v>429875</v>
      </c>
      <c r="E62" s="47">
        <v>319261</v>
      </c>
      <c r="F62" s="34">
        <v>287419</v>
      </c>
      <c r="G62" s="34">
        <v>132687</v>
      </c>
      <c r="H62" s="34">
        <v>289661</v>
      </c>
      <c r="I62" s="47">
        <v>336851</v>
      </c>
      <c r="J62" s="63">
        <v>313437</v>
      </c>
      <c r="K62" s="82">
        <f t="shared" si="2"/>
        <v>1679316</v>
      </c>
      <c r="L62" s="99">
        <v>2109191</v>
      </c>
    </row>
    <row r="63" spans="1:19" x14ac:dyDescent="0.15">
      <c r="A63" s="28" t="s">
        <v>62</v>
      </c>
      <c r="B63" s="29">
        <v>8650</v>
      </c>
      <c r="C63" s="61">
        <v>60</v>
      </c>
      <c r="D63" s="80">
        <f t="shared" si="1"/>
        <v>8710</v>
      </c>
      <c r="E63" s="45">
        <v>7510</v>
      </c>
      <c r="F63" s="29">
        <v>7890</v>
      </c>
      <c r="G63" s="29">
        <v>780</v>
      </c>
      <c r="H63" s="29">
        <v>6350</v>
      </c>
      <c r="I63" s="45">
        <v>11390</v>
      </c>
      <c r="J63" s="61">
        <v>5650</v>
      </c>
      <c r="K63" s="80">
        <f t="shared" si="2"/>
        <v>39570</v>
      </c>
      <c r="L63" s="97">
        <v>48280</v>
      </c>
    </row>
    <row r="64" spans="1:19" x14ac:dyDescent="0.15">
      <c r="A64" s="16" t="s">
        <v>63</v>
      </c>
      <c r="B64" s="12">
        <v>0</v>
      </c>
      <c r="C64" s="59">
        <v>0</v>
      </c>
      <c r="D64" s="78">
        <f t="shared" si="1"/>
        <v>0</v>
      </c>
      <c r="E64" s="43">
        <v>0</v>
      </c>
      <c r="F64" s="12">
        <v>0</v>
      </c>
      <c r="G64" s="12">
        <v>0</v>
      </c>
      <c r="H64" s="12">
        <v>0</v>
      </c>
      <c r="I64" s="43">
        <v>0</v>
      </c>
      <c r="J64" s="59">
        <v>0</v>
      </c>
      <c r="K64" s="78">
        <f t="shared" si="2"/>
        <v>0</v>
      </c>
      <c r="L64" s="95">
        <v>0</v>
      </c>
    </row>
    <row r="65" spans="1:12" x14ac:dyDescent="0.15">
      <c r="A65" s="16" t="s">
        <v>64</v>
      </c>
      <c r="B65" s="12">
        <v>26000</v>
      </c>
      <c r="C65" s="59">
        <v>1000</v>
      </c>
      <c r="D65" s="78">
        <f t="shared" si="1"/>
        <v>27000</v>
      </c>
      <c r="E65" s="43">
        <v>16300</v>
      </c>
      <c r="F65" s="12">
        <v>17400</v>
      </c>
      <c r="G65" s="12">
        <v>13500</v>
      </c>
      <c r="H65" s="12">
        <v>9500</v>
      </c>
      <c r="I65" s="43">
        <v>15800</v>
      </c>
      <c r="J65" s="59">
        <v>22200</v>
      </c>
      <c r="K65" s="78">
        <f t="shared" si="2"/>
        <v>94700</v>
      </c>
      <c r="L65" s="95">
        <v>121700</v>
      </c>
    </row>
    <row r="66" spans="1:12" x14ac:dyDescent="0.15">
      <c r="A66" s="16" t="s">
        <v>65</v>
      </c>
      <c r="B66" s="12">
        <v>0</v>
      </c>
      <c r="C66" s="59">
        <v>0</v>
      </c>
      <c r="D66" s="78">
        <f t="shared" si="1"/>
        <v>0</v>
      </c>
      <c r="E66" s="43">
        <v>0</v>
      </c>
      <c r="F66" s="12">
        <v>0</v>
      </c>
      <c r="G66" s="12">
        <v>0</v>
      </c>
      <c r="H66" s="12">
        <v>0</v>
      </c>
      <c r="I66" s="43">
        <v>0</v>
      </c>
      <c r="J66" s="59">
        <v>0</v>
      </c>
      <c r="K66" s="78">
        <f t="shared" si="2"/>
        <v>0</v>
      </c>
      <c r="L66" s="95">
        <v>0</v>
      </c>
    </row>
    <row r="67" spans="1:12" x14ac:dyDescent="0.15">
      <c r="A67" s="16" t="s">
        <v>66</v>
      </c>
      <c r="B67" s="12">
        <v>0</v>
      </c>
      <c r="C67" s="59">
        <v>0</v>
      </c>
      <c r="D67" s="78">
        <f t="shared" si="1"/>
        <v>0</v>
      </c>
      <c r="E67" s="43">
        <v>0</v>
      </c>
      <c r="F67" s="12">
        <v>0</v>
      </c>
      <c r="G67" s="12">
        <v>0</v>
      </c>
      <c r="H67" s="12">
        <v>0</v>
      </c>
      <c r="I67" s="43">
        <v>0</v>
      </c>
      <c r="J67" s="59">
        <v>0</v>
      </c>
      <c r="K67" s="78">
        <f t="shared" si="2"/>
        <v>0</v>
      </c>
      <c r="L67" s="95">
        <v>0</v>
      </c>
    </row>
    <row r="68" spans="1:12" x14ac:dyDescent="0.15">
      <c r="A68" s="16" t="s">
        <v>67</v>
      </c>
      <c r="B68" s="12">
        <v>0</v>
      </c>
      <c r="C68" s="59">
        <v>0</v>
      </c>
      <c r="D68" s="78">
        <f t="shared" si="1"/>
        <v>0</v>
      </c>
      <c r="E68" s="43">
        <v>0</v>
      </c>
      <c r="F68" s="12">
        <v>0</v>
      </c>
      <c r="G68" s="12">
        <v>0</v>
      </c>
      <c r="H68" s="12">
        <v>0</v>
      </c>
      <c r="I68" s="43">
        <v>0</v>
      </c>
      <c r="J68" s="59">
        <v>0</v>
      </c>
      <c r="K68" s="78">
        <f t="shared" si="2"/>
        <v>0</v>
      </c>
      <c r="L68" s="95">
        <v>0</v>
      </c>
    </row>
    <row r="69" spans="1:12" x14ac:dyDescent="0.15">
      <c r="A69" s="16" t="s">
        <v>68</v>
      </c>
      <c r="B69" s="12">
        <v>0</v>
      </c>
      <c r="C69" s="59">
        <v>0</v>
      </c>
      <c r="D69" s="78">
        <f t="shared" si="1"/>
        <v>0</v>
      </c>
      <c r="E69" s="43">
        <v>0</v>
      </c>
      <c r="F69" s="12">
        <v>0</v>
      </c>
      <c r="G69" s="12">
        <v>0</v>
      </c>
      <c r="H69" s="12">
        <v>0</v>
      </c>
      <c r="I69" s="43">
        <v>0</v>
      </c>
      <c r="J69" s="59">
        <v>0</v>
      </c>
      <c r="K69" s="78">
        <f t="shared" si="2"/>
        <v>0</v>
      </c>
      <c r="L69" s="95">
        <v>0</v>
      </c>
    </row>
    <row r="70" spans="1:12" ht="14.25" thickBot="1" x14ac:dyDescent="0.2">
      <c r="A70" s="31" t="s">
        <v>69</v>
      </c>
      <c r="B70" s="32">
        <v>34650</v>
      </c>
      <c r="C70" s="62">
        <v>1060</v>
      </c>
      <c r="D70" s="81">
        <f t="shared" si="1"/>
        <v>35710</v>
      </c>
      <c r="E70" s="46">
        <v>23810</v>
      </c>
      <c r="F70" s="32">
        <v>25290</v>
      </c>
      <c r="G70" s="32">
        <v>14280</v>
      </c>
      <c r="H70" s="32">
        <v>15850</v>
      </c>
      <c r="I70" s="46">
        <v>27190</v>
      </c>
      <c r="J70" s="62">
        <v>27850</v>
      </c>
      <c r="K70" s="81">
        <f t="shared" si="2"/>
        <v>134270</v>
      </c>
      <c r="L70" s="98">
        <v>169980</v>
      </c>
    </row>
    <row r="71" spans="1:12" ht="14.25" thickBot="1" x14ac:dyDescent="0.2">
      <c r="A71" s="33" t="s">
        <v>70</v>
      </c>
      <c r="B71" s="34">
        <v>98010</v>
      </c>
      <c r="C71" s="63">
        <v>1332</v>
      </c>
      <c r="D71" s="82">
        <f t="shared" si="1"/>
        <v>99342</v>
      </c>
      <c r="E71" s="47">
        <v>87085</v>
      </c>
      <c r="F71" s="34">
        <v>83909</v>
      </c>
      <c r="G71" s="34">
        <v>69396</v>
      </c>
      <c r="H71" s="34">
        <v>71436</v>
      </c>
      <c r="I71" s="47">
        <v>85957</v>
      </c>
      <c r="J71" s="63">
        <v>86550</v>
      </c>
      <c r="K71" s="82">
        <f t="shared" si="2"/>
        <v>484333</v>
      </c>
      <c r="L71" s="99">
        <v>583675</v>
      </c>
    </row>
    <row r="72" spans="1:12" ht="14.25" thickBot="1" x14ac:dyDescent="0.2">
      <c r="A72" s="33" t="s">
        <v>71</v>
      </c>
      <c r="B72" s="34">
        <v>317105</v>
      </c>
      <c r="C72" s="63">
        <v>89203</v>
      </c>
      <c r="D72" s="82">
        <f t="shared" si="1"/>
        <v>406308</v>
      </c>
      <c r="E72" s="47">
        <v>299747</v>
      </c>
      <c r="F72" s="34">
        <v>265839</v>
      </c>
      <c r="G72" s="34">
        <v>122519</v>
      </c>
      <c r="H72" s="34">
        <v>277370</v>
      </c>
      <c r="I72" s="47">
        <v>312941</v>
      </c>
      <c r="J72" s="63">
        <v>290273</v>
      </c>
      <c r="K72" s="82">
        <f t="shared" si="2"/>
        <v>1568689</v>
      </c>
      <c r="L72" s="99">
        <v>1974997</v>
      </c>
    </row>
    <row r="73" spans="1:12" x14ac:dyDescent="0.15">
      <c r="A73" s="28" t="s">
        <v>72</v>
      </c>
      <c r="B73" s="29">
        <v>0</v>
      </c>
      <c r="C73" s="61">
        <v>0</v>
      </c>
      <c r="D73" s="80">
        <f t="shared" si="1"/>
        <v>0</v>
      </c>
      <c r="E73" s="45">
        <v>0</v>
      </c>
      <c r="F73" s="29">
        <v>0</v>
      </c>
      <c r="G73" s="29">
        <v>0</v>
      </c>
      <c r="H73" s="29">
        <v>0</v>
      </c>
      <c r="I73" s="45">
        <v>0</v>
      </c>
      <c r="J73" s="61">
        <v>0</v>
      </c>
      <c r="K73" s="80">
        <f t="shared" si="2"/>
        <v>0</v>
      </c>
      <c r="L73" s="97">
        <v>0</v>
      </c>
    </row>
    <row r="74" spans="1:12" x14ac:dyDescent="0.15">
      <c r="A74" s="16" t="s">
        <v>73</v>
      </c>
      <c r="B74" s="12">
        <v>317105</v>
      </c>
      <c r="C74" s="59">
        <v>89203</v>
      </c>
      <c r="D74" s="78">
        <f t="shared" si="1"/>
        <v>406308</v>
      </c>
      <c r="E74" s="43">
        <v>299747</v>
      </c>
      <c r="F74" s="12">
        <v>265839</v>
      </c>
      <c r="G74" s="12">
        <v>122519</v>
      </c>
      <c r="H74" s="12">
        <v>277370</v>
      </c>
      <c r="I74" s="43">
        <v>312941</v>
      </c>
      <c r="J74" s="59">
        <v>290273</v>
      </c>
      <c r="K74" s="78">
        <f t="shared" si="2"/>
        <v>1568689</v>
      </c>
      <c r="L74" s="95">
        <v>1974997</v>
      </c>
    </row>
    <row r="75" spans="1:12" x14ac:dyDescent="0.15">
      <c r="A75" s="16" t="s">
        <v>74</v>
      </c>
      <c r="B75" s="13">
        <v>33</v>
      </c>
      <c r="C75" s="64">
        <v>12</v>
      </c>
      <c r="D75" s="83"/>
      <c r="E75" s="48">
        <v>32</v>
      </c>
      <c r="F75" s="13">
        <v>32</v>
      </c>
      <c r="G75" s="13">
        <v>40</v>
      </c>
      <c r="H75" s="13">
        <v>16</v>
      </c>
      <c r="I75" s="48">
        <v>23</v>
      </c>
      <c r="J75" s="64">
        <v>22</v>
      </c>
      <c r="K75" s="83"/>
      <c r="L75" s="100">
        <v>210</v>
      </c>
    </row>
    <row r="76" spans="1:12" x14ac:dyDescent="0.15">
      <c r="A76" s="16" t="s">
        <v>75</v>
      </c>
      <c r="B76" s="14">
        <v>1</v>
      </c>
      <c r="C76" s="65"/>
      <c r="D76" s="84"/>
      <c r="E76" s="49">
        <v>1</v>
      </c>
      <c r="F76" s="14"/>
      <c r="G76" s="14">
        <v>1</v>
      </c>
      <c r="H76" s="14">
        <v>1</v>
      </c>
      <c r="I76" s="49"/>
      <c r="J76" s="65">
        <v>2</v>
      </c>
      <c r="K76" s="84"/>
      <c r="L76" s="101"/>
    </row>
    <row r="77" spans="1:12" ht="14.25" thickBot="1" x14ac:dyDescent="0.2">
      <c r="A77" s="17" t="s">
        <v>76</v>
      </c>
      <c r="B77" s="18" t="s">
        <v>77</v>
      </c>
      <c r="C77" s="66" t="s">
        <v>77</v>
      </c>
      <c r="D77" s="85"/>
      <c r="E77" s="50" t="s">
        <v>77</v>
      </c>
      <c r="F77" s="18" t="s">
        <v>77</v>
      </c>
      <c r="G77" s="18" t="s">
        <v>77</v>
      </c>
      <c r="H77" s="18" t="s">
        <v>77</v>
      </c>
      <c r="I77" s="50" t="s">
        <v>77</v>
      </c>
      <c r="J77" s="66" t="s">
        <v>77</v>
      </c>
      <c r="K77" s="85"/>
      <c r="L77" s="102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E292-25FF-4C1B-8203-10D20E0665EA}">
  <sheetPr>
    <pageSetUpPr fitToPage="1"/>
  </sheetPr>
  <dimension ref="A1:AL77"/>
  <sheetViews>
    <sheetView tabSelected="1" zoomScale="80" zoomScaleNormal="80" workbookViewId="0">
      <selection activeCell="G31" sqref="G31"/>
    </sheetView>
  </sheetViews>
  <sheetFormatPr defaultRowHeight="13.5" x14ac:dyDescent="0.15"/>
  <cols>
    <col min="1" max="1" width="17.625" style="2" customWidth="1"/>
    <col min="2" max="12" width="12.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1"/>
      <c r="C1" s="1"/>
      <c r="D1" s="1"/>
      <c r="E1" s="1"/>
      <c r="F1" s="7"/>
      <c r="G1" s="1"/>
      <c r="H1" s="8"/>
      <c r="I1" s="1"/>
      <c r="J1" s="7"/>
      <c r="K1" s="7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9" t="s">
        <v>0</v>
      </c>
      <c r="B3" s="20" t="s">
        <v>4</v>
      </c>
      <c r="C3" s="51" t="s">
        <v>4</v>
      </c>
      <c r="D3" s="68" t="s">
        <v>83</v>
      </c>
      <c r="E3" s="35" t="s">
        <v>4</v>
      </c>
      <c r="F3" s="20" t="s">
        <v>4</v>
      </c>
      <c r="G3" s="20" t="s">
        <v>4</v>
      </c>
      <c r="H3" s="20" t="s">
        <v>4</v>
      </c>
      <c r="I3" s="35" t="s">
        <v>4</v>
      </c>
      <c r="J3" s="51" t="s">
        <v>4</v>
      </c>
      <c r="K3" s="68" t="s">
        <v>83</v>
      </c>
      <c r="L3" s="86" t="s">
        <v>82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21"/>
      <c r="B4" s="22">
        <v>1029</v>
      </c>
      <c r="C4" s="52">
        <v>1033</v>
      </c>
      <c r="D4" s="69"/>
      <c r="E4" s="36">
        <v>1011</v>
      </c>
      <c r="F4" s="22">
        <v>1025</v>
      </c>
      <c r="G4" s="22">
        <v>1030</v>
      </c>
      <c r="H4" s="22">
        <v>1052</v>
      </c>
      <c r="I4" s="36">
        <v>1054</v>
      </c>
      <c r="J4" s="52">
        <v>1060</v>
      </c>
      <c r="K4" s="69"/>
      <c r="L4" s="8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21" t="s">
        <v>1</v>
      </c>
      <c r="B5" s="22" t="s">
        <v>24</v>
      </c>
      <c r="C5" s="52" t="s">
        <v>80</v>
      </c>
      <c r="D5" s="70" t="s">
        <v>84</v>
      </c>
      <c r="E5" s="36" t="s">
        <v>5</v>
      </c>
      <c r="F5" s="22" t="s">
        <v>23</v>
      </c>
      <c r="G5" s="22" t="s">
        <v>25</v>
      </c>
      <c r="H5" s="22" t="s">
        <v>26</v>
      </c>
      <c r="I5" s="36" t="s">
        <v>78</v>
      </c>
      <c r="J5" s="52" t="s">
        <v>79</v>
      </c>
      <c r="K5" s="70" t="s">
        <v>85</v>
      </c>
      <c r="L5" s="88" t="s">
        <v>81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3" t="s">
        <v>6</v>
      </c>
      <c r="B6" s="24">
        <v>19</v>
      </c>
      <c r="C6" s="53">
        <v>11</v>
      </c>
      <c r="D6" s="71">
        <f>SUM(B6:C6)</f>
        <v>30</v>
      </c>
      <c r="E6" s="37">
        <v>18</v>
      </c>
      <c r="F6" s="24">
        <v>18</v>
      </c>
      <c r="G6" s="24">
        <v>14</v>
      </c>
      <c r="H6" s="24">
        <v>18</v>
      </c>
      <c r="I6" s="37">
        <v>19</v>
      </c>
      <c r="J6" s="53">
        <v>19</v>
      </c>
      <c r="K6" s="71">
        <f>SUM(E6:J6)</f>
        <v>106</v>
      </c>
      <c r="L6" s="89">
        <v>136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5" t="s">
        <v>7</v>
      </c>
      <c r="B7" s="10"/>
      <c r="C7" s="55"/>
      <c r="D7" s="72"/>
      <c r="E7" s="38">
        <v>2</v>
      </c>
      <c r="F7" s="9">
        <v>1</v>
      </c>
      <c r="G7" s="10"/>
      <c r="H7" s="9">
        <v>2</v>
      </c>
      <c r="I7" s="38">
        <v>4</v>
      </c>
      <c r="J7" s="54">
        <v>4</v>
      </c>
      <c r="K7" s="73">
        <f>SUM(E7:J7)</f>
        <v>13</v>
      </c>
      <c r="L7" s="90">
        <v>13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5" t="s">
        <v>8</v>
      </c>
      <c r="B8" s="10"/>
      <c r="C8" s="55"/>
      <c r="D8" s="72"/>
      <c r="E8" s="39"/>
      <c r="F8" s="10"/>
      <c r="G8" s="10"/>
      <c r="H8" s="10"/>
      <c r="I8" s="38">
        <v>1</v>
      </c>
      <c r="J8" s="54">
        <v>1</v>
      </c>
      <c r="K8" s="73">
        <f>SUM(E8:J8)</f>
        <v>2</v>
      </c>
      <c r="L8" s="90">
        <v>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5" t="s">
        <v>9</v>
      </c>
      <c r="B9" s="10"/>
      <c r="C9" s="55"/>
      <c r="D9" s="72"/>
      <c r="E9" s="39"/>
      <c r="F9" s="10"/>
      <c r="G9" s="10"/>
      <c r="H9" s="10"/>
      <c r="I9" s="39"/>
      <c r="J9" s="55"/>
      <c r="K9" s="77"/>
      <c r="L9" s="9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5" t="s">
        <v>10</v>
      </c>
      <c r="B10" s="10"/>
      <c r="C10" s="54">
        <v>1</v>
      </c>
      <c r="D10" s="73">
        <f>SUM(B10:C10)</f>
        <v>1</v>
      </c>
      <c r="E10" s="39"/>
      <c r="F10" s="10"/>
      <c r="G10" s="10"/>
      <c r="H10" s="10"/>
      <c r="I10" s="39"/>
      <c r="J10" s="55"/>
      <c r="K10" s="77"/>
      <c r="L10" s="90">
        <v>1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5" t="s">
        <v>11</v>
      </c>
      <c r="B11" s="10"/>
      <c r="C11" s="55"/>
      <c r="D11" s="72"/>
      <c r="E11" s="39"/>
      <c r="F11" s="10"/>
      <c r="G11" s="10"/>
      <c r="H11" s="10"/>
      <c r="I11" s="39"/>
      <c r="J11" s="55"/>
      <c r="K11" s="77"/>
      <c r="L11" s="9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5" t="s">
        <v>12</v>
      </c>
      <c r="B12" s="10"/>
      <c r="C12" s="55"/>
      <c r="D12" s="72"/>
      <c r="E12" s="38">
        <v>1</v>
      </c>
      <c r="F12" s="9">
        <v>1</v>
      </c>
      <c r="G12" s="110">
        <v>5</v>
      </c>
      <c r="H12" s="9">
        <v>1</v>
      </c>
      <c r="I12" s="39"/>
      <c r="J12" s="55"/>
      <c r="K12" s="73">
        <f>SUM(E12:J12)</f>
        <v>8</v>
      </c>
      <c r="L12" s="90">
        <v>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5" t="s">
        <v>13</v>
      </c>
      <c r="B13" s="10"/>
      <c r="C13" s="56">
        <v>3</v>
      </c>
      <c r="D13" s="74">
        <f>SUM(B13:C13)</f>
        <v>3</v>
      </c>
      <c r="E13" s="39"/>
      <c r="F13" s="10"/>
      <c r="G13" s="10"/>
      <c r="H13" s="10"/>
      <c r="I13" s="39"/>
      <c r="J13" s="55"/>
      <c r="K13" s="77"/>
      <c r="L13" s="92">
        <v>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5" t="s">
        <v>14</v>
      </c>
      <c r="B14" s="10"/>
      <c r="C14" s="55"/>
      <c r="D14" s="72"/>
      <c r="E14" s="40">
        <v>1.5833333333333333</v>
      </c>
      <c r="F14" s="11">
        <v>1.375</v>
      </c>
      <c r="G14" s="11">
        <v>4.1666666666666664E-2</v>
      </c>
      <c r="H14" s="11">
        <v>1.625</v>
      </c>
      <c r="I14" s="40">
        <v>1.625</v>
      </c>
      <c r="J14" s="56">
        <v>1.625</v>
      </c>
      <c r="K14" s="74">
        <f>SUM(E14:J14)</f>
        <v>7.875</v>
      </c>
      <c r="L14" s="92">
        <v>7.875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5" t="s">
        <v>15</v>
      </c>
      <c r="B15" s="10"/>
      <c r="C15" s="55"/>
      <c r="D15" s="72"/>
      <c r="E15" s="40">
        <v>0.66666666666666663</v>
      </c>
      <c r="F15" s="11">
        <v>0.375</v>
      </c>
      <c r="G15" s="10"/>
      <c r="H15" s="11">
        <v>0.625</v>
      </c>
      <c r="I15" s="40">
        <v>1.4166666666666667</v>
      </c>
      <c r="J15" s="56">
        <v>1.25</v>
      </c>
      <c r="K15" s="74">
        <f t="shared" ref="K15:K16" si="0">SUM(E15:J15)</f>
        <v>4.333333333333333</v>
      </c>
      <c r="L15" s="92">
        <v>4.333333333333333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5" t="s">
        <v>16</v>
      </c>
      <c r="B16" s="10"/>
      <c r="C16" s="55"/>
      <c r="D16" s="72"/>
      <c r="E16" s="39"/>
      <c r="F16" s="10"/>
      <c r="G16" s="10"/>
      <c r="H16" s="10"/>
      <c r="I16" s="40">
        <v>0.375</v>
      </c>
      <c r="J16" s="56">
        <v>0.33333333333333331</v>
      </c>
      <c r="K16" s="74">
        <f t="shared" si="0"/>
        <v>0.70833333333333326</v>
      </c>
      <c r="L16" s="92">
        <v>0.70833333333333337</v>
      </c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5" t="s">
        <v>17</v>
      </c>
      <c r="B17" s="10"/>
      <c r="C17" s="55"/>
      <c r="D17" s="72"/>
      <c r="E17" s="39"/>
      <c r="F17" s="10"/>
      <c r="G17" s="10"/>
      <c r="H17" s="10"/>
      <c r="I17" s="39"/>
      <c r="J17" s="55"/>
      <c r="K17" s="77"/>
      <c r="L17" s="91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5" t="s">
        <v>18</v>
      </c>
      <c r="B18" s="10"/>
      <c r="C18" s="55"/>
      <c r="D18" s="72"/>
      <c r="E18" s="39"/>
      <c r="F18" s="10"/>
      <c r="G18" s="10"/>
      <c r="H18" s="10"/>
      <c r="I18" s="39"/>
      <c r="J18" s="55"/>
      <c r="K18" s="77"/>
      <c r="L18" s="91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5" t="s">
        <v>19</v>
      </c>
      <c r="B19" s="10"/>
      <c r="C19" s="55"/>
      <c r="D19" s="72"/>
      <c r="E19" s="39"/>
      <c r="F19" s="10"/>
      <c r="G19" s="10"/>
      <c r="H19" s="10"/>
      <c r="I19" s="39"/>
      <c r="J19" s="55"/>
      <c r="K19" s="77"/>
      <c r="L19" s="91"/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5" t="s">
        <v>20</v>
      </c>
      <c r="B20" s="10"/>
      <c r="C20" s="55"/>
      <c r="D20" s="72"/>
      <c r="E20" s="39"/>
      <c r="F20" s="10"/>
      <c r="G20" s="10"/>
      <c r="H20" s="10"/>
      <c r="I20" s="39"/>
      <c r="J20" s="55"/>
      <c r="K20" s="77"/>
      <c r="L20" s="91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5" t="s">
        <v>21</v>
      </c>
      <c r="B21" s="10"/>
      <c r="C21" s="56">
        <v>0.29166666666666669</v>
      </c>
      <c r="D21" s="74">
        <f>SUM(B20:C21)</f>
        <v>0.29166666666666669</v>
      </c>
      <c r="E21" s="39"/>
      <c r="F21" s="10"/>
      <c r="G21" s="10"/>
      <c r="H21" s="10"/>
      <c r="I21" s="39"/>
      <c r="J21" s="55"/>
      <c r="K21" s="77"/>
      <c r="L21" s="92">
        <v>0.29166666666666669</v>
      </c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5" t="s">
        <v>22</v>
      </c>
      <c r="B22" s="26">
        <v>8.3333333333333329E-2</v>
      </c>
      <c r="C22" s="67"/>
      <c r="D22" s="75">
        <f>SUM(B22:C22)</f>
        <v>8.3333333333333329E-2</v>
      </c>
      <c r="E22" s="41">
        <v>0.54166666666666663</v>
      </c>
      <c r="F22" s="26">
        <v>0.66666666666666663</v>
      </c>
      <c r="G22" s="26">
        <v>8.3333333333333329E-2</v>
      </c>
      <c r="H22" s="26">
        <v>0.70833333333333337</v>
      </c>
      <c r="I22" s="41">
        <v>0.25</v>
      </c>
      <c r="J22" s="57">
        <v>0.16666666666666666</v>
      </c>
      <c r="K22" s="75">
        <f>SUM(E22:J22)</f>
        <v>2.4166666666666665</v>
      </c>
      <c r="L22" s="93">
        <v>2.5</v>
      </c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3" t="s">
        <v>27</v>
      </c>
      <c r="B23" s="27">
        <v>355000</v>
      </c>
      <c r="C23" s="58">
        <v>0</v>
      </c>
      <c r="D23" s="76">
        <f>SUM(B23:C23)</f>
        <v>355000</v>
      </c>
      <c r="E23" s="42">
        <v>177000</v>
      </c>
      <c r="F23" s="27">
        <v>192000</v>
      </c>
      <c r="G23" s="27">
        <v>177000</v>
      </c>
      <c r="H23" s="27">
        <v>175000</v>
      </c>
      <c r="I23" s="42">
        <v>177000</v>
      </c>
      <c r="J23" s="58">
        <v>165000</v>
      </c>
      <c r="K23" s="76">
        <f>SUM(E23:J23)</f>
        <v>1063000</v>
      </c>
      <c r="L23" s="94">
        <v>1418000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5" t="s">
        <v>28</v>
      </c>
      <c r="B24" s="10">
        <v>0</v>
      </c>
      <c r="C24" s="55">
        <v>0</v>
      </c>
      <c r="D24" s="77">
        <f t="shared" ref="D24:D74" si="1">SUM(B24:C24)</f>
        <v>0</v>
      </c>
      <c r="E24" s="39">
        <v>0</v>
      </c>
      <c r="F24" s="10">
        <v>5000</v>
      </c>
      <c r="G24" s="10">
        <v>0</v>
      </c>
      <c r="H24" s="10">
        <v>0</v>
      </c>
      <c r="I24" s="39">
        <v>0</v>
      </c>
      <c r="J24" s="55">
        <v>0</v>
      </c>
      <c r="K24" s="77">
        <f t="shared" ref="K24:K74" si="2">SUM(E24:J24)</f>
        <v>5000</v>
      </c>
      <c r="L24" s="91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5" t="s">
        <v>29</v>
      </c>
      <c r="B25" s="10">
        <v>0</v>
      </c>
      <c r="C25" s="55">
        <v>0</v>
      </c>
      <c r="D25" s="77">
        <f t="shared" si="1"/>
        <v>0</v>
      </c>
      <c r="E25" s="39">
        <v>6000</v>
      </c>
      <c r="F25" s="10">
        <v>0</v>
      </c>
      <c r="G25" s="10">
        <v>3000</v>
      </c>
      <c r="H25" s="10">
        <v>0</v>
      </c>
      <c r="I25" s="39">
        <v>0</v>
      </c>
      <c r="J25" s="55">
        <v>0</v>
      </c>
      <c r="K25" s="77">
        <f t="shared" si="2"/>
        <v>9000</v>
      </c>
      <c r="L25" s="91">
        <v>9000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5" t="s">
        <v>30</v>
      </c>
      <c r="B26" s="10">
        <v>50000</v>
      </c>
      <c r="C26" s="55">
        <v>0</v>
      </c>
      <c r="D26" s="77">
        <f t="shared" si="1"/>
        <v>50000</v>
      </c>
      <c r="E26" s="39">
        <v>50000</v>
      </c>
      <c r="F26" s="10">
        <v>50000</v>
      </c>
      <c r="G26" s="10">
        <v>50000</v>
      </c>
      <c r="H26" s="10">
        <v>50000</v>
      </c>
      <c r="I26" s="39">
        <v>50000</v>
      </c>
      <c r="J26" s="55">
        <v>50000</v>
      </c>
      <c r="K26" s="77">
        <f t="shared" si="2"/>
        <v>300000</v>
      </c>
      <c r="L26" s="91">
        <v>350000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5" t="s">
        <v>31</v>
      </c>
      <c r="B27" s="10">
        <v>0</v>
      </c>
      <c r="C27" s="55">
        <v>0</v>
      </c>
      <c r="D27" s="77">
        <f t="shared" si="1"/>
        <v>0</v>
      </c>
      <c r="E27" s="39">
        <v>0</v>
      </c>
      <c r="F27" s="10">
        <v>0</v>
      </c>
      <c r="G27" s="10">
        <v>0</v>
      </c>
      <c r="H27" s="10">
        <v>0</v>
      </c>
      <c r="I27" s="39">
        <v>0</v>
      </c>
      <c r="J27" s="55">
        <v>0</v>
      </c>
      <c r="K27" s="77">
        <f t="shared" si="2"/>
        <v>0</v>
      </c>
      <c r="L27" s="91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5" t="s">
        <v>32</v>
      </c>
      <c r="B28" s="10">
        <v>0</v>
      </c>
      <c r="C28" s="55">
        <v>0</v>
      </c>
      <c r="D28" s="77">
        <f t="shared" si="1"/>
        <v>0</v>
      </c>
      <c r="E28" s="39">
        <v>0</v>
      </c>
      <c r="F28" s="10">
        <v>0</v>
      </c>
      <c r="G28" s="10">
        <v>0</v>
      </c>
      <c r="H28" s="10">
        <v>0</v>
      </c>
      <c r="I28" s="39">
        <v>0</v>
      </c>
      <c r="J28" s="55">
        <v>0</v>
      </c>
      <c r="K28" s="77">
        <f t="shared" si="2"/>
        <v>0</v>
      </c>
      <c r="L28" s="91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5" t="s">
        <v>33</v>
      </c>
      <c r="B29" s="10">
        <v>0</v>
      </c>
      <c r="C29" s="55">
        <v>0</v>
      </c>
      <c r="D29" s="77">
        <f t="shared" si="1"/>
        <v>0</v>
      </c>
      <c r="E29" s="39">
        <v>0</v>
      </c>
      <c r="F29" s="10">
        <v>0</v>
      </c>
      <c r="G29" s="10">
        <v>0</v>
      </c>
      <c r="H29" s="10">
        <v>0</v>
      </c>
      <c r="I29" s="39">
        <v>0</v>
      </c>
      <c r="J29" s="55">
        <v>0</v>
      </c>
      <c r="K29" s="77">
        <f t="shared" si="2"/>
        <v>0</v>
      </c>
      <c r="L29" s="91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5" t="s">
        <v>34</v>
      </c>
      <c r="B30" s="10">
        <v>0</v>
      </c>
      <c r="C30" s="55">
        <v>0</v>
      </c>
      <c r="D30" s="77">
        <f t="shared" si="1"/>
        <v>0</v>
      </c>
      <c r="E30" s="39">
        <v>0</v>
      </c>
      <c r="F30" s="10">
        <v>0</v>
      </c>
      <c r="G30" s="10">
        <v>0</v>
      </c>
      <c r="H30" s="10">
        <v>0</v>
      </c>
      <c r="I30" s="39">
        <v>0</v>
      </c>
      <c r="J30" s="55">
        <v>0</v>
      </c>
      <c r="K30" s="77">
        <f t="shared" si="2"/>
        <v>0</v>
      </c>
      <c r="L30" s="91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5" t="s">
        <v>35</v>
      </c>
      <c r="B31" s="10">
        <v>0</v>
      </c>
      <c r="C31" s="55">
        <v>79560</v>
      </c>
      <c r="D31" s="77">
        <f t="shared" si="1"/>
        <v>79560</v>
      </c>
      <c r="E31" s="39">
        <v>0</v>
      </c>
      <c r="F31" s="10">
        <v>0</v>
      </c>
      <c r="G31" s="10">
        <v>0</v>
      </c>
      <c r="H31" s="10">
        <v>0</v>
      </c>
      <c r="I31" s="39">
        <v>0</v>
      </c>
      <c r="J31" s="55">
        <v>0</v>
      </c>
      <c r="K31" s="77">
        <f t="shared" si="2"/>
        <v>0</v>
      </c>
      <c r="L31" s="91">
        <v>79560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5" t="s">
        <v>36</v>
      </c>
      <c r="B32" s="10">
        <v>0</v>
      </c>
      <c r="C32" s="55">
        <v>0</v>
      </c>
      <c r="D32" s="77">
        <f t="shared" si="1"/>
        <v>0</v>
      </c>
      <c r="E32" s="39">
        <v>0</v>
      </c>
      <c r="F32" s="10">
        <v>0</v>
      </c>
      <c r="G32" s="10">
        <v>0</v>
      </c>
      <c r="H32" s="10">
        <v>0</v>
      </c>
      <c r="I32" s="39">
        <v>0</v>
      </c>
      <c r="J32" s="55">
        <v>0</v>
      </c>
      <c r="K32" s="77">
        <f t="shared" si="2"/>
        <v>0</v>
      </c>
      <c r="L32" s="91">
        <v>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5" t="s">
        <v>37</v>
      </c>
      <c r="B33" s="10">
        <v>0</v>
      </c>
      <c r="C33" s="55">
        <v>0</v>
      </c>
      <c r="D33" s="77">
        <f t="shared" si="1"/>
        <v>0</v>
      </c>
      <c r="E33" s="39">
        <v>0</v>
      </c>
      <c r="F33" s="10">
        <v>0</v>
      </c>
      <c r="G33" s="10">
        <v>0</v>
      </c>
      <c r="H33" s="10">
        <v>0</v>
      </c>
      <c r="I33" s="39">
        <v>0</v>
      </c>
      <c r="J33" s="55">
        <v>0</v>
      </c>
      <c r="K33" s="77">
        <f t="shared" si="2"/>
        <v>0</v>
      </c>
      <c r="L33" s="91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5" t="s">
        <v>38</v>
      </c>
      <c r="B34" s="10">
        <v>0</v>
      </c>
      <c r="C34" s="55">
        <v>7735</v>
      </c>
      <c r="D34" s="77">
        <f t="shared" si="1"/>
        <v>7735</v>
      </c>
      <c r="E34" s="39">
        <v>0</v>
      </c>
      <c r="F34" s="10">
        <v>0</v>
      </c>
      <c r="G34" s="10">
        <v>0</v>
      </c>
      <c r="H34" s="10">
        <v>0</v>
      </c>
      <c r="I34" s="39">
        <v>0</v>
      </c>
      <c r="J34" s="55">
        <v>0</v>
      </c>
      <c r="K34" s="77">
        <f t="shared" si="2"/>
        <v>0</v>
      </c>
      <c r="L34" s="91">
        <v>7735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5" t="s">
        <v>39</v>
      </c>
      <c r="B35" s="10">
        <v>0</v>
      </c>
      <c r="C35" s="55">
        <v>0</v>
      </c>
      <c r="D35" s="77">
        <f t="shared" si="1"/>
        <v>0</v>
      </c>
      <c r="E35" s="39">
        <v>0</v>
      </c>
      <c r="F35" s="10">
        <v>0</v>
      </c>
      <c r="G35" s="10">
        <v>0</v>
      </c>
      <c r="H35" s="10">
        <v>0</v>
      </c>
      <c r="I35" s="39">
        <v>0</v>
      </c>
      <c r="J35" s="55">
        <v>0</v>
      </c>
      <c r="K35" s="77">
        <f t="shared" si="2"/>
        <v>0</v>
      </c>
      <c r="L35" s="91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5" t="s">
        <v>40</v>
      </c>
      <c r="B36" s="10">
        <v>0</v>
      </c>
      <c r="C36" s="55">
        <v>0</v>
      </c>
      <c r="D36" s="77">
        <f t="shared" si="1"/>
        <v>0</v>
      </c>
      <c r="E36" s="39">
        <v>0</v>
      </c>
      <c r="F36" s="10">
        <v>0</v>
      </c>
      <c r="G36" s="10">
        <v>0</v>
      </c>
      <c r="H36" s="10">
        <v>0</v>
      </c>
      <c r="I36" s="39">
        <v>0</v>
      </c>
      <c r="J36" s="55">
        <v>0</v>
      </c>
      <c r="K36" s="77">
        <f t="shared" si="2"/>
        <v>0</v>
      </c>
      <c r="L36" s="91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5" t="s">
        <v>41</v>
      </c>
      <c r="B37" s="10">
        <v>0</v>
      </c>
      <c r="C37" s="55">
        <v>0</v>
      </c>
      <c r="D37" s="77">
        <f t="shared" si="1"/>
        <v>0</v>
      </c>
      <c r="E37" s="39">
        <v>0</v>
      </c>
      <c r="F37" s="10">
        <v>0</v>
      </c>
      <c r="G37" s="10">
        <v>0</v>
      </c>
      <c r="H37" s="10">
        <v>0</v>
      </c>
      <c r="I37" s="39">
        <v>0</v>
      </c>
      <c r="J37" s="55">
        <v>0</v>
      </c>
      <c r="K37" s="77">
        <f t="shared" si="2"/>
        <v>0</v>
      </c>
      <c r="L37" s="91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5" t="s">
        <v>42</v>
      </c>
      <c r="B38" s="10">
        <v>0</v>
      </c>
      <c r="C38" s="55">
        <v>0</v>
      </c>
      <c r="D38" s="77">
        <f t="shared" si="1"/>
        <v>0</v>
      </c>
      <c r="E38" s="39">
        <v>33900</v>
      </c>
      <c r="F38" s="10">
        <v>10500</v>
      </c>
      <c r="G38" s="10">
        <v>13500</v>
      </c>
      <c r="H38" s="10">
        <v>15000</v>
      </c>
      <c r="I38" s="39">
        <v>13000</v>
      </c>
      <c r="J38" s="55">
        <v>15000</v>
      </c>
      <c r="K38" s="77">
        <f t="shared" si="2"/>
        <v>100900</v>
      </c>
      <c r="L38" s="91">
        <v>100900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5" t="s">
        <v>43</v>
      </c>
      <c r="B39" s="10">
        <v>0</v>
      </c>
      <c r="C39" s="55">
        <v>0</v>
      </c>
      <c r="D39" s="77">
        <f t="shared" si="1"/>
        <v>0</v>
      </c>
      <c r="E39" s="39">
        <v>0</v>
      </c>
      <c r="F39" s="10">
        <v>0</v>
      </c>
      <c r="G39" s="10">
        <v>0</v>
      </c>
      <c r="H39" s="10">
        <v>0</v>
      </c>
      <c r="I39" s="39">
        <v>0</v>
      </c>
      <c r="J39" s="55">
        <v>3000</v>
      </c>
      <c r="K39" s="77">
        <f t="shared" si="2"/>
        <v>3000</v>
      </c>
      <c r="L39" s="91">
        <v>3000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5" t="s">
        <v>44</v>
      </c>
      <c r="B40" s="10">
        <v>0</v>
      </c>
      <c r="C40" s="55">
        <v>0</v>
      </c>
      <c r="D40" s="77">
        <f t="shared" si="1"/>
        <v>0</v>
      </c>
      <c r="E40" s="39">
        <v>0</v>
      </c>
      <c r="F40" s="10">
        <v>0</v>
      </c>
      <c r="G40" s="10">
        <v>0</v>
      </c>
      <c r="H40" s="10">
        <v>0</v>
      </c>
      <c r="I40" s="39">
        <v>0</v>
      </c>
      <c r="J40" s="55">
        <v>0</v>
      </c>
      <c r="K40" s="77">
        <f t="shared" si="2"/>
        <v>0</v>
      </c>
      <c r="L40" s="91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5" t="s">
        <v>45</v>
      </c>
      <c r="B41" s="10">
        <v>0</v>
      </c>
      <c r="C41" s="55">
        <v>0</v>
      </c>
      <c r="D41" s="77">
        <f t="shared" si="1"/>
        <v>0</v>
      </c>
      <c r="E41" s="39">
        <v>-12770</v>
      </c>
      <c r="F41" s="10">
        <v>-12320</v>
      </c>
      <c r="G41" s="109">
        <v>-58250</v>
      </c>
      <c r="H41" s="10">
        <v>-11483</v>
      </c>
      <c r="I41" s="39">
        <v>0</v>
      </c>
      <c r="J41" s="55">
        <v>0</v>
      </c>
      <c r="K41" s="77">
        <f t="shared" si="2"/>
        <v>-94823</v>
      </c>
      <c r="L41" s="91">
        <v>-94823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5" t="s">
        <v>46</v>
      </c>
      <c r="B42" s="10">
        <v>0</v>
      </c>
      <c r="C42" s="55">
        <v>0</v>
      </c>
      <c r="D42" s="77">
        <f t="shared" si="1"/>
        <v>0</v>
      </c>
      <c r="E42" s="39">
        <v>0</v>
      </c>
      <c r="F42" s="10">
        <v>0</v>
      </c>
      <c r="G42" s="10">
        <v>0</v>
      </c>
      <c r="H42" s="10">
        <v>0</v>
      </c>
      <c r="I42" s="39">
        <v>0</v>
      </c>
      <c r="J42" s="55">
        <v>0</v>
      </c>
      <c r="K42" s="77">
        <f t="shared" si="2"/>
        <v>0</v>
      </c>
      <c r="L42" s="91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5" t="s">
        <v>14</v>
      </c>
      <c r="B43" s="10">
        <v>0</v>
      </c>
      <c r="C43" s="55">
        <v>0</v>
      </c>
      <c r="D43" s="77">
        <f t="shared" si="1"/>
        <v>0</v>
      </c>
      <c r="E43" s="39">
        <v>75924</v>
      </c>
      <c r="F43" s="10">
        <v>63624</v>
      </c>
      <c r="G43" s="10">
        <v>1823</v>
      </c>
      <c r="H43" s="10">
        <v>70044</v>
      </c>
      <c r="I43" s="39">
        <v>70044</v>
      </c>
      <c r="J43" s="55">
        <v>67119</v>
      </c>
      <c r="K43" s="77">
        <f t="shared" si="2"/>
        <v>348578</v>
      </c>
      <c r="L43" s="91">
        <v>348578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5" t="s">
        <v>7</v>
      </c>
      <c r="B44" s="10">
        <v>0</v>
      </c>
      <c r="C44" s="55">
        <v>0</v>
      </c>
      <c r="D44" s="77">
        <f t="shared" si="1"/>
        <v>0</v>
      </c>
      <c r="E44" s="39">
        <v>34512</v>
      </c>
      <c r="F44" s="10">
        <v>18738</v>
      </c>
      <c r="G44" s="10">
        <v>0</v>
      </c>
      <c r="H44" s="10">
        <v>29100</v>
      </c>
      <c r="I44" s="39">
        <v>65960</v>
      </c>
      <c r="J44" s="55">
        <v>55770</v>
      </c>
      <c r="K44" s="77">
        <f t="shared" si="2"/>
        <v>204080</v>
      </c>
      <c r="L44" s="91">
        <v>204080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5" t="s">
        <v>8</v>
      </c>
      <c r="B45" s="10">
        <v>0</v>
      </c>
      <c r="C45" s="55">
        <v>0</v>
      </c>
      <c r="D45" s="77">
        <f t="shared" si="1"/>
        <v>0</v>
      </c>
      <c r="E45" s="39">
        <v>0</v>
      </c>
      <c r="F45" s="10">
        <v>0</v>
      </c>
      <c r="G45" s="10">
        <v>0</v>
      </c>
      <c r="H45" s="10">
        <v>0</v>
      </c>
      <c r="I45" s="39">
        <v>17460</v>
      </c>
      <c r="J45" s="55">
        <v>14872</v>
      </c>
      <c r="K45" s="77">
        <f t="shared" si="2"/>
        <v>32332</v>
      </c>
      <c r="L45" s="91">
        <v>32332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5" t="s">
        <v>47</v>
      </c>
      <c r="B46" s="10">
        <v>0</v>
      </c>
      <c r="C46" s="55">
        <v>0</v>
      </c>
      <c r="D46" s="77">
        <f t="shared" si="1"/>
        <v>0</v>
      </c>
      <c r="E46" s="39">
        <v>0</v>
      </c>
      <c r="F46" s="10">
        <v>0</v>
      </c>
      <c r="G46" s="10">
        <v>0</v>
      </c>
      <c r="H46" s="10">
        <v>0</v>
      </c>
      <c r="I46" s="39">
        <v>0</v>
      </c>
      <c r="J46" s="55">
        <v>0</v>
      </c>
      <c r="K46" s="77">
        <f t="shared" si="2"/>
        <v>0</v>
      </c>
      <c r="L46" s="91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03" t="s">
        <v>48</v>
      </c>
      <c r="B47" s="104">
        <v>0</v>
      </c>
      <c r="C47" s="105">
        <v>0</v>
      </c>
      <c r="D47" s="106">
        <f t="shared" si="1"/>
        <v>0</v>
      </c>
      <c r="E47" s="107">
        <v>12770</v>
      </c>
      <c r="F47" s="104">
        <v>12320</v>
      </c>
      <c r="G47" s="104">
        <v>0</v>
      </c>
      <c r="H47" s="104">
        <v>11483</v>
      </c>
      <c r="I47" s="107">
        <v>0</v>
      </c>
      <c r="J47" s="105">
        <v>0</v>
      </c>
      <c r="K47" s="106">
        <f t="shared" si="2"/>
        <v>36573</v>
      </c>
      <c r="L47" s="108">
        <v>36573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5" t="s">
        <v>18</v>
      </c>
      <c r="B48" s="10">
        <v>0</v>
      </c>
      <c r="C48" s="55">
        <v>0</v>
      </c>
      <c r="D48" s="77">
        <f t="shared" si="1"/>
        <v>0</v>
      </c>
      <c r="E48" s="39">
        <v>0</v>
      </c>
      <c r="F48" s="10">
        <v>0</v>
      </c>
      <c r="G48" s="10">
        <v>0</v>
      </c>
      <c r="H48" s="10">
        <v>0</v>
      </c>
      <c r="I48" s="39">
        <v>0</v>
      </c>
      <c r="J48" s="55">
        <v>0</v>
      </c>
      <c r="K48" s="77">
        <f t="shared" si="2"/>
        <v>0</v>
      </c>
      <c r="L48" s="91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6" t="s">
        <v>49</v>
      </c>
      <c r="B49" s="12">
        <v>0</v>
      </c>
      <c r="C49" s="59">
        <v>0</v>
      </c>
      <c r="D49" s="78">
        <f t="shared" si="1"/>
        <v>0</v>
      </c>
      <c r="E49" s="43">
        <v>0</v>
      </c>
      <c r="F49" s="12">
        <v>0</v>
      </c>
      <c r="G49" s="12">
        <v>0</v>
      </c>
      <c r="H49" s="12">
        <v>0</v>
      </c>
      <c r="I49" s="43">
        <v>0</v>
      </c>
      <c r="J49" s="59">
        <v>0</v>
      </c>
      <c r="K49" s="78">
        <f t="shared" si="2"/>
        <v>0</v>
      </c>
      <c r="L49" s="95">
        <v>0</v>
      </c>
      <c r="M49" s="6"/>
      <c r="N49" s="6"/>
      <c r="O49" s="6"/>
      <c r="P49" s="6"/>
      <c r="Q49" s="6"/>
      <c r="R49" s="6"/>
      <c r="S49" s="6"/>
    </row>
    <row r="50" spans="1:19" x14ac:dyDescent="0.15">
      <c r="A50" s="16" t="s">
        <v>22</v>
      </c>
      <c r="B50" s="12">
        <v>1212</v>
      </c>
      <c r="C50" s="59">
        <v>0</v>
      </c>
      <c r="D50" s="78">
        <f t="shared" si="1"/>
        <v>1212</v>
      </c>
      <c r="E50" s="43">
        <v>5200</v>
      </c>
      <c r="F50" s="12">
        <v>6176</v>
      </c>
      <c r="G50" s="12">
        <v>730</v>
      </c>
      <c r="H50" s="12">
        <v>6103</v>
      </c>
      <c r="I50" s="43">
        <v>2154</v>
      </c>
      <c r="J50" s="59">
        <v>1376</v>
      </c>
      <c r="K50" s="78">
        <f t="shared" si="2"/>
        <v>21739</v>
      </c>
      <c r="L50" s="95">
        <v>22951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7" t="s">
        <v>50</v>
      </c>
      <c r="B51" s="30">
        <v>406212</v>
      </c>
      <c r="C51" s="60">
        <v>87295</v>
      </c>
      <c r="D51" s="79">
        <f t="shared" si="1"/>
        <v>493507</v>
      </c>
      <c r="E51" s="44">
        <v>382536</v>
      </c>
      <c r="F51" s="30">
        <v>346038</v>
      </c>
      <c r="G51" s="30">
        <v>187803</v>
      </c>
      <c r="H51" s="30">
        <v>345247</v>
      </c>
      <c r="I51" s="44">
        <v>395618</v>
      </c>
      <c r="J51" s="60">
        <v>372137</v>
      </c>
      <c r="K51" s="79">
        <f t="shared" si="2"/>
        <v>2029379</v>
      </c>
      <c r="L51" s="96">
        <v>2522886</v>
      </c>
      <c r="M51" s="6"/>
      <c r="N51" s="6"/>
      <c r="O51" s="6"/>
      <c r="P51" s="6"/>
      <c r="Q51" s="6"/>
      <c r="R51" s="6"/>
      <c r="S51" s="6"/>
    </row>
    <row r="52" spans="1:19" x14ac:dyDescent="0.15">
      <c r="A52" s="28" t="s">
        <v>51</v>
      </c>
      <c r="B52" s="29">
        <v>8903</v>
      </c>
      <c r="C52" s="61">
        <v>3240</v>
      </c>
      <c r="D52" s="80">
        <f t="shared" si="1"/>
        <v>12143</v>
      </c>
      <c r="E52" s="45">
        <v>4296</v>
      </c>
      <c r="F52" s="29">
        <v>3710</v>
      </c>
      <c r="G52" s="29">
        <v>4112</v>
      </c>
      <c r="H52" s="29">
        <v>3559</v>
      </c>
      <c r="I52" s="45">
        <v>3280</v>
      </c>
      <c r="J52" s="61">
        <v>4686</v>
      </c>
      <c r="K52" s="80">
        <f t="shared" si="2"/>
        <v>23643</v>
      </c>
      <c r="L52" s="97">
        <v>35786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31" t="s">
        <v>52</v>
      </c>
      <c r="B53" s="32">
        <v>8903</v>
      </c>
      <c r="C53" s="62">
        <v>3240</v>
      </c>
      <c r="D53" s="81">
        <f t="shared" si="1"/>
        <v>12143</v>
      </c>
      <c r="E53" s="46">
        <v>4296</v>
      </c>
      <c r="F53" s="32">
        <v>3710</v>
      </c>
      <c r="G53" s="32">
        <v>4112</v>
      </c>
      <c r="H53" s="32">
        <v>3559</v>
      </c>
      <c r="I53" s="46">
        <v>3280</v>
      </c>
      <c r="J53" s="62">
        <v>4686</v>
      </c>
      <c r="K53" s="81">
        <f t="shared" si="2"/>
        <v>23643</v>
      </c>
      <c r="L53" s="98">
        <v>35786</v>
      </c>
    </row>
    <row r="54" spans="1:19" ht="14.25" thickBot="1" x14ac:dyDescent="0.2">
      <c r="A54" s="33" t="s">
        <v>53</v>
      </c>
      <c r="B54" s="34">
        <v>415115</v>
      </c>
      <c r="C54" s="63">
        <v>90535</v>
      </c>
      <c r="D54" s="82">
        <f t="shared" si="1"/>
        <v>505650</v>
      </c>
      <c r="E54" s="47">
        <v>386832</v>
      </c>
      <c r="F54" s="34">
        <v>349748</v>
      </c>
      <c r="G54" s="34">
        <v>191915</v>
      </c>
      <c r="H54" s="34">
        <v>348806</v>
      </c>
      <c r="I54" s="47">
        <v>398898</v>
      </c>
      <c r="J54" s="63">
        <v>376823</v>
      </c>
      <c r="K54" s="82">
        <f t="shared" si="2"/>
        <v>2053022</v>
      </c>
      <c r="L54" s="99">
        <v>2558672</v>
      </c>
    </row>
    <row r="55" spans="1:19" x14ac:dyDescent="0.15">
      <c r="A55" s="28" t="s">
        <v>54</v>
      </c>
      <c r="B55" s="29">
        <v>20910</v>
      </c>
      <c r="C55" s="61">
        <v>0</v>
      </c>
      <c r="D55" s="80">
        <f t="shared" si="1"/>
        <v>20910</v>
      </c>
      <c r="E55" s="45">
        <v>20910</v>
      </c>
      <c r="F55" s="29">
        <v>19380</v>
      </c>
      <c r="G55" s="29">
        <v>18360</v>
      </c>
      <c r="H55" s="29">
        <v>18360</v>
      </c>
      <c r="I55" s="45">
        <v>19380</v>
      </c>
      <c r="J55" s="61">
        <v>19380</v>
      </c>
      <c r="K55" s="80">
        <f t="shared" si="2"/>
        <v>115770</v>
      </c>
      <c r="L55" s="97">
        <v>136680</v>
      </c>
    </row>
    <row r="56" spans="1:19" x14ac:dyDescent="0.15">
      <c r="A56" s="16" t="s">
        <v>55</v>
      </c>
      <c r="B56" s="12">
        <v>3690</v>
      </c>
      <c r="C56" s="59">
        <v>0</v>
      </c>
      <c r="D56" s="78">
        <f t="shared" si="1"/>
        <v>3690</v>
      </c>
      <c r="E56" s="43">
        <v>3690</v>
      </c>
      <c r="F56" s="12">
        <v>3420</v>
      </c>
      <c r="G56" s="12">
        <v>3240</v>
      </c>
      <c r="H56" s="12">
        <v>3240</v>
      </c>
      <c r="I56" s="43">
        <v>3420</v>
      </c>
      <c r="J56" s="59">
        <v>3420</v>
      </c>
      <c r="K56" s="78">
        <f t="shared" si="2"/>
        <v>20430</v>
      </c>
      <c r="L56" s="95">
        <v>24120</v>
      </c>
    </row>
    <row r="57" spans="1:19" x14ac:dyDescent="0.15">
      <c r="A57" s="16" t="s">
        <v>56</v>
      </c>
      <c r="B57" s="12">
        <v>37515</v>
      </c>
      <c r="C57" s="59">
        <v>0</v>
      </c>
      <c r="D57" s="78">
        <f t="shared" si="1"/>
        <v>37515</v>
      </c>
      <c r="E57" s="43">
        <v>37515</v>
      </c>
      <c r="F57" s="12">
        <v>34770</v>
      </c>
      <c r="G57" s="12">
        <v>32940</v>
      </c>
      <c r="H57" s="12">
        <v>32940</v>
      </c>
      <c r="I57" s="43">
        <v>34770</v>
      </c>
      <c r="J57" s="59">
        <v>34770</v>
      </c>
      <c r="K57" s="78">
        <f t="shared" si="2"/>
        <v>207705</v>
      </c>
      <c r="L57" s="95">
        <v>245220</v>
      </c>
    </row>
    <row r="58" spans="1:19" x14ac:dyDescent="0.15">
      <c r="A58" s="16" t="s">
        <v>57</v>
      </c>
      <c r="B58" s="12">
        <v>0</v>
      </c>
      <c r="C58" s="59">
        <v>0</v>
      </c>
      <c r="D58" s="78">
        <f t="shared" si="1"/>
        <v>0</v>
      </c>
      <c r="E58" s="43">
        <v>0</v>
      </c>
      <c r="F58" s="12">
        <v>0</v>
      </c>
      <c r="G58" s="12">
        <v>0</v>
      </c>
      <c r="H58" s="12">
        <v>0</v>
      </c>
      <c r="I58" s="43">
        <v>0</v>
      </c>
      <c r="J58" s="59">
        <v>0</v>
      </c>
      <c r="K58" s="78">
        <f t="shared" si="2"/>
        <v>0</v>
      </c>
      <c r="L58" s="95">
        <v>0</v>
      </c>
    </row>
    <row r="59" spans="1:19" x14ac:dyDescent="0.15">
      <c r="A59" s="16" t="s">
        <v>58</v>
      </c>
      <c r="B59" s="12">
        <v>1245</v>
      </c>
      <c r="C59" s="59">
        <v>272</v>
      </c>
      <c r="D59" s="78">
        <f t="shared" si="1"/>
        <v>1517</v>
      </c>
      <c r="E59" s="43">
        <v>1160</v>
      </c>
      <c r="F59" s="12">
        <v>1049</v>
      </c>
      <c r="G59" s="12">
        <v>576</v>
      </c>
      <c r="H59" s="12">
        <v>1046</v>
      </c>
      <c r="I59" s="43">
        <v>1197</v>
      </c>
      <c r="J59" s="59">
        <v>1130</v>
      </c>
      <c r="K59" s="78">
        <f t="shared" si="2"/>
        <v>6158</v>
      </c>
      <c r="L59" s="95">
        <v>7675</v>
      </c>
    </row>
    <row r="60" spans="1:19" x14ac:dyDescent="0.15">
      <c r="A60" s="16" t="s">
        <v>59</v>
      </c>
      <c r="B60" s="12">
        <v>0</v>
      </c>
      <c r="C60" s="59">
        <v>0</v>
      </c>
      <c r="D60" s="78">
        <f t="shared" si="1"/>
        <v>0</v>
      </c>
      <c r="E60" s="43">
        <v>0</v>
      </c>
      <c r="F60" s="12">
        <v>0</v>
      </c>
      <c r="G60" s="12">
        <v>0</v>
      </c>
      <c r="H60" s="12">
        <v>0</v>
      </c>
      <c r="I60" s="43">
        <v>0</v>
      </c>
      <c r="J60" s="59">
        <v>0</v>
      </c>
      <c r="K60" s="78">
        <f t="shared" si="2"/>
        <v>0</v>
      </c>
      <c r="L60" s="95">
        <v>0</v>
      </c>
    </row>
    <row r="61" spans="1:19" ht="14.25" thickBot="1" x14ac:dyDescent="0.2">
      <c r="A61" s="31" t="s">
        <v>60</v>
      </c>
      <c r="B61" s="32">
        <v>63360</v>
      </c>
      <c r="C61" s="62">
        <v>272</v>
      </c>
      <c r="D61" s="81">
        <f t="shared" si="1"/>
        <v>63632</v>
      </c>
      <c r="E61" s="46">
        <v>63275</v>
      </c>
      <c r="F61" s="32">
        <v>58619</v>
      </c>
      <c r="G61" s="32">
        <v>55116</v>
      </c>
      <c r="H61" s="32">
        <v>55586</v>
      </c>
      <c r="I61" s="46">
        <v>58767</v>
      </c>
      <c r="J61" s="62">
        <v>58700</v>
      </c>
      <c r="K61" s="81">
        <f t="shared" si="2"/>
        <v>350063</v>
      </c>
      <c r="L61" s="98">
        <v>413695</v>
      </c>
    </row>
    <row r="62" spans="1:19" ht="14.25" thickBot="1" x14ac:dyDescent="0.2">
      <c r="A62" s="33" t="s">
        <v>61</v>
      </c>
      <c r="B62" s="34">
        <v>342852</v>
      </c>
      <c r="C62" s="63">
        <v>87023</v>
      </c>
      <c r="D62" s="82">
        <f t="shared" si="1"/>
        <v>429875</v>
      </c>
      <c r="E62" s="47">
        <v>319261</v>
      </c>
      <c r="F62" s="34">
        <v>287419</v>
      </c>
      <c r="G62" s="34">
        <v>132687</v>
      </c>
      <c r="H62" s="34">
        <v>289661</v>
      </c>
      <c r="I62" s="47">
        <v>336851</v>
      </c>
      <c r="J62" s="63">
        <v>313437</v>
      </c>
      <c r="K62" s="82">
        <f t="shared" si="2"/>
        <v>1679316</v>
      </c>
      <c r="L62" s="99">
        <v>2109191</v>
      </c>
    </row>
    <row r="63" spans="1:19" x14ac:dyDescent="0.15">
      <c r="A63" s="28" t="s">
        <v>62</v>
      </c>
      <c r="B63" s="29">
        <v>8650</v>
      </c>
      <c r="C63" s="61">
        <v>60</v>
      </c>
      <c r="D63" s="80">
        <f t="shared" si="1"/>
        <v>8710</v>
      </c>
      <c r="E63" s="45">
        <v>7510</v>
      </c>
      <c r="F63" s="29">
        <v>7890</v>
      </c>
      <c r="G63" s="29">
        <v>780</v>
      </c>
      <c r="H63" s="29">
        <v>6350</v>
      </c>
      <c r="I63" s="45">
        <v>11390</v>
      </c>
      <c r="J63" s="61">
        <v>5650</v>
      </c>
      <c r="K63" s="80">
        <f t="shared" si="2"/>
        <v>39570</v>
      </c>
      <c r="L63" s="97">
        <v>48280</v>
      </c>
    </row>
    <row r="64" spans="1:19" x14ac:dyDescent="0.15">
      <c r="A64" s="16" t="s">
        <v>63</v>
      </c>
      <c r="B64" s="12">
        <v>0</v>
      </c>
      <c r="C64" s="59">
        <v>0</v>
      </c>
      <c r="D64" s="78">
        <f t="shared" si="1"/>
        <v>0</v>
      </c>
      <c r="E64" s="43">
        <v>0</v>
      </c>
      <c r="F64" s="12">
        <v>0</v>
      </c>
      <c r="G64" s="12">
        <v>0</v>
      </c>
      <c r="H64" s="12">
        <v>0</v>
      </c>
      <c r="I64" s="43">
        <v>0</v>
      </c>
      <c r="J64" s="59">
        <v>0</v>
      </c>
      <c r="K64" s="78">
        <f t="shared" si="2"/>
        <v>0</v>
      </c>
      <c r="L64" s="95">
        <v>0</v>
      </c>
    </row>
    <row r="65" spans="1:12" x14ac:dyDescent="0.15">
      <c r="A65" s="16" t="s">
        <v>64</v>
      </c>
      <c r="B65" s="12">
        <v>26000</v>
      </c>
      <c r="C65" s="59">
        <v>1000</v>
      </c>
      <c r="D65" s="78">
        <f t="shared" si="1"/>
        <v>27000</v>
      </c>
      <c r="E65" s="43">
        <v>16300</v>
      </c>
      <c r="F65" s="12">
        <v>17400</v>
      </c>
      <c r="G65" s="12">
        <v>13500</v>
      </c>
      <c r="H65" s="12">
        <v>9500</v>
      </c>
      <c r="I65" s="43">
        <v>15800</v>
      </c>
      <c r="J65" s="59">
        <v>22200</v>
      </c>
      <c r="K65" s="78">
        <f t="shared" si="2"/>
        <v>94700</v>
      </c>
      <c r="L65" s="95">
        <v>121700</v>
      </c>
    </row>
    <row r="66" spans="1:12" x14ac:dyDescent="0.15">
      <c r="A66" s="16" t="s">
        <v>65</v>
      </c>
      <c r="B66" s="12">
        <v>0</v>
      </c>
      <c r="C66" s="59">
        <v>0</v>
      </c>
      <c r="D66" s="78">
        <f t="shared" si="1"/>
        <v>0</v>
      </c>
      <c r="E66" s="43">
        <v>0</v>
      </c>
      <c r="F66" s="12">
        <v>0</v>
      </c>
      <c r="G66" s="12">
        <v>0</v>
      </c>
      <c r="H66" s="12">
        <v>0</v>
      </c>
      <c r="I66" s="43">
        <v>0</v>
      </c>
      <c r="J66" s="59">
        <v>0</v>
      </c>
      <c r="K66" s="78">
        <f t="shared" si="2"/>
        <v>0</v>
      </c>
      <c r="L66" s="95">
        <v>0</v>
      </c>
    </row>
    <row r="67" spans="1:12" x14ac:dyDescent="0.15">
      <c r="A67" s="16" t="s">
        <v>66</v>
      </c>
      <c r="B67" s="12">
        <v>0</v>
      </c>
      <c r="C67" s="59">
        <v>0</v>
      </c>
      <c r="D67" s="78">
        <f t="shared" si="1"/>
        <v>0</v>
      </c>
      <c r="E67" s="43">
        <v>0</v>
      </c>
      <c r="F67" s="12">
        <v>0</v>
      </c>
      <c r="G67" s="12">
        <v>0</v>
      </c>
      <c r="H67" s="12">
        <v>0</v>
      </c>
      <c r="I67" s="43">
        <v>0</v>
      </c>
      <c r="J67" s="59">
        <v>0</v>
      </c>
      <c r="K67" s="78">
        <f t="shared" si="2"/>
        <v>0</v>
      </c>
      <c r="L67" s="95">
        <v>0</v>
      </c>
    </row>
    <row r="68" spans="1:12" x14ac:dyDescent="0.15">
      <c r="A68" s="16" t="s">
        <v>67</v>
      </c>
      <c r="B68" s="12">
        <v>0</v>
      </c>
      <c r="C68" s="59">
        <v>0</v>
      </c>
      <c r="D68" s="78">
        <f t="shared" si="1"/>
        <v>0</v>
      </c>
      <c r="E68" s="43">
        <v>0</v>
      </c>
      <c r="F68" s="12">
        <v>0</v>
      </c>
      <c r="G68" s="12">
        <v>0</v>
      </c>
      <c r="H68" s="12">
        <v>0</v>
      </c>
      <c r="I68" s="43">
        <v>0</v>
      </c>
      <c r="J68" s="59">
        <v>0</v>
      </c>
      <c r="K68" s="78">
        <f t="shared" si="2"/>
        <v>0</v>
      </c>
      <c r="L68" s="95">
        <v>0</v>
      </c>
    </row>
    <row r="69" spans="1:12" x14ac:dyDescent="0.15">
      <c r="A69" s="16" t="s">
        <v>68</v>
      </c>
      <c r="B69" s="12">
        <v>0</v>
      </c>
      <c r="C69" s="59">
        <v>0</v>
      </c>
      <c r="D69" s="78">
        <f t="shared" si="1"/>
        <v>0</v>
      </c>
      <c r="E69" s="43">
        <v>0</v>
      </c>
      <c r="F69" s="12">
        <v>0</v>
      </c>
      <c r="G69" s="12">
        <v>0</v>
      </c>
      <c r="H69" s="12">
        <v>0</v>
      </c>
      <c r="I69" s="43">
        <v>0</v>
      </c>
      <c r="J69" s="59">
        <v>0</v>
      </c>
      <c r="K69" s="78">
        <f t="shared" si="2"/>
        <v>0</v>
      </c>
      <c r="L69" s="95">
        <v>0</v>
      </c>
    </row>
    <row r="70" spans="1:12" ht="14.25" thickBot="1" x14ac:dyDescent="0.2">
      <c r="A70" s="31" t="s">
        <v>69</v>
      </c>
      <c r="B70" s="32">
        <v>34650</v>
      </c>
      <c r="C70" s="62">
        <v>1060</v>
      </c>
      <c r="D70" s="81">
        <f t="shared" si="1"/>
        <v>35710</v>
      </c>
      <c r="E70" s="46">
        <v>23810</v>
      </c>
      <c r="F70" s="32">
        <v>25290</v>
      </c>
      <c r="G70" s="32">
        <v>14280</v>
      </c>
      <c r="H70" s="32">
        <v>15850</v>
      </c>
      <c r="I70" s="46">
        <v>27190</v>
      </c>
      <c r="J70" s="62">
        <v>27850</v>
      </c>
      <c r="K70" s="81">
        <f t="shared" si="2"/>
        <v>134270</v>
      </c>
      <c r="L70" s="98">
        <v>169980</v>
      </c>
    </row>
    <row r="71" spans="1:12" ht="14.25" thickBot="1" x14ac:dyDescent="0.2">
      <c r="A71" s="33" t="s">
        <v>70</v>
      </c>
      <c r="B71" s="34">
        <v>98010</v>
      </c>
      <c r="C71" s="63">
        <v>1332</v>
      </c>
      <c r="D71" s="82">
        <f t="shared" si="1"/>
        <v>99342</v>
      </c>
      <c r="E71" s="47">
        <v>87085</v>
      </c>
      <c r="F71" s="34">
        <v>83909</v>
      </c>
      <c r="G71" s="34">
        <v>69396</v>
      </c>
      <c r="H71" s="34">
        <v>71436</v>
      </c>
      <c r="I71" s="47">
        <v>85957</v>
      </c>
      <c r="J71" s="63">
        <v>86550</v>
      </c>
      <c r="K71" s="82">
        <f t="shared" si="2"/>
        <v>484333</v>
      </c>
      <c r="L71" s="99">
        <v>583675</v>
      </c>
    </row>
    <row r="72" spans="1:12" ht="14.25" thickBot="1" x14ac:dyDescent="0.2">
      <c r="A72" s="33" t="s">
        <v>71</v>
      </c>
      <c r="B72" s="34">
        <v>317105</v>
      </c>
      <c r="C72" s="63">
        <v>89203</v>
      </c>
      <c r="D72" s="82">
        <f t="shared" si="1"/>
        <v>406308</v>
      </c>
      <c r="E72" s="47">
        <v>299747</v>
      </c>
      <c r="F72" s="34">
        <v>265839</v>
      </c>
      <c r="G72" s="34">
        <v>122519</v>
      </c>
      <c r="H72" s="34">
        <v>277370</v>
      </c>
      <c r="I72" s="47">
        <v>312941</v>
      </c>
      <c r="J72" s="63">
        <v>290273</v>
      </c>
      <c r="K72" s="82">
        <f t="shared" si="2"/>
        <v>1568689</v>
      </c>
      <c r="L72" s="99">
        <v>1974997</v>
      </c>
    </row>
    <row r="73" spans="1:12" x14ac:dyDescent="0.15">
      <c r="A73" s="28" t="s">
        <v>72</v>
      </c>
      <c r="B73" s="29">
        <v>0</v>
      </c>
      <c r="C73" s="61">
        <v>0</v>
      </c>
      <c r="D73" s="80">
        <f t="shared" si="1"/>
        <v>0</v>
      </c>
      <c r="E73" s="45">
        <v>0</v>
      </c>
      <c r="F73" s="29">
        <v>0</v>
      </c>
      <c r="G73" s="29">
        <v>0</v>
      </c>
      <c r="H73" s="29">
        <v>0</v>
      </c>
      <c r="I73" s="45">
        <v>0</v>
      </c>
      <c r="J73" s="61">
        <v>0</v>
      </c>
      <c r="K73" s="80">
        <f t="shared" si="2"/>
        <v>0</v>
      </c>
      <c r="L73" s="97">
        <v>0</v>
      </c>
    </row>
    <row r="74" spans="1:12" x14ac:dyDescent="0.15">
      <c r="A74" s="16" t="s">
        <v>73</v>
      </c>
      <c r="B74" s="12">
        <v>317105</v>
      </c>
      <c r="C74" s="59">
        <v>89203</v>
      </c>
      <c r="D74" s="78">
        <f t="shared" si="1"/>
        <v>406308</v>
      </c>
      <c r="E74" s="43">
        <v>299747</v>
      </c>
      <c r="F74" s="12">
        <v>265839</v>
      </c>
      <c r="G74" s="12">
        <v>122519</v>
      </c>
      <c r="H74" s="12">
        <v>277370</v>
      </c>
      <c r="I74" s="43">
        <v>312941</v>
      </c>
      <c r="J74" s="59">
        <v>290273</v>
      </c>
      <c r="K74" s="78">
        <f t="shared" si="2"/>
        <v>1568689</v>
      </c>
      <c r="L74" s="95">
        <v>1974997</v>
      </c>
    </row>
    <row r="75" spans="1:12" x14ac:dyDescent="0.15">
      <c r="A75" s="16" t="s">
        <v>74</v>
      </c>
      <c r="B75" s="13">
        <v>33</v>
      </c>
      <c r="C75" s="64">
        <v>12</v>
      </c>
      <c r="D75" s="83"/>
      <c r="E75" s="48">
        <v>32</v>
      </c>
      <c r="F75" s="13">
        <v>32</v>
      </c>
      <c r="G75" s="13">
        <v>40</v>
      </c>
      <c r="H75" s="13">
        <v>16</v>
      </c>
      <c r="I75" s="48">
        <v>23</v>
      </c>
      <c r="J75" s="64">
        <v>22</v>
      </c>
      <c r="K75" s="83"/>
      <c r="L75" s="100">
        <v>210</v>
      </c>
    </row>
    <row r="76" spans="1:12" x14ac:dyDescent="0.15">
      <c r="A76" s="16" t="s">
        <v>75</v>
      </c>
      <c r="B76" s="14">
        <v>1</v>
      </c>
      <c r="C76" s="65"/>
      <c r="D76" s="84"/>
      <c r="E76" s="49">
        <v>1</v>
      </c>
      <c r="F76" s="14"/>
      <c r="G76" s="14">
        <v>1</v>
      </c>
      <c r="H76" s="14">
        <v>1</v>
      </c>
      <c r="I76" s="49"/>
      <c r="J76" s="65">
        <v>2</v>
      </c>
      <c r="K76" s="84"/>
      <c r="L76" s="101"/>
    </row>
    <row r="77" spans="1:12" ht="14.25" thickBot="1" x14ac:dyDescent="0.2">
      <c r="A77" s="17" t="s">
        <v>76</v>
      </c>
      <c r="B77" s="18" t="s">
        <v>77</v>
      </c>
      <c r="C77" s="66" t="s">
        <v>77</v>
      </c>
      <c r="D77" s="85"/>
      <c r="E77" s="50" t="s">
        <v>77</v>
      </c>
      <c r="F77" s="18" t="s">
        <v>77</v>
      </c>
      <c r="G77" s="18" t="s">
        <v>77</v>
      </c>
      <c r="H77" s="18" t="s">
        <v>77</v>
      </c>
      <c r="I77" s="50" t="s">
        <v>77</v>
      </c>
      <c r="J77" s="66" t="s">
        <v>77</v>
      </c>
      <c r="K77" s="85"/>
      <c r="L77" s="102"/>
    </row>
  </sheetData>
  <phoneticPr fontId="1"/>
  <pageMargins left="0.43307086614173229" right="0.35433070866141736" top="0.51181102362204722" bottom="0.35433070866141736" header="0.19685039370078741" footer="0.27559055118110237"/>
  <pageSetup paperSize="9"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1頁 (2)</vt:lpstr>
      <vt:lpstr>助成金</vt:lpstr>
      <vt:lpstr>'1頁 (2)'!Print_Area</vt:lpstr>
      <vt:lpstr>助成金!Print_Area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2021-02-19T05:19:57Z</cp:lastPrinted>
  <dcterms:created xsi:type="dcterms:W3CDTF">2011-10-11T01:59:58Z</dcterms:created>
  <dcterms:modified xsi:type="dcterms:W3CDTF">2021-02-19T05:22:29Z</dcterms:modified>
</cp:coreProperties>
</file>