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1\"/>
    </mc:Choice>
  </mc:AlternateContent>
  <xr:revisionPtr revIDLastSave="0" documentId="13_ncr:1_{49737D17-018C-4B8F-A4E7-BBB96CB0797A}" xr6:coauthVersionLast="46" xr6:coauthVersionMax="46" xr10:uidLastSave="{00000000-0000-0000-0000-000000000000}"/>
  <bookViews>
    <workbookView xWindow="0" yWindow="0" windowWidth="20490" windowHeight="10920" activeTab="1" xr2:uid="{00000000-000D-0000-FFFF-FFFF00000000}"/>
  </bookViews>
  <sheets>
    <sheet name="1頁 (2)" sheetId="2" r:id="rId1"/>
    <sheet name="助成金" sheetId="3" r:id="rId2"/>
  </sheets>
  <definedNames>
    <definedName name="_xlnm.Print_Area" localSheetId="0">'1頁 (2)'!$A$1:$N$76</definedName>
    <definedName name="_xlnm.Print_Area" localSheetId="1">助成金!$A$1:$N$76</definedName>
  </definedNames>
  <calcPr calcId="191029"/>
</workbook>
</file>

<file path=xl/calcChain.xml><?xml version="1.0" encoding="utf-8"?>
<calcChain xmlns="http://schemas.openxmlformats.org/spreadsheetml/2006/main">
  <c r="M73" i="3" l="1"/>
  <c r="E73" i="3"/>
  <c r="M72" i="3"/>
  <c r="E72" i="3"/>
  <c r="M71" i="3"/>
  <c r="E71" i="3"/>
  <c r="M70" i="3"/>
  <c r="E70" i="3"/>
  <c r="M69" i="3"/>
  <c r="E69" i="3"/>
  <c r="M68" i="3"/>
  <c r="E68" i="3"/>
  <c r="M67" i="3"/>
  <c r="E67" i="3"/>
  <c r="M66" i="3"/>
  <c r="E66" i="3"/>
  <c r="M65" i="3"/>
  <c r="E65" i="3"/>
  <c r="M64" i="3"/>
  <c r="E64" i="3"/>
  <c r="M63" i="3"/>
  <c r="E63" i="3"/>
  <c r="M62" i="3"/>
  <c r="E62" i="3"/>
  <c r="M61" i="3"/>
  <c r="E61" i="3"/>
  <c r="M60" i="3"/>
  <c r="E60" i="3"/>
  <c r="M59" i="3"/>
  <c r="E59" i="3"/>
  <c r="M58" i="3"/>
  <c r="E58" i="3"/>
  <c r="M57" i="3"/>
  <c r="E57" i="3"/>
  <c r="M56" i="3"/>
  <c r="E56" i="3"/>
  <c r="M55" i="3"/>
  <c r="E55" i="3"/>
  <c r="M54" i="3"/>
  <c r="E54" i="3"/>
  <c r="M53" i="3"/>
  <c r="E53" i="3"/>
  <c r="M52" i="3"/>
  <c r="E52" i="3"/>
  <c r="M51" i="3"/>
  <c r="E51" i="3"/>
  <c r="M50" i="3"/>
  <c r="E50" i="3"/>
  <c r="M49" i="3"/>
  <c r="E49" i="3"/>
  <c r="M48" i="3"/>
  <c r="E48" i="3"/>
  <c r="M47" i="3"/>
  <c r="E47" i="3"/>
  <c r="M46" i="3"/>
  <c r="E46" i="3"/>
  <c r="M45" i="3"/>
  <c r="E45" i="3"/>
  <c r="M44" i="3"/>
  <c r="E44" i="3"/>
  <c r="M43" i="3"/>
  <c r="E43" i="3"/>
  <c r="M42" i="3"/>
  <c r="E42" i="3"/>
  <c r="M41" i="3"/>
  <c r="E41" i="3"/>
  <c r="M40" i="3"/>
  <c r="E40" i="3"/>
  <c r="M39" i="3"/>
  <c r="E39" i="3"/>
  <c r="M38" i="3"/>
  <c r="E38" i="3"/>
  <c r="M37" i="3"/>
  <c r="E37" i="3"/>
  <c r="M36" i="3"/>
  <c r="E36" i="3"/>
  <c r="M35" i="3"/>
  <c r="E35" i="3"/>
  <c r="M34" i="3"/>
  <c r="E34" i="3"/>
  <c r="M33" i="3"/>
  <c r="E33" i="3"/>
  <c r="M32" i="3"/>
  <c r="E32" i="3"/>
  <c r="M31" i="3"/>
  <c r="E31" i="3"/>
  <c r="M30" i="3"/>
  <c r="E30" i="3"/>
  <c r="M29" i="3"/>
  <c r="E29" i="3"/>
  <c r="M28" i="3"/>
  <c r="E28" i="3"/>
  <c r="M27" i="3"/>
  <c r="E27" i="3"/>
  <c r="M26" i="3"/>
  <c r="E26" i="3"/>
  <c r="M25" i="3"/>
  <c r="E25" i="3"/>
  <c r="M24" i="3"/>
  <c r="E24" i="3"/>
  <c r="M23" i="3"/>
  <c r="E23" i="3"/>
  <c r="M22" i="3"/>
  <c r="E22" i="3"/>
  <c r="E21" i="3"/>
  <c r="M16" i="3"/>
  <c r="M15" i="3"/>
  <c r="E15" i="3"/>
  <c r="M14" i="3"/>
  <c r="E13" i="3"/>
  <c r="M12" i="3"/>
  <c r="E10" i="3"/>
  <c r="M8" i="3"/>
  <c r="E8" i="3"/>
  <c r="M7" i="3"/>
  <c r="E7" i="3"/>
  <c r="M6" i="3"/>
  <c r="E6" i="3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23" i="2"/>
  <c r="M22" i="2"/>
  <c r="M15" i="2"/>
  <c r="M16" i="2"/>
  <c r="M14" i="2"/>
  <c r="M12" i="2"/>
  <c r="M8" i="2"/>
  <c r="M7" i="2"/>
  <c r="M6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23" i="2"/>
  <c r="E22" i="2"/>
  <c r="E21" i="2"/>
  <c r="E15" i="2"/>
  <c r="E13" i="2"/>
  <c r="E10" i="2"/>
  <c r="E8" i="2"/>
  <c r="E7" i="2"/>
  <c r="E6" i="2"/>
</calcChain>
</file>

<file path=xl/sharedStrings.xml><?xml version="1.0" encoding="utf-8"?>
<sst xmlns="http://schemas.openxmlformats.org/spreadsheetml/2006/main" count="222" uniqueCount="87">
  <si>
    <t>所　属</t>
  </si>
  <si>
    <t>社　員</t>
  </si>
  <si>
    <t>2021年1月分</t>
  </si>
  <si>
    <t>若林運送株式会社</t>
  </si>
  <si>
    <t>仙台営業所</t>
  </si>
  <si>
    <t>井上　隆良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</si>
  <si>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</si>
  <si>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</si>
  <si>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</si>
  <si>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</si>
  <si>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</si>
  <si>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</si>
  <si>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</si>
  <si>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</si>
  <si>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</si>
  <si>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</si>
  <si>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</si>
  <si>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</si>
  <si>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</si>
  <si>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</si>
  <si>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</si>
  <si>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</si>
  <si>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</si>
  <si>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刈谷　俊之</t>
  </si>
  <si>
    <t>大沼　幸夫</t>
  </si>
  <si>
    <t>佐藤　禎尚</t>
  </si>
  <si>
    <t>佐藤　守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</si>
  <si>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</si>
  <si>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</si>
  <si>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</si>
  <si>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</si>
  <si>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</si>
  <si>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</si>
  <si>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</si>
  <si>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</si>
  <si>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</si>
  <si>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</si>
  <si>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</si>
  <si>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</si>
  <si>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</si>
  <si>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</si>
  <si>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</si>
  <si>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</si>
  <si>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</si>
  <si>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</si>
  <si>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</si>
  <si>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</si>
  <si>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</si>
  <si>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</si>
  <si>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</si>
  <si>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</si>
  <si>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</si>
  <si>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</si>
  <si>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</si>
  <si>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</si>
  <si>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</si>
  <si>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</si>
  <si>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</si>
  <si>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</si>
  <si>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</si>
  <si>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</si>
  <si>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</si>
  <si>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</si>
  <si>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</si>
  <si>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</si>
  <si>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</si>
  <si>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</si>
  <si>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</si>
  <si>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</si>
  <si>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</si>
  <si>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</si>
  <si>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</si>
  <si>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</si>
  <si>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</si>
  <si>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</si>
  <si>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</si>
  <si>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</si>
  <si>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高橋　徹</t>
  </si>
  <si>
    <t>髙橋　英晃</t>
  </si>
  <si>
    <t>鈴木　貴雄</t>
  </si>
  <si>
    <t>大野　翼</t>
  </si>
  <si>
    <t>佐藤　ゆうこ</t>
  </si>
  <si>
    <t>10名</t>
  </si>
  <si>
    <t>全社計</t>
  </si>
  <si>
    <t>小計</t>
    <rPh sb="0" eb="2">
      <t>ショウケイ</t>
    </rPh>
    <phoneticPr fontId="1"/>
  </si>
  <si>
    <t>３名</t>
    <rPh sb="1" eb="2">
      <t>メイ</t>
    </rPh>
    <phoneticPr fontId="1"/>
  </si>
  <si>
    <t>7名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</si>
</sst>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0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0" fontId="2" fillId="0" borderId="34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3" xfId="0" applyNumberFormat="1" applyFont="1" applyFill="1" applyBorder="1">
      <alignment vertical="center"/>
    </xf>
    <xf numFmtId="176" fontId="2" fillId="0" borderId="36" xfId="0" applyNumberFormat="1" applyFont="1" applyFill="1" applyBorder="1">
      <alignment vertical="center"/>
    </xf>
    <xf numFmtId="0" fontId="2" fillId="0" borderId="36" xfId="0" applyFont="1" applyFill="1" applyBorder="1">
      <alignment vertical="center"/>
    </xf>
    <xf numFmtId="177" fontId="2" fillId="0" borderId="36" xfId="0" applyNumberFormat="1" applyFont="1" applyFill="1" applyBorder="1">
      <alignment vertical="center"/>
    </xf>
    <xf numFmtId="179" fontId="2" fillId="0" borderId="33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6" xfId="0" applyNumberFormat="1" applyFont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0" fontId="2" fillId="0" borderId="36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77" fontId="2" fillId="0" borderId="39" xfId="0" applyNumberFormat="1" applyFont="1" applyFill="1" applyBorder="1">
      <alignment vertical="center"/>
    </xf>
    <xf numFmtId="0" fontId="2" fillId="0" borderId="37" xfId="0" applyFont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179" fontId="2" fillId="2" borderId="1" xfId="0" applyNumberFormat="1" applyFont="1" applyFill="1" applyBorder="1">
      <alignment vertical="center"/>
    </xf>
    <xf numFmtId="179" fontId="2" fillId="2" borderId="28" xfId="0" applyNumberFormat="1" applyFont="1" applyFill="1" applyBorder="1">
      <alignment vertical="center"/>
    </xf>
    <xf numFmtId="179" fontId="2" fillId="2" borderId="36" xfId="0" applyNumberFormat="1" applyFont="1" applyFill="1" applyBorder="1">
      <alignment vertical="center"/>
    </xf>
    <xf numFmtId="179" fontId="2" fillId="2" borderId="20" xfId="0" applyNumberFormat="1" applyFont="1" applyFill="1" applyBorder="1">
      <alignment vertical="center"/>
    </xf>
    <xf numFmtId="179" fontId="2" fillId="2" borderId="44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DAD6D-1633-46C6-8A75-9B0DC42C62EB}">
  <sheetPr>
    <pageSetUpPr fitToPage="1"/>
  </sheetPr>
  <dimension ref="A1:AN76"/>
  <sheetViews>
    <sheetView zoomScale="80" zoomScaleNormal="80" workbookViewId="0"/>
  </sheetViews>
  <sheetFormatPr defaultRowHeight="13.5" x14ac:dyDescent="0.15"/>
  <cols>
    <col min="1" max="1" width="17.625" style="2" customWidth="1"/>
    <col min="2" max="14" width="12.375" style="2" customWidth="1"/>
    <col min="15" max="21" width="10.5" style="2" customWidth="1"/>
    <col min="22" max="16384" width="9" style="2"/>
  </cols>
  <sheetData>
    <row r="1" spans="1:40" ht="18.75" x14ac:dyDescent="0.15">
      <c r="A1" s="1" t="s">
        <v>2</v>
      </c>
      <c r="B1" s="1"/>
      <c r="C1" s="1"/>
      <c r="D1" s="1"/>
      <c r="E1" s="1"/>
      <c r="F1" s="1"/>
      <c r="G1" s="7"/>
      <c r="H1" s="1"/>
      <c r="I1" s="8"/>
      <c r="J1" s="1"/>
      <c r="K1" s="7"/>
      <c r="L1" s="1"/>
      <c r="M1" s="1"/>
      <c r="N1" s="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4.25" thickBot="1" x14ac:dyDescent="0.2">
      <c r="A2" s="1">
        <v>13</v>
      </c>
      <c r="B2" s="1"/>
      <c r="C2" s="1"/>
      <c r="D2" s="1"/>
      <c r="E2" s="1"/>
      <c r="F2" s="1" t="s">
        <v>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15">
      <c r="A3" s="19" t="s">
        <v>0</v>
      </c>
      <c r="B3" s="20" t="s">
        <v>4</v>
      </c>
      <c r="C3" s="20" t="s">
        <v>4</v>
      </c>
      <c r="D3" s="52" t="s">
        <v>4</v>
      </c>
      <c r="E3" s="69" t="s">
        <v>84</v>
      </c>
      <c r="F3" s="36" t="s">
        <v>4</v>
      </c>
      <c r="G3" s="20" t="s">
        <v>4</v>
      </c>
      <c r="H3" s="20" t="s">
        <v>4</v>
      </c>
      <c r="I3" s="20" t="s">
        <v>4</v>
      </c>
      <c r="J3" s="36" t="s">
        <v>4</v>
      </c>
      <c r="K3" s="20" t="s">
        <v>4</v>
      </c>
      <c r="L3" s="52" t="s">
        <v>4</v>
      </c>
      <c r="M3" s="69" t="s">
        <v>84</v>
      </c>
      <c r="N3" s="85" t="s">
        <v>83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15">
      <c r="A4" s="21"/>
      <c r="B4" s="22">
        <v>1043</v>
      </c>
      <c r="C4" s="22">
        <v>1093</v>
      </c>
      <c r="D4" s="53">
        <v>1072</v>
      </c>
      <c r="E4" s="70"/>
      <c r="F4" s="37">
        <v>1046</v>
      </c>
      <c r="G4" s="22">
        <v>1083</v>
      </c>
      <c r="H4" s="22">
        <v>1084</v>
      </c>
      <c r="I4" s="22">
        <v>1037</v>
      </c>
      <c r="J4" s="37">
        <v>1038</v>
      </c>
      <c r="K4" s="22">
        <v>1042</v>
      </c>
      <c r="L4" s="53">
        <v>1091</v>
      </c>
      <c r="M4" s="70"/>
      <c r="N4" s="8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4.25" thickBot="1" x14ac:dyDescent="0.2">
      <c r="A5" s="21" t="s">
        <v>1</v>
      </c>
      <c r="B5" s="22" t="s">
        <v>79</v>
      </c>
      <c r="C5" s="22" t="s">
        <v>25</v>
      </c>
      <c r="D5" s="53" t="s">
        <v>81</v>
      </c>
      <c r="E5" s="71" t="s">
        <v>85</v>
      </c>
      <c r="F5" s="37" t="s">
        <v>5</v>
      </c>
      <c r="G5" s="22" t="s">
        <v>23</v>
      </c>
      <c r="H5" s="22" t="s">
        <v>24</v>
      </c>
      <c r="I5" s="22" t="s">
        <v>26</v>
      </c>
      <c r="J5" s="37" t="s">
        <v>77</v>
      </c>
      <c r="K5" s="22" t="s">
        <v>78</v>
      </c>
      <c r="L5" s="53" t="s">
        <v>80</v>
      </c>
      <c r="M5" s="71" t="s">
        <v>86</v>
      </c>
      <c r="N5" s="87" t="s">
        <v>82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15">
      <c r="A6" s="23" t="s">
        <v>6</v>
      </c>
      <c r="B6" s="24">
        <v>19</v>
      </c>
      <c r="C6" s="24">
        <v>19</v>
      </c>
      <c r="D6" s="54">
        <v>17</v>
      </c>
      <c r="E6" s="72">
        <f>SUM(B6:D6)</f>
        <v>55</v>
      </c>
      <c r="F6" s="38">
        <v>19</v>
      </c>
      <c r="G6" s="24">
        <v>14</v>
      </c>
      <c r="H6" s="24">
        <v>17</v>
      </c>
      <c r="I6" s="24">
        <v>16</v>
      </c>
      <c r="J6" s="38">
        <v>16</v>
      </c>
      <c r="K6" s="24">
        <v>16</v>
      </c>
      <c r="L6" s="54">
        <v>18</v>
      </c>
      <c r="M6" s="72">
        <f>SUM(F6:L6)</f>
        <v>116</v>
      </c>
      <c r="N6" s="88">
        <v>171</v>
      </c>
      <c r="O6" s="3"/>
      <c r="P6" s="3"/>
      <c r="Q6" s="3"/>
      <c r="R6" s="3"/>
      <c r="S6" s="3"/>
      <c r="T6" s="3"/>
      <c r="U6" s="3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15">
      <c r="A7" s="15" t="s">
        <v>7</v>
      </c>
      <c r="B7" s="9">
        <v>1</v>
      </c>
      <c r="C7" s="9">
        <v>1</v>
      </c>
      <c r="D7" s="56">
        <v>2</v>
      </c>
      <c r="E7" s="73">
        <f>SUM(B7:D7)</f>
        <v>4</v>
      </c>
      <c r="F7" s="39">
        <v>4</v>
      </c>
      <c r="G7" s="9">
        <v>4</v>
      </c>
      <c r="H7" s="9">
        <v>4</v>
      </c>
      <c r="I7" s="9">
        <v>4</v>
      </c>
      <c r="J7" s="39">
        <v>4</v>
      </c>
      <c r="K7" s="9">
        <v>3</v>
      </c>
      <c r="L7" s="55"/>
      <c r="M7" s="73">
        <f>SUM(F7:L7)</f>
        <v>23</v>
      </c>
      <c r="N7" s="89">
        <v>27</v>
      </c>
      <c r="O7" s="4"/>
      <c r="P7" s="4"/>
      <c r="Q7" s="4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15">
      <c r="A8" s="15" t="s">
        <v>8</v>
      </c>
      <c r="B8" s="10"/>
      <c r="C8" s="9">
        <v>1</v>
      </c>
      <c r="D8" s="55"/>
      <c r="E8" s="73">
        <f>SUM(B8:D8)</f>
        <v>1</v>
      </c>
      <c r="F8" s="39">
        <v>1</v>
      </c>
      <c r="G8" s="9">
        <v>5</v>
      </c>
      <c r="H8" s="9">
        <v>1</v>
      </c>
      <c r="I8" s="9">
        <v>5</v>
      </c>
      <c r="J8" s="39">
        <v>3</v>
      </c>
      <c r="K8" s="9">
        <v>4</v>
      </c>
      <c r="L8" s="56">
        <v>4</v>
      </c>
      <c r="M8" s="73">
        <f>SUM(F8:L8)</f>
        <v>23</v>
      </c>
      <c r="N8" s="89">
        <v>24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15">
      <c r="A9" s="15" t="s">
        <v>9</v>
      </c>
      <c r="B9" s="10"/>
      <c r="C9" s="10"/>
      <c r="D9" s="55"/>
      <c r="E9" s="74"/>
      <c r="F9" s="40"/>
      <c r="G9" s="10"/>
      <c r="H9" s="10"/>
      <c r="I9" s="10"/>
      <c r="J9" s="40"/>
      <c r="K9" s="10"/>
      <c r="L9" s="55"/>
      <c r="M9" s="77"/>
      <c r="N9" s="90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15">
      <c r="A10" s="15" t="s">
        <v>10</v>
      </c>
      <c r="B10" s="10"/>
      <c r="C10" s="10"/>
      <c r="D10" s="56">
        <v>2</v>
      </c>
      <c r="E10" s="73">
        <f>SUM(B10:D10)</f>
        <v>2</v>
      </c>
      <c r="F10" s="40"/>
      <c r="G10" s="10"/>
      <c r="H10" s="10"/>
      <c r="I10" s="10"/>
      <c r="J10" s="40"/>
      <c r="K10" s="10"/>
      <c r="L10" s="55"/>
      <c r="M10" s="77"/>
      <c r="N10" s="89">
        <v>2</v>
      </c>
      <c r="O10" s="1"/>
      <c r="P10" s="3"/>
      <c r="Q10" s="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15">
      <c r="A11" s="15" t="s">
        <v>11</v>
      </c>
      <c r="B11" s="10"/>
      <c r="C11" s="10"/>
      <c r="D11" s="55"/>
      <c r="E11" s="74"/>
      <c r="F11" s="40"/>
      <c r="G11" s="10"/>
      <c r="H11" s="10"/>
      <c r="I11" s="10"/>
      <c r="J11" s="40"/>
      <c r="K11" s="10"/>
      <c r="L11" s="55"/>
      <c r="M11" s="77"/>
      <c r="N11" s="90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15">
      <c r="A12" s="15" t="s">
        <v>12</v>
      </c>
      <c r="B12" s="10"/>
      <c r="C12" s="10"/>
      <c r="D12" s="55"/>
      <c r="E12" s="74"/>
      <c r="F12" s="40"/>
      <c r="G12" s="9">
        <v>5</v>
      </c>
      <c r="H12" s="9">
        <v>2</v>
      </c>
      <c r="I12" s="9">
        <v>3</v>
      </c>
      <c r="J12" s="39">
        <v>3</v>
      </c>
      <c r="K12" s="9">
        <v>3</v>
      </c>
      <c r="L12" s="56">
        <v>1</v>
      </c>
      <c r="M12" s="73">
        <f>SUM(F12:L12)</f>
        <v>17</v>
      </c>
      <c r="N12" s="89">
        <v>17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15">
      <c r="A13" s="15" t="s">
        <v>13</v>
      </c>
      <c r="B13" s="10"/>
      <c r="C13" s="10"/>
      <c r="D13" s="57">
        <v>3.625</v>
      </c>
      <c r="E13" s="75">
        <f>SUM(B13:D13)</f>
        <v>3.625</v>
      </c>
      <c r="F13" s="40"/>
      <c r="G13" s="10"/>
      <c r="H13" s="10"/>
      <c r="I13" s="10"/>
      <c r="J13" s="40"/>
      <c r="K13" s="10"/>
      <c r="L13" s="55"/>
      <c r="M13" s="77"/>
      <c r="N13" s="91">
        <v>3.625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15">
      <c r="A14" s="15" t="s">
        <v>14</v>
      </c>
      <c r="B14" s="10"/>
      <c r="C14" s="10"/>
      <c r="D14" s="55"/>
      <c r="E14" s="74"/>
      <c r="F14" s="41">
        <v>3.25</v>
      </c>
      <c r="G14" s="11">
        <v>2.0833333333333335</v>
      </c>
      <c r="H14" s="11">
        <v>3.9166666666666665</v>
      </c>
      <c r="I14" s="11">
        <v>2</v>
      </c>
      <c r="J14" s="41">
        <v>0.66666666666666663</v>
      </c>
      <c r="K14" s="11">
        <v>1.2916666666666667</v>
      </c>
      <c r="L14" s="57">
        <v>1.9583333333333333</v>
      </c>
      <c r="M14" s="75">
        <f>SUM(F14:L14)</f>
        <v>15.166666666666666</v>
      </c>
      <c r="N14" s="91">
        <v>15.166666666666666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15">
      <c r="A15" s="15" t="s">
        <v>15</v>
      </c>
      <c r="B15" s="10"/>
      <c r="C15" s="10"/>
      <c r="D15" s="57">
        <v>0.41666666666666669</v>
      </c>
      <c r="E15" s="75">
        <f>SUM(B15:D15)</f>
        <v>0.41666666666666669</v>
      </c>
      <c r="F15" s="41">
        <v>1.8333333333333333</v>
      </c>
      <c r="G15" s="11">
        <v>1.2916666666666667</v>
      </c>
      <c r="H15" s="11">
        <v>1.625</v>
      </c>
      <c r="I15" s="11">
        <v>1.625</v>
      </c>
      <c r="J15" s="41">
        <v>1.3333333333333333</v>
      </c>
      <c r="K15" s="11">
        <v>1.25</v>
      </c>
      <c r="L15" s="55"/>
      <c r="M15" s="75">
        <f t="shared" ref="M15:M16" si="0">SUM(F15:L15)</f>
        <v>8.9583333333333321</v>
      </c>
      <c r="N15" s="91">
        <v>9.375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15">
      <c r="A16" s="15" t="s">
        <v>16</v>
      </c>
      <c r="B16" s="10"/>
      <c r="C16" s="10"/>
      <c r="D16" s="55"/>
      <c r="E16" s="74"/>
      <c r="F16" s="41">
        <v>0.375</v>
      </c>
      <c r="G16" s="11">
        <v>1.5833333333333333</v>
      </c>
      <c r="H16" s="11">
        <v>0.5</v>
      </c>
      <c r="I16" s="11">
        <v>1.9166666666666667</v>
      </c>
      <c r="J16" s="41">
        <v>1</v>
      </c>
      <c r="K16" s="11">
        <v>1.5</v>
      </c>
      <c r="L16" s="57">
        <v>1.625</v>
      </c>
      <c r="M16" s="75">
        <f t="shared" si="0"/>
        <v>8.5</v>
      </c>
      <c r="N16" s="91">
        <v>8.5</v>
      </c>
      <c r="O16" s="5"/>
      <c r="P16" s="5"/>
      <c r="Q16" s="5"/>
      <c r="R16" s="5"/>
      <c r="S16" s="5"/>
      <c r="T16" s="5"/>
      <c r="U16" s="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15">
      <c r="A17" s="15" t="s">
        <v>17</v>
      </c>
      <c r="B17" s="10"/>
      <c r="C17" s="10"/>
      <c r="D17" s="55"/>
      <c r="E17" s="74"/>
      <c r="F17" s="40"/>
      <c r="G17" s="10"/>
      <c r="H17" s="10"/>
      <c r="I17" s="10"/>
      <c r="J17" s="40"/>
      <c r="K17" s="10"/>
      <c r="L17" s="55"/>
      <c r="M17" s="77"/>
      <c r="N17" s="90"/>
      <c r="O17" s="5"/>
      <c r="P17" s="5"/>
      <c r="Q17" s="5"/>
      <c r="R17" s="5"/>
      <c r="S17" s="5"/>
      <c r="T17" s="5"/>
      <c r="U17" s="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15">
      <c r="A18" s="15" t="s">
        <v>18</v>
      </c>
      <c r="B18" s="10"/>
      <c r="C18" s="10"/>
      <c r="D18" s="55"/>
      <c r="E18" s="74"/>
      <c r="F18" s="40"/>
      <c r="G18" s="10"/>
      <c r="H18" s="10"/>
      <c r="I18" s="10"/>
      <c r="J18" s="40"/>
      <c r="K18" s="10"/>
      <c r="L18" s="55"/>
      <c r="M18" s="77"/>
      <c r="N18" s="90"/>
      <c r="O18" s="5"/>
      <c r="P18" s="5"/>
      <c r="Q18" s="5"/>
      <c r="R18" s="5"/>
      <c r="S18" s="5"/>
      <c r="T18" s="5"/>
      <c r="U18" s="5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15">
      <c r="A19" s="15" t="s">
        <v>19</v>
      </c>
      <c r="B19" s="10"/>
      <c r="C19" s="10"/>
      <c r="D19" s="55"/>
      <c r="E19" s="74"/>
      <c r="F19" s="40"/>
      <c r="G19" s="10"/>
      <c r="H19" s="10"/>
      <c r="I19" s="10"/>
      <c r="J19" s="40"/>
      <c r="K19" s="10"/>
      <c r="L19" s="55"/>
      <c r="M19" s="77"/>
      <c r="N19" s="90"/>
      <c r="O19" s="5"/>
      <c r="P19" s="5"/>
      <c r="Q19" s="5"/>
      <c r="R19" s="5"/>
      <c r="S19" s="5"/>
      <c r="T19" s="5"/>
      <c r="U19" s="5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15">
      <c r="A20" s="15" t="s">
        <v>20</v>
      </c>
      <c r="B20" s="10"/>
      <c r="C20" s="10"/>
      <c r="D20" s="55"/>
      <c r="E20" s="74"/>
      <c r="F20" s="40"/>
      <c r="G20" s="10"/>
      <c r="H20" s="10"/>
      <c r="I20" s="10"/>
      <c r="J20" s="40"/>
      <c r="K20" s="10"/>
      <c r="L20" s="55"/>
      <c r="M20" s="77"/>
      <c r="N20" s="90"/>
      <c r="O20" s="5"/>
      <c r="P20" s="5"/>
      <c r="Q20" s="5"/>
      <c r="R20" s="5"/>
      <c r="S20" s="5"/>
      <c r="T20" s="5"/>
      <c r="U20" s="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15">
      <c r="A21" s="15" t="s">
        <v>21</v>
      </c>
      <c r="B21" s="10"/>
      <c r="C21" s="10"/>
      <c r="D21" s="57">
        <v>0.41666666666666669</v>
      </c>
      <c r="E21" s="75">
        <f>SUM(B21:D21)</f>
        <v>0.41666666666666669</v>
      </c>
      <c r="F21" s="40"/>
      <c r="G21" s="10"/>
      <c r="H21" s="10"/>
      <c r="I21" s="10"/>
      <c r="J21" s="40"/>
      <c r="K21" s="10"/>
      <c r="L21" s="55"/>
      <c r="M21" s="77"/>
      <c r="N21" s="91">
        <v>0.41666666666666669</v>
      </c>
      <c r="O21" s="5"/>
      <c r="P21" s="5"/>
      <c r="Q21" s="5"/>
      <c r="R21" s="5"/>
      <c r="S21" s="5"/>
      <c r="T21" s="5"/>
      <c r="U21" s="5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4.25" thickBot="1" x14ac:dyDescent="0.2">
      <c r="A22" s="25" t="s">
        <v>22</v>
      </c>
      <c r="B22" s="26">
        <v>0.41666666666666669</v>
      </c>
      <c r="C22" s="27"/>
      <c r="D22" s="68"/>
      <c r="E22" s="75">
        <f>SUM(B22:D22)</f>
        <v>0.41666666666666669</v>
      </c>
      <c r="F22" s="42">
        <v>0.75</v>
      </c>
      <c r="G22" s="26">
        <v>1.2916666666666667</v>
      </c>
      <c r="H22" s="26">
        <v>1.25</v>
      </c>
      <c r="I22" s="26">
        <v>1.3333333333333333</v>
      </c>
      <c r="J22" s="42">
        <v>3.75</v>
      </c>
      <c r="K22" s="26">
        <v>2.8333333333333335</v>
      </c>
      <c r="L22" s="58">
        <v>0.91666666666666663</v>
      </c>
      <c r="M22" s="102">
        <f>SUM(F22:L22)</f>
        <v>12.125</v>
      </c>
      <c r="N22" s="92">
        <v>12.541666666666666</v>
      </c>
      <c r="O22" s="5"/>
      <c r="P22" s="5"/>
      <c r="Q22" s="5"/>
      <c r="R22" s="5"/>
      <c r="S22" s="5"/>
      <c r="T22" s="5"/>
      <c r="U22" s="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15">
      <c r="A23" s="23" t="s">
        <v>27</v>
      </c>
      <c r="B23" s="28">
        <v>335000</v>
      </c>
      <c r="C23" s="28">
        <v>335000</v>
      </c>
      <c r="D23" s="59">
        <v>0</v>
      </c>
      <c r="E23" s="76">
        <f>SUM(B23:D23)</f>
        <v>670000</v>
      </c>
      <c r="F23" s="43">
        <v>182000</v>
      </c>
      <c r="G23" s="28">
        <v>170000</v>
      </c>
      <c r="H23" s="28">
        <v>170000</v>
      </c>
      <c r="I23" s="28">
        <v>182000</v>
      </c>
      <c r="J23" s="43">
        <v>177000</v>
      </c>
      <c r="K23" s="28">
        <v>177000</v>
      </c>
      <c r="L23" s="59">
        <v>170000</v>
      </c>
      <c r="M23" s="76">
        <f>SUM(F23:L23)</f>
        <v>1228000</v>
      </c>
      <c r="N23" s="93">
        <v>1898000</v>
      </c>
      <c r="O23" s="5"/>
      <c r="P23" s="5"/>
      <c r="Q23" s="5"/>
      <c r="R23" s="5"/>
      <c r="S23" s="5"/>
      <c r="T23" s="5"/>
      <c r="U23" s="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15">
      <c r="A24" s="15" t="s">
        <v>28</v>
      </c>
      <c r="B24" s="10">
        <v>0</v>
      </c>
      <c r="C24" s="10">
        <v>0</v>
      </c>
      <c r="D24" s="55">
        <v>0</v>
      </c>
      <c r="E24" s="77">
        <f t="shared" ref="E24:E73" si="1">SUM(B24:D24)</f>
        <v>0</v>
      </c>
      <c r="F24" s="40">
        <v>0</v>
      </c>
      <c r="G24" s="10">
        <v>0</v>
      </c>
      <c r="H24" s="10">
        <v>0</v>
      </c>
      <c r="I24" s="10">
        <v>5000</v>
      </c>
      <c r="J24" s="40">
        <v>0</v>
      </c>
      <c r="K24" s="10">
        <v>0</v>
      </c>
      <c r="L24" s="55">
        <v>0</v>
      </c>
      <c r="M24" s="77">
        <f t="shared" ref="M24:M73" si="2">SUM(F24:L24)</f>
        <v>5000</v>
      </c>
      <c r="N24" s="90">
        <v>5000</v>
      </c>
      <c r="O24" s="5"/>
      <c r="P24" s="5"/>
      <c r="Q24" s="5"/>
      <c r="R24" s="5"/>
      <c r="S24" s="5"/>
      <c r="T24" s="5"/>
      <c r="U24" s="5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15">
      <c r="A25" s="15" t="s">
        <v>29</v>
      </c>
      <c r="B25" s="10">
        <v>0</v>
      </c>
      <c r="C25" s="10">
        <v>0</v>
      </c>
      <c r="D25" s="55">
        <v>0</v>
      </c>
      <c r="E25" s="77">
        <f t="shared" si="1"/>
        <v>0</v>
      </c>
      <c r="F25" s="40">
        <v>0</v>
      </c>
      <c r="G25" s="10">
        <v>0</v>
      </c>
      <c r="H25" s="10">
        <v>0</v>
      </c>
      <c r="I25" s="10">
        <v>3000</v>
      </c>
      <c r="J25" s="40">
        <v>10000</v>
      </c>
      <c r="K25" s="10">
        <v>0</v>
      </c>
      <c r="L25" s="55">
        <v>0</v>
      </c>
      <c r="M25" s="77">
        <f t="shared" si="2"/>
        <v>13000</v>
      </c>
      <c r="N25" s="90">
        <v>13000</v>
      </c>
      <c r="O25" s="5"/>
      <c r="P25" s="5"/>
      <c r="Q25" s="5"/>
      <c r="R25" s="5"/>
      <c r="S25" s="5"/>
      <c r="T25" s="5"/>
      <c r="U25" s="5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15">
      <c r="A26" s="15" t="s">
        <v>30</v>
      </c>
      <c r="B26" s="10">
        <v>0</v>
      </c>
      <c r="C26" s="10">
        <v>0</v>
      </c>
      <c r="D26" s="55">
        <v>0</v>
      </c>
      <c r="E26" s="77">
        <f t="shared" si="1"/>
        <v>0</v>
      </c>
      <c r="F26" s="40">
        <v>0</v>
      </c>
      <c r="G26" s="10">
        <v>0</v>
      </c>
      <c r="H26" s="10">
        <v>0</v>
      </c>
      <c r="I26" s="10">
        <v>0</v>
      </c>
      <c r="J26" s="40">
        <v>0</v>
      </c>
      <c r="K26" s="10">
        <v>0</v>
      </c>
      <c r="L26" s="55">
        <v>0</v>
      </c>
      <c r="M26" s="77">
        <f t="shared" si="2"/>
        <v>0</v>
      </c>
      <c r="N26" s="90">
        <v>0</v>
      </c>
      <c r="O26" s="5"/>
      <c r="P26" s="5"/>
      <c r="Q26" s="5"/>
      <c r="R26" s="5"/>
      <c r="S26" s="5"/>
      <c r="T26" s="5"/>
      <c r="U26" s="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15">
      <c r="A27" s="15" t="s">
        <v>31</v>
      </c>
      <c r="B27" s="10">
        <v>0</v>
      </c>
      <c r="C27" s="10">
        <v>0</v>
      </c>
      <c r="D27" s="55">
        <v>0</v>
      </c>
      <c r="E27" s="77">
        <f t="shared" si="1"/>
        <v>0</v>
      </c>
      <c r="F27" s="40">
        <v>0</v>
      </c>
      <c r="G27" s="10">
        <v>0</v>
      </c>
      <c r="H27" s="10">
        <v>0</v>
      </c>
      <c r="I27" s="10">
        <v>0</v>
      </c>
      <c r="J27" s="40">
        <v>0</v>
      </c>
      <c r="K27" s="10">
        <v>0</v>
      </c>
      <c r="L27" s="55">
        <v>0</v>
      </c>
      <c r="M27" s="77">
        <f t="shared" si="2"/>
        <v>0</v>
      </c>
      <c r="N27" s="90">
        <v>0</v>
      </c>
      <c r="O27" s="5"/>
      <c r="P27" s="5"/>
      <c r="Q27" s="5"/>
      <c r="R27" s="5"/>
      <c r="S27" s="5"/>
      <c r="T27" s="5"/>
      <c r="U27" s="5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15">
      <c r="A28" s="15" t="s">
        <v>32</v>
      </c>
      <c r="B28" s="10">
        <v>0</v>
      </c>
      <c r="C28" s="10">
        <v>0</v>
      </c>
      <c r="D28" s="55">
        <v>0</v>
      </c>
      <c r="E28" s="77">
        <f t="shared" si="1"/>
        <v>0</v>
      </c>
      <c r="F28" s="40">
        <v>0</v>
      </c>
      <c r="G28" s="10">
        <v>0</v>
      </c>
      <c r="H28" s="10">
        <v>0</v>
      </c>
      <c r="I28" s="10">
        <v>0</v>
      </c>
      <c r="J28" s="40">
        <v>0</v>
      </c>
      <c r="K28" s="10">
        <v>0</v>
      </c>
      <c r="L28" s="55">
        <v>0</v>
      </c>
      <c r="M28" s="77">
        <f t="shared" si="2"/>
        <v>0</v>
      </c>
      <c r="N28" s="90">
        <v>0</v>
      </c>
      <c r="O28" s="5"/>
      <c r="P28" s="5"/>
      <c r="Q28" s="5"/>
      <c r="R28" s="5"/>
      <c r="S28" s="5"/>
      <c r="T28" s="5"/>
      <c r="U28" s="5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15">
      <c r="A29" s="15" t="s">
        <v>33</v>
      </c>
      <c r="B29" s="10">
        <v>0</v>
      </c>
      <c r="C29" s="10">
        <v>0</v>
      </c>
      <c r="D29" s="55">
        <v>0</v>
      </c>
      <c r="E29" s="77">
        <f t="shared" si="1"/>
        <v>0</v>
      </c>
      <c r="F29" s="40">
        <v>0</v>
      </c>
      <c r="G29" s="10">
        <v>0</v>
      </c>
      <c r="H29" s="10">
        <v>0</v>
      </c>
      <c r="I29" s="10">
        <v>0</v>
      </c>
      <c r="J29" s="40">
        <v>0</v>
      </c>
      <c r="K29" s="10">
        <v>0</v>
      </c>
      <c r="L29" s="55">
        <v>0</v>
      </c>
      <c r="M29" s="77">
        <f t="shared" si="2"/>
        <v>0</v>
      </c>
      <c r="N29" s="90">
        <v>0</v>
      </c>
      <c r="O29" s="5"/>
      <c r="P29" s="5"/>
      <c r="Q29" s="5"/>
      <c r="R29" s="5"/>
      <c r="S29" s="5"/>
      <c r="T29" s="5"/>
      <c r="U29" s="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15">
      <c r="A30" s="15" t="s">
        <v>34</v>
      </c>
      <c r="B30" s="10">
        <v>0</v>
      </c>
      <c r="C30" s="10">
        <v>0</v>
      </c>
      <c r="D30" s="55">
        <v>0</v>
      </c>
      <c r="E30" s="77">
        <f t="shared" si="1"/>
        <v>0</v>
      </c>
      <c r="F30" s="40">
        <v>0</v>
      </c>
      <c r="G30" s="10">
        <v>0</v>
      </c>
      <c r="H30" s="10">
        <v>0</v>
      </c>
      <c r="I30" s="10">
        <v>0</v>
      </c>
      <c r="J30" s="40">
        <v>0</v>
      </c>
      <c r="K30" s="10">
        <v>0</v>
      </c>
      <c r="L30" s="55">
        <v>0</v>
      </c>
      <c r="M30" s="77">
        <f t="shared" si="2"/>
        <v>0</v>
      </c>
      <c r="N30" s="90">
        <v>0</v>
      </c>
      <c r="O30" s="5"/>
      <c r="P30" s="5"/>
      <c r="Q30" s="5"/>
      <c r="R30" s="5"/>
      <c r="S30" s="5"/>
      <c r="T30" s="5"/>
      <c r="U30" s="5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15">
      <c r="A31" s="15" t="s">
        <v>35</v>
      </c>
      <c r="B31" s="10">
        <v>0</v>
      </c>
      <c r="C31" s="10">
        <v>0</v>
      </c>
      <c r="D31" s="55">
        <v>75690</v>
      </c>
      <c r="E31" s="77">
        <f t="shared" si="1"/>
        <v>75690</v>
      </c>
      <c r="F31" s="40">
        <v>0</v>
      </c>
      <c r="G31" s="10">
        <v>0</v>
      </c>
      <c r="H31" s="10">
        <v>0</v>
      </c>
      <c r="I31" s="10">
        <v>0</v>
      </c>
      <c r="J31" s="40">
        <v>0</v>
      </c>
      <c r="K31" s="10">
        <v>0</v>
      </c>
      <c r="L31" s="55">
        <v>0</v>
      </c>
      <c r="M31" s="77">
        <f t="shared" si="2"/>
        <v>0</v>
      </c>
      <c r="N31" s="90">
        <v>75690</v>
      </c>
      <c r="O31" s="5"/>
      <c r="P31" s="5"/>
      <c r="Q31" s="5"/>
      <c r="R31" s="5"/>
      <c r="S31" s="5"/>
      <c r="T31" s="5"/>
      <c r="U31" s="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15">
      <c r="A32" s="15" t="s">
        <v>36</v>
      </c>
      <c r="B32" s="10">
        <v>0</v>
      </c>
      <c r="C32" s="10">
        <v>0</v>
      </c>
      <c r="D32" s="55">
        <v>0</v>
      </c>
      <c r="E32" s="77">
        <f t="shared" si="1"/>
        <v>0</v>
      </c>
      <c r="F32" s="40">
        <v>0</v>
      </c>
      <c r="G32" s="10">
        <v>0</v>
      </c>
      <c r="H32" s="10">
        <v>0</v>
      </c>
      <c r="I32" s="10">
        <v>0</v>
      </c>
      <c r="J32" s="40">
        <v>0</v>
      </c>
      <c r="K32" s="10">
        <v>0</v>
      </c>
      <c r="L32" s="55">
        <v>0</v>
      </c>
      <c r="M32" s="77">
        <f t="shared" si="2"/>
        <v>0</v>
      </c>
      <c r="N32" s="90">
        <v>0</v>
      </c>
      <c r="O32" s="5"/>
      <c r="P32" s="5"/>
      <c r="Q32" s="5"/>
      <c r="R32" s="5"/>
      <c r="S32" s="5"/>
      <c r="T32" s="5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15">
      <c r="A33" s="15" t="s">
        <v>37</v>
      </c>
      <c r="B33" s="10">
        <v>0</v>
      </c>
      <c r="C33" s="10">
        <v>0</v>
      </c>
      <c r="D33" s="55">
        <v>0</v>
      </c>
      <c r="E33" s="77">
        <f t="shared" si="1"/>
        <v>0</v>
      </c>
      <c r="F33" s="40">
        <v>0</v>
      </c>
      <c r="G33" s="10">
        <v>0</v>
      </c>
      <c r="H33" s="10">
        <v>0</v>
      </c>
      <c r="I33" s="10">
        <v>0</v>
      </c>
      <c r="J33" s="40">
        <v>0</v>
      </c>
      <c r="K33" s="10">
        <v>0</v>
      </c>
      <c r="L33" s="55">
        <v>0</v>
      </c>
      <c r="M33" s="77">
        <f t="shared" si="2"/>
        <v>0</v>
      </c>
      <c r="N33" s="90">
        <v>0</v>
      </c>
      <c r="O33" s="5"/>
      <c r="P33" s="5"/>
      <c r="Q33" s="5"/>
      <c r="R33" s="5"/>
      <c r="S33" s="5"/>
      <c r="T33" s="5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15">
      <c r="A34" s="15" t="s">
        <v>38</v>
      </c>
      <c r="B34" s="10">
        <v>0</v>
      </c>
      <c r="C34" s="10">
        <v>0</v>
      </c>
      <c r="D34" s="55">
        <v>8700</v>
      </c>
      <c r="E34" s="77">
        <f t="shared" si="1"/>
        <v>8700</v>
      </c>
      <c r="F34" s="40">
        <v>0</v>
      </c>
      <c r="G34" s="10">
        <v>0</v>
      </c>
      <c r="H34" s="10">
        <v>0</v>
      </c>
      <c r="I34" s="10">
        <v>0</v>
      </c>
      <c r="J34" s="40">
        <v>0</v>
      </c>
      <c r="K34" s="10">
        <v>0</v>
      </c>
      <c r="L34" s="55">
        <v>0</v>
      </c>
      <c r="M34" s="77">
        <f t="shared" si="2"/>
        <v>0</v>
      </c>
      <c r="N34" s="90">
        <v>8700</v>
      </c>
      <c r="O34" s="5"/>
      <c r="P34" s="5"/>
      <c r="Q34" s="5"/>
      <c r="R34" s="5"/>
      <c r="S34" s="5"/>
      <c r="T34" s="5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15">
      <c r="A35" s="15" t="s">
        <v>39</v>
      </c>
      <c r="B35" s="10">
        <v>0</v>
      </c>
      <c r="C35" s="10">
        <v>0</v>
      </c>
      <c r="D35" s="55">
        <v>0</v>
      </c>
      <c r="E35" s="77">
        <f t="shared" si="1"/>
        <v>0</v>
      </c>
      <c r="F35" s="40">
        <v>0</v>
      </c>
      <c r="G35" s="10">
        <v>0</v>
      </c>
      <c r="H35" s="10">
        <v>0</v>
      </c>
      <c r="I35" s="10">
        <v>0</v>
      </c>
      <c r="J35" s="40">
        <v>0</v>
      </c>
      <c r="K35" s="10">
        <v>0</v>
      </c>
      <c r="L35" s="55">
        <v>0</v>
      </c>
      <c r="M35" s="77">
        <f t="shared" si="2"/>
        <v>0</v>
      </c>
      <c r="N35" s="90">
        <v>0</v>
      </c>
      <c r="O35" s="5"/>
      <c r="P35" s="5"/>
      <c r="Q35" s="5"/>
      <c r="R35" s="5"/>
      <c r="S35" s="5"/>
      <c r="T35" s="5"/>
      <c r="U35" s="5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15">
      <c r="A36" s="15" t="s">
        <v>40</v>
      </c>
      <c r="B36" s="10">
        <v>0</v>
      </c>
      <c r="C36" s="10">
        <v>0</v>
      </c>
      <c r="D36" s="55">
        <v>0</v>
      </c>
      <c r="E36" s="77">
        <f t="shared" si="1"/>
        <v>0</v>
      </c>
      <c r="F36" s="40">
        <v>0</v>
      </c>
      <c r="G36" s="10">
        <v>0</v>
      </c>
      <c r="H36" s="10">
        <v>0</v>
      </c>
      <c r="I36" s="10">
        <v>0</v>
      </c>
      <c r="J36" s="40">
        <v>0</v>
      </c>
      <c r="K36" s="10">
        <v>0</v>
      </c>
      <c r="L36" s="55">
        <v>0</v>
      </c>
      <c r="M36" s="77">
        <f t="shared" si="2"/>
        <v>0</v>
      </c>
      <c r="N36" s="90">
        <v>0</v>
      </c>
      <c r="O36" s="5"/>
      <c r="P36" s="5"/>
      <c r="Q36" s="5"/>
      <c r="R36" s="5"/>
      <c r="S36" s="5"/>
      <c r="T36" s="5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15">
      <c r="A37" s="15" t="s">
        <v>41</v>
      </c>
      <c r="B37" s="10">
        <v>0</v>
      </c>
      <c r="C37" s="10">
        <v>0</v>
      </c>
      <c r="D37" s="55">
        <v>0</v>
      </c>
      <c r="E37" s="77">
        <f t="shared" si="1"/>
        <v>0</v>
      </c>
      <c r="F37" s="40">
        <v>0</v>
      </c>
      <c r="G37" s="10">
        <v>0</v>
      </c>
      <c r="H37" s="10">
        <v>0</v>
      </c>
      <c r="I37" s="10">
        <v>0</v>
      </c>
      <c r="J37" s="40">
        <v>0</v>
      </c>
      <c r="K37" s="10">
        <v>0</v>
      </c>
      <c r="L37" s="55">
        <v>0</v>
      </c>
      <c r="M37" s="77">
        <f t="shared" si="2"/>
        <v>0</v>
      </c>
      <c r="N37" s="90">
        <v>0</v>
      </c>
      <c r="O37" s="5"/>
      <c r="P37" s="5"/>
      <c r="Q37" s="5"/>
      <c r="R37" s="5"/>
      <c r="S37" s="5"/>
      <c r="T37" s="5"/>
      <c r="U37" s="5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15">
      <c r="A38" s="15" t="s">
        <v>42</v>
      </c>
      <c r="B38" s="10">
        <v>0</v>
      </c>
      <c r="C38" s="10">
        <v>0</v>
      </c>
      <c r="D38" s="55">
        <v>0</v>
      </c>
      <c r="E38" s="77">
        <f t="shared" si="1"/>
        <v>0</v>
      </c>
      <c r="F38" s="40">
        <v>0</v>
      </c>
      <c r="G38" s="10">
        <v>0</v>
      </c>
      <c r="H38" s="10">
        <v>0</v>
      </c>
      <c r="I38" s="10">
        <v>0</v>
      </c>
      <c r="J38" s="40">
        <v>12600</v>
      </c>
      <c r="K38" s="10">
        <v>0</v>
      </c>
      <c r="L38" s="55">
        <v>0</v>
      </c>
      <c r="M38" s="77">
        <f t="shared" si="2"/>
        <v>12600</v>
      </c>
      <c r="N38" s="90">
        <v>12600</v>
      </c>
      <c r="O38" s="5"/>
      <c r="P38" s="5"/>
      <c r="Q38" s="5"/>
      <c r="R38" s="5"/>
      <c r="S38" s="5"/>
      <c r="T38" s="5"/>
      <c r="U38" s="5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15">
      <c r="A39" s="15" t="s">
        <v>43</v>
      </c>
      <c r="B39" s="10">
        <v>0</v>
      </c>
      <c r="C39" s="10">
        <v>0</v>
      </c>
      <c r="D39" s="55">
        <v>0</v>
      </c>
      <c r="E39" s="77">
        <f t="shared" si="1"/>
        <v>0</v>
      </c>
      <c r="F39" s="40">
        <v>3000</v>
      </c>
      <c r="G39" s="10">
        <v>0</v>
      </c>
      <c r="H39" s="10">
        <v>3000</v>
      </c>
      <c r="I39" s="10">
        <v>3000</v>
      </c>
      <c r="J39" s="40">
        <v>0</v>
      </c>
      <c r="K39" s="10">
        <v>0</v>
      </c>
      <c r="L39" s="55">
        <v>0</v>
      </c>
      <c r="M39" s="77">
        <f t="shared" si="2"/>
        <v>9000</v>
      </c>
      <c r="N39" s="90">
        <v>9000</v>
      </c>
      <c r="O39" s="5"/>
      <c r="P39" s="5"/>
      <c r="Q39" s="5"/>
      <c r="R39" s="5"/>
      <c r="S39" s="5"/>
      <c r="T39" s="5"/>
      <c r="U39" s="5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15">
      <c r="A40" s="15" t="s">
        <v>44</v>
      </c>
      <c r="B40" s="10">
        <v>0</v>
      </c>
      <c r="C40" s="10">
        <v>0</v>
      </c>
      <c r="D40" s="55">
        <v>0</v>
      </c>
      <c r="E40" s="77">
        <f t="shared" si="1"/>
        <v>0</v>
      </c>
      <c r="F40" s="40">
        <v>0</v>
      </c>
      <c r="G40" s="10">
        <v>0</v>
      </c>
      <c r="H40" s="10">
        <v>0</v>
      </c>
      <c r="I40" s="10">
        <v>0</v>
      </c>
      <c r="J40" s="40">
        <v>0</v>
      </c>
      <c r="K40" s="10">
        <v>0</v>
      </c>
      <c r="L40" s="55">
        <v>0</v>
      </c>
      <c r="M40" s="77">
        <f t="shared" si="2"/>
        <v>0</v>
      </c>
      <c r="N40" s="90">
        <v>0</v>
      </c>
      <c r="O40" s="5"/>
      <c r="P40" s="5"/>
      <c r="Q40" s="5"/>
      <c r="R40" s="5"/>
      <c r="S40" s="5"/>
      <c r="T40" s="5"/>
      <c r="U40" s="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15">
      <c r="A41" s="15" t="s">
        <v>45</v>
      </c>
      <c r="B41" s="10">
        <v>0</v>
      </c>
      <c r="C41" s="10">
        <v>0</v>
      </c>
      <c r="D41" s="55">
        <v>0</v>
      </c>
      <c r="E41" s="77">
        <f t="shared" si="1"/>
        <v>0</v>
      </c>
      <c r="F41" s="40">
        <v>0</v>
      </c>
      <c r="G41" s="10">
        <v>-40665</v>
      </c>
      <c r="H41" s="10">
        <v>-16266</v>
      </c>
      <c r="I41" s="10">
        <v>-27270</v>
      </c>
      <c r="J41" s="40">
        <v>-28650</v>
      </c>
      <c r="K41" s="10">
        <v>-25404</v>
      </c>
      <c r="L41" s="55">
        <v>-8133</v>
      </c>
      <c r="M41" s="77">
        <f t="shared" si="2"/>
        <v>-146388</v>
      </c>
      <c r="N41" s="90">
        <v>-146388</v>
      </c>
      <c r="O41" s="5"/>
      <c r="P41" s="5"/>
      <c r="Q41" s="5"/>
      <c r="R41" s="5"/>
      <c r="S41" s="5"/>
      <c r="T41" s="5"/>
      <c r="U41" s="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15">
      <c r="A42" s="15" t="s">
        <v>46</v>
      </c>
      <c r="B42" s="10">
        <v>0</v>
      </c>
      <c r="C42" s="10">
        <v>0</v>
      </c>
      <c r="D42" s="55">
        <v>0</v>
      </c>
      <c r="E42" s="77">
        <f t="shared" si="1"/>
        <v>0</v>
      </c>
      <c r="F42" s="40">
        <v>0</v>
      </c>
      <c r="G42" s="10">
        <v>0</v>
      </c>
      <c r="H42" s="10">
        <v>0</v>
      </c>
      <c r="I42" s="10">
        <v>0</v>
      </c>
      <c r="J42" s="40">
        <v>0</v>
      </c>
      <c r="K42" s="10">
        <v>0</v>
      </c>
      <c r="L42" s="55">
        <v>0</v>
      </c>
      <c r="M42" s="77">
        <f t="shared" si="2"/>
        <v>0</v>
      </c>
      <c r="N42" s="90">
        <v>0</v>
      </c>
      <c r="O42" s="5"/>
      <c r="P42" s="5"/>
      <c r="Q42" s="5"/>
      <c r="R42" s="5"/>
      <c r="S42" s="5"/>
      <c r="T42" s="5"/>
      <c r="U42" s="5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15">
      <c r="A43" s="15" t="s">
        <v>14</v>
      </c>
      <c r="B43" s="10">
        <v>0</v>
      </c>
      <c r="C43" s="10">
        <v>0</v>
      </c>
      <c r="D43" s="55">
        <v>0</v>
      </c>
      <c r="E43" s="77">
        <f t="shared" si="1"/>
        <v>0</v>
      </c>
      <c r="F43" s="40">
        <v>106314</v>
      </c>
      <c r="G43" s="10">
        <v>63650</v>
      </c>
      <c r="H43" s="10">
        <v>119662</v>
      </c>
      <c r="I43" s="10">
        <v>68304</v>
      </c>
      <c r="J43" s="40">
        <v>23904</v>
      </c>
      <c r="K43" s="10">
        <v>41075</v>
      </c>
      <c r="L43" s="55">
        <v>59831</v>
      </c>
      <c r="M43" s="77">
        <f t="shared" si="2"/>
        <v>482740</v>
      </c>
      <c r="N43" s="90">
        <v>482740</v>
      </c>
      <c r="O43" s="5"/>
      <c r="P43" s="5"/>
      <c r="Q43" s="5"/>
      <c r="R43" s="5"/>
      <c r="S43" s="5"/>
      <c r="T43" s="5"/>
      <c r="U43" s="5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15">
      <c r="A44" s="15" t="s">
        <v>7</v>
      </c>
      <c r="B44" s="10">
        <v>0</v>
      </c>
      <c r="C44" s="10">
        <v>0</v>
      </c>
      <c r="D44" s="55">
        <v>11750</v>
      </c>
      <c r="E44" s="77">
        <f t="shared" si="1"/>
        <v>11750</v>
      </c>
      <c r="F44" s="40">
        <v>64768</v>
      </c>
      <c r="G44" s="10">
        <v>42594</v>
      </c>
      <c r="H44" s="10">
        <v>53586</v>
      </c>
      <c r="I44" s="10">
        <v>59904</v>
      </c>
      <c r="J44" s="40">
        <v>51616</v>
      </c>
      <c r="K44" s="10">
        <v>42930</v>
      </c>
      <c r="L44" s="55">
        <v>0</v>
      </c>
      <c r="M44" s="77">
        <f t="shared" si="2"/>
        <v>315398</v>
      </c>
      <c r="N44" s="90">
        <v>327148</v>
      </c>
      <c r="O44" s="5"/>
      <c r="P44" s="5"/>
      <c r="Q44" s="5"/>
      <c r="R44" s="5"/>
      <c r="S44" s="5"/>
      <c r="T44" s="5"/>
      <c r="U44" s="5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15">
      <c r="A45" s="15" t="s">
        <v>8</v>
      </c>
      <c r="B45" s="10">
        <v>0</v>
      </c>
      <c r="C45" s="10">
        <v>0</v>
      </c>
      <c r="D45" s="55">
        <v>0</v>
      </c>
      <c r="E45" s="77">
        <f t="shared" si="1"/>
        <v>0</v>
      </c>
      <c r="F45" s="40">
        <v>13248</v>
      </c>
      <c r="G45" s="10">
        <v>52212</v>
      </c>
      <c r="H45" s="10">
        <v>16488</v>
      </c>
      <c r="I45" s="10">
        <v>70656</v>
      </c>
      <c r="J45" s="40">
        <v>38712</v>
      </c>
      <c r="K45" s="10">
        <v>51516</v>
      </c>
      <c r="L45" s="55">
        <v>53586</v>
      </c>
      <c r="M45" s="77">
        <f t="shared" si="2"/>
        <v>296418</v>
      </c>
      <c r="N45" s="90">
        <v>296418</v>
      </c>
      <c r="O45" s="5"/>
      <c r="P45" s="5"/>
      <c r="Q45" s="5"/>
      <c r="R45" s="5"/>
      <c r="S45" s="5"/>
      <c r="T45" s="5"/>
      <c r="U45" s="5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15">
      <c r="A46" s="15" t="s">
        <v>47</v>
      </c>
      <c r="B46" s="10">
        <v>0</v>
      </c>
      <c r="C46" s="10">
        <v>0</v>
      </c>
      <c r="D46" s="55">
        <v>0</v>
      </c>
      <c r="E46" s="77">
        <f t="shared" si="1"/>
        <v>0</v>
      </c>
      <c r="F46" s="40">
        <v>0</v>
      </c>
      <c r="G46" s="10">
        <v>0</v>
      </c>
      <c r="H46" s="10">
        <v>0</v>
      </c>
      <c r="I46" s="10">
        <v>0</v>
      </c>
      <c r="J46" s="40">
        <v>0</v>
      </c>
      <c r="K46" s="10">
        <v>0</v>
      </c>
      <c r="L46" s="55">
        <v>0</v>
      </c>
      <c r="M46" s="77">
        <f t="shared" si="2"/>
        <v>0</v>
      </c>
      <c r="N46" s="90">
        <v>0</v>
      </c>
      <c r="O46" s="5"/>
      <c r="P46" s="5"/>
      <c r="Q46" s="5"/>
      <c r="R46" s="5"/>
      <c r="S46" s="5"/>
      <c r="T46" s="5"/>
      <c r="U46" s="5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15">
      <c r="A47" s="15" t="s">
        <v>48</v>
      </c>
      <c r="B47" s="10">
        <v>0</v>
      </c>
      <c r="C47" s="10">
        <v>0</v>
      </c>
      <c r="D47" s="55">
        <v>0</v>
      </c>
      <c r="E47" s="77">
        <f t="shared" si="1"/>
        <v>0</v>
      </c>
      <c r="F47" s="40">
        <v>0</v>
      </c>
      <c r="G47" s="10">
        <v>40665</v>
      </c>
      <c r="H47" s="10">
        <v>16266</v>
      </c>
      <c r="I47" s="10">
        <v>27270</v>
      </c>
      <c r="J47" s="40">
        <v>28650</v>
      </c>
      <c r="K47" s="10">
        <v>25404</v>
      </c>
      <c r="L47" s="55">
        <v>8133</v>
      </c>
      <c r="M47" s="77">
        <f t="shared" si="2"/>
        <v>146388</v>
      </c>
      <c r="N47" s="90">
        <v>146388</v>
      </c>
      <c r="O47" s="5"/>
      <c r="P47" s="5"/>
      <c r="Q47" s="5"/>
      <c r="R47" s="5"/>
      <c r="S47" s="5"/>
      <c r="T47" s="5"/>
      <c r="U47" s="5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15">
      <c r="A48" s="15" t="s">
        <v>18</v>
      </c>
      <c r="B48" s="10">
        <v>0</v>
      </c>
      <c r="C48" s="10">
        <v>0</v>
      </c>
      <c r="D48" s="55">
        <v>0</v>
      </c>
      <c r="E48" s="77">
        <f t="shared" si="1"/>
        <v>0</v>
      </c>
      <c r="F48" s="40">
        <v>0</v>
      </c>
      <c r="G48" s="10">
        <v>0</v>
      </c>
      <c r="H48" s="10">
        <v>0</v>
      </c>
      <c r="I48" s="10">
        <v>0</v>
      </c>
      <c r="J48" s="40">
        <v>0</v>
      </c>
      <c r="K48" s="10">
        <v>0</v>
      </c>
      <c r="L48" s="55">
        <v>0</v>
      </c>
      <c r="M48" s="77">
        <f t="shared" si="2"/>
        <v>0</v>
      </c>
      <c r="N48" s="90">
        <v>0</v>
      </c>
      <c r="O48" s="5"/>
      <c r="P48" s="5"/>
      <c r="Q48" s="5"/>
      <c r="R48" s="5"/>
      <c r="S48" s="5"/>
      <c r="T48" s="5"/>
      <c r="U48" s="5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21" x14ac:dyDescent="0.15">
      <c r="A49" s="16" t="s">
        <v>49</v>
      </c>
      <c r="B49" s="12">
        <v>0</v>
      </c>
      <c r="C49" s="12">
        <v>0</v>
      </c>
      <c r="D49" s="60">
        <v>0</v>
      </c>
      <c r="E49" s="78">
        <f t="shared" si="1"/>
        <v>0</v>
      </c>
      <c r="F49" s="44">
        <v>0</v>
      </c>
      <c r="G49" s="12">
        <v>0</v>
      </c>
      <c r="H49" s="12">
        <v>0</v>
      </c>
      <c r="I49" s="12">
        <v>0</v>
      </c>
      <c r="J49" s="44">
        <v>0</v>
      </c>
      <c r="K49" s="12">
        <v>0</v>
      </c>
      <c r="L49" s="60">
        <v>0</v>
      </c>
      <c r="M49" s="78">
        <f t="shared" si="2"/>
        <v>0</v>
      </c>
      <c r="N49" s="94">
        <v>0</v>
      </c>
      <c r="O49" s="6"/>
      <c r="P49" s="6"/>
      <c r="Q49" s="6"/>
      <c r="R49" s="6"/>
      <c r="S49" s="6"/>
      <c r="T49" s="6"/>
      <c r="U49" s="6"/>
    </row>
    <row r="50" spans="1:21" x14ac:dyDescent="0.15">
      <c r="A50" s="16" t="s">
        <v>22</v>
      </c>
      <c r="B50" s="12">
        <v>5020</v>
      </c>
      <c r="C50" s="12">
        <v>0</v>
      </c>
      <c r="D50" s="60">
        <v>0</v>
      </c>
      <c r="E50" s="78">
        <f t="shared" si="1"/>
        <v>5020</v>
      </c>
      <c r="F50" s="44">
        <v>4914</v>
      </c>
      <c r="G50" s="12">
        <v>7905</v>
      </c>
      <c r="H50" s="12">
        <v>7650</v>
      </c>
      <c r="I50" s="12">
        <v>9120</v>
      </c>
      <c r="J50" s="44">
        <v>26910</v>
      </c>
      <c r="K50" s="12">
        <v>18020</v>
      </c>
      <c r="L50" s="60">
        <v>5610</v>
      </c>
      <c r="M50" s="78">
        <f t="shared" si="2"/>
        <v>80129</v>
      </c>
      <c r="N50" s="94">
        <v>85149</v>
      </c>
      <c r="O50" s="6"/>
      <c r="P50" s="6"/>
      <c r="Q50" s="6"/>
      <c r="R50" s="6"/>
      <c r="S50" s="6"/>
      <c r="T50" s="6"/>
      <c r="U50" s="6"/>
    </row>
    <row r="51" spans="1:21" ht="14.25" thickBot="1" x14ac:dyDescent="0.2">
      <c r="A51" s="17" t="s">
        <v>50</v>
      </c>
      <c r="B51" s="31">
        <v>340020</v>
      </c>
      <c r="C51" s="31">
        <v>335000</v>
      </c>
      <c r="D51" s="61">
        <v>96140</v>
      </c>
      <c r="E51" s="79">
        <f t="shared" si="1"/>
        <v>771160</v>
      </c>
      <c r="F51" s="45">
        <v>374244</v>
      </c>
      <c r="G51" s="31">
        <v>336361</v>
      </c>
      <c r="H51" s="31">
        <v>370386</v>
      </c>
      <c r="I51" s="31">
        <v>400984</v>
      </c>
      <c r="J51" s="45">
        <v>340742</v>
      </c>
      <c r="K51" s="31">
        <v>330541</v>
      </c>
      <c r="L51" s="61">
        <v>289027</v>
      </c>
      <c r="M51" s="79">
        <f t="shared" si="2"/>
        <v>2442285</v>
      </c>
      <c r="N51" s="95">
        <v>3213445</v>
      </c>
      <c r="O51" s="6"/>
      <c r="P51" s="6"/>
      <c r="Q51" s="6"/>
      <c r="R51" s="6"/>
      <c r="S51" s="6"/>
      <c r="T51" s="6"/>
      <c r="U51" s="6"/>
    </row>
    <row r="52" spans="1:21" x14ac:dyDescent="0.15">
      <c r="A52" s="29" t="s">
        <v>51</v>
      </c>
      <c r="B52" s="30">
        <v>5132</v>
      </c>
      <c r="C52" s="30">
        <v>13265</v>
      </c>
      <c r="D52" s="62">
        <v>376</v>
      </c>
      <c r="E52" s="80">
        <f t="shared" si="1"/>
        <v>18773</v>
      </c>
      <c r="F52" s="46">
        <v>9949</v>
      </c>
      <c r="G52" s="30">
        <v>1362</v>
      </c>
      <c r="H52" s="30">
        <v>3909</v>
      </c>
      <c r="I52" s="30">
        <v>7402</v>
      </c>
      <c r="J52" s="46">
        <v>1816</v>
      </c>
      <c r="K52" s="30">
        <v>1816</v>
      </c>
      <c r="L52" s="62">
        <v>1303</v>
      </c>
      <c r="M52" s="80">
        <f t="shared" si="2"/>
        <v>27557</v>
      </c>
      <c r="N52" s="96">
        <v>46330</v>
      </c>
      <c r="O52" s="6"/>
      <c r="P52" s="6"/>
      <c r="Q52" s="6"/>
      <c r="R52" s="6"/>
      <c r="S52" s="6"/>
      <c r="T52" s="6"/>
      <c r="U52" s="6"/>
    </row>
    <row r="53" spans="1:21" ht="14.25" thickBot="1" x14ac:dyDescent="0.2">
      <c r="A53" s="32" t="s">
        <v>52</v>
      </c>
      <c r="B53" s="33">
        <v>5132</v>
      </c>
      <c r="C53" s="33">
        <v>13265</v>
      </c>
      <c r="D53" s="63">
        <v>376</v>
      </c>
      <c r="E53" s="81">
        <f t="shared" si="1"/>
        <v>18773</v>
      </c>
      <c r="F53" s="47">
        <v>9949</v>
      </c>
      <c r="G53" s="33">
        <v>1362</v>
      </c>
      <c r="H53" s="33">
        <v>3909</v>
      </c>
      <c r="I53" s="33">
        <v>7402</v>
      </c>
      <c r="J53" s="47">
        <v>1816</v>
      </c>
      <c r="K53" s="33">
        <v>1816</v>
      </c>
      <c r="L53" s="63">
        <v>1303</v>
      </c>
      <c r="M53" s="81">
        <f t="shared" si="2"/>
        <v>27557</v>
      </c>
      <c r="N53" s="97">
        <v>46330</v>
      </c>
    </row>
    <row r="54" spans="1:21" ht="14.25" thickBot="1" x14ac:dyDescent="0.2">
      <c r="A54" s="34" t="s">
        <v>53</v>
      </c>
      <c r="B54" s="35">
        <v>345152</v>
      </c>
      <c r="C54" s="35">
        <v>348265</v>
      </c>
      <c r="D54" s="64">
        <v>96516</v>
      </c>
      <c r="E54" s="82">
        <f t="shared" si="1"/>
        <v>789933</v>
      </c>
      <c r="F54" s="48">
        <v>384193</v>
      </c>
      <c r="G54" s="35">
        <v>337723</v>
      </c>
      <c r="H54" s="35">
        <v>374295</v>
      </c>
      <c r="I54" s="35">
        <v>408386</v>
      </c>
      <c r="J54" s="48">
        <v>342558</v>
      </c>
      <c r="K54" s="35">
        <v>332357</v>
      </c>
      <c r="L54" s="64">
        <v>290330</v>
      </c>
      <c r="M54" s="82">
        <f t="shared" si="2"/>
        <v>2469842</v>
      </c>
      <c r="N54" s="98">
        <v>3259775</v>
      </c>
    </row>
    <row r="55" spans="1:21" x14ac:dyDescent="0.15">
      <c r="A55" s="29" t="s">
        <v>54</v>
      </c>
      <c r="B55" s="30">
        <v>17340</v>
      </c>
      <c r="C55" s="30">
        <v>17340</v>
      </c>
      <c r="D55" s="62">
        <v>0</v>
      </c>
      <c r="E55" s="80">
        <f t="shared" si="1"/>
        <v>34680</v>
      </c>
      <c r="F55" s="46">
        <v>16320</v>
      </c>
      <c r="G55" s="30">
        <v>14280</v>
      </c>
      <c r="H55" s="30">
        <v>14280</v>
      </c>
      <c r="I55" s="30">
        <v>18360</v>
      </c>
      <c r="J55" s="46">
        <v>15300</v>
      </c>
      <c r="K55" s="30">
        <v>14280</v>
      </c>
      <c r="L55" s="62">
        <v>13260</v>
      </c>
      <c r="M55" s="80">
        <f t="shared" si="2"/>
        <v>106080</v>
      </c>
      <c r="N55" s="96">
        <v>140760</v>
      </c>
    </row>
    <row r="56" spans="1:21" x14ac:dyDescent="0.15">
      <c r="A56" s="16" t="s">
        <v>55</v>
      </c>
      <c r="B56" s="12">
        <v>3060</v>
      </c>
      <c r="C56" s="12">
        <v>3060</v>
      </c>
      <c r="D56" s="60">
        <v>0</v>
      </c>
      <c r="E56" s="78">
        <f t="shared" si="1"/>
        <v>6120</v>
      </c>
      <c r="F56" s="44">
        <v>2880</v>
      </c>
      <c r="G56" s="12">
        <v>2520</v>
      </c>
      <c r="H56" s="12">
        <v>2520</v>
      </c>
      <c r="I56" s="12">
        <v>3240</v>
      </c>
      <c r="J56" s="44">
        <v>2700</v>
      </c>
      <c r="K56" s="12">
        <v>2520</v>
      </c>
      <c r="L56" s="60">
        <v>0</v>
      </c>
      <c r="M56" s="78">
        <f t="shared" si="2"/>
        <v>16380</v>
      </c>
      <c r="N56" s="94">
        <v>22500</v>
      </c>
    </row>
    <row r="57" spans="1:21" x14ac:dyDescent="0.15">
      <c r="A57" s="16" t="s">
        <v>56</v>
      </c>
      <c r="B57" s="12">
        <v>31110</v>
      </c>
      <c r="C57" s="12">
        <v>31110</v>
      </c>
      <c r="D57" s="60">
        <v>0</v>
      </c>
      <c r="E57" s="78">
        <f t="shared" si="1"/>
        <v>62220</v>
      </c>
      <c r="F57" s="44">
        <v>29280</v>
      </c>
      <c r="G57" s="12">
        <v>25620</v>
      </c>
      <c r="H57" s="12">
        <v>25620</v>
      </c>
      <c r="I57" s="12">
        <v>32940</v>
      </c>
      <c r="J57" s="44">
        <v>27450</v>
      </c>
      <c r="K57" s="12">
        <v>25620</v>
      </c>
      <c r="L57" s="60">
        <v>23790</v>
      </c>
      <c r="M57" s="78">
        <f t="shared" si="2"/>
        <v>190320</v>
      </c>
      <c r="N57" s="94">
        <v>252540</v>
      </c>
    </row>
    <row r="58" spans="1:21" x14ac:dyDescent="0.15">
      <c r="A58" s="16" t="s">
        <v>57</v>
      </c>
      <c r="B58" s="12">
        <v>0</v>
      </c>
      <c r="C58" s="12">
        <v>0</v>
      </c>
      <c r="D58" s="60">
        <v>0</v>
      </c>
      <c r="E58" s="78">
        <f t="shared" si="1"/>
        <v>0</v>
      </c>
      <c r="F58" s="44">
        <v>0</v>
      </c>
      <c r="G58" s="12">
        <v>0</v>
      </c>
      <c r="H58" s="12">
        <v>0</v>
      </c>
      <c r="I58" s="12">
        <v>0</v>
      </c>
      <c r="J58" s="44">
        <v>0</v>
      </c>
      <c r="K58" s="12">
        <v>0</v>
      </c>
      <c r="L58" s="60">
        <v>0</v>
      </c>
      <c r="M58" s="78">
        <f t="shared" si="2"/>
        <v>0</v>
      </c>
      <c r="N58" s="94">
        <v>0</v>
      </c>
    </row>
    <row r="59" spans="1:21" x14ac:dyDescent="0.15">
      <c r="A59" s="16" t="s">
        <v>58</v>
      </c>
      <c r="B59" s="12">
        <v>1035</v>
      </c>
      <c r="C59" s="12">
        <v>1045</v>
      </c>
      <c r="D59" s="60">
        <v>290</v>
      </c>
      <c r="E59" s="78">
        <f t="shared" si="1"/>
        <v>2370</v>
      </c>
      <c r="F59" s="44">
        <v>1153</v>
      </c>
      <c r="G59" s="12">
        <v>1013</v>
      </c>
      <c r="H59" s="12">
        <v>1123</v>
      </c>
      <c r="I59" s="12">
        <v>1225</v>
      </c>
      <c r="J59" s="44">
        <v>1028</v>
      </c>
      <c r="K59" s="12">
        <v>997</v>
      </c>
      <c r="L59" s="60">
        <v>871</v>
      </c>
      <c r="M59" s="78">
        <f t="shared" si="2"/>
        <v>7410</v>
      </c>
      <c r="N59" s="94">
        <v>9780</v>
      </c>
    </row>
    <row r="60" spans="1:21" x14ac:dyDescent="0.15">
      <c r="A60" s="16" t="s">
        <v>59</v>
      </c>
      <c r="B60" s="12">
        <v>0</v>
      </c>
      <c r="C60" s="12">
        <v>0</v>
      </c>
      <c r="D60" s="60">
        <v>0</v>
      </c>
      <c r="E60" s="78">
        <f t="shared" si="1"/>
        <v>0</v>
      </c>
      <c r="F60" s="44">
        <v>0</v>
      </c>
      <c r="G60" s="12">
        <v>0</v>
      </c>
      <c r="H60" s="12">
        <v>0</v>
      </c>
      <c r="I60" s="12">
        <v>0</v>
      </c>
      <c r="J60" s="44">
        <v>0</v>
      </c>
      <c r="K60" s="12">
        <v>0</v>
      </c>
      <c r="L60" s="60">
        <v>0</v>
      </c>
      <c r="M60" s="78">
        <f t="shared" si="2"/>
        <v>0</v>
      </c>
      <c r="N60" s="94">
        <v>0</v>
      </c>
    </row>
    <row r="61" spans="1:21" ht="14.25" thickBot="1" x14ac:dyDescent="0.2">
      <c r="A61" s="32" t="s">
        <v>60</v>
      </c>
      <c r="B61" s="33">
        <v>52545</v>
      </c>
      <c r="C61" s="33">
        <v>52555</v>
      </c>
      <c r="D61" s="63">
        <v>290</v>
      </c>
      <c r="E61" s="81">
        <f t="shared" si="1"/>
        <v>105390</v>
      </c>
      <c r="F61" s="47">
        <v>49633</v>
      </c>
      <c r="G61" s="33">
        <v>43433</v>
      </c>
      <c r="H61" s="33">
        <v>43543</v>
      </c>
      <c r="I61" s="33">
        <v>55765</v>
      </c>
      <c r="J61" s="47">
        <v>46478</v>
      </c>
      <c r="K61" s="33">
        <v>43417</v>
      </c>
      <c r="L61" s="63">
        <v>37921</v>
      </c>
      <c r="M61" s="81">
        <f t="shared" si="2"/>
        <v>320190</v>
      </c>
      <c r="N61" s="97">
        <v>425580</v>
      </c>
    </row>
    <row r="62" spans="1:21" ht="14.25" thickBot="1" x14ac:dyDescent="0.2">
      <c r="A62" s="34" t="s">
        <v>61</v>
      </c>
      <c r="B62" s="35">
        <v>287475</v>
      </c>
      <c r="C62" s="35">
        <v>282445</v>
      </c>
      <c r="D62" s="64">
        <v>95850</v>
      </c>
      <c r="E62" s="82">
        <f t="shared" si="1"/>
        <v>665770</v>
      </c>
      <c r="F62" s="48">
        <v>324611</v>
      </c>
      <c r="G62" s="35">
        <v>292928</v>
      </c>
      <c r="H62" s="35">
        <v>326843</v>
      </c>
      <c r="I62" s="35">
        <v>345219</v>
      </c>
      <c r="J62" s="48">
        <v>294264</v>
      </c>
      <c r="K62" s="35">
        <v>287124</v>
      </c>
      <c r="L62" s="64">
        <v>251106</v>
      </c>
      <c r="M62" s="82">
        <f t="shared" si="2"/>
        <v>2122095</v>
      </c>
      <c r="N62" s="98">
        <v>2787865</v>
      </c>
    </row>
    <row r="63" spans="1:21" x14ac:dyDescent="0.15">
      <c r="A63" s="29" t="s">
        <v>62</v>
      </c>
      <c r="B63" s="30">
        <v>7890</v>
      </c>
      <c r="C63" s="30">
        <v>7710</v>
      </c>
      <c r="D63" s="62">
        <v>510</v>
      </c>
      <c r="E63" s="80">
        <f t="shared" si="1"/>
        <v>16110</v>
      </c>
      <c r="F63" s="46">
        <v>10390</v>
      </c>
      <c r="G63" s="30">
        <v>8090</v>
      </c>
      <c r="H63" s="30">
        <v>7820</v>
      </c>
      <c r="I63" s="30">
        <v>6950</v>
      </c>
      <c r="J63" s="46">
        <v>4900</v>
      </c>
      <c r="K63" s="30">
        <v>7880</v>
      </c>
      <c r="L63" s="62">
        <v>4970</v>
      </c>
      <c r="M63" s="80">
        <f t="shared" si="2"/>
        <v>51000</v>
      </c>
      <c r="N63" s="96">
        <v>67110</v>
      </c>
    </row>
    <row r="64" spans="1:21" x14ac:dyDescent="0.15">
      <c r="A64" s="16" t="s">
        <v>63</v>
      </c>
      <c r="B64" s="12">
        <v>0</v>
      </c>
      <c r="C64" s="12">
        <v>0</v>
      </c>
      <c r="D64" s="60">
        <v>0</v>
      </c>
      <c r="E64" s="78">
        <f t="shared" si="1"/>
        <v>0</v>
      </c>
      <c r="F64" s="44">
        <v>0</v>
      </c>
      <c r="G64" s="12">
        <v>0</v>
      </c>
      <c r="H64" s="12">
        <v>0</v>
      </c>
      <c r="I64" s="12">
        <v>0</v>
      </c>
      <c r="J64" s="44">
        <v>0</v>
      </c>
      <c r="K64" s="12">
        <v>0</v>
      </c>
      <c r="L64" s="60">
        <v>0</v>
      </c>
      <c r="M64" s="78">
        <f t="shared" si="2"/>
        <v>0</v>
      </c>
      <c r="N64" s="94">
        <v>0</v>
      </c>
    </row>
    <row r="65" spans="1:14" x14ac:dyDescent="0.15">
      <c r="A65" s="16" t="s">
        <v>64</v>
      </c>
      <c r="B65" s="12">
        <v>8900</v>
      </c>
      <c r="C65" s="12">
        <v>0</v>
      </c>
      <c r="D65" s="60">
        <v>0</v>
      </c>
      <c r="E65" s="78">
        <f t="shared" si="1"/>
        <v>8900</v>
      </c>
      <c r="F65" s="44">
        <v>14200</v>
      </c>
      <c r="G65" s="12">
        <v>6100</v>
      </c>
      <c r="H65" s="12">
        <v>8900</v>
      </c>
      <c r="I65" s="12">
        <v>12000</v>
      </c>
      <c r="J65" s="44">
        <v>5900</v>
      </c>
      <c r="K65" s="12">
        <v>13100</v>
      </c>
      <c r="L65" s="60">
        <v>0</v>
      </c>
      <c r="M65" s="78">
        <f t="shared" si="2"/>
        <v>60200</v>
      </c>
      <c r="N65" s="94">
        <v>69100</v>
      </c>
    </row>
    <row r="66" spans="1:14" x14ac:dyDescent="0.15">
      <c r="A66" s="16" t="s">
        <v>65</v>
      </c>
      <c r="B66" s="12">
        <v>0</v>
      </c>
      <c r="C66" s="12">
        <v>0</v>
      </c>
      <c r="D66" s="60">
        <v>0</v>
      </c>
      <c r="E66" s="78">
        <f t="shared" si="1"/>
        <v>0</v>
      </c>
      <c r="F66" s="44">
        <v>0</v>
      </c>
      <c r="G66" s="12">
        <v>0</v>
      </c>
      <c r="H66" s="12">
        <v>0</v>
      </c>
      <c r="I66" s="12">
        <v>0</v>
      </c>
      <c r="J66" s="44">
        <v>0</v>
      </c>
      <c r="K66" s="12">
        <v>0</v>
      </c>
      <c r="L66" s="60">
        <v>0</v>
      </c>
      <c r="M66" s="78">
        <f t="shared" si="2"/>
        <v>0</v>
      </c>
      <c r="N66" s="94">
        <v>0</v>
      </c>
    </row>
    <row r="67" spans="1:14" x14ac:dyDescent="0.15">
      <c r="A67" s="16" t="s">
        <v>66</v>
      </c>
      <c r="B67" s="12">
        <v>0</v>
      </c>
      <c r="C67" s="12">
        <v>0</v>
      </c>
      <c r="D67" s="60">
        <v>0</v>
      </c>
      <c r="E67" s="78">
        <f t="shared" si="1"/>
        <v>0</v>
      </c>
      <c r="F67" s="44">
        <v>0</v>
      </c>
      <c r="G67" s="12">
        <v>0</v>
      </c>
      <c r="H67" s="12">
        <v>0</v>
      </c>
      <c r="I67" s="12">
        <v>0</v>
      </c>
      <c r="J67" s="44">
        <v>0</v>
      </c>
      <c r="K67" s="12">
        <v>0</v>
      </c>
      <c r="L67" s="60">
        <v>0</v>
      </c>
      <c r="M67" s="78">
        <f t="shared" si="2"/>
        <v>0</v>
      </c>
      <c r="N67" s="94">
        <v>0</v>
      </c>
    </row>
    <row r="68" spans="1:14" x14ac:dyDescent="0.15">
      <c r="A68" s="16" t="s">
        <v>67</v>
      </c>
      <c r="B68" s="12">
        <v>0</v>
      </c>
      <c r="C68" s="12">
        <v>0</v>
      </c>
      <c r="D68" s="60">
        <v>0</v>
      </c>
      <c r="E68" s="78">
        <f t="shared" si="1"/>
        <v>0</v>
      </c>
      <c r="F68" s="44">
        <v>0</v>
      </c>
      <c r="G68" s="12">
        <v>0</v>
      </c>
      <c r="H68" s="12">
        <v>0</v>
      </c>
      <c r="I68" s="12">
        <v>0</v>
      </c>
      <c r="J68" s="44">
        <v>0</v>
      </c>
      <c r="K68" s="12">
        <v>0</v>
      </c>
      <c r="L68" s="60">
        <v>0</v>
      </c>
      <c r="M68" s="78">
        <f t="shared" si="2"/>
        <v>0</v>
      </c>
      <c r="N68" s="94">
        <v>0</v>
      </c>
    </row>
    <row r="69" spans="1:14" ht="14.25" thickBot="1" x14ac:dyDescent="0.2">
      <c r="A69" s="32" t="s">
        <v>68</v>
      </c>
      <c r="B69" s="33">
        <v>16790</v>
      </c>
      <c r="C69" s="33">
        <v>7710</v>
      </c>
      <c r="D69" s="63">
        <v>510</v>
      </c>
      <c r="E69" s="81">
        <f t="shared" si="1"/>
        <v>25010</v>
      </c>
      <c r="F69" s="47">
        <v>24590</v>
      </c>
      <c r="G69" s="33">
        <v>14190</v>
      </c>
      <c r="H69" s="33">
        <v>16720</v>
      </c>
      <c r="I69" s="33">
        <v>18950</v>
      </c>
      <c r="J69" s="47">
        <v>10800</v>
      </c>
      <c r="K69" s="33">
        <v>20980</v>
      </c>
      <c r="L69" s="63">
        <v>4970</v>
      </c>
      <c r="M69" s="81">
        <f t="shared" si="2"/>
        <v>111200</v>
      </c>
      <c r="N69" s="97">
        <v>136210</v>
      </c>
    </row>
    <row r="70" spans="1:14" ht="14.25" thickBot="1" x14ac:dyDescent="0.2">
      <c r="A70" s="34" t="s">
        <v>69</v>
      </c>
      <c r="B70" s="35">
        <v>69335</v>
      </c>
      <c r="C70" s="35">
        <v>60265</v>
      </c>
      <c r="D70" s="64">
        <v>800</v>
      </c>
      <c r="E70" s="82">
        <f t="shared" si="1"/>
        <v>130400</v>
      </c>
      <c r="F70" s="48">
        <v>74223</v>
      </c>
      <c r="G70" s="35">
        <v>57623</v>
      </c>
      <c r="H70" s="35">
        <v>60263</v>
      </c>
      <c r="I70" s="35">
        <v>74715</v>
      </c>
      <c r="J70" s="48">
        <v>57278</v>
      </c>
      <c r="K70" s="35">
        <v>64397</v>
      </c>
      <c r="L70" s="64">
        <v>42891</v>
      </c>
      <c r="M70" s="82">
        <f t="shared" si="2"/>
        <v>431390</v>
      </c>
      <c r="N70" s="98">
        <v>561790</v>
      </c>
    </row>
    <row r="71" spans="1:14" ht="14.25" thickBot="1" x14ac:dyDescent="0.2">
      <c r="A71" s="34" t="s">
        <v>70</v>
      </c>
      <c r="B71" s="35">
        <v>275817</v>
      </c>
      <c r="C71" s="35">
        <v>288000</v>
      </c>
      <c r="D71" s="64">
        <v>95716</v>
      </c>
      <c r="E71" s="82">
        <f t="shared" si="1"/>
        <v>659533</v>
      </c>
      <c r="F71" s="48">
        <v>309970</v>
      </c>
      <c r="G71" s="35">
        <v>280100</v>
      </c>
      <c r="H71" s="35">
        <v>314032</v>
      </c>
      <c r="I71" s="35">
        <v>333671</v>
      </c>
      <c r="J71" s="48">
        <v>285280</v>
      </c>
      <c r="K71" s="35">
        <v>267960</v>
      </c>
      <c r="L71" s="64">
        <v>247439</v>
      </c>
      <c r="M71" s="82">
        <f t="shared" si="2"/>
        <v>2038452</v>
      </c>
      <c r="N71" s="98">
        <v>2697985</v>
      </c>
    </row>
    <row r="72" spans="1:14" x14ac:dyDescent="0.15">
      <c r="A72" s="29" t="s">
        <v>71</v>
      </c>
      <c r="B72" s="30">
        <v>0</v>
      </c>
      <c r="C72" s="30">
        <v>0</v>
      </c>
      <c r="D72" s="62">
        <v>0</v>
      </c>
      <c r="E72" s="80">
        <f t="shared" si="1"/>
        <v>0</v>
      </c>
      <c r="F72" s="46">
        <v>0</v>
      </c>
      <c r="G72" s="30">
        <v>0</v>
      </c>
      <c r="H72" s="30">
        <v>0</v>
      </c>
      <c r="I72" s="30">
        <v>0</v>
      </c>
      <c r="J72" s="46">
        <v>0</v>
      </c>
      <c r="K72" s="30">
        <v>0</v>
      </c>
      <c r="L72" s="62">
        <v>0</v>
      </c>
      <c r="M72" s="80">
        <f t="shared" si="2"/>
        <v>0</v>
      </c>
      <c r="N72" s="96">
        <v>0</v>
      </c>
    </row>
    <row r="73" spans="1:14" x14ac:dyDescent="0.15">
      <c r="A73" s="16" t="s">
        <v>72</v>
      </c>
      <c r="B73" s="12">
        <v>275817</v>
      </c>
      <c r="C73" s="12">
        <v>288000</v>
      </c>
      <c r="D73" s="60">
        <v>95716</v>
      </c>
      <c r="E73" s="78">
        <f t="shared" si="1"/>
        <v>659533</v>
      </c>
      <c r="F73" s="44">
        <v>309970</v>
      </c>
      <c r="G73" s="12">
        <v>280100</v>
      </c>
      <c r="H73" s="12">
        <v>314032</v>
      </c>
      <c r="I73" s="12">
        <v>333671</v>
      </c>
      <c r="J73" s="44">
        <v>285280</v>
      </c>
      <c r="K73" s="12">
        <v>267960</v>
      </c>
      <c r="L73" s="60">
        <v>247439</v>
      </c>
      <c r="M73" s="78">
        <f t="shared" si="2"/>
        <v>2038452</v>
      </c>
      <c r="N73" s="94">
        <v>2697985</v>
      </c>
    </row>
    <row r="74" spans="1:14" x14ac:dyDescent="0.15">
      <c r="A74" s="16" t="s">
        <v>73</v>
      </c>
      <c r="B74" s="13">
        <v>33</v>
      </c>
      <c r="C74" s="13"/>
      <c r="D74" s="65">
        <v>15</v>
      </c>
      <c r="E74" s="83"/>
      <c r="F74" s="49">
        <v>28</v>
      </c>
      <c r="G74" s="13">
        <v>7</v>
      </c>
      <c r="H74" s="13">
        <v>12</v>
      </c>
      <c r="I74" s="13">
        <v>34</v>
      </c>
      <c r="J74" s="49">
        <v>20</v>
      </c>
      <c r="K74" s="13">
        <v>24</v>
      </c>
      <c r="L74" s="65">
        <v>8</v>
      </c>
      <c r="M74" s="83"/>
      <c r="N74" s="99">
        <v>181</v>
      </c>
    </row>
    <row r="75" spans="1:14" x14ac:dyDescent="0.15">
      <c r="A75" s="16" t="s">
        <v>74</v>
      </c>
      <c r="B75" s="14"/>
      <c r="C75" s="14"/>
      <c r="D75" s="66"/>
      <c r="E75" s="84"/>
      <c r="F75" s="50"/>
      <c r="G75" s="14"/>
      <c r="H75" s="14">
        <v>1</v>
      </c>
      <c r="I75" s="14">
        <v>2</v>
      </c>
      <c r="J75" s="50">
        <v>2</v>
      </c>
      <c r="K75" s="14"/>
      <c r="L75" s="66">
        <v>1</v>
      </c>
      <c r="M75" s="84"/>
      <c r="N75" s="100"/>
    </row>
    <row r="76" spans="1:14" ht="14.25" thickBot="1" x14ac:dyDescent="0.2">
      <c r="A76" s="17" t="s">
        <v>75</v>
      </c>
      <c r="B76" s="18" t="s">
        <v>76</v>
      </c>
      <c r="C76" s="18" t="s">
        <v>76</v>
      </c>
      <c r="D76" s="18" t="s">
        <v>76</v>
      </c>
      <c r="E76" s="18"/>
      <c r="F76" s="18" t="s">
        <v>76</v>
      </c>
      <c r="G76" s="18" t="s">
        <v>76</v>
      </c>
      <c r="H76" s="18" t="s">
        <v>76</v>
      </c>
      <c r="I76" s="18" t="s">
        <v>76</v>
      </c>
      <c r="J76" s="51" t="s">
        <v>76</v>
      </c>
      <c r="K76" s="18" t="s">
        <v>76</v>
      </c>
      <c r="L76" s="67" t="s">
        <v>76</v>
      </c>
      <c r="M76" s="103"/>
      <c r="N76" s="101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080B4-EDC9-45A0-B490-37366E22A075}">
  <sheetPr>
    <pageSetUpPr fitToPage="1"/>
  </sheetPr>
  <dimension ref="A1:AN76"/>
  <sheetViews>
    <sheetView tabSelected="1" topLeftCell="A32" zoomScale="80" zoomScaleNormal="80" workbookViewId="0">
      <selection activeCell="E37" sqref="E37"/>
    </sheetView>
  </sheetViews>
  <sheetFormatPr defaultRowHeight="13.5" x14ac:dyDescent="0.15"/>
  <cols>
    <col min="1" max="1" width="17.625" style="2" customWidth="1"/>
    <col min="2" max="14" width="12.375" style="2" customWidth="1"/>
    <col min="15" max="21" width="10.5" style="2" customWidth="1"/>
    <col min="22" max="16384" width="9" style="2"/>
  </cols>
  <sheetData>
    <row r="1" spans="1:40" ht="18.75" x14ac:dyDescent="0.15">
      <c r="A1" s="1" t="s">
        <v>2</v>
      </c>
      <c r="B1" s="1"/>
      <c r="C1" s="1"/>
      <c r="D1" s="1"/>
      <c r="E1" s="1"/>
      <c r="F1" s="1"/>
      <c r="G1" s="7"/>
      <c r="H1" s="1"/>
      <c r="I1" s="8"/>
      <c r="J1" s="1"/>
      <c r="K1" s="7"/>
      <c r="L1" s="1"/>
      <c r="M1" s="1"/>
      <c r="N1" s="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4.25" thickBot="1" x14ac:dyDescent="0.2">
      <c r="A2" s="1">
        <v>13</v>
      </c>
      <c r="B2" s="1"/>
      <c r="C2" s="1"/>
      <c r="D2" s="1"/>
      <c r="E2" s="1"/>
      <c r="F2" s="1" t="s">
        <v>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15">
      <c r="A3" s="19" t="s">
        <v>0</v>
      </c>
      <c r="B3" s="20" t="s">
        <v>4</v>
      </c>
      <c r="C3" s="20" t="s">
        <v>4</v>
      </c>
      <c r="D3" s="52" t="s">
        <v>4</v>
      </c>
      <c r="E3" s="69" t="s">
        <v>84</v>
      </c>
      <c r="F3" s="36" t="s">
        <v>4</v>
      </c>
      <c r="G3" s="20" t="s">
        <v>4</v>
      </c>
      <c r="H3" s="20" t="s">
        <v>4</v>
      </c>
      <c r="I3" s="20" t="s">
        <v>4</v>
      </c>
      <c r="J3" s="36" t="s">
        <v>4</v>
      </c>
      <c r="K3" s="20" t="s">
        <v>4</v>
      </c>
      <c r="L3" s="52" t="s">
        <v>4</v>
      </c>
      <c r="M3" s="69" t="s">
        <v>84</v>
      </c>
      <c r="N3" s="85" t="s">
        <v>83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15">
      <c r="A4" s="21"/>
      <c r="B4" s="22">
        <v>1043</v>
      </c>
      <c r="C4" s="22">
        <v>1093</v>
      </c>
      <c r="D4" s="53">
        <v>1072</v>
      </c>
      <c r="E4" s="70"/>
      <c r="F4" s="37">
        <v>1046</v>
      </c>
      <c r="G4" s="22">
        <v>1083</v>
      </c>
      <c r="H4" s="22">
        <v>1084</v>
      </c>
      <c r="I4" s="22">
        <v>1037</v>
      </c>
      <c r="J4" s="37">
        <v>1038</v>
      </c>
      <c r="K4" s="22">
        <v>1042</v>
      </c>
      <c r="L4" s="53">
        <v>1091</v>
      </c>
      <c r="M4" s="70"/>
      <c r="N4" s="8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4.25" thickBot="1" x14ac:dyDescent="0.2">
      <c r="A5" s="21" t="s">
        <v>1</v>
      </c>
      <c r="B5" s="22" t="s">
        <v>79</v>
      </c>
      <c r="C5" s="22" t="s">
        <v>25</v>
      </c>
      <c r="D5" s="53" t="s">
        <v>81</v>
      </c>
      <c r="E5" s="71" t="s">
        <v>85</v>
      </c>
      <c r="F5" s="37" t="s">
        <v>5</v>
      </c>
      <c r="G5" s="22" t="s">
        <v>23</v>
      </c>
      <c r="H5" s="22" t="s">
        <v>24</v>
      </c>
      <c r="I5" s="22" t="s">
        <v>26</v>
      </c>
      <c r="J5" s="37" t="s">
        <v>77</v>
      </c>
      <c r="K5" s="22" t="s">
        <v>78</v>
      </c>
      <c r="L5" s="53" t="s">
        <v>80</v>
      </c>
      <c r="M5" s="71" t="s">
        <v>86</v>
      </c>
      <c r="N5" s="87" t="s">
        <v>82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15">
      <c r="A6" s="23" t="s">
        <v>6</v>
      </c>
      <c r="B6" s="24">
        <v>19</v>
      </c>
      <c r="C6" s="24">
        <v>19</v>
      </c>
      <c r="D6" s="54">
        <v>17</v>
      </c>
      <c r="E6" s="72">
        <f>SUM(B6:D6)</f>
        <v>55</v>
      </c>
      <c r="F6" s="38">
        <v>19</v>
      </c>
      <c r="G6" s="24">
        <v>14</v>
      </c>
      <c r="H6" s="24">
        <v>17</v>
      </c>
      <c r="I6" s="24">
        <v>16</v>
      </c>
      <c r="J6" s="38">
        <v>16</v>
      </c>
      <c r="K6" s="24">
        <v>16</v>
      </c>
      <c r="L6" s="54">
        <v>18</v>
      </c>
      <c r="M6" s="72">
        <f>SUM(F6:L6)</f>
        <v>116</v>
      </c>
      <c r="N6" s="88">
        <v>171</v>
      </c>
      <c r="O6" s="3"/>
      <c r="P6" s="3"/>
      <c r="Q6" s="3"/>
      <c r="R6" s="3"/>
      <c r="S6" s="3"/>
      <c r="T6" s="3"/>
      <c r="U6" s="3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15">
      <c r="A7" s="15" t="s">
        <v>7</v>
      </c>
      <c r="B7" s="9">
        <v>1</v>
      </c>
      <c r="C7" s="9">
        <v>1</v>
      </c>
      <c r="D7" s="56">
        <v>2</v>
      </c>
      <c r="E7" s="73">
        <f>SUM(B7:D7)</f>
        <v>4</v>
      </c>
      <c r="F7" s="39">
        <v>4</v>
      </c>
      <c r="G7" s="9">
        <v>4</v>
      </c>
      <c r="H7" s="9">
        <v>4</v>
      </c>
      <c r="I7" s="9">
        <v>4</v>
      </c>
      <c r="J7" s="39">
        <v>4</v>
      </c>
      <c r="K7" s="9">
        <v>3</v>
      </c>
      <c r="L7" s="55"/>
      <c r="M7" s="73">
        <f>SUM(F7:L7)</f>
        <v>23</v>
      </c>
      <c r="N7" s="89">
        <v>27</v>
      </c>
      <c r="O7" s="4"/>
      <c r="P7" s="4"/>
      <c r="Q7" s="4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15">
      <c r="A8" s="15" t="s">
        <v>8</v>
      </c>
      <c r="B8" s="10"/>
      <c r="C8" s="9">
        <v>1</v>
      </c>
      <c r="D8" s="55"/>
      <c r="E8" s="73">
        <f>SUM(B8:D8)</f>
        <v>1</v>
      </c>
      <c r="F8" s="39">
        <v>1</v>
      </c>
      <c r="G8" s="9">
        <v>5</v>
      </c>
      <c r="H8" s="9">
        <v>1</v>
      </c>
      <c r="I8" s="9">
        <v>5</v>
      </c>
      <c r="J8" s="39">
        <v>3</v>
      </c>
      <c r="K8" s="9">
        <v>4</v>
      </c>
      <c r="L8" s="56">
        <v>4</v>
      </c>
      <c r="M8" s="73">
        <f>SUM(F8:L8)</f>
        <v>23</v>
      </c>
      <c r="N8" s="89">
        <v>24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15">
      <c r="A9" s="15" t="s">
        <v>9</v>
      </c>
      <c r="B9" s="10"/>
      <c r="C9" s="10"/>
      <c r="D9" s="55"/>
      <c r="E9" s="74"/>
      <c r="F9" s="40"/>
      <c r="G9" s="10"/>
      <c r="H9" s="10"/>
      <c r="I9" s="10"/>
      <c r="J9" s="40"/>
      <c r="K9" s="10"/>
      <c r="L9" s="55"/>
      <c r="M9" s="77"/>
      <c r="N9" s="90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15">
      <c r="A10" s="15" t="s">
        <v>10</v>
      </c>
      <c r="B10" s="10"/>
      <c r="C10" s="10"/>
      <c r="D10" s="56">
        <v>2</v>
      </c>
      <c r="E10" s="73">
        <f>SUM(B10:D10)</f>
        <v>2</v>
      </c>
      <c r="F10" s="40"/>
      <c r="G10" s="10"/>
      <c r="H10" s="10"/>
      <c r="I10" s="10"/>
      <c r="J10" s="40"/>
      <c r="K10" s="10"/>
      <c r="L10" s="55"/>
      <c r="M10" s="77"/>
      <c r="N10" s="89">
        <v>2</v>
      </c>
      <c r="O10" s="1"/>
      <c r="P10" s="3"/>
      <c r="Q10" s="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15">
      <c r="A11" s="15" t="s">
        <v>11</v>
      </c>
      <c r="B11" s="10"/>
      <c r="C11" s="10"/>
      <c r="D11" s="55"/>
      <c r="E11" s="74"/>
      <c r="F11" s="40"/>
      <c r="G11" s="10"/>
      <c r="H11" s="10"/>
      <c r="I11" s="10"/>
      <c r="J11" s="40"/>
      <c r="K11" s="10"/>
      <c r="L11" s="55"/>
      <c r="M11" s="77"/>
      <c r="N11" s="90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15">
      <c r="A12" s="15" t="s">
        <v>12</v>
      </c>
      <c r="B12" s="10"/>
      <c r="C12" s="10"/>
      <c r="D12" s="55"/>
      <c r="E12" s="74"/>
      <c r="F12" s="40"/>
      <c r="G12" s="9">
        <v>5</v>
      </c>
      <c r="H12" s="9">
        <v>2</v>
      </c>
      <c r="I12" s="9">
        <v>3</v>
      </c>
      <c r="J12" s="39">
        <v>3</v>
      </c>
      <c r="K12" s="9">
        <v>3</v>
      </c>
      <c r="L12" s="56">
        <v>1</v>
      </c>
      <c r="M12" s="73">
        <f>SUM(F12:L12)</f>
        <v>17</v>
      </c>
      <c r="N12" s="89">
        <v>17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15">
      <c r="A13" s="15" t="s">
        <v>13</v>
      </c>
      <c r="B13" s="10"/>
      <c r="C13" s="10"/>
      <c r="D13" s="57">
        <v>3.625</v>
      </c>
      <c r="E13" s="75">
        <f>SUM(B13:D13)</f>
        <v>3.625</v>
      </c>
      <c r="F13" s="40"/>
      <c r="G13" s="10"/>
      <c r="H13" s="10"/>
      <c r="I13" s="10"/>
      <c r="J13" s="40"/>
      <c r="K13" s="10"/>
      <c r="L13" s="55"/>
      <c r="M13" s="77"/>
      <c r="N13" s="91">
        <v>3.625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15">
      <c r="A14" s="15" t="s">
        <v>14</v>
      </c>
      <c r="B14" s="10"/>
      <c r="C14" s="10"/>
      <c r="D14" s="55"/>
      <c r="E14" s="74"/>
      <c r="F14" s="41">
        <v>3.25</v>
      </c>
      <c r="G14" s="11">
        <v>2.0833333333333335</v>
      </c>
      <c r="H14" s="11">
        <v>3.9166666666666665</v>
      </c>
      <c r="I14" s="11">
        <v>2</v>
      </c>
      <c r="J14" s="41">
        <v>0.66666666666666663</v>
      </c>
      <c r="K14" s="11">
        <v>1.2916666666666667</v>
      </c>
      <c r="L14" s="57">
        <v>1.9583333333333333</v>
      </c>
      <c r="M14" s="75">
        <f>SUM(F14:L14)</f>
        <v>15.166666666666666</v>
      </c>
      <c r="N14" s="91">
        <v>15.166666666666666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15">
      <c r="A15" s="15" t="s">
        <v>15</v>
      </c>
      <c r="B15" s="10"/>
      <c r="C15" s="10"/>
      <c r="D15" s="57">
        <v>0.41666666666666669</v>
      </c>
      <c r="E15" s="75">
        <f>SUM(B15:D15)</f>
        <v>0.41666666666666669</v>
      </c>
      <c r="F15" s="41">
        <v>1.8333333333333333</v>
      </c>
      <c r="G15" s="11">
        <v>1.2916666666666667</v>
      </c>
      <c r="H15" s="11">
        <v>1.625</v>
      </c>
      <c r="I15" s="11">
        <v>1.625</v>
      </c>
      <c r="J15" s="41">
        <v>1.3333333333333333</v>
      </c>
      <c r="K15" s="11">
        <v>1.25</v>
      </c>
      <c r="L15" s="55"/>
      <c r="M15" s="75">
        <f t="shared" ref="M15:M16" si="0">SUM(F15:L15)</f>
        <v>8.9583333333333321</v>
      </c>
      <c r="N15" s="91">
        <v>9.375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15">
      <c r="A16" s="15" t="s">
        <v>16</v>
      </c>
      <c r="B16" s="10"/>
      <c r="C16" s="10"/>
      <c r="D16" s="55"/>
      <c r="E16" s="74"/>
      <c r="F16" s="41">
        <v>0.375</v>
      </c>
      <c r="G16" s="11">
        <v>1.5833333333333333</v>
      </c>
      <c r="H16" s="11">
        <v>0.5</v>
      </c>
      <c r="I16" s="11">
        <v>1.9166666666666667</v>
      </c>
      <c r="J16" s="41">
        <v>1</v>
      </c>
      <c r="K16" s="11">
        <v>1.5</v>
      </c>
      <c r="L16" s="57">
        <v>1.625</v>
      </c>
      <c r="M16" s="75">
        <f t="shared" si="0"/>
        <v>8.5</v>
      </c>
      <c r="N16" s="91">
        <v>8.5</v>
      </c>
      <c r="O16" s="5"/>
      <c r="P16" s="5"/>
      <c r="Q16" s="5"/>
      <c r="R16" s="5"/>
      <c r="S16" s="5"/>
      <c r="T16" s="5"/>
      <c r="U16" s="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15">
      <c r="A17" s="15" t="s">
        <v>17</v>
      </c>
      <c r="B17" s="10"/>
      <c r="C17" s="10"/>
      <c r="D17" s="55"/>
      <c r="E17" s="74"/>
      <c r="F17" s="40"/>
      <c r="G17" s="10"/>
      <c r="H17" s="10"/>
      <c r="I17" s="10"/>
      <c r="J17" s="40"/>
      <c r="K17" s="10"/>
      <c r="L17" s="55"/>
      <c r="M17" s="77"/>
      <c r="N17" s="90"/>
      <c r="O17" s="5"/>
      <c r="P17" s="5"/>
      <c r="Q17" s="5"/>
      <c r="R17" s="5"/>
      <c r="S17" s="5"/>
      <c r="T17" s="5"/>
      <c r="U17" s="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15">
      <c r="A18" s="15" t="s">
        <v>18</v>
      </c>
      <c r="B18" s="10"/>
      <c r="C18" s="10"/>
      <c r="D18" s="55"/>
      <c r="E18" s="74"/>
      <c r="F18" s="40"/>
      <c r="G18" s="10"/>
      <c r="H18" s="10"/>
      <c r="I18" s="10"/>
      <c r="J18" s="40"/>
      <c r="K18" s="10"/>
      <c r="L18" s="55"/>
      <c r="M18" s="77"/>
      <c r="N18" s="90"/>
      <c r="O18" s="5"/>
      <c r="P18" s="5"/>
      <c r="Q18" s="5"/>
      <c r="R18" s="5"/>
      <c r="S18" s="5"/>
      <c r="T18" s="5"/>
      <c r="U18" s="5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15">
      <c r="A19" s="15" t="s">
        <v>19</v>
      </c>
      <c r="B19" s="10"/>
      <c r="C19" s="10"/>
      <c r="D19" s="55"/>
      <c r="E19" s="74"/>
      <c r="F19" s="40"/>
      <c r="G19" s="10"/>
      <c r="H19" s="10"/>
      <c r="I19" s="10"/>
      <c r="J19" s="40"/>
      <c r="K19" s="10"/>
      <c r="L19" s="55"/>
      <c r="M19" s="77"/>
      <c r="N19" s="90"/>
      <c r="O19" s="5"/>
      <c r="P19" s="5"/>
      <c r="Q19" s="5"/>
      <c r="R19" s="5"/>
      <c r="S19" s="5"/>
      <c r="T19" s="5"/>
      <c r="U19" s="5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15">
      <c r="A20" s="15" t="s">
        <v>20</v>
      </c>
      <c r="B20" s="10"/>
      <c r="C20" s="10"/>
      <c r="D20" s="55"/>
      <c r="E20" s="74"/>
      <c r="F20" s="40"/>
      <c r="G20" s="10"/>
      <c r="H20" s="10"/>
      <c r="I20" s="10"/>
      <c r="J20" s="40"/>
      <c r="K20" s="10"/>
      <c r="L20" s="55"/>
      <c r="M20" s="77"/>
      <c r="N20" s="90"/>
      <c r="O20" s="5"/>
      <c r="P20" s="5"/>
      <c r="Q20" s="5"/>
      <c r="R20" s="5"/>
      <c r="S20" s="5"/>
      <c r="T20" s="5"/>
      <c r="U20" s="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15">
      <c r="A21" s="15" t="s">
        <v>21</v>
      </c>
      <c r="B21" s="10"/>
      <c r="C21" s="10"/>
      <c r="D21" s="57">
        <v>0.41666666666666669</v>
      </c>
      <c r="E21" s="75">
        <f>SUM(B21:D21)</f>
        <v>0.41666666666666669</v>
      </c>
      <c r="F21" s="40"/>
      <c r="G21" s="10"/>
      <c r="H21" s="10"/>
      <c r="I21" s="10"/>
      <c r="J21" s="40"/>
      <c r="K21" s="10"/>
      <c r="L21" s="55"/>
      <c r="M21" s="77"/>
      <c r="N21" s="91">
        <v>0.41666666666666669</v>
      </c>
      <c r="O21" s="5"/>
      <c r="P21" s="5"/>
      <c r="Q21" s="5"/>
      <c r="R21" s="5"/>
      <c r="S21" s="5"/>
      <c r="T21" s="5"/>
      <c r="U21" s="5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4.25" thickBot="1" x14ac:dyDescent="0.2">
      <c r="A22" s="25" t="s">
        <v>22</v>
      </c>
      <c r="B22" s="26">
        <v>0.41666666666666669</v>
      </c>
      <c r="C22" s="27"/>
      <c r="D22" s="68"/>
      <c r="E22" s="75">
        <f>SUM(B22:D22)</f>
        <v>0.41666666666666669</v>
      </c>
      <c r="F22" s="42">
        <v>0.75</v>
      </c>
      <c r="G22" s="26">
        <v>1.2916666666666667</v>
      </c>
      <c r="H22" s="26">
        <v>1.25</v>
      </c>
      <c r="I22" s="26">
        <v>1.3333333333333333</v>
      </c>
      <c r="J22" s="42">
        <v>3.75</v>
      </c>
      <c r="K22" s="26">
        <v>2.8333333333333335</v>
      </c>
      <c r="L22" s="58">
        <v>0.91666666666666663</v>
      </c>
      <c r="M22" s="102">
        <f>SUM(F22:L22)</f>
        <v>12.125</v>
      </c>
      <c r="N22" s="92">
        <v>12.541666666666666</v>
      </c>
      <c r="O22" s="5"/>
      <c r="P22" s="5"/>
      <c r="Q22" s="5"/>
      <c r="R22" s="5"/>
      <c r="S22" s="5"/>
      <c r="T22" s="5"/>
      <c r="U22" s="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15">
      <c r="A23" s="23" t="s">
        <v>27</v>
      </c>
      <c r="B23" s="28">
        <v>335000</v>
      </c>
      <c r="C23" s="28">
        <v>335000</v>
      </c>
      <c r="D23" s="59">
        <v>0</v>
      </c>
      <c r="E23" s="76">
        <f>SUM(B23:D23)</f>
        <v>670000</v>
      </c>
      <c r="F23" s="43">
        <v>182000</v>
      </c>
      <c r="G23" s="28">
        <v>170000</v>
      </c>
      <c r="H23" s="28">
        <v>170000</v>
      </c>
      <c r="I23" s="28">
        <v>182000</v>
      </c>
      <c r="J23" s="43">
        <v>177000</v>
      </c>
      <c r="K23" s="28">
        <v>177000</v>
      </c>
      <c r="L23" s="59">
        <v>170000</v>
      </c>
      <c r="M23" s="76">
        <f>SUM(F23:L23)</f>
        <v>1228000</v>
      </c>
      <c r="N23" s="93">
        <v>1898000</v>
      </c>
      <c r="O23" s="5"/>
      <c r="P23" s="5"/>
      <c r="Q23" s="5"/>
      <c r="R23" s="5"/>
      <c r="S23" s="5"/>
      <c r="T23" s="5"/>
      <c r="U23" s="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15">
      <c r="A24" s="15" t="s">
        <v>28</v>
      </c>
      <c r="B24" s="10">
        <v>0</v>
      </c>
      <c r="C24" s="10">
        <v>0</v>
      </c>
      <c r="D24" s="55">
        <v>0</v>
      </c>
      <c r="E24" s="77">
        <f t="shared" ref="E24:E73" si="1">SUM(B24:D24)</f>
        <v>0</v>
      </c>
      <c r="F24" s="40">
        <v>0</v>
      </c>
      <c r="G24" s="10">
        <v>0</v>
      </c>
      <c r="H24" s="10">
        <v>0</v>
      </c>
      <c r="I24" s="10">
        <v>5000</v>
      </c>
      <c r="J24" s="40">
        <v>0</v>
      </c>
      <c r="K24" s="10">
        <v>0</v>
      </c>
      <c r="L24" s="55">
        <v>0</v>
      </c>
      <c r="M24" s="77">
        <f t="shared" ref="M24:M73" si="2">SUM(F24:L24)</f>
        <v>5000</v>
      </c>
      <c r="N24" s="90">
        <v>5000</v>
      </c>
      <c r="O24" s="5"/>
      <c r="P24" s="5"/>
      <c r="Q24" s="5"/>
      <c r="R24" s="5"/>
      <c r="S24" s="5"/>
      <c r="T24" s="5"/>
      <c r="U24" s="5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15">
      <c r="A25" s="15" t="s">
        <v>29</v>
      </c>
      <c r="B25" s="10">
        <v>0</v>
      </c>
      <c r="C25" s="10">
        <v>0</v>
      </c>
      <c r="D25" s="55">
        <v>0</v>
      </c>
      <c r="E25" s="77">
        <f t="shared" si="1"/>
        <v>0</v>
      </c>
      <c r="F25" s="40">
        <v>0</v>
      </c>
      <c r="G25" s="10">
        <v>0</v>
      </c>
      <c r="H25" s="10">
        <v>0</v>
      </c>
      <c r="I25" s="10">
        <v>3000</v>
      </c>
      <c r="J25" s="40">
        <v>10000</v>
      </c>
      <c r="K25" s="10">
        <v>0</v>
      </c>
      <c r="L25" s="55">
        <v>0</v>
      </c>
      <c r="M25" s="77">
        <f t="shared" si="2"/>
        <v>13000</v>
      </c>
      <c r="N25" s="90">
        <v>13000</v>
      </c>
      <c r="O25" s="5"/>
      <c r="P25" s="5"/>
      <c r="Q25" s="5"/>
      <c r="R25" s="5"/>
      <c r="S25" s="5"/>
      <c r="T25" s="5"/>
      <c r="U25" s="5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15">
      <c r="A26" s="15" t="s">
        <v>30</v>
      </c>
      <c r="B26" s="10">
        <v>0</v>
      </c>
      <c r="C26" s="10">
        <v>0</v>
      </c>
      <c r="D26" s="55">
        <v>0</v>
      </c>
      <c r="E26" s="77">
        <f t="shared" si="1"/>
        <v>0</v>
      </c>
      <c r="F26" s="40">
        <v>0</v>
      </c>
      <c r="G26" s="10">
        <v>0</v>
      </c>
      <c r="H26" s="10">
        <v>0</v>
      </c>
      <c r="I26" s="10">
        <v>0</v>
      </c>
      <c r="J26" s="40">
        <v>0</v>
      </c>
      <c r="K26" s="10">
        <v>0</v>
      </c>
      <c r="L26" s="55">
        <v>0</v>
      </c>
      <c r="M26" s="77">
        <f t="shared" si="2"/>
        <v>0</v>
      </c>
      <c r="N26" s="90">
        <v>0</v>
      </c>
      <c r="O26" s="5"/>
      <c r="P26" s="5"/>
      <c r="Q26" s="5"/>
      <c r="R26" s="5"/>
      <c r="S26" s="5"/>
      <c r="T26" s="5"/>
      <c r="U26" s="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15">
      <c r="A27" s="15" t="s">
        <v>31</v>
      </c>
      <c r="B27" s="10">
        <v>0</v>
      </c>
      <c r="C27" s="10">
        <v>0</v>
      </c>
      <c r="D27" s="55">
        <v>0</v>
      </c>
      <c r="E27" s="77">
        <f t="shared" si="1"/>
        <v>0</v>
      </c>
      <c r="F27" s="40">
        <v>0</v>
      </c>
      <c r="G27" s="10">
        <v>0</v>
      </c>
      <c r="H27" s="10">
        <v>0</v>
      </c>
      <c r="I27" s="10">
        <v>0</v>
      </c>
      <c r="J27" s="40">
        <v>0</v>
      </c>
      <c r="K27" s="10">
        <v>0</v>
      </c>
      <c r="L27" s="55">
        <v>0</v>
      </c>
      <c r="M27" s="77">
        <f t="shared" si="2"/>
        <v>0</v>
      </c>
      <c r="N27" s="90">
        <v>0</v>
      </c>
      <c r="O27" s="5"/>
      <c r="P27" s="5"/>
      <c r="Q27" s="5"/>
      <c r="R27" s="5"/>
      <c r="S27" s="5"/>
      <c r="T27" s="5"/>
      <c r="U27" s="5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15">
      <c r="A28" s="15" t="s">
        <v>32</v>
      </c>
      <c r="B28" s="10">
        <v>0</v>
      </c>
      <c r="C28" s="10">
        <v>0</v>
      </c>
      <c r="D28" s="55">
        <v>0</v>
      </c>
      <c r="E28" s="77">
        <f t="shared" si="1"/>
        <v>0</v>
      </c>
      <c r="F28" s="40">
        <v>0</v>
      </c>
      <c r="G28" s="10">
        <v>0</v>
      </c>
      <c r="H28" s="10">
        <v>0</v>
      </c>
      <c r="I28" s="10">
        <v>0</v>
      </c>
      <c r="J28" s="40">
        <v>0</v>
      </c>
      <c r="K28" s="10">
        <v>0</v>
      </c>
      <c r="L28" s="55">
        <v>0</v>
      </c>
      <c r="M28" s="77">
        <f t="shared" si="2"/>
        <v>0</v>
      </c>
      <c r="N28" s="90">
        <v>0</v>
      </c>
      <c r="O28" s="5"/>
      <c r="P28" s="5"/>
      <c r="Q28" s="5"/>
      <c r="R28" s="5"/>
      <c r="S28" s="5"/>
      <c r="T28" s="5"/>
      <c r="U28" s="5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15">
      <c r="A29" s="15" t="s">
        <v>33</v>
      </c>
      <c r="B29" s="10">
        <v>0</v>
      </c>
      <c r="C29" s="10">
        <v>0</v>
      </c>
      <c r="D29" s="55">
        <v>0</v>
      </c>
      <c r="E29" s="77">
        <f t="shared" si="1"/>
        <v>0</v>
      </c>
      <c r="F29" s="40">
        <v>0</v>
      </c>
      <c r="G29" s="10">
        <v>0</v>
      </c>
      <c r="H29" s="10">
        <v>0</v>
      </c>
      <c r="I29" s="10">
        <v>0</v>
      </c>
      <c r="J29" s="40">
        <v>0</v>
      </c>
      <c r="K29" s="10">
        <v>0</v>
      </c>
      <c r="L29" s="55">
        <v>0</v>
      </c>
      <c r="M29" s="77">
        <f t="shared" si="2"/>
        <v>0</v>
      </c>
      <c r="N29" s="90">
        <v>0</v>
      </c>
      <c r="O29" s="5"/>
      <c r="P29" s="5"/>
      <c r="Q29" s="5"/>
      <c r="R29" s="5"/>
      <c r="S29" s="5"/>
      <c r="T29" s="5"/>
      <c r="U29" s="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15">
      <c r="A30" s="15" t="s">
        <v>34</v>
      </c>
      <c r="B30" s="10">
        <v>0</v>
      </c>
      <c r="C30" s="10">
        <v>0</v>
      </c>
      <c r="D30" s="55">
        <v>0</v>
      </c>
      <c r="E30" s="77">
        <f t="shared" si="1"/>
        <v>0</v>
      </c>
      <c r="F30" s="40">
        <v>0</v>
      </c>
      <c r="G30" s="10">
        <v>0</v>
      </c>
      <c r="H30" s="10">
        <v>0</v>
      </c>
      <c r="I30" s="10">
        <v>0</v>
      </c>
      <c r="J30" s="40">
        <v>0</v>
      </c>
      <c r="K30" s="10">
        <v>0</v>
      </c>
      <c r="L30" s="55">
        <v>0</v>
      </c>
      <c r="M30" s="77">
        <f t="shared" si="2"/>
        <v>0</v>
      </c>
      <c r="N30" s="90">
        <v>0</v>
      </c>
      <c r="O30" s="5"/>
      <c r="P30" s="5"/>
      <c r="Q30" s="5"/>
      <c r="R30" s="5"/>
      <c r="S30" s="5"/>
      <c r="T30" s="5"/>
      <c r="U30" s="5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15">
      <c r="A31" s="15" t="s">
        <v>35</v>
      </c>
      <c r="B31" s="10">
        <v>0</v>
      </c>
      <c r="C31" s="10">
        <v>0</v>
      </c>
      <c r="D31" s="55">
        <v>75690</v>
      </c>
      <c r="E31" s="77">
        <f t="shared" si="1"/>
        <v>75690</v>
      </c>
      <c r="F31" s="40">
        <v>0</v>
      </c>
      <c r="G31" s="10">
        <v>0</v>
      </c>
      <c r="H31" s="10">
        <v>0</v>
      </c>
      <c r="I31" s="10">
        <v>0</v>
      </c>
      <c r="J31" s="40">
        <v>0</v>
      </c>
      <c r="K31" s="10">
        <v>0</v>
      </c>
      <c r="L31" s="55">
        <v>0</v>
      </c>
      <c r="M31" s="77">
        <f t="shared" si="2"/>
        <v>0</v>
      </c>
      <c r="N31" s="90">
        <v>75690</v>
      </c>
      <c r="O31" s="5"/>
      <c r="P31" s="5"/>
      <c r="Q31" s="5"/>
      <c r="R31" s="5"/>
      <c r="S31" s="5"/>
      <c r="T31" s="5"/>
      <c r="U31" s="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15">
      <c r="A32" s="15" t="s">
        <v>36</v>
      </c>
      <c r="B32" s="10">
        <v>0</v>
      </c>
      <c r="C32" s="10">
        <v>0</v>
      </c>
      <c r="D32" s="55">
        <v>0</v>
      </c>
      <c r="E32" s="77">
        <f t="shared" si="1"/>
        <v>0</v>
      </c>
      <c r="F32" s="40">
        <v>0</v>
      </c>
      <c r="G32" s="10">
        <v>0</v>
      </c>
      <c r="H32" s="10">
        <v>0</v>
      </c>
      <c r="I32" s="10">
        <v>0</v>
      </c>
      <c r="J32" s="40">
        <v>0</v>
      </c>
      <c r="K32" s="10">
        <v>0</v>
      </c>
      <c r="L32" s="55">
        <v>0</v>
      </c>
      <c r="M32" s="77">
        <f t="shared" si="2"/>
        <v>0</v>
      </c>
      <c r="N32" s="90">
        <v>0</v>
      </c>
      <c r="O32" s="5"/>
      <c r="P32" s="5"/>
      <c r="Q32" s="5"/>
      <c r="R32" s="5"/>
      <c r="S32" s="5"/>
      <c r="T32" s="5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15">
      <c r="A33" s="15" t="s">
        <v>37</v>
      </c>
      <c r="B33" s="10">
        <v>0</v>
      </c>
      <c r="C33" s="10">
        <v>0</v>
      </c>
      <c r="D33" s="55">
        <v>0</v>
      </c>
      <c r="E33" s="77">
        <f t="shared" si="1"/>
        <v>0</v>
      </c>
      <c r="F33" s="40">
        <v>0</v>
      </c>
      <c r="G33" s="10">
        <v>0</v>
      </c>
      <c r="H33" s="10">
        <v>0</v>
      </c>
      <c r="I33" s="10">
        <v>0</v>
      </c>
      <c r="J33" s="40">
        <v>0</v>
      </c>
      <c r="K33" s="10">
        <v>0</v>
      </c>
      <c r="L33" s="55">
        <v>0</v>
      </c>
      <c r="M33" s="77">
        <f t="shared" si="2"/>
        <v>0</v>
      </c>
      <c r="N33" s="90">
        <v>0</v>
      </c>
      <c r="O33" s="5"/>
      <c r="P33" s="5"/>
      <c r="Q33" s="5"/>
      <c r="R33" s="5"/>
      <c r="S33" s="5"/>
      <c r="T33" s="5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15">
      <c r="A34" s="15" t="s">
        <v>38</v>
      </c>
      <c r="B34" s="10">
        <v>0</v>
      </c>
      <c r="C34" s="10">
        <v>0</v>
      </c>
      <c r="D34" s="55">
        <v>8700</v>
      </c>
      <c r="E34" s="77">
        <f t="shared" si="1"/>
        <v>8700</v>
      </c>
      <c r="F34" s="40">
        <v>0</v>
      </c>
      <c r="G34" s="10">
        <v>0</v>
      </c>
      <c r="H34" s="10">
        <v>0</v>
      </c>
      <c r="I34" s="10">
        <v>0</v>
      </c>
      <c r="J34" s="40">
        <v>0</v>
      </c>
      <c r="K34" s="10">
        <v>0</v>
      </c>
      <c r="L34" s="55">
        <v>0</v>
      </c>
      <c r="M34" s="77">
        <f t="shared" si="2"/>
        <v>0</v>
      </c>
      <c r="N34" s="90">
        <v>8700</v>
      </c>
      <c r="O34" s="5"/>
      <c r="P34" s="5"/>
      <c r="Q34" s="5"/>
      <c r="R34" s="5"/>
      <c r="S34" s="5"/>
      <c r="T34" s="5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15">
      <c r="A35" s="15" t="s">
        <v>39</v>
      </c>
      <c r="B35" s="10">
        <v>0</v>
      </c>
      <c r="C35" s="10">
        <v>0</v>
      </c>
      <c r="D35" s="55">
        <v>0</v>
      </c>
      <c r="E35" s="77">
        <f t="shared" si="1"/>
        <v>0</v>
      </c>
      <c r="F35" s="40">
        <v>0</v>
      </c>
      <c r="G35" s="10">
        <v>0</v>
      </c>
      <c r="H35" s="10">
        <v>0</v>
      </c>
      <c r="I35" s="10">
        <v>0</v>
      </c>
      <c r="J35" s="40">
        <v>0</v>
      </c>
      <c r="K35" s="10">
        <v>0</v>
      </c>
      <c r="L35" s="55">
        <v>0</v>
      </c>
      <c r="M35" s="77">
        <f t="shared" si="2"/>
        <v>0</v>
      </c>
      <c r="N35" s="90">
        <v>0</v>
      </c>
      <c r="O35" s="5"/>
      <c r="P35" s="5"/>
      <c r="Q35" s="5"/>
      <c r="R35" s="5"/>
      <c r="S35" s="5"/>
      <c r="T35" s="5"/>
      <c r="U35" s="5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15">
      <c r="A36" s="15" t="s">
        <v>40</v>
      </c>
      <c r="B36" s="10">
        <v>0</v>
      </c>
      <c r="C36" s="10">
        <v>0</v>
      </c>
      <c r="D36" s="55">
        <v>0</v>
      </c>
      <c r="E36" s="77">
        <f t="shared" si="1"/>
        <v>0</v>
      </c>
      <c r="F36" s="40">
        <v>0</v>
      </c>
      <c r="G36" s="10">
        <v>0</v>
      </c>
      <c r="H36" s="10">
        <v>0</v>
      </c>
      <c r="I36" s="10">
        <v>0</v>
      </c>
      <c r="J36" s="40">
        <v>0</v>
      </c>
      <c r="K36" s="10">
        <v>0</v>
      </c>
      <c r="L36" s="55">
        <v>0</v>
      </c>
      <c r="M36" s="77">
        <f t="shared" si="2"/>
        <v>0</v>
      </c>
      <c r="N36" s="90">
        <v>0</v>
      </c>
      <c r="O36" s="5"/>
      <c r="P36" s="5"/>
      <c r="Q36" s="5"/>
      <c r="R36" s="5"/>
      <c r="S36" s="5"/>
      <c r="T36" s="5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15">
      <c r="A37" s="15" t="s">
        <v>41</v>
      </c>
      <c r="B37" s="10">
        <v>0</v>
      </c>
      <c r="C37" s="10">
        <v>0</v>
      </c>
      <c r="D37" s="55">
        <v>0</v>
      </c>
      <c r="E37" s="77">
        <f t="shared" si="1"/>
        <v>0</v>
      </c>
      <c r="F37" s="40">
        <v>0</v>
      </c>
      <c r="G37" s="10">
        <v>0</v>
      </c>
      <c r="H37" s="10">
        <v>0</v>
      </c>
      <c r="I37" s="10">
        <v>0</v>
      </c>
      <c r="J37" s="40">
        <v>0</v>
      </c>
      <c r="K37" s="10">
        <v>0</v>
      </c>
      <c r="L37" s="55">
        <v>0</v>
      </c>
      <c r="M37" s="77">
        <f t="shared" si="2"/>
        <v>0</v>
      </c>
      <c r="N37" s="90">
        <v>0</v>
      </c>
      <c r="O37" s="5"/>
      <c r="P37" s="5"/>
      <c r="Q37" s="5"/>
      <c r="R37" s="5"/>
      <c r="S37" s="5"/>
      <c r="T37" s="5"/>
      <c r="U37" s="5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15">
      <c r="A38" s="15" t="s">
        <v>42</v>
      </c>
      <c r="B38" s="10">
        <v>0</v>
      </c>
      <c r="C38" s="10">
        <v>0</v>
      </c>
      <c r="D38" s="55">
        <v>0</v>
      </c>
      <c r="E38" s="77">
        <f t="shared" si="1"/>
        <v>0</v>
      </c>
      <c r="F38" s="40">
        <v>0</v>
      </c>
      <c r="G38" s="10">
        <v>0</v>
      </c>
      <c r="H38" s="10">
        <v>0</v>
      </c>
      <c r="I38" s="10">
        <v>0</v>
      </c>
      <c r="J38" s="40">
        <v>12600</v>
      </c>
      <c r="K38" s="10">
        <v>0</v>
      </c>
      <c r="L38" s="55">
        <v>0</v>
      </c>
      <c r="M38" s="77">
        <f t="shared" si="2"/>
        <v>12600</v>
      </c>
      <c r="N38" s="90">
        <v>12600</v>
      </c>
      <c r="O38" s="5"/>
      <c r="P38" s="5"/>
      <c r="Q38" s="5"/>
      <c r="R38" s="5"/>
      <c r="S38" s="5"/>
      <c r="T38" s="5"/>
      <c r="U38" s="5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15">
      <c r="A39" s="15" t="s">
        <v>43</v>
      </c>
      <c r="B39" s="10">
        <v>0</v>
      </c>
      <c r="C39" s="10">
        <v>0</v>
      </c>
      <c r="D39" s="55">
        <v>0</v>
      </c>
      <c r="E39" s="77">
        <f t="shared" si="1"/>
        <v>0</v>
      </c>
      <c r="F39" s="40">
        <v>3000</v>
      </c>
      <c r="G39" s="10">
        <v>0</v>
      </c>
      <c r="H39" s="10">
        <v>3000</v>
      </c>
      <c r="I39" s="10">
        <v>3000</v>
      </c>
      <c r="J39" s="40">
        <v>0</v>
      </c>
      <c r="K39" s="10">
        <v>0</v>
      </c>
      <c r="L39" s="55">
        <v>0</v>
      </c>
      <c r="M39" s="77">
        <f t="shared" si="2"/>
        <v>9000</v>
      </c>
      <c r="N39" s="90">
        <v>9000</v>
      </c>
      <c r="O39" s="5"/>
      <c r="P39" s="5"/>
      <c r="Q39" s="5"/>
      <c r="R39" s="5"/>
      <c r="S39" s="5"/>
      <c r="T39" s="5"/>
      <c r="U39" s="5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15">
      <c r="A40" s="15" t="s">
        <v>44</v>
      </c>
      <c r="B40" s="10">
        <v>0</v>
      </c>
      <c r="C40" s="10">
        <v>0</v>
      </c>
      <c r="D40" s="55">
        <v>0</v>
      </c>
      <c r="E40" s="77">
        <f t="shared" si="1"/>
        <v>0</v>
      </c>
      <c r="F40" s="40">
        <v>0</v>
      </c>
      <c r="G40" s="10">
        <v>0</v>
      </c>
      <c r="H40" s="10">
        <v>0</v>
      </c>
      <c r="I40" s="10">
        <v>0</v>
      </c>
      <c r="J40" s="40">
        <v>0</v>
      </c>
      <c r="K40" s="10">
        <v>0</v>
      </c>
      <c r="L40" s="55">
        <v>0</v>
      </c>
      <c r="M40" s="77">
        <f t="shared" si="2"/>
        <v>0</v>
      </c>
      <c r="N40" s="90">
        <v>0</v>
      </c>
      <c r="O40" s="5"/>
      <c r="P40" s="5"/>
      <c r="Q40" s="5"/>
      <c r="R40" s="5"/>
      <c r="S40" s="5"/>
      <c r="T40" s="5"/>
      <c r="U40" s="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15">
      <c r="A41" s="15" t="s">
        <v>45</v>
      </c>
      <c r="B41" s="10">
        <v>0</v>
      </c>
      <c r="C41" s="10">
        <v>0</v>
      </c>
      <c r="D41" s="55">
        <v>0</v>
      </c>
      <c r="E41" s="77">
        <f t="shared" si="1"/>
        <v>0</v>
      </c>
      <c r="F41" s="40">
        <v>0</v>
      </c>
      <c r="G41" s="10">
        <v>-40665</v>
      </c>
      <c r="H41" s="10">
        <v>-16266</v>
      </c>
      <c r="I41" s="10">
        <v>-27270</v>
      </c>
      <c r="J41" s="40">
        <v>-28650</v>
      </c>
      <c r="K41" s="10">
        <v>-25404</v>
      </c>
      <c r="L41" s="55">
        <v>-8133</v>
      </c>
      <c r="M41" s="77">
        <f t="shared" si="2"/>
        <v>-146388</v>
      </c>
      <c r="N41" s="90">
        <v>-146388</v>
      </c>
      <c r="O41" s="5"/>
      <c r="P41" s="5"/>
      <c r="Q41" s="5"/>
      <c r="R41" s="5"/>
      <c r="S41" s="5"/>
      <c r="T41" s="5"/>
      <c r="U41" s="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15">
      <c r="A42" s="15" t="s">
        <v>46</v>
      </c>
      <c r="B42" s="10">
        <v>0</v>
      </c>
      <c r="C42" s="10">
        <v>0</v>
      </c>
      <c r="D42" s="55">
        <v>0</v>
      </c>
      <c r="E42" s="77">
        <f t="shared" si="1"/>
        <v>0</v>
      </c>
      <c r="F42" s="40">
        <v>0</v>
      </c>
      <c r="G42" s="10">
        <v>0</v>
      </c>
      <c r="H42" s="10">
        <v>0</v>
      </c>
      <c r="I42" s="10">
        <v>0</v>
      </c>
      <c r="J42" s="40">
        <v>0</v>
      </c>
      <c r="K42" s="10">
        <v>0</v>
      </c>
      <c r="L42" s="55">
        <v>0</v>
      </c>
      <c r="M42" s="77">
        <f t="shared" si="2"/>
        <v>0</v>
      </c>
      <c r="N42" s="90">
        <v>0</v>
      </c>
      <c r="O42" s="5"/>
      <c r="P42" s="5"/>
      <c r="Q42" s="5"/>
      <c r="R42" s="5"/>
      <c r="S42" s="5"/>
      <c r="T42" s="5"/>
      <c r="U42" s="5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15">
      <c r="A43" s="15" t="s">
        <v>14</v>
      </c>
      <c r="B43" s="10">
        <v>0</v>
      </c>
      <c r="C43" s="10">
        <v>0</v>
      </c>
      <c r="D43" s="55">
        <v>0</v>
      </c>
      <c r="E43" s="77">
        <f t="shared" si="1"/>
        <v>0</v>
      </c>
      <c r="F43" s="40">
        <v>106314</v>
      </c>
      <c r="G43" s="10">
        <v>63650</v>
      </c>
      <c r="H43" s="10">
        <v>119662</v>
      </c>
      <c r="I43" s="10">
        <v>68304</v>
      </c>
      <c r="J43" s="40">
        <v>23904</v>
      </c>
      <c r="K43" s="10">
        <v>41075</v>
      </c>
      <c r="L43" s="55">
        <v>59831</v>
      </c>
      <c r="M43" s="77">
        <f t="shared" si="2"/>
        <v>482740</v>
      </c>
      <c r="N43" s="90">
        <v>482740</v>
      </c>
      <c r="O43" s="5"/>
      <c r="P43" s="5"/>
      <c r="Q43" s="5"/>
      <c r="R43" s="5"/>
      <c r="S43" s="5"/>
      <c r="T43" s="5"/>
      <c r="U43" s="5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15">
      <c r="A44" s="15" t="s">
        <v>7</v>
      </c>
      <c r="B44" s="10">
        <v>0</v>
      </c>
      <c r="C44" s="10">
        <v>0</v>
      </c>
      <c r="D44" s="55">
        <v>11750</v>
      </c>
      <c r="E44" s="77">
        <f t="shared" si="1"/>
        <v>11750</v>
      </c>
      <c r="F44" s="40">
        <v>64768</v>
      </c>
      <c r="G44" s="10">
        <v>42594</v>
      </c>
      <c r="H44" s="10">
        <v>53586</v>
      </c>
      <c r="I44" s="10">
        <v>59904</v>
      </c>
      <c r="J44" s="40">
        <v>51616</v>
      </c>
      <c r="K44" s="10">
        <v>42930</v>
      </c>
      <c r="L44" s="55">
        <v>0</v>
      </c>
      <c r="M44" s="77">
        <f t="shared" si="2"/>
        <v>315398</v>
      </c>
      <c r="N44" s="90">
        <v>327148</v>
      </c>
      <c r="O44" s="5"/>
      <c r="P44" s="5"/>
      <c r="Q44" s="5"/>
      <c r="R44" s="5"/>
      <c r="S44" s="5"/>
      <c r="T44" s="5"/>
      <c r="U44" s="5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15">
      <c r="A45" s="15" t="s">
        <v>8</v>
      </c>
      <c r="B45" s="10">
        <v>0</v>
      </c>
      <c r="C45" s="10">
        <v>0</v>
      </c>
      <c r="D45" s="55">
        <v>0</v>
      </c>
      <c r="E45" s="77">
        <f t="shared" si="1"/>
        <v>0</v>
      </c>
      <c r="F45" s="40">
        <v>13248</v>
      </c>
      <c r="G45" s="10">
        <v>52212</v>
      </c>
      <c r="H45" s="10">
        <v>16488</v>
      </c>
      <c r="I45" s="10">
        <v>70656</v>
      </c>
      <c r="J45" s="40">
        <v>38712</v>
      </c>
      <c r="K45" s="10">
        <v>51516</v>
      </c>
      <c r="L45" s="55">
        <v>53586</v>
      </c>
      <c r="M45" s="77">
        <f t="shared" si="2"/>
        <v>296418</v>
      </c>
      <c r="N45" s="90">
        <v>296418</v>
      </c>
      <c r="O45" s="5"/>
      <c r="P45" s="5"/>
      <c r="Q45" s="5"/>
      <c r="R45" s="5"/>
      <c r="S45" s="5"/>
      <c r="T45" s="5"/>
      <c r="U45" s="5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15">
      <c r="A46" s="15" t="s">
        <v>47</v>
      </c>
      <c r="B46" s="10">
        <v>0</v>
      </c>
      <c r="C46" s="10">
        <v>0</v>
      </c>
      <c r="D46" s="55">
        <v>0</v>
      </c>
      <c r="E46" s="77">
        <f t="shared" si="1"/>
        <v>0</v>
      </c>
      <c r="F46" s="40">
        <v>0</v>
      </c>
      <c r="G46" s="10">
        <v>0</v>
      </c>
      <c r="H46" s="10">
        <v>0</v>
      </c>
      <c r="I46" s="10">
        <v>0</v>
      </c>
      <c r="J46" s="40">
        <v>0</v>
      </c>
      <c r="K46" s="10">
        <v>0</v>
      </c>
      <c r="L46" s="55">
        <v>0</v>
      </c>
      <c r="M46" s="77">
        <f t="shared" si="2"/>
        <v>0</v>
      </c>
      <c r="N46" s="90">
        <v>0</v>
      </c>
      <c r="O46" s="5"/>
      <c r="P46" s="5"/>
      <c r="Q46" s="5"/>
      <c r="R46" s="5"/>
      <c r="S46" s="5"/>
      <c r="T46" s="5"/>
      <c r="U46" s="5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15">
      <c r="A47" s="104" t="s">
        <v>48</v>
      </c>
      <c r="B47" s="105">
        <v>0</v>
      </c>
      <c r="C47" s="105">
        <v>0</v>
      </c>
      <c r="D47" s="106">
        <v>0</v>
      </c>
      <c r="E47" s="107">
        <f t="shared" si="1"/>
        <v>0</v>
      </c>
      <c r="F47" s="108">
        <v>0</v>
      </c>
      <c r="G47" s="105">
        <v>40665</v>
      </c>
      <c r="H47" s="105">
        <v>16266</v>
      </c>
      <c r="I47" s="105">
        <v>27270</v>
      </c>
      <c r="J47" s="108">
        <v>28650</v>
      </c>
      <c r="K47" s="105">
        <v>25404</v>
      </c>
      <c r="L47" s="106">
        <v>8133</v>
      </c>
      <c r="M47" s="107">
        <f t="shared" si="2"/>
        <v>146388</v>
      </c>
      <c r="N47" s="109">
        <v>146388</v>
      </c>
      <c r="O47" s="5"/>
      <c r="P47" s="5"/>
      <c r="Q47" s="5"/>
      <c r="R47" s="5"/>
      <c r="S47" s="5"/>
      <c r="T47" s="5"/>
      <c r="U47" s="5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15">
      <c r="A48" s="15" t="s">
        <v>18</v>
      </c>
      <c r="B48" s="10">
        <v>0</v>
      </c>
      <c r="C48" s="10">
        <v>0</v>
      </c>
      <c r="D48" s="55">
        <v>0</v>
      </c>
      <c r="E48" s="77">
        <f t="shared" si="1"/>
        <v>0</v>
      </c>
      <c r="F48" s="40">
        <v>0</v>
      </c>
      <c r="G48" s="10">
        <v>0</v>
      </c>
      <c r="H48" s="10">
        <v>0</v>
      </c>
      <c r="I48" s="10">
        <v>0</v>
      </c>
      <c r="J48" s="40">
        <v>0</v>
      </c>
      <c r="K48" s="10">
        <v>0</v>
      </c>
      <c r="L48" s="55">
        <v>0</v>
      </c>
      <c r="M48" s="77">
        <f t="shared" si="2"/>
        <v>0</v>
      </c>
      <c r="N48" s="90">
        <v>0</v>
      </c>
      <c r="O48" s="5"/>
      <c r="P48" s="5"/>
      <c r="Q48" s="5"/>
      <c r="R48" s="5"/>
      <c r="S48" s="5"/>
      <c r="T48" s="5"/>
      <c r="U48" s="5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21" x14ac:dyDescent="0.15">
      <c r="A49" s="16" t="s">
        <v>49</v>
      </c>
      <c r="B49" s="12">
        <v>0</v>
      </c>
      <c r="C49" s="12">
        <v>0</v>
      </c>
      <c r="D49" s="60">
        <v>0</v>
      </c>
      <c r="E49" s="78">
        <f t="shared" si="1"/>
        <v>0</v>
      </c>
      <c r="F49" s="44">
        <v>0</v>
      </c>
      <c r="G49" s="12">
        <v>0</v>
      </c>
      <c r="H49" s="12">
        <v>0</v>
      </c>
      <c r="I49" s="12">
        <v>0</v>
      </c>
      <c r="J49" s="44">
        <v>0</v>
      </c>
      <c r="K49" s="12">
        <v>0</v>
      </c>
      <c r="L49" s="60">
        <v>0</v>
      </c>
      <c r="M49" s="78">
        <f t="shared" si="2"/>
        <v>0</v>
      </c>
      <c r="N49" s="94">
        <v>0</v>
      </c>
      <c r="O49" s="6"/>
      <c r="P49" s="6"/>
      <c r="Q49" s="6"/>
      <c r="R49" s="6"/>
      <c r="S49" s="6"/>
      <c r="T49" s="6"/>
      <c r="U49" s="6"/>
    </row>
    <row r="50" spans="1:21" x14ac:dyDescent="0.15">
      <c r="A50" s="16" t="s">
        <v>22</v>
      </c>
      <c r="B50" s="12">
        <v>5020</v>
      </c>
      <c r="C50" s="12">
        <v>0</v>
      </c>
      <c r="D50" s="60">
        <v>0</v>
      </c>
      <c r="E50" s="78">
        <f t="shared" si="1"/>
        <v>5020</v>
      </c>
      <c r="F50" s="44">
        <v>4914</v>
      </c>
      <c r="G50" s="12">
        <v>7905</v>
      </c>
      <c r="H50" s="12">
        <v>7650</v>
      </c>
      <c r="I50" s="12">
        <v>9120</v>
      </c>
      <c r="J50" s="44">
        <v>26910</v>
      </c>
      <c r="K50" s="12">
        <v>18020</v>
      </c>
      <c r="L50" s="60">
        <v>5610</v>
      </c>
      <c r="M50" s="78">
        <f t="shared" si="2"/>
        <v>80129</v>
      </c>
      <c r="N50" s="94">
        <v>85149</v>
      </c>
      <c r="O50" s="6"/>
      <c r="P50" s="6"/>
      <c r="Q50" s="6"/>
      <c r="R50" s="6"/>
      <c r="S50" s="6"/>
      <c r="T50" s="6"/>
      <c r="U50" s="6"/>
    </row>
    <row r="51" spans="1:21" ht="14.25" thickBot="1" x14ac:dyDescent="0.2">
      <c r="A51" s="17" t="s">
        <v>50</v>
      </c>
      <c r="B51" s="31">
        <v>340020</v>
      </c>
      <c r="C51" s="31">
        <v>335000</v>
      </c>
      <c r="D51" s="61">
        <v>96140</v>
      </c>
      <c r="E51" s="79">
        <f t="shared" si="1"/>
        <v>771160</v>
      </c>
      <c r="F51" s="45">
        <v>374244</v>
      </c>
      <c r="G51" s="31">
        <v>336361</v>
      </c>
      <c r="H51" s="31">
        <v>370386</v>
      </c>
      <c r="I51" s="31">
        <v>400984</v>
      </c>
      <c r="J51" s="45">
        <v>340742</v>
      </c>
      <c r="K51" s="31">
        <v>330541</v>
      </c>
      <c r="L51" s="61">
        <v>289027</v>
      </c>
      <c r="M51" s="79">
        <f t="shared" si="2"/>
        <v>2442285</v>
      </c>
      <c r="N51" s="95">
        <v>3213445</v>
      </c>
      <c r="O51" s="6"/>
      <c r="P51" s="6"/>
      <c r="Q51" s="6"/>
      <c r="R51" s="6"/>
      <c r="S51" s="6"/>
      <c r="T51" s="6"/>
      <c r="U51" s="6"/>
    </row>
    <row r="52" spans="1:21" x14ac:dyDescent="0.15">
      <c r="A52" s="29" t="s">
        <v>51</v>
      </c>
      <c r="B52" s="30">
        <v>5132</v>
      </c>
      <c r="C52" s="30">
        <v>13265</v>
      </c>
      <c r="D52" s="62">
        <v>376</v>
      </c>
      <c r="E52" s="80">
        <f t="shared" si="1"/>
        <v>18773</v>
      </c>
      <c r="F52" s="46">
        <v>9949</v>
      </c>
      <c r="G52" s="30">
        <v>1362</v>
      </c>
      <c r="H52" s="30">
        <v>3909</v>
      </c>
      <c r="I52" s="30">
        <v>7402</v>
      </c>
      <c r="J52" s="46">
        <v>1816</v>
      </c>
      <c r="K52" s="30">
        <v>1816</v>
      </c>
      <c r="L52" s="62">
        <v>1303</v>
      </c>
      <c r="M52" s="80">
        <f t="shared" si="2"/>
        <v>27557</v>
      </c>
      <c r="N52" s="96">
        <v>46330</v>
      </c>
      <c r="O52" s="6"/>
      <c r="P52" s="6"/>
      <c r="Q52" s="6"/>
      <c r="R52" s="6"/>
      <c r="S52" s="6"/>
      <c r="T52" s="6"/>
      <c r="U52" s="6"/>
    </row>
    <row r="53" spans="1:21" ht="14.25" thickBot="1" x14ac:dyDescent="0.2">
      <c r="A53" s="32" t="s">
        <v>52</v>
      </c>
      <c r="B53" s="33">
        <v>5132</v>
      </c>
      <c r="C53" s="33">
        <v>13265</v>
      </c>
      <c r="D53" s="63">
        <v>376</v>
      </c>
      <c r="E53" s="81">
        <f t="shared" si="1"/>
        <v>18773</v>
      </c>
      <c r="F53" s="47">
        <v>9949</v>
      </c>
      <c r="G53" s="33">
        <v>1362</v>
      </c>
      <c r="H53" s="33">
        <v>3909</v>
      </c>
      <c r="I53" s="33">
        <v>7402</v>
      </c>
      <c r="J53" s="47">
        <v>1816</v>
      </c>
      <c r="K53" s="33">
        <v>1816</v>
      </c>
      <c r="L53" s="63">
        <v>1303</v>
      </c>
      <c r="M53" s="81">
        <f t="shared" si="2"/>
        <v>27557</v>
      </c>
      <c r="N53" s="97">
        <v>46330</v>
      </c>
    </row>
    <row r="54" spans="1:21" ht="14.25" thickBot="1" x14ac:dyDescent="0.2">
      <c r="A54" s="34" t="s">
        <v>53</v>
      </c>
      <c r="B54" s="35">
        <v>345152</v>
      </c>
      <c r="C54" s="35">
        <v>348265</v>
      </c>
      <c r="D54" s="64">
        <v>96516</v>
      </c>
      <c r="E54" s="82">
        <f t="shared" si="1"/>
        <v>789933</v>
      </c>
      <c r="F54" s="48">
        <v>384193</v>
      </c>
      <c r="G54" s="35">
        <v>337723</v>
      </c>
      <c r="H54" s="35">
        <v>374295</v>
      </c>
      <c r="I54" s="35">
        <v>408386</v>
      </c>
      <c r="J54" s="48">
        <v>342558</v>
      </c>
      <c r="K54" s="35">
        <v>332357</v>
      </c>
      <c r="L54" s="64">
        <v>290330</v>
      </c>
      <c r="M54" s="82">
        <f t="shared" si="2"/>
        <v>2469842</v>
      </c>
      <c r="N54" s="98">
        <v>3259775</v>
      </c>
    </row>
    <row r="55" spans="1:21" x14ac:dyDescent="0.15">
      <c r="A55" s="29" t="s">
        <v>54</v>
      </c>
      <c r="B55" s="30">
        <v>17340</v>
      </c>
      <c r="C55" s="30">
        <v>17340</v>
      </c>
      <c r="D55" s="62">
        <v>0</v>
      </c>
      <c r="E55" s="80">
        <f t="shared" si="1"/>
        <v>34680</v>
      </c>
      <c r="F55" s="46">
        <v>16320</v>
      </c>
      <c r="G55" s="30">
        <v>14280</v>
      </c>
      <c r="H55" s="30">
        <v>14280</v>
      </c>
      <c r="I55" s="30">
        <v>18360</v>
      </c>
      <c r="J55" s="46">
        <v>15300</v>
      </c>
      <c r="K55" s="30">
        <v>14280</v>
      </c>
      <c r="L55" s="62">
        <v>13260</v>
      </c>
      <c r="M55" s="80">
        <f t="shared" si="2"/>
        <v>106080</v>
      </c>
      <c r="N55" s="96">
        <v>140760</v>
      </c>
    </row>
    <row r="56" spans="1:21" x14ac:dyDescent="0.15">
      <c r="A56" s="16" t="s">
        <v>55</v>
      </c>
      <c r="B56" s="12">
        <v>3060</v>
      </c>
      <c r="C56" s="12">
        <v>3060</v>
      </c>
      <c r="D56" s="60">
        <v>0</v>
      </c>
      <c r="E56" s="78">
        <f t="shared" si="1"/>
        <v>6120</v>
      </c>
      <c r="F56" s="44">
        <v>2880</v>
      </c>
      <c r="G56" s="12">
        <v>2520</v>
      </c>
      <c r="H56" s="12">
        <v>2520</v>
      </c>
      <c r="I56" s="12">
        <v>3240</v>
      </c>
      <c r="J56" s="44">
        <v>2700</v>
      </c>
      <c r="K56" s="12">
        <v>2520</v>
      </c>
      <c r="L56" s="60">
        <v>0</v>
      </c>
      <c r="M56" s="78">
        <f t="shared" si="2"/>
        <v>16380</v>
      </c>
      <c r="N56" s="94">
        <v>22500</v>
      </c>
    </row>
    <row r="57" spans="1:21" x14ac:dyDescent="0.15">
      <c r="A57" s="16" t="s">
        <v>56</v>
      </c>
      <c r="B57" s="12">
        <v>31110</v>
      </c>
      <c r="C57" s="12">
        <v>31110</v>
      </c>
      <c r="D57" s="60">
        <v>0</v>
      </c>
      <c r="E57" s="78">
        <f t="shared" si="1"/>
        <v>62220</v>
      </c>
      <c r="F57" s="44">
        <v>29280</v>
      </c>
      <c r="G57" s="12">
        <v>25620</v>
      </c>
      <c r="H57" s="12">
        <v>25620</v>
      </c>
      <c r="I57" s="12">
        <v>32940</v>
      </c>
      <c r="J57" s="44">
        <v>27450</v>
      </c>
      <c r="K57" s="12">
        <v>25620</v>
      </c>
      <c r="L57" s="60">
        <v>23790</v>
      </c>
      <c r="M57" s="78">
        <f t="shared" si="2"/>
        <v>190320</v>
      </c>
      <c r="N57" s="94">
        <v>252540</v>
      </c>
    </row>
    <row r="58" spans="1:21" x14ac:dyDescent="0.15">
      <c r="A58" s="16" t="s">
        <v>57</v>
      </c>
      <c r="B58" s="12">
        <v>0</v>
      </c>
      <c r="C58" s="12">
        <v>0</v>
      </c>
      <c r="D58" s="60">
        <v>0</v>
      </c>
      <c r="E58" s="78">
        <f t="shared" si="1"/>
        <v>0</v>
      </c>
      <c r="F58" s="44">
        <v>0</v>
      </c>
      <c r="G58" s="12">
        <v>0</v>
      </c>
      <c r="H58" s="12">
        <v>0</v>
      </c>
      <c r="I58" s="12">
        <v>0</v>
      </c>
      <c r="J58" s="44">
        <v>0</v>
      </c>
      <c r="K58" s="12">
        <v>0</v>
      </c>
      <c r="L58" s="60">
        <v>0</v>
      </c>
      <c r="M58" s="78">
        <f t="shared" si="2"/>
        <v>0</v>
      </c>
      <c r="N58" s="94">
        <v>0</v>
      </c>
    </row>
    <row r="59" spans="1:21" x14ac:dyDescent="0.15">
      <c r="A59" s="16" t="s">
        <v>58</v>
      </c>
      <c r="B59" s="12">
        <v>1035</v>
      </c>
      <c r="C59" s="12">
        <v>1045</v>
      </c>
      <c r="D59" s="60">
        <v>290</v>
      </c>
      <c r="E59" s="78">
        <f t="shared" si="1"/>
        <v>2370</v>
      </c>
      <c r="F59" s="44">
        <v>1153</v>
      </c>
      <c r="G59" s="12">
        <v>1013</v>
      </c>
      <c r="H59" s="12">
        <v>1123</v>
      </c>
      <c r="I59" s="12">
        <v>1225</v>
      </c>
      <c r="J59" s="44">
        <v>1028</v>
      </c>
      <c r="K59" s="12">
        <v>997</v>
      </c>
      <c r="L59" s="60">
        <v>871</v>
      </c>
      <c r="M59" s="78">
        <f t="shared" si="2"/>
        <v>7410</v>
      </c>
      <c r="N59" s="94">
        <v>9780</v>
      </c>
    </row>
    <row r="60" spans="1:21" x14ac:dyDescent="0.15">
      <c r="A60" s="16" t="s">
        <v>59</v>
      </c>
      <c r="B60" s="12">
        <v>0</v>
      </c>
      <c r="C60" s="12">
        <v>0</v>
      </c>
      <c r="D60" s="60">
        <v>0</v>
      </c>
      <c r="E60" s="78">
        <f t="shared" si="1"/>
        <v>0</v>
      </c>
      <c r="F60" s="44">
        <v>0</v>
      </c>
      <c r="G60" s="12">
        <v>0</v>
      </c>
      <c r="H60" s="12">
        <v>0</v>
      </c>
      <c r="I60" s="12">
        <v>0</v>
      </c>
      <c r="J60" s="44">
        <v>0</v>
      </c>
      <c r="K60" s="12">
        <v>0</v>
      </c>
      <c r="L60" s="60">
        <v>0</v>
      </c>
      <c r="M60" s="78">
        <f t="shared" si="2"/>
        <v>0</v>
      </c>
      <c r="N60" s="94">
        <v>0</v>
      </c>
    </row>
    <row r="61" spans="1:21" ht="14.25" thickBot="1" x14ac:dyDescent="0.2">
      <c r="A61" s="32" t="s">
        <v>60</v>
      </c>
      <c r="B61" s="33">
        <v>52545</v>
      </c>
      <c r="C61" s="33">
        <v>52555</v>
      </c>
      <c r="D61" s="63">
        <v>290</v>
      </c>
      <c r="E61" s="81">
        <f t="shared" si="1"/>
        <v>105390</v>
      </c>
      <c r="F61" s="47">
        <v>49633</v>
      </c>
      <c r="G61" s="33">
        <v>43433</v>
      </c>
      <c r="H61" s="33">
        <v>43543</v>
      </c>
      <c r="I61" s="33">
        <v>55765</v>
      </c>
      <c r="J61" s="47">
        <v>46478</v>
      </c>
      <c r="K61" s="33">
        <v>43417</v>
      </c>
      <c r="L61" s="63">
        <v>37921</v>
      </c>
      <c r="M61" s="81">
        <f t="shared" si="2"/>
        <v>320190</v>
      </c>
      <c r="N61" s="97">
        <v>425580</v>
      </c>
    </row>
    <row r="62" spans="1:21" ht="14.25" thickBot="1" x14ac:dyDescent="0.2">
      <c r="A62" s="34" t="s">
        <v>61</v>
      </c>
      <c r="B62" s="35">
        <v>287475</v>
      </c>
      <c r="C62" s="35">
        <v>282445</v>
      </c>
      <c r="D62" s="64">
        <v>95850</v>
      </c>
      <c r="E62" s="82">
        <f t="shared" si="1"/>
        <v>665770</v>
      </c>
      <c r="F62" s="48">
        <v>324611</v>
      </c>
      <c r="G62" s="35">
        <v>292928</v>
      </c>
      <c r="H62" s="35">
        <v>326843</v>
      </c>
      <c r="I62" s="35">
        <v>345219</v>
      </c>
      <c r="J62" s="48">
        <v>294264</v>
      </c>
      <c r="K62" s="35">
        <v>287124</v>
      </c>
      <c r="L62" s="64">
        <v>251106</v>
      </c>
      <c r="M62" s="82">
        <f t="shared" si="2"/>
        <v>2122095</v>
      </c>
      <c r="N62" s="98">
        <v>2787865</v>
      </c>
    </row>
    <row r="63" spans="1:21" x14ac:dyDescent="0.15">
      <c r="A63" s="29" t="s">
        <v>62</v>
      </c>
      <c r="B63" s="30">
        <v>7890</v>
      </c>
      <c r="C63" s="30">
        <v>7710</v>
      </c>
      <c r="D63" s="62">
        <v>510</v>
      </c>
      <c r="E63" s="80">
        <f t="shared" si="1"/>
        <v>16110</v>
      </c>
      <c r="F63" s="46">
        <v>10390</v>
      </c>
      <c r="G63" s="30">
        <v>8090</v>
      </c>
      <c r="H63" s="30">
        <v>7820</v>
      </c>
      <c r="I63" s="30">
        <v>6950</v>
      </c>
      <c r="J63" s="46">
        <v>4900</v>
      </c>
      <c r="K63" s="30">
        <v>7880</v>
      </c>
      <c r="L63" s="62">
        <v>4970</v>
      </c>
      <c r="M63" s="80">
        <f t="shared" si="2"/>
        <v>51000</v>
      </c>
      <c r="N63" s="96">
        <v>67110</v>
      </c>
    </row>
    <row r="64" spans="1:21" x14ac:dyDescent="0.15">
      <c r="A64" s="16" t="s">
        <v>63</v>
      </c>
      <c r="B64" s="12">
        <v>0</v>
      </c>
      <c r="C64" s="12">
        <v>0</v>
      </c>
      <c r="D64" s="60">
        <v>0</v>
      </c>
      <c r="E64" s="78">
        <f t="shared" si="1"/>
        <v>0</v>
      </c>
      <c r="F64" s="44">
        <v>0</v>
      </c>
      <c r="G64" s="12">
        <v>0</v>
      </c>
      <c r="H64" s="12">
        <v>0</v>
      </c>
      <c r="I64" s="12">
        <v>0</v>
      </c>
      <c r="J64" s="44">
        <v>0</v>
      </c>
      <c r="K64" s="12">
        <v>0</v>
      </c>
      <c r="L64" s="60">
        <v>0</v>
      </c>
      <c r="M64" s="78">
        <f t="shared" si="2"/>
        <v>0</v>
      </c>
      <c r="N64" s="94">
        <v>0</v>
      </c>
    </row>
    <row r="65" spans="1:14" x14ac:dyDescent="0.15">
      <c r="A65" s="16" t="s">
        <v>64</v>
      </c>
      <c r="B65" s="12">
        <v>8900</v>
      </c>
      <c r="C65" s="12">
        <v>0</v>
      </c>
      <c r="D65" s="60">
        <v>0</v>
      </c>
      <c r="E65" s="78">
        <f t="shared" si="1"/>
        <v>8900</v>
      </c>
      <c r="F65" s="44">
        <v>14200</v>
      </c>
      <c r="G65" s="12">
        <v>6100</v>
      </c>
      <c r="H65" s="12">
        <v>8900</v>
      </c>
      <c r="I65" s="12">
        <v>12000</v>
      </c>
      <c r="J65" s="44">
        <v>5900</v>
      </c>
      <c r="K65" s="12">
        <v>13100</v>
      </c>
      <c r="L65" s="60">
        <v>0</v>
      </c>
      <c r="M65" s="78">
        <f t="shared" si="2"/>
        <v>60200</v>
      </c>
      <c r="N65" s="94">
        <v>69100</v>
      </c>
    </row>
    <row r="66" spans="1:14" x14ac:dyDescent="0.15">
      <c r="A66" s="16" t="s">
        <v>65</v>
      </c>
      <c r="B66" s="12">
        <v>0</v>
      </c>
      <c r="C66" s="12">
        <v>0</v>
      </c>
      <c r="D66" s="60">
        <v>0</v>
      </c>
      <c r="E66" s="78">
        <f t="shared" si="1"/>
        <v>0</v>
      </c>
      <c r="F66" s="44">
        <v>0</v>
      </c>
      <c r="G66" s="12">
        <v>0</v>
      </c>
      <c r="H66" s="12">
        <v>0</v>
      </c>
      <c r="I66" s="12">
        <v>0</v>
      </c>
      <c r="J66" s="44">
        <v>0</v>
      </c>
      <c r="K66" s="12">
        <v>0</v>
      </c>
      <c r="L66" s="60">
        <v>0</v>
      </c>
      <c r="M66" s="78">
        <f t="shared" si="2"/>
        <v>0</v>
      </c>
      <c r="N66" s="94">
        <v>0</v>
      </c>
    </row>
    <row r="67" spans="1:14" x14ac:dyDescent="0.15">
      <c r="A67" s="16" t="s">
        <v>66</v>
      </c>
      <c r="B67" s="12">
        <v>0</v>
      </c>
      <c r="C67" s="12">
        <v>0</v>
      </c>
      <c r="D67" s="60">
        <v>0</v>
      </c>
      <c r="E67" s="78">
        <f t="shared" si="1"/>
        <v>0</v>
      </c>
      <c r="F67" s="44">
        <v>0</v>
      </c>
      <c r="G67" s="12">
        <v>0</v>
      </c>
      <c r="H67" s="12">
        <v>0</v>
      </c>
      <c r="I67" s="12">
        <v>0</v>
      </c>
      <c r="J67" s="44">
        <v>0</v>
      </c>
      <c r="K67" s="12">
        <v>0</v>
      </c>
      <c r="L67" s="60">
        <v>0</v>
      </c>
      <c r="M67" s="78">
        <f t="shared" si="2"/>
        <v>0</v>
      </c>
      <c r="N67" s="94">
        <v>0</v>
      </c>
    </row>
    <row r="68" spans="1:14" x14ac:dyDescent="0.15">
      <c r="A68" s="16" t="s">
        <v>67</v>
      </c>
      <c r="B68" s="12">
        <v>0</v>
      </c>
      <c r="C68" s="12">
        <v>0</v>
      </c>
      <c r="D68" s="60">
        <v>0</v>
      </c>
      <c r="E68" s="78">
        <f t="shared" si="1"/>
        <v>0</v>
      </c>
      <c r="F68" s="44">
        <v>0</v>
      </c>
      <c r="G68" s="12">
        <v>0</v>
      </c>
      <c r="H68" s="12">
        <v>0</v>
      </c>
      <c r="I68" s="12">
        <v>0</v>
      </c>
      <c r="J68" s="44">
        <v>0</v>
      </c>
      <c r="K68" s="12">
        <v>0</v>
      </c>
      <c r="L68" s="60">
        <v>0</v>
      </c>
      <c r="M68" s="78">
        <f t="shared" si="2"/>
        <v>0</v>
      </c>
      <c r="N68" s="94">
        <v>0</v>
      </c>
    </row>
    <row r="69" spans="1:14" ht="14.25" thickBot="1" x14ac:dyDescent="0.2">
      <c r="A69" s="32" t="s">
        <v>68</v>
      </c>
      <c r="B69" s="33">
        <v>16790</v>
      </c>
      <c r="C69" s="33">
        <v>7710</v>
      </c>
      <c r="D69" s="63">
        <v>510</v>
      </c>
      <c r="E69" s="81">
        <f t="shared" si="1"/>
        <v>25010</v>
      </c>
      <c r="F69" s="47">
        <v>24590</v>
      </c>
      <c r="G69" s="33">
        <v>14190</v>
      </c>
      <c r="H69" s="33">
        <v>16720</v>
      </c>
      <c r="I69" s="33">
        <v>18950</v>
      </c>
      <c r="J69" s="47">
        <v>10800</v>
      </c>
      <c r="K69" s="33">
        <v>20980</v>
      </c>
      <c r="L69" s="63">
        <v>4970</v>
      </c>
      <c r="M69" s="81">
        <f t="shared" si="2"/>
        <v>111200</v>
      </c>
      <c r="N69" s="97">
        <v>136210</v>
      </c>
    </row>
    <row r="70" spans="1:14" ht="14.25" thickBot="1" x14ac:dyDescent="0.2">
      <c r="A70" s="34" t="s">
        <v>69</v>
      </c>
      <c r="B70" s="35">
        <v>69335</v>
      </c>
      <c r="C70" s="35">
        <v>60265</v>
      </c>
      <c r="D70" s="64">
        <v>800</v>
      </c>
      <c r="E70" s="82">
        <f t="shared" si="1"/>
        <v>130400</v>
      </c>
      <c r="F70" s="48">
        <v>74223</v>
      </c>
      <c r="G70" s="35">
        <v>57623</v>
      </c>
      <c r="H70" s="35">
        <v>60263</v>
      </c>
      <c r="I70" s="35">
        <v>74715</v>
      </c>
      <c r="J70" s="48">
        <v>57278</v>
      </c>
      <c r="K70" s="35">
        <v>64397</v>
      </c>
      <c r="L70" s="64">
        <v>42891</v>
      </c>
      <c r="M70" s="82">
        <f t="shared" si="2"/>
        <v>431390</v>
      </c>
      <c r="N70" s="98">
        <v>561790</v>
      </c>
    </row>
    <row r="71" spans="1:14" ht="14.25" thickBot="1" x14ac:dyDescent="0.2">
      <c r="A71" s="34" t="s">
        <v>70</v>
      </c>
      <c r="B71" s="35">
        <v>275817</v>
      </c>
      <c r="C71" s="35">
        <v>288000</v>
      </c>
      <c r="D71" s="64">
        <v>95716</v>
      </c>
      <c r="E71" s="82">
        <f t="shared" si="1"/>
        <v>659533</v>
      </c>
      <c r="F71" s="48">
        <v>309970</v>
      </c>
      <c r="G71" s="35">
        <v>280100</v>
      </c>
      <c r="H71" s="35">
        <v>314032</v>
      </c>
      <c r="I71" s="35">
        <v>333671</v>
      </c>
      <c r="J71" s="48">
        <v>285280</v>
      </c>
      <c r="K71" s="35">
        <v>267960</v>
      </c>
      <c r="L71" s="64">
        <v>247439</v>
      </c>
      <c r="M71" s="82">
        <f t="shared" si="2"/>
        <v>2038452</v>
      </c>
      <c r="N71" s="98">
        <v>2697985</v>
      </c>
    </row>
    <row r="72" spans="1:14" x14ac:dyDescent="0.15">
      <c r="A72" s="29" t="s">
        <v>71</v>
      </c>
      <c r="B72" s="30">
        <v>0</v>
      </c>
      <c r="C72" s="30">
        <v>0</v>
      </c>
      <c r="D72" s="62">
        <v>0</v>
      </c>
      <c r="E72" s="80">
        <f t="shared" si="1"/>
        <v>0</v>
      </c>
      <c r="F72" s="46">
        <v>0</v>
      </c>
      <c r="G72" s="30">
        <v>0</v>
      </c>
      <c r="H72" s="30">
        <v>0</v>
      </c>
      <c r="I72" s="30">
        <v>0</v>
      </c>
      <c r="J72" s="46">
        <v>0</v>
      </c>
      <c r="K72" s="30">
        <v>0</v>
      </c>
      <c r="L72" s="62">
        <v>0</v>
      </c>
      <c r="M72" s="80">
        <f t="shared" si="2"/>
        <v>0</v>
      </c>
      <c r="N72" s="96">
        <v>0</v>
      </c>
    </row>
    <row r="73" spans="1:14" x14ac:dyDescent="0.15">
      <c r="A73" s="16" t="s">
        <v>72</v>
      </c>
      <c r="B73" s="12">
        <v>275817</v>
      </c>
      <c r="C73" s="12">
        <v>288000</v>
      </c>
      <c r="D73" s="60">
        <v>95716</v>
      </c>
      <c r="E73" s="78">
        <f t="shared" si="1"/>
        <v>659533</v>
      </c>
      <c r="F73" s="44">
        <v>309970</v>
      </c>
      <c r="G73" s="12">
        <v>280100</v>
      </c>
      <c r="H73" s="12">
        <v>314032</v>
      </c>
      <c r="I73" s="12">
        <v>333671</v>
      </c>
      <c r="J73" s="44">
        <v>285280</v>
      </c>
      <c r="K73" s="12">
        <v>267960</v>
      </c>
      <c r="L73" s="60">
        <v>247439</v>
      </c>
      <c r="M73" s="78">
        <f t="shared" si="2"/>
        <v>2038452</v>
      </c>
      <c r="N73" s="94">
        <v>2697985</v>
      </c>
    </row>
    <row r="74" spans="1:14" x14ac:dyDescent="0.15">
      <c r="A74" s="16" t="s">
        <v>73</v>
      </c>
      <c r="B74" s="13">
        <v>33</v>
      </c>
      <c r="C74" s="13"/>
      <c r="D74" s="65">
        <v>15</v>
      </c>
      <c r="E74" s="83"/>
      <c r="F74" s="49">
        <v>28</v>
      </c>
      <c r="G74" s="13">
        <v>7</v>
      </c>
      <c r="H74" s="13">
        <v>12</v>
      </c>
      <c r="I74" s="13">
        <v>34</v>
      </c>
      <c r="J74" s="49">
        <v>20</v>
      </c>
      <c r="K74" s="13">
        <v>24</v>
      </c>
      <c r="L74" s="65">
        <v>8</v>
      </c>
      <c r="M74" s="83"/>
      <c r="N74" s="99">
        <v>181</v>
      </c>
    </row>
    <row r="75" spans="1:14" x14ac:dyDescent="0.15">
      <c r="A75" s="16" t="s">
        <v>74</v>
      </c>
      <c r="B75" s="14"/>
      <c r="C75" s="14"/>
      <c r="D75" s="66"/>
      <c r="E75" s="84"/>
      <c r="F75" s="50"/>
      <c r="G75" s="14"/>
      <c r="H75" s="14">
        <v>1</v>
      </c>
      <c r="I75" s="14">
        <v>2</v>
      </c>
      <c r="J75" s="50">
        <v>2</v>
      </c>
      <c r="K75" s="14"/>
      <c r="L75" s="66">
        <v>1</v>
      </c>
      <c r="M75" s="84"/>
      <c r="N75" s="100"/>
    </row>
    <row r="76" spans="1:14" ht="14.25" thickBot="1" x14ac:dyDescent="0.2">
      <c r="A76" s="17" t="s">
        <v>75</v>
      </c>
      <c r="B76" s="18" t="s">
        <v>76</v>
      </c>
      <c r="C76" s="18" t="s">
        <v>76</v>
      </c>
      <c r="D76" s="18" t="s">
        <v>76</v>
      </c>
      <c r="E76" s="18"/>
      <c r="F76" s="18" t="s">
        <v>76</v>
      </c>
      <c r="G76" s="18" t="s">
        <v>76</v>
      </c>
      <c r="H76" s="18" t="s">
        <v>76</v>
      </c>
      <c r="I76" s="18" t="s">
        <v>76</v>
      </c>
      <c r="J76" s="51" t="s">
        <v>76</v>
      </c>
      <c r="K76" s="18" t="s">
        <v>76</v>
      </c>
      <c r="L76" s="67" t="s">
        <v>76</v>
      </c>
      <c r="M76" s="103"/>
      <c r="N76" s="101"/>
    </row>
  </sheetData>
  <phoneticPr fontId="1"/>
  <pageMargins left="0.43307086614173229" right="0.35433070866141736" top="0.51181102362204722" bottom="0.35433070866141736" header="0.19685039370078741" footer="0.27559055118110237"/>
  <pageSetup paperSize="9" scale="5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1頁 (2)</vt:lpstr>
      <vt:lpstr>助成金</vt:lpstr>
      <vt:lpstr>'1頁 (2)'!Print_Area</vt:lpstr>
      <vt:lpstr>助成金!Print_Area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2021-02-18T06:40:58Z</cp:lastPrinted>
  <dcterms:created xsi:type="dcterms:W3CDTF">2011-10-11T01:59:58Z</dcterms:created>
  <dcterms:modified xsi:type="dcterms:W3CDTF">2021-02-18T06:41:03Z</dcterms:modified>
</cp:coreProperties>
</file>