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2\"/>
    </mc:Choice>
  </mc:AlternateContent>
  <xr:revisionPtr revIDLastSave="0" documentId="13_ncr:1_{DC852FF6-B219-4D37-A289-27DFC7F247F6}" xr6:coauthVersionLast="47" xr6:coauthVersionMax="47" xr10:uidLastSave="{00000000-0000-0000-0000-000000000000}"/>
  <bookViews>
    <workbookView xWindow="-120" yWindow="-120" windowWidth="20730" windowHeight="11160" xr2:uid="{02386893-B7AB-49FE-89D3-14A5177E5836}"/>
  </bookViews>
  <sheets>
    <sheet name="2021年 12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3" l="1"/>
  <c r="K9" i="3"/>
  <c r="K11" i="3"/>
  <c r="K12" i="3"/>
  <c r="K13" i="3"/>
  <c r="K17" i="3"/>
  <c r="K18" i="3"/>
  <c r="K19" i="3"/>
  <c r="K20" i="3"/>
  <c r="J26" i="3"/>
  <c r="K26" i="3" s="1"/>
  <c r="J27" i="3"/>
  <c r="J28" i="3"/>
  <c r="K28" i="3" s="1"/>
  <c r="J29" i="3"/>
  <c r="J30" i="3"/>
  <c r="K30" i="3" s="1"/>
  <c r="J31" i="3"/>
  <c r="K31" i="3" s="1"/>
  <c r="J32" i="3"/>
  <c r="K32" i="3" s="1"/>
  <c r="J33" i="3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K41" i="3" s="1"/>
  <c r="J42" i="3"/>
  <c r="K42" i="3" s="1"/>
  <c r="J43" i="3"/>
  <c r="K43" i="3" s="1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5" i="3"/>
  <c r="K25" i="3" s="1"/>
  <c r="J24" i="3"/>
  <c r="J23" i="3"/>
  <c r="J22" i="3"/>
  <c r="K22" i="3" s="1"/>
  <c r="J16" i="3"/>
  <c r="K16" i="3" s="1"/>
  <c r="J15" i="3"/>
  <c r="K15" i="3" s="1"/>
  <c r="J10" i="3"/>
  <c r="J7" i="3"/>
  <c r="K7" i="3" s="1"/>
  <c r="J6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44" i="3"/>
  <c r="E33" i="3"/>
  <c r="E29" i="3"/>
  <c r="E27" i="3"/>
  <c r="E24" i="3"/>
  <c r="E23" i="3"/>
  <c r="E21" i="3"/>
  <c r="K21" i="3" s="1"/>
  <c r="E14" i="3"/>
  <c r="K14" i="3" s="1"/>
  <c r="E10" i="3"/>
  <c r="E6" i="3"/>
  <c r="K6" i="3" s="1"/>
  <c r="K27" i="3" l="1"/>
  <c r="K62" i="3"/>
  <c r="K58" i="3"/>
  <c r="K57" i="3"/>
  <c r="K53" i="3"/>
  <c r="K49" i="3"/>
  <c r="K29" i="3"/>
  <c r="K48" i="3"/>
  <c r="K47" i="3"/>
  <c r="K61" i="3"/>
  <c r="K56" i="3"/>
  <c r="K52" i="3"/>
  <c r="K45" i="3"/>
  <c r="K23" i="3"/>
  <c r="K60" i="3"/>
  <c r="K55" i="3"/>
  <c r="K51" i="3"/>
  <c r="K10" i="3"/>
  <c r="K24" i="3"/>
  <c r="K44" i="3"/>
  <c r="K59" i="3"/>
  <c r="K54" i="3"/>
  <c r="K50" i="3"/>
  <c r="K46" i="3"/>
  <c r="K33" i="3"/>
</calcChain>
</file>

<file path=xl/sharedStrings.xml><?xml version="1.0" encoding="utf-8"?>
<sst xmlns="http://schemas.openxmlformats.org/spreadsheetml/2006/main" count="146" uniqueCount="80">
  <si>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</si>
  <si>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</si>
  <si>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</si>
  <si>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</si>
  <si>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</si>
  <si>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</si>
  <si>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</si>
  <si>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</si>
  <si>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1089</t>
    <phoneticPr fontId="4"/>
  </si>
  <si>
    <t>項目名</t>
    <phoneticPr fontId="4"/>
  </si>
  <si>
    <t>菅原　幸志</t>
    <phoneticPr fontId="4"/>
  </si>
  <si>
    <t>伊藤　正典</t>
    <phoneticPr fontId="4"/>
  </si>
  <si>
    <t>上野　誠也</t>
    <phoneticPr fontId="4"/>
  </si>
  <si>
    <t>伊藤　尚</t>
    <phoneticPr fontId="4"/>
  </si>
  <si>
    <t>橋本　淳志</t>
    <phoneticPr fontId="4"/>
  </si>
  <si>
    <t>秋田　愛美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</si>
  <si>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</si>
  <si>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</si>
  <si>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</si>
  <si>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</si>
  <si>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</si>
  <si>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</si>
  <si>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</si>
  <si>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</si>
  <si>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</si>
  <si>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</si>
  <si>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</si>
  <si>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</si>
  <si>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</si>
  <si>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</si>
  <si>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</si>
  <si>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</si>
  <si>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</si>
  <si>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</si>
  <si>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</si>
  <si>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</si>
  <si>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</si>
  <si>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</si>
  <si>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</si>
  <si>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</si>
  <si>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</si>
  <si>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</si>
  <si>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</si>
  <si>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</si>
  <si>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</si>
  <si>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</si>
  <si>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</si>
  <si>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</si>
  <si>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</si>
  <si>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</si>
  <si>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</si>
  <si>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</si>
  <si>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</si>
  <si>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</si>
  <si>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</si>
  <si>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</si>
  <si>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</si>
  <si>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</si>
  <si>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</si>
  <si>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</si>
  <si>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</si>
  <si>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</si>
  <si>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</si>
  <si>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</si>
  <si>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</si>
  <si>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</si>
  <si>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</si>
  <si>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</si>
  <si>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</si>
  <si>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</si>
  <si>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</si>
  <si>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</si>
  <si>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</si>
  <si>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</si>
  <si>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</si>
  <si>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12月度給与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</si>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</sst>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2" fontId="2" fillId="0" borderId="8" xfId="1" applyNumberFormat="1" applyFont="1" applyBorder="1"/>
    <xf numFmtId="2" fontId="2" fillId="0" borderId="9" xfId="1" applyNumberFormat="1" applyFont="1" applyBorder="1"/>
    <xf numFmtId="2" fontId="2" fillId="0" borderId="10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49" fontId="2" fillId="0" borderId="18" xfId="1" applyNumberFormat="1" applyFont="1" applyBorder="1" applyAlignment="1">
      <alignment horizontal="left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7" xfId="1" applyNumberFormat="1" applyFont="1" applyBorder="1" applyAlignment="1">
      <alignment horizontal="left"/>
    </xf>
    <xf numFmtId="0" fontId="2" fillId="0" borderId="31" xfId="1" applyFont="1" applyBorder="1"/>
    <xf numFmtId="49" fontId="2" fillId="0" borderId="13" xfId="1" applyNumberFormat="1" applyFont="1" applyBorder="1" applyAlignment="1">
      <alignment horizontal="right"/>
    </xf>
    <xf numFmtId="0" fontId="2" fillId="0" borderId="32" xfId="1" applyFont="1" applyBorder="1" applyAlignment="1">
      <alignment horizontal="right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0" fontId="2" fillId="0" borderId="37" xfId="1" applyFont="1" applyBorder="1"/>
  </cellXfs>
  <cellStyles count="2">
    <cellStyle name="標準" xfId="0" builtinId="0"/>
    <cellStyle name="標準 2" xfId="1" xr:uid="{AE62A564-BFDD-4AC9-BBA3-6B1637FEA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F126-3953-4ACB-B669-3348E6CCFF88}">
  <sheetPr>
    <pageSetUpPr fitToPage="1"/>
  </sheetPr>
  <dimension ref="A1:M64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1" width="11.375" style="2" customWidth="1"/>
    <col min="12" max="257" width="9" style="2"/>
    <col min="258" max="258" width="2.375" style="2" customWidth="1"/>
    <col min="259" max="259" width="13.25" style="2" bestFit="1" customWidth="1"/>
    <col min="260" max="260" width="9" style="2"/>
    <col min="261" max="263" width="11.125" style="2" bestFit="1" customWidth="1"/>
    <col min="264" max="264" width="9" style="2"/>
    <col min="265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6" width="9" style="2"/>
    <col min="517" max="519" width="11.125" style="2" bestFit="1" customWidth="1"/>
    <col min="520" max="520" width="9" style="2"/>
    <col min="521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2" width="9" style="2"/>
    <col min="773" max="775" width="11.125" style="2" bestFit="1" customWidth="1"/>
    <col min="776" max="776" width="9" style="2"/>
    <col min="777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28" width="9" style="2"/>
    <col min="1029" max="1031" width="11.125" style="2" bestFit="1" customWidth="1"/>
    <col min="1032" max="1032" width="9" style="2"/>
    <col min="1033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4" width="9" style="2"/>
    <col min="1285" max="1287" width="11.125" style="2" bestFit="1" customWidth="1"/>
    <col min="1288" max="1288" width="9" style="2"/>
    <col min="1289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0" width="9" style="2"/>
    <col min="1541" max="1543" width="11.125" style="2" bestFit="1" customWidth="1"/>
    <col min="1544" max="1544" width="9" style="2"/>
    <col min="1545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6" width="9" style="2"/>
    <col min="1797" max="1799" width="11.125" style="2" bestFit="1" customWidth="1"/>
    <col min="1800" max="1800" width="9" style="2"/>
    <col min="1801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2" width="9" style="2"/>
    <col min="2053" max="2055" width="11.125" style="2" bestFit="1" customWidth="1"/>
    <col min="2056" max="2056" width="9" style="2"/>
    <col min="2057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08" width="9" style="2"/>
    <col min="2309" max="2311" width="11.125" style="2" bestFit="1" customWidth="1"/>
    <col min="2312" max="2312" width="9" style="2"/>
    <col min="2313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4" width="9" style="2"/>
    <col min="2565" max="2567" width="11.125" style="2" bestFit="1" customWidth="1"/>
    <col min="2568" max="2568" width="9" style="2"/>
    <col min="2569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0" width="9" style="2"/>
    <col min="2821" max="2823" width="11.125" style="2" bestFit="1" customWidth="1"/>
    <col min="2824" max="2824" width="9" style="2"/>
    <col min="2825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6" width="9" style="2"/>
    <col min="3077" max="3079" width="11.125" style="2" bestFit="1" customWidth="1"/>
    <col min="3080" max="3080" width="9" style="2"/>
    <col min="3081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2" width="9" style="2"/>
    <col min="3333" max="3335" width="11.125" style="2" bestFit="1" customWidth="1"/>
    <col min="3336" max="3336" width="9" style="2"/>
    <col min="3337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88" width="9" style="2"/>
    <col min="3589" max="3591" width="11.125" style="2" bestFit="1" customWidth="1"/>
    <col min="3592" max="3592" width="9" style="2"/>
    <col min="3593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4" width="9" style="2"/>
    <col min="3845" max="3847" width="11.125" style="2" bestFit="1" customWidth="1"/>
    <col min="3848" max="3848" width="9" style="2"/>
    <col min="3849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0" width="9" style="2"/>
    <col min="4101" max="4103" width="11.125" style="2" bestFit="1" customWidth="1"/>
    <col min="4104" max="4104" width="9" style="2"/>
    <col min="4105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6" width="9" style="2"/>
    <col min="4357" max="4359" width="11.125" style="2" bestFit="1" customWidth="1"/>
    <col min="4360" max="4360" width="9" style="2"/>
    <col min="4361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2" width="9" style="2"/>
    <col min="4613" max="4615" width="11.125" style="2" bestFit="1" customWidth="1"/>
    <col min="4616" max="4616" width="9" style="2"/>
    <col min="4617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68" width="9" style="2"/>
    <col min="4869" max="4871" width="11.125" style="2" bestFit="1" customWidth="1"/>
    <col min="4872" max="4872" width="9" style="2"/>
    <col min="4873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4" width="9" style="2"/>
    <col min="5125" max="5127" width="11.125" style="2" bestFit="1" customWidth="1"/>
    <col min="5128" max="5128" width="9" style="2"/>
    <col min="5129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0" width="9" style="2"/>
    <col min="5381" max="5383" width="11.125" style="2" bestFit="1" customWidth="1"/>
    <col min="5384" max="5384" width="9" style="2"/>
    <col min="5385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6" width="9" style="2"/>
    <col min="5637" max="5639" width="11.125" style="2" bestFit="1" customWidth="1"/>
    <col min="5640" max="5640" width="9" style="2"/>
    <col min="5641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2" width="9" style="2"/>
    <col min="5893" max="5895" width="11.125" style="2" bestFit="1" customWidth="1"/>
    <col min="5896" max="5896" width="9" style="2"/>
    <col min="5897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48" width="9" style="2"/>
    <col min="6149" max="6151" width="11.125" style="2" bestFit="1" customWidth="1"/>
    <col min="6152" max="6152" width="9" style="2"/>
    <col min="6153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4" width="9" style="2"/>
    <col min="6405" max="6407" width="11.125" style="2" bestFit="1" customWidth="1"/>
    <col min="6408" max="6408" width="9" style="2"/>
    <col min="6409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0" width="9" style="2"/>
    <col min="6661" max="6663" width="11.125" style="2" bestFit="1" customWidth="1"/>
    <col min="6664" max="6664" width="9" style="2"/>
    <col min="6665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6" width="9" style="2"/>
    <col min="6917" max="6919" width="11.125" style="2" bestFit="1" customWidth="1"/>
    <col min="6920" max="6920" width="9" style="2"/>
    <col min="6921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2" width="9" style="2"/>
    <col min="7173" max="7175" width="11.125" style="2" bestFit="1" customWidth="1"/>
    <col min="7176" max="7176" width="9" style="2"/>
    <col min="7177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28" width="9" style="2"/>
    <col min="7429" max="7431" width="11.125" style="2" bestFit="1" customWidth="1"/>
    <col min="7432" max="7432" width="9" style="2"/>
    <col min="7433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4" width="9" style="2"/>
    <col min="7685" max="7687" width="11.125" style="2" bestFit="1" customWidth="1"/>
    <col min="7688" max="7688" width="9" style="2"/>
    <col min="7689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0" width="9" style="2"/>
    <col min="7941" max="7943" width="11.125" style="2" bestFit="1" customWidth="1"/>
    <col min="7944" max="7944" width="9" style="2"/>
    <col min="7945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6" width="9" style="2"/>
    <col min="8197" max="8199" width="11.125" style="2" bestFit="1" customWidth="1"/>
    <col min="8200" max="8200" width="9" style="2"/>
    <col min="8201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2" width="9" style="2"/>
    <col min="8453" max="8455" width="11.125" style="2" bestFit="1" customWidth="1"/>
    <col min="8456" max="8456" width="9" style="2"/>
    <col min="8457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08" width="9" style="2"/>
    <col min="8709" max="8711" width="11.125" style="2" bestFit="1" customWidth="1"/>
    <col min="8712" max="8712" width="9" style="2"/>
    <col min="8713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4" width="9" style="2"/>
    <col min="8965" max="8967" width="11.125" style="2" bestFit="1" customWidth="1"/>
    <col min="8968" max="8968" width="9" style="2"/>
    <col min="8969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0" width="9" style="2"/>
    <col min="9221" max="9223" width="11.125" style="2" bestFit="1" customWidth="1"/>
    <col min="9224" max="9224" width="9" style="2"/>
    <col min="9225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6" width="9" style="2"/>
    <col min="9477" max="9479" width="11.125" style="2" bestFit="1" customWidth="1"/>
    <col min="9480" max="9480" width="9" style="2"/>
    <col min="9481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2" width="9" style="2"/>
    <col min="9733" max="9735" width="11.125" style="2" bestFit="1" customWidth="1"/>
    <col min="9736" max="9736" width="9" style="2"/>
    <col min="9737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88" width="9" style="2"/>
    <col min="9989" max="9991" width="11.125" style="2" bestFit="1" customWidth="1"/>
    <col min="9992" max="9992" width="9" style="2"/>
    <col min="9993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4" width="9" style="2"/>
    <col min="10245" max="10247" width="11.125" style="2" bestFit="1" customWidth="1"/>
    <col min="10248" max="10248" width="9" style="2"/>
    <col min="10249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0" width="9" style="2"/>
    <col min="10501" max="10503" width="11.125" style="2" bestFit="1" customWidth="1"/>
    <col min="10504" max="10504" width="9" style="2"/>
    <col min="10505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6" width="9" style="2"/>
    <col min="10757" max="10759" width="11.125" style="2" bestFit="1" customWidth="1"/>
    <col min="10760" max="10760" width="9" style="2"/>
    <col min="10761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2" width="9" style="2"/>
    <col min="11013" max="11015" width="11.125" style="2" bestFit="1" customWidth="1"/>
    <col min="11016" max="11016" width="9" style="2"/>
    <col min="11017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68" width="9" style="2"/>
    <col min="11269" max="11271" width="11.125" style="2" bestFit="1" customWidth="1"/>
    <col min="11272" max="11272" width="9" style="2"/>
    <col min="11273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4" width="9" style="2"/>
    <col min="11525" max="11527" width="11.125" style="2" bestFit="1" customWidth="1"/>
    <col min="11528" max="11528" width="9" style="2"/>
    <col min="11529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0" width="9" style="2"/>
    <col min="11781" max="11783" width="11.125" style="2" bestFit="1" customWidth="1"/>
    <col min="11784" max="11784" width="9" style="2"/>
    <col min="11785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6" width="9" style="2"/>
    <col min="12037" max="12039" width="11.125" style="2" bestFit="1" customWidth="1"/>
    <col min="12040" max="12040" width="9" style="2"/>
    <col min="12041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2" width="9" style="2"/>
    <col min="12293" max="12295" width="11.125" style="2" bestFit="1" customWidth="1"/>
    <col min="12296" max="12296" width="9" style="2"/>
    <col min="12297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48" width="9" style="2"/>
    <col min="12549" max="12551" width="11.125" style="2" bestFit="1" customWidth="1"/>
    <col min="12552" max="12552" width="9" style="2"/>
    <col min="12553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4" width="9" style="2"/>
    <col min="12805" max="12807" width="11.125" style="2" bestFit="1" customWidth="1"/>
    <col min="12808" max="12808" width="9" style="2"/>
    <col min="12809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0" width="9" style="2"/>
    <col min="13061" max="13063" width="11.125" style="2" bestFit="1" customWidth="1"/>
    <col min="13064" max="13064" width="9" style="2"/>
    <col min="13065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6" width="9" style="2"/>
    <col min="13317" max="13319" width="11.125" style="2" bestFit="1" customWidth="1"/>
    <col min="13320" max="13320" width="9" style="2"/>
    <col min="13321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2" width="9" style="2"/>
    <col min="13573" max="13575" width="11.125" style="2" bestFit="1" customWidth="1"/>
    <col min="13576" max="13576" width="9" style="2"/>
    <col min="13577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28" width="9" style="2"/>
    <col min="13829" max="13831" width="11.125" style="2" bestFit="1" customWidth="1"/>
    <col min="13832" max="13832" width="9" style="2"/>
    <col min="13833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4" width="9" style="2"/>
    <col min="14085" max="14087" width="11.125" style="2" bestFit="1" customWidth="1"/>
    <col min="14088" max="14088" width="9" style="2"/>
    <col min="14089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0" width="9" style="2"/>
    <col min="14341" max="14343" width="11.125" style="2" bestFit="1" customWidth="1"/>
    <col min="14344" max="14344" width="9" style="2"/>
    <col min="14345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6" width="9" style="2"/>
    <col min="14597" max="14599" width="11.125" style="2" bestFit="1" customWidth="1"/>
    <col min="14600" max="14600" width="9" style="2"/>
    <col min="14601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2" width="9" style="2"/>
    <col min="14853" max="14855" width="11.125" style="2" bestFit="1" customWidth="1"/>
    <col min="14856" max="14856" width="9" style="2"/>
    <col min="14857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08" width="9" style="2"/>
    <col min="15109" max="15111" width="11.125" style="2" bestFit="1" customWidth="1"/>
    <col min="15112" max="15112" width="9" style="2"/>
    <col min="15113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4" width="9" style="2"/>
    <col min="15365" max="15367" width="11.125" style="2" bestFit="1" customWidth="1"/>
    <col min="15368" max="15368" width="9" style="2"/>
    <col min="15369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0" width="9" style="2"/>
    <col min="15621" max="15623" width="11.125" style="2" bestFit="1" customWidth="1"/>
    <col min="15624" max="15624" width="9" style="2"/>
    <col min="15625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6" width="9" style="2"/>
    <col min="15877" max="15879" width="11.125" style="2" bestFit="1" customWidth="1"/>
    <col min="15880" max="15880" width="9" style="2"/>
    <col min="15881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2" width="9" style="2"/>
    <col min="16133" max="16135" width="11.125" style="2" bestFit="1" customWidth="1"/>
    <col min="16136" max="16136" width="9" style="2"/>
    <col min="16137" max="16138" width="11.125" style="2" bestFit="1" customWidth="1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75</v>
      </c>
    </row>
    <row r="4" spans="1:13">
      <c r="B4" s="3"/>
      <c r="C4" s="8" t="s">
        <v>6</v>
      </c>
      <c r="D4" s="9" t="s">
        <v>8</v>
      </c>
      <c r="E4" s="51" t="s">
        <v>76</v>
      </c>
      <c r="F4" s="7" t="s">
        <v>3</v>
      </c>
      <c r="G4" s="8" t="s">
        <v>4</v>
      </c>
      <c r="H4" s="8" t="s">
        <v>5</v>
      </c>
      <c r="I4" s="8" t="s">
        <v>7</v>
      </c>
      <c r="J4" s="53" t="s">
        <v>76</v>
      </c>
      <c r="K4" s="54" t="s">
        <v>16</v>
      </c>
    </row>
    <row r="5" spans="1:13" ht="19.5" thickBot="1">
      <c r="A5" s="65"/>
      <c r="B5" s="26" t="s">
        <v>9</v>
      </c>
      <c r="C5" s="28" t="s">
        <v>13</v>
      </c>
      <c r="D5" s="29" t="s">
        <v>15</v>
      </c>
      <c r="E5" s="52" t="s">
        <v>77</v>
      </c>
      <c r="F5" s="27" t="s">
        <v>10</v>
      </c>
      <c r="G5" s="28" t="s">
        <v>11</v>
      </c>
      <c r="H5" s="28" t="s">
        <v>12</v>
      </c>
      <c r="I5" s="28" t="s">
        <v>14</v>
      </c>
      <c r="J5" s="55" t="s">
        <v>78</v>
      </c>
      <c r="K5" s="56" t="s">
        <v>79</v>
      </c>
    </row>
    <row r="6" spans="1:13">
      <c r="A6" s="1" t="s">
        <v>2</v>
      </c>
      <c r="B6" s="22" t="s">
        <v>17</v>
      </c>
      <c r="C6" s="24">
        <v>22</v>
      </c>
      <c r="D6" s="25">
        <v>17</v>
      </c>
      <c r="E6" s="44">
        <f>SUM(C6:D6)</f>
        <v>39</v>
      </c>
      <c r="F6" s="23">
        <v>21</v>
      </c>
      <c r="G6" s="24">
        <v>21</v>
      </c>
      <c r="H6" s="24">
        <v>21</v>
      </c>
      <c r="I6" s="24">
        <v>22</v>
      </c>
      <c r="J6" s="25">
        <f>SUM(F6:I6)</f>
        <v>85</v>
      </c>
      <c r="K6" s="57">
        <f>E6+J6</f>
        <v>124</v>
      </c>
      <c r="M6"/>
    </row>
    <row r="7" spans="1:13">
      <c r="A7" s="1" t="s">
        <v>2</v>
      </c>
      <c r="B7" s="4" t="s">
        <v>18</v>
      </c>
      <c r="C7" s="11">
        <v>0</v>
      </c>
      <c r="D7" s="12">
        <v>0</v>
      </c>
      <c r="E7" s="45"/>
      <c r="F7" s="10">
        <v>1</v>
      </c>
      <c r="G7" s="11">
        <v>2</v>
      </c>
      <c r="H7" s="11">
        <v>1</v>
      </c>
      <c r="I7" s="11">
        <v>2</v>
      </c>
      <c r="J7" s="12">
        <f>SUM(F7:I7)</f>
        <v>6</v>
      </c>
      <c r="K7" s="58">
        <f t="shared" ref="K7:K54" si="0">E7+J7</f>
        <v>6</v>
      </c>
      <c r="M7"/>
    </row>
    <row r="8" spans="1:13">
      <c r="A8" s="1" t="s">
        <v>2</v>
      </c>
      <c r="B8" s="4" t="s">
        <v>19</v>
      </c>
      <c r="C8" s="11">
        <v>0</v>
      </c>
      <c r="D8" s="12">
        <v>0</v>
      </c>
      <c r="E8" s="45"/>
      <c r="F8" s="10">
        <v>0</v>
      </c>
      <c r="G8" s="11">
        <v>0</v>
      </c>
      <c r="H8" s="11">
        <v>0</v>
      </c>
      <c r="I8" s="11">
        <v>0</v>
      </c>
      <c r="J8" s="12"/>
      <c r="K8" s="58">
        <f t="shared" si="0"/>
        <v>0</v>
      </c>
      <c r="M8"/>
    </row>
    <row r="9" spans="1:13">
      <c r="A9" s="1" t="s">
        <v>2</v>
      </c>
      <c r="B9" s="4" t="s">
        <v>20</v>
      </c>
      <c r="C9" s="11">
        <v>0</v>
      </c>
      <c r="D9" s="12">
        <v>0</v>
      </c>
      <c r="E9" s="45"/>
      <c r="F9" s="10">
        <v>0</v>
      </c>
      <c r="G9" s="11">
        <v>0</v>
      </c>
      <c r="H9" s="11">
        <v>0</v>
      </c>
      <c r="I9" s="11">
        <v>0</v>
      </c>
      <c r="J9" s="12"/>
      <c r="K9" s="58">
        <f t="shared" si="0"/>
        <v>0</v>
      </c>
      <c r="M9"/>
    </row>
    <row r="10" spans="1:13">
      <c r="A10" s="1" t="s">
        <v>2</v>
      </c>
      <c r="B10" s="4" t="s">
        <v>21</v>
      </c>
      <c r="C10" s="11">
        <v>0</v>
      </c>
      <c r="D10" s="12">
        <v>3</v>
      </c>
      <c r="E10" s="45">
        <f>SUM(C10:D10)</f>
        <v>3</v>
      </c>
      <c r="F10" s="10">
        <v>1</v>
      </c>
      <c r="G10" s="11">
        <v>1</v>
      </c>
      <c r="H10" s="11">
        <v>1</v>
      </c>
      <c r="I10" s="11">
        <v>0</v>
      </c>
      <c r="J10" s="12">
        <f>SUM(F10:I10)</f>
        <v>3</v>
      </c>
      <c r="K10" s="58">
        <f t="shared" si="0"/>
        <v>6</v>
      </c>
      <c r="M10"/>
    </row>
    <row r="11" spans="1:13">
      <c r="A11" s="1" t="s">
        <v>2</v>
      </c>
      <c r="B11" s="4" t="s">
        <v>22</v>
      </c>
      <c r="C11" s="11">
        <v>0</v>
      </c>
      <c r="D11" s="12">
        <v>0</v>
      </c>
      <c r="E11" s="45"/>
      <c r="F11" s="10">
        <v>0</v>
      </c>
      <c r="G11" s="11">
        <v>0</v>
      </c>
      <c r="H11" s="11">
        <v>0</v>
      </c>
      <c r="I11" s="11">
        <v>0</v>
      </c>
      <c r="J11" s="12"/>
      <c r="K11" s="58">
        <f t="shared" si="0"/>
        <v>0</v>
      </c>
      <c r="M11"/>
    </row>
    <row r="12" spans="1:13">
      <c r="A12" s="1" t="s">
        <v>2</v>
      </c>
      <c r="B12" s="4" t="s">
        <v>23</v>
      </c>
      <c r="C12" s="11">
        <v>0</v>
      </c>
      <c r="D12" s="12">
        <v>0</v>
      </c>
      <c r="E12" s="45"/>
      <c r="F12" s="10">
        <v>0</v>
      </c>
      <c r="G12" s="11">
        <v>0</v>
      </c>
      <c r="H12" s="11">
        <v>0</v>
      </c>
      <c r="I12" s="11">
        <v>0</v>
      </c>
      <c r="J12" s="12"/>
      <c r="K12" s="58">
        <f t="shared" si="0"/>
        <v>0</v>
      </c>
      <c r="M12"/>
    </row>
    <row r="13" spans="1:13">
      <c r="A13" s="1" t="s">
        <v>2</v>
      </c>
      <c r="B13" s="4" t="s">
        <v>24</v>
      </c>
      <c r="C13" s="11">
        <v>0</v>
      </c>
      <c r="D13" s="12">
        <v>0</v>
      </c>
      <c r="E13" s="45"/>
      <c r="F13" s="10">
        <v>0</v>
      </c>
      <c r="G13" s="11">
        <v>0</v>
      </c>
      <c r="H13" s="11">
        <v>0</v>
      </c>
      <c r="I13" s="11">
        <v>0</v>
      </c>
      <c r="J13" s="12"/>
      <c r="K13" s="58">
        <f t="shared" si="0"/>
        <v>0</v>
      </c>
      <c r="M13"/>
    </row>
    <row r="14" spans="1:13">
      <c r="A14" s="1" t="s">
        <v>2</v>
      </c>
      <c r="B14" s="4" t="s">
        <v>25</v>
      </c>
      <c r="C14" s="14">
        <v>0</v>
      </c>
      <c r="D14" s="15">
        <v>2.125</v>
      </c>
      <c r="E14" s="46">
        <f>SUM(C14:D14)</f>
        <v>2.125</v>
      </c>
      <c r="F14" s="13">
        <v>0</v>
      </c>
      <c r="G14" s="14">
        <v>0</v>
      </c>
      <c r="H14" s="14">
        <v>0</v>
      </c>
      <c r="I14" s="14">
        <v>0</v>
      </c>
      <c r="J14" s="15"/>
      <c r="K14" s="59">
        <f t="shared" si="0"/>
        <v>2.125</v>
      </c>
      <c r="M14"/>
    </row>
    <row r="15" spans="1:13">
      <c r="A15" s="1" t="s">
        <v>2</v>
      </c>
      <c r="B15" s="4" t="s">
        <v>26</v>
      </c>
      <c r="C15" s="14">
        <v>0</v>
      </c>
      <c r="D15" s="15">
        <v>0</v>
      </c>
      <c r="E15" s="46"/>
      <c r="F15" s="13">
        <v>2</v>
      </c>
      <c r="G15" s="14">
        <v>2.25</v>
      </c>
      <c r="H15" s="14">
        <v>1.875</v>
      </c>
      <c r="I15" s="14">
        <v>1.375</v>
      </c>
      <c r="J15" s="15">
        <f>SUM(F15:I15)</f>
        <v>7.5</v>
      </c>
      <c r="K15" s="59">
        <f t="shared" si="0"/>
        <v>7.5</v>
      </c>
      <c r="M15"/>
    </row>
    <row r="16" spans="1:13">
      <c r="A16" s="1" t="s">
        <v>2</v>
      </c>
      <c r="B16" s="4" t="s">
        <v>27</v>
      </c>
      <c r="C16" s="14">
        <v>0</v>
      </c>
      <c r="D16" s="15">
        <v>0</v>
      </c>
      <c r="E16" s="46"/>
      <c r="F16" s="13">
        <v>8.3333333333333329E-2</v>
      </c>
      <c r="G16" s="14">
        <v>0.25</v>
      </c>
      <c r="H16" s="14">
        <v>8.3333333333333329E-2</v>
      </c>
      <c r="I16" s="14">
        <v>0.375</v>
      </c>
      <c r="J16" s="15">
        <f>SUM(F16:I16)</f>
        <v>0.79166666666666663</v>
      </c>
      <c r="K16" s="59">
        <f t="shared" si="0"/>
        <v>0.79166666666666663</v>
      </c>
      <c r="M16"/>
    </row>
    <row r="17" spans="1:13">
      <c r="A17" s="1" t="s">
        <v>2</v>
      </c>
      <c r="B17" s="4" t="s">
        <v>28</v>
      </c>
      <c r="C17" s="14">
        <v>0</v>
      </c>
      <c r="D17" s="15">
        <v>0</v>
      </c>
      <c r="E17" s="46"/>
      <c r="F17" s="13">
        <v>0</v>
      </c>
      <c r="G17" s="14">
        <v>0</v>
      </c>
      <c r="H17" s="14">
        <v>0</v>
      </c>
      <c r="I17" s="14">
        <v>0</v>
      </c>
      <c r="J17" s="15"/>
      <c r="K17" s="59">
        <f t="shared" si="0"/>
        <v>0</v>
      </c>
      <c r="M17"/>
    </row>
    <row r="18" spans="1:13">
      <c r="A18" s="1" t="s">
        <v>2</v>
      </c>
      <c r="B18" s="4" t="s">
        <v>29</v>
      </c>
      <c r="C18" s="14">
        <v>0</v>
      </c>
      <c r="D18" s="15">
        <v>0</v>
      </c>
      <c r="E18" s="46"/>
      <c r="F18" s="13">
        <v>0</v>
      </c>
      <c r="G18" s="14">
        <v>0</v>
      </c>
      <c r="H18" s="14">
        <v>0</v>
      </c>
      <c r="I18" s="14">
        <v>0</v>
      </c>
      <c r="J18" s="15"/>
      <c r="K18" s="59">
        <f t="shared" si="0"/>
        <v>0</v>
      </c>
      <c r="M18"/>
    </row>
    <row r="19" spans="1:13">
      <c r="A19" s="1" t="s">
        <v>2</v>
      </c>
      <c r="B19" s="4" t="s">
        <v>30</v>
      </c>
      <c r="C19" s="14">
        <v>0</v>
      </c>
      <c r="D19" s="15">
        <v>0</v>
      </c>
      <c r="E19" s="46"/>
      <c r="F19" s="13">
        <v>0</v>
      </c>
      <c r="G19" s="14">
        <v>0</v>
      </c>
      <c r="H19" s="14">
        <v>0</v>
      </c>
      <c r="I19" s="14">
        <v>0</v>
      </c>
      <c r="J19" s="15"/>
      <c r="K19" s="59">
        <f t="shared" si="0"/>
        <v>0</v>
      </c>
      <c r="M19"/>
    </row>
    <row r="20" spans="1:13">
      <c r="A20" s="1" t="s">
        <v>2</v>
      </c>
      <c r="B20" s="4" t="s">
        <v>31</v>
      </c>
      <c r="C20" s="14">
        <v>0</v>
      </c>
      <c r="D20" s="15">
        <v>0</v>
      </c>
      <c r="E20" s="46"/>
      <c r="F20" s="13">
        <v>0</v>
      </c>
      <c r="G20" s="14">
        <v>0</v>
      </c>
      <c r="H20" s="14">
        <v>0</v>
      </c>
      <c r="I20" s="14">
        <v>0</v>
      </c>
      <c r="J20" s="15"/>
      <c r="K20" s="59">
        <f t="shared" si="0"/>
        <v>0</v>
      </c>
      <c r="M20"/>
    </row>
    <row r="21" spans="1:13">
      <c r="A21" s="1" t="s">
        <v>2</v>
      </c>
      <c r="B21" s="4" t="s">
        <v>32</v>
      </c>
      <c r="C21" s="14">
        <v>0</v>
      </c>
      <c r="D21" s="15">
        <v>0.4375</v>
      </c>
      <c r="E21" s="46">
        <f>SUM(C21:D21)</f>
        <v>0.4375</v>
      </c>
      <c r="F21" s="13">
        <v>0</v>
      </c>
      <c r="G21" s="14">
        <v>0</v>
      </c>
      <c r="H21" s="14">
        <v>0</v>
      </c>
      <c r="I21" s="14">
        <v>0</v>
      </c>
      <c r="J21" s="15"/>
      <c r="K21" s="59">
        <f t="shared" si="0"/>
        <v>0.4375</v>
      </c>
      <c r="M21"/>
    </row>
    <row r="22" spans="1:13">
      <c r="A22" s="1" t="s">
        <v>2</v>
      </c>
      <c r="B22" s="4" t="s">
        <v>33</v>
      </c>
      <c r="C22" s="14">
        <v>0</v>
      </c>
      <c r="D22" s="15">
        <v>0</v>
      </c>
      <c r="E22" s="46"/>
      <c r="F22" s="13">
        <v>0.41666666666666669</v>
      </c>
      <c r="G22" s="14">
        <v>0.54166666666666663</v>
      </c>
      <c r="H22" s="14">
        <v>0.58333333333333337</v>
      </c>
      <c r="I22" s="14">
        <v>0.41666666666666669</v>
      </c>
      <c r="J22" s="15">
        <f>SUM(F22:I22)</f>
        <v>1.9583333333333333</v>
      </c>
      <c r="K22" s="59">
        <f t="shared" si="0"/>
        <v>1.9583333333333333</v>
      </c>
      <c r="M22"/>
    </row>
    <row r="23" spans="1:13" ht="19.5" thickBot="1">
      <c r="A23" s="1" t="s">
        <v>2</v>
      </c>
      <c r="B23" s="5" t="s">
        <v>34</v>
      </c>
      <c r="C23" s="34">
        <v>23</v>
      </c>
      <c r="D23" s="35">
        <v>3</v>
      </c>
      <c r="E23" s="47">
        <f>SUM(C23:D23)</f>
        <v>26</v>
      </c>
      <c r="F23" s="33">
        <v>20</v>
      </c>
      <c r="G23" s="34">
        <v>27</v>
      </c>
      <c r="H23" s="34">
        <v>24</v>
      </c>
      <c r="I23" s="34">
        <v>8</v>
      </c>
      <c r="J23" s="35">
        <f>SUM(F23:I23)</f>
        <v>79</v>
      </c>
      <c r="K23" s="60">
        <f t="shared" si="0"/>
        <v>105</v>
      </c>
      <c r="M23"/>
    </row>
    <row r="24" spans="1:13">
      <c r="A24" s="1" t="s">
        <v>2</v>
      </c>
      <c r="B24" s="22" t="s">
        <v>35</v>
      </c>
      <c r="C24" s="31">
        <v>355000</v>
      </c>
      <c r="D24" s="32">
        <v>0</v>
      </c>
      <c r="E24" s="48">
        <f>SUM(C24:D24)</f>
        <v>355000</v>
      </c>
      <c r="F24" s="30">
        <v>182000</v>
      </c>
      <c r="G24" s="31">
        <v>192000</v>
      </c>
      <c r="H24" s="31">
        <v>177000</v>
      </c>
      <c r="I24" s="31">
        <v>182000</v>
      </c>
      <c r="J24" s="32">
        <f>SUM(F24:I24)</f>
        <v>733000</v>
      </c>
      <c r="K24" s="61">
        <f t="shared" si="0"/>
        <v>1088000</v>
      </c>
      <c r="M24"/>
    </row>
    <row r="25" spans="1:13">
      <c r="A25" s="1" t="s">
        <v>2</v>
      </c>
      <c r="B25" s="4" t="s">
        <v>36</v>
      </c>
      <c r="C25" s="17">
        <v>0</v>
      </c>
      <c r="D25" s="18">
        <v>0</v>
      </c>
      <c r="E25" s="49"/>
      <c r="F25" s="16">
        <v>5000</v>
      </c>
      <c r="G25" s="17">
        <v>0</v>
      </c>
      <c r="H25" s="17">
        <v>0</v>
      </c>
      <c r="I25" s="17">
        <v>0</v>
      </c>
      <c r="J25" s="18">
        <f>SUM(F25:I25)</f>
        <v>5000</v>
      </c>
      <c r="K25" s="62">
        <f t="shared" si="0"/>
        <v>5000</v>
      </c>
      <c r="M25"/>
    </row>
    <row r="26" spans="1:13">
      <c r="A26" s="1" t="s">
        <v>2</v>
      </c>
      <c r="B26" s="4" t="s">
        <v>37</v>
      </c>
      <c r="C26" s="17">
        <v>0</v>
      </c>
      <c r="D26" s="18">
        <v>0</v>
      </c>
      <c r="E26" s="49"/>
      <c r="F26" s="16">
        <v>3000</v>
      </c>
      <c r="G26" s="17">
        <v>3000</v>
      </c>
      <c r="H26" s="17">
        <v>0</v>
      </c>
      <c r="I26" s="17">
        <v>0</v>
      </c>
      <c r="J26" s="18">
        <f t="shared" ref="J26:J62" si="1">SUM(F26:I26)</f>
        <v>6000</v>
      </c>
      <c r="K26" s="62">
        <f t="shared" si="0"/>
        <v>6000</v>
      </c>
      <c r="M26"/>
    </row>
    <row r="27" spans="1:13">
      <c r="A27" s="1" t="s">
        <v>2</v>
      </c>
      <c r="B27" s="4" t="s">
        <v>38</v>
      </c>
      <c r="C27" s="17">
        <v>50000</v>
      </c>
      <c r="D27" s="18">
        <v>0</v>
      </c>
      <c r="E27" s="49">
        <f>SUM(C27:D27)</f>
        <v>50000</v>
      </c>
      <c r="F27" s="16">
        <v>50000</v>
      </c>
      <c r="G27" s="17">
        <v>50000</v>
      </c>
      <c r="H27" s="17">
        <v>50000</v>
      </c>
      <c r="I27" s="17">
        <v>50000</v>
      </c>
      <c r="J27" s="18">
        <f t="shared" si="1"/>
        <v>200000</v>
      </c>
      <c r="K27" s="62">
        <f t="shared" si="0"/>
        <v>250000</v>
      </c>
      <c r="M27"/>
    </row>
    <row r="28" spans="1:13">
      <c r="A28" s="1" t="s">
        <v>2</v>
      </c>
      <c r="B28" s="4" t="s">
        <v>39</v>
      </c>
      <c r="C28" s="17">
        <v>0</v>
      </c>
      <c r="D28" s="18">
        <v>0</v>
      </c>
      <c r="E28" s="49"/>
      <c r="F28" s="16">
        <v>0</v>
      </c>
      <c r="G28" s="17">
        <v>0</v>
      </c>
      <c r="H28" s="17">
        <v>0</v>
      </c>
      <c r="I28" s="17">
        <v>0</v>
      </c>
      <c r="J28" s="18">
        <f t="shared" si="1"/>
        <v>0</v>
      </c>
      <c r="K28" s="62">
        <f t="shared" si="0"/>
        <v>0</v>
      </c>
      <c r="M28"/>
    </row>
    <row r="29" spans="1:13">
      <c r="A29" s="1" t="s">
        <v>2</v>
      </c>
      <c r="B29" s="4" t="s">
        <v>40</v>
      </c>
      <c r="C29" s="17">
        <v>0</v>
      </c>
      <c r="D29" s="18">
        <v>56355</v>
      </c>
      <c r="E29" s="49">
        <f>SUM(C29:D29)</f>
        <v>56355</v>
      </c>
      <c r="F29" s="16">
        <v>0</v>
      </c>
      <c r="G29" s="17">
        <v>0</v>
      </c>
      <c r="H29" s="17">
        <v>0</v>
      </c>
      <c r="I29" s="17">
        <v>0</v>
      </c>
      <c r="J29" s="18">
        <f t="shared" si="1"/>
        <v>0</v>
      </c>
      <c r="K29" s="62">
        <f t="shared" si="0"/>
        <v>56355</v>
      </c>
      <c r="M29"/>
    </row>
    <row r="30" spans="1:13">
      <c r="A30" s="1" t="s">
        <v>2</v>
      </c>
      <c r="B30" s="4" t="s">
        <v>41</v>
      </c>
      <c r="C30" s="17">
        <v>0</v>
      </c>
      <c r="D30" s="18">
        <v>0</v>
      </c>
      <c r="E30" s="49"/>
      <c r="F30" s="16">
        <v>0</v>
      </c>
      <c r="G30" s="17">
        <v>0</v>
      </c>
      <c r="H30" s="17">
        <v>0</v>
      </c>
      <c r="I30" s="17">
        <v>0</v>
      </c>
      <c r="J30" s="18">
        <f t="shared" si="1"/>
        <v>0</v>
      </c>
      <c r="K30" s="62">
        <f t="shared" si="0"/>
        <v>0</v>
      </c>
      <c r="M30"/>
    </row>
    <row r="31" spans="1:13">
      <c r="A31" s="1" t="s">
        <v>2</v>
      </c>
      <c r="B31" s="4" t="s">
        <v>42</v>
      </c>
      <c r="C31" s="17">
        <v>0</v>
      </c>
      <c r="D31" s="18">
        <v>0</v>
      </c>
      <c r="E31" s="49"/>
      <c r="F31" s="16">
        <v>0</v>
      </c>
      <c r="G31" s="17">
        <v>0</v>
      </c>
      <c r="H31" s="17">
        <v>0</v>
      </c>
      <c r="I31" s="17">
        <v>0</v>
      </c>
      <c r="J31" s="18">
        <f t="shared" si="1"/>
        <v>0</v>
      </c>
      <c r="K31" s="62">
        <f t="shared" si="0"/>
        <v>0</v>
      </c>
      <c r="M31"/>
    </row>
    <row r="32" spans="1:13">
      <c r="A32" s="1" t="s">
        <v>2</v>
      </c>
      <c r="B32" s="4" t="s">
        <v>43</v>
      </c>
      <c r="C32" s="17">
        <v>0</v>
      </c>
      <c r="D32" s="18">
        <v>0</v>
      </c>
      <c r="E32" s="49"/>
      <c r="F32" s="16">
        <v>1000</v>
      </c>
      <c r="G32" s="17">
        <v>1000</v>
      </c>
      <c r="H32" s="17">
        <v>0</v>
      </c>
      <c r="I32" s="17">
        <v>0</v>
      </c>
      <c r="J32" s="18">
        <f t="shared" si="1"/>
        <v>2000</v>
      </c>
      <c r="K32" s="62">
        <f t="shared" si="0"/>
        <v>2000</v>
      </c>
      <c r="M32"/>
    </row>
    <row r="33" spans="1:13">
      <c r="A33" s="1" t="s">
        <v>2</v>
      </c>
      <c r="B33" s="4" t="s">
        <v>44</v>
      </c>
      <c r="C33" s="17">
        <v>0</v>
      </c>
      <c r="D33" s="18">
        <v>11603</v>
      </c>
      <c r="E33" s="49">
        <f>SUM(C33:D33)</f>
        <v>11603</v>
      </c>
      <c r="F33" s="16">
        <v>0</v>
      </c>
      <c r="G33" s="17">
        <v>0</v>
      </c>
      <c r="H33" s="17">
        <v>0</v>
      </c>
      <c r="I33" s="17">
        <v>0</v>
      </c>
      <c r="J33" s="18">
        <f t="shared" si="1"/>
        <v>0</v>
      </c>
      <c r="K33" s="62">
        <f t="shared" si="0"/>
        <v>11603</v>
      </c>
      <c r="M33"/>
    </row>
    <row r="34" spans="1:13">
      <c r="A34" s="1" t="s">
        <v>2</v>
      </c>
      <c r="B34" s="4" t="s">
        <v>45</v>
      </c>
      <c r="C34" s="17">
        <v>0</v>
      </c>
      <c r="D34" s="18">
        <v>0</v>
      </c>
      <c r="E34" s="49"/>
      <c r="F34" s="16">
        <v>0</v>
      </c>
      <c r="G34" s="17">
        <v>13000</v>
      </c>
      <c r="H34" s="17">
        <v>0</v>
      </c>
      <c r="I34" s="17">
        <v>13000</v>
      </c>
      <c r="J34" s="18">
        <f t="shared" si="1"/>
        <v>26000</v>
      </c>
      <c r="K34" s="62">
        <f t="shared" si="0"/>
        <v>26000</v>
      </c>
      <c r="M34"/>
    </row>
    <row r="35" spans="1:13">
      <c r="A35" s="1" t="s">
        <v>2</v>
      </c>
      <c r="B35" s="4" t="s">
        <v>46</v>
      </c>
      <c r="C35" s="17">
        <v>0</v>
      </c>
      <c r="D35" s="18">
        <v>0</v>
      </c>
      <c r="E35" s="49"/>
      <c r="F35" s="16">
        <v>0</v>
      </c>
      <c r="G35" s="17">
        <v>0</v>
      </c>
      <c r="H35" s="17">
        <v>0</v>
      </c>
      <c r="I35" s="17">
        <v>0</v>
      </c>
      <c r="J35" s="18">
        <f t="shared" si="1"/>
        <v>0</v>
      </c>
      <c r="K35" s="62">
        <f t="shared" si="0"/>
        <v>0</v>
      </c>
      <c r="M35"/>
    </row>
    <row r="36" spans="1:13">
      <c r="A36" s="1" t="s">
        <v>2</v>
      </c>
      <c r="B36" s="4" t="s">
        <v>47</v>
      </c>
      <c r="C36" s="17">
        <v>0</v>
      </c>
      <c r="D36" s="18">
        <v>0</v>
      </c>
      <c r="E36" s="49"/>
      <c r="F36" s="16">
        <v>0</v>
      </c>
      <c r="G36" s="17">
        <v>0</v>
      </c>
      <c r="H36" s="17">
        <v>0</v>
      </c>
      <c r="I36" s="17">
        <v>0</v>
      </c>
      <c r="J36" s="18">
        <f t="shared" si="1"/>
        <v>0</v>
      </c>
      <c r="K36" s="62">
        <f t="shared" si="0"/>
        <v>0</v>
      </c>
      <c r="M36"/>
    </row>
    <row r="37" spans="1:13">
      <c r="A37" s="1" t="s">
        <v>2</v>
      </c>
      <c r="B37" s="4" t="s">
        <v>26</v>
      </c>
      <c r="C37" s="17">
        <v>0</v>
      </c>
      <c r="D37" s="18">
        <v>0</v>
      </c>
      <c r="E37" s="49"/>
      <c r="F37" s="16">
        <v>86592</v>
      </c>
      <c r="G37" s="17">
        <v>104706</v>
      </c>
      <c r="H37" s="17">
        <v>76455</v>
      </c>
      <c r="I37" s="17">
        <v>60522</v>
      </c>
      <c r="J37" s="18">
        <f t="shared" si="1"/>
        <v>328275</v>
      </c>
      <c r="K37" s="62">
        <f t="shared" si="0"/>
        <v>328275</v>
      </c>
      <c r="M37"/>
    </row>
    <row r="38" spans="1:13">
      <c r="A38" s="1" t="s">
        <v>2</v>
      </c>
      <c r="B38" s="4" t="s">
        <v>48</v>
      </c>
      <c r="C38" s="17">
        <v>0</v>
      </c>
      <c r="D38" s="18">
        <v>0</v>
      </c>
      <c r="E38" s="49"/>
      <c r="F38" s="16">
        <v>3896</v>
      </c>
      <c r="G38" s="17">
        <v>12564</v>
      </c>
      <c r="H38" s="17">
        <v>3670</v>
      </c>
      <c r="I38" s="17">
        <v>17820</v>
      </c>
      <c r="J38" s="18">
        <f t="shared" si="1"/>
        <v>37950</v>
      </c>
      <c r="K38" s="62">
        <f t="shared" si="0"/>
        <v>37950</v>
      </c>
      <c r="M38"/>
    </row>
    <row r="39" spans="1:13">
      <c r="A39" s="1" t="s">
        <v>2</v>
      </c>
      <c r="B39" s="4" t="s">
        <v>49</v>
      </c>
      <c r="C39" s="17">
        <v>0</v>
      </c>
      <c r="D39" s="18">
        <v>0</v>
      </c>
      <c r="E39" s="49"/>
      <c r="F39" s="16">
        <v>0</v>
      </c>
      <c r="G39" s="17">
        <v>0</v>
      </c>
      <c r="H39" s="17">
        <v>0</v>
      </c>
      <c r="I39" s="17">
        <v>0</v>
      </c>
      <c r="J39" s="18">
        <f t="shared" si="1"/>
        <v>0</v>
      </c>
      <c r="K39" s="62">
        <f t="shared" si="0"/>
        <v>0</v>
      </c>
      <c r="M39"/>
    </row>
    <row r="40" spans="1:13">
      <c r="A40" s="1" t="s">
        <v>2</v>
      </c>
      <c r="B40" s="4" t="s">
        <v>50</v>
      </c>
      <c r="C40" s="17">
        <v>0</v>
      </c>
      <c r="D40" s="18">
        <v>0</v>
      </c>
      <c r="E40" s="49"/>
      <c r="F40" s="16">
        <v>0</v>
      </c>
      <c r="G40" s="17">
        <v>0</v>
      </c>
      <c r="H40" s="17">
        <v>0</v>
      </c>
      <c r="I40" s="17">
        <v>0</v>
      </c>
      <c r="J40" s="18">
        <f t="shared" si="1"/>
        <v>0</v>
      </c>
      <c r="K40" s="62">
        <f t="shared" si="0"/>
        <v>0</v>
      </c>
      <c r="M40"/>
    </row>
    <row r="41" spans="1:13">
      <c r="A41" s="1" t="s">
        <v>2</v>
      </c>
      <c r="B41" s="4" t="s">
        <v>51</v>
      </c>
      <c r="C41" s="17">
        <v>0</v>
      </c>
      <c r="D41" s="18">
        <v>0</v>
      </c>
      <c r="E41" s="49"/>
      <c r="F41" s="16">
        <v>0</v>
      </c>
      <c r="G41" s="17">
        <v>0</v>
      </c>
      <c r="H41" s="17">
        <v>0</v>
      </c>
      <c r="I41" s="17">
        <v>0</v>
      </c>
      <c r="J41" s="18">
        <f t="shared" si="1"/>
        <v>0</v>
      </c>
      <c r="K41" s="62">
        <f t="shared" si="0"/>
        <v>0</v>
      </c>
      <c r="M41"/>
    </row>
    <row r="42" spans="1:13">
      <c r="A42" s="1" t="s">
        <v>2</v>
      </c>
      <c r="B42" s="4" t="s">
        <v>52</v>
      </c>
      <c r="C42" s="17">
        <v>0</v>
      </c>
      <c r="D42" s="18">
        <v>0</v>
      </c>
      <c r="E42" s="49"/>
      <c r="F42" s="16">
        <v>0</v>
      </c>
      <c r="G42" s="17">
        <v>0</v>
      </c>
      <c r="H42" s="17">
        <v>0</v>
      </c>
      <c r="I42" s="17">
        <v>0</v>
      </c>
      <c r="J42" s="18">
        <f t="shared" si="1"/>
        <v>0</v>
      </c>
      <c r="K42" s="62">
        <f t="shared" si="0"/>
        <v>0</v>
      </c>
      <c r="M42"/>
    </row>
    <row r="43" spans="1:13" ht="19.5" thickBot="1">
      <c r="A43" s="1" t="s">
        <v>2</v>
      </c>
      <c r="B43" s="36" t="s">
        <v>33</v>
      </c>
      <c r="C43" s="38">
        <v>0</v>
      </c>
      <c r="D43" s="39">
        <v>0</v>
      </c>
      <c r="E43" s="50"/>
      <c r="F43" s="37">
        <v>3610</v>
      </c>
      <c r="G43" s="38">
        <v>5044</v>
      </c>
      <c r="H43" s="38">
        <v>4760</v>
      </c>
      <c r="I43" s="38">
        <v>3670</v>
      </c>
      <c r="J43" s="39">
        <f t="shared" si="1"/>
        <v>17084</v>
      </c>
      <c r="K43" s="63">
        <f t="shared" si="0"/>
        <v>17084</v>
      </c>
      <c r="M43"/>
    </row>
    <row r="44" spans="1:13" ht="19.5" thickBot="1">
      <c r="A44" s="1" t="s">
        <v>2</v>
      </c>
      <c r="B44" s="40" t="s">
        <v>53</v>
      </c>
      <c r="C44" s="42">
        <v>405000</v>
      </c>
      <c r="D44" s="43">
        <v>67958</v>
      </c>
      <c r="E44" s="43">
        <f>SUM(C44:D44)</f>
        <v>472958</v>
      </c>
      <c r="F44" s="41">
        <v>335098</v>
      </c>
      <c r="G44" s="42">
        <v>381314</v>
      </c>
      <c r="H44" s="42">
        <v>311885</v>
      </c>
      <c r="I44" s="42">
        <v>327012</v>
      </c>
      <c r="J44" s="43">
        <f t="shared" si="1"/>
        <v>1355309</v>
      </c>
      <c r="K44" s="64">
        <f t="shared" si="0"/>
        <v>1828267</v>
      </c>
      <c r="M44"/>
    </row>
    <row r="45" spans="1:13" ht="19.5" thickBot="1">
      <c r="A45" s="1" t="s">
        <v>2</v>
      </c>
      <c r="B45" s="22" t="s">
        <v>54</v>
      </c>
      <c r="C45" s="31">
        <v>10026</v>
      </c>
      <c r="D45" s="32">
        <v>0</v>
      </c>
      <c r="E45" s="32">
        <f t="shared" ref="E45:E62" si="2">SUM(C45:D45)</f>
        <v>10026</v>
      </c>
      <c r="F45" s="30">
        <v>6296</v>
      </c>
      <c r="G45" s="31">
        <v>1655</v>
      </c>
      <c r="H45" s="31">
        <v>16411</v>
      </c>
      <c r="I45" s="31">
        <v>0</v>
      </c>
      <c r="J45" s="32">
        <f t="shared" si="1"/>
        <v>24362</v>
      </c>
      <c r="K45" s="61">
        <f t="shared" si="0"/>
        <v>34388</v>
      </c>
      <c r="M45"/>
    </row>
    <row r="46" spans="1:13" ht="19.5" thickBot="1">
      <c r="A46" s="1" t="s">
        <v>2</v>
      </c>
      <c r="B46" s="40" t="s">
        <v>55</v>
      </c>
      <c r="C46" s="42">
        <v>10026</v>
      </c>
      <c r="D46" s="43">
        <v>0</v>
      </c>
      <c r="E46" s="43">
        <f t="shared" si="2"/>
        <v>10026</v>
      </c>
      <c r="F46" s="41">
        <v>6296</v>
      </c>
      <c r="G46" s="42">
        <v>1655</v>
      </c>
      <c r="H46" s="42">
        <v>16411</v>
      </c>
      <c r="I46" s="42">
        <v>0</v>
      </c>
      <c r="J46" s="43">
        <f t="shared" si="1"/>
        <v>24362</v>
      </c>
      <c r="K46" s="64">
        <f t="shared" si="0"/>
        <v>34388</v>
      </c>
      <c r="M46"/>
    </row>
    <row r="47" spans="1:13" ht="19.5" thickBot="1">
      <c r="A47" s="1" t="s">
        <v>2</v>
      </c>
      <c r="B47" s="40" t="s">
        <v>56</v>
      </c>
      <c r="C47" s="42">
        <v>415026</v>
      </c>
      <c r="D47" s="43">
        <v>67958</v>
      </c>
      <c r="E47" s="43">
        <f t="shared" si="2"/>
        <v>482984</v>
      </c>
      <c r="F47" s="41">
        <v>341394</v>
      </c>
      <c r="G47" s="42">
        <v>382969</v>
      </c>
      <c r="H47" s="42">
        <v>328296</v>
      </c>
      <c r="I47" s="42">
        <v>327012</v>
      </c>
      <c r="J47" s="43">
        <f t="shared" si="1"/>
        <v>1379671</v>
      </c>
      <c r="K47" s="64">
        <f t="shared" si="0"/>
        <v>1862655</v>
      </c>
      <c r="M47"/>
    </row>
    <row r="48" spans="1:13">
      <c r="A48" s="1" t="s">
        <v>2</v>
      </c>
      <c r="B48" s="22" t="s">
        <v>57</v>
      </c>
      <c r="C48" s="31">
        <v>20910</v>
      </c>
      <c r="D48" s="32">
        <v>0</v>
      </c>
      <c r="E48" s="32">
        <f t="shared" si="2"/>
        <v>20910</v>
      </c>
      <c r="F48" s="30">
        <v>17340</v>
      </c>
      <c r="G48" s="31">
        <v>19380</v>
      </c>
      <c r="H48" s="31">
        <v>18360</v>
      </c>
      <c r="I48" s="31">
        <v>18360</v>
      </c>
      <c r="J48" s="32">
        <f t="shared" si="1"/>
        <v>73440</v>
      </c>
      <c r="K48" s="61">
        <f t="shared" si="0"/>
        <v>94350</v>
      </c>
      <c r="M48"/>
    </row>
    <row r="49" spans="1:13">
      <c r="A49" s="1" t="s">
        <v>2</v>
      </c>
      <c r="B49" s="4" t="s">
        <v>58</v>
      </c>
      <c r="C49" s="17">
        <v>3690</v>
      </c>
      <c r="D49" s="18">
        <v>0</v>
      </c>
      <c r="E49" s="18">
        <f t="shared" si="2"/>
        <v>3690</v>
      </c>
      <c r="F49" s="16">
        <v>3060</v>
      </c>
      <c r="G49" s="17">
        <v>3420</v>
      </c>
      <c r="H49" s="17">
        <v>3240</v>
      </c>
      <c r="I49" s="17">
        <v>3240</v>
      </c>
      <c r="J49" s="18">
        <f t="shared" si="1"/>
        <v>12960</v>
      </c>
      <c r="K49" s="62">
        <f t="shared" si="0"/>
        <v>16650</v>
      </c>
      <c r="M49"/>
    </row>
    <row r="50" spans="1:13">
      <c r="A50" s="1" t="s">
        <v>2</v>
      </c>
      <c r="B50" s="4" t="s">
        <v>59</v>
      </c>
      <c r="C50" s="17">
        <v>37515</v>
      </c>
      <c r="D50" s="18">
        <v>0</v>
      </c>
      <c r="E50" s="18">
        <f t="shared" si="2"/>
        <v>37515</v>
      </c>
      <c r="F50" s="16">
        <v>31110</v>
      </c>
      <c r="G50" s="17">
        <v>34770</v>
      </c>
      <c r="H50" s="17">
        <v>32940</v>
      </c>
      <c r="I50" s="17">
        <v>32940</v>
      </c>
      <c r="J50" s="18">
        <f t="shared" si="1"/>
        <v>131760</v>
      </c>
      <c r="K50" s="62">
        <f t="shared" si="0"/>
        <v>169275</v>
      </c>
      <c r="M50"/>
    </row>
    <row r="51" spans="1:13">
      <c r="A51" s="1" t="s">
        <v>2</v>
      </c>
      <c r="B51" s="4" t="s">
        <v>60</v>
      </c>
      <c r="C51" s="17">
        <v>1245</v>
      </c>
      <c r="D51" s="18">
        <v>0</v>
      </c>
      <c r="E51" s="18">
        <f t="shared" si="2"/>
        <v>1245</v>
      </c>
      <c r="F51" s="16">
        <v>1024</v>
      </c>
      <c r="G51" s="17">
        <v>1149</v>
      </c>
      <c r="H51" s="17">
        <v>985</v>
      </c>
      <c r="I51" s="17">
        <v>981</v>
      </c>
      <c r="J51" s="18">
        <f t="shared" si="1"/>
        <v>4139</v>
      </c>
      <c r="K51" s="62">
        <f t="shared" si="0"/>
        <v>5384</v>
      </c>
      <c r="M51"/>
    </row>
    <row r="52" spans="1:13" ht="19.5" thickBot="1">
      <c r="A52" s="1" t="s">
        <v>2</v>
      </c>
      <c r="B52" s="36" t="s">
        <v>61</v>
      </c>
      <c r="C52" s="38">
        <v>0</v>
      </c>
      <c r="D52" s="39">
        <v>0</v>
      </c>
      <c r="E52" s="39">
        <f t="shared" si="2"/>
        <v>0</v>
      </c>
      <c r="F52" s="37">
        <v>0</v>
      </c>
      <c r="G52" s="38">
        <v>0</v>
      </c>
      <c r="H52" s="38">
        <v>0</v>
      </c>
      <c r="I52" s="38">
        <v>0</v>
      </c>
      <c r="J52" s="39">
        <f t="shared" si="1"/>
        <v>0</v>
      </c>
      <c r="K52" s="63">
        <f t="shared" si="0"/>
        <v>0</v>
      </c>
      <c r="M52"/>
    </row>
    <row r="53" spans="1:13" ht="19.5" thickBot="1">
      <c r="A53" s="1" t="s">
        <v>2</v>
      </c>
      <c r="B53" s="40" t="s">
        <v>62</v>
      </c>
      <c r="C53" s="42">
        <v>63360</v>
      </c>
      <c r="D53" s="43">
        <v>0</v>
      </c>
      <c r="E53" s="43">
        <f t="shared" si="2"/>
        <v>63360</v>
      </c>
      <c r="F53" s="41">
        <v>52534</v>
      </c>
      <c r="G53" s="42">
        <v>58719</v>
      </c>
      <c r="H53" s="42">
        <v>55525</v>
      </c>
      <c r="I53" s="42">
        <v>55521</v>
      </c>
      <c r="J53" s="43">
        <f t="shared" si="1"/>
        <v>222299</v>
      </c>
      <c r="K53" s="64">
        <f t="shared" si="0"/>
        <v>285659</v>
      </c>
      <c r="M53"/>
    </row>
    <row r="54" spans="1:13">
      <c r="A54" s="1" t="s">
        <v>2</v>
      </c>
      <c r="B54" s="22" t="s">
        <v>63</v>
      </c>
      <c r="C54" s="31">
        <v>8550</v>
      </c>
      <c r="D54" s="32">
        <v>0</v>
      </c>
      <c r="E54" s="32">
        <f t="shared" si="2"/>
        <v>8550</v>
      </c>
      <c r="F54" s="30">
        <v>7720</v>
      </c>
      <c r="G54" s="31">
        <v>10230</v>
      </c>
      <c r="H54" s="31">
        <v>6780</v>
      </c>
      <c r="I54" s="31">
        <v>4090</v>
      </c>
      <c r="J54" s="32">
        <f t="shared" si="1"/>
        <v>28820</v>
      </c>
      <c r="K54" s="61">
        <f t="shared" si="0"/>
        <v>37370</v>
      </c>
      <c r="M54"/>
    </row>
    <row r="55" spans="1:13">
      <c r="A55" s="1" t="s">
        <v>2</v>
      </c>
      <c r="B55" s="4" t="s">
        <v>64</v>
      </c>
      <c r="C55" s="17">
        <v>0</v>
      </c>
      <c r="D55" s="18">
        <v>0</v>
      </c>
      <c r="E55" s="18">
        <f t="shared" si="2"/>
        <v>0</v>
      </c>
      <c r="F55" s="16">
        <v>0</v>
      </c>
      <c r="G55" s="17">
        <v>0</v>
      </c>
      <c r="H55" s="17">
        <v>0</v>
      </c>
      <c r="I55" s="17">
        <v>0</v>
      </c>
      <c r="J55" s="18">
        <f t="shared" si="1"/>
        <v>0</v>
      </c>
      <c r="K55" s="62">
        <f t="shared" ref="K55:K62" si="3">E55+J55</f>
        <v>0</v>
      </c>
      <c r="M55"/>
    </row>
    <row r="56" spans="1:13">
      <c r="A56" s="1" t="s">
        <v>2</v>
      </c>
      <c r="B56" s="4" t="s">
        <v>65</v>
      </c>
      <c r="C56" s="17">
        <v>16300</v>
      </c>
      <c r="D56" s="18">
        <v>0</v>
      </c>
      <c r="E56" s="18">
        <f t="shared" si="2"/>
        <v>16300</v>
      </c>
      <c r="F56" s="16">
        <v>14800</v>
      </c>
      <c r="G56" s="17">
        <v>17000</v>
      </c>
      <c r="H56" s="17">
        <v>12100</v>
      </c>
      <c r="I56" s="17">
        <v>5000</v>
      </c>
      <c r="J56" s="18">
        <f t="shared" si="1"/>
        <v>48900</v>
      </c>
      <c r="K56" s="62">
        <f t="shared" si="3"/>
        <v>65200</v>
      </c>
      <c r="M56"/>
    </row>
    <row r="57" spans="1:13" ht="19.5" thickBot="1">
      <c r="A57" s="1" t="s">
        <v>2</v>
      </c>
      <c r="B57" s="4" t="s">
        <v>66</v>
      </c>
      <c r="C57" s="17">
        <v>0</v>
      </c>
      <c r="D57" s="18">
        <v>0</v>
      </c>
      <c r="E57" s="18">
        <f t="shared" si="2"/>
        <v>0</v>
      </c>
      <c r="F57" s="16">
        <v>0</v>
      </c>
      <c r="G57" s="17">
        <v>0</v>
      </c>
      <c r="H57" s="17">
        <v>0</v>
      </c>
      <c r="I57" s="17">
        <v>0</v>
      </c>
      <c r="J57" s="18">
        <f t="shared" si="1"/>
        <v>0</v>
      </c>
      <c r="K57" s="62">
        <f t="shared" si="3"/>
        <v>0</v>
      </c>
      <c r="M57"/>
    </row>
    <row r="58" spans="1:13" ht="19.5" thickBot="1">
      <c r="A58" s="1" t="s">
        <v>2</v>
      </c>
      <c r="B58" s="40" t="s">
        <v>67</v>
      </c>
      <c r="C58" s="42">
        <v>88210</v>
      </c>
      <c r="D58" s="43">
        <v>0</v>
      </c>
      <c r="E58" s="43">
        <f t="shared" si="2"/>
        <v>88210</v>
      </c>
      <c r="F58" s="41">
        <v>75054</v>
      </c>
      <c r="G58" s="42">
        <v>85949</v>
      </c>
      <c r="H58" s="42">
        <v>74405</v>
      </c>
      <c r="I58" s="42">
        <v>64611</v>
      </c>
      <c r="J58" s="43">
        <f t="shared" si="1"/>
        <v>300019</v>
      </c>
      <c r="K58" s="64">
        <f t="shared" si="3"/>
        <v>388229</v>
      </c>
      <c r="M58"/>
    </row>
    <row r="59" spans="1:13" ht="19.5" thickBot="1">
      <c r="A59" s="1" t="s">
        <v>2</v>
      </c>
      <c r="B59" s="40" t="s">
        <v>68</v>
      </c>
      <c r="C59" s="42">
        <v>341640</v>
      </c>
      <c r="D59" s="43">
        <v>67958</v>
      </c>
      <c r="E59" s="43">
        <f t="shared" si="2"/>
        <v>409598</v>
      </c>
      <c r="F59" s="41">
        <v>282564</v>
      </c>
      <c r="G59" s="42">
        <v>322595</v>
      </c>
      <c r="H59" s="42">
        <v>256360</v>
      </c>
      <c r="I59" s="42">
        <v>271491</v>
      </c>
      <c r="J59" s="43">
        <f t="shared" si="1"/>
        <v>1133010</v>
      </c>
      <c r="K59" s="64">
        <f t="shared" si="3"/>
        <v>1542608</v>
      </c>
      <c r="M59"/>
    </row>
    <row r="60" spans="1:13" ht="19.5" thickBot="1">
      <c r="A60" s="1" t="s">
        <v>2</v>
      </c>
      <c r="B60" s="40" t="s">
        <v>69</v>
      </c>
      <c r="C60" s="42">
        <v>326816</v>
      </c>
      <c r="D60" s="43">
        <v>67958</v>
      </c>
      <c r="E60" s="43">
        <f t="shared" si="2"/>
        <v>394774</v>
      </c>
      <c r="F60" s="41">
        <v>266340</v>
      </c>
      <c r="G60" s="42">
        <v>297020</v>
      </c>
      <c r="H60" s="42">
        <v>253891</v>
      </c>
      <c r="I60" s="42">
        <v>262401</v>
      </c>
      <c r="J60" s="43">
        <f t="shared" si="1"/>
        <v>1079652</v>
      </c>
      <c r="K60" s="64">
        <f t="shared" si="3"/>
        <v>1474426</v>
      </c>
      <c r="M60"/>
    </row>
    <row r="61" spans="1:13">
      <c r="A61" s="1" t="s">
        <v>2</v>
      </c>
      <c r="B61" s="22" t="s">
        <v>70</v>
      </c>
      <c r="C61" s="31">
        <v>0</v>
      </c>
      <c r="D61" s="32">
        <v>0</v>
      </c>
      <c r="E61" s="32">
        <f t="shared" si="2"/>
        <v>0</v>
      </c>
      <c r="F61" s="30">
        <v>0</v>
      </c>
      <c r="G61" s="31">
        <v>0</v>
      </c>
      <c r="H61" s="31">
        <v>0</v>
      </c>
      <c r="I61" s="31">
        <v>0</v>
      </c>
      <c r="J61" s="32">
        <f t="shared" si="1"/>
        <v>0</v>
      </c>
      <c r="K61" s="61">
        <f t="shared" si="3"/>
        <v>0</v>
      </c>
      <c r="M61"/>
    </row>
    <row r="62" spans="1:13">
      <c r="A62" s="1" t="s">
        <v>2</v>
      </c>
      <c r="B62" s="4" t="s">
        <v>71</v>
      </c>
      <c r="C62" s="17">
        <v>326816</v>
      </c>
      <c r="D62" s="18">
        <v>67958</v>
      </c>
      <c r="E62" s="18">
        <f t="shared" si="2"/>
        <v>394774</v>
      </c>
      <c r="F62" s="16">
        <v>266340</v>
      </c>
      <c r="G62" s="17">
        <v>297020</v>
      </c>
      <c r="H62" s="17">
        <v>253891</v>
      </c>
      <c r="I62" s="17">
        <v>262401</v>
      </c>
      <c r="J62" s="18">
        <f t="shared" si="1"/>
        <v>1079652</v>
      </c>
      <c r="K62" s="62">
        <f t="shared" si="3"/>
        <v>1474426</v>
      </c>
      <c r="M62"/>
    </row>
    <row r="63" spans="1:13">
      <c r="A63" s="1" t="s">
        <v>2</v>
      </c>
      <c r="B63" s="4" t="s">
        <v>72</v>
      </c>
      <c r="C63" s="17">
        <v>1</v>
      </c>
      <c r="D63" s="18">
        <v>0</v>
      </c>
      <c r="E63" s="18"/>
      <c r="F63" s="16">
        <v>0</v>
      </c>
      <c r="G63" s="17">
        <v>0</v>
      </c>
      <c r="H63" s="17">
        <v>0</v>
      </c>
      <c r="I63" s="17">
        <v>2</v>
      </c>
      <c r="J63" s="18"/>
      <c r="K63" s="62"/>
    </row>
    <row r="64" spans="1:13" ht="19.5" thickBot="1">
      <c r="A64" s="1" t="s">
        <v>2</v>
      </c>
      <c r="B64" s="5" t="s">
        <v>73</v>
      </c>
      <c r="C64" s="20" t="s">
        <v>74</v>
      </c>
      <c r="D64" s="21" t="s">
        <v>74</v>
      </c>
      <c r="E64" s="21"/>
      <c r="F64" s="19" t="s">
        <v>74</v>
      </c>
      <c r="G64" s="20" t="s">
        <v>74</v>
      </c>
      <c r="H64" s="20" t="s">
        <v>74</v>
      </c>
      <c r="I64" s="20" t="s">
        <v>74</v>
      </c>
      <c r="J64" s="21"/>
      <c r="K64" s="6"/>
    </row>
  </sheetData>
  <phoneticPr fontId="4"/>
  <pageMargins left="0.51181102362204722" right="0.51181102362204722" top="0.35433070866141736" bottom="0.35433070866141736" header="0.11811023622047245" footer="0.11811023622047245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2021年 12月度給与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2022-01-13T04:25:35Z</cp:lastPrinted>
  <dcterms:created xsi:type="dcterms:W3CDTF">2022-01-11T02:51:12Z</dcterms:created>
  <dcterms:modified xsi:type="dcterms:W3CDTF">2022-01-13T06:29:11Z</dcterms:modified>
</cp:coreProperties>
</file>