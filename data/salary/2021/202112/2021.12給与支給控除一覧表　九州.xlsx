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2\"/>
    </mc:Choice>
  </mc:AlternateContent>
  <xr:revisionPtr revIDLastSave="0" documentId="13_ncr:1_{799A2DAA-C83E-4046-90EF-E5B752AB631B}" xr6:coauthVersionLast="47" xr6:coauthVersionMax="47" xr10:uidLastSave="{00000000-0000-0000-0000-000000000000}"/>
  <bookViews>
    <workbookView xWindow="-120" yWindow="-120" windowWidth="20730" windowHeight="11160" xr2:uid="{0E15462B-CB06-463C-A5CE-86319703F08A}"/>
  </bookViews>
  <sheets>
    <sheet name="2021年 12月度給与 (2)" sheetId="3" r:id="rId1"/>
  </sheets>
  <definedNames>
    <definedName name="_xlnm.Print_Area" localSheetId="0">'2021年 12月度給与 (2)'!$A$1:$M$62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3" l="1"/>
  <c r="M17" i="3"/>
  <c r="M18" i="3"/>
  <c r="M19" i="3"/>
  <c r="L24" i="3"/>
  <c r="M24" i="3" s="1"/>
  <c r="L25" i="3"/>
  <c r="M25" i="3" s="1"/>
  <c r="L26" i="3"/>
  <c r="M26" i="3" s="1"/>
  <c r="L27" i="3"/>
  <c r="M27" i="3" s="1"/>
  <c r="L28" i="3"/>
  <c r="L29" i="3"/>
  <c r="M29" i="3" s="1"/>
  <c r="L30" i="3"/>
  <c r="M30" i="3" s="1"/>
  <c r="L31" i="3"/>
  <c r="M31" i="3" s="1"/>
  <c r="L32" i="3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23" i="3"/>
  <c r="L22" i="3"/>
  <c r="L21" i="3"/>
  <c r="M21" i="3" s="1"/>
  <c r="L15" i="3"/>
  <c r="M15" i="3" s="1"/>
  <c r="L16" i="3"/>
  <c r="M16" i="3" s="1"/>
  <c r="L14" i="3"/>
  <c r="M14" i="3" s="1"/>
  <c r="L8" i="3"/>
  <c r="M8" i="3" s="1"/>
  <c r="L9" i="3"/>
  <c r="M9" i="3" s="1"/>
  <c r="L10" i="3"/>
  <c r="L11" i="3"/>
  <c r="M11" i="3" s="1"/>
  <c r="L7" i="3"/>
  <c r="M7" i="3" s="1"/>
  <c r="L6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44" i="3"/>
  <c r="E32" i="3"/>
  <c r="E28" i="3"/>
  <c r="E23" i="3"/>
  <c r="E22" i="3"/>
  <c r="E20" i="3"/>
  <c r="M20" i="3" s="1"/>
  <c r="E13" i="3"/>
  <c r="M13" i="3" s="1"/>
  <c r="E10" i="3"/>
  <c r="E6" i="3"/>
  <c r="M32" i="3" l="1"/>
  <c r="M60" i="3"/>
  <c r="M56" i="3"/>
  <c r="M55" i="3"/>
  <c r="M52" i="3"/>
  <c r="M49" i="3"/>
  <c r="M10" i="3"/>
  <c r="M23" i="3"/>
  <c r="M6" i="3"/>
  <c r="M57" i="3"/>
  <c r="M53" i="3"/>
  <c r="M50" i="3"/>
  <c r="M46" i="3"/>
  <c r="M22" i="3"/>
  <c r="M44" i="3"/>
  <c r="M28" i="3"/>
  <c r="M59" i="3"/>
  <c r="M54" i="3"/>
  <c r="M48" i="3"/>
  <c r="M45" i="3"/>
  <c r="M58" i="3"/>
  <c r="M51" i="3"/>
  <c r="M47" i="3"/>
</calcChain>
</file>

<file path=xl/sharedStrings.xml><?xml version="1.0" encoding="utf-8"?>
<sst xmlns="http://schemas.openxmlformats.org/spreadsheetml/2006/main" count="148" uniqueCount="82">
  <si>
    <t>支給控除一覧表</t>
    <phoneticPr fontId="3"/>
  </si>
  <si>
    <t>若林運送株式会社</t>
    <phoneticPr fontId="3"/>
  </si>
  <si>
    <t/>
  </si>
  <si>
    <t>1056</t>
    <phoneticPr fontId="3"/>
  </si>
  <si>
    <t>1057</t>
    <phoneticPr fontId="3"/>
  </si>
  <si>
    <t>1061</t>
    <phoneticPr fontId="3"/>
  </si>
  <si>
    <t>1067</t>
    <phoneticPr fontId="3"/>
  </si>
  <si>
    <t>1071</t>
    <phoneticPr fontId="3"/>
  </si>
  <si>
    <t>1092</t>
    <phoneticPr fontId="3"/>
  </si>
  <si>
    <t>1097</t>
    <phoneticPr fontId="3"/>
  </si>
  <si>
    <t>1063</t>
    <phoneticPr fontId="3"/>
  </si>
  <si>
    <t>項目名</t>
    <phoneticPr fontId="3"/>
  </si>
  <si>
    <t>河村　智春</t>
    <phoneticPr fontId="3"/>
  </si>
  <si>
    <t>赤﨑　功幸</t>
    <phoneticPr fontId="3"/>
  </si>
  <si>
    <t>櫻木　諭治</t>
    <phoneticPr fontId="3"/>
  </si>
  <si>
    <t>米澤　敬</t>
    <phoneticPr fontId="3"/>
  </si>
  <si>
    <t>大賀　勇也</t>
    <phoneticPr fontId="3"/>
  </si>
  <si>
    <t>西口　真樹</t>
    <phoneticPr fontId="3"/>
  </si>
  <si>
    <t>新田　竜二</t>
    <phoneticPr fontId="3"/>
  </si>
  <si>
    <t>木下　知美</t>
    <phoneticPr fontId="3"/>
  </si>
  <si>
    <t>合計</t>
    <phoneticPr fontId="3"/>
  </si>
  <si>
    <t>平日出勤日数</t>
    <phoneticPr fontId="3"/>
  </si>
  <si>
    <t>法定休日</t>
    <phoneticPr fontId="3"/>
  </si>
  <si>
    <t>法定外休日</t>
    <phoneticPr fontId="3"/>
  </si>
  <si>
    <t>代休日数</t>
    <phoneticPr fontId="3"/>
  </si>
  <si>
    <t>有休日数</t>
    <phoneticPr fontId="3"/>
  </si>
  <si>
    <t>欠勤日数</t>
    <phoneticPr fontId="3"/>
  </si>
  <si>
    <t>休業日数</t>
    <phoneticPr fontId="3"/>
  </si>
  <si>
    <t>就労時間</t>
    <phoneticPr fontId="3"/>
  </si>
  <si>
    <t>平日残業</t>
    <phoneticPr fontId="3"/>
  </si>
  <si>
    <t>法定休日時間</t>
    <phoneticPr fontId="3"/>
  </si>
  <si>
    <t>法定外休時間</t>
    <phoneticPr fontId="3"/>
  </si>
  <si>
    <t>法定代休時間</t>
    <phoneticPr fontId="3"/>
  </si>
  <si>
    <t>法定外代時間</t>
    <phoneticPr fontId="3"/>
  </si>
  <si>
    <t>所定内残業</t>
    <phoneticPr fontId="3"/>
  </si>
  <si>
    <t>有給休暇時間</t>
    <phoneticPr fontId="3"/>
  </si>
  <si>
    <t>深夜残業</t>
    <phoneticPr fontId="3"/>
  </si>
  <si>
    <t>有休残日数</t>
    <phoneticPr fontId="3"/>
  </si>
  <si>
    <t>基本給</t>
    <phoneticPr fontId="3"/>
  </si>
  <si>
    <t>職位加算</t>
    <phoneticPr fontId="3"/>
  </si>
  <si>
    <t>職責加算</t>
    <phoneticPr fontId="3"/>
  </si>
  <si>
    <t>大都市加算</t>
    <phoneticPr fontId="3"/>
  </si>
  <si>
    <t>調整給</t>
    <phoneticPr fontId="3"/>
  </si>
  <si>
    <t>基本給2</t>
    <phoneticPr fontId="3"/>
  </si>
  <si>
    <t>役員報酬</t>
    <phoneticPr fontId="3"/>
  </si>
  <si>
    <t>無事故報奨金</t>
    <phoneticPr fontId="3"/>
  </si>
  <si>
    <t>無事故加算</t>
    <phoneticPr fontId="3"/>
  </si>
  <si>
    <t>有給休暇</t>
    <phoneticPr fontId="3"/>
  </si>
  <si>
    <t>特別休暇</t>
    <phoneticPr fontId="3"/>
  </si>
  <si>
    <t>基本給加算</t>
    <phoneticPr fontId="3"/>
  </si>
  <si>
    <t>課税通勤手当</t>
    <phoneticPr fontId="3"/>
  </si>
  <si>
    <t>欠勤控除</t>
    <phoneticPr fontId="3"/>
  </si>
  <si>
    <t>法定休日残業</t>
    <phoneticPr fontId="3"/>
  </si>
  <si>
    <t>法定外休日残</t>
    <phoneticPr fontId="3"/>
  </si>
  <si>
    <t>法定代休残業</t>
    <phoneticPr fontId="3"/>
  </si>
  <si>
    <t>法定外代休残</t>
    <phoneticPr fontId="3"/>
  </si>
  <si>
    <t>休業手当</t>
    <phoneticPr fontId="3"/>
  </si>
  <si>
    <t>課税支給合計</t>
    <phoneticPr fontId="3"/>
  </si>
  <si>
    <t>非課税通勤費</t>
    <phoneticPr fontId="3"/>
  </si>
  <si>
    <t>非税支給合計</t>
    <phoneticPr fontId="3"/>
  </si>
  <si>
    <t>支給合計</t>
    <phoneticPr fontId="3"/>
  </si>
  <si>
    <t>健康保険料</t>
    <phoneticPr fontId="3"/>
  </si>
  <si>
    <t>介護保険料</t>
    <phoneticPr fontId="3"/>
  </si>
  <si>
    <t>厚生年金保険</t>
    <phoneticPr fontId="3"/>
  </si>
  <si>
    <t>雇用保険料</t>
    <phoneticPr fontId="3"/>
  </si>
  <si>
    <t>社会保険料計</t>
    <phoneticPr fontId="3"/>
  </si>
  <si>
    <t>所得税</t>
    <phoneticPr fontId="3"/>
  </si>
  <si>
    <t>住民税</t>
    <phoneticPr fontId="3"/>
  </si>
  <si>
    <t>会社立替</t>
    <phoneticPr fontId="3"/>
  </si>
  <si>
    <t>控除合計</t>
    <phoneticPr fontId="3"/>
  </si>
  <si>
    <t>課税対象額</t>
    <phoneticPr fontId="3"/>
  </si>
  <si>
    <t>差引支給合計</t>
    <phoneticPr fontId="3"/>
  </si>
  <si>
    <t>現金支給額</t>
    <phoneticPr fontId="3"/>
  </si>
  <si>
    <t>振込支給額</t>
    <phoneticPr fontId="3"/>
  </si>
  <si>
    <t>扶養人数</t>
    <phoneticPr fontId="3"/>
  </si>
  <si>
    <t>税額表</t>
    <phoneticPr fontId="3"/>
  </si>
  <si>
    <t>甲欄</t>
    <phoneticPr fontId="3"/>
  </si>
  <si>
    <t>2021年 12月度給与</t>
    <phoneticPr fontId="3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</si>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</sst>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4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7" xfId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26" xfId="1" applyNumberFormat="1" applyFont="1" applyBorder="1"/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right"/>
    </xf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0" fontId="2" fillId="0" borderId="39" xfId="1" applyFont="1" applyBorder="1"/>
    <xf numFmtId="49" fontId="2" fillId="0" borderId="40" xfId="1" applyNumberFormat="1" applyFont="1" applyBorder="1" applyAlignment="1">
      <alignment horizontal="right"/>
    </xf>
    <xf numFmtId="0" fontId="2" fillId="0" borderId="40" xfId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25" xfId="1" applyNumberFormat="1" applyFont="1" applyBorder="1"/>
    <xf numFmtId="49" fontId="2" fillId="0" borderId="40" xfId="1" applyNumberFormat="1" applyFont="1" applyBorder="1"/>
    <xf numFmtId="177" fontId="2" fillId="0" borderId="8" xfId="1" applyNumberFormat="1" applyFont="1" applyBorder="1"/>
    <xf numFmtId="177" fontId="2" fillId="0" borderId="36" xfId="1" applyNumberFormat="1" applyFont="1" applyBorder="1"/>
    <xf numFmtId="177" fontId="2" fillId="0" borderId="42" xfId="1" applyNumberFormat="1" applyFont="1" applyBorder="1"/>
  </cellXfs>
  <cellStyles count="2">
    <cellStyle name="標準" xfId="0" builtinId="0"/>
    <cellStyle name="標準 2" xfId="1" xr:uid="{4C34DF09-EFC6-4B2F-8144-BD8F1F52C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6650-6A0E-4CDC-81BA-D83BAA7E77E2}">
  <sheetPr>
    <pageSetUpPr fitToPage="1"/>
  </sheetPr>
  <dimension ref="A1:O62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3" width="10.875" style="2" customWidth="1"/>
    <col min="14" max="256" width="9" style="2"/>
    <col min="257" max="257" width="2.375" style="2" customWidth="1"/>
    <col min="258" max="258" width="13.25" style="2" bestFit="1" customWidth="1"/>
    <col min="259" max="259" width="9" style="2"/>
    <col min="260" max="261" width="11.125" style="2" bestFit="1" customWidth="1"/>
    <col min="262" max="262" width="9" style="2"/>
    <col min="263" max="263" width="11.125" style="2" bestFit="1" customWidth="1"/>
    <col min="264" max="264" width="9" style="2"/>
    <col min="265" max="268" width="11.125" style="2" bestFit="1" customWidth="1"/>
    <col min="269" max="269" width="9.625" style="2" bestFit="1" customWidth="1"/>
    <col min="270" max="512" width="9" style="2"/>
    <col min="513" max="513" width="2.375" style="2" customWidth="1"/>
    <col min="514" max="514" width="13.25" style="2" bestFit="1" customWidth="1"/>
    <col min="515" max="515" width="9" style="2"/>
    <col min="516" max="517" width="11.125" style="2" bestFit="1" customWidth="1"/>
    <col min="518" max="518" width="9" style="2"/>
    <col min="519" max="519" width="11.125" style="2" bestFit="1" customWidth="1"/>
    <col min="520" max="520" width="9" style="2"/>
    <col min="521" max="524" width="11.125" style="2" bestFit="1" customWidth="1"/>
    <col min="525" max="525" width="9.625" style="2" bestFit="1" customWidth="1"/>
    <col min="526" max="768" width="9" style="2"/>
    <col min="769" max="769" width="2.375" style="2" customWidth="1"/>
    <col min="770" max="770" width="13.25" style="2" bestFit="1" customWidth="1"/>
    <col min="771" max="771" width="9" style="2"/>
    <col min="772" max="773" width="11.125" style="2" bestFit="1" customWidth="1"/>
    <col min="774" max="774" width="9" style="2"/>
    <col min="775" max="775" width="11.125" style="2" bestFit="1" customWidth="1"/>
    <col min="776" max="776" width="9" style="2"/>
    <col min="777" max="780" width="11.125" style="2" bestFit="1" customWidth="1"/>
    <col min="781" max="781" width="9.625" style="2" bestFit="1" customWidth="1"/>
    <col min="782" max="1024" width="9" style="2"/>
    <col min="1025" max="1025" width="2.375" style="2" customWidth="1"/>
    <col min="1026" max="1026" width="13.25" style="2" bestFit="1" customWidth="1"/>
    <col min="1027" max="1027" width="9" style="2"/>
    <col min="1028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36" width="11.125" style="2" bestFit="1" customWidth="1"/>
    <col min="1037" max="1037" width="9.625" style="2" bestFit="1" customWidth="1"/>
    <col min="1038" max="1280" width="9" style="2"/>
    <col min="1281" max="1281" width="2.375" style="2" customWidth="1"/>
    <col min="1282" max="1282" width="13.25" style="2" bestFit="1" customWidth="1"/>
    <col min="1283" max="1283" width="9" style="2"/>
    <col min="1284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292" width="11.125" style="2" bestFit="1" customWidth="1"/>
    <col min="1293" max="1293" width="9.625" style="2" bestFit="1" customWidth="1"/>
    <col min="1294" max="1536" width="9" style="2"/>
    <col min="1537" max="1537" width="2.375" style="2" customWidth="1"/>
    <col min="1538" max="1538" width="13.25" style="2" bestFit="1" customWidth="1"/>
    <col min="1539" max="1539" width="9" style="2"/>
    <col min="1540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48" width="11.125" style="2" bestFit="1" customWidth="1"/>
    <col min="1549" max="1549" width="9.625" style="2" bestFit="1" customWidth="1"/>
    <col min="1550" max="1792" width="9" style="2"/>
    <col min="1793" max="1793" width="2.375" style="2" customWidth="1"/>
    <col min="1794" max="1794" width="13.25" style="2" bestFit="1" customWidth="1"/>
    <col min="1795" max="1795" width="9" style="2"/>
    <col min="1796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04" width="11.125" style="2" bestFit="1" customWidth="1"/>
    <col min="1805" max="1805" width="9.625" style="2" bestFit="1" customWidth="1"/>
    <col min="1806" max="2048" width="9" style="2"/>
    <col min="2049" max="2049" width="2.375" style="2" customWidth="1"/>
    <col min="2050" max="2050" width="13.25" style="2" bestFit="1" customWidth="1"/>
    <col min="2051" max="2051" width="9" style="2"/>
    <col min="2052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60" width="11.125" style="2" bestFit="1" customWidth="1"/>
    <col min="2061" max="2061" width="9.625" style="2" bestFit="1" customWidth="1"/>
    <col min="2062" max="2304" width="9" style="2"/>
    <col min="2305" max="2305" width="2.375" style="2" customWidth="1"/>
    <col min="2306" max="2306" width="13.25" style="2" bestFit="1" customWidth="1"/>
    <col min="2307" max="2307" width="9" style="2"/>
    <col min="2308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16" width="11.125" style="2" bestFit="1" customWidth="1"/>
    <col min="2317" max="2317" width="9.625" style="2" bestFit="1" customWidth="1"/>
    <col min="2318" max="2560" width="9" style="2"/>
    <col min="2561" max="2561" width="2.375" style="2" customWidth="1"/>
    <col min="2562" max="2562" width="13.25" style="2" bestFit="1" customWidth="1"/>
    <col min="2563" max="2563" width="9" style="2"/>
    <col min="2564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72" width="11.125" style="2" bestFit="1" customWidth="1"/>
    <col min="2573" max="2573" width="9.625" style="2" bestFit="1" customWidth="1"/>
    <col min="2574" max="2816" width="9" style="2"/>
    <col min="2817" max="2817" width="2.375" style="2" customWidth="1"/>
    <col min="2818" max="2818" width="13.25" style="2" bestFit="1" customWidth="1"/>
    <col min="2819" max="2819" width="9" style="2"/>
    <col min="2820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28" width="11.125" style="2" bestFit="1" customWidth="1"/>
    <col min="2829" max="2829" width="9.625" style="2" bestFit="1" customWidth="1"/>
    <col min="2830" max="3072" width="9" style="2"/>
    <col min="3073" max="3073" width="2.375" style="2" customWidth="1"/>
    <col min="3074" max="3074" width="13.25" style="2" bestFit="1" customWidth="1"/>
    <col min="3075" max="3075" width="9" style="2"/>
    <col min="3076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84" width="11.125" style="2" bestFit="1" customWidth="1"/>
    <col min="3085" max="3085" width="9.625" style="2" bestFit="1" customWidth="1"/>
    <col min="3086" max="3328" width="9" style="2"/>
    <col min="3329" max="3329" width="2.375" style="2" customWidth="1"/>
    <col min="3330" max="3330" width="13.25" style="2" bestFit="1" customWidth="1"/>
    <col min="3331" max="3331" width="9" style="2"/>
    <col min="3332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40" width="11.125" style="2" bestFit="1" customWidth="1"/>
    <col min="3341" max="3341" width="9.625" style="2" bestFit="1" customWidth="1"/>
    <col min="3342" max="3584" width="9" style="2"/>
    <col min="3585" max="3585" width="2.375" style="2" customWidth="1"/>
    <col min="3586" max="3586" width="13.25" style="2" bestFit="1" customWidth="1"/>
    <col min="3587" max="3587" width="9" style="2"/>
    <col min="3588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596" width="11.125" style="2" bestFit="1" customWidth="1"/>
    <col min="3597" max="3597" width="9.625" style="2" bestFit="1" customWidth="1"/>
    <col min="3598" max="3840" width="9" style="2"/>
    <col min="3841" max="3841" width="2.375" style="2" customWidth="1"/>
    <col min="3842" max="3842" width="13.25" style="2" bestFit="1" customWidth="1"/>
    <col min="3843" max="3843" width="9" style="2"/>
    <col min="3844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52" width="11.125" style="2" bestFit="1" customWidth="1"/>
    <col min="3853" max="3853" width="9.625" style="2" bestFit="1" customWidth="1"/>
    <col min="3854" max="4096" width="9" style="2"/>
    <col min="4097" max="4097" width="2.375" style="2" customWidth="1"/>
    <col min="4098" max="4098" width="13.25" style="2" bestFit="1" customWidth="1"/>
    <col min="4099" max="4099" width="9" style="2"/>
    <col min="4100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08" width="11.125" style="2" bestFit="1" customWidth="1"/>
    <col min="4109" max="4109" width="9.625" style="2" bestFit="1" customWidth="1"/>
    <col min="4110" max="4352" width="9" style="2"/>
    <col min="4353" max="4353" width="2.375" style="2" customWidth="1"/>
    <col min="4354" max="4354" width="13.25" style="2" bestFit="1" customWidth="1"/>
    <col min="4355" max="4355" width="9" style="2"/>
    <col min="4356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64" width="11.125" style="2" bestFit="1" customWidth="1"/>
    <col min="4365" max="4365" width="9.625" style="2" bestFit="1" customWidth="1"/>
    <col min="4366" max="4608" width="9" style="2"/>
    <col min="4609" max="4609" width="2.375" style="2" customWidth="1"/>
    <col min="4610" max="4610" width="13.25" style="2" bestFit="1" customWidth="1"/>
    <col min="4611" max="4611" width="9" style="2"/>
    <col min="4612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20" width="11.125" style="2" bestFit="1" customWidth="1"/>
    <col min="4621" max="4621" width="9.625" style="2" bestFit="1" customWidth="1"/>
    <col min="4622" max="4864" width="9" style="2"/>
    <col min="4865" max="4865" width="2.375" style="2" customWidth="1"/>
    <col min="4866" max="4866" width="13.25" style="2" bestFit="1" customWidth="1"/>
    <col min="4867" max="4867" width="9" style="2"/>
    <col min="4868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76" width="11.125" style="2" bestFit="1" customWidth="1"/>
    <col min="4877" max="4877" width="9.625" style="2" bestFit="1" customWidth="1"/>
    <col min="4878" max="5120" width="9" style="2"/>
    <col min="5121" max="5121" width="2.375" style="2" customWidth="1"/>
    <col min="5122" max="5122" width="13.25" style="2" bestFit="1" customWidth="1"/>
    <col min="5123" max="5123" width="9" style="2"/>
    <col min="5124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32" width="11.125" style="2" bestFit="1" customWidth="1"/>
    <col min="5133" max="5133" width="9.625" style="2" bestFit="1" customWidth="1"/>
    <col min="5134" max="5376" width="9" style="2"/>
    <col min="5377" max="5377" width="2.375" style="2" customWidth="1"/>
    <col min="5378" max="5378" width="13.25" style="2" bestFit="1" customWidth="1"/>
    <col min="5379" max="5379" width="9" style="2"/>
    <col min="5380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88" width="11.125" style="2" bestFit="1" customWidth="1"/>
    <col min="5389" max="5389" width="9.625" style="2" bestFit="1" customWidth="1"/>
    <col min="5390" max="5632" width="9" style="2"/>
    <col min="5633" max="5633" width="2.375" style="2" customWidth="1"/>
    <col min="5634" max="5634" width="13.25" style="2" bestFit="1" customWidth="1"/>
    <col min="5635" max="5635" width="9" style="2"/>
    <col min="5636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44" width="11.125" style="2" bestFit="1" customWidth="1"/>
    <col min="5645" max="5645" width="9.625" style="2" bestFit="1" customWidth="1"/>
    <col min="5646" max="5888" width="9" style="2"/>
    <col min="5889" max="5889" width="2.375" style="2" customWidth="1"/>
    <col min="5890" max="5890" width="13.25" style="2" bestFit="1" customWidth="1"/>
    <col min="5891" max="5891" width="9" style="2"/>
    <col min="5892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900" width="11.125" style="2" bestFit="1" customWidth="1"/>
    <col min="5901" max="5901" width="9.625" style="2" bestFit="1" customWidth="1"/>
    <col min="5902" max="6144" width="9" style="2"/>
    <col min="6145" max="6145" width="2.375" style="2" customWidth="1"/>
    <col min="6146" max="6146" width="13.25" style="2" bestFit="1" customWidth="1"/>
    <col min="6147" max="6147" width="9" style="2"/>
    <col min="6148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56" width="11.125" style="2" bestFit="1" customWidth="1"/>
    <col min="6157" max="6157" width="9.625" style="2" bestFit="1" customWidth="1"/>
    <col min="6158" max="6400" width="9" style="2"/>
    <col min="6401" max="6401" width="2.375" style="2" customWidth="1"/>
    <col min="6402" max="6402" width="13.25" style="2" bestFit="1" customWidth="1"/>
    <col min="6403" max="6403" width="9" style="2"/>
    <col min="6404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12" width="11.125" style="2" bestFit="1" customWidth="1"/>
    <col min="6413" max="6413" width="9.625" style="2" bestFit="1" customWidth="1"/>
    <col min="6414" max="6656" width="9" style="2"/>
    <col min="6657" max="6657" width="2.375" style="2" customWidth="1"/>
    <col min="6658" max="6658" width="13.25" style="2" bestFit="1" customWidth="1"/>
    <col min="6659" max="6659" width="9" style="2"/>
    <col min="6660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68" width="11.125" style="2" bestFit="1" customWidth="1"/>
    <col min="6669" max="6669" width="9.625" style="2" bestFit="1" customWidth="1"/>
    <col min="6670" max="6912" width="9" style="2"/>
    <col min="6913" max="6913" width="2.375" style="2" customWidth="1"/>
    <col min="6914" max="6914" width="13.25" style="2" bestFit="1" customWidth="1"/>
    <col min="6915" max="6915" width="9" style="2"/>
    <col min="6916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24" width="11.125" style="2" bestFit="1" customWidth="1"/>
    <col min="6925" max="6925" width="9.625" style="2" bestFit="1" customWidth="1"/>
    <col min="6926" max="7168" width="9" style="2"/>
    <col min="7169" max="7169" width="2.375" style="2" customWidth="1"/>
    <col min="7170" max="7170" width="13.25" style="2" bestFit="1" customWidth="1"/>
    <col min="7171" max="7171" width="9" style="2"/>
    <col min="7172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80" width="11.125" style="2" bestFit="1" customWidth="1"/>
    <col min="7181" max="7181" width="9.625" style="2" bestFit="1" customWidth="1"/>
    <col min="7182" max="7424" width="9" style="2"/>
    <col min="7425" max="7425" width="2.375" style="2" customWidth="1"/>
    <col min="7426" max="7426" width="13.25" style="2" bestFit="1" customWidth="1"/>
    <col min="7427" max="7427" width="9" style="2"/>
    <col min="7428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36" width="11.125" style="2" bestFit="1" customWidth="1"/>
    <col min="7437" max="7437" width="9.625" style="2" bestFit="1" customWidth="1"/>
    <col min="7438" max="7680" width="9" style="2"/>
    <col min="7681" max="7681" width="2.375" style="2" customWidth="1"/>
    <col min="7682" max="7682" width="13.25" style="2" bestFit="1" customWidth="1"/>
    <col min="7683" max="7683" width="9" style="2"/>
    <col min="7684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692" width="11.125" style="2" bestFit="1" customWidth="1"/>
    <col min="7693" max="7693" width="9.625" style="2" bestFit="1" customWidth="1"/>
    <col min="7694" max="7936" width="9" style="2"/>
    <col min="7937" max="7937" width="2.375" style="2" customWidth="1"/>
    <col min="7938" max="7938" width="13.25" style="2" bestFit="1" customWidth="1"/>
    <col min="7939" max="7939" width="9" style="2"/>
    <col min="7940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48" width="11.125" style="2" bestFit="1" customWidth="1"/>
    <col min="7949" max="7949" width="9.625" style="2" bestFit="1" customWidth="1"/>
    <col min="7950" max="8192" width="9" style="2"/>
    <col min="8193" max="8193" width="2.375" style="2" customWidth="1"/>
    <col min="8194" max="8194" width="13.25" style="2" bestFit="1" customWidth="1"/>
    <col min="8195" max="8195" width="9" style="2"/>
    <col min="8196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04" width="11.125" style="2" bestFit="1" customWidth="1"/>
    <col min="8205" max="8205" width="9.625" style="2" bestFit="1" customWidth="1"/>
    <col min="8206" max="8448" width="9" style="2"/>
    <col min="8449" max="8449" width="2.375" style="2" customWidth="1"/>
    <col min="8450" max="8450" width="13.25" style="2" bestFit="1" customWidth="1"/>
    <col min="8451" max="8451" width="9" style="2"/>
    <col min="8452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60" width="11.125" style="2" bestFit="1" customWidth="1"/>
    <col min="8461" max="8461" width="9.625" style="2" bestFit="1" customWidth="1"/>
    <col min="8462" max="8704" width="9" style="2"/>
    <col min="8705" max="8705" width="2.375" style="2" customWidth="1"/>
    <col min="8706" max="8706" width="13.25" style="2" bestFit="1" customWidth="1"/>
    <col min="8707" max="8707" width="9" style="2"/>
    <col min="8708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16" width="11.125" style="2" bestFit="1" customWidth="1"/>
    <col min="8717" max="8717" width="9.625" style="2" bestFit="1" customWidth="1"/>
    <col min="8718" max="8960" width="9" style="2"/>
    <col min="8961" max="8961" width="2.375" style="2" customWidth="1"/>
    <col min="8962" max="8962" width="13.25" style="2" bestFit="1" customWidth="1"/>
    <col min="8963" max="8963" width="9" style="2"/>
    <col min="8964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72" width="11.125" style="2" bestFit="1" customWidth="1"/>
    <col min="8973" max="8973" width="9.625" style="2" bestFit="1" customWidth="1"/>
    <col min="8974" max="9216" width="9" style="2"/>
    <col min="9217" max="9217" width="2.375" style="2" customWidth="1"/>
    <col min="9218" max="9218" width="13.25" style="2" bestFit="1" customWidth="1"/>
    <col min="9219" max="9219" width="9" style="2"/>
    <col min="9220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28" width="11.125" style="2" bestFit="1" customWidth="1"/>
    <col min="9229" max="9229" width="9.625" style="2" bestFit="1" customWidth="1"/>
    <col min="9230" max="9472" width="9" style="2"/>
    <col min="9473" max="9473" width="2.375" style="2" customWidth="1"/>
    <col min="9474" max="9474" width="13.25" style="2" bestFit="1" customWidth="1"/>
    <col min="9475" max="9475" width="9" style="2"/>
    <col min="9476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84" width="11.125" style="2" bestFit="1" customWidth="1"/>
    <col min="9485" max="9485" width="9.625" style="2" bestFit="1" customWidth="1"/>
    <col min="9486" max="9728" width="9" style="2"/>
    <col min="9729" max="9729" width="2.375" style="2" customWidth="1"/>
    <col min="9730" max="9730" width="13.25" style="2" bestFit="1" customWidth="1"/>
    <col min="9731" max="9731" width="9" style="2"/>
    <col min="9732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40" width="11.125" style="2" bestFit="1" customWidth="1"/>
    <col min="9741" max="9741" width="9.625" style="2" bestFit="1" customWidth="1"/>
    <col min="9742" max="9984" width="9" style="2"/>
    <col min="9985" max="9985" width="2.375" style="2" customWidth="1"/>
    <col min="9986" max="9986" width="13.25" style="2" bestFit="1" customWidth="1"/>
    <col min="9987" max="9987" width="9" style="2"/>
    <col min="9988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9996" width="11.125" style="2" bestFit="1" customWidth="1"/>
    <col min="9997" max="9997" width="9.625" style="2" bestFit="1" customWidth="1"/>
    <col min="9998" max="10240" width="9" style="2"/>
    <col min="10241" max="10241" width="2.375" style="2" customWidth="1"/>
    <col min="10242" max="10242" width="13.25" style="2" bestFit="1" customWidth="1"/>
    <col min="10243" max="10243" width="9" style="2"/>
    <col min="10244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52" width="11.125" style="2" bestFit="1" customWidth="1"/>
    <col min="10253" max="10253" width="9.625" style="2" bestFit="1" customWidth="1"/>
    <col min="10254" max="10496" width="9" style="2"/>
    <col min="10497" max="10497" width="2.375" style="2" customWidth="1"/>
    <col min="10498" max="10498" width="13.25" style="2" bestFit="1" customWidth="1"/>
    <col min="10499" max="10499" width="9" style="2"/>
    <col min="10500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08" width="11.125" style="2" bestFit="1" customWidth="1"/>
    <col min="10509" max="10509" width="9.625" style="2" bestFit="1" customWidth="1"/>
    <col min="10510" max="10752" width="9" style="2"/>
    <col min="10753" max="10753" width="2.375" style="2" customWidth="1"/>
    <col min="10754" max="10754" width="13.25" style="2" bestFit="1" customWidth="1"/>
    <col min="10755" max="10755" width="9" style="2"/>
    <col min="10756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64" width="11.125" style="2" bestFit="1" customWidth="1"/>
    <col min="10765" max="10765" width="9.625" style="2" bestFit="1" customWidth="1"/>
    <col min="10766" max="11008" width="9" style="2"/>
    <col min="11009" max="11009" width="2.375" style="2" customWidth="1"/>
    <col min="11010" max="11010" width="13.25" style="2" bestFit="1" customWidth="1"/>
    <col min="11011" max="11011" width="9" style="2"/>
    <col min="11012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20" width="11.125" style="2" bestFit="1" customWidth="1"/>
    <col min="11021" max="11021" width="9.625" style="2" bestFit="1" customWidth="1"/>
    <col min="11022" max="11264" width="9" style="2"/>
    <col min="11265" max="11265" width="2.375" style="2" customWidth="1"/>
    <col min="11266" max="11266" width="13.25" style="2" bestFit="1" customWidth="1"/>
    <col min="11267" max="11267" width="9" style="2"/>
    <col min="11268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76" width="11.125" style="2" bestFit="1" customWidth="1"/>
    <col min="11277" max="11277" width="9.625" style="2" bestFit="1" customWidth="1"/>
    <col min="11278" max="11520" width="9" style="2"/>
    <col min="11521" max="11521" width="2.375" style="2" customWidth="1"/>
    <col min="11522" max="11522" width="13.25" style="2" bestFit="1" customWidth="1"/>
    <col min="11523" max="11523" width="9" style="2"/>
    <col min="11524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32" width="11.125" style="2" bestFit="1" customWidth="1"/>
    <col min="11533" max="11533" width="9.625" style="2" bestFit="1" customWidth="1"/>
    <col min="11534" max="11776" width="9" style="2"/>
    <col min="11777" max="11777" width="2.375" style="2" customWidth="1"/>
    <col min="11778" max="11778" width="13.25" style="2" bestFit="1" customWidth="1"/>
    <col min="11779" max="11779" width="9" style="2"/>
    <col min="11780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88" width="11.125" style="2" bestFit="1" customWidth="1"/>
    <col min="11789" max="11789" width="9.625" style="2" bestFit="1" customWidth="1"/>
    <col min="11790" max="12032" width="9" style="2"/>
    <col min="12033" max="12033" width="2.375" style="2" customWidth="1"/>
    <col min="12034" max="12034" width="13.25" style="2" bestFit="1" customWidth="1"/>
    <col min="12035" max="12035" width="9" style="2"/>
    <col min="12036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44" width="11.125" style="2" bestFit="1" customWidth="1"/>
    <col min="12045" max="12045" width="9.625" style="2" bestFit="1" customWidth="1"/>
    <col min="12046" max="12288" width="9" style="2"/>
    <col min="12289" max="12289" width="2.375" style="2" customWidth="1"/>
    <col min="12290" max="12290" width="13.25" style="2" bestFit="1" customWidth="1"/>
    <col min="12291" max="12291" width="9" style="2"/>
    <col min="12292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300" width="11.125" style="2" bestFit="1" customWidth="1"/>
    <col min="12301" max="12301" width="9.625" style="2" bestFit="1" customWidth="1"/>
    <col min="12302" max="12544" width="9" style="2"/>
    <col min="12545" max="12545" width="2.375" style="2" customWidth="1"/>
    <col min="12546" max="12546" width="13.25" style="2" bestFit="1" customWidth="1"/>
    <col min="12547" max="12547" width="9" style="2"/>
    <col min="12548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56" width="11.125" style="2" bestFit="1" customWidth="1"/>
    <col min="12557" max="12557" width="9.625" style="2" bestFit="1" customWidth="1"/>
    <col min="12558" max="12800" width="9" style="2"/>
    <col min="12801" max="12801" width="2.375" style="2" customWidth="1"/>
    <col min="12802" max="12802" width="13.25" style="2" bestFit="1" customWidth="1"/>
    <col min="12803" max="12803" width="9" style="2"/>
    <col min="12804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12" width="11.125" style="2" bestFit="1" customWidth="1"/>
    <col min="12813" max="12813" width="9.625" style="2" bestFit="1" customWidth="1"/>
    <col min="12814" max="13056" width="9" style="2"/>
    <col min="13057" max="13057" width="2.375" style="2" customWidth="1"/>
    <col min="13058" max="13058" width="13.25" style="2" bestFit="1" customWidth="1"/>
    <col min="13059" max="13059" width="9" style="2"/>
    <col min="13060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68" width="11.125" style="2" bestFit="1" customWidth="1"/>
    <col min="13069" max="13069" width="9.625" style="2" bestFit="1" customWidth="1"/>
    <col min="13070" max="13312" width="9" style="2"/>
    <col min="13313" max="13313" width="2.375" style="2" customWidth="1"/>
    <col min="13314" max="13314" width="13.25" style="2" bestFit="1" customWidth="1"/>
    <col min="13315" max="13315" width="9" style="2"/>
    <col min="13316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24" width="11.125" style="2" bestFit="1" customWidth="1"/>
    <col min="13325" max="13325" width="9.625" style="2" bestFit="1" customWidth="1"/>
    <col min="13326" max="13568" width="9" style="2"/>
    <col min="13569" max="13569" width="2.375" style="2" customWidth="1"/>
    <col min="13570" max="13570" width="13.25" style="2" bestFit="1" customWidth="1"/>
    <col min="13571" max="13571" width="9" style="2"/>
    <col min="13572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80" width="11.125" style="2" bestFit="1" customWidth="1"/>
    <col min="13581" max="13581" width="9.625" style="2" bestFit="1" customWidth="1"/>
    <col min="13582" max="13824" width="9" style="2"/>
    <col min="13825" max="13825" width="2.375" style="2" customWidth="1"/>
    <col min="13826" max="13826" width="13.25" style="2" bestFit="1" customWidth="1"/>
    <col min="13827" max="13827" width="9" style="2"/>
    <col min="13828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36" width="11.125" style="2" bestFit="1" customWidth="1"/>
    <col min="13837" max="13837" width="9.625" style="2" bestFit="1" customWidth="1"/>
    <col min="13838" max="14080" width="9" style="2"/>
    <col min="14081" max="14081" width="2.375" style="2" customWidth="1"/>
    <col min="14082" max="14082" width="13.25" style="2" bestFit="1" customWidth="1"/>
    <col min="14083" max="14083" width="9" style="2"/>
    <col min="14084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092" width="11.125" style="2" bestFit="1" customWidth="1"/>
    <col min="14093" max="14093" width="9.625" style="2" bestFit="1" customWidth="1"/>
    <col min="14094" max="14336" width="9" style="2"/>
    <col min="14337" max="14337" width="2.375" style="2" customWidth="1"/>
    <col min="14338" max="14338" width="13.25" style="2" bestFit="1" customWidth="1"/>
    <col min="14339" max="14339" width="9" style="2"/>
    <col min="14340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48" width="11.125" style="2" bestFit="1" customWidth="1"/>
    <col min="14349" max="14349" width="9.625" style="2" bestFit="1" customWidth="1"/>
    <col min="14350" max="14592" width="9" style="2"/>
    <col min="14593" max="14593" width="2.375" style="2" customWidth="1"/>
    <col min="14594" max="14594" width="13.25" style="2" bestFit="1" customWidth="1"/>
    <col min="14595" max="14595" width="9" style="2"/>
    <col min="14596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04" width="11.125" style="2" bestFit="1" customWidth="1"/>
    <col min="14605" max="14605" width="9.625" style="2" bestFit="1" customWidth="1"/>
    <col min="14606" max="14848" width="9" style="2"/>
    <col min="14849" max="14849" width="2.375" style="2" customWidth="1"/>
    <col min="14850" max="14850" width="13.25" style="2" bestFit="1" customWidth="1"/>
    <col min="14851" max="14851" width="9" style="2"/>
    <col min="14852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60" width="11.125" style="2" bestFit="1" customWidth="1"/>
    <col min="14861" max="14861" width="9.625" style="2" bestFit="1" customWidth="1"/>
    <col min="14862" max="15104" width="9" style="2"/>
    <col min="15105" max="15105" width="2.375" style="2" customWidth="1"/>
    <col min="15106" max="15106" width="13.25" style="2" bestFit="1" customWidth="1"/>
    <col min="15107" max="15107" width="9" style="2"/>
    <col min="15108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16" width="11.125" style="2" bestFit="1" customWidth="1"/>
    <col min="15117" max="15117" width="9.625" style="2" bestFit="1" customWidth="1"/>
    <col min="15118" max="15360" width="9" style="2"/>
    <col min="15361" max="15361" width="2.375" style="2" customWidth="1"/>
    <col min="15362" max="15362" width="13.25" style="2" bestFit="1" customWidth="1"/>
    <col min="15363" max="15363" width="9" style="2"/>
    <col min="15364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72" width="11.125" style="2" bestFit="1" customWidth="1"/>
    <col min="15373" max="15373" width="9.625" style="2" bestFit="1" customWidth="1"/>
    <col min="15374" max="15616" width="9" style="2"/>
    <col min="15617" max="15617" width="2.375" style="2" customWidth="1"/>
    <col min="15618" max="15618" width="13.25" style="2" bestFit="1" customWidth="1"/>
    <col min="15619" max="15619" width="9" style="2"/>
    <col min="15620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28" width="11.125" style="2" bestFit="1" customWidth="1"/>
    <col min="15629" max="15629" width="9.625" style="2" bestFit="1" customWidth="1"/>
    <col min="15630" max="15872" width="9" style="2"/>
    <col min="15873" max="15873" width="2.375" style="2" customWidth="1"/>
    <col min="15874" max="15874" width="13.25" style="2" bestFit="1" customWidth="1"/>
    <col min="15875" max="15875" width="9" style="2"/>
    <col min="15876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84" width="11.125" style="2" bestFit="1" customWidth="1"/>
    <col min="15885" max="15885" width="9.625" style="2" bestFit="1" customWidth="1"/>
    <col min="15886" max="16128" width="9" style="2"/>
    <col min="16129" max="16129" width="2.375" style="2" customWidth="1"/>
    <col min="16130" max="16130" width="13.25" style="2" bestFit="1" customWidth="1"/>
    <col min="16131" max="16131" width="9" style="2"/>
    <col min="16132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77</v>
      </c>
    </row>
    <row r="4" spans="1:15">
      <c r="B4" s="3"/>
      <c r="C4" s="7" t="s">
        <v>4</v>
      </c>
      <c r="D4" s="8" t="s">
        <v>10</v>
      </c>
      <c r="E4" s="52" t="s">
        <v>78</v>
      </c>
      <c r="F4" s="6" t="s">
        <v>3</v>
      </c>
      <c r="G4" s="7" t="s">
        <v>5</v>
      </c>
      <c r="H4" s="7" t="s">
        <v>6</v>
      </c>
      <c r="I4" s="7" t="s">
        <v>7</v>
      </c>
      <c r="J4" s="7" t="s">
        <v>8</v>
      </c>
      <c r="K4" s="54" t="s">
        <v>9</v>
      </c>
      <c r="L4" s="65" t="s">
        <v>78</v>
      </c>
      <c r="M4" s="66" t="s">
        <v>20</v>
      </c>
    </row>
    <row r="5" spans="1:15" ht="19.5" thickBot="1">
      <c r="A5" s="43"/>
      <c r="B5" s="25" t="s">
        <v>11</v>
      </c>
      <c r="C5" s="27" t="s">
        <v>13</v>
      </c>
      <c r="D5" s="28" t="s">
        <v>19</v>
      </c>
      <c r="E5" s="53" t="s">
        <v>79</v>
      </c>
      <c r="F5" s="26" t="s">
        <v>12</v>
      </c>
      <c r="G5" s="27" t="s">
        <v>14</v>
      </c>
      <c r="H5" s="27" t="s">
        <v>15</v>
      </c>
      <c r="I5" s="27" t="s">
        <v>16</v>
      </c>
      <c r="J5" s="27" t="s">
        <v>17</v>
      </c>
      <c r="K5" s="55" t="s">
        <v>18</v>
      </c>
      <c r="L5" s="67" t="s">
        <v>80</v>
      </c>
      <c r="M5" s="68" t="s">
        <v>81</v>
      </c>
    </row>
    <row r="6" spans="1:15">
      <c r="A6" s="1" t="s">
        <v>2</v>
      </c>
      <c r="B6" s="21" t="s">
        <v>21</v>
      </c>
      <c r="C6" s="23">
        <v>22</v>
      </c>
      <c r="D6" s="24">
        <v>20</v>
      </c>
      <c r="E6" s="44">
        <f>SUM(C6:D6)</f>
        <v>42</v>
      </c>
      <c r="F6" s="22">
        <v>18</v>
      </c>
      <c r="G6" s="23">
        <v>21</v>
      </c>
      <c r="H6" s="23">
        <v>22</v>
      </c>
      <c r="I6" s="23">
        <v>19</v>
      </c>
      <c r="J6" s="23">
        <v>0</v>
      </c>
      <c r="K6" s="56">
        <v>22</v>
      </c>
      <c r="L6" s="69">
        <f>SUM(F6:K6)</f>
        <v>102</v>
      </c>
      <c r="M6" s="69">
        <f>E6+L6</f>
        <v>144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5"/>
      <c r="F7" s="9">
        <v>2</v>
      </c>
      <c r="G7" s="10">
        <v>1</v>
      </c>
      <c r="H7" s="10">
        <v>2</v>
      </c>
      <c r="I7" s="10">
        <v>1</v>
      </c>
      <c r="J7" s="10">
        <v>0</v>
      </c>
      <c r="K7" s="57">
        <v>3</v>
      </c>
      <c r="L7" s="70">
        <f>SUM(F7:K7)</f>
        <v>9</v>
      </c>
      <c r="M7" s="70">
        <f t="shared" ref="M7:M53" si="0">E7+L7</f>
        <v>9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5"/>
      <c r="F8" s="9">
        <v>4</v>
      </c>
      <c r="G8" s="10">
        <v>1</v>
      </c>
      <c r="H8" s="10">
        <v>0</v>
      </c>
      <c r="I8" s="10">
        <v>1</v>
      </c>
      <c r="J8" s="10">
        <v>0</v>
      </c>
      <c r="K8" s="57">
        <v>0</v>
      </c>
      <c r="L8" s="70">
        <f t="shared" ref="L8:L11" si="1">SUM(F8:K8)</f>
        <v>6</v>
      </c>
      <c r="M8" s="70">
        <f t="shared" si="0"/>
        <v>6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5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7">
        <v>0</v>
      </c>
      <c r="L9" s="70">
        <f t="shared" si="1"/>
        <v>0</v>
      </c>
      <c r="M9" s="70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1</v>
      </c>
      <c r="E10" s="45">
        <f>SUM(C10:D10)</f>
        <v>1</v>
      </c>
      <c r="F10" s="9">
        <v>4</v>
      </c>
      <c r="G10" s="10">
        <v>1</v>
      </c>
      <c r="H10" s="10">
        <v>0</v>
      </c>
      <c r="I10" s="10">
        <v>3</v>
      </c>
      <c r="J10" s="10">
        <v>2</v>
      </c>
      <c r="K10" s="57">
        <v>0</v>
      </c>
      <c r="L10" s="70">
        <f t="shared" si="1"/>
        <v>10</v>
      </c>
      <c r="M10" s="70">
        <f t="shared" si="0"/>
        <v>11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10">
        <v>19</v>
      </c>
      <c r="K11" s="57">
        <v>0</v>
      </c>
      <c r="L11" s="70">
        <f t="shared" si="1"/>
        <v>19</v>
      </c>
      <c r="M11" s="70">
        <f t="shared" si="0"/>
        <v>19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7">
        <v>0</v>
      </c>
      <c r="L12" s="70"/>
      <c r="M12" s="70">
        <f t="shared" si="0"/>
        <v>0</v>
      </c>
      <c r="O12"/>
    </row>
    <row r="13" spans="1:15">
      <c r="A13" s="1" t="s">
        <v>2</v>
      </c>
      <c r="B13" s="4" t="s">
        <v>28</v>
      </c>
      <c r="C13" s="13">
        <v>0</v>
      </c>
      <c r="D13" s="14">
        <v>4.041666666666667</v>
      </c>
      <c r="E13" s="46">
        <f>SUM(C13:D13)</f>
        <v>4.041666666666667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8">
        <v>0</v>
      </c>
      <c r="L13" s="71"/>
      <c r="M13" s="71">
        <f t="shared" si="0"/>
        <v>4.041666666666667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0</v>
      </c>
      <c r="E14" s="46"/>
      <c r="F14" s="12">
        <v>0.70833333333333337</v>
      </c>
      <c r="G14" s="13">
        <v>1.1666666666666667</v>
      </c>
      <c r="H14" s="13">
        <v>1.4583333333333333</v>
      </c>
      <c r="I14" s="13">
        <v>0.83333333333333337</v>
      </c>
      <c r="J14" s="13">
        <v>0</v>
      </c>
      <c r="K14" s="58">
        <v>1.375</v>
      </c>
      <c r="L14" s="71">
        <f>SUM(F14:K14)</f>
        <v>5.5416666666666661</v>
      </c>
      <c r="M14" s="71">
        <f t="shared" si="0"/>
        <v>5.5416666666666661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6"/>
      <c r="F15" s="12">
        <v>0.79166666666666663</v>
      </c>
      <c r="G15" s="13">
        <v>0.375</v>
      </c>
      <c r="H15" s="13">
        <v>0.625</v>
      </c>
      <c r="I15" s="13">
        <v>0.33333333333333331</v>
      </c>
      <c r="J15" s="13">
        <v>0</v>
      </c>
      <c r="K15" s="58">
        <v>1.125</v>
      </c>
      <c r="L15" s="71">
        <f t="shared" ref="L15:L16" si="2">SUM(F15:K15)</f>
        <v>3.25</v>
      </c>
      <c r="M15" s="71">
        <f t="shared" si="0"/>
        <v>3.25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6"/>
      <c r="F16" s="12">
        <v>1.4166666666666667</v>
      </c>
      <c r="G16" s="13">
        <v>0.33333333333333331</v>
      </c>
      <c r="H16" s="13">
        <v>0</v>
      </c>
      <c r="I16" s="13">
        <v>0.5</v>
      </c>
      <c r="J16" s="13">
        <v>0</v>
      </c>
      <c r="K16" s="58">
        <v>0</v>
      </c>
      <c r="L16" s="71">
        <f t="shared" si="2"/>
        <v>2.25</v>
      </c>
      <c r="M16" s="71">
        <f t="shared" si="0"/>
        <v>2.25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8">
        <v>0</v>
      </c>
      <c r="L17" s="71"/>
      <c r="M17" s="71">
        <f t="shared" si="0"/>
        <v>0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8">
        <v>0</v>
      </c>
      <c r="L18" s="71"/>
      <c r="M18" s="71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8">
        <v>0</v>
      </c>
      <c r="L19" s="71"/>
      <c r="M19" s="71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0.20833333333333334</v>
      </c>
      <c r="E20" s="46">
        <f>SUM(C20:D20)</f>
        <v>0.20833333333333334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8">
        <v>0</v>
      </c>
      <c r="L20" s="71"/>
      <c r="M20" s="71">
        <f t="shared" si="0"/>
        <v>0.20833333333333334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46"/>
      <c r="F21" s="12">
        <v>0</v>
      </c>
      <c r="G21" s="13">
        <v>0.125</v>
      </c>
      <c r="H21" s="13">
        <v>4.1666666666666664E-2</v>
      </c>
      <c r="I21" s="13">
        <v>8.3333333333333329E-2</v>
      </c>
      <c r="J21" s="13">
        <v>0</v>
      </c>
      <c r="K21" s="58">
        <v>4.1666666666666664E-2</v>
      </c>
      <c r="L21" s="71">
        <f>SUM(F21:K21)</f>
        <v>0.29166666666666669</v>
      </c>
      <c r="M21" s="71">
        <f t="shared" si="0"/>
        <v>0.29166666666666669</v>
      </c>
      <c r="O21"/>
    </row>
    <row r="22" spans="1:15" ht="19.5" thickBot="1">
      <c r="A22" s="1" t="s">
        <v>2</v>
      </c>
      <c r="B22" s="5" t="s">
        <v>37</v>
      </c>
      <c r="C22" s="33">
        <v>25</v>
      </c>
      <c r="D22" s="34">
        <v>16</v>
      </c>
      <c r="E22" s="47">
        <f>SUM(C22:D22)</f>
        <v>41</v>
      </c>
      <c r="F22" s="32">
        <v>3</v>
      </c>
      <c r="G22" s="33">
        <v>7</v>
      </c>
      <c r="H22" s="33">
        <v>15</v>
      </c>
      <c r="I22" s="33">
        <v>17</v>
      </c>
      <c r="J22" s="33">
        <v>0</v>
      </c>
      <c r="K22" s="59">
        <v>9</v>
      </c>
      <c r="L22" s="72">
        <f>SUM(F22:K22)</f>
        <v>51</v>
      </c>
      <c r="M22" s="72">
        <f t="shared" si="0"/>
        <v>92</v>
      </c>
      <c r="O22"/>
    </row>
    <row r="23" spans="1:15">
      <c r="A23" s="1" t="s">
        <v>2</v>
      </c>
      <c r="B23" s="21" t="s">
        <v>38</v>
      </c>
      <c r="C23" s="30">
        <v>365000</v>
      </c>
      <c r="D23" s="31">
        <v>0</v>
      </c>
      <c r="E23" s="48">
        <f>SUM(C23:D23)</f>
        <v>365000</v>
      </c>
      <c r="F23" s="29">
        <v>187000</v>
      </c>
      <c r="G23" s="30">
        <v>187000</v>
      </c>
      <c r="H23" s="30">
        <v>182000</v>
      </c>
      <c r="I23" s="30">
        <v>187000</v>
      </c>
      <c r="J23" s="30">
        <v>177000</v>
      </c>
      <c r="K23" s="60">
        <v>170000</v>
      </c>
      <c r="L23" s="73">
        <f>SUM(F23:K23)</f>
        <v>1090000</v>
      </c>
      <c r="M23" s="73">
        <f t="shared" si="0"/>
        <v>1455000</v>
      </c>
      <c r="O23"/>
    </row>
    <row r="24" spans="1:15">
      <c r="A24" s="1" t="s">
        <v>2</v>
      </c>
      <c r="B24" s="4" t="s">
        <v>39</v>
      </c>
      <c r="C24" s="16">
        <v>0</v>
      </c>
      <c r="D24" s="17">
        <v>0</v>
      </c>
      <c r="E24" s="49"/>
      <c r="F24" s="15">
        <v>0</v>
      </c>
      <c r="G24" s="16">
        <v>0</v>
      </c>
      <c r="H24" s="16">
        <v>0</v>
      </c>
      <c r="I24" s="16">
        <v>0</v>
      </c>
      <c r="J24" s="16">
        <v>0</v>
      </c>
      <c r="K24" s="61">
        <v>0</v>
      </c>
      <c r="L24" s="74">
        <f t="shared" ref="L24:L60" si="3">SUM(F24:K24)</f>
        <v>0</v>
      </c>
      <c r="M24" s="74">
        <f t="shared" si="0"/>
        <v>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49"/>
      <c r="F25" s="15">
        <v>6000</v>
      </c>
      <c r="G25" s="16">
        <v>0</v>
      </c>
      <c r="H25" s="16">
        <v>6000</v>
      </c>
      <c r="I25" s="16">
        <v>0</v>
      </c>
      <c r="J25" s="16">
        <v>0</v>
      </c>
      <c r="K25" s="61">
        <v>0</v>
      </c>
      <c r="L25" s="74">
        <f t="shared" si="3"/>
        <v>12000</v>
      </c>
      <c r="M25" s="74">
        <f t="shared" si="0"/>
        <v>12000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49"/>
      <c r="F26" s="15">
        <v>0</v>
      </c>
      <c r="G26" s="16">
        <v>0</v>
      </c>
      <c r="H26" s="16">
        <v>0</v>
      </c>
      <c r="I26" s="16">
        <v>0</v>
      </c>
      <c r="J26" s="16">
        <v>0</v>
      </c>
      <c r="K26" s="61">
        <v>0</v>
      </c>
      <c r="L26" s="74">
        <f t="shared" si="3"/>
        <v>0</v>
      </c>
      <c r="M26" s="74">
        <f t="shared" si="0"/>
        <v>0</v>
      </c>
      <c r="O26"/>
    </row>
    <row r="27" spans="1:15">
      <c r="A27" s="1" t="s">
        <v>2</v>
      </c>
      <c r="B27" s="4" t="s">
        <v>42</v>
      </c>
      <c r="C27" s="16">
        <v>0</v>
      </c>
      <c r="D27" s="17">
        <v>0</v>
      </c>
      <c r="E27" s="49"/>
      <c r="F27" s="15">
        <v>77212</v>
      </c>
      <c r="G27" s="16">
        <v>59384</v>
      </c>
      <c r="H27" s="16">
        <v>50688</v>
      </c>
      <c r="I27" s="16">
        <v>70648</v>
      </c>
      <c r="J27" s="16">
        <v>900</v>
      </c>
      <c r="K27" s="61">
        <v>34371</v>
      </c>
      <c r="L27" s="74">
        <f t="shared" si="3"/>
        <v>293203</v>
      </c>
      <c r="M27" s="74">
        <f t="shared" si="0"/>
        <v>293203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89725</v>
      </c>
      <c r="E28" s="49">
        <f>SUM(C28:D28)</f>
        <v>89725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61">
        <v>0</v>
      </c>
      <c r="L28" s="74">
        <f t="shared" si="3"/>
        <v>0</v>
      </c>
      <c r="M28" s="74">
        <f t="shared" si="0"/>
        <v>89725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49"/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61">
        <v>0</v>
      </c>
      <c r="L29" s="74">
        <f t="shared" si="3"/>
        <v>0</v>
      </c>
      <c r="M29" s="74">
        <f t="shared" si="0"/>
        <v>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49"/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61">
        <v>0</v>
      </c>
      <c r="L30" s="74">
        <f t="shared" si="3"/>
        <v>0</v>
      </c>
      <c r="M30" s="74">
        <f t="shared" si="0"/>
        <v>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49"/>
      <c r="F31" s="15">
        <v>1000</v>
      </c>
      <c r="G31" s="16">
        <v>1000</v>
      </c>
      <c r="H31" s="16">
        <v>0</v>
      </c>
      <c r="I31" s="16">
        <v>1000</v>
      </c>
      <c r="J31" s="16">
        <v>0</v>
      </c>
      <c r="K31" s="61">
        <v>0</v>
      </c>
      <c r="L31" s="74">
        <f t="shared" si="3"/>
        <v>3000</v>
      </c>
      <c r="M31" s="74">
        <f t="shared" si="0"/>
        <v>3000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4625</v>
      </c>
      <c r="E32" s="49">
        <f>SUM(C32:D32)</f>
        <v>4625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61">
        <v>0</v>
      </c>
      <c r="L32" s="74">
        <f t="shared" si="3"/>
        <v>0</v>
      </c>
      <c r="M32" s="74">
        <f t="shared" si="0"/>
        <v>4625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49"/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61">
        <v>0</v>
      </c>
      <c r="L33" s="74">
        <f t="shared" si="3"/>
        <v>0</v>
      </c>
      <c r="M33" s="74">
        <f t="shared" si="0"/>
        <v>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49"/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61">
        <v>0</v>
      </c>
      <c r="L34" s="74">
        <f t="shared" si="3"/>
        <v>0</v>
      </c>
      <c r="M34" s="74">
        <f t="shared" si="0"/>
        <v>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49"/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61">
        <v>0</v>
      </c>
      <c r="L35" s="74">
        <f t="shared" si="3"/>
        <v>0</v>
      </c>
      <c r="M35" s="74">
        <f t="shared" si="0"/>
        <v>0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49"/>
      <c r="F36" s="15">
        <v>0</v>
      </c>
      <c r="G36" s="16">
        <v>0</v>
      </c>
      <c r="H36" s="16">
        <v>0</v>
      </c>
      <c r="I36" s="16">
        <v>0</v>
      </c>
      <c r="J36" s="78">
        <v>-160045</v>
      </c>
      <c r="K36" s="79">
        <v>0</v>
      </c>
      <c r="L36" s="80">
        <f t="shared" si="3"/>
        <v>-160045</v>
      </c>
      <c r="M36" s="80">
        <f t="shared" si="0"/>
        <v>-160045</v>
      </c>
      <c r="O36"/>
    </row>
    <row r="37" spans="1:15">
      <c r="A37" s="1" t="s">
        <v>2</v>
      </c>
      <c r="B37" s="4" t="s">
        <v>29</v>
      </c>
      <c r="C37" s="16">
        <v>0</v>
      </c>
      <c r="D37" s="17">
        <v>0</v>
      </c>
      <c r="E37" s="49"/>
      <c r="F37" s="15">
        <v>24701</v>
      </c>
      <c r="G37" s="16">
        <v>39424</v>
      </c>
      <c r="H37" s="16">
        <v>49280</v>
      </c>
      <c r="I37" s="16">
        <v>28160</v>
      </c>
      <c r="J37" s="16">
        <v>0</v>
      </c>
      <c r="K37" s="61">
        <v>42009</v>
      </c>
      <c r="L37" s="74">
        <f t="shared" si="3"/>
        <v>183574</v>
      </c>
      <c r="M37" s="74">
        <f t="shared" si="0"/>
        <v>183574</v>
      </c>
      <c r="O37"/>
    </row>
    <row r="38" spans="1:15">
      <c r="A38" s="1" t="s">
        <v>2</v>
      </c>
      <c r="B38" s="4" t="s">
        <v>52</v>
      </c>
      <c r="C38" s="16">
        <v>0</v>
      </c>
      <c r="D38" s="17">
        <v>0</v>
      </c>
      <c r="E38" s="49"/>
      <c r="F38" s="15">
        <v>29811</v>
      </c>
      <c r="G38" s="16">
        <v>13680</v>
      </c>
      <c r="H38" s="16">
        <v>22800</v>
      </c>
      <c r="I38" s="16">
        <v>12160</v>
      </c>
      <c r="J38" s="16">
        <v>0</v>
      </c>
      <c r="K38" s="61">
        <v>37098</v>
      </c>
      <c r="L38" s="74">
        <f t="shared" si="3"/>
        <v>115549</v>
      </c>
      <c r="M38" s="74">
        <f t="shared" si="0"/>
        <v>115549</v>
      </c>
      <c r="O38"/>
    </row>
    <row r="39" spans="1:15">
      <c r="A39" s="1" t="s">
        <v>2</v>
      </c>
      <c r="B39" s="4" t="s">
        <v>53</v>
      </c>
      <c r="C39" s="16">
        <v>0</v>
      </c>
      <c r="D39" s="17">
        <v>0</v>
      </c>
      <c r="E39" s="49"/>
      <c r="F39" s="15">
        <v>53346</v>
      </c>
      <c r="G39" s="16">
        <v>12160</v>
      </c>
      <c r="H39" s="16">
        <v>0</v>
      </c>
      <c r="I39" s="16">
        <v>18240</v>
      </c>
      <c r="J39" s="16">
        <v>0</v>
      </c>
      <c r="K39" s="61">
        <v>0</v>
      </c>
      <c r="L39" s="74">
        <f t="shared" si="3"/>
        <v>83746</v>
      </c>
      <c r="M39" s="74">
        <f t="shared" si="0"/>
        <v>83746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49"/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61">
        <v>0</v>
      </c>
      <c r="L40" s="74">
        <f t="shared" si="3"/>
        <v>0</v>
      </c>
      <c r="M40" s="74">
        <f t="shared" si="0"/>
        <v>0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49"/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61">
        <v>0</v>
      </c>
      <c r="L41" s="74">
        <f t="shared" si="3"/>
        <v>0</v>
      </c>
      <c r="M41" s="74">
        <f t="shared" si="0"/>
        <v>0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49"/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61">
        <v>0</v>
      </c>
      <c r="L42" s="74">
        <f t="shared" si="3"/>
        <v>0</v>
      </c>
      <c r="M42" s="74">
        <f t="shared" si="0"/>
        <v>0</v>
      </c>
      <c r="O42"/>
    </row>
    <row r="43" spans="1:15" ht="19.5" thickBot="1">
      <c r="A43" s="1" t="s">
        <v>2</v>
      </c>
      <c r="B43" s="35" t="s">
        <v>36</v>
      </c>
      <c r="C43" s="37">
        <v>0</v>
      </c>
      <c r="D43" s="38">
        <v>0</v>
      </c>
      <c r="E43" s="50"/>
      <c r="F43" s="36">
        <v>0</v>
      </c>
      <c r="G43" s="37">
        <v>846</v>
      </c>
      <c r="H43" s="37">
        <v>282</v>
      </c>
      <c r="I43" s="37">
        <v>564</v>
      </c>
      <c r="J43" s="37">
        <v>0</v>
      </c>
      <c r="K43" s="62">
        <v>255</v>
      </c>
      <c r="L43" s="75">
        <f t="shared" si="3"/>
        <v>1947</v>
      </c>
      <c r="M43" s="75">
        <f t="shared" si="0"/>
        <v>1947</v>
      </c>
      <c r="O43"/>
    </row>
    <row r="44" spans="1:15" ht="19.5" thickBot="1">
      <c r="A44" s="1" t="s">
        <v>2</v>
      </c>
      <c r="B44" s="39" t="s">
        <v>57</v>
      </c>
      <c r="C44" s="41">
        <v>365000</v>
      </c>
      <c r="D44" s="42">
        <v>94350</v>
      </c>
      <c r="E44" s="51">
        <f>SUM(C44:D44)</f>
        <v>459350</v>
      </c>
      <c r="F44" s="40">
        <v>379070</v>
      </c>
      <c r="G44" s="41">
        <v>313494</v>
      </c>
      <c r="H44" s="41">
        <v>311050</v>
      </c>
      <c r="I44" s="41">
        <v>317772</v>
      </c>
      <c r="J44" s="41">
        <v>17855</v>
      </c>
      <c r="K44" s="63">
        <v>283733</v>
      </c>
      <c r="L44" s="76">
        <f t="shared" si="3"/>
        <v>1622974</v>
      </c>
      <c r="M44" s="76">
        <f t="shared" si="0"/>
        <v>2082324</v>
      </c>
      <c r="O44"/>
    </row>
    <row r="45" spans="1:15" ht="19.5" thickBot="1">
      <c r="A45" s="1" t="s">
        <v>2</v>
      </c>
      <c r="B45" s="21" t="s">
        <v>58</v>
      </c>
      <c r="C45" s="30">
        <v>4980</v>
      </c>
      <c r="D45" s="31">
        <v>3352</v>
      </c>
      <c r="E45" s="31">
        <f t="shared" ref="E45:E60" si="4">SUM(C45:D45)</f>
        <v>8332</v>
      </c>
      <c r="F45" s="29">
        <v>6895</v>
      </c>
      <c r="G45" s="30">
        <v>4956</v>
      </c>
      <c r="H45" s="30">
        <v>9767</v>
      </c>
      <c r="I45" s="30">
        <v>1509</v>
      </c>
      <c r="J45" s="30">
        <v>0</v>
      </c>
      <c r="K45" s="60">
        <v>7182</v>
      </c>
      <c r="L45" s="73">
        <f t="shared" si="3"/>
        <v>30309</v>
      </c>
      <c r="M45" s="73">
        <f t="shared" si="0"/>
        <v>38641</v>
      </c>
      <c r="O45"/>
    </row>
    <row r="46" spans="1:15" ht="19.5" thickBot="1">
      <c r="A46" s="1" t="s">
        <v>2</v>
      </c>
      <c r="B46" s="39" t="s">
        <v>59</v>
      </c>
      <c r="C46" s="41">
        <v>4980</v>
      </c>
      <c r="D46" s="42">
        <v>3352</v>
      </c>
      <c r="E46" s="42">
        <f t="shared" si="4"/>
        <v>8332</v>
      </c>
      <c r="F46" s="40">
        <v>6895</v>
      </c>
      <c r="G46" s="41">
        <v>4956</v>
      </c>
      <c r="H46" s="41">
        <v>9767</v>
      </c>
      <c r="I46" s="41">
        <v>1509</v>
      </c>
      <c r="J46" s="41">
        <v>0</v>
      </c>
      <c r="K46" s="63">
        <v>7182</v>
      </c>
      <c r="L46" s="76">
        <f t="shared" si="3"/>
        <v>30309</v>
      </c>
      <c r="M46" s="76">
        <f t="shared" si="0"/>
        <v>38641</v>
      </c>
      <c r="O46"/>
    </row>
    <row r="47" spans="1:15" ht="19.5" thickBot="1">
      <c r="A47" s="1" t="s">
        <v>2</v>
      </c>
      <c r="B47" s="39" t="s">
        <v>60</v>
      </c>
      <c r="C47" s="41">
        <v>369980</v>
      </c>
      <c r="D47" s="42">
        <v>97702</v>
      </c>
      <c r="E47" s="42">
        <f t="shared" si="4"/>
        <v>467682</v>
      </c>
      <c r="F47" s="40">
        <v>385965</v>
      </c>
      <c r="G47" s="41">
        <v>318450</v>
      </c>
      <c r="H47" s="41">
        <v>320817</v>
      </c>
      <c r="I47" s="41">
        <v>319281</v>
      </c>
      <c r="J47" s="41">
        <v>17855</v>
      </c>
      <c r="K47" s="63">
        <v>290915</v>
      </c>
      <c r="L47" s="76">
        <f t="shared" si="3"/>
        <v>1653283</v>
      </c>
      <c r="M47" s="76">
        <f t="shared" si="0"/>
        <v>2120965</v>
      </c>
      <c r="O47"/>
    </row>
    <row r="48" spans="1:15">
      <c r="A48" s="1" t="s">
        <v>2</v>
      </c>
      <c r="B48" s="21" t="s">
        <v>61</v>
      </c>
      <c r="C48" s="30">
        <v>18360</v>
      </c>
      <c r="D48" s="31">
        <v>0</v>
      </c>
      <c r="E48" s="31">
        <f t="shared" si="4"/>
        <v>18360</v>
      </c>
      <c r="F48" s="29">
        <v>16320</v>
      </c>
      <c r="G48" s="30">
        <v>17340</v>
      </c>
      <c r="H48" s="30">
        <v>16320</v>
      </c>
      <c r="I48" s="30">
        <v>16320</v>
      </c>
      <c r="J48" s="30">
        <v>0</v>
      </c>
      <c r="K48" s="60">
        <v>13260</v>
      </c>
      <c r="L48" s="73">
        <f t="shared" si="3"/>
        <v>79560</v>
      </c>
      <c r="M48" s="73">
        <f t="shared" si="0"/>
        <v>97920</v>
      </c>
      <c r="O48"/>
    </row>
    <row r="49" spans="1:15">
      <c r="A49" s="1" t="s">
        <v>2</v>
      </c>
      <c r="B49" s="4" t="s">
        <v>62</v>
      </c>
      <c r="C49" s="16">
        <v>3240</v>
      </c>
      <c r="D49" s="17">
        <v>0</v>
      </c>
      <c r="E49" s="17">
        <f t="shared" si="4"/>
        <v>3240</v>
      </c>
      <c r="F49" s="15">
        <v>0</v>
      </c>
      <c r="G49" s="16">
        <v>3060</v>
      </c>
      <c r="H49" s="16">
        <v>2880</v>
      </c>
      <c r="I49" s="16">
        <v>2880</v>
      </c>
      <c r="J49" s="16">
        <v>0</v>
      </c>
      <c r="K49" s="61">
        <v>2340</v>
      </c>
      <c r="L49" s="74">
        <f t="shared" si="3"/>
        <v>11160</v>
      </c>
      <c r="M49" s="74">
        <f t="shared" si="0"/>
        <v>14400</v>
      </c>
      <c r="O49"/>
    </row>
    <row r="50" spans="1:15">
      <c r="A50" s="1" t="s">
        <v>2</v>
      </c>
      <c r="B50" s="4" t="s">
        <v>63</v>
      </c>
      <c r="C50" s="16">
        <v>32940</v>
      </c>
      <c r="D50" s="17">
        <v>0</v>
      </c>
      <c r="E50" s="17">
        <f t="shared" si="4"/>
        <v>32940</v>
      </c>
      <c r="F50" s="15">
        <v>29280</v>
      </c>
      <c r="G50" s="16">
        <v>31110</v>
      </c>
      <c r="H50" s="16">
        <v>29280</v>
      </c>
      <c r="I50" s="16">
        <v>29280</v>
      </c>
      <c r="J50" s="16">
        <v>0</v>
      </c>
      <c r="K50" s="61">
        <v>23790</v>
      </c>
      <c r="L50" s="74">
        <f t="shared" si="3"/>
        <v>142740</v>
      </c>
      <c r="M50" s="74">
        <f t="shared" si="0"/>
        <v>175680</v>
      </c>
      <c r="O50"/>
    </row>
    <row r="51" spans="1:15" ht="19.5" thickBot="1">
      <c r="A51" s="1" t="s">
        <v>2</v>
      </c>
      <c r="B51" s="4" t="s">
        <v>64</v>
      </c>
      <c r="C51" s="16">
        <v>1110</v>
      </c>
      <c r="D51" s="17">
        <v>293</v>
      </c>
      <c r="E51" s="17">
        <f t="shared" si="4"/>
        <v>1403</v>
      </c>
      <c r="F51" s="15">
        <v>1158</v>
      </c>
      <c r="G51" s="16">
        <v>955</v>
      </c>
      <c r="H51" s="16">
        <v>962</v>
      </c>
      <c r="I51" s="16">
        <v>958</v>
      </c>
      <c r="J51" s="16">
        <v>54</v>
      </c>
      <c r="K51" s="61">
        <v>873</v>
      </c>
      <c r="L51" s="74">
        <f t="shared" si="3"/>
        <v>4960</v>
      </c>
      <c r="M51" s="74">
        <f t="shared" si="0"/>
        <v>6363</v>
      </c>
      <c r="O51"/>
    </row>
    <row r="52" spans="1:15" ht="19.5" thickBot="1">
      <c r="A52" s="1" t="s">
        <v>2</v>
      </c>
      <c r="B52" s="39" t="s">
        <v>65</v>
      </c>
      <c r="C52" s="41">
        <v>55650</v>
      </c>
      <c r="D52" s="42">
        <v>293</v>
      </c>
      <c r="E52" s="42">
        <f t="shared" si="4"/>
        <v>55943</v>
      </c>
      <c r="F52" s="40">
        <v>46758</v>
      </c>
      <c r="G52" s="41">
        <v>52465</v>
      </c>
      <c r="H52" s="41">
        <v>49442</v>
      </c>
      <c r="I52" s="41">
        <v>49438</v>
      </c>
      <c r="J52" s="41">
        <v>54</v>
      </c>
      <c r="K52" s="63">
        <v>40263</v>
      </c>
      <c r="L52" s="76">
        <f t="shared" si="3"/>
        <v>238420</v>
      </c>
      <c r="M52" s="76">
        <f t="shared" si="0"/>
        <v>294363</v>
      </c>
      <c r="O52"/>
    </row>
    <row r="53" spans="1:15">
      <c r="A53" s="1" t="s">
        <v>2</v>
      </c>
      <c r="B53" s="21" t="s">
        <v>66</v>
      </c>
      <c r="C53" s="30">
        <v>9140</v>
      </c>
      <c r="D53" s="31">
        <v>420</v>
      </c>
      <c r="E53" s="31">
        <f t="shared" si="4"/>
        <v>9560</v>
      </c>
      <c r="F53" s="29">
        <v>11020</v>
      </c>
      <c r="G53" s="30">
        <v>5330</v>
      </c>
      <c r="H53" s="30">
        <v>5350</v>
      </c>
      <c r="I53" s="30">
        <v>5590</v>
      </c>
      <c r="J53" s="30">
        <v>0</v>
      </c>
      <c r="K53" s="60">
        <v>6320</v>
      </c>
      <c r="L53" s="73">
        <f t="shared" si="3"/>
        <v>33610</v>
      </c>
      <c r="M53" s="73">
        <f t="shared" si="0"/>
        <v>43170</v>
      </c>
      <c r="O53"/>
    </row>
    <row r="54" spans="1:15">
      <c r="A54" s="1" t="s">
        <v>2</v>
      </c>
      <c r="B54" s="4" t="s">
        <v>67</v>
      </c>
      <c r="C54" s="16">
        <v>18800</v>
      </c>
      <c r="D54" s="17">
        <v>500</v>
      </c>
      <c r="E54" s="17">
        <f t="shared" si="4"/>
        <v>19300</v>
      </c>
      <c r="F54" s="15">
        <v>11900</v>
      </c>
      <c r="G54" s="16">
        <v>6100</v>
      </c>
      <c r="H54" s="16">
        <v>6800</v>
      </c>
      <c r="I54" s="16">
        <v>10800</v>
      </c>
      <c r="J54" s="16">
        <v>2000</v>
      </c>
      <c r="K54" s="61">
        <v>10400</v>
      </c>
      <c r="L54" s="74">
        <f t="shared" si="3"/>
        <v>48000</v>
      </c>
      <c r="M54" s="74">
        <f t="shared" ref="M54:M60" si="5">E54+L54</f>
        <v>67300</v>
      </c>
      <c r="O54"/>
    </row>
    <row r="55" spans="1:15" ht="19.5" thickBot="1">
      <c r="A55" s="1" t="s">
        <v>2</v>
      </c>
      <c r="B55" s="4" t="s">
        <v>68</v>
      </c>
      <c r="C55" s="16">
        <v>0</v>
      </c>
      <c r="D55" s="17">
        <v>0</v>
      </c>
      <c r="E55" s="17">
        <f t="shared" si="4"/>
        <v>0</v>
      </c>
      <c r="F55" s="15">
        <v>0</v>
      </c>
      <c r="G55" s="16">
        <v>5000</v>
      </c>
      <c r="H55" s="16">
        <v>0</v>
      </c>
      <c r="I55" s="16">
        <v>0</v>
      </c>
      <c r="J55" s="16">
        <v>0</v>
      </c>
      <c r="K55" s="61">
        <v>0</v>
      </c>
      <c r="L55" s="74">
        <f t="shared" si="3"/>
        <v>5000</v>
      </c>
      <c r="M55" s="74">
        <f t="shared" si="5"/>
        <v>5000</v>
      </c>
      <c r="O55"/>
    </row>
    <row r="56" spans="1:15" ht="19.5" thickBot="1">
      <c r="A56" s="1" t="s">
        <v>2</v>
      </c>
      <c r="B56" s="39" t="s">
        <v>69</v>
      </c>
      <c r="C56" s="41">
        <v>83590</v>
      </c>
      <c r="D56" s="42">
        <v>1213</v>
      </c>
      <c r="E56" s="42">
        <f t="shared" si="4"/>
        <v>84803</v>
      </c>
      <c r="F56" s="40">
        <v>69678</v>
      </c>
      <c r="G56" s="41">
        <v>68895</v>
      </c>
      <c r="H56" s="41">
        <v>61592</v>
      </c>
      <c r="I56" s="41">
        <v>65828</v>
      </c>
      <c r="J56" s="41">
        <v>2054</v>
      </c>
      <c r="K56" s="63">
        <v>56983</v>
      </c>
      <c r="L56" s="76">
        <f t="shared" si="3"/>
        <v>325030</v>
      </c>
      <c r="M56" s="76">
        <f t="shared" si="5"/>
        <v>409833</v>
      </c>
      <c r="O56"/>
    </row>
    <row r="57" spans="1:15" ht="19.5" thickBot="1">
      <c r="A57" s="1" t="s">
        <v>2</v>
      </c>
      <c r="B57" s="39" t="s">
        <v>70</v>
      </c>
      <c r="C57" s="41">
        <v>309350</v>
      </c>
      <c r="D57" s="42">
        <v>94057</v>
      </c>
      <c r="E57" s="42">
        <f t="shared" si="4"/>
        <v>403407</v>
      </c>
      <c r="F57" s="40">
        <v>332312</v>
      </c>
      <c r="G57" s="41">
        <v>261029</v>
      </c>
      <c r="H57" s="41">
        <v>261608</v>
      </c>
      <c r="I57" s="41">
        <v>268334</v>
      </c>
      <c r="J57" s="41">
        <v>17801</v>
      </c>
      <c r="K57" s="63">
        <v>243470</v>
      </c>
      <c r="L57" s="76">
        <f t="shared" si="3"/>
        <v>1384554</v>
      </c>
      <c r="M57" s="76">
        <f t="shared" si="5"/>
        <v>1787961</v>
      </c>
      <c r="O57"/>
    </row>
    <row r="58" spans="1:15" ht="19.5" thickBot="1">
      <c r="A58" s="1" t="s">
        <v>2</v>
      </c>
      <c r="B58" s="39" t="s">
        <v>71</v>
      </c>
      <c r="C58" s="41">
        <v>286390</v>
      </c>
      <c r="D58" s="42">
        <v>96489</v>
      </c>
      <c r="E58" s="42">
        <f t="shared" si="4"/>
        <v>382879</v>
      </c>
      <c r="F58" s="40">
        <v>316287</v>
      </c>
      <c r="G58" s="41">
        <v>249555</v>
      </c>
      <c r="H58" s="41">
        <v>259225</v>
      </c>
      <c r="I58" s="41">
        <v>253453</v>
      </c>
      <c r="J58" s="41">
        <v>15801</v>
      </c>
      <c r="K58" s="63">
        <v>233932</v>
      </c>
      <c r="L58" s="76">
        <f t="shared" si="3"/>
        <v>1328253</v>
      </c>
      <c r="M58" s="76">
        <f t="shared" si="5"/>
        <v>1711132</v>
      </c>
      <c r="O58"/>
    </row>
    <row r="59" spans="1:15">
      <c r="A59" s="1" t="s">
        <v>2</v>
      </c>
      <c r="B59" s="21" t="s">
        <v>72</v>
      </c>
      <c r="C59" s="30">
        <v>0</v>
      </c>
      <c r="D59" s="31">
        <v>0</v>
      </c>
      <c r="E59" s="31">
        <f t="shared" si="4"/>
        <v>0</v>
      </c>
      <c r="F59" s="29">
        <v>0</v>
      </c>
      <c r="G59" s="30">
        <v>0</v>
      </c>
      <c r="H59" s="30">
        <v>0</v>
      </c>
      <c r="I59" s="30">
        <v>0</v>
      </c>
      <c r="J59" s="30">
        <v>0</v>
      </c>
      <c r="K59" s="60">
        <v>0</v>
      </c>
      <c r="L59" s="73">
        <f t="shared" si="3"/>
        <v>0</v>
      </c>
      <c r="M59" s="73">
        <f t="shared" si="5"/>
        <v>0</v>
      </c>
      <c r="O59"/>
    </row>
    <row r="60" spans="1:15">
      <c r="A60" s="1" t="s">
        <v>2</v>
      </c>
      <c r="B60" s="4" t="s">
        <v>73</v>
      </c>
      <c r="C60" s="16">
        <v>286390</v>
      </c>
      <c r="D60" s="17">
        <v>96489</v>
      </c>
      <c r="E60" s="17">
        <f t="shared" si="4"/>
        <v>382879</v>
      </c>
      <c r="F60" s="15">
        <v>316287</v>
      </c>
      <c r="G60" s="16">
        <v>249555</v>
      </c>
      <c r="H60" s="16">
        <v>259225</v>
      </c>
      <c r="I60" s="16">
        <v>253453</v>
      </c>
      <c r="J60" s="16">
        <v>15801</v>
      </c>
      <c r="K60" s="61">
        <v>233932</v>
      </c>
      <c r="L60" s="74">
        <f t="shared" si="3"/>
        <v>1328253</v>
      </c>
      <c r="M60" s="74">
        <f t="shared" si="5"/>
        <v>1711132</v>
      </c>
      <c r="O60"/>
    </row>
    <row r="61" spans="1:15">
      <c r="A61" s="1" t="s">
        <v>2</v>
      </c>
      <c r="B61" s="4" t="s">
        <v>74</v>
      </c>
      <c r="C61" s="16">
        <v>0</v>
      </c>
      <c r="D61" s="17">
        <v>0</v>
      </c>
      <c r="E61" s="17"/>
      <c r="F61" s="15">
        <v>0</v>
      </c>
      <c r="G61" s="16">
        <v>1</v>
      </c>
      <c r="H61" s="16">
        <v>1</v>
      </c>
      <c r="I61" s="16">
        <v>1</v>
      </c>
      <c r="J61" s="16">
        <v>1</v>
      </c>
      <c r="K61" s="61">
        <v>0</v>
      </c>
      <c r="L61" s="74"/>
      <c r="M61" s="74"/>
      <c r="O61"/>
    </row>
    <row r="62" spans="1:15" ht="19.5" thickBot="1">
      <c r="A62" s="1" t="s">
        <v>2</v>
      </c>
      <c r="B62" s="5" t="s">
        <v>75</v>
      </c>
      <c r="C62" s="19" t="s">
        <v>76</v>
      </c>
      <c r="D62" s="20" t="s">
        <v>76</v>
      </c>
      <c r="E62" s="20"/>
      <c r="F62" s="18" t="s">
        <v>76</v>
      </c>
      <c r="G62" s="19" t="s">
        <v>76</v>
      </c>
      <c r="H62" s="19" t="s">
        <v>76</v>
      </c>
      <c r="I62" s="19" t="s">
        <v>76</v>
      </c>
      <c r="J62" s="19" t="s">
        <v>76</v>
      </c>
      <c r="K62" s="64" t="s">
        <v>76</v>
      </c>
      <c r="L62" s="77"/>
      <c r="M62" s="77"/>
      <c r="O62"/>
    </row>
  </sheetData>
  <phoneticPr fontId="3"/>
  <pageMargins left="0.11811023622047245" right="0.11811023622047245" top="0.35433070866141736" bottom="0.35433070866141736" header="0.11811023622047245" footer="0.11811023622047245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12月度給与 (2)</vt:lpstr>
      <vt:lpstr>'2021年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2022-01-13T06:09:57Z</cp:lastPrinted>
  <dcterms:created xsi:type="dcterms:W3CDTF">2022-01-11T04:09:41Z</dcterms:created>
  <dcterms:modified xsi:type="dcterms:W3CDTF">2022-01-13T06:27:57Z</dcterms:modified>
</cp:coreProperties>
</file>