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12\"/>
    </mc:Choice>
  </mc:AlternateContent>
  <xr:revisionPtr revIDLastSave="0" documentId="13_ncr:1_{3A9BD2AD-8E30-4C56-8127-B9FC81B1BA98}" xr6:coauthVersionLast="47" xr6:coauthVersionMax="47" xr10:uidLastSave="{00000000-0000-0000-0000-000000000000}"/>
  <bookViews>
    <workbookView xWindow="-120" yWindow="-120" windowWidth="20730" windowHeight="11160" xr2:uid="{D0C8BDB0-00E5-4420-9B70-A6AC1A9D3CC3}"/>
  </bookViews>
  <sheets>
    <sheet name="2021年 12月度給与 (2)" sheetId="3" r:id="rId1"/>
  </sheets>
  <definedNames>
    <definedName name="_xlnm.Print_Area" localSheetId="0">'2021年 12月度給与 (2)'!$A$1:$O$65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" i="3" l="1"/>
  <c r="O13" i="3"/>
  <c r="O14" i="3"/>
  <c r="O15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24" i="3"/>
  <c r="N23" i="3"/>
  <c r="N22" i="3"/>
  <c r="N17" i="3"/>
  <c r="N18" i="3"/>
  <c r="N19" i="3"/>
  <c r="N20" i="3"/>
  <c r="N21" i="3"/>
  <c r="N16" i="3"/>
  <c r="O16" i="3" s="1"/>
  <c r="N12" i="3"/>
  <c r="O12" i="3" s="1"/>
  <c r="N8" i="3"/>
  <c r="N9" i="3"/>
  <c r="N10" i="3"/>
  <c r="N7" i="3"/>
  <c r="N6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24" i="3"/>
  <c r="F23" i="3"/>
  <c r="F22" i="3"/>
  <c r="F18" i="3"/>
  <c r="F19" i="3"/>
  <c r="F20" i="3"/>
  <c r="F21" i="3"/>
  <c r="F17" i="3"/>
  <c r="F8" i="3"/>
  <c r="F9" i="3"/>
  <c r="F10" i="3"/>
  <c r="F7" i="3"/>
  <c r="F6" i="3"/>
  <c r="O34" i="3" l="1"/>
  <c r="O26" i="3"/>
  <c r="O29" i="3"/>
  <c r="O19" i="3"/>
  <c r="O7" i="3"/>
  <c r="O23" i="3"/>
  <c r="O61" i="3"/>
  <c r="O57" i="3"/>
  <c r="O53" i="3"/>
  <c r="O49" i="3"/>
  <c r="O45" i="3"/>
  <c r="O41" i="3"/>
  <c r="O37" i="3"/>
  <c r="O24" i="3"/>
  <c r="O60" i="3"/>
  <c r="O56" i="3"/>
  <c r="O52" i="3"/>
  <c r="O31" i="3"/>
  <c r="O28" i="3"/>
  <c r="O27" i="3"/>
  <c r="O17" i="3"/>
  <c r="O18" i="3"/>
  <c r="O63" i="3"/>
  <c r="O59" i="3"/>
  <c r="O55" i="3"/>
  <c r="O51" i="3"/>
  <c r="O47" i="3"/>
  <c r="O43" i="3"/>
  <c r="O39" i="3"/>
  <c r="O10" i="3"/>
  <c r="O22" i="3"/>
  <c r="O62" i="3"/>
  <c r="O58" i="3"/>
  <c r="O54" i="3"/>
  <c r="O50" i="3"/>
  <c r="O46" i="3"/>
  <c r="O42" i="3"/>
  <c r="O38" i="3"/>
  <c r="O35" i="3"/>
  <c r="O33" i="3"/>
  <c r="O30" i="3"/>
  <c r="O20" i="3"/>
  <c r="O6" i="3"/>
  <c r="O8" i="3"/>
  <c r="O48" i="3"/>
  <c r="O44" i="3"/>
  <c r="O40" i="3"/>
  <c r="O32" i="3"/>
  <c r="O25" i="3"/>
  <c r="O36" i="3"/>
  <c r="O21" i="3"/>
  <c r="O9" i="3"/>
</calcChain>
</file>

<file path=xl/sharedStrings.xml><?xml version="1.0" encoding="utf-8"?>
<sst xmlns="http://schemas.openxmlformats.org/spreadsheetml/2006/main" count="160" uniqueCount="88">
  <si>
    <t>支給控除一覧表</t>
    <phoneticPr fontId="4"/>
  </si>
  <si>
    <t>若林運送株式会社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</si>
  <si>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</si>
  <si>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</si>
  <si>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</si>
  <si>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</si>
  <si>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</si>
  <si>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</si>
  <si>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</si>
  <si>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</si>
  <si>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1091</t>
    <phoneticPr fontId="4"/>
  </si>
  <si>
    <t>1093</t>
    <phoneticPr fontId="4"/>
  </si>
  <si>
    <t>1099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</si>
  <si>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</si>
  <si>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</si>
  <si>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</si>
  <si>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</si>
  <si>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</si>
  <si>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</si>
  <si>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大沼　幸夫</t>
    <phoneticPr fontId="4"/>
  </si>
  <si>
    <t>大野　翼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</si>
  <si>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</si>
  <si>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</si>
  <si>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</si>
  <si>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</si>
  <si>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</si>
  <si>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</si>
  <si>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</si>
  <si>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</si>
  <si>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</si>
  <si>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</si>
  <si>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</si>
  <si>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</si>
  <si>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就労時間2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</si>
  <si>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</si>
  <si>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</si>
  <si>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</si>
  <si>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</si>
  <si>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</si>
  <si>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</si>
  <si>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</si>
  <si>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</si>
  <si>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</si>
  <si>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</si>
  <si>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</si>
  <si>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</si>
  <si>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</si>
  <si>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</si>
  <si>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</si>
  <si>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</si>
  <si>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</si>
  <si>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</si>
  <si>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</si>
  <si>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</si>
  <si>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</si>
  <si>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</si>
  <si>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</si>
  <si>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</si>
  <si>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</si>
  <si>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</si>
  <si>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</si>
  <si>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</si>
  <si>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</si>
  <si>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</si>
  <si>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</si>
  <si>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</si>
  <si>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</si>
  <si>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</si>
  <si>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</si>
  <si>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</si>
  <si>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</si>
  <si>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</si>
  <si>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</si>
  <si>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</si>
  <si>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</si>
  <si>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</si>
  <si>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</si>
  <si>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</si>
  <si>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</si>
  <si>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</si>
  <si>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</si>
  <si>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</si>
  <si>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 12月度給与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</si>
  <si>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</si>
  <si>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</si>
  <si>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7名</t>
    <rPh sb="1" eb="2">
      <t>メイ</t>
    </rPh>
    <phoneticPr fontId="3"/>
  </si>
  <si>
    <t>10名</t>
    <rPh sb="2" eb="3">
      <t>メイ</t>
    </rPh>
    <phoneticPr fontId="4"/>
  </si>
  <si>
    <t>佐藤ゆうこ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</si>
</sst>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6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2" fontId="2" fillId="0" borderId="9" xfId="1" applyNumberFormat="1" applyFont="1" applyBorder="1"/>
    <xf numFmtId="2" fontId="2" fillId="0" borderId="10" xfId="1" applyNumberFormat="1" applyFont="1" applyBorder="1"/>
    <xf numFmtId="176" fontId="2" fillId="0" borderId="9" xfId="1" applyNumberFormat="1" applyFont="1" applyBorder="1"/>
    <xf numFmtId="176" fontId="2" fillId="0" borderId="10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2" fontId="2" fillId="0" borderId="6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49" fontId="2" fillId="0" borderId="20" xfId="1" applyNumberFormat="1" applyFont="1" applyBorder="1" applyAlignment="1">
      <alignment horizontal="left"/>
    </xf>
    <xf numFmtId="3" fontId="2" fillId="0" borderId="21" xfId="1" applyNumberFormat="1" applyFont="1" applyBorder="1"/>
    <xf numFmtId="3" fontId="2" fillId="0" borderId="22" xfId="1" applyNumberFormat="1" applyFont="1" applyBorder="1"/>
    <xf numFmtId="0" fontId="2" fillId="0" borderId="23" xfId="1" applyFont="1" applyBorder="1"/>
    <xf numFmtId="49" fontId="2" fillId="0" borderId="24" xfId="1" applyNumberFormat="1" applyFont="1" applyBorder="1" applyAlignment="1">
      <alignment horizontal="center"/>
    </xf>
    <xf numFmtId="49" fontId="2" fillId="0" borderId="25" xfId="1" applyNumberFormat="1" applyFont="1" applyBorder="1" applyAlignment="1">
      <alignment horizontal="center"/>
    </xf>
    <xf numFmtId="2" fontId="2" fillId="0" borderId="26" xfId="1" applyNumberFormat="1" applyFont="1" applyBorder="1"/>
    <xf numFmtId="2" fontId="2" fillId="0" borderId="27" xfId="1" applyNumberFormat="1" applyFont="1" applyBorder="1"/>
    <xf numFmtId="176" fontId="2" fillId="0" borderId="27" xfId="1" applyNumberFormat="1" applyFont="1" applyBorder="1"/>
    <xf numFmtId="2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49" fontId="2" fillId="0" borderId="25" xfId="1" applyNumberFormat="1" applyFont="1" applyBorder="1"/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2" xfId="1" applyNumberFormat="1" applyFont="1" applyBorder="1"/>
    <xf numFmtId="49" fontId="2" fillId="0" borderId="37" xfId="1" applyNumberFormat="1" applyFont="1" applyBorder="1" applyAlignment="1">
      <alignment horizontal="left"/>
    </xf>
    <xf numFmtId="49" fontId="2" fillId="0" borderId="38" xfId="1" applyNumberFormat="1" applyFont="1" applyBorder="1" applyAlignment="1">
      <alignment horizontal="right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30" xfId="1" applyNumberFormat="1" applyFont="1" applyBorder="1"/>
    <xf numFmtId="49" fontId="2" fillId="0" borderId="38" xfId="1" applyNumberFormat="1" applyFont="1" applyBorder="1"/>
    <xf numFmtId="0" fontId="2" fillId="0" borderId="6" xfId="1" applyFont="1" applyBorder="1" applyAlignment="1">
      <alignment horizontal="right"/>
    </xf>
    <xf numFmtId="177" fontId="2" fillId="0" borderId="9" xfId="1" applyNumberFormat="1" applyFont="1" applyBorder="1"/>
    <xf numFmtId="177" fontId="2" fillId="0" borderId="10" xfId="1" applyNumberFormat="1" applyFont="1" applyBorder="1"/>
  </cellXfs>
  <cellStyles count="2">
    <cellStyle name="標準" xfId="0" builtinId="0"/>
    <cellStyle name="標準 2" xfId="1" xr:uid="{60DCCD51-6448-48A7-B930-60EBB1208F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5F9F2-574A-49E9-B773-E45385E358A2}">
  <sheetPr>
    <pageSetUpPr fitToPage="1"/>
  </sheetPr>
  <dimension ref="A1:Q65"/>
  <sheetViews>
    <sheetView showZeros="0" tabSelected="1" workbookViewId="0">
      <selection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15" width="10.125" style="2" customWidth="1"/>
    <col min="16" max="253" width="9" style="2"/>
    <col min="254" max="254" width="2.375" style="2" customWidth="1"/>
    <col min="255" max="255" width="13.25" style="2" bestFit="1" customWidth="1"/>
    <col min="256" max="258" width="9" style="2"/>
    <col min="259" max="261" width="11.125" style="2" bestFit="1" customWidth="1"/>
    <col min="262" max="262" width="9" style="2"/>
    <col min="263" max="263" width="13.25" style="2" bestFit="1" customWidth="1"/>
    <col min="264" max="265" width="9" style="2"/>
    <col min="266" max="266" width="11.125" style="2" bestFit="1" customWidth="1"/>
    <col min="267" max="268" width="9" style="2"/>
    <col min="269" max="269" width="11.125" style="2" bestFit="1" customWidth="1"/>
    <col min="270" max="270" width="9" style="2"/>
    <col min="271" max="271" width="9.625" style="2" bestFit="1" customWidth="1"/>
    <col min="272" max="509" width="9" style="2"/>
    <col min="510" max="510" width="2.375" style="2" customWidth="1"/>
    <col min="511" max="511" width="13.25" style="2" bestFit="1" customWidth="1"/>
    <col min="512" max="514" width="9" style="2"/>
    <col min="515" max="517" width="11.125" style="2" bestFit="1" customWidth="1"/>
    <col min="518" max="518" width="9" style="2"/>
    <col min="519" max="519" width="13.25" style="2" bestFit="1" customWidth="1"/>
    <col min="520" max="521" width="9" style="2"/>
    <col min="522" max="522" width="11.125" style="2" bestFit="1" customWidth="1"/>
    <col min="523" max="524" width="9" style="2"/>
    <col min="525" max="525" width="11.125" style="2" bestFit="1" customWidth="1"/>
    <col min="526" max="526" width="9" style="2"/>
    <col min="527" max="527" width="9.625" style="2" bestFit="1" customWidth="1"/>
    <col min="528" max="765" width="9" style="2"/>
    <col min="766" max="766" width="2.375" style="2" customWidth="1"/>
    <col min="767" max="767" width="13.25" style="2" bestFit="1" customWidth="1"/>
    <col min="768" max="770" width="9" style="2"/>
    <col min="771" max="773" width="11.125" style="2" bestFit="1" customWidth="1"/>
    <col min="774" max="774" width="9" style="2"/>
    <col min="775" max="775" width="13.25" style="2" bestFit="1" customWidth="1"/>
    <col min="776" max="777" width="9" style="2"/>
    <col min="778" max="778" width="11.125" style="2" bestFit="1" customWidth="1"/>
    <col min="779" max="780" width="9" style="2"/>
    <col min="781" max="781" width="11.125" style="2" bestFit="1" customWidth="1"/>
    <col min="782" max="782" width="9" style="2"/>
    <col min="783" max="783" width="9.625" style="2" bestFit="1" customWidth="1"/>
    <col min="784" max="1021" width="9" style="2"/>
    <col min="1022" max="1022" width="2.375" style="2" customWidth="1"/>
    <col min="1023" max="1023" width="13.25" style="2" bestFit="1" customWidth="1"/>
    <col min="1024" max="1026" width="9" style="2"/>
    <col min="1027" max="1029" width="11.125" style="2" bestFit="1" customWidth="1"/>
    <col min="1030" max="1030" width="9" style="2"/>
    <col min="1031" max="1031" width="13.25" style="2" bestFit="1" customWidth="1"/>
    <col min="1032" max="1033" width="9" style="2"/>
    <col min="1034" max="1034" width="11.125" style="2" bestFit="1" customWidth="1"/>
    <col min="1035" max="1036" width="9" style="2"/>
    <col min="1037" max="1037" width="11.125" style="2" bestFit="1" customWidth="1"/>
    <col min="1038" max="1038" width="9" style="2"/>
    <col min="1039" max="1039" width="9.625" style="2" bestFit="1" customWidth="1"/>
    <col min="1040" max="1277" width="9" style="2"/>
    <col min="1278" max="1278" width="2.375" style="2" customWidth="1"/>
    <col min="1279" max="1279" width="13.25" style="2" bestFit="1" customWidth="1"/>
    <col min="1280" max="1282" width="9" style="2"/>
    <col min="1283" max="1285" width="11.125" style="2" bestFit="1" customWidth="1"/>
    <col min="1286" max="1286" width="9" style="2"/>
    <col min="1287" max="1287" width="13.25" style="2" bestFit="1" customWidth="1"/>
    <col min="1288" max="1289" width="9" style="2"/>
    <col min="1290" max="1290" width="11.125" style="2" bestFit="1" customWidth="1"/>
    <col min="1291" max="1292" width="9" style="2"/>
    <col min="1293" max="1293" width="11.125" style="2" bestFit="1" customWidth="1"/>
    <col min="1294" max="1294" width="9" style="2"/>
    <col min="1295" max="1295" width="9.625" style="2" bestFit="1" customWidth="1"/>
    <col min="1296" max="1533" width="9" style="2"/>
    <col min="1534" max="1534" width="2.375" style="2" customWidth="1"/>
    <col min="1535" max="1535" width="13.25" style="2" bestFit="1" customWidth="1"/>
    <col min="1536" max="1538" width="9" style="2"/>
    <col min="1539" max="1541" width="11.125" style="2" bestFit="1" customWidth="1"/>
    <col min="1542" max="1542" width="9" style="2"/>
    <col min="1543" max="1543" width="13.25" style="2" bestFit="1" customWidth="1"/>
    <col min="1544" max="1545" width="9" style="2"/>
    <col min="1546" max="1546" width="11.125" style="2" bestFit="1" customWidth="1"/>
    <col min="1547" max="1548" width="9" style="2"/>
    <col min="1549" max="1549" width="11.125" style="2" bestFit="1" customWidth="1"/>
    <col min="1550" max="1550" width="9" style="2"/>
    <col min="1551" max="1551" width="9.625" style="2" bestFit="1" customWidth="1"/>
    <col min="1552" max="1789" width="9" style="2"/>
    <col min="1790" max="1790" width="2.375" style="2" customWidth="1"/>
    <col min="1791" max="1791" width="13.25" style="2" bestFit="1" customWidth="1"/>
    <col min="1792" max="1794" width="9" style="2"/>
    <col min="1795" max="1797" width="11.125" style="2" bestFit="1" customWidth="1"/>
    <col min="1798" max="1798" width="9" style="2"/>
    <col min="1799" max="1799" width="13.25" style="2" bestFit="1" customWidth="1"/>
    <col min="1800" max="1801" width="9" style="2"/>
    <col min="1802" max="1802" width="11.125" style="2" bestFit="1" customWidth="1"/>
    <col min="1803" max="1804" width="9" style="2"/>
    <col min="1805" max="1805" width="11.125" style="2" bestFit="1" customWidth="1"/>
    <col min="1806" max="1806" width="9" style="2"/>
    <col min="1807" max="1807" width="9.625" style="2" bestFit="1" customWidth="1"/>
    <col min="1808" max="2045" width="9" style="2"/>
    <col min="2046" max="2046" width="2.375" style="2" customWidth="1"/>
    <col min="2047" max="2047" width="13.25" style="2" bestFit="1" customWidth="1"/>
    <col min="2048" max="2050" width="9" style="2"/>
    <col min="2051" max="2053" width="11.125" style="2" bestFit="1" customWidth="1"/>
    <col min="2054" max="2054" width="9" style="2"/>
    <col min="2055" max="2055" width="13.25" style="2" bestFit="1" customWidth="1"/>
    <col min="2056" max="2057" width="9" style="2"/>
    <col min="2058" max="2058" width="11.125" style="2" bestFit="1" customWidth="1"/>
    <col min="2059" max="2060" width="9" style="2"/>
    <col min="2061" max="2061" width="11.125" style="2" bestFit="1" customWidth="1"/>
    <col min="2062" max="2062" width="9" style="2"/>
    <col min="2063" max="2063" width="9.625" style="2" bestFit="1" customWidth="1"/>
    <col min="2064" max="2301" width="9" style="2"/>
    <col min="2302" max="2302" width="2.375" style="2" customWidth="1"/>
    <col min="2303" max="2303" width="13.25" style="2" bestFit="1" customWidth="1"/>
    <col min="2304" max="2306" width="9" style="2"/>
    <col min="2307" max="2309" width="11.125" style="2" bestFit="1" customWidth="1"/>
    <col min="2310" max="2310" width="9" style="2"/>
    <col min="2311" max="2311" width="13.25" style="2" bestFit="1" customWidth="1"/>
    <col min="2312" max="2313" width="9" style="2"/>
    <col min="2314" max="2314" width="11.125" style="2" bestFit="1" customWidth="1"/>
    <col min="2315" max="2316" width="9" style="2"/>
    <col min="2317" max="2317" width="11.125" style="2" bestFit="1" customWidth="1"/>
    <col min="2318" max="2318" width="9" style="2"/>
    <col min="2319" max="2319" width="9.625" style="2" bestFit="1" customWidth="1"/>
    <col min="2320" max="2557" width="9" style="2"/>
    <col min="2558" max="2558" width="2.375" style="2" customWidth="1"/>
    <col min="2559" max="2559" width="13.25" style="2" bestFit="1" customWidth="1"/>
    <col min="2560" max="2562" width="9" style="2"/>
    <col min="2563" max="2565" width="11.125" style="2" bestFit="1" customWidth="1"/>
    <col min="2566" max="2566" width="9" style="2"/>
    <col min="2567" max="2567" width="13.25" style="2" bestFit="1" customWidth="1"/>
    <col min="2568" max="2569" width="9" style="2"/>
    <col min="2570" max="2570" width="11.125" style="2" bestFit="1" customWidth="1"/>
    <col min="2571" max="2572" width="9" style="2"/>
    <col min="2573" max="2573" width="11.125" style="2" bestFit="1" customWidth="1"/>
    <col min="2574" max="2574" width="9" style="2"/>
    <col min="2575" max="2575" width="9.625" style="2" bestFit="1" customWidth="1"/>
    <col min="2576" max="2813" width="9" style="2"/>
    <col min="2814" max="2814" width="2.375" style="2" customWidth="1"/>
    <col min="2815" max="2815" width="13.25" style="2" bestFit="1" customWidth="1"/>
    <col min="2816" max="2818" width="9" style="2"/>
    <col min="2819" max="2821" width="11.125" style="2" bestFit="1" customWidth="1"/>
    <col min="2822" max="2822" width="9" style="2"/>
    <col min="2823" max="2823" width="13.25" style="2" bestFit="1" customWidth="1"/>
    <col min="2824" max="2825" width="9" style="2"/>
    <col min="2826" max="2826" width="11.125" style="2" bestFit="1" customWidth="1"/>
    <col min="2827" max="2828" width="9" style="2"/>
    <col min="2829" max="2829" width="11.125" style="2" bestFit="1" customWidth="1"/>
    <col min="2830" max="2830" width="9" style="2"/>
    <col min="2831" max="2831" width="9.625" style="2" bestFit="1" customWidth="1"/>
    <col min="2832" max="3069" width="9" style="2"/>
    <col min="3070" max="3070" width="2.375" style="2" customWidth="1"/>
    <col min="3071" max="3071" width="13.25" style="2" bestFit="1" customWidth="1"/>
    <col min="3072" max="3074" width="9" style="2"/>
    <col min="3075" max="3077" width="11.125" style="2" bestFit="1" customWidth="1"/>
    <col min="3078" max="3078" width="9" style="2"/>
    <col min="3079" max="3079" width="13.25" style="2" bestFit="1" customWidth="1"/>
    <col min="3080" max="3081" width="9" style="2"/>
    <col min="3082" max="3082" width="11.125" style="2" bestFit="1" customWidth="1"/>
    <col min="3083" max="3084" width="9" style="2"/>
    <col min="3085" max="3085" width="11.125" style="2" bestFit="1" customWidth="1"/>
    <col min="3086" max="3086" width="9" style="2"/>
    <col min="3087" max="3087" width="9.625" style="2" bestFit="1" customWidth="1"/>
    <col min="3088" max="3325" width="9" style="2"/>
    <col min="3326" max="3326" width="2.375" style="2" customWidth="1"/>
    <col min="3327" max="3327" width="13.25" style="2" bestFit="1" customWidth="1"/>
    <col min="3328" max="3330" width="9" style="2"/>
    <col min="3331" max="3333" width="11.125" style="2" bestFit="1" customWidth="1"/>
    <col min="3334" max="3334" width="9" style="2"/>
    <col min="3335" max="3335" width="13.25" style="2" bestFit="1" customWidth="1"/>
    <col min="3336" max="3337" width="9" style="2"/>
    <col min="3338" max="3338" width="11.125" style="2" bestFit="1" customWidth="1"/>
    <col min="3339" max="3340" width="9" style="2"/>
    <col min="3341" max="3341" width="11.125" style="2" bestFit="1" customWidth="1"/>
    <col min="3342" max="3342" width="9" style="2"/>
    <col min="3343" max="3343" width="9.625" style="2" bestFit="1" customWidth="1"/>
    <col min="3344" max="3581" width="9" style="2"/>
    <col min="3582" max="3582" width="2.375" style="2" customWidth="1"/>
    <col min="3583" max="3583" width="13.25" style="2" bestFit="1" customWidth="1"/>
    <col min="3584" max="3586" width="9" style="2"/>
    <col min="3587" max="3589" width="11.125" style="2" bestFit="1" customWidth="1"/>
    <col min="3590" max="3590" width="9" style="2"/>
    <col min="3591" max="3591" width="13.25" style="2" bestFit="1" customWidth="1"/>
    <col min="3592" max="3593" width="9" style="2"/>
    <col min="3594" max="3594" width="11.125" style="2" bestFit="1" customWidth="1"/>
    <col min="3595" max="3596" width="9" style="2"/>
    <col min="3597" max="3597" width="11.125" style="2" bestFit="1" customWidth="1"/>
    <col min="3598" max="3598" width="9" style="2"/>
    <col min="3599" max="3599" width="9.625" style="2" bestFit="1" customWidth="1"/>
    <col min="3600" max="3837" width="9" style="2"/>
    <col min="3838" max="3838" width="2.375" style="2" customWidth="1"/>
    <col min="3839" max="3839" width="13.25" style="2" bestFit="1" customWidth="1"/>
    <col min="3840" max="3842" width="9" style="2"/>
    <col min="3843" max="3845" width="11.125" style="2" bestFit="1" customWidth="1"/>
    <col min="3846" max="3846" width="9" style="2"/>
    <col min="3847" max="3847" width="13.25" style="2" bestFit="1" customWidth="1"/>
    <col min="3848" max="3849" width="9" style="2"/>
    <col min="3850" max="3850" width="11.125" style="2" bestFit="1" customWidth="1"/>
    <col min="3851" max="3852" width="9" style="2"/>
    <col min="3853" max="3853" width="11.125" style="2" bestFit="1" customWidth="1"/>
    <col min="3854" max="3854" width="9" style="2"/>
    <col min="3855" max="3855" width="9.625" style="2" bestFit="1" customWidth="1"/>
    <col min="3856" max="4093" width="9" style="2"/>
    <col min="4094" max="4094" width="2.375" style="2" customWidth="1"/>
    <col min="4095" max="4095" width="13.25" style="2" bestFit="1" customWidth="1"/>
    <col min="4096" max="4098" width="9" style="2"/>
    <col min="4099" max="4101" width="11.125" style="2" bestFit="1" customWidth="1"/>
    <col min="4102" max="4102" width="9" style="2"/>
    <col min="4103" max="4103" width="13.25" style="2" bestFit="1" customWidth="1"/>
    <col min="4104" max="4105" width="9" style="2"/>
    <col min="4106" max="4106" width="11.125" style="2" bestFit="1" customWidth="1"/>
    <col min="4107" max="4108" width="9" style="2"/>
    <col min="4109" max="4109" width="11.125" style="2" bestFit="1" customWidth="1"/>
    <col min="4110" max="4110" width="9" style="2"/>
    <col min="4111" max="4111" width="9.625" style="2" bestFit="1" customWidth="1"/>
    <col min="4112" max="4349" width="9" style="2"/>
    <col min="4350" max="4350" width="2.375" style="2" customWidth="1"/>
    <col min="4351" max="4351" width="13.25" style="2" bestFit="1" customWidth="1"/>
    <col min="4352" max="4354" width="9" style="2"/>
    <col min="4355" max="4357" width="11.125" style="2" bestFit="1" customWidth="1"/>
    <col min="4358" max="4358" width="9" style="2"/>
    <col min="4359" max="4359" width="13.25" style="2" bestFit="1" customWidth="1"/>
    <col min="4360" max="4361" width="9" style="2"/>
    <col min="4362" max="4362" width="11.125" style="2" bestFit="1" customWidth="1"/>
    <col min="4363" max="4364" width="9" style="2"/>
    <col min="4365" max="4365" width="11.125" style="2" bestFit="1" customWidth="1"/>
    <col min="4366" max="4366" width="9" style="2"/>
    <col min="4367" max="4367" width="9.625" style="2" bestFit="1" customWidth="1"/>
    <col min="4368" max="4605" width="9" style="2"/>
    <col min="4606" max="4606" width="2.375" style="2" customWidth="1"/>
    <col min="4607" max="4607" width="13.25" style="2" bestFit="1" customWidth="1"/>
    <col min="4608" max="4610" width="9" style="2"/>
    <col min="4611" max="4613" width="11.125" style="2" bestFit="1" customWidth="1"/>
    <col min="4614" max="4614" width="9" style="2"/>
    <col min="4615" max="4615" width="13.25" style="2" bestFit="1" customWidth="1"/>
    <col min="4616" max="4617" width="9" style="2"/>
    <col min="4618" max="4618" width="11.125" style="2" bestFit="1" customWidth="1"/>
    <col min="4619" max="4620" width="9" style="2"/>
    <col min="4621" max="4621" width="11.125" style="2" bestFit="1" customWidth="1"/>
    <col min="4622" max="4622" width="9" style="2"/>
    <col min="4623" max="4623" width="9.625" style="2" bestFit="1" customWidth="1"/>
    <col min="4624" max="4861" width="9" style="2"/>
    <col min="4862" max="4862" width="2.375" style="2" customWidth="1"/>
    <col min="4863" max="4863" width="13.25" style="2" bestFit="1" customWidth="1"/>
    <col min="4864" max="4866" width="9" style="2"/>
    <col min="4867" max="4869" width="11.125" style="2" bestFit="1" customWidth="1"/>
    <col min="4870" max="4870" width="9" style="2"/>
    <col min="4871" max="4871" width="13.25" style="2" bestFit="1" customWidth="1"/>
    <col min="4872" max="4873" width="9" style="2"/>
    <col min="4874" max="4874" width="11.125" style="2" bestFit="1" customWidth="1"/>
    <col min="4875" max="4876" width="9" style="2"/>
    <col min="4877" max="4877" width="11.125" style="2" bestFit="1" customWidth="1"/>
    <col min="4878" max="4878" width="9" style="2"/>
    <col min="4879" max="4879" width="9.625" style="2" bestFit="1" customWidth="1"/>
    <col min="4880" max="5117" width="9" style="2"/>
    <col min="5118" max="5118" width="2.375" style="2" customWidth="1"/>
    <col min="5119" max="5119" width="13.25" style="2" bestFit="1" customWidth="1"/>
    <col min="5120" max="5122" width="9" style="2"/>
    <col min="5123" max="5125" width="11.125" style="2" bestFit="1" customWidth="1"/>
    <col min="5126" max="5126" width="9" style="2"/>
    <col min="5127" max="5127" width="13.25" style="2" bestFit="1" customWidth="1"/>
    <col min="5128" max="5129" width="9" style="2"/>
    <col min="5130" max="5130" width="11.125" style="2" bestFit="1" customWidth="1"/>
    <col min="5131" max="5132" width="9" style="2"/>
    <col min="5133" max="5133" width="11.125" style="2" bestFit="1" customWidth="1"/>
    <col min="5134" max="5134" width="9" style="2"/>
    <col min="5135" max="5135" width="9.625" style="2" bestFit="1" customWidth="1"/>
    <col min="5136" max="5373" width="9" style="2"/>
    <col min="5374" max="5374" width="2.375" style="2" customWidth="1"/>
    <col min="5375" max="5375" width="13.25" style="2" bestFit="1" customWidth="1"/>
    <col min="5376" max="5378" width="9" style="2"/>
    <col min="5379" max="5381" width="11.125" style="2" bestFit="1" customWidth="1"/>
    <col min="5382" max="5382" width="9" style="2"/>
    <col min="5383" max="5383" width="13.25" style="2" bestFit="1" customWidth="1"/>
    <col min="5384" max="5385" width="9" style="2"/>
    <col min="5386" max="5386" width="11.125" style="2" bestFit="1" customWidth="1"/>
    <col min="5387" max="5388" width="9" style="2"/>
    <col min="5389" max="5389" width="11.125" style="2" bestFit="1" customWidth="1"/>
    <col min="5390" max="5390" width="9" style="2"/>
    <col min="5391" max="5391" width="9.625" style="2" bestFit="1" customWidth="1"/>
    <col min="5392" max="5629" width="9" style="2"/>
    <col min="5630" max="5630" width="2.375" style="2" customWidth="1"/>
    <col min="5631" max="5631" width="13.25" style="2" bestFit="1" customWidth="1"/>
    <col min="5632" max="5634" width="9" style="2"/>
    <col min="5635" max="5637" width="11.125" style="2" bestFit="1" customWidth="1"/>
    <col min="5638" max="5638" width="9" style="2"/>
    <col min="5639" max="5639" width="13.25" style="2" bestFit="1" customWidth="1"/>
    <col min="5640" max="5641" width="9" style="2"/>
    <col min="5642" max="5642" width="11.125" style="2" bestFit="1" customWidth="1"/>
    <col min="5643" max="5644" width="9" style="2"/>
    <col min="5645" max="5645" width="11.125" style="2" bestFit="1" customWidth="1"/>
    <col min="5646" max="5646" width="9" style="2"/>
    <col min="5647" max="5647" width="9.625" style="2" bestFit="1" customWidth="1"/>
    <col min="5648" max="5885" width="9" style="2"/>
    <col min="5886" max="5886" width="2.375" style="2" customWidth="1"/>
    <col min="5887" max="5887" width="13.25" style="2" bestFit="1" customWidth="1"/>
    <col min="5888" max="5890" width="9" style="2"/>
    <col min="5891" max="5893" width="11.125" style="2" bestFit="1" customWidth="1"/>
    <col min="5894" max="5894" width="9" style="2"/>
    <col min="5895" max="5895" width="13.25" style="2" bestFit="1" customWidth="1"/>
    <col min="5896" max="5897" width="9" style="2"/>
    <col min="5898" max="5898" width="11.125" style="2" bestFit="1" customWidth="1"/>
    <col min="5899" max="5900" width="9" style="2"/>
    <col min="5901" max="5901" width="11.125" style="2" bestFit="1" customWidth="1"/>
    <col min="5902" max="5902" width="9" style="2"/>
    <col min="5903" max="5903" width="9.625" style="2" bestFit="1" customWidth="1"/>
    <col min="5904" max="6141" width="9" style="2"/>
    <col min="6142" max="6142" width="2.375" style="2" customWidth="1"/>
    <col min="6143" max="6143" width="13.25" style="2" bestFit="1" customWidth="1"/>
    <col min="6144" max="6146" width="9" style="2"/>
    <col min="6147" max="6149" width="11.125" style="2" bestFit="1" customWidth="1"/>
    <col min="6150" max="6150" width="9" style="2"/>
    <col min="6151" max="6151" width="13.25" style="2" bestFit="1" customWidth="1"/>
    <col min="6152" max="6153" width="9" style="2"/>
    <col min="6154" max="6154" width="11.125" style="2" bestFit="1" customWidth="1"/>
    <col min="6155" max="6156" width="9" style="2"/>
    <col min="6157" max="6157" width="11.125" style="2" bestFit="1" customWidth="1"/>
    <col min="6158" max="6158" width="9" style="2"/>
    <col min="6159" max="6159" width="9.625" style="2" bestFit="1" customWidth="1"/>
    <col min="6160" max="6397" width="9" style="2"/>
    <col min="6398" max="6398" width="2.375" style="2" customWidth="1"/>
    <col min="6399" max="6399" width="13.25" style="2" bestFit="1" customWidth="1"/>
    <col min="6400" max="6402" width="9" style="2"/>
    <col min="6403" max="6405" width="11.125" style="2" bestFit="1" customWidth="1"/>
    <col min="6406" max="6406" width="9" style="2"/>
    <col min="6407" max="6407" width="13.25" style="2" bestFit="1" customWidth="1"/>
    <col min="6408" max="6409" width="9" style="2"/>
    <col min="6410" max="6410" width="11.125" style="2" bestFit="1" customWidth="1"/>
    <col min="6411" max="6412" width="9" style="2"/>
    <col min="6413" max="6413" width="11.125" style="2" bestFit="1" customWidth="1"/>
    <col min="6414" max="6414" width="9" style="2"/>
    <col min="6415" max="6415" width="9.625" style="2" bestFit="1" customWidth="1"/>
    <col min="6416" max="6653" width="9" style="2"/>
    <col min="6654" max="6654" width="2.375" style="2" customWidth="1"/>
    <col min="6655" max="6655" width="13.25" style="2" bestFit="1" customWidth="1"/>
    <col min="6656" max="6658" width="9" style="2"/>
    <col min="6659" max="6661" width="11.125" style="2" bestFit="1" customWidth="1"/>
    <col min="6662" max="6662" width="9" style="2"/>
    <col min="6663" max="6663" width="13.25" style="2" bestFit="1" customWidth="1"/>
    <col min="6664" max="6665" width="9" style="2"/>
    <col min="6666" max="6666" width="11.125" style="2" bestFit="1" customWidth="1"/>
    <col min="6667" max="6668" width="9" style="2"/>
    <col min="6669" max="6669" width="11.125" style="2" bestFit="1" customWidth="1"/>
    <col min="6670" max="6670" width="9" style="2"/>
    <col min="6671" max="6671" width="9.625" style="2" bestFit="1" customWidth="1"/>
    <col min="6672" max="6909" width="9" style="2"/>
    <col min="6910" max="6910" width="2.375" style="2" customWidth="1"/>
    <col min="6911" max="6911" width="13.25" style="2" bestFit="1" customWidth="1"/>
    <col min="6912" max="6914" width="9" style="2"/>
    <col min="6915" max="6917" width="11.125" style="2" bestFit="1" customWidth="1"/>
    <col min="6918" max="6918" width="9" style="2"/>
    <col min="6919" max="6919" width="13.25" style="2" bestFit="1" customWidth="1"/>
    <col min="6920" max="6921" width="9" style="2"/>
    <col min="6922" max="6922" width="11.125" style="2" bestFit="1" customWidth="1"/>
    <col min="6923" max="6924" width="9" style="2"/>
    <col min="6925" max="6925" width="11.125" style="2" bestFit="1" customWidth="1"/>
    <col min="6926" max="6926" width="9" style="2"/>
    <col min="6927" max="6927" width="9.625" style="2" bestFit="1" customWidth="1"/>
    <col min="6928" max="7165" width="9" style="2"/>
    <col min="7166" max="7166" width="2.375" style="2" customWidth="1"/>
    <col min="7167" max="7167" width="13.25" style="2" bestFit="1" customWidth="1"/>
    <col min="7168" max="7170" width="9" style="2"/>
    <col min="7171" max="7173" width="11.125" style="2" bestFit="1" customWidth="1"/>
    <col min="7174" max="7174" width="9" style="2"/>
    <col min="7175" max="7175" width="13.25" style="2" bestFit="1" customWidth="1"/>
    <col min="7176" max="7177" width="9" style="2"/>
    <col min="7178" max="7178" width="11.125" style="2" bestFit="1" customWidth="1"/>
    <col min="7179" max="7180" width="9" style="2"/>
    <col min="7181" max="7181" width="11.125" style="2" bestFit="1" customWidth="1"/>
    <col min="7182" max="7182" width="9" style="2"/>
    <col min="7183" max="7183" width="9.625" style="2" bestFit="1" customWidth="1"/>
    <col min="7184" max="7421" width="9" style="2"/>
    <col min="7422" max="7422" width="2.375" style="2" customWidth="1"/>
    <col min="7423" max="7423" width="13.25" style="2" bestFit="1" customWidth="1"/>
    <col min="7424" max="7426" width="9" style="2"/>
    <col min="7427" max="7429" width="11.125" style="2" bestFit="1" customWidth="1"/>
    <col min="7430" max="7430" width="9" style="2"/>
    <col min="7431" max="7431" width="13.25" style="2" bestFit="1" customWidth="1"/>
    <col min="7432" max="7433" width="9" style="2"/>
    <col min="7434" max="7434" width="11.125" style="2" bestFit="1" customWidth="1"/>
    <col min="7435" max="7436" width="9" style="2"/>
    <col min="7437" max="7437" width="11.125" style="2" bestFit="1" customWidth="1"/>
    <col min="7438" max="7438" width="9" style="2"/>
    <col min="7439" max="7439" width="9.625" style="2" bestFit="1" customWidth="1"/>
    <col min="7440" max="7677" width="9" style="2"/>
    <col min="7678" max="7678" width="2.375" style="2" customWidth="1"/>
    <col min="7679" max="7679" width="13.25" style="2" bestFit="1" customWidth="1"/>
    <col min="7680" max="7682" width="9" style="2"/>
    <col min="7683" max="7685" width="11.125" style="2" bestFit="1" customWidth="1"/>
    <col min="7686" max="7686" width="9" style="2"/>
    <col min="7687" max="7687" width="13.25" style="2" bestFit="1" customWidth="1"/>
    <col min="7688" max="7689" width="9" style="2"/>
    <col min="7690" max="7690" width="11.125" style="2" bestFit="1" customWidth="1"/>
    <col min="7691" max="7692" width="9" style="2"/>
    <col min="7693" max="7693" width="11.125" style="2" bestFit="1" customWidth="1"/>
    <col min="7694" max="7694" width="9" style="2"/>
    <col min="7695" max="7695" width="9.625" style="2" bestFit="1" customWidth="1"/>
    <col min="7696" max="7933" width="9" style="2"/>
    <col min="7934" max="7934" width="2.375" style="2" customWidth="1"/>
    <col min="7935" max="7935" width="13.25" style="2" bestFit="1" customWidth="1"/>
    <col min="7936" max="7938" width="9" style="2"/>
    <col min="7939" max="7941" width="11.125" style="2" bestFit="1" customWidth="1"/>
    <col min="7942" max="7942" width="9" style="2"/>
    <col min="7943" max="7943" width="13.25" style="2" bestFit="1" customWidth="1"/>
    <col min="7944" max="7945" width="9" style="2"/>
    <col min="7946" max="7946" width="11.125" style="2" bestFit="1" customWidth="1"/>
    <col min="7947" max="7948" width="9" style="2"/>
    <col min="7949" max="7949" width="11.125" style="2" bestFit="1" customWidth="1"/>
    <col min="7950" max="7950" width="9" style="2"/>
    <col min="7951" max="7951" width="9.625" style="2" bestFit="1" customWidth="1"/>
    <col min="7952" max="8189" width="9" style="2"/>
    <col min="8190" max="8190" width="2.375" style="2" customWidth="1"/>
    <col min="8191" max="8191" width="13.25" style="2" bestFit="1" customWidth="1"/>
    <col min="8192" max="8194" width="9" style="2"/>
    <col min="8195" max="8197" width="11.125" style="2" bestFit="1" customWidth="1"/>
    <col min="8198" max="8198" width="9" style="2"/>
    <col min="8199" max="8199" width="13.25" style="2" bestFit="1" customWidth="1"/>
    <col min="8200" max="8201" width="9" style="2"/>
    <col min="8202" max="8202" width="11.125" style="2" bestFit="1" customWidth="1"/>
    <col min="8203" max="8204" width="9" style="2"/>
    <col min="8205" max="8205" width="11.125" style="2" bestFit="1" customWidth="1"/>
    <col min="8206" max="8206" width="9" style="2"/>
    <col min="8207" max="8207" width="9.625" style="2" bestFit="1" customWidth="1"/>
    <col min="8208" max="8445" width="9" style="2"/>
    <col min="8446" max="8446" width="2.375" style="2" customWidth="1"/>
    <col min="8447" max="8447" width="13.25" style="2" bestFit="1" customWidth="1"/>
    <col min="8448" max="8450" width="9" style="2"/>
    <col min="8451" max="8453" width="11.125" style="2" bestFit="1" customWidth="1"/>
    <col min="8454" max="8454" width="9" style="2"/>
    <col min="8455" max="8455" width="13.25" style="2" bestFit="1" customWidth="1"/>
    <col min="8456" max="8457" width="9" style="2"/>
    <col min="8458" max="8458" width="11.125" style="2" bestFit="1" customWidth="1"/>
    <col min="8459" max="8460" width="9" style="2"/>
    <col min="8461" max="8461" width="11.125" style="2" bestFit="1" customWidth="1"/>
    <col min="8462" max="8462" width="9" style="2"/>
    <col min="8463" max="8463" width="9.625" style="2" bestFit="1" customWidth="1"/>
    <col min="8464" max="8701" width="9" style="2"/>
    <col min="8702" max="8702" width="2.375" style="2" customWidth="1"/>
    <col min="8703" max="8703" width="13.25" style="2" bestFit="1" customWidth="1"/>
    <col min="8704" max="8706" width="9" style="2"/>
    <col min="8707" max="8709" width="11.125" style="2" bestFit="1" customWidth="1"/>
    <col min="8710" max="8710" width="9" style="2"/>
    <col min="8711" max="8711" width="13.25" style="2" bestFit="1" customWidth="1"/>
    <col min="8712" max="8713" width="9" style="2"/>
    <col min="8714" max="8714" width="11.125" style="2" bestFit="1" customWidth="1"/>
    <col min="8715" max="8716" width="9" style="2"/>
    <col min="8717" max="8717" width="11.125" style="2" bestFit="1" customWidth="1"/>
    <col min="8718" max="8718" width="9" style="2"/>
    <col min="8719" max="8719" width="9.625" style="2" bestFit="1" customWidth="1"/>
    <col min="8720" max="8957" width="9" style="2"/>
    <col min="8958" max="8958" width="2.375" style="2" customWidth="1"/>
    <col min="8959" max="8959" width="13.25" style="2" bestFit="1" customWidth="1"/>
    <col min="8960" max="8962" width="9" style="2"/>
    <col min="8963" max="8965" width="11.125" style="2" bestFit="1" customWidth="1"/>
    <col min="8966" max="8966" width="9" style="2"/>
    <col min="8967" max="8967" width="13.25" style="2" bestFit="1" customWidth="1"/>
    <col min="8968" max="8969" width="9" style="2"/>
    <col min="8970" max="8970" width="11.125" style="2" bestFit="1" customWidth="1"/>
    <col min="8971" max="8972" width="9" style="2"/>
    <col min="8973" max="8973" width="11.125" style="2" bestFit="1" customWidth="1"/>
    <col min="8974" max="8974" width="9" style="2"/>
    <col min="8975" max="8975" width="9.625" style="2" bestFit="1" customWidth="1"/>
    <col min="8976" max="9213" width="9" style="2"/>
    <col min="9214" max="9214" width="2.375" style="2" customWidth="1"/>
    <col min="9215" max="9215" width="13.25" style="2" bestFit="1" customWidth="1"/>
    <col min="9216" max="9218" width="9" style="2"/>
    <col min="9219" max="9221" width="11.125" style="2" bestFit="1" customWidth="1"/>
    <col min="9222" max="9222" width="9" style="2"/>
    <col min="9223" max="9223" width="13.25" style="2" bestFit="1" customWidth="1"/>
    <col min="9224" max="9225" width="9" style="2"/>
    <col min="9226" max="9226" width="11.125" style="2" bestFit="1" customWidth="1"/>
    <col min="9227" max="9228" width="9" style="2"/>
    <col min="9229" max="9229" width="11.125" style="2" bestFit="1" customWidth="1"/>
    <col min="9230" max="9230" width="9" style="2"/>
    <col min="9231" max="9231" width="9.625" style="2" bestFit="1" customWidth="1"/>
    <col min="9232" max="9469" width="9" style="2"/>
    <col min="9470" max="9470" width="2.375" style="2" customWidth="1"/>
    <col min="9471" max="9471" width="13.25" style="2" bestFit="1" customWidth="1"/>
    <col min="9472" max="9474" width="9" style="2"/>
    <col min="9475" max="9477" width="11.125" style="2" bestFit="1" customWidth="1"/>
    <col min="9478" max="9478" width="9" style="2"/>
    <col min="9479" max="9479" width="13.25" style="2" bestFit="1" customWidth="1"/>
    <col min="9480" max="9481" width="9" style="2"/>
    <col min="9482" max="9482" width="11.125" style="2" bestFit="1" customWidth="1"/>
    <col min="9483" max="9484" width="9" style="2"/>
    <col min="9485" max="9485" width="11.125" style="2" bestFit="1" customWidth="1"/>
    <col min="9486" max="9486" width="9" style="2"/>
    <col min="9487" max="9487" width="9.625" style="2" bestFit="1" customWidth="1"/>
    <col min="9488" max="9725" width="9" style="2"/>
    <col min="9726" max="9726" width="2.375" style="2" customWidth="1"/>
    <col min="9727" max="9727" width="13.25" style="2" bestFit="1" customWidth="1"/>
    <col min="9728" max="9730" width="9" style="2"/>
    <col min="9731" max="9733" width="11.125" style="2" bestFit="1" customWidth="1"/>
    <col min="9734" max="9734" width="9" style="2"/>
    <col min="9735" max="9735" width="13.25" style="2" bestFit="1" customWidth="1"/>
    <col min="9736" max="9737" width="9" style="2"/>
    <col min="9738" max="9738" width="11.125" style="2" bestFit="1" customWidth="1"/>
    <col min="9739" max="9740" width="9" style="2"/>
    <col min="9741" max="9741" width="11.125" style="2" bestFit="1" customWidth="1"/>
    <col min="9742" max="9742" width="9" style="2"/>
    <col min="9743" max="9743" width="9.625" style="2" bestFit="1" customWidth="1"/>
    <col min="9744" max="9981" width="9" style="2"/>
    <col min="9982" max="9982" width="2.375" style="2" customWidth="1"/>
    <col min="9983" max="9983" width="13.25" style="2" bestFit="1" customWidth="1"/>
    <col min="9984" max="9986" width="9" style="2"/>
    <col min="9987" max="9989" width="11.125" style="2" bestFit="1" customWidth="1"/>
    <col min="9990" max="9990" width="9" style="2"/>
    <col min="9991" max="9991" width="13.25" style="2" bestFit="1" customWidth="1"/>
    <col min="9992" max="9993" width="9" style="2"/>
    <col min="9994" max="9994" width="11.125" style="2" bestFit="1" customWidth="1"/>
    <col min="9995" max="9996" width="9" style="2"/>
    <col min="9997" max="9997" width="11.125" style="2" bestFit="1" customWidth="1"/>
    <col min="9998" max="9998" width="9" style="2"/>
    <col min="9999" max="9999" width="9.625" style="2" bestFit="1" customWidth="1"/>
    <col min="10000" max="10237" width="9" style="2"/>
    <col min="10238" max="10238" width="2.375" style="2" customWidth="1"/>
    <col min="10239" max="10239" width="13.25" style="2" bestFit="1" customWidth="1"/>
    <col min="10240" max="10242" width="9" style="2"/>
    <col min="10243" max="10245" width="11.125" style="2" bestFit="1" customWidth="1"/>
    <col min="10246" max="10246" width="9" style="2"/>
    <col min="10247" max="10247" width="13.25" style="2" bestFit="1" customWidth="1"/>
    <col min="10248" max="10249" width="9" style="2"/>
    <col min="10250" max="10250" width="11.125" style="2" bestFit="1" customWidth="1"/>
    <col min="10251" max="10252" width="9" style="2"/>
    <col min="10253" max="10253" width="11.125" style="2" bestFit="1" customWidth="1"/>
    <col min="10254" max="10254" width="9" style="2"/>
    <col min="10255" max="10255" width="9.625" style="2" bestFit="1" customWidth="1"/>
    <col min="10256" max="10493" width="9" style="2"/>
    <col min="10494" max="10494" width="2.375" style="2" customWidth="1"/>
    <col min="10495" max="10495" width="13.25" style="2" bestFit="1" customWidth="1"/>
    <col min="10496" max="10498" width="9" style="2"/>
    <col min="10499" max="10501" width="11.125" style="2" bestFit="1" customWidth="1"/>
    <col min="10502" max="10502" width="9" style="2"/>
    <col min="10503" max="10503" width="13.25" style="2" bestFit="1" customWidth="1"/>
    <col min="10504" max="10505" width="9" style="2"/>
    <col min="10506" max="10506" width="11.125" style="2" bestFit="1" customWidth="1"/>
    <col min="10507" max="10508" width="9" style="2"/>
    <col min="10509" max="10509" width="11.125" style="2" bestFit="1" customWidth="1"/>
    <col min="10510" max="10510" width="9" style="2"/>
    <col min="10511" max="10511" width="9.625" style="2" bestFit="1" customWidth="1"/>
    <col min="10512" max="10749" width="9" style="2"/>
    <col min="10750" max="10750" width="2.375" style="2" customWidth="1"/>
    <col min="10751" max="10751" width="13.25" style="2" bestFit="1" customWidth="1"/>
    <col min="10752" max="10754" width="9" style="2"/>
    <col min="10755" max="10757" width="11.125" style="2" bestFit="1" customWidth="1"/>
    <col min="10758" max="10758" width="9" style="2"/>
    <col min="10759" max="10759" width="13.25" style="2" bestFit="1" customWidth="1"/>
    <col min="10760" max="10761" width="9" style="2"/>
    <col min="10762" max="10762" width="11.125" style="2" bestFit="1" customWidth="1"/>
    <col min="10763" max="10764" width="9" style="2"/>
    <col min="10765" max="10765" width="11.125" style="2" bestFit="1" customWidth="1"/>
    <col min="10766" max="10766" width="9" style="2"/>
    <col min="10767" max="10767" width="9.625" style="2" bestFit="1" customWidth="1"/>
    <col min="10768" max="11005" width="9" style="2"/>
    <col min="11006" max="11006" width="2.375" style="2" customWidth="1"/>
    <col min="11007" max="11007" width="13.25" style="2" bestFit="1" customWidth="1"/>
    <col min="11008" max="11010" width="9" style="2"/>
    <col min="11011" max="11013" width="11.125" style="2" bestFit="1" customWidth="1"/>
    <col min="11014" max="11014" width="9" style="2"/>
    <col min="11015" max="11015" width="13.25" style="2" bestFit="1" customWidth="1"/>
    <col min="11016" max="11017" width="9" style="2"/>
    <col min="11018" max="11018" width="11.125" style="2" bestFit="1" customWidth="1"/>
    <col min="11019" max="11020" width="9" style="2"/>
    <col min="11021" max="11021" width="11.125" style="2" bestFit="1" customWidth="1"/>
    <col min="11022" max="11022" width="9" style="2"/>
    <col min="11023" max="11023" width="9.625" style="2" bestFit="1" customWidth="1"/>
    <col min="11024" max="11261" width="9" style="2"/>
    <col min="11262" max="11262" width="2.375" style="2" customWidth="1"/>
    <col min="11263" max="11263" width="13.25" style="2" bestFit="1" customWidth="1"/>
    <col min="11264" max="11266" width="9" style="2"/>
    <col min="11267" max="11269" width="11.125" style="2" bestFit="1" customWidth="1"/>
    <col min="11270" max="11270" width="9" style="2"/>
    <col min="11271" max="11271" width="13.25" style="2" bestFit="1" customWidth="1"/>
    <col min="11272" max="11273" width="9" style="2"/>
    <col min="11274" max="11274" width="11.125" style="2" bestFit="1" customWidth="1"/>
    <col min="11275" max="11276" width="9" style="2"/>
    <col min="11277" max="11277" width="11.125" style="2" bestFit="1" customWidth="1"/>
    <col min="11278" max="11278" width="9" style="2"/>
    <col min="11279" max="11279" width="9.625" style="2" bestFit="1" customWidth="1"/>
    <col min="11280" max="11517" width="9" style="2"/>
    <col min="11518" max="11518" width="2.375" style="2" customWidth="1"/>
    <col min="11519" max="11519" width="13.25" style="2" bestFit="1" customWidth="1"/>
    <col min="11520" max="11522" width="9" style="2"/>
    <col min="11523" max="11525" width="11.125" style="2" bestFit="1" customWidth="1"/>
    <col min="11526" max="11526" width="9" style="2"/>
    <col min="11527" max="11527" width="13.25" style="2" bestFit="1" customWidth="1"/>
    <col min="11528" max="11529" width="9" style="2"/>
    <col min="11530" max="11530" width="11.125" style="2" bestFit="1" customWidth="1"/>
    <col min="11531" max="11532" width="9" style="2"/>
    <col min="11533" max="11533" width="11.125" style="2" bestFit="1" customWidth="1"/>
    <col min="11534" max="11534" width="9" style="2"/>
    <col min="11535" max="11535" width="9.625" style="2" bestFit="1" customWidth="1"/>
    <col min="11536" max="11773" width="9" style="2"/>
    <col min="11774" max="11774" width="2.375" style="2" customWidth="1"/>
    <col min="11775" max="11775" width="13.25" style="2" bestFit="1" customWidth="1"/>
    <col min="11776" max="11778" width="9" style="2"/>
    <col min="11779" max="11781" width="11.125" style="2" bestFit="1" customWidth="1"/>
    <col min="11782" max="11782" width="9" style="2"/>
    <col min="11783" max="11783" width="13.25" style="2" bestFit="1" customWidth="1"/>
    <col min="11784" max="11785" width="9" style="2"/>
    <col min="11786" max="11786" width="11.125" style="2" bestFit="1" customWidth="1"/>
    <col min="11787" max="11788" width="9" style="2"/>
    <col min="11789" max="11789" width="11.125" style="2" bestFit="1" customWidth="1"/>
    <col min="11790" max="11790" width="9" style="2"/>
    <col min="11791" max="11791" width="9.625" style="2" bestFit="1" customWidth="1"/>
    <col min="11792" max="12029" width="9" style="2"/>
    <col min="12030" max="12030" width="2.375" style="2" customWidth="1"/>
    <col min="12031" max="12031" width="13.25" style="2" bestFit="1" customWidth="1"/>
    <col min="12032" max="12034" width="9" style="2"/>
    <col min="12035" max="12037" width="11.125" style="2" bestFit="1" customWidth="1"/>
    <col min="12038" max="12038" width="9" style="2"/>
    <col min="12039" max="12039" width="13.25" style="2" bestFit="1" customWidth="1"/>
    <col min="12040" max="12041" width="9" style="2"/>
    <col min="12042" max="12042" width="11.125" style="2" bestFit="1" customWidth="1"/>
    <col min="12043" max="12044" width="9" style="2"/>
    <col min="12045" max="12045" width="11.125" style="2" bestFit="1" customWidth="1"/>
    <col min="12046" max="12046" width="9" style="2"/>
    <col min="12047" max="12047" width="9.625" style="2" bestFit="1" customWidth="1"/>
    <col min="12048" max="12285" width="9" style="2"/>
    <col min="12286" max="12286" width="2.375" style="2" customWidth="1"/>
    <col min="12287" max="12287" width="13.25" style="2" bestFit="1" customWidth="1"/>
    <col min="12288" max="12290" width="9" style="2"/>
    <col min="12291" max="12293" width="11.125" style="2" bestFit="1" customWidth="1"/>
    <col min="12294" max="12294" width="9" style="2"/>
    <col min="12295" max="12295" width="13.25" style="2" bestFit="1" customWidth="1"/>
    <col min="12296" max="12297" width="9" style="2"/>
    <col min="12298" max="12298" width="11.125" style="2" bestFit="1" customWidth="1"/>
    <col min="12299" max="12300" width="9" style="2"/>
    <col min="12301" max="12301" width="11.125" style="2" bestFit="1" customWidth="1"/>
    <col min="12302" max="12302" width="9" style="2"/>
    <col min="12303" max="12303" width="9.625" style="2" bestFit="1" customWidth="1"/>
    <col min="12304" max="12541" width="9" style="2"/>
    <col min="12542" max="12542" width="2.375" style="2" customWidth="1"/>
    <col min="12543" max="12543" width="13.25" style="2" bestFit="1" customWidth="1"/>
    <col min="12544" max="12546" width="9" style="2"/>
    <col min="12547" max="12549" width="11.125" style="2" bestFit="1" customWidth="1"/>
    <col min="12550" max="12550" width="9" style="2"/>
    <col min="12551" max="12551" width="13.25" style="2" bestFit="1" customWidth="1"/>
    <col min="12552" max="12553" width="9" style="2"/>
    <col min="12554" max="12554" width="11.125" style="2" bestFit="1" customWidth="1"/>
    <col min="12555" max="12556" width="9" style="2"/>
    <col min="12557" max="12557" width="11.125" style="2" bestFit="1" customWidth="1"/>
    <col min="12558" max="12558" width="9" style="2"/>
    <col min="12559" max="12559" width="9.625" style="2" bestFit="1" customWidth="1"/>
    <col min="12560" max="12797" width="9" style="2"/>
    <col min="12798" max="12798" width="2.375" style="2" customWidth="1"/>
    <col min="12799" max="12799" width="13.25" style="2" bestFit="1" customWidth="1"/>
    <col min="12800" max="12802" width="9" style="2"/>
    <col min="12803" max="12805" width="11.125" style="2" bestFit="1" customWidth="1"/>
    <col min="12806" max="12806" width="9" style="2"/>
    <col min="12807" max="12807" width="13.25" style="2" bestFit="1" customWidth="1"/>
    <col min="12808" max="12809" width="9" style="2"/>
    <col min="12810" max="12810" width="11.125" style="2" bestFit="1" customWidth="1"/>
    <col min="12811" max="12812" width="9" style="2"/>
    <col min="12813" max="12813" width="11.125" style="2" bestFit="1" customWidth="1"/>
    <col min="12814" max="12814" width="9" style="2"/>
    <col min="12815" max="12815" width="9.625" style="2" bestFit="1" customWidth="1"/>
    <col min="12816" max="13053" width="9" style="2"/>
    <col min="13054" max="13054" width="2.375" style="2" customWidth="1"/>
    <col min="13055" max="13055" width="13.25" style="2" bestFit="1" customWidth="1"/>
    <col min="13056" max="13058" width="9" style="2"/>
    <col min="13059" max="13061" width="11.125" style="2" bestFit="1" customWidth="1"/>
    <col min="13062" max="13062" width="9" style="2"/>
    <col min="13063" max="13063" width="13.25" style="2" bestFit="1" customWidth="1"/>
    <col min="13064" max="13065" width="9" style="2"/>
    <col min="13066" max="13066" width="11.125" style="2" bestFit="1" customWidth="1"/>
    <col min="13067" max="13068" width="9" style="2"/>
    <col min="13069" max="13069" width="11.125" style="2" bestFit="1" customWidth="1"/>
    <col min="13070" max="13070" width="9" style="2"/>
    <col min="13071" max="13071" width="9.625" style="2" bestFit="1" customWidth="1"/>
    <col min="13072" max="13309" width="9" style="2"/>
    <col min="13310" max="13310" width="2.375" style="2" customWidth="1"/>
    <col min="13311" max="13311" width="13.25" style="2" bestFit="1" customWidth="1"/>
    <col min="13312" max="13314" width="9" style="2"/>
    <col min="13315" max="13317" width="11.125" style="2" bestFit="1" customWidth="1"/>
    <col min="13318" max="13318" width="9" style="2"/>
    <col min="13319" max="13319" width="13.25" style="2" bestFit="1" customWidth="1"/>
    <col min="13320" max="13321" width="9" style="2"/>
    <col min="13322" max="13322" width="11.125" style="2" bestFit="1" customWidth="1"/>
    <col min="13323" max="13324" width="9" style="2"/>
    <col min="13325" max="13325" width="11.125" style="2" bestFit="1" customWidth="1"/>
    <col min="13326" max="13326" width="9" style="2"/>
    <col min="13327" max="13327" width="9.625" style="2" bestFit="1" customWidth="1"/>
    <col min="13328" max="13565" width="9" style="2"/>
    <col min="13566" max="13566" width="2.375" style="2" customWidth="1"/>
    <col min="13567" max="13567" width="13.25" style="2" bestFit="1" customWidth="1"/>
    <col min="13568" max="13570" width="9" style="2"/>
    <col min="13571" max="13573" width="11.125" style="2" bestFit="1" customWidth="1"/>
    <col min="13574" max="13574" width="9" style="2"/>
    <col min="13575" max="13575" width="13.25" style="2" bestFit="1" customWidth="1"/>
    <col min="13576" max="13577" width="9" style="2"/>
    <col min="13578" max="13578" width="11.125" style="2" bestFit="1" customWidth="1"/>
    <col min="13579" max="13580" width="9" style="2"/>
    <col min="13581" max="13581" width="11.125" style="2" bestFit="1" customWidth="1"/>
    <col min="13582" max="13582" width="9" style="2"/>
    <col min="13583" max="13583" width="9.625" style="2" bestFit="1" customWidth="1"/>
    <col min="13584" max="13821" width="9" style="2"/>
    <col min="13822" max="13822" width="2.375" style="2" customWidth="1"/>
    <col min="13823" max="13823" width="13.25" style="2" bestFit="1" customWidth="1"/>
    <col min="13824" max="13826" width="9" style="2"/>
    <col min="13827" max="13829" width="11.125" style="2" bestFit="1" customWidth="1"/>
    <col min="13830" max="13830" width="9" style="2"/>
    <col min="13831" max="13831" width="13.25" style="2" bestFit="1" customWidth="1"/>
    <col min="13832" max="13833" width="9" style="2"/>
    <col min="13834" max="13834" width="11.125" style="2" bestFit="1" customWidth="1"/>
    <col min="13835" max="13836" width="9" style="2"/>
    <col min="13837" max="13837" width="11.125" style="2" bestFit="1" customWidth="1"/>
    <col min="13838" max="13838" width="9" style="2"/>
    <col min="13839" max="13839" width="9.625" style="2" bestFit="1" customWidth="1"/>
    <col min="13840" max="14077" width="9" style="2"/>
    <col min="14078" max="14078" width="2.375" style="2" customWidth="1"/>
    <col min="14079" max="14079" width="13.25" style="2" bestFit="1" customWidth="1"/>
    <col min="14080" max="14082" width="9" style="2"/>
    <col min="14083" max="14085" width="11.125" style="2" bestFit="1" customWidth="1"/>
    <col min="14086" max="14086" width="9" style="2"/>
    <col min="14087" max="14087" width="13.25" style="2" bestFit="1" customWidth="1"/>
    <col min="14088" max="14089" width="9" style="2"/>
    <col min="14090" max="14090" width="11.125" style="2" bestFit="1" customWidth="1"/>
    <col min="14091" max="14092" width="9" style="2"/>
    <col min="14093" max="14093" width="11.125" style="2" bestFit="1" customWidth="1"/>
    <col min="14094" max="14094" width="9" style="2"/>
    <col min="14095" max="14095" width="9.625" style="2" bestFit="1" customWidth="1"/>
    <col min="14096" max="14333" width="9" style="2"/>
    <col min="14334" max="14334" width="2.375" style="2" customWidth="1"/>
    <col min="14335" max="14335" width="13.25" style="2" bestFit="1" customWidth="1"/>
    <col min="14336" max="14338" width="9" style="2"/>
    <col min="14339" max="14341" width="11.125" style="2" bestFit="1" customWidth="1"/>
    <col min="14342" max="14342" width="9" style="2"/>
    <col min="14343" max="14343" width="13.25" style="2" bestFit="1" customWidth="1"/>
    <col min="14344" max="14345" width="9" style="2"/>
    <col min="14346" max="14346" width="11.125" style="2" bestFit="1" customWidth="1"/>
    <col min="14347" max="14348" width="9" style="2"/>
    <col min="14349" max="14349" width="11.125" style="2" bestFit="1" customWidth="1"/>
    <col min="14350" max="14350" width="9" style="2"/>
    <col min="14351" max="14351" width="9.625" style="2" bestFit="1" customWidth="1"/>
    <col min="14352" max="14589" width="9" style="2"/>
    <col min="14590" max="14590" width="2.375" style="2" customWidth="1"/>
    <col min="14591" max="14591" width="13.25" style="2" bestFit="1" customWidth="1"/>
    <col min="14592" max="14594" width="9" style="2"/>
    <col min="14595" max="14597" width="11.125" style="2" bestFit="1" customWidth="1"/>
    <col min="14598" max="14598" width="9" style="2"/>
    <col min="14599" max="14599" width="13.25" style="2" bestFit="1" customWidth="1"/>
    <col min="14600" max="14601" width="9" style="2"/>
    <col min="14602" max="14602" width="11.125" style="2" bestFit="1" customWidth="1"/>
    <col min="14603" max="14604" width="9" style="2"/>
    <col min="14605" max="14605" width="11.125" style="2" bestFit="1" customWidth="1"/>
    <col min="14606" max="14606" width="9" style="2"/>
    <col min="14607" max="14607" width="9.625" style="2" bestFit="1" customWidth="1"/>
    <col min="14608" max="14845" width="9" style="2"/>
    <col min="14846" max="14846" width="2.375" style="2" customWidth="1"/>
    <col min="14847" max="14847" width="13.25" style="2" bestFit="1" customWidth="1"/>
    <col min="14848" max="14850" width="9" style="2"/>
    <col min="14851" max="14853" width="11.125" style="2" bestFit="1" customWidth="1"/>
    <col min="14854" max="14854" width="9" style="2"/>
    <col min="14855" max="14855" width="13.25" style="2" bestFit="1" customWidth="1"/>
    <col min="14856" max="14857" width="9" style="2"/>
    <col min="14858" max="14858" width="11.125" style="2" bestFit="1" customWidth="1"/>
    <col min="14859" max="14860" width="9" style="2"/>
    <col min="14861" max="14861" width="11.125" style="2" bestFit="1" customWidth="1"/>
    <col min="14862" max="14862" width="9" style="2"/>
    <col min="14863" max="14863" width="9.625" style="2" bestFit="1" customWidth="1"/>
    <col min="14864" max="15101" width="9" style="2"/>
    <col min="15102" max="15102" width="2.375" style="2" customWidth="1"/>
    <col min="15103" max="15103" width="13.25" style="2" bestFit="1" customWidth="1"/>
    <col min="15104" max="15106" width="9" style="2"/>
    <col min="15107" max="15109" width="11.125" style="2" bestFit="1" customWidth="1"/>
    <col min="15110" max="15110" width="9" style="2"/>
    <col min="15111" max="15111" width="13.25" style="2" bestFit="1" customWidth="1"/>
    <col min="15112" max="15113" width="9" style="2"/>
    <col min="15114" max="15114" width="11.125" style="2" bestFit="1" customWidth="1"/>
    <col min="15115" max="15116" width="9" style="2"/>
    <col min="15117" max="15117" width="11.125" style="2" bestFit="1" customWidth="1"/>
    <col min="15118" max="15118" width="9" style="2"/>
    <col min="15119" max="15119" width="9.625" style="2" bestFit="1" customWidth="1"/>
    <col min="15120" max="15357" width="9" style="2"/>
    <col min="15358" max="15358" width="2.375" style="2" customWidth="1"/>
    <col min="15359" max="15359" width="13.25" style="2" bestFit="1" customWidth="1"/>
    <col min="15360" max="15362" width="9" style="2"/>
    <col min="15363" max="15365" width="11.125" style="2" bestFit="1" customWidth="1"/>
    <col min="15366" max="15366" width="9" style="2"/>
    <col min="15367" max="15367" width="13.25" style="2" bestFit="1" customWidth="1"/>
    <col min="15368" max="15369" width="9" style="2"/>
    <col min="15370" max="15370" width="11.125" style="2" bestFit="1" customWidth="1"/>
    <col min="15371" max="15372" width="9" style="2"/>
    <col min="15373" max="15373" width="11.125" style="2" bestFit="1" customWidth="1"/>
    <col min="15374" max="15374" width="9" style="2"/>
    <col min="15375" max="15375" width="9.625" style="2" bestFit="1" customWidth="1"/>
    <col min="15376" max="15613" width="9" style="2"/>
    <col min="15614" max="15614" width="2.375" style="2" customWidth="1"/>
    <col min="15615" max="15615" width="13.25" style="2" bestFit="1" customWidth="1"/>
    <col min="15616" max="15618" width="9" style="2"/>
    <col min="15619" max="15621" width="11.125" style="2" bestFit="1" customWidth="1"/>
    <col min="15622" max="15622" width="9" style="2"/>
    <col min="15623" max="15623" width="13.25" style="2" bestFit="1" customWidth="1"/>
    <col min="15624" max="15625" width="9" style="2"/>
    <col min="15626" max="15626" width="11.125" style="2" bestFit="1" customWidth="1"/>
    <col min="15627" max="15628" width="9" style="2"/>
    <col min="15629" max="15629" width="11.125" style="2" bestFit="1" customWidth="1"/>
    <col min="15630" max="15630" width="9" style="2"/>
    <col min="15631" max="15631" width="9.625" style="2" bestFit="1" customWidth="1"/>
    <col min="15632" max="15869" width="9" style="2"/>
    <col min="15870" max="15870" width="2.375" style="2" customWidth="1"/>
    <col min="15871" max="15871" width="13.25" style="2" bestFit="1" customWidth="1"/>
    <col min="15872" max="15874" width="9" style="2"/>
    <col min="15875" max="15877" width="11.125" style="2" bestFit="1" customWidth="1"/>
    <col min="15878" max="15878" width="9" style="2"/>
    <col min="15879" max="15879" width="13.25" style="2" bestFit="1" customWidth="1"/>
    <col min="15880" max="15881" width="9" style="2"/>
    <col min="15882" max="15882" width="11.125" style="2" bestFit="1" customWidth="1"/>
    <col min="15883" max="15884" width="9" style="2"/>
    <col min="15885" max="15885" width="11.125" style="2" bestFit="1" customWidth="1"/>
    <col min="15886" max="15886" width="9" style="2"/>
    <col min="15887" max="15887" width="9.625" style="2" bestFit="1" customWidth="1"/>
    <col min="15888" max="16125" width="9" style="2"/>
    <col min="16126" max="16126" width="2.375" style="2" customWidth="1"/>
    <col min="16127" max="16127" width="13.25" style="2" bestFit="1" customWidth="1"/>
    <col min="16128" max="16130" width="9" style="2"/>
    <col min="16131" max="16133" width="11.125" style="2" bestFit="1" customWidth="1"/>
    <col min="16134" max="16134" width="9" style="2"/>
    <col min="16135" max="16135" width="13.25" style="2" bestFit="1" customWidth="1"/>
    <col min="16136" max="16137" width="9" style="2"/>
    <col min="16138" max="16138" width="11.125" style="2" bestFit="1" customWidth="1"/>
    <col min="16139" max="16140" width="9" style="2"/>
    <col min="16141" max="16141" width="11.125" style="2" bestFit="1" customWidth="1"/>
    <col min="16142" max="16142" width="9" style="2"/>
    <col min="16143" max="16143" width="9.625" style="2" bestFit="1" customWidth="1"/>
    <col min="16144" max="16384" width="9" style="2"/>
  </cols>
  <sheetData>
    <row r="1" spans="1:17">
      <c r="A1" s="1" t="s">
        <v>0</v>
      </c>
    </row>
    <row r="2" spans="1:17">
      <c r="A2" s="1" t="s">
        <v>1</v>
      </c>
    </row>
    <row r="3" spans="1:17" ht="19.5" thickBot="1">
      <c r="A3" s="1" t="s">
        <v>82</v>
      </c>
    </row>
    <row r="4" spans="1:17">
      <c r="B4" s="3"/>
      <c r="C4" s="11" t="s">
        <v>6</v>
      </c>
      <c r="D4" s="11" t="s">
        <v>11</v>
      </c>
      <c r="E4" s="40" t="s">
        <v>8</v>
      </c>
      <c r="F4" s="62" t="s">
        <v>83</v>
      </c>
      <c r="G4" s="51" t="s">
        <v>3</v>
      </c>
      <c r="H4" s="11" t="s">
        <v>4</v>
      </c>
      <c r="I4" s="11" t="s">
        <v>5</v>
      </c>
      <c r="J4" s="11" t="s">
        <v>7</v>
      </c>
      <c r="K4" s="11" t="s">
        <v>9</v>
      </c>
      <c r="L4" s="11" t="s">
        <v>10</v>
      </c>
      <c r="M4" s="12" t="s">
        <v>12</v>
      </c>
      <c r="N4" s="62" t="s">
        <v>83</v>
      </c>
      <c r="O4" s="4" t="s">
        <v>23</v>
      </c>
    </row>
    <row r="5" spans="1:17" ht="19.5" thickBot="1">
      <c r="A5" s="39"/>
      <c r="B5" s="25" t="s">
        <v>13</v>
      </c>
      <c r="C5" s="26" t="s">
        <v>17</v>
      </c>
      <c r="D5" s="26" t="s">
        <v>21</v>
      </c>
      <c r="E5" s="41" t="s">
        <v>87</v>
      </c>
      <c r="F5" s="63" t="s">
        <v>84</v>
      </c>
      <c r="G5" s="52" t="s">
        <v>14</v>
      </c>
      <c r="H5" s="26" t="s">
        <v>15</v>
      </c>
      <c r="I5" s="26" t="s">
        <v>16</v>
      </c>
      <c r="J5" s="26" t="s">
        <v>18</v>
      </c>
      <c r="K5" s="26" t="s">
        <v>19</v>
      </c>
      <c r="L5" s="26" t="s">
        <v>20</v>
      </c>
      <c r="M5" s="27" t="s">
        <v>22</v>
      </c>
      <c r="N5" s="63" t="s">
        <v>85</v>
      </c>
      <c r="O5" s="73" t="s">
        <v>86</v>
      </c>
      <c r="Q5"/>
    </row>
    <row r="6" spans="1:17">
      <c r="A6" s="1" t="s">
        <v>2</v>
      </c>
      <c r="B6" s="21" t="s">
        <v>24</v>
      </c>
      <c r="C6" s="22">
        <v>19</v>
      </c>
      <c r="D6" s="22">
        <v>22</v>
      </c>
      <c r="E6" s="42">
        <v>19</v>
      </c>
      <c r="F6" s="64">
        <f>SUM(C6:E6)</f>
        <v>60</v>
      </c>
      <c r="G6" s="53">
        <v>19</v>
      </c>
      <c r="H6" s="22">
        <v>19</v>
      </c>
      <c r="I6" s="22">
        <v>17</v>
      </c>
      <c r="J6" s="22">
        <v>22</v>
      </c>
      <c r="K6" s="22">
        <v>19</v>
      </c>
      <c r="L6" s="22">
        <v>4</v>
      </c>
      <c r="M6" s="23">
        <v>22</v>
      </c>
      <c r="N6" s="24">
        <f>SUM(G6:M6)</f>
        <v>122</v>
      </c>
      <c r="O6" s="24">
        <f>F6+N6</f>
        <v>182</v>
      </c>
      <c r="Q6"/>
    </row>
    <row r="7" spans="1:17">
      <c r="A7" s="1" t="s">
        <v>2</v>
      </c>
      <c r="B7" s="5" t="s">
        <v>25</v>
      </c>
      <c r="C7" s="13">
        <v>0</v>
      </c>
      <c r="D7" s="13">
        <v>0</v>
      </c>
      <c r="E7" s="43">
        <v>3</v>
      </c>
      <c r="F7" s="65">
        <f>SUM(C7:E7)</f>
        <v>3</v>
      </c>
      <c r="G7" s="54">
        <v>2</v>
      </c>
      <c r="H7" s="13">
        <v>3</v>
      </c>
      <c r="I7" s="13">
        <v>4</v>
      </c>
      <c r="J7" s="13">
        <v>0</v>
      </c>
      <c r="K7" s="13">
        <v>3</v>
      </c>
      <c r="L7" s="13">
        <v>0</v>
      </c>
      <c r="M7" s="14">
        <v>0</v>
      </c>
      <c r="N7" s="7">
        <f>SUM(G7:M7)</f>
        <v>12</v>
      </c>
      <c r="O7" s="7">
        <f t="shared" ref="O7:O55" si="0">F7+N7</f>
        <v>15</v>
      </c>
      <c r="Q7"/>
    </row>
    <row r="8" spans="1:17">
      <c r="A8" s="1" t="s">
        <v>2</v>
      </c>
      <c r="B8" s="5" t="s">
        <v>26</v>
      </c>
      <c r="C8" s="13">
        <v>0</v>
      </c>
      <c r="D8" s="13">
        <v>0</v>
      </c>
      <c r="E8" s="43">
        <v>3</v>
      </c>
      <c r="F8" s="65">
        <f t="shared" ref="F8:F10" si="1">SUM(C8:E8)</f>
        <v>3</v>
      </c>
      <c r="G8" s="54">
        <v>5</v>
      </c>
      <c r="H8" s="13">
        <v>2</v>
      </c>
      <c r="I8" s="13">
        <v>3</v>
      </c>
      <c r="J8" s="13">
        <v>0</v>
      </c>
      <c r="K8" s="13">
        <v>0</v>
      </c>
      <c r="L8" s="13">
        <v>0</v>
      </c>
      <c r="M8" s="14">
        <v>0</v>
      </c>
      <c r="N8" s="7">
        <f t="shared" ref="N8:N12" si="2">SUM(G8:M8)</f>
        <v>10</v>
      </c>
      <c r="O8" s="7">
        <f t="shared" si="0"/>
        <v>13</v>
      </c>
      <c r="Q8"/>
    </row>
    <row r="9" spans="1:17">
      <c r="A9" s="1" t="s">
        <v>2</v>
      </c>
      <c r="B9" s="5" t="s">
        <v>27</v>
      </c>
      <c r="C9" s="13">
        <v>0</v>
      </c>
      <c r="D9" s="13">
        <v>0</v>
      </c>
      <c r="E9" s="43">
        <v>3</v>
      </c>
      <c r="F9" s="65">
        <f t="shared" si="1"/>
        <v>3</v>
      </c>
      <c r="G9" s="54">
        <v>0</v>
      </c>
      <c r="H9" s="13">
        <v>3</v>
      </c>
      <c r="I9" s="13">
        <v>4</v>
      </c>
      <c r="J9" s="13">
        <v>0</v>
      </c>
      <c r="K9" s="13">
        <v>0</v>
      </c>
      <c r="L9" s="13">
        <v>0</v>
      </c>
      <c r="M9" s="14">
        <v>0</v>
      </c>
      <c r="N9" s="7">
        <f t="shared" si="2"/>
        <v>7</v>
      </c>
      <c r="O9" s="7">
        <f t="shared" si="0"/>
        <v>10</v>
      </c>
      <c r="Q9"/>
    </row>
    <row r="10" spans="1:17">
      <c r="A10" s="1" t="s">
        <v>2</v>
      </c>
      <c r="B10" s="5" t="s">
        <v>28</v>
      </c>
      <c r="C10" s="13">
        <v>2</v>
      </c>
      <c r="D10" s="13">
        <v>0</v>
      </c>
      <c r="E10" s="43">
        <v>0.5</v>
      </c>
      <c r="F10" s="65">
        <f t="shared" si="1"/>
        <v>2.5</v>
      </c>
      <c r="G10" s="54">
        <v>3</v>
      </c>
      <c r="H10" s="13">
        <v>0</v>
      </c>
      <c r="I10" s="13">
        <v>1</v>
      </c>
      <c r="J10" s="13">
        <v>0</v>
      </c>
      <c r="K10" s="13">
        <v>3</v>
      </c>
      <c r="L10" s="13">
        <v>11</v>
      </c>
      <c r="M10" s="14">
        <v>0</v>
      </c>
      <c r="N10" s="7">
        <f t="shared" si="2"/>
        <v>18</v>
      </c>
      <c r="O10" s="7">
        <f t="shared" si="0"/>
        <v>20.5</v>
      </c>
      <c r="Q10"/>
    </row>
    <row r="11" spans="1:17">
      <c r="A11" s="1" t="s">
        <v>2</v>
      </c>
      <c r="B11" s="5" t="s">
        <v>29</v>
      </c>
      <c r="C11" s="13">
        <v>0</v>
      </c>
      <c r="D11" s="13">
        <v>0</v>
      </c>
      <c r="E11" s="43">
        <v>0</v>
      </c>
      <c r="F11" s="65"/>
      <c r="G11" s="54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4">
        <v>0</v>
      </c>
      <c r="N11" s="7"/>
      <c r="O11" s="7">
        <f t="shared" si="0"/>
        <v>0</v>
      </c>
      <c r="Q11"/>
    </row>
    <row r="12" spans="1:17">
      <c r="A12" s="1" t="s">
        <v>2</v>
      </c>
      <c r="B12" s="5" t="s">
        <v>30</v>
      </c>
      <c r="C12" s="13">
        <v>0</v>
      </c>
      <c r="D12" s="13">
        <v>0</v>
      </c>
      <c r="E12" s="43">
        <v>0</v>
      </c>
      <c r="F12" s="65"/>
      <c r="G12" s="54">
        <v>0</v>
      </c>
      <c r="H12" s="13">
        <v>0</v>
      </c>
      <c r="I12" s="13">
        <v>0</v>
      </c>
      <c r="J12" s="13">
        <v>0</v>
      </c>
      <c r="K12" s="13">
        <v>0</v>
      </c>
      <c r="L12" s="13">
        <v>6</v>
      </c>
      <c r="M12" s="14">
        <v>0</v>
      </c>
      <c r="N12" s="7">
        <f t="shared" si="2"/>
        <v>6</v>
      </c>
      <c r="O12" s="7">
        <f t="shared" si="0"/>
        <v>6</v>
      </c>
      <c r="Q12"/>
    </row>
    <row r="13" spans="1:17">
      <c r="A13" s="1" t="s">
        <v>2</v>
      </c>
      <c r="B13" s="5" t="s">
        <v>31</v>
      </c>
      <c r="C13" s="13">
        <v>0</v>
      </c>
      <c r="D13" s="13">
        <v>0</v>
      </c>
      <c r="E13" s="43">
        <v>0</v>
      </c>
      <c r="F13" s="65"/>
      <c r="G13" s="54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4">
        <v>0</v>
      </c>
      <c r="N13" s="7"/>
      <c r="O13" s="7">
        <f t="shared" si="0"/>
        <v>0</v>
      </c>
      <c r="Q13"/>
    </row>
    <row r="14" spans="1:17">
      <c r="A14" s="1" t="s">
        <v>2</v>
      </c>
      <c r="B14" s="5" t="s">
        <v>32</v>
      </c>
      <c r="C14" s="15">
        <v>0</v>
      </c>
      <c r="D14" s="15">
        <v>0</v>
      </c>
      <c r="E14" s="44">
        <v>0</v>
      </c>
      <c r="F14" s="66"/>
      <c r="G14" s="5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6">
        <v>0</v>
      </c>
      <c r="N14" s="8"/>
      <c r="O14" s="8">
        <f t="shared" si="0"/>
        <v>0</v>
      </c>
      <c r="Q14"/>
    </row>
    <row r="15" spans="1:17">
      <c r="A15" s="1" t="s">
        <v>2</v>
      </c>
      <c r="B15" s="5" t="s">
        <v>33</v>
      </c>
      <c r="C15" s="15">
        <v>0</v>
      </c>
      <c r="D15" s="15">
        <v>0</v>
      </c>
      <c r="E15" s="44">
        <v>0</v>
      </c>
      <c r="F15" s="66"/>
      <c r="G15" s="5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6">
        <v>0</v>
      </c>
      <c r="N15" s="8"/>
      <c r="O15" s="8">
        <f t="shared" si="0"/>
        <v>0</v>
      </c>
      <c r="Q15"/>
    </row>
    <row r="16" spans="1:17">
      <c r="A16" s="1" t="s">
        <v>2</v>
      </c>
      <c r="B16" s="5" t="s">
        <v>34</v>
      </c>
      <c r="C16" s="15">
        <v>0</v>
      </c>
      <c r="D16" s="15">
        <v>0</v>
      </c>
      <c r="E16" s="44">
        <v>0</v>
      </c>
      <c r="F16" s="66"/>
      <c r="G16" s="55">
        <v>2.3333333333333335</v>
      </c>
      <c r="H16" s="15">
        <v>1.125</v>
      </c>
      <c r="I16" s="15">
        <v>1.4166666666666667</v>
      </c>
      <c r="J16" s="15">
        <v>4.75</v>
      </c>
      <c r="K16" s="15">
        <v>3.4583333333333335</v>
      </c>
      <c r="L16" s="15">
        <v>0.20833333333333334</v>
      </c>
      <c r="M16" s="16">
        <v>4.208333333333333</v>
      </c>
      <c r="N16" s="8">
        <f>SUM(G16:M16)</f>
        <v>17.5</v>
      </c>
      <c r="O16" s="8">
        <f t="shared" si="0"/>
        <v>17.5</v>
      </c>
      <c r="Q16"/>
    </row>
    <row r="17" spans="1:17">
      <c r="A17" s="1" t="s">
        <v>2</v>
      </c>
      <c r="B17" s="5" t="s">
        <v>35</v>
      </c>
      <c r="C17" s="15">
        <v>0</v>
      </c>
      <c r="D17" s="15">
        <v>0</v>
      </c>
      <c r="E17" s="44">
        <v>0.45833333333333331</v>
      </c>
      <c r="F17" s="66">
        <f>SUM(C17:E17)</f>
        <v>0.45833333333333331</v>
      </c>
      <c r="G17" s="55">
        <v>0.66666666666666663</v>
      </c>
      <c r="H17" s="15">
        <v>0.33333333333333331</v>
      </c>
      <c r="I17" s="15">
        <v>0.75</v>
      </c>
      <c r="J17" s="15">
        <v>0</v>
      </c>
      <c r="K17" s="15">
        <v>1.125</v>
      </c>
      <c r="L17" s="15">
        <v>0</v>
      </c>
      <c r="M17" s="16">
        <v>0</v>
      </c>
      <c r="N17" s="8">
        <f t="shared" ref="N17:N21" si="3">SUM(G17:M17)</f>
        <v>2.875</v>
      </c>
      <c r="O17" s="8">
        <f t="shared" si="0"/>
        <v>3.3333333333333335</v>
      </c>
      <c r="Q17"/>
    </row>
    <row r="18" spans="1:17">
      <c r="A18" s="1" t="s">
        <v>2</v>
      </c>
      <c r="B18" s="5" t="s">
        <v>36</v>
      </c>
      <c r="C18" s="15">
        <v>0</v>
      </c>
      <c r="D18" s="15">
        <v>0</v>
      </c>
      <c r="E18" s="44">
        <v>8.3333333333333329E-2</v>
      </c>
      <c r="F18" s="66">
        <f t="shared" ref="F18:F21" si="4">SUM(C18:E18)</f>
        <v>8.3333333333333329E-2</v>
      </c>
      <c r="G18" s="55">
        <v>2</v>
      </c>
      <c r="H18" s="15">
        <v>0.375</v>
      </c>
      <c r="I18" s="15">
        <v>0.375</v>
      </c>
      <c r="J18" s="15">
        <v>0</v>
      </c>
      <c r="K18" s="15">
        <v>0</v>
      </c>
      <c r="L18" s="15">
        <v>0</v>
      </c>
      <c r="M18" s="16">
        <v>0</v>
      </c>
      <c r="N18" s="8">
        <f t="shared" si="3"/>
        <v>2.75</v>
      </c>
      <c r="O18" s="8">
        <f t="shared" si="0"/>
        <v>2.8333333333333335</v>
      </c>
      <c r="Q18"/>
    </row>
    <row r="19" spans="1:17">
      <c r="A19" s="1" t="s">
        <v>2</v>
      </c>
      <c r="B19" s="5" t="s">
        <v>37</v>
      </c>
      <c r="C19" s="15">
        <v>0</v>
      </c>
      <c r="D19" s="15">
        <v>0</v>
      </c>
      <c r="E19" s="44">
        <v>0.25</v>
      </c>
      <c r="F19" s="66">
        <f t="shared" si="4"/>
        <v>0.25</v>
      </c>
      <c r="G19" s="55">
        <v>0</v>
      </c>
      <c r="H19" s="15">
        <v>0.70833333333333337</v>
      </c>
      <c r="I19" s="15">
        <v>0.75</v>
      </c>
      <c r="J19" s="15">
        <v>0</v>
      </c>
      <c r="K19" s="15">
        <v>0</v>
      </c>
      <c r="L19" s="15">
        <v>0</v>
      </c>
      <c r="M19" s="16">
        <v>0</v>
      </c>
      <c r="N19" s="8">
        <f t="shared" si="3"/>
        <v>1.4583333333333335</v>
      </c>
      <c r="O19" s="8">
        <f t="shared" si="0"/>
        <v>1.7083333333333335</v>
      </c>
      <c r="Q19"/>
    </row>
    <row r="20" spans="1:17">
      <c r="A20" s="1" t="s">
        <v>2</v>
      </c>
      <c r="B20" s="5" t="s">
        <v>38</v>
      </c>
      <c r="C20" s="15">
        <v>0</v>
      </c>
      <c r="D20" s="15">
        <v>0</v>
      </c>
      <c r="E20" s="44">
        <v>0.41666666666666669</v>
      </c>
      <c r="F20" s="66">
        <f t="shared" si="4"/>
        <v>0.41666666666666669</v>
      </c>
      <c r="G20" s="55">
        <v>0</v>
      </c>
      <c r="H20" s="15">
        <v>0.33333333333333331</v>
      </c>
      <c r="I20" s="15">
        <v>0.70833333333333337</v>
      </c>
      <c r="J20" s="15">
        <v>0</v>
      </c>
      <c r="K20" s="15">
        <v>0</v>
      </c>
      <c r="L20" s="15">
        <v>0</v>
      </c>
      <c r="M20" s="16">
        <v>0</v>
      </c>
      <c r="N20" s="8">
        <f t="shared" si="3"/>
        <v>1.0416666666666667</v>
      </c>
      <c r="O20" s="8">
        <f t="shared" si="0"/>
        <v>1.4583333333333335</v>
      </c>
      <c r="Q20"/>
    </row>
    <row r="21" spans="1:17">
      <c r="A21" s="1" t="s">
        <v>2</v>
      </c>
      <c r="B21" s="5" t="s">
        <v>39</v>
      </c>
      <c r="C21" s="15">
        <v>0</v>
      </c>
      <c r="D21" s="15">
        <v>0</v>
      </c>
      <c r="E21" s="44">
        <v>0.125</v>
      </c>
      <c r="F21" s="66">
        <f t="shared" si="4"/>
        <v>0.125</v>
      </c>
      <c r="G21" s="5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6">
        <v>0</v>
      </c>
      <c r="N21" s="8">
        <f t="shared" si="3"/>
        <v>0</v>
      </c>
      <c r="O21" s="8">
        <f t="shared" si="0"/>
        <v>0.125</v>
      </c>
      <c r="Q21"/>
    </row>
    <row r="22" spans="1:17">
      <c r="A22" s="1" t="s">
        <v>2</v>
      </c>
      <c r="B22" s="5" t="s">
        <v>40</v>
      </c>
      <c r="C22" s="15">
        <v>0.54166666666666663</v>
      </c>
      <c r="D22" s="15">
        <v>0</v>
      </c>
      <c r="E22" s="44">
        <v>0</v>
      </c>
      <c r="F22" s="66">
        <f>SUM(C22:E22)</f>
        <v>0.54166666666666663</v>
      </c>
      <c r="G22" s="55">
        <v>1.2916666666666667</v>
      </c>
      <c r="H22" s="15">
        <v>2.875</v>
      </c>
      <c r="I22" s="15">
        <v>2.5416666666666665</v>
      </c>
      <c r="J22" s="15">
        <v>0.95833333333333337</v>
      </c>
      <c r="K22" s="15">
        <v>1.0416666666666667</v>
      </c>
      <c r="L22" s="15">
        <v>8.3333333333333329E-2</v>
      </c>
      <c r="M22" s="16">
        <v>0.83333333333333337</v>
      </c>
      <c r="N22" s="8">
        <f>SUM(G22:M22)</f>
        <v>9.6250000000000018</v>
      </c>
      <c r="O22" s="8">
        <f t="shared" si="0"/>
        <v>10.166666666666668</v>
      </c>
      <c r="Q22"/>
    </row>
    <row r="23" spans="1:17" ht="19.5" thickBot="1">
      <c r="A23" s="1" t="s">
        <v>2</v>
      </c>
      <c r="B23" s="6" t="s">
        <v>41</v>
      </c>
      <c r="C23" s="30">
        <v>32.5</v>
      </c>
      <c r="D23" s="30">
        <v>11.5</v>
      </c>
      <c r="E23" s="45">
        <v>8.5</v>
      </c>
      <c r="F23" s="67">
        <f>SUM(C23:E23)</f>
        <v>52.5</v>
      </c>
      <c r="G23" s="56">
        <v>23</v>
      </c>
      <c r="H23" s="30">
        <v>18</v>
      </c>
      <c r="I23" s="30">
        <v>26</v>
      </c>
      <c r="J23" s="30">
        <v>31</v>
      </c>
      <c r="K23" s="30">
        <v>14</v>
      </c>
      <c r="L23" s="30">
        <v>0</v>
      </c>
      <c r="M23" s="31">
        <v>0</v>
      </c>
      <c r="N23" s="32">
        <f>SUM(G23:M23)</f>
        <v>112</v>
      </c>
      <c r="O23" s="32">
        <f t="shared" si="0"/>
        <v>164.5</v>
      </c>
      <c r="Q23"/>
    </row>
    <row r="24" spans="1:17">
      <c r="A24" s="1" t="s">
        <v>2</v>
      </c>
      <c r="B24" s="21" t="s">
        <v>42</v>
      </c>
      <c r="C24" s="28">
        <v>335000</v>
      </c>
      <c r="D24" s="28">
        <v>335000</v>
      </c>
      <c r="E24" s="46">
        <v>170000</v>
      </c>
      <c r="F24" s="68">
        <f>SUM(C24:E24)</f>
        <v>840000</v>
      </c>
      <c r="G24" s="57">
        <v>177000</v>
      </c>
      <c r="H24" s="28">
        <v>177000</v>
      </c>
      <c r="I24" s="28">
        <v>177000</v>
      </c>
      <c r="J24" s="28">
        <v>187000</v>
      </c>
      <c r="K24" s="28">
        <v>177000</v>
      </c>
      <c r="L24" s="28">
        <v>170000</v>
      </c>
      <c r="M24" s="29">
        <v>170000</v>
      </c>
      <c r="N24" s="29">
        <f>SUM(G24:M24)</f>
        <v>1235000</v>
      </c>
      <c r="O24" s="29">
        <f t="shared" si="0"/>
        <v>2075000</v>
      </c>
      <c r="Q24"/>
    </row>
    <row r="25" spans="1:17">
      <c r="A25" s="1" t="s">
        <v>2</v>
      </c>
      <c r="B25" s="5" t="s">
        <v>43</v>
      </c>
      <c r="C25" s="17">
        <v>0</v>
      </c>
      <c r="D25" s="17">
        <v>0</v>
      </c>
      <c r="E25" s="47">
        <v>0</v>
      </c>
      <c r="F25" s="69">
        <f t="shared" ref="F25:F63" si="5">SUM(C25:E25)</f>
        <v>0</v>
      </c>
      <c r="G25" s="58">
        <v>5000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8">
        <v>0</v>
      </c>
      <c r="N25" s="18">
        <f t="shared" ref="N25:N63" si="6">SUM(G25:M25)</f>
        <v>5000</v>
      </c>
      <c r="O25" s="18">
        <f t="shared" si="0"/>
        <v>5000</v>
      </c>
      <c r="Q25"/>
    </row>
    <row r="26" spans="1:17">
      <c r="A26" s="1" t="s">
        <v>2</v>
      </c>
      <c r="B26" s="5" t="s">
        <v>44</v>
      </c>
      <c r="C26" s="17">
        <v>0</v>
      </c>
      <c r="D26" s="17">
        <v>0</v>
      </c>
      <c r="E26" s="47">
        <v>3000</v>
      </c>
      <c r="F26" s="69">
        <f t="shared" si="5"/>
        <v>3000</v>
      </c>
      <c r="G26" s="58">
        <v>3000</v>
      </c>
      <c r="H26" s="17">
        <v>10000</v>
      </c>
      <c r="I26" s="17">
        <v>0</v>
      </c>
      <c r="J26" s="17">
        <v>0</v>
      </c>
      <c r="K26" s="17">
        <v>0</v>
      </c>
      <c r="L26" s="17">
        <v>0</v>
      </c>
      <c r="M26" s="18">
        <v>0</v>
      </c>
      <c r="N26" s="18">
        <f t="shared" si="6"/>
        <v>13000</v>
      </c>
      <c r="O26" s="18">
        <f t="shared" si="0"/>
        <v>16000</v>
      </c>
      <c r="Q26"/>
    </row>
    <row r="27" spans="1:17">
      <c r="A27" s="1" t="s">
        <v>2</v>
      </c>
      <c r="B27" s="5" t="s">
        <v>45</v>
      </c>
      <c r="C27" s="17">
        <v>0</v>
      </c>
      <c r="D27" s="17">
        <v>0</v>
      </c>
      <c r="E27" s="47">
        <v>0</v>
      </c>
      <c r="F27" s="69">
        <f t="shared" si="5"/>
        <v>0</v>
      </c>
      <c r="G27" s="58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8">
        <v>0</v>
      </c>
      <c r="N27" s="18">
        <f t="shared" si="6"/>
        <v>0</v>
      </c>
      <c r="O27" s="18">
        <f t="shared" si="0"/>
        <v>0</v>
      </c>
      <c r="Q27"/>
    </row>
    <row r="28" spans="1:17">
      <c r="A28" s="1" t="s">
        <v>2</v>
      </c>
      <c r="B28" s="5" t="s">
        <v>46</v>
      </c>
      <c r="C28" s="17">
        <v>0</v>
      </c>
      <c r="D28" s="17">
        <v>0</v>
      </c>
      <c r="E28" s="47">
        <v>0</v>
      </c>
      <c r="F28" s="69">
        <f t="shared" si="5"/>
        <v>0</v>
      </c>
      <c r="G28" s="58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8">
        <v>0</v>
      </c>
      <c r="N28" s="18">
        <f t="shared" si="6"/>
        <v>0</v>
      </c>
      <c r="O28" s="18">
        <f t="shared" si="0"/>
        <v>0</v>
      </c>
      <c r="Q28"/>
    </row>
    <row r="29" spans="1:17">
      <c r="A29" s="1" t="s">
        <v>2</v>
      </c>
      <c r="B29" s="5" t="s">
        <v>47</v>
      </c>
      <c r="C29" s="17">
        <v>0</v>
      </c>
      <c r="D29" s="17">
        <v>0</v>
      </c>
      <c r="E29" s="47">
        <v>0</v>
      </c>
      <c r="F29" s="69">
        <f t="shared" si="5"/>
        <v>0</v>
      </c>
      <c r="G29" s="58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8">
        <v>0</v>
      </c>
      <c r="N29" s="18">
        <f t="shared" si="6"/>
        <v>0</v>
      </c>
      <c r="O29" s="18">
        <f t="shared" si="0"/>
        <v>0</v>
      </c>
      <c r="Q29"/>
    </row>
    <row r="30" spans="1:17">
      <c r="A30" s="1" t="s">
        <v>2</v>
      </c>
      <c r="B30" s="5" t="s">
        <v>48</v>
      </c>
      <c r="C30" s="17">
        <v>0</v>
      </c>
      <c r="D30" s="17">
        <v>0</v>
      </c>
      <c r="E30" s="47">
        <v>0</v>
      </c>
      <c r="F30" s="69">
        <f t="shared" si="5"/>
        <v>0</v>
      </c>
      <c r="G30" s="58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8">
        <v>0</v>
      </c>
      <c r="N30" s="18">
        <f t="shared" si="6"/>
        <v>0</v>
      </c>
      <c r="O30" s="18">
        <f t="shared" si="0"/>
        <v>0</v>
      </c>
      <c r="Q30"/>
    </row>
    <row r="31" spans="1:17">
      <c r="A31" s="1" t="s">
        <v>2</v>
      </c>
      <c r="B31" s="5" t="s">
        <v>49</v>
      </c>
      <c r="C31" s="17">
        <v>0</v>
      </c>
      <c r="D31" s="17">
        <v>0</v>
      </c>
      <c r="E31" s="47">
        <v>0</v>
      </c>
      <c r="F31" s="69">
        <f t="shared" si="5"/>
        <v>0</v>
      </c>
      <c r="G31" s="58">
        <v>0</v>
      </c>
      <c r="H31" s="17">
        <v>1000</v>
      </c>
      <c r="I31" s="17">
        <v>1000</v>
      </c>
      <c r="J31" s="17">
        <v>1000</v>
      </c>
      <c r="K31" s="17">
        <v>0</v>
      </c>
      <c r="L31" s="17">
        <v>0</v>
      </c>
      <c r="M31" s="18">
        <v>0</v>
      </c>
      <c r="N31" s="18">
        <f t="shared" si="6"/>
        <v>3000</v>
      </c>
      <c r="O31" s="18">
        <f t="shared" si="0"/>
        <v>3000</v>
      </c>
      <c r="Q31"/>
    </row>
    <row r="32" spans="1:17">
      <c r="A32" s="1" t="s">
        <v>2</v>
      </c>
      <c r="B32" s="5" t="s">
        <v>50</v>
      </c>
      <c r="C32" s="17">
        <v>0</v>
      </c>
      <c r="D32" s="17">
        <v>0</v>
      </c>
      <c r="E32" s="47">
        <v>0</v>
      </c>
      <c r="F32" s="69">
        <f t="shared" si="5"/>
        <v>0</v>
      </c>
      <c r="G32" s="58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8">
        <v>0</v>
      </c>
      <c r="N32" s="18">
        <f t="shared" si="6"/>
        <v>0</v>
      </c>
      <c r="O32" s="18">
        <f t="shared" si="0"/>
        <v>0</v>
      </c>
      <c r="Q32"/>
    </row>
    <row r="33" spans="1:17">
      <c r="A33" s="1" t="s">
        <v>2</v>
      </c>
      <c r="B33" s="5" t="s">
        <v>51</v>
      </c>
      <c r="C33" s="17">
        <v>0</v>
      </c>
      <c r="D33" s="17">
        <v>0</v>
      </c>
      <c r="E33" s="47">
        <v>0</v>
      </c>
      <c r="F33" s="69">
        <f t="shared" si="5"/>
        <v>0</v>
      </c>
      <c r="G33" s="58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8">
        <v>0</v>
      </c>
      <c r="N33" s="18">
        <f t="shared" si="6"/>
        <v>0</v>
      </c>
      <c r="O33" s="18">
        <f t="shared" si="0"/>
        <v>0</v>
      </c>
      <c r="Q33"/>
    </row>
    <row r="34" spans="1:17">
      <c r="A34" s="1" t="s">
        <v>2</v>
      </c>
      <c r="B34" s="5" t="s">
        <v>52</v>
      </c>
      <c r="C34" s="17">
        <v>0</v>
      </c>
      <c r="D34" s="17">
        <v>0</v>
      </c>
      <c r="E34" s="47">
        <v>0</v>
      </c>
      <c r="F34" s="69">
        <f t="shared" si="5"/>
        <v>0</v>
      </c>
      <c r="G34" s="58">
        <v>0</v>
      </c>
      <c r="H34" s="17">
        <v>12600</v>
      </c>
      <c r="I34" s="17">
        <v>0</v>
      </c>
      <c r="J34" s="17">
        <v>0</v>
      </c>
      <c r="K34" s="17">
        <v>0</v>
      </c>
      <c r="L34" s="17">
        <v>0</v>
      </c>
      <c r="M34" s="18">
        <v>0</v>
      </c>
      <c r="N34" s="18">
        <f t="shared" si="6"/>
        <v>12600</v>
      </c>
      <c r="O34" s="18">
        <f t="shared" si="0"/>
        <v>12600</v>
      </c>
      <c r="Q34"/>
    </row>
    <row r="35" spans="1:17">
      <c r="A35" s="1" t="s">
        <v>2</v>
      </c>
      <c r="B35" s="5" t="s">
        <v>53</v>
      </c>
      <c r="C35" s="17">
        <v>0</v>
      </c>
      <c r="D35" s="17">
        <v>0</v>
      </c>
      <c r="E35" s="47">
        <v>0</v>
      </c>
      <c r="F35" s="69">
        <f t="shared" si="5"/>
        <v>0</v>
      </c>
      <c r="G35" s="58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8">
        <v>0</v>
      </c>
      <c r="N35" s="18">
        <f t="shared" si="6"/>
        <v>0</v>
      </c>
      <c r="O35" s="18">
        <f t="shared" si="0"/>
        <v>0</v>
      </c>
      <c r="Q35"/>
    </row>
    <row r="36" spans="1:17">
      <c r="A36" s="1" t="s">
        <v>2</v>
      </c>
      <c r="B36" s="5" t="s">
        <v>54</v>
      </c>
      <c r="C36" s="17">
        <v>0</v>
      </c>
      <c r="D36" s="17">
        <v>0</v>
      </c>
      <c r="E36" s="47">
        <v>0</v>
      </c>
      <c r="F36" s="69">
        <f t="shared" si="5"/>
        <v>0</v>
      </c>
      <c r="G36" s="58">
        <v>0</v>
      </c>
      <c r="H36" s="17">
        <v>0</v>
      </c>
      <c r="I36" s="17">
        <v>0</v>
      </c>
      <c r="J36" s="17">
        <v>0</v>
      </c>
      <c r="K36" s="17">
        <v>0</v>
      </c>
      <c r="L36" s="74">
        <v>-47984</v>
      </c>
      <c r="M36" s="75">
        <v>0</v>
      </c>
      <c r="N36" s="75">
        <f t="shared" si="6"/>
        <v>-47984</v>
      </c>
      <c r="O36" s="75">
        <f t="shared" si="0"/>
        <v>-47984</v>
      </c>
      <c r="Q36"/>
    </row>
    <row r="37" spans="1:17">
      <c r="A37" s="1" t="s">
        <v>2</v>
      </c>
      <c r="B37" s="5" t="s">
        <v>34</v>
      </c>
      <c r="C37" s="17">
        <v>0</v>
      </c>
      <c r="D37" s="17">
        <v>0</v>
      </c>
      <c r="E37" s="47">
        <v>0</v>
      </c>
      <c r="F37" s="69">
        <f t="shared" si="5"/>
        <v>0</v>
      </c>
      <c r="G37" s="58">
        <v>77560</v>
      </c>
      <c r="H37" s="17">
        <v>40527</v>
      </c>
      <c r="I37" s="17">
        <v>45322</v>
      </c>
      <c r="J37" s="17">
        <v>160512</v>
      </c>
      <c r="K37" s="17">
        <v>109975</v>
      </c>
      <c r="L37" s="17">
        <v>6365</v>
      </c>
      <c r="M37" s="18">
        <v>128573</v>
      </c>
      <c r="N37" s="18">
        <f t="shared" si="6"/>
        <v>568834</v>
      </c>
      <c r="O37" s="18">
        <f t="shared" si="0"/>
        <v>568834</v>
      </c>
      <c r="Q37"/>
    </row>
    <row r="38" spans="1:17">
      <c r="A38" s="1" t="s">
        <v>2</v>
      </c>
      <c r="B38" s="5" t="s">
        <v>55</v>
      </c>
      <c r="C38" s="17">
        <v>0</v>
      </c>
      <c r="D38" s="17">
        <v>0</v>
      </c>
      <c r="E38" s="47">
        <v>17600</v>
      </c>
      <c r="F38" s="69">
        <f t="shared" si="5"/>
        <v>17600</v>
      </c>
      <c r="G38" s="58">
        <v>23936</v>
      </c>
      <c r="H38" s="17">
        <v>12968</v>
      </c>
      <c r="I38" s="17">
        <v>25902</v>
      </c>
      <c r="J38" s="17">
        <v>0</v>
      </c>
      <c r="K38" s="17">
        <v>38637</v>
      </c>
      <c r="L38" s="17">
        <v>0</v>
      </c>
      <c r="M38" s="18">
        <v>0</v>
      </c>
      <c r="N38" s="18">
        <f t="shared" si="6"/>
        <v>101443</v>
      </c>
      <c r="O38" s="18">
        <f t="shared" si="0"/>
        <v>119043</v>
      </c>
      <c r="Q38"/>
    </row>
    <row r="39" spans="1:17">
      <c r="A39" s="1" t="s">
        <v>2</v>
      </c>
      <c r="B39" s="5" t="s">
        <v>56</v>
      </c>
      <c r="C39" s="17">
        <v>0</v>
      </c>
      <c r="D39" s="17">
        <v>0</v>
      </c>
      <c r="E39" s="47">
        <v>3200</v>
      </c>
      <c r="F39" s="69">
        <f t="shared" si="5"/>
        <v>3200</v>
      </c>
      <c r="G39" s="58">
        <v>71808</v>
      </c>
      <c r="H39" s="17">
        <v>14589</v>
      </c>
      <c r="I39" s="17">
        <v>12951</v>
      </c>
      <c r="J39" s="17">
        <v>0</v>
      </c>
      <c r="K39" s="17">
        <v>0</v>
      </c>
      <c r="L39" s="17">
        <v>0</v>
      </c>
      <c r="M39" s="18">
        <v>0</v>
      </c>
      <c r="N39" s="18">
        <f t="shared" si="6"/>
        <v>99348</v>
      </c>
      <c r="O39" s="18">
        <f t="shared" si="0"/>
        <v>102548</v>
      </c>
      <c r="Q39"/>
    </row>
    <row r="40" spans="1:17">
      <c r="A40" s="1" t="s">
        <v>2</v>
      </c>
      <c r="B40" s="5" t="s">
        <v>57</v>
      </c>
      <c r="C40" s="17">
        <v>0</v>
      </c>
      <c r="D40" s="17">
        <v>0</v>
      </c>
      <c r="E40" s="47">
        <v>2490</v>
      </c>
      <c r="F40" s="69">
        <f t="shared" si="5"/>
        <v>2490</v>
      </c>
      <c r="G40" s="58">
        <v>0</v>
      </c>
      <c r="H40" s="17">
        <v>7140</v>
      </c>
      <c r="I40" s="17">
        <v>6714</v>
      </c>
      <c r="J40" s="17">
        <v>0</v>
      </c>
      <c r="K40" s="17">
        <v>0</v>
      </c>
      <c r="L40" s="17">
        <v>0</v>
      </c>
      <c r="M40" s="18">
        <v>0</v>
      </c>
      <c r="N40" s="18">
        <f t="shared" si="6"/>
        <v>13854</v>
      </c>
      <c r="O40" s="18">
        <f t="shared" si="0"/>
        <v>16344</v>
      </c>
      <c r="Q40"/>
    </row>
    <row r="41" spans="1:17">
      <c r="A41" s="1" t="s">
        <v>2</v>
      </c>
      <c r="B41" s="5" t="s">
        <v>58</v>
      </c>
      <c r="C41" s="17">
        <v>0</v>
      </c>
      <c r="D41" s="17">
        <v>0</v>
      </c>
      <c r="E41" s="47">
        <v>4150</v>
      </c>
      <c r="F41" s="69">
        <f t="shared" si="5"/>
        <v>4150</v>
      </c>
      <c r="G41" s="58">
        <v>0</v>
      </c>
      <c r="H41" s="17">
        <v>3360</v>
      </c>
      <c r="I41" s="17">
        <v>6341</v>
      </c>
      <c r="J41" s="17">
        <v>0</v>
      </c>
      <c r="K41" s="17">
        <v>0</v>
      </c>
      <c r="L41" s="17">
        <v>0</v>
      </c>
      <c r="M41" s="18">
        <v>0</v>
      </c>
      <c r="N41" s="18">
        <f t="shared" si="6"/>
        <v>9701</v>
      </c>
      <c r="O41" s="18">
        <f t="shared" si="0"/>
        <v>13851</v>
      </c>
      <c r="Q41"/>
    </row>
    <row r="42" spans="1:17">
      <c r="A42" s="1" t="s">
        <v>2</v>
      </c>
      <c r="B42" s="5" t="s">
        <v>59</v>
      </c>
      <c r="C42" s="17">
        <v>0</v>
      </c>
      <c r="D42" s="17">
        <v>0</v>
      </c>
      <c r="E42" s="47">
        <v>0</v>
      </c>
      <c r="F42" s="69">
        <f t="shared" si="5"/>
        <v>0</v>
      </c>
      <c r="G42" s="58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8">
        <v>0</v>
      </c>
      <c r="N42" s="18">
        <f t="shared" si="6"/>
        <v>0</v>
      </c>
      <c r="O42" s="18">
        <f t="shared" si="0"/>
        <v>0</v>
      </c>
      <c r="Q42"/>
    </row>
    <row r="43" spans="1:17">
      <c r="A43" s="1" t="s">
        <v>2</v>
      </c>
      <c r="B43" s="5" t="s">
        <v>39</v>
      </c>
      <c r="C43" s="17">
        <v>0</v>
      </c>
      <c r="D43" s="17">
        <v>0</v>
      </c>
      <c r="E43" s="47">
        <v>3555</v>
      </c>
      <c r="F43" s="69">
        <f t="shared" si="5"/>
        <v>3555</v>
      </c>
      <c r="G43" s="58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8">
        <v>0</v>
      </c>
      <c r="N43" s="18">
        <f t="shared" si="6"/>
        <v>0</v>
      </c>
      <c r="O43" s="18">
        <f t="shared" si="0"/>
        <v>3555</v>
      </c>
      <c r="Q43"/>
    </row>
    <row r="44" spans="1:17" ht="19.5" thickBot="1">
      <c r="A44" s="1" t="s">
        <v>2</v>
      </c>
      <c r="B44" s="33" t="s">
        <v>40</v>
      </c>
      <c r="C44" s="34">
        <v>6526</v>
      </c>
      <c r="D44" s="34">
        <v>0</v>
      </c>
      <c r="E44" s="48">
        <v>0</v>
      </c>
      <c r="F44" s="70">
        <f t="shared" si="5"/>
        <v>6526</v>
      </c>
      <c r="G44" s="59">
        <v>8587</v>
      </c>
      <c r="H44" s="34">
        <v>20700</v>
      </c>
      <c r="I44" s="34">
        <v>16287</v>
      </c>
      <c r="J44" s="34">
        <v>6486</v>
      </c>
      <c r="K44" s="34">
        <v>6625</v>
      </c>
      <c r="L44" s="34">
        <v>510</v>
      </c>
      <c r="M44" s="35">
        <v>5100</v>
      </c>
      <c r="N44" s="35">
        <f t="shared" si="6"/>
        <v>64295</v>
      </c>
      <c r="O44" s="35">
        <f t="shared" si="0"/>
        <v>70821</v>
      </c>
      <c r="Q44"/>
    </row>
    <row r="45" spans="1:17" ht="19.5" thickBot="1">
      <c r="A45" s="1" t="s">
        <v>2</v>
      </c>
      <c r="B45" s="36" t="s">
        <v>60</v>
      </c>
      <c r="C45" s="37">
        <v>341526</v>
      </c>
      <c r="D45" s="37">
        <v>335000</v>
      </c>
      <c r="E45" s="49">
        <v>203995</v>
      </c>
      <c r="F45" s="71">
        <f t="shared" si="5"/>
        <v>880521</v>
      </c>
      <c r="G45" s="60">
        <v>366891</v>
      </c>
      <c r="H45" s="37">
        <v>299884</v>
      </c>
      <c r="I45" s="37">
        <v>291517</v>
      </c>
      <c r="J45" s="37">
        <v>354998</v>
      </c>
      <c r="K45" s="37">
        <v>332237</v>
      </c>
      <c r="L45" s="37">
        <v>128891</v>
      </c>
      <c r="M45" s="38">
        <v>303673</v>
      </c>
      <c r="N45" s="38">
        <f t="shared" si="6"/>
        <v>2078091</v>
      </c>
      <c r="O45" s="38">
        <f t="shared" si="0"/>
        <v>2958612</v>
      </c>
      <c r="Q45"/>
    </row>
    <row r="46" spans="1:17" ht="19.5" thickBot="1">
      <c r="A46" s="1" t="s">
        <v>2</v>
      </c>
      <c r="B46" s="21" t="s">
        <v>61</v>
      </c>
      <c r="C46" s="28">
        <v>6653</v>
      </c>
      <c r="D46" s="28">
        <v>17865</v>
      </c>
      <c r="E46" s="46">
        <v>582</v>
      </c>
      <c r="F46" s="68">
        <f t="shared" si="5"/>
        <v>25100</v>
      </c>
      <c r="G46" s="57">
        <v>8724</v>
      </c>
      <c r="H46" s="28">
        <v>2234</v>
      </c>
      <c r="I46" s="28">
        <v>2234</v>
      </c>
      <c r="J46" s="28">
        <v>9724</v>
      </c>
      <c r="K46" s="28">
        <v>4606</v>
      </c>
      <c r="L46" s="28">
        <v>280</v>
      </c>
      <c r="M46" s="29">
        <v>6142</v>
      </c>
      <c r="N46" s="29">
        <f t="shared" si="6"/>
        <v>33944</v>
      </c>
      <c r="O46" s="29">
        <f t="shared" si="0"/>
        <v>59044</v>
      </c>
      <c r="Q46"/>
    </row>
    <row r="47" spans="1:17" ht="19.5" thickBot="1">
      <c r="A47" s="1" t="s">
        <v>2</v>
      </c>
      <c r="B47" s="36" t="s">
        <v>62</v>
      </c>
      <c r="C47" s="37">
        <v>6653</v>
      </c>
      <c r="D47" s="37">
        <v>17865</v>
      </c>
      <c r="E47" s="49">
        <v>582</v>
      </c>
      <c r="F47" s="71">
        <f t="shared" si="5"/>
        <v>25100</v>
      </c>
      <c r="G47" s="60">
        <v>8724</v>
      </c>
      <c r="H47" s="37">
        <v>2234</v>
      </c>
      <c r="I47" s="37">
        <v>2234</v>
      </c>
      <c r="J47" s="37">
        <v>9724</v>
      </c>
      <c r="K47" s="37">
        <v>4606</v>
      </c>
      <c r="L47" s="37">
        <v>280</v>
      </c>
      <c r="M47" s="38">
        <v>6142</v>
      </c>
      <c r="N47" s="38">
        <f t="shared" si="6"/>
        <v>33944</v>
      </c>
      <c r="O47" s="38">
        <f t="shared" si="0"/>
        <v>59044</v>
      </c>
      <c r="Q47"/>
    </row>
    <row r="48" spans="1:17" ht="19.5" thickBot="1">
      <c r="A48" s="1" t="s">
        <v>2</v>
      </c>
      <c r="B48" s="36" t="s">
        <v>63</v>
      </c>
      <c r="C48" s="37">
        <v>348179</v>
      </c>
      <c r="D48" s="37">
        <v>352865</v>
      </c>
      <c r="E48" s="49">
        <v>204577</v>
      </c>
      <c r="F48" s="71">
        <f t="shared" si="5"/>
        <v>905621</v>
      </c>
      <c r="G48" s="60">
        <v>375615</v>
      </c>
      <c r="H48" s="37">
        <v>302118</v>
      </c>
      <c r="I48" s="37">
        <v>293751</v>
      </c>
      <c r="J48" s="37">
        <v>364722</v>
      </c>
      <c r="K48" s="37">
        <v>336843</v>
      </c>
      <c r="L48" s="37">
        <v>129171</v>
      </c>
      <c r="M48" s="38">
        <v>309815</v>
      </c>
      <c r="N48" s="38">
        <f t="shared" si="6"/>
        <v>2112035</v>
      </c>
      <c r="O48" s="38">
        <f t="shared" si="0"/>
        <v>3017656</v>
      </c>
      <c r="Q48"/>
    </row>
    <row r="49" spans="1:17">
      <c r="A49" s="1" t="s">
        <v>2</v>
      </c>
      <c r="B49" s="21" t="s">
        <v>64</v>
      </c>
      <c r="C49" s="28">
        <v>17340</v>
      </c>
      <c r="D49" s="28">
        <v>17340</v>
      </c>
      <c r="E49" s="46">
        <v>8670</v>
      </c>
      <c r="F49" s="68">
        <f t="shared" si="5"/>
        <v>43350</v>
      </c>
      <c r="G49" s="57">
        <v>17340</v>
      </c>
      <c r="H49" s="28">
        <v>17340</v>
      </c>
      <c r="I49" s="28">
        <v>16320</v>
      </c>
      <c r="J49" s="28">
        <v>17340</v>
      </c>
      <c r="K49" s="28">
        <v>14280</v>
      </c>
      <c r="L49" s="28">
        <v>0</v>
      </c>
      <c r="M49" s="29">
        <v>13260</v>
      </c>
      <c r="N49" s="29">
        <f t="shared" si="6"/>
        <v>95880</v>
      </c>
      <c r="O49" s="29">
        <f t="shared" si="0"/>
        <v>139230</v>
      </c>
      <c r="Q49"/>
    </row>
    <row r="50" spans="1:17">
      <c r="A50" s="1" t="s">
        <v>2</v>
      </c>
      <c r="B50" s="5" t="s">
        <v>65</v>
      </c>
      <c r="C50" s="17">
        <v>3060</v>
      </c>
      <c r="D50" s="17">
        <v>3060</v>
      </c>
      <c r="E50" s="47">
        <v>0</v>
      </c>
      <c r="F50" s="69">
        <f t="shared" si="5"/>
        <v>6120</v>
      </c>
      <c r="G50" s="58">
        <v>3060</v>
      </c>
      <c r="H50" s="17">
        <v>3060</v>
      </c>
      <c r="I50" s="17">
        <v>2880</v>
      </c>
      <c r="J50" s="17">
        <v>3060</v>
      </c>
      <c r="K50" s="17">
        <v>2520</v>
      </c>
      <c r="L50" s="17">
        <v>0</v>
      </c>
      <c r="M50" s="18">
        <v>2340</v>
      </c>
      <c r="N50" s="18">
        <f t="shared" si="6"/>
        <v>16920</v>
      </c>
      <c r="O50" s="18">
        <f t="shared" si="0"/>
        <v>23040</v>
      </c>
      <c r="Q50"/>
    </row>
    <row r="51" spans="1:17">
      <c r="A51" s="1" t="s">
        <v>2</v>
      </c>
      <c r="B51" s="5" t="s">
        <v>66</v>
      </c>
      <c r="C51" s="17">
        <v>31110</v>
      </c>
      <c r="D51" s="17">
        <v>31110</v>
      </c>
      <c r="E51" s="47">
        <v>15555</v>
      </c>
      <c r="F51" s="69">
        <f t="shared" si="5"/>
        <v>77775</v>
      </c>
      <c r="G51" s="58">
        <v>31110</v>
      </c>
      <c r="H51" s="17">
        <v>31110</v>
      </c>
      <c r="I51" s="17">
        <v>29280</v>
      </c>
      <c r="J51" s="17">
        <v>31110</v>
      </c>
      <c r="K51" s="17">
        <v>25620</v>
      </c>
      <c r="L51" s="17">
        <v>0</v>
      </c>
      <c r="M51" s="18">
        <v>23790</v>
      </c>
      <c r="N51" s="18">
        <f t="shared" si="6"/>
        <v>172020</v>
      </c>
      <c r="O51" s="18">
        <f t="shared" si="0"/>
        <v>249795</v>
      </c>
      <c r="Q51"/>
    </row>
    <row r="52" spans="1:17">
      <c r="A52" s="1" t="s">
        <v>2</v>
      </c>
      <c r="B52" s="5" t="s">
        <v>67</v>
      </c>
      <c r="C52" s="17">
        <v>1045</v>
      </c>
      <c r="D52" s="17">
        <v>1059</v>
      </c>
      <c r="E52" s="47">
        <v>614</v>
      </c>
      <c r="F52" s="69">
        <f t="shared" si="5"/>
        <v>2718</v>
      </c>
      <c r="G52" s="58">
        <v>1127</v>
      </c>
      <c r="H52" s="17">
        <v>906</v>
      </c>
      <c r="I52" s="17">
        <v>881</v>
      </c>
      <c r="J52" s="17">
        <v>1094</v>
      </c>
      <c r="K52" s="17">
        <v>1011</v>
      </c>
      <c r="L52" s="17">
        <v>388</v>
      </c>
      <c r="M52" s="18">
        <v>929</v>
      </c>
      <c r="N52" s="18">
        <f t="shared" si="6"/>
        <v>6336</v>
      </c>
      <c r="O52" s="18">
        <f t="shared" si="0"/>
        <v>9054</v>
      </c>
      <c r="Q52"/>
    </row>
    <row r="53" spans="1:17" ht="19.5" thickBot="1">
      <c r="A53" s="1" t="s">
        <v>2</v>
      </c>
      <c r="B53" s="33" t="s">
        <v>68</v>
      </c>
      <c r="C53" s="34">
        <v>0</v>
      </c>
      <c r="D53" s="34">
        <v>0</v>
      </c>
      <c r="E53" s="48">
        <v>0</v>
      </c>
      <c r="F53" s="70">
        <f t="shared" si="5"/>
        <v>0</v>
      </c>
      <c r="G53" s="59">
        <v>0</v>
      </c>
      <c r="H53" s="34">
        <v>0</v>
      </c>
      <c r="I53" s="34">
        <v>0</v>
      </c>
      <c r="J53" s="34">
        <v>0</v>
      </c>
      <c r="K53" s="34">
        <v>0</v>
      </c>
      <c r="L53" s="34">
        <v>0</v>
      </c>
      <c r="M53" s="35">
        <v>0</v>
      </c>
      <c r="N53" s="35">
        <f t="shared" si="6"/>
        <v>0</v>
      </c>
      <c r="O53" s="35">
        <f t="shared" si="0"/>
        <v>0</v>
      </c>
      <c r="Q53"/>
    </row>
    <row r="54" spans="1:17" ht="19.5" thickBot="1">
      <c r="A54" s="1" t="s">
        <v>2</v>
      </c>
      <c r="B54" s="36" t="s">
        <v>69</v>
      </c>
      <c r="C54" s="37">
        <v>52555</v>
      </c>
      <c r="D54" s="37">
        <v>52569</v>
      </c>
      <c r="E54" s="49">
        <v>24839</v>
      </c>
      <c r="F54" s="71">
        <f t="shared" si="5"/>
        <v>129963</v>
      </c>
      <c r="G54" s="60">
        <v>52637</v>
      </c>
      <c r="H54" s="37">
        <v>52416</v>
      </c>
      <c r="I54" s="37">
        <v>49361</v>
      </c>
      <c r="J54" s="37">
        <v>52604</v>
      </c>
      <c r="K54" s="37">
        <v>43431</v>
      </c>
      <c r="L54" s="37">
        <v>388</v>
      </c>
      <c r="M54" s="38">
        <v>40319</v>
      </c>
      <c r="N54" s="38">
        <f t="shared" si="6"/>
        <v>291156</v>
      </c>
      <c r="O54" s="38">
        <f t="shared" si="0"/>
        <v>421119</v>
      </c>
      <c r="Q54"/>
    </row>
    <row r="55" spans="1:17">
      <c r="A55" s="1" t="s">
        <v>2</v>
      </c>
      <c r="B55" s="21" t="s">
        <v>70</v>
      </c>
      <c r="C55" s="28">
        <v>7940</v>
      </c>
      <c r="D55" s="28">
        <v>7710</v>
      </c>
      <c r="E55" s="46">
        <v>4020</v>
      </c>
      <c r="F55" s="68">
        <f t="shared" si="5"/>
        <v>19670</v>
      </c>
      <c r="G55" s="57">
        <v>5690</v>
      </c>
      <c r="H55" s="28">
        <v>3230</v>
      </c>
      <c r="I55" s="28">
        <v>6270</v>
      </c>
      <c r="J55" s="28">
        <v>8580</v>
      </c>
      <c r="K55" s="28">
        <v>4700</v>
      </c>
      <c r="L55" s="28">
        <v>2180</v>
      </c>
      <c r="M55" s="29">
        <v>7030</v>
      </c>
      <c r="N55" s="29">
        <f t="shared" si="6"/>
        <v>37680</v>
      </c>
      <c r="O55" s="29">
        <f t="shared" si="0"/>
        <v>57350</v>
      </c>
      <c r="Q55"/>
    </row>
    <row r="56" spans="1:17">
      <c r="A56" s="1" t="s">
        <v>2</v>
      </c>
      <c r="B56" s="5" t="s">
        <v>71</v>
      </c>
      <c r="C56" s="17">
        <v>0</v>
      </c>
      <c r="D56" s="17">
        <v>0</v>
      </c>
      <c r="E56" s="47">
        <v>0</v>
      </c>
      <c r="F56" s="69">
        <f t="shared" si="5"/>
        <v>0</v>
      </c>
      <c r="G56" s="58">
        <v>0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8">
        <v>0</v>
      </c>
      <c r="N56" s="18">
        <f t="shared" si="6"/>
        <v>0</v>
      </c>
      <c r="O56" s="18">
        <f t="shared" ref="O56:O63" si="7">F56+N56</f>
        <v>0</v>
      </c>
      <c r="Q56"/>
    </row>
    <row r="57" spans="1:17">
      <c r="A57" s="1" t="s">
        <v>2</v>
      </c>
      <c r="B57" s="5" t="s">
        <v>72</v>
      </c>
      <c r="C57" s="17">
        <v>6900</v>
      </c>
      <c r="D57" s="17">
        <v>7600</v>
      </c>
      <c r="E57" s="47">
        <v>1100</v>
      </c>
      <c r="F57" s="69">
        <f t="shared" si="5"/>
        <v>15600</v>
      </c>
      <c r="G57" s="58">
        <v>11100</v>
      </c>
      <c r="H57" s="17">
        <v>8000</v>
      </c>
      <c r="I57" s="17">
        <v>13100</v>
      </c>
      <c r="J57" s="17">
        <v>14100</v>
      </c>
      <c r="K57" s="17">
        <v>10300</v>
      </c>
      <c r="L57" s="17">
        <v>1300</v>
      </c>
      <c r="M57" s="18">
        <v>12300</v>
      </c>
      <c r="N57" s="18">
        <f t="shared" si="6"/>
        <v>70200</v>
      </c>
      <c r="O57" s="18">
        <f t="shared" si="7"/>
        <v>85800</v>
      </c>
      <c r="Q57"/>
    </row>
    <row r="58" spans="1:17" ht="19.5" thickBot="1">
      <c r="A58" s="1" t="s">
        <v>2</v>
      </c>
      <c r="B58" s="5" t="s">
        <v>73</v>
      </c>
      <c r="C58" s="17">
        <v>0</v>
      </c>
      <c r="D58" s="17">
        <v>0</v>
      </c>
      <c r="E58" s="47">
        <v>0</v>
      </c>
      <c r="F58" s="69">
        <f t="shared" si="5"/>
        <v>0</v>
      </c>
      <c r="G58" s="58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8">
        <v>0</v>
      </c>
      <c r="N58" s="18">
        <f t="shared" si="6"/>
        <v>0</v>
      </c>
      <c r="O58" s="18">
        <f t="shared" si="7"/>
        <v>0</v>
      </c>
      <c r="Q58"/>
    </row>
    <row r="59" spans="1:17" ht="19.5" thickBot="1">
      <c r="A59" s="1" t="s">
        <v>2</v>
      </c>
      <c r="B59" s="36" t="s">
        <v>74</v>
      </c>
      <c r="C59" s="37">
        <v>67395</v>
      </c>
      <c r="D59" s="37">
        <v>67879</v>
      </c>
      <c r="E59" s="49">
        <v>29959</v>
      </c>
      <c r="F59" s="71">
        <f t="shared" si="5"/>
        <v>165233</v>
      </c>
      <c r="G59" s="60">
        <v>69427</v>
      </c>
      <c r="H59" s="37">
        <v>63646</v>
      </c>
      <c r="I59" s="37">
        <v>68731</v>
      </c>
      <c r="J59" s="37">
        <v>75284</v>
      </c>
      <c r="K59" s="37">
        <v>58431</v>
      </c>
      <c r="L59" s="37">
        <v>3868</v>
      </c>
      <c r="M59" s="38">
        <v>59649</v>
      </c>
      <c r="N59" s="38">
        <f t="shared" si="6"/>
        <v>399036</v>
      </c>
      <c r="O59" s="38">
        <f t="shared" si="7"/>
        <v>564269</v>
      </c>
      <c r="Q59"/>
    </row>
    <row r="60" spans="1:17" ht="19.5" thickBot="1">
      <c r="A60" s="1" t="s">
        <v>2</v>
      </c>
      <c r="B60" s="36" t="s">
        <v>75</v>
      </c>
      <c r="C60" s="37">
        <v>288971</v>
      </c>
      <c r="D60" s="37">
        <v>282431</v>
      </c>
      <c r="E60" s="49">
        <v>179156</v>
      </c>
      <c r="F60" s="71">
        <f t="shared" si="5"/>
        <v>750558</v>
      </c>
      <c r="G60" s="60">
        <v>314254</v>
      </c>
      <c r="H60" s="37">
        <v>247468</v>
      </c>
      <c r="I60" s="37">
        <v>242156</v>
      </c>
      <c r="J60" s="37">
        <v>302394</v>
      </c>
      <c r="K60" s="37">
        <v>288806</v>
      </c>
      <c r="L60" s="37">
        <v>128503</v>
      </c>
      <c r="M60" s="38">
        <v>263354</v>
      </c>
      <c r="N60" s="38">
        <f t="shared" si="6"/>
        <v>1786935</v>
      </c>
      <c r="O60" s="38">
        <f t="shared" si="7"/>
        <v>2537493</v>
      </c>
      <c r="Q60"/>
    </row>
    <row r="61" spans="1:17" ht="19.5" thickBot="1">
      <c r="A61" s="1" t="s">
        <v>2</v>
      </c>
      <c r="B61" s="36" t="s">
        <v>76</v>
      </c>
      <c r="C61" s="37">
        <v>280784</v>
      </c>
      <c r="D61" s="37">
        <v>284986</v>
      </c>
      <c r="E61" s="49">
        <v>174618</v>
      </c>
      <c r="F61" s="71">
        <f t="shared" si="5"/>
        <v>740388</v>
      </c>
      <c r="G61" s="60">
        <v>306188</v>
      </c>
      <c r="H61" s="37">
        <v>238472</v>
      </c>
      <c r="I61" s="37">
        <v>225020</v>
      </c>
      <c r="J61" s="37">
        <v>289438</v>
      </c>
      <c r="K61" s="37">
        <v>278412</v>
      </c>
      <c r="L61" s="37">
        <v>125303</v>
      </c>
      <c r="M61" s="38">
        <v>250166</v>
      </c>
      <c r="N61" s="38">
        <f t="shared" si="6"/>
        <v>1712999</v>
      </c>
      <c r="O61" s="38">
        <f t="shared" si="7"/>
        <v>2453387</v>
      </c>
      <c r="Q61"/>
    </row>
    <row r="62" spans="1:17">
      <c r="A62" s="1" t="s">
        <v>2</v>
      </c>
      <c r="B62" s="21" t="s">
        <v>77</v>
      </c>
      <c r="C62" s="28">
        <v>0</v>
      </c>
      <c r="D62" s="28">
        <v>0</v>
      </c>
      <c r="E62" s="46">
        <v>0</v>
      </c>
      <c r="F62" s="68">
        <f t="shared" si="5"/>
        <v>0</v>
      </c>
      <c r="G62" s="57">
        <v>0</v>
      </c>
      <c r="H62" s="28">
        <v>0</v>
      </c>
      <c r="I62" s="28">
        <v>0</v>
      </c>
      <c r="J62" s="28">
        <v>0</v>
      </c>
      <c r="K62" s="28">
        <v>0</v>
      </c>
      <c r="L62" s="28">
        <v>0</v>
      </c>
      <c r="M62" s="29">
        <v>0</v>
      </c>
      <c r="N62" s="29">
        <f t="shared" si="6"/>
        <v>0</v>
      </c>
      <c r="O62" s="29">
        <f t="shared" si="7"/>
        <v>0</v>
      </c>
      <c r="Q62"/>
    </row>
    <row r="63" spans="1:17">
      <c r="A63" s="1" t="s">
        <v>2</v>
      </c>
      <c r="B63" s="5" t="s">
        <v>78</v>
      </c>
      <c r="C63" s="17">
        <v>280784</v>
      </c>
      <c r="D63" s="17">
        <v>284986</v>
      </c>
      <c r="E63" s="47">
        <v>174618</v>
      </c>
      <c r="F63" s="69">
        <f t="shared" si="5"/>
        <v>740388</v>
      </c>
      <c r="G63" s="58">
        <v>306188</v>
      </c>
      <c r="H63" s="17">
        <v>238472</v>
      </c>
      <c r="I63" s="17">
        <v>225020</v>
      </c>
      <c r="J63" s="17">
        <v>289438</v>
      </c>
      <c r="K63" s="17">
        <v>278412</v>
      </c>
      <c r="L63" s="17">
        <v>125303</v>
      </c>
      <c r="M63" s="18">
        <v>250166</v>
      </c>
      <c r="N63" s="18">
        <f t="shared" si="6"/>
        <v>1712999</v>
      </c>
      <c r="O63" s="18">
        <f t="shared" si="7"/>
        <v>2453387</v>
      </c>
      <c r="Q63"/>
    </row>
    <row r="64" spans="1:17">
      <c r="A64" s="1" t="s">
        <v>2</v>
      </c>
      <c r="B64" s="5" t="s">
        <v>79</v>
      </c>
      <c r="C64" s="17">
        <v>0</v>
      </c>
      <c r="D64" s="17">
        <v>0</v>
      </c>
      <c r="E64" s="47">
        <v>0</v>
      </c>
      <c r="F64" s="69"/>
      <c r="G64" s="58">
        <v>2</v>
      </c>
      <c r="H64" s="17">
        <v>2</v>
      </c>
      <c r="I64" s="17">
        <v>0</v>
      </c>
      <c r="J64" s="17">
        <v>0</v>
      </c>
      <c r="K64" s="17">
        <v>2</v>
      </c>
      <c r="L64" s="17">
        <v>0</v>
      </c>
      <c r="M64" s="18">
        <v>0</v>
      </c>
      <c r="N64" s="9"/>
      <c r="O64" s="9"/>
      <c r="Q64"/>
    </row>
    <row r="65" spans="1:17" ht="19.5" thickBot="1">
      <c r="A65" s="1" t="s">
        <v>2</v>
      </c>
      <c r="B65" s="6" t="s">
        <v>80</v>
      </c>
      <c r="C65" s="19" t="s">
        <v>81</v>
      </c>
      <c r="D65" s="19" t="s">
        <v>81</v>
      </c>
      <c r="E65" s="50" t="s">
        <v>81</v>
      </c>
      <c r="F65" s="72"/>
      <c r="G65" s="61" t="s">
        <v>81</v>
      </c>
      <c r="H65" s="19" t="s">
        <v>81</v>
      </c>
      <c r="I65" s="19" t="s">
        <v>81</v>
      </c>
      <c r="J65" s="19" t="s">
        <v>81</v>
      </c>
      <c r="K65" s="19" t="s">
        <v>81</v>
      </c>
      <c r="L65" s="19" t="s">
        <v>81</v>
      </c>
      <c r="M65" s="20" t="s">
        <v>81</v>
      </c>
      <c r="N65" s="10"/>
      <c r="O65" s="10"/>
      <c r="Q65"/>
    </row>
  </sheetData>
  <phoneticPr fontId="3"/>
  <pageMargins left="0.31496062992125984" right="0.31496062992125984" top="0.15748031496062992" bottom="0.15748031496062992" header="0.11811023622047245" footer="0.19685039370078741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2021年 12月度給与 (2)</vt:lpstr>
      <vt:lpstr>'2021年 12月度給与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2022-01-13T04:24:08Z</cp:lastPrinted>
  <dcterms:created xsi:type="dcterms:W3CDTF">2022-01-11T02:39:39Z</dcterms:created>
  <dcterms:modified xsi:type="dcterms:W3CDTF">2022-01-13T06:28:53Z</dcterms:modified>
</cp:coreProperties>
</file>