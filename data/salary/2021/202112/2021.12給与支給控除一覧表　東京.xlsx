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B48228B6-FABC-435E-A445-CB98761967FF}" xr6:coauthVersionLast="47" xr6:coauthVersionMax="47" xr10:uidLastSave="{00000000-0000-0000-0000-000000000000}"/>
  <bookViews>
    <workbookView xWindow="-120" yWindow="-120" windowWidth="20730" windowHeight="11160" xr2:uid="{1E1A1BB2-3B46-493A-B6BF-5DF48A0BC43A}"/>
  </bookViews>
  <sheets>
    <sheet name="2021年 12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3" l="1"/>
  <c r="M8" i="3" s="1"/>
  <c r="L9" i="3"/>
  <c r="M9" i="3" s="1"/>
  <c r="L10" i="3"/>
  <c r="L11" i="3"/>
  <c r="M11" i="3" s="1"/>
  <c r="L12" i="3"/>
  <c r="M12" i="3" s="1"/>
  <c r="L13" i="3"/>
  <c r="M13" i="3" s="1"/>
  <c r="L14" i="3"/>
  <c r="L15" i="3"/>
  <c r="M15" i="3" s="1"/>
  <c r="L16" i="3"/>
  <c r="M16" i="3" s="1"/>
  <c r="L17" i="3"/>
  <c r="M17" i="3" s="1"/>
  <c r="L18" i="3"/>
  <c r="M18" i="3" s="1"/>
  <c r="L19" i="3"/>
  <c r="M19" i="3" s="1"/>
  <c r="L20" i="3"/>
  <c r="L21" i="3"/>
  <c r="M21" i="3" s="1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7" i="3"/>
  <c r="M7" i="3" s="1"/>
  <c r="L6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3" i="3"/>
  <c r="E22" i="3"/>
  <c r="E20" i="3"/>
  <c r="M20" i="3" s="1"/>
  <c r="E14" i="3"/>
  <c r="E10" i="3"/>
  <c r="E6" i="3"/>
  <c r="M42" i="3" l="1"/>
  <c r="M45" i="3"/>
  <c r="M60" i="3"/>
  <c r="M55" i="3"/>
  <c r="M52" i="3"/>
  <c r="M48" i="3"/>
  <c r="M14" i="3"/>
  <c r="M32" i="3"/>
  <c r="M24" i="3"/>
  <c r="M51" i="3"/>
  <c r="M41" i="3"/>
  <c r="M38" i="3"/>
  <c r="M46" i="3"/>
  <c r="M33" i="3"/>
  <c r="M22" i="3"/>
  <c r="M61" i="3"/>
  <c r="M56" i="3"/>
  <c r="M49" i="3"/>
  <c r="M39" i="3"/>
  <c r="M36" i="3"/>
  <c r="M30" i="3"/>
  <c r="M26" i="3"/>
  <c r="M53" i="3"/>
  <c r="M43" i="3"/>
  <c r="M63" i="3"/>
  <c r="M59" i="3"/>
  <c r="M58" i="3"/>
  <c r="M54" i="3"/>
  <c r="M62" i="3"/>
  <c r="M57" i="3"/>
  <c r="M50" i="3"/>
  <c r="M47" i="3"/>
  <c r="M44" i="3"/>
  <c r="M40" i="3"/>
  <c r="M37" i="3"/>
  <c r="M34" i="3"/>
  <c r="M31" i="3"/>
  <c r="M28" i="3"/>
  <c r="M27" i="3"/>
  <c r="M6" i="3"/>
  <c r="M10" i="3"/>
  <c r="M23" i="3"/>
  <c r="M35" i="3"/>
  <c r="M29" i="3"/>
  <c r="M25" i="3"/>
</calcChain>
</file>

<file path=xl/sharedStrings.xml><?xml version="1.0" encoding="utf-8"?>
<sst xmlns="http://schemas.openxmlformats.org/spreadsheetml/2006/main" count="154" uniqueCount="85">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</sst>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0" fontId="2" fillId="0" borderId="26" xfId="1" applyFont="1" applyBorder="1"/>
    <xf numFmtId="0" fontId="2" fillId="0" borderId="27" xfId="1" applyFont="1" applyBorder="1" applyAlignment="1">
      <alignment horizontal="right"/>
    </xf>
    <xf numFmtId="0" fontId="2" fillId="0" borderId="37" xfId="1" applyFont="1" applyBorder="1"/>
  </cellXfs>
  <cellStyles count="2">
    <cellStyle name="標準" xfId="0" builtinId="0"/>
    <cellStyle name="標準 2" xfId="1" xr:uid="{25759B8A-0B2A-4627-83FA-19CF729EC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4781-9A24-4B4A-AEDD-084607B9CBE6}">
  <sheetPr>
    <pageSetUpPr fitToPage="1"/>
  </sheetPr>
  <dimension ref="A1:O65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0.625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80</v>
      </c>
    </row>
    <row r="4" spans="1:15">
      <c r="B4" s="3"/>
      <c r="C4" s="7" t="s">
        <v>5</v>
      </c>
      <c r="D4" s="8" t="s">
        <v>10</v>
      </c>
      <c r="E4" s="43" t="s">
        <v>81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4" t="s">
        <v>9</v>
      </c>
      <c r="L4" s="43" t="s">
        <v>81</v>
      </c>
      <c r="M4" s="65" t="s">
        <v>20</v>
      </c>
    </row>
    <row r="5" spans="1:15" ht="19.5" thickBot="1">
      <c r="A5" s="67"/>
      <c r="B5" s="25" t="s">
        <v>11</v>
      </c>
      <c r="C5" s="27" t="s">
        <v>14</v>
      </c>
      <c r="D5" s="28" t="s">
        <v>19</v>
      </c>
      <c r="E5" s="44" t="s">
        <v>82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5" t="s">
        <v>18</v>
      </c>
      <c r="L5" s="44" t="s">
        <v>83</v>
      </c>
      <c r="M5" s="66" t="s">
        <v>84</v>
      </c>
      <c r="O5"/>
    </row>
    <row r="6" spans="1:15">
      <c r="A6" s="1" t="s">
        <v>2</v>
      </c>
      <c r="B6" s="21" t="s">
        <v>21</v>
      </c>
      <c r="C6" s="23">
        <v>21</v>
      </c>
      <c r="D6" s="24">
        <v>10</v>
      </c>
      <c r="E6" s="45">
        <f>SUM(C6:D6)</f>
        <v>31</v>
      </c>
      <c r="F6" s="22">
        <v>19</v>
      </c>
      <c r="G6" s="23">
        <v>20</v>
      </c>
      <c r="H6" s="23">
        <v>21</v>
      </c>
      <c r="I6" s="23">
        <v>19</v>
      </c>
      <c r="J6" s="23">
        <v>22</v>
      </c>
      <c r="K6" s="56">
        <v>22</v>
      </c>
      <c r="L6" s="45">
        <f>SUM(F6:K6)</f>
        <v>123</v>
      </c>
      <c r="M6" s="45">
        <f>E6+L6</f>
        <v>154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6"/>
      <c r="F7" s="9">
        <v>1</v>
      </c>
      <c r="G7" s="10">
        <v>1</v>
      </c>
      <c r="H7" s="10">
        <v>1</v>
      </c>
      <c r="I7" s="10">
        <v>1</v>
      </c>
      <c r="J7" s="10">
        <v>2</v>
      </c>
      <c r="K7" s="57">
        <v>2</v>
      </c>
      <c r="L7" s="46">
        <f>SUM(F7:K7)</f>
        <v>8</v>
      </c>
      <c r="M7" s="46">
        <f t="shared" ref="M7:M55" si="0">E7+L7</f>
        <v>8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6"/>
      <c r="F8" s="9">
        <v>1</v>
      </c>
      <c r="G8" s="10">
        <v>0</v>
      </c>
      <c r="H8" s="10">
        <v>0</v>
      </c>
      <c r="I8" s="10">
        <v>0</v>
      </c>
      <c r="J8" s="10">
        <v>0</v>
      </c>
      <c r="K8" s="57">
        <v>1</v>
      </c>
      <c r="L8" s="46">
        <f t="shared" ref="L8:L56" si="1">SUM(F8:K8)</f>
        <v>2</v>
      </c>
      <c r="M8" s="46">
        <f t="shared" si="0"/>
        <v>2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6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7">
        <v>0</v>
      </c>
      <c r="L9" s="46">
        <f t="shared" si="1"/>
        <v>0</v>
      </c>
      <c r="M9" s="46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2</v>
      </c>
      <c r="E10" s="46">
        <f>SUM(C10:D10)</f>
        <v>2</v>
      </c>
      <c r="F10" s="9">
        <v>3</v>
      </c>
      <c r="G10" s="10">
        <v>2</v>
      </c>
      <c r="H10" s="10">
        <v>1</v>
      </c>
      <c r="I10" s="10">
        <v>3</v>
      </c>
      <c r="J10" s="10">
        <v>0</v>
      </c>
      <c r="K10" s="57">
        <v>0</v>
      </c>
      <c r="L10" s="46">
        <f t="shared" si="1"/>
        <v>9</v>
      </c>
      <c r="M10" s="46">
        <f t="shared" si="0"/>
        <v>11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6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7">
        <v>0</v>
      </c>
      <c r="L11" s="46">
        <f t="shared" si="1"/>
        <v>0</v>
      </c>
      <c r="M11" s="46">
        <f t="shared" si="0"/>
        <v>0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6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7">
        <v>0</v>
      </c>
      <c r="L12" s="46">
        <f t="shared" si="1"/>
        <v>0</v>
      </c>
      <c r="M12" s="46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6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7">
        <v>0</v>
      </c>
      <c r="L13" s="46">
        <f t="shared" si="1"/>
        <v>0</v>
      </c>
      <c r="M13" s="46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2.875</v>
      </c>
      <c r="E14" s="47">
        <f>SUM(C14:D14)</f>
        <v>2.875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8">
        <v>0</v>
      </c>
      <c r="L14" s="46">
        <f t="shared" si="1"/>
        <v>0</v>
      </c>
      <c r="M14" s="47">
        <f t="shared" si="0"/>
        <v>2.875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7"/>
      <c r="F15" s="12">
        <v>1.5</v>
      </c>
      <c r="G15" s="13">
        <v>1.5833333333333335</v>
      </c>
      <c r="H15" s="13">
        <v>1.5</v>
      </c>
      <c r="I15" s="13">
        <v>1.5833333333333335</v>
      </c>
      <c r="J15" s="13">
        <v>2.0833333333333335</v>
      </c>
      <c r="K15" s="58">
        <v>2</v>
      </c>
      <c r="L15" s="47">
        <f t="shared" si="1"/>
        <v>10.250000000000002</v>
      </c>
      <c r="M15" s="47">
        <f t="shared" si="0"/>
        <v>10.250000000000002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7"/>
      <c r="F16" s="12">
        <v>0.29166666666666669</v>
      </c>
      <c r="G16" s="13">
        <v>0.29166666666666669</v>
      </c>
      <c r="H16" s="13">
        <v>0.41666666666666669</v>
      </c>
      <c r="I16" s="13">
        <v>0.33333333333333331</v>
      </c>
      <c r="J16" s="13">
        <v>0.79166666666666663</v>
      </c>
      <c r="K16" s="58">
        <v>0.79166666666666663</v>
      </c>
      <c r="L16" s="47">
        <f t="shared" si="1"/>
        <v>2.9166666666666665</v>
      </c>
      <c r="M16" s="47">
        <f t="shared" si="0"/>
        <v>2.9166666666666665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7"/>
      <c r="F17" s="12">
        <v>0.16666666666666666</v>
      </c>
      <c r="G17" s="13">
        <v>0</v>
      </c>
      <c r="H17" s="13">
        <v>0</v>
      </c>
      <c r="I17" s="13">
        <v>0</v>
      </c>
      <c r="J17" s="13">
        <v>0</v>
      </c>
      <c r="K17" s="58">
        <v>0.33333333333333331</v>
      </c>
      <c r="L17" s="47">
        <f t="shared" si="1"/>
        <v>0.5</v>
      </c>
      <c r="M17" s="47">
        <f t="shared" si="0"/>
        <v>0.5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7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8">
        <v>0</v>
      </c>
      <c r="L18" s="46">
        <f t="shared" si="1"/>
        <v>0</v>
      </c>
      <c r="M18" s="46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7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8">
        <v>0</v>
      </c>
      <c r="L19" s="46">
        <f t="shared" si="1"/>
        <v>0</v>
      </c>
      <c r="M19" s="46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0.58333333333333337</v>
      </c>
      <c r="E20" s="47">
        <f>SUM(C20:D20)</f>
        <v>0.58333333333333337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8">
        <v>0</v>
      </c>
      <c r="L20" s="46">
        <f t="shared" si="1"/>
        <v>0</v>
      </c>
      <c r="M20" s="47">
        <f t="shared" si="0"/>
        <v>0.58333333333333337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7"/>
      <c r="F21" s="12">
        <v>0.5</v>
      </c>
      <c r="G21" s="13">
        <v>0.625</v>
      </c>
      <c r="H21" s="13">
        <v>0.5</v>
      </c>
      <c r="I21" s="13">
        <v>0.54166666666666663</v>
      </c>
      <c r="J21" s="13">
        <v>0.5</v>
      </c>
      <c r="K21" s="58">
        <v>0.20833333333333334</v>
      </c>
      <c r="L21" s="47">
        <f t="shared" si="1"/>
        <v>2.875</v>
      </c>
      <c r="M21" s="47">
        <f t="shared" si="0"/>
        <v>2.875</v>
      </c>
      <c r="O21"/>
    </row>
    <row r="22" spans="1:15" ht="19.5" thickBot="1">
      <c r="A22" s="1" t="s">
        <v>2</v>
      </c>
      <c r="B22" s="5" t="s">
        <v>37</v>
      </c>
      <c r="C22" s="33">
        <v>38</v>
      </c>
      <c r="D22" s="34">
        <v>14</v>
      </c>
      <c r="E22" s="48">
        <f>SUM(C22:D22)</f>
        <v>52</v>
      </c>
      <c r="F22" s="32">
        <v>31</v>
      </c>
      <c r="G22" s="33">
        <v>31</v>
      </c>
      <c r="H22" s="33">
        <v>25</v>
      </c>
      <c r="I22" s="33">
        <v>21</v>
      </c>
      <c r="J22" s="33">
        <v>25</v>
      </c>
      <c r="K22" s="59">
        <v>24</v>
      </c>
      <c r="L22" s="48">
        <f t="shared" si="1"/>
        <v>157</v>
      </c>
      <c r="M22" s="48">
        <f t="shared" si="0"/>
        <v>209</v>
      </c>
      <c r="O22"/>
    </row>
    <row r="23" spans="1:15">
      <c r="A23" s="1" t="s">
        <v>2</v>
      </c>
      <c r="B23" s="21" t="s">
        <v>38</v>
      </c>
      <c r="C23" s="30">
        <v>355000</v>
      </c>
      <c r="D23" s="31">
        <v>0</v>
      </c>
      <c r="E23" s="49">
        <f>SUM(C23:D23)</f>
        <v>355000</v>
      </c>
      <c r="F23" s="29">
        <v>177000</v>
      </c>
      <c r="G23" s="30">
        <v>192000</v>
      </c>
      <c r="H23" s="30">
        <v>177000</v>
      </c>
      <c r="I23" s="30">
        <v>177000</v>
      </c>
      <c r="J23" s="30">
        <v>177000</v>
      </c>
      <c r="K23" s="60">
        <v>170000</v>
      </c>
      <c r="L23" s="49">
        <f t="shared" si="1"/>
        <v>1070000</v>
      </c>
      <c r="M23" s="49">
        <f t="shared" si="0"/>
        <v>1425000</v>
      </c>
      <c r="O23"/>
    </row>
    <row r="24" spans="1:15">
      <c r="A24" s="1" t="s">
        <v>2</v>
      </c>
      <c r="B24" s="4" t="s">
        <v>39</v>
      </c>
      <c r="C24" s="16">
        <v>0</v>
      </c>
      <c r="D24" s="17">
        <v>0</v>
      </c>
      <c r="E24" s="50">
        <f t="shared" ref="E24:E63" si="2">SUM(C24:D24)</f>
        <v>0</v>
      </c>
      <c r="F24" s="15">
        <v>0</v>
      </c>
      <c r="G24" s="16">
        <v>5000</v>
      </c>
      <c r="H24" s="16">
        <v>0</v>
      </c>
      <c r="I24" s="16">
        <v>0</v>
      </c>
      <c r="J24" s="16">
        <v>0</v>
      </c>
      <c r="K24" s="61">
        <v>0</v>
      </c>
      <c r="L24" s="50">
        <f t="shared" si="1"/>
        <v>5000</v>
      </c>
      <c r="M24" s="50">
        <f t="shared" si="0"/>
        <v>5000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50">
        <f t="shared" si="2"/>
        <v>0</v>
      </c>
      <c r="F25" s="15">
        <v>6000</v>
      </c>
      <c r="G25" s="16">
        <v>0</v>
      </c>
      <c r="H25" s="16">
        <v>3000</v>
      </c>
      <c r="I25" s="16">
        <v>0</v>
      </c>
      <c r="J25" s="16">
        <v>0</v>
      </c>
      <c r="K25" s="61">
        <v>0</v>
      </c>
      <c r="L25" s="50">
        <f t="shared" si="1"/>
        <v>9000</v>
      </c>
      <c r="M25" s="50">
        <f t="shared" si="0"/>
        <v>9000</v>
      </c>
      <c r="O25"/>
    </row>
    <row r="26" spans="1:15">
      <c r="A26" s="1" t="s">
        <v>2</v>
      </c>
      <c r="B26" s="4" t="s">
        <v>41</v>
      </c>
      <c r="C26" s="16">
        <v>50000</v>
      </c>
      <c r="D26" s="17">
        <v>0</v>
      </c>
      <c r="E26" s="50">
        <f t="shared" si="2"/>
        <v>50000</v>
      </c>
      <c r="F26" s="15">
        <v>50000</v>
      </c>
      <c r="G26" s="16">
        <v>50000</v>
      </c>
      <c r="H26" s="16">
        <v>50000</v>
      </c>
      <c r="I26" s="16">
        <v>50000</v>
      </c>
      <c r="J26" s="16">
        <v>50000</v>
      </c>
      <c r="K26" s="61">
        <v>50000</v>
      </c>
      <c r="L26" s="50">
        <f t="shared" si="1"/>
        <v>300000</v>
      </c>
      <c r="M26" s="50">
        <f t="shared" si="0"/>
        <v>350000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0</v>
      </c>
      <c r="E27" s="50">
        <f t="shared" si="2"/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61">
        <v>0</v>
      </c>
      <c r="L27" s="50">
        <f t="shared" si="1"/>
        <v>0</v>
      </c>
      <c r="M27" s="50">
        <f t="shared" si="0"/>
        <v>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78660</v>
      </c>
      <c r="E28" s="50">
        <f t="shared" si="2"/>
        <v>78660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61">
        <v>0</v>
      </c>
      <c r="L28" s="50">
        <f t="shared" si="1"/>
        <v>0</v>
      </c>
      <c r="M28" s="50">
        <f t="shared" si="0"/>
        <v>78660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50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61">
        <v>0</v>
      </c>
      <c r="L29" s="50">
        <f t="shared" si="1"/>
        <v>0</v>
      </c>
      <c r="M29" s="50">
        <f t="shared" si="0"/>
        <v>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50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61">
        <v>0</v>
      </c>
      <c r="L30" s="50">
        <f t="shared" si="1"/>
        <v>0</v>
      </c>
      <c r="M30" s="50">
        <f t="shared" si="0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50">
        <f t="shared" si="2"/>
        <v>0</v>
      </c>
      <c r="F31" s="15">
        <v>1000</v>
      </c>
      <c r="G31" s="16">
        <v>1000</v>
      </c>
      <c r="H31" s="16">
        <v>1000</v>
      </c>
      <c r="I31" s="16">
        <v>1000</v>
      </c>
      <c r="J31" s="16">
        <v>1000</v>
      </c>
      <c r="K31" s="61">
        <v>1000</v>
      </c>
      <c r="L31" s="50">
        <f t="shared" si="1"/>
        <v>6000</v>
      </c>
      <c r="M31" s="50">
        <f t="shared" si="0"/>
        <v>6000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15960</v>
      </c>
      <c r="E32" s="50">
        <f t="shared" si="2"/>
        <v>15960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61">
        <v>0</v>
      </c>
      <c r="L32" s="50">
        <f t="shared" si="1"/>
        <v>0</v>
      </c>
      <c r="M32" s="50">
        <f t="shared" si="0"/>
        <v>15960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50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61">
        <v>0</v>
      </c>
      <c r="L33" s="50">
        <f t="shared" si="1"/>
        <v>0</v>
      </c>
      <c r="M33" s="50">
        <f t="shared" si="0"/>
        <v>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50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61">
        <v>0</v>
      </c>
      <c r="L34" s="50">
        <f t="shared" si="1"/>
        <v>0</v>
      </c>
      <c r="M34" s="50">
        <f t="shared" si="0"/>
        <v>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50">
        <f t="shared" si="2"/>
        <v>0</v>
      </c>
      <c r="F35" s="15">
        <v>27100</v>
      </c>
      <c r="G35" s="16">
        <v>10500</v>
      </c>
      <c r="H35" s="16">
        <v>13500</v>
      </c>
      <c r="I35" s="16">
        <v>13000</v>
      </c>
      <c r="J35" s="16">
        <v>13000</v>
      </c>
      <c r="K35" s="61">
        <v>15000</v>
      </c>
      <c r="L35" s="50">
        <f t="shared" si="1"/>
        <v>92100</v>
      </c>
      <c r="M35" s="50">
        <f t="shared" si="0"/>
        <v>92100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50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61">
        <v>0</v>
      </c>
      <c r="L36" s="50">
        <f t="shared" si="1"/>
        <v>0</v>
      </c>
      <c r="M36" s="50">
        <f t="shared" si="0"/>
        <v>0</v>
      </c>
      <c r="O36"/>
    </row>
    <row r="37" spans="1:15">
      <c r="A37" s="1" t="s">
        <v>2</v>
      </c>
      <c r="B37" s="4" t="s">
        <v>52</v>
      </c>
      <c r="C37" s="16">
        <v>0</v>
      </c>
      <c r="D37" s="17">
        <v>0</v>
      </c>
      <c r="E37" s="50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61">
        <v>0</v>
      </c>
      <c r="L37" s="50">
        <f t="shared" si="1"/>
        <v>0</v>
      </c>
      <c r="M37" s="50">
        <f t="shared" si="0"/>
        <v>0</v>
      </c>
      <c r="O37"/>
    </row>
    <row r="38" spans="1:15">
      <c r="A38" s="1" t="s">
        <v>2</v>
      </c>
      <c r="B38" s="4" t="s">
        <v>53</v>
      </c>
      <c r="C38" s="16">
        <v>0</v>
      </c>
      <c r="D38" s="17">
        <v>0</v>
      </c>
      <c r="E38" s="50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61">
        <v>0</v>
      </c>
      <c r="L38" s="50">
        <f t="shared" si="1"/>
        <v>0</v>
      </c>
      <c r="M38" s="50">
        <f t="shared" si="0"/>
        <v>0</v>
      </c>
      <c r="O38"/>
    </row>
    <row r="39" spans="1:15">
      <c r="A39" s="1" t="s">
        <v>2</v>
      </c>
      <c r="B39" s="4" t="s">
        <v>30</v>
      </c>
      <c r="C39" s="16">
        <v>0</v>
      </c>
      <c r="D39" s="17">
        <v>0</v>
      </c>
      <c r="E39" s="50">
        <f t="shared" si="2"/>
        <v>0</v>
      </c>
      <c r="F39" s="15">
        <v>70344</v>
      </c>
      <c r="G39" s="16">
        <v>73530</v>
      </c>
      <c r="H39" s="16">
        <v>65880</v>
      </c>
      <c r="I39" s="16">
        <v>68552</v>
      </c>
      <c r="J39" s="16">
        <v>90200</v>
      </c>
      <c r="K39" s="61">
        <v>84768</v>
      </c>
      <c r="L39" s="50">
        <f t="shared" si="1"/>
        <v>453274</v>
      </c>
      <c r="M39" s="50">
        <f t="shared" si="0"/>
        <v>453274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50">
        <f t="shared" si="2"/>
        <v>0</v>
      </c>
      <c r="F40" s="15">
        <v>14770</v>
      </c>
      <c r="G40" s="16">
        <v>14630</v>
      </c>
      <c r="H40" s="16">
        <v>19760</v>
      </c>
      <c r="I40" s="16">
        <v>15584</v>
      </c>
      <c r="J40" s="16">
        <v>37012</v>
      </c>
      <c r="K40" s="61">
        <v>36252</v>
      </c>
      <c r="L40" s="50">
        <f t="shared" si="1"/>
        <v>138008</v>
      </c>
      <c r="M40" s="50">
        <f t="shared" si="0"/>
        <v>138008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50">
        <f t="shared" si="2"/>
        <v>0</v>
      </c>
      <c r="F41" s="15">
        <v>8440</v>
      </c>
      <c r="G41" s="16">
        <v>0</v>
      </c>
      <c r="H41" s="16">
        <v>0</v>
      </c>
      <c r="I41" s="16">
        <v>0</v>
      </c>
      <c r="J41" s="16">
        <v>0</v>
      </c>
      <c r="K41" s="61">
        <v>15264</v>
      </c>
      <c r="L41" s="50">
        <f t="shared" si="1"/>
        <v>23704</v>
      </c>
      <c r="M41" s="50">
        <f t="shared" si="0"/>
        <v>23704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50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61">
        <v>0</v>
      </c>
      <c r="L42" s="50">
        <f t="shared" si="1"/>
        <v>0</v>
      </c>
      <c r="M42" s="50">
        <f t="shared" si="0"/>
        <v>0</v>
      </c>
      <c r="O42"/>
    </row>
    <row r="43" spans="1:15">
      <c r="A43" s="1" t="s">
        <v>2</v>
      </c>
      <c r="B43" s="4" t="s">
        <v>57</v>
      </c>
      <c r="C43" s="16">
        <v>0</v>
      </c>
      <c r="D43" s="17">
        <v>0</v>
      </c>
      <c r="E43" s="50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61">
        <v>0</v>
      </c>
      <c r="L43" s="50">
        <f t="shared" si="1"/>
        <v>0</v>
      </c>
      <c r="M43" s="50">
        <f t="shared" si="0"/>
        <v>0</v>
      </c>
      <c r="O43"/>
    </row>
    <row r="44" spans="1:15">
      <c r="A44" s="1" t="s">
        <v>2</v>
      </c>
      <c r="B44" s="4" t="s">
        <v>58</v>
      </c>
      <c r="C44" s="16">
        <v>0</v>
      </c>
      <c r="D44" s="17">
        <v>0</v>
      </c>
      <c r="E44" s="50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61">
        <v>0</v>
      </c>
      <c r="L44" s="50">
        <f t="shared" si="1"/>
        <v>0</v>
      </c>
      <c r="M44" s="50">
        <f t="shared" si="0"/>
        <v>0</v>
      </c>
      <c r="O44"/>
    </row>
    <row r="45" spans="1:15" ht="19.5" thickBot="1">
      <c r="A45" s="1" t="s">
        <v>2</v>
      </c>
      <c r="B45" s="35" t="s">
        <v>36</v>
      </c>
      <c r="C45" s="37">
        <v>0</v>
      </c>
      <c r="D45" s="38">
        <v>0</v>
      </c>
      <c r="E45" s="51">
        <f t="shared" si="2"/>
        <v>0</v>
      </c>
      <c r="F45" s="36">
        <v>4692</v>
      </c>
      <c r="G45" s="37">
        <v>5805</v>
      </c>
      <c r="H45" s="37">
        <v>4392</v>
      </c>
      <c r="I45" s="37">
        <v>4693</v>
      </c>
      <c r="J45" s="37">
        <v>4332</v>
      </c>
      <c r="K45" s="62">
        <v>1765</v>
      </c>
      <c r="L45" s="51">
        <f t="shared" si="1"/>
        <v>25679</v>
      </c>
      <c r="M45" s="51">
        <f t="shared" si="0"/>
        <v>25679</v>
      </c>
      <c r="O45"/>
    </row>
    <row r="46" spans="1:15" ht="19.5" thickBot="1">
      <c r="A46" s="1" t="s">
        <v>2</v>
      </c>
      <c r="B46" s="39" t="s">
        <v>59</v>
      </c>
      <c r="C46" s="41">
        <v>405000</v>
      </c>
      <c r="D46" s="42">
        <v>94620</v>
      </c>
      <c r="E46" s="52">
        <f t="shared" si="2"/>
        <v>499620</v>
      </c>
      <c r="F46" s="40">
        <v>359346</v>
      </c>
      <c r="G46" s="41">
        <v>352465</v>
      </c>
      <c r="H46" s="41">
        <v>334532</v>
      </c>
      <c r="I46" s="41">
        <v>329829</v>
      </c>
      <c r="J46" s="41">
        <v>372544</v>
      </c>
      <c r="K46" s="63">
        <v>374049</v>
      </c>
      <c r="L46" s="52">
        <f t="shared" si="1"/>
        <v>2122765</v>
      </c>
      <c r="M46" s="52">
        <f t="shared" si="0"/>
        <v>2622385</v>
      </c>
      <c r="O46"/>
    </row>
    <row r="47" spans="1:15" ht="19.5" thickBot="1">
      <c r="A47" s="1" t="s">
        <v>2</v>
      </c>
      <c r="B47" s="21" t="s">
        <v>60</v>
      </c>
      <c r="C47" s="30">
        <v>11655</v>
      </c>
      <c r="D47" s="31">
        <v>3240</v>
      </c>
      <c r="E47" s="49">
        <f t="shared" si="2"/>
        <v>14895</v>
      </c>
      <c r="F47" s="29">
        <v>5342</v>
      </c>
      <c r="G47" s="30">
        <v>4856</v>
      </c>
      <c r="H47" s="30">
        <v>8394</v>
      </c>
      <c r="I47" s="30">
        <v>4293</v>
      </c>
      <c r="J47" s="30">
        <v>3885</v>
      </c>
      <c r="K47" s="60">
        <v>5781</v>
      </c>
      <c r="L47" s="49">
        <f t="shared" si="1"/>
        <v>32551</v>
      </c>
      <c r="M47" s="49">
        <f t="shared" si="0"/>
        <v>47446</v>
      </c>
      <c r="O47"/>
    </row>
    <row r="48" spans="1:15" ht="19.5" thickBot="1">
      <c r="A48" s="1" t="s">
        <v>2</v>
      </c>
      <c r="B48" s="39" t="s">
        <v>61</v>
      </c>
      <c r="C48" s="41">
        <v>11655</v>
      </c>
      <c r="D48" s="42">
        <v>3240</v>
      </c>
      <c r="E48" s="52">
        <f t="shared" si="2"/>
        <v>14895</v>
      </c>
      <c r="F48" s="40">
        <v>5342</v>
      </c>
      <c r="G48" s="41">
        <v>4856</v>
      </c>
      <c r="H48" s="41">
        <v>8394</v>
      </c>
      <c r="I48" s="41">
        <v>4293</v>
      </c>
      <c r="J48" s="41">
        <v>3885</v>
      </c>
      <c r="K48" s="63">
        <v>5781</v>
      </c>
      <c r="L48" s="52">
        <f t="shared" si="1"/>
        <v>32551</v>
      </c>
      <c r="M48" s="52">
        <f t="shared" si="0"/>
        <v>47446</v>
      </c>
      <c r="O48"/>
    </row>
    <row r="49" spans="1:15" ht="19.5" thickBot="1">
      <c r="A49" s="1" t="s">
        <v>2</v>
      </c>
      <c r="B49" s="39" t="s">
        <v>62</v>
      </c>
      <c r="C49" s="41">
        <v>416655</v>
      </c>
      <c r="D49" s="42">
        <v>97860</v>
      </c>
      <c r="E49" s="52">
        <f t="shared" si="2"/>
        <v>514515</v>
      </c>
      <c r="F49" s="40">
        <v>364688</v>
      </c>
      <c r="G49" s="41">
        <v>357321</v>
      </c>
      <c r="H49" s="41">
        <v>342926</v>
      </c>
      <c r="I49" s="41">
        <v>334122</v>
      </c>
      <c r="J49" s="41">
        <v>376429</v>
      </c>
      <c r="K49" s="63">
        <v>379830</v>
      </c>
      <c r="L49" s="52">
        <f t="shared" si="1"/>
        <v>2155316</v>
      </c>
      <c r="M49" s="52">
        <f t="shared" si="0"/>
        <v>2669831</v>
      </c>
      <c r="O49"/>
    </row>
    <row r="50" spans="1:15">
      <c r="A50" s="1" t="s">
        <v>2</v>
      </c>
      <c r="B50" s="21" t="s">
        <v>63</v>
      </c>
      <c r="C50" s="30">
        <v>20910</v>
      </c>
      <c r="D50" s="31">
        <v>0</v>
      </c>
      <c r="E50" s="49">
        <f t="shared" si="2"/>
        <v>20910</v>
      </c>
      <c r="F50" s="29">
        <v>20910</v>
      </c>
      <c r="G50" s="30">
        <v>19380</v>
      </c>
      <c r="H50" s="30">
        <v>14280</v>
      </c>
      <c r="I50" s="30">
        <v>18360</v>
      </c>
      <c r="J50" s="30">
        <v>19380</v>
      </c>
      <c r="K50" s="60">
        <v>18360</v>
      </c>
      <c r="L50" s="49">
        <f t="shared" si="1"/>
        <v>110670</v>
      </c>
      <c r="M50" s="49">
        <f t="shared" si="0"/>
        <v>131580</v>
      </c>
      <c r="O50"/>
    </row>
    <row r="51" spans="1:15">
      <c r="A51" s="1" t="s">
        <v>2</v>
      </c>
      <c r="B51" s="4" t="s">
        <v>64</v>
      </c>
      <c r="C51" s="16">
        <v>3690</v>
      </c>
      <c r="D51" s="17">
        <v>0</v>
      </c>
      <c r="E51" s="50">
        <f t="shared" si="2"/>
        <v>3690</v>
      </c>
      <c r="F51" s="15">
        <v>3690</v>
      </c>
      <c r="G51" s="16">
        <v>3420</v>
      </c>
      <c r="H51" s="16">
        <v>2520</v>
      </c>
      <c r="I51" s="16">
        <v>3240</v>
      </c>
      <c r="J51" s="16">
        <v>3420</v>
      </c>
      <c r="K51" s="61">
        <v>3240</v>
      </c>
      <c r="L51" s="50">
        <f t="shared" si="1"/>
        <v>19530</v>
      </c>
      <c r="M51" s="50">
        <f t="shared" si="0"/>
        <v>23220</v>
      </c>
      <c r="O51"/>
    </row>
    <row r="52" spans="1:15">
      <c r="A52" s="1" t="s">
        <v>2</v>
      </c>
      <c r="B52" s="4" t="s">
        <v>65</v>
      </c>
      <c r="C52" s="16">
        <v>37515</v>
      </c>
      <c r="D52" s="17">
        <v>0</v>
      </c>
      <c r="E52" s="50">
        <f t="shared" si="2"/>
        <v>37515</v>
      </c>
      <c r="F52" s="15">
        <v>37515</v>
      </c>
      <c r="G52" s="16">
        <v>34770</v>
      </c>
      <c r="H52" s="16">
        <v>25620</v>
      </c>
      <c r="I52" s="16">
        <v>32940</v>
      </c>
      <c r="J52" s="16">
        <v>34770</v>
      </c>
      <c r="K52" s="61">
        <v>32940</v>
      </c>
      <c r="L52" s="50">
        <f t="shared" si="1"/>
        <v>198555</v>
      </c>
      <c r="M52" s="50">
        <f t="shared" si="0"/>
        <v>236070</v>
      </c>
      <c r="O52"/>
    </row>
    <row r="53" spans="1:15" ht="19.5" thickBot="1">
      <c r="A53" s="1" t="s">
        <v>2</v>
      </c>
      <c r="B53" s="4" t="s">
        <v>66</v>
      </c>
      <c r="C53" s="16">
        <v>1250</v>
      </c>
      <c r="D53" s="17">
        <v>294</v>
      </c>
      <c r="E53" s="50">
        <f t="shared" si="2"/>
        <v>1544</v>
      </c>
      <c r="F53" s="15">
        <v>1094</v>
      </c>
      <c r="G53" s="16">
        <v>1072</v>
      </c>
      <c r="H53" s="16">
        <v>1029</v>
      </c>
      <c r="I53" s="16">
        <v>1002</v>
      </c>
      <c r="J53" s="16">
        <v>1129</v>
      </c>
      <c r="K53" s="61">
        <v>1139</v>
      </c>
      <c r="L53" s="50">
        <f t="shared" si="1"/>
        <v>6465</v>
      </c>
      <c r="M53" s="50">
        <f t="shared" si="0"/>
        <v>8009</v>
      </c>
      <c r="O53"/>
    </row>
    <row r="54" spans="1:15" ht="19.5" thickBot="1">
      <c r="A54" s="1" t="s">
        <v>2</v>
      </c>
      <c r="B54" s="39" t="s">
        <v>67</v>
      </c>
      <c r="C54" s="41">
        <v>63365</v>
      </c>
      <c r="D54" s="42">
        <v>294</v>
      </c>
      <c r="E54" s="52">
        <f t="shared" si="2"/>
        <v>63659</v>
      </c>
      <c r="F54" s="40">
        <v>63209</v>
      </c>
      <c r="G54" s="41">
        <v>58642</v>
      </c>
      <c r="H54" s="41">
        <v>43449</v>
      </c>
      <c r="I54" s="41">
        <v>55542</v>
      </c>
      <c r="J54" s="41">
        <v>58699</v>
      </c>
      <c r="K54" s="63">
        <v>55679</v>
      </c>
      <c r="L54" s="52">
        <f t="shared" si="1"/>
        <v>335220</v>
      </c>
      <c r="M54" s="52">
        <f t="shared" si="0"/>
        <v>398879</v>
      </c>
      <c r="O54"/>
    </row>
    <row r="55" spans="1:15">
      <c r="A55" s="1" t="s">
        <v>2</v>
      </c>
      <c r="B55" s="21" t="s">
        <v>68</v>
      </c>
      <c r="C55" s="30">
        <v>6810</v>
      </c>
      <c r="D55" s="31">
        <v>430</v>
      </c>
      <c r="E55" s="49">
        <f t="shared" si="2"/>
        <v>7240</v>
      </c>
      <c r="F55" s="29">
        <v>6580</v>
      </c>
      <c r="G55" s="30">
        <v>8120</v>
      </c>
      <c r="H55" s="30">
        <v>6400</v>
      </c>
      <c r="I55" s="30">
        <v>2570</v>
      </c>
      <c r="J55" s="30">
        <v>9510</v>
      </c>
      <c r="K55" s="60">
        <v>9880</v>
      </c>
      <c r="L55" s="49">
        <f t="shared" si="1"/>
        <v>43060</v>
      </c>
      <c r="M55" s="49">
        <f t="shared" si="0"/>
        <v>50300</v>
      </c>
      <c r="O55"/>
    </row>
    <row r="56" spans="1:15">
      <c r="A56" s="1" t="s">
        <v>2</v>
      </c>
      <c r="B56" s="4" t="s">
        <v>69</v>
      </c>
      <c r="C56" s="16">
        <v>0</v>
      </c>
      <c r="D56" s="17">
        <v>0</v>
      </c>
      <c r="E56" s="50">
        <f t="shared" si="2"/>
        <v>0</v>
      </c>
      <c r="F56" s="15">
        <v>0</v>
      </c>
      <c r="G56" s="16">
        <v>0</v>
      </c>
      <c r="H56" s="16">
        <v>0</v>
      </c>
      <c r="I56" s="16">
        <v>0</v>
      </c>
      <c r="J56" s="16">
        <v>0</v>
      </c>
      <c r="K56" s="61">
        <v>0</v>
      </c>
      <c r="L56" s="50">
        <f t="shared" si="1"/>
        <v>0</v>
      </c>
      <c r="M56" s="50">
        <f t="shared" ref="M56:M63" si="3">E56+L56</f>
        <v>0</v>
      </c>
      <c r="O56"/>
    </row>
    <row r="57" spans="1:15">
      <c r="A57" s="1" t="s">
        <v>2</v>
      </c>
      <c r="B57" s="4" t="s">
        <v>70</v>
      </c>
      <c r="C57" s="16">
        <v>25500</v>
      </c>
      <c r="D57" s="17">
        <v>900</v>
      </c>
      <c r="E57" s="50">
        <f t="shared" si="2"/>
        <v>26400</v>
      </c>
      <c r="F57" s="15">
        <v>14800</v>
      </c>
      <c r="G57" s="16">
        <v>17200</v>
      </c>
      <c r="H57" s="16">
        <v>0</v>
      </c>
      <c r="I57" s="16">
        <v>5800</v>
      </c>
      <c r="J57" s="16">
        <v>18000</v>
      </c>
      <c r="K57" s="61">
        <v>2100</v>
      </c>
      <c r="L57" s="50">
        <f t="shared" ref="L57:L63" si="4">SUM(F57:K57)</f>
        <v>57900</v>
      </c>
      <c r="M57" s="50">
        <f t="shared" si="3"/>
        <v>84300</v>
      </c>
      <c r="O57"/>
    </row>
    <row r="58" spans="1:15" ht="19.5" thickBot="1">
      <c r="A58" s="1" t="s">
        <v>2</v>
      </c>
      <c r="B58" s="4" t="s">
        <v>71</v>
      </c>
      <c r="C58" s="16">
        <v>0</v>
      </c>
      <c r="D58" s="17">
        <v>0</v>
      </c>
      <c r="E58" s="50">
        <f t="shared" si="2"/>
        <v>0</v>
      </c>
      <c r="F58" s="15">
        <v>0</v>
      </c>
      <c r="G58" s="16">
        <v>0</v>
      </c>
      <c r="H58" s="16">
        <v>0</v>
      </c>
      <c r="I58" s="16">
        <v>0</v>
      </c>
      <c r="J58" s="16">
        <v>0</v>
      </c>
      <c r="K58" s="61">
        <v>3000</v>
      </c>
      <c r="L58" s="50">
        <f t="shared" si="4"/>
        <v>3000</v>
      </c>
      <c r="M58" s="50">
        <f t="shared" si="3"/>
        <v>3000</v>
      </c>
      <c r="O58"/>
    </row>
    <row r="59" spans="1:15" ht="19.5" thickBot="1">
      <c r="A59" s="1" t="s">
        <v>2</v>
      </c>
      <c r="B59" s="39" t="s">
        <v>72</v>
      </c>
      <c r="C59" s="41">
        <v>95675</v>
      </c>
      <c r="D59" s="42">
        <v>1624</v>
      </c>
      <c r="E59" s="52">
        <f t="shared" si="2"/>
        <v>97299</v>
      </c>
      <c r="F59" s="40">
        <v>84589</v>
      </c>
      <c r="G59" s="41">
        <v>83962</v>
      </c>
      <c r="H59" s="41">
        <v>49849</v>
      </c>
      <c r="I59" s="41">
        <v>63912</v>
      </c>
      <c r="J59" s="41">
        <v>86209</v>
      </c>
      <c r="K59" s="63">
        <v>70659</v>
      </c>
      <c r="L59" s="52">
        <f t="shared" si="4"/>
        <v>439180</v>
      </c>
      <c r="M59" s="52">
        <f t="shared" si="3"/>
        <v>536479</v>
      </c>
      <c r="O59"/>
    </row>
    <row r="60" spans="1:15" ht="19.5" thickBot="1">
      <c r="A60" s="1" t="s">
        <v>2</v>
      </c>
      <c r="B60" s="39" t="s">
        <v>73</v>
      </c>
      <c r="C60" s="41">
        <v>341635</v>
      </c>
      <c r="D60" s="42">
        <v>94326</v>
      </c>
      <c r="E60" s="52">
        <f t="shared" si="2"/>
        <v>435961</v>
      </c>
      <c r="F60" s="40">
        <v>296137</v>
      </c>
      <c r="G60" s="41">
        <v>293823</v>
      </c>
      <c r="H60" s="41">
        <v>291083</v>
      </c>
      <c r="I60" s="41">
        <v>274287</v>
      </c>
      <c r="J60" s="41">
        <v>313845</v>
      </c>
      <c r="K60" s="63">
        <v>318370</v>
      </c>
      <c r="L60" s="52">
        <f t="shared" si="4"/>
        <v>1787545</v>
      </c>
      <c r="M60" s="52">
        <f t="shared" si="3"/>
        <v>2223506</v>
      </c>
      <c r="O60"/>
    </row>
    <row r="61" spans="1:15" ht="19.5" thickBot="1">
      <c r="A61" s="1" t="s">
        <v>2</v>
      </c>
      <c r="B61" s="39" t="s">
        <v>74</v>
      </c>
      <c r="C61" s="41">
        <v>320980</v>
      </c>
      <c r="D61" s="42">
        <v>96236</v>
      </c>
      <c r="E61" s="52">
        <f t="shared" si="2"/>
        <v>417216</v>
      </c>
      <c r="F61" s="40">
        <v>280099</v>
      </c>
      <c r="G61" s="41">
        <v>273359</v>
      </c>
      <c r="H61" s="41">
        <v>293077</v>
      </c>
      <c r="I61" s="41">
        <v>270210</v>
      </c>
      <c r="J61" s="41">
        <v>290220</v>
      </c>
      <c r="K61" s="63">
        <v>309171</v>
      </c>
      <c r="L61" s="52">
        <f t="shared" si="4"/>
        <v>1716136</v>
      </c>
      <c r="M61" s="52">
        <f t="shared" si="3"/>
        <v>2133352</v>
      </c>
      <c r="O61"/>
    </row>
    <row r="62" spans="1:15">
      <c r="A62" s="1" t="s">
        <v>2</v>
      </c>
      <c r="B62" s="21" t="s">
        <v>75</v>
      </c>
      <c r="C62" s="30">
        <v>0</v>
      </c>
      <c r="D62" s="31">
        <v>0</v>
      </c>
      <c r="E62" s="49">
        <f t="shared" si="2"/>
        <v>0</v>
      </c>
      <c r="F62" s="29">
        <v>0</v>
      </c>
      <c r="G62" s="30">
        <v>0</v>
      </c>
      <c r="H62" s="30">
        <v>0</v>
      </c>
      <c r="I62" s="30">
        <v>0</v>
      </c>
      <c r="J62" s="30">
        <v>0</v>
      </c>
      <c r="K62" s="60">
        <v>0</v>
      </c>
      <c r="L62" s="49">
        <f t="shared" si="4"/>
        <v>0</v>
      </c>
      <c r="M62" s="49">
        <f t="shared" si="3"/>
        <v>0</v>
      </c>
      <c r="O62"/>
    </row>
    <row r="63" spans="1:15">
      <c r="A63" s="1" t="s">
        <v>2</v>
      </c>
      <c r="B63" s="4" t="s">
        <v>76</v>
      </c>
      <c r="C63" s="16">
        <v>320980</v>
      </c>
      <c r="D63" s="17">
        <v>96236</v>
      </c>
      <c r="E63" s="50">
        <f t="shared" si="2"/>
        <v>417216</v>
      </c>
      <c r="F63" s="15">
        <v>280099</v>
      </c>
      <c r="G63" s="16">
        <v>273359</v>
      </c>
      <c r="H63" s="16">
        <v>293077</v>
      </c>
      <c r="I63" s="16">
        <v>270210</v>
      </c>
      <c r="J63" s="16">
        <v>290220</v>
      </c>
      <c r="K63" s="61">
        <v>309171</v>
      </c>
      <c r="L63" s="50">
        <f t="shared" si="4"/>
        <v>1716136</v>
      </c>
      <c r="M63" s="50">
        <f t="shared" si="3"/>
        <v>2133352</v>
      </c>
      <c r="O63"/>
    </row>
    <row r="64" spans="1:15">
      <c r="A64" s="1" t="s">
        <v>2</v>
      </c>
      <c r="B64" s="4" t="s">
        <v>77</v>
      </c>
      <c r="C64" s="16">
        <v>2</v>
      </c>
      <c r="D64" s="17">
        <v>0</v>
      </c>
      <c r="E64" s="50"/>
      <c r="F64" s="15">
        <v>1</v>
      </c>
      <c r="G64" s="16">
        <v>0</v>
      </c>
      <c r="H64" s="16">
        <v>1</v>
      </c>
      <c r="I64" s="16">
        <v>3</v>
      </c>
      <c r="J64" s="16">
        <v>0</v>
      </c>
      <c r="K64" s="61">
        <v>0</v>
      </c>
      <c r="L64" s="50"/>
      <c r="M64" s="50"/>
      <c r="O64"/>
    </row>
    <row r="65" spans="1:13" ht="19.5" thickBot="1">
      <c r="A65" s="1" t="s">
        <v>2</v>
      </c>
      <c r="B65" s="5" t="s">
        <v>78</v>
      </c>
      <c r="C65" s="19" t="s">
        <v>79</v>
      </c>
      <c r="D65" s="20" t="s">
        <v>79</v>
      </c>
      <c r="E65" s="53"/>
      <c r="F65" s="18" t="s">
        <v>79</v>
      </c>
      <c r="G65" s="19" t="s">
        <v>79</v>
      </c>
      <c r="H65" s="19" t="s">
        <v>79</v>
      </c>
      <c r="I65" s="19" t="s">
        <v>79</v>
      </c>
      <c r="J65" s="19" t="s">
        <v>79</v>
      </c>
      <c r="K65" s="64" t="s">
        <v>79</v>
      </c>
      <c r="L65" s="53"/>
      <c r="M65" s="53"/>
    </row>
  </sheetData>
  <phoneticPr fontId="3"/>
  <pageMargins left="0.11811023622047245" right="0.11811023622047245" top="0.15748031496062992" bottom="0.15748031496062992" header="0.19685039370078741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 12月度給与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2022-01-13T04:24:55Z</cp:lastPrinted>
  <dcterms:created xsi:type="dcterms:W3CDTF">2022-01-11T02:24:16Z</dcterms:created>
  <dcterms:modified xsi:type="dcterms:W3CDTF">2022-01-13T06:29:27Z</dcterms:modified>
</cp:coreProperties>
</file>