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2\"/>
    </mc:Choice>
  </mc:AlternateContent>
  <xr:revisionPtr revIDLastSave="0" documentId="13_ncr:1_{A708DC98-64C9-42D7-ACB8-28E442DB0ED8}" xr6:coauthVersionLast="47" xr6:coauthVersionMax="47" xr10:uidLastSave="{00000000-0000-0000-0000-000000000000}"/>
  <bookViews>
    <workbookView xWindow="-120" yWindow="-120" windowWidth="20730" windowHeight="11160" activeTab="1" xr2:uid="{BE43C2BF-EDC7-4301-A2BA-A9014C770538}"/>
  </bookViews>
  <sheets>
    <sheet name="2021年 12月度給与 (3)" sheetId="4" r:id="rId1"/>
    <sheet name="2021年 12月度給与 (4)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4" i="5" l="1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19" i="5"/>
  <c r="T18" i="5"/>
  <c r="T17" i="5"/>
  <c r="T16" i="5"/>
  <c r="T15" i="5"/>
  <c r="T10" i="5"/>
  <c r="T9" i="5"/>
  <c r="T8" i="5"/>
  <c r="T7" i="5"/>
  <c r="T6" i="5"/>
  <c r="N62" i="4"/>
  <c r="L62" i="4"/>
  <c r="N61" i="4"/>
  <c r="L61" i="4"/>
  <c r="N60" i="4"/>
  <c r="L60" i="4"/>
  <c r="N59" i="4"/>
  <c r="L59" i="4"/>
  <c r="N58" i="4"/>
  <c r="L58" i="4"/>
  <c r="N57" i="4"/>
  <c r="L57" i="4"/>
  <c r="N56" i="4"/>
  <c r="L56" i="4"/>
  <c r="N55" i="4"/>
  <c r="L55" i="4"/>
  <c r="N54" i="4"/>
  <c r="L54" i="4"/>
  <c r="N53" i="4"/>
  <c r="L53" i="4"/>
  <c r="N52" i="4"/>
  <c r="L52" i="4"/>
  <c r="N51" i="4"/>
  <c r="L51" i="4"/>
  <c r="N50" i="4"/>
  <c r="L50" i="4"/>
  <c r="N49" i="4"/>
  <c r="L49" i="4"/>
  <c r="N48" i="4"/>
  <c r="L48" i="4"/>
  <c r="N47" i="4"/>
  <c r="L47" i="4"/>
  <c r="N46" i="4"/>
  <c r="L46" i="4"/>
  <c r="N45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N24" i="4"/>
  <c r="L24" i="4"/>
  <c r="N23" i="4"/>
  <c r="L23" i="4"/>
  <c r="L22" i="4"/>
  <c r="L20" i="4"/>
  <c r="L16" i="4"/>
  <c r="L15" i="4"/>
  <c r="L14" i="4"/>
  <c r="L13" i="4"/>
  <c r="L10" i="4"/>
  <c r="L8" i="4"/>
  <c r="L7" i="4"/>
  <c r="N6" i="4"/>
  <c r="L6" i="4"/>
</calcChain>
</file>

<file path=xl/sharedStrings.xml><?xml version="1.0" encoding="utf-8"?>
<sst xmlns="http://schemas.openxmlformats.org/spreadsheetml/2006/main" count="337" uniqueCount="124">
  <si>
    <t>支給控除一覧表</t>
    <phoneticPr fontId="4"/>
  </si>
  <si>
    <t>若林運送株式会社</t>
    <phoneticPr fontId="4"/>
  </si>
  <si>
    <t/>
  </si>
  <si>
    <t>1006</t>
    <phoneticPr fontId="4"/>
  </si>
  <si>
    <t>1007</t>
    <phoneticPr fontId="4"/>
  </si>
  <si>
    <t>1009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</si>
  <si>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</si>
  <si>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</si>
  <si>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</si>
  <si>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</si>
  <si>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</si>
  <si>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</si>
  <si>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</si>
  <si>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</si>
  <si>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</si>
  <si>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</si>
  <si>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</si>
  <si>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</si>
  <si>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</si>
  <si>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</si>
  <si>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</si>
  <si>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</si>
  <si>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1098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</si>
  <si>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</si>
  <si>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</si>
  <si>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</si>
  <si>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</si>
  <si>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</si>
  <si>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</si>
  <si>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</si>
  <si>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</si>
  <si>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</si>
  <si>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</si>
  <si>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小野　宏美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</si>
  <si>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</si>
  <si>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</si>
  <si>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</si>
  <si>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</si>
  <si>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</si>
  <si>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</si>
  <si>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</si>
  <si>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</si>
  <si>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</si>
  <si>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</si>
  <si>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</si>
  <si>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</si>
  <si>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</si>
  <si>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</si>
  <si>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</si>
  <si>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</si>
  <si>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圷　健佑</t>
    <phoneticPr fontId="4"/>
  </si>
  <si>
    <t>瀬野尾　勉</t>
    <phoneticPr fontId="4"/>
  </si>
  <si>
    <t>鈴木　重夫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</si>
  <si>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</si>
  <si>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</si>
  <si>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</si>
  <si>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</si>
  <si>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</si>
  <si>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</si>
  <si>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</si>
  <si>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</si>
  <si>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</si>
  <si>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</si>
  <si>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</si>
  <si>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</si>
  <si>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</si>
  <si>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</si>
  <si>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</si>
  <si>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</si>
  <si>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</si>
  <si>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</si>
  <si>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</si>
  <si>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</si>
  <si>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</si>
  <si>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</si>
  <si>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</si>
  <si>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</si>
  <si>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</si>
  <si>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</si>
  <si>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</si>
  <si>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</si>
  <si>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</si>
  <si>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</si>
  <si>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</si>
  <si>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</si>
  <si>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</si>
  <si>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</si>
  <si>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</si>
  <si>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</si>
  <si>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</si>
  <si>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</si>
  <si>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</si>
  <si>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</si>
  <si>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</si>
  <si>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</si>
  <si>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</si>
  <si>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</si>
  <si>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</si>
  <si>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</si>
  <si>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</si>
  <si>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</si>
  <si>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</si>
  <si>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</si>
  <si>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</si>
  <si>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</si>
  <si>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</si>
  <si>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</si>
  <si>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</si>
  <si>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</si>
  <si>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</si>
  <si>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</si>
  <si>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</si>
  <si>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</si>
  <si>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</si>
  <si>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</si>
  <si>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</si>
  <si>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</si>
  <si>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</si>
  <si>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12月度給与</t>
    <phoneticPr fontId="4"/>
  </si>
  <si>
    <t>小計</t>
    <rPh sb="0" eb="2">
      <t>ショウケイ</t>
    </rPh>
    <phoneticPr fontId="3"/>
  </si>
  <si>
    <t>１７名</t>
    <rPh sb="2" eb="3">
      <t>メイ</t>
    </rPh>
    <phoneticPr fontId="3"/>
  </si>
  <si>
    <t>9名</t>
    <rPh sb="1" eb="2">
      <t>メイ</t>
    </rPh>
    <phoneticPr fontId="3"/>
  </si>
  <si>
    <t>1名</t>
    <rPh sb="1" eb="2">
      <t>メイ</t>
    </rPh>
    <phoneticPr fontId="3"/>
  </si>
  <si>
    <t>２７名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</si>
</sst>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177" fontId="2" fillId="0" borderId="8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39" xfId="1" applyNumberFormat="1" applyFont="1" applyBorder="1"/>
    <xf numFmtId="49" fontId="2" fillId="0" borderId="44" xfId="1" applyNumberFormat="1" applyFont="1" applyBorder="1" applyAlignment="1">
      <alignment horizontal="left"/>
    </xf>
    <xf numFmtId="49" fontId="2" fillId="0" borderId="45" xfId="1" applyNumberFormat="1" applyFont="1" applyBorder="1" applyAlignment="1">
      <alignment horizontal="right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37" xfId="1" applyNumberFormat="1" applyFont="1" applyBorder="1"/>
    <xf numFmtId="177" fontId="2" fillId="0" borderId="47" xfId="1" applyNumberFormat="1" applyFont="1" applyBorder="1"/>
    <xf numFmtId="49" fontId="2" fillId="0" borderId="45" xfId="1" applyNumberFormat="1" applyFont="1" applyBorder="1"/>
    <xf numFmtId="0" fontId="2" fillId="0" borderId="44" xfId="1" applyFont="1" applyBorder="1"/>
    <xf numFmtId="0" fontId="2" fillId="0" borderId="45" xfId="1" applyFont="1" applyBorder="1" applyAlignment="1">
      <alignment horizontal="right"/>
    </xf>
    <xf numFmtId="0" fontId="2" fillId="0" borderId="49" xfId="1" applyFont="1" applyBorder="1"/>
    <xf numFmtId="0" fontId="2" fillId="0" borderId="4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49" fontId="2" fillId="0" borderId="14" xfId="1" applyNumberFormat="1" applyFont="1" applyBorder="1" applyAlignment="1">
      <alignment horizontal="left"/>
    </xf>
    <xf numFmtId="49" fontId="2" fillId="0" borderId="7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49" fontId="2" fillId="0" borderId="18" xfId="1" applyNumberFormat="1" applyFont="1" applyBorder="1" applyAlignment="1">
      <alignment horizontal="left"/>
    </xf>
    <xf numFmtId="49" fontId="2" fillId="0" borderId="22" xfId="1" applyNumberFormat="1" applyFont="1" applyBorder="1" applyAlignment="1">
      <alignment horizontal="left"/>
    </xf>
  </cellXfs>
  <cellStyles count="2">
    <cellStyle name="標準" xfId="0" builtinId="0"/>
    <cellStyle name="標準 2" xfId="1" xr:uid="{64089ACA-3A16-4A15-85CF-251847B2C1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CD1B-31A7-46FD-A0FD-B8307E01B893}">
  <sheetPr>
    <pageSetUpPr fitToPage="1"/>
  </sheetPr>
  <dimension ref="A1:Q64"/>
  <sheetViews>
    <sheetView showZeros="0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5" width="11.5" style="2" customWidth="1"/>
    <col min="16" max="235" width="9" style="2"/>
    <col min="236" max="236" width="2.375" style="2" customWidth="1"/>
    <col min="237" max="238" width="13.25" style="2" bestFit="1" customWidth="1"/>
    <col min="239" max="241" width="11.125" style="2" bestFit="1" customWidth="1"/>
    <col min="242" max="242" width="13.25" style="2" bestFit="1" customWidth="1"/>
    <col min="243" max="243" width="11.125" style="2" bestFit="1" customWidth="1"/>
    <col min="244" max="244" width="9" style="2"/>
    <col min="245" max="246" width="11.125" style="2" bestFit="1" customWidth="1"/>
    <col min="247" max="247" width="9" style="2"/>
    <col min="248" max="259" width="11.125" style="2" bestFit="1" customWidth="1"/>
    <col min="260" max="262" width="9" style="2"/>
    <col min="263" max="270" width="11.125" style="2" bestFit="1" customWidth="1"/>
    <col min="271" max="271" width="9.625" style="2" bestFit="1" customWidth="1"/>
    <col min="272" max="491" width="9" style="2"/>
    <col min="492" max="492" width="2.375" style="2" customWidth="1"/>
    <col min="493" max="494" width="13.25" style="2" bestFit="1" customWidth="1"/>
    <col min="495" max="497" width="11.125" style="2" bestFit="1" customWidth="1"/>
    <col min="498" max="498" width="13.25" style="2" bestFit="1" customWidth="1"/>
    <col min="499" max="499" width="11.125" style="2" bestFit="1" customWidth="1"/>
    <col min="500" max="500" width="9" style="2"/>
    <col min="501" max="502" width="11.125" style="2" bestFit="1" customWidth="1"/>
    <col min="503" max="503" width="9" style="2"/>
    <col min="504" max="515" width="11.125" style="2" bestFit="1" customWidth="1"/>
    <col min="516" max="518" width="9" style="2"/>
    <col min="519" max="526" width="11.125" style="2" bestFit="1" customWidth="1"/>
    <col min="527" max="527" width="9.625" style="2" bestFit="1" customWidth="1"/>
    <col min="528" max="747" width="9" style="2"/>
    <col min="748" max="748" width="2.375" style="2" customWidth="1"/>
    <col min="749" max="750" width="13.25" style="2" bestFit="1" customWidth="1"/>
    <col min="751" max="753" width="11.125" style="2" bestFit="1" customWidth="1"/>
    <col min="754" max="754" width="13.25" style="2" bestFit="1" customWidth="1"/>
    <col min="755" max="755" width="11.125" style="2" bestFit="1" customWidth="1"/>
    <col min="756" max="756" width="9" style="2"/>
    <col min="757" max="758" width="11.125" style="2" bestFit="1" customWidth="1"/>
    <col min="759" max="759" width="9" style="2"/>
    <col min="760" max="771" width="11.125" style="2" bestFit="1" customWidth="1"/>
    <col min="772" max="774" width="9" style="2"/>
    <col min="775" max="782" width="11.125" style="2" bestFit="1" customWidth="1"/>
    <col min="783" max="783" width="9.625" style="2" bestFit="1" customWidth="1"/>
    <col min="784" max="1003" width="9" style="2"/>
    <col min="1004" max="1004" width="2.375" style="2" customWidth="1"/>
    <col min="1005" max="1006" width="13.25" style="2" bestFit="1" customWidth="1"/>
    <col min="1007" max="1009" width="11.125" style="2" bestFit="1" customWidth="1"/>
    <col min="1010" max="1010" width="13.25" style="2" bestFit="1" customWidth="1"/>
    <col min="1011" max="1011" width="11.125" style="2" bestFit="1" customWidth="1"/>
    <col min="1012" max="1012" width="9" style="2"/>
    <col min="1013" max="1014" width="11.125" style="2" bestFit="1" customWidth="1"/>
    <col min="1015" max="1015" width="9" style="2"/>
    <col min="1016" max="1027" width="11.125" style="2" bestFit="1" customWidth="1"/>
    <col min="1028" max="1030" width="9" style="2"/>
    <col min="1031" max="1038" width="11.125" style="2" bestFit="1" customWidth="1"/>
    <col min="1039" max="1039" width="9.625" style="2" bestFit="1" customWidth="1"/>
    <col min="1040" max="1259" width="9" style="2"/>
    <col min="1260" max="1260" width="2.375" style="2" customWidth="1"/>
    <col min="1261" max="1262" width="13.25" style="2" bestFit="1" customWidth="1"/>
    <col min="1263" max="1265" width="11.125" style="2" bestFit="1" customWidth="1"/>
    <col min="1266" max="1266" width="13.25" style="2" bestFit="1" customWidth="1"/>
    <col min="1267" max="1267" width="11.125" style="2" bestFit="1" customWidth="1"/>
    <col min="1268" max="1268" width="9" style="2"/>
    <col min="1269" max="1270" width="11.125" style="2" bestFit="1" customWidth="1"/>
    <col min="1271" max="1271" width="9" style="2"/>
    <col min="1272" max="1283" width="11.125" style="2" bestFit="1" customWidth="1"/>
    <col min="1284" max="1286" width="9" style="2"/>
    <col min="1287" max="1294" width="11.125" style="2" bestFit="1" customWidth="1"/>
    <col min="1295" max="1295" width="9.625" style="2" bestFit="1" customWidth="1"/>
    <col min="1296" max="1515" width="9" style="2"/>
    <col min="1516" max="1516" width="2.375" style="2" customWidth="1"/>
    <col min="1517" max="1518" width="13.25" style="2" bestFit="1" customWidth="1"/>
    <col min="1519" max="1521" width="11.125" style="2" bestFit="1" customWidth="1"/>
    <col min="1522" max="1522" width="13.25" style="2" bestFit="1" customWidth="1"/>
    <col min="1523" max="1523" width="11.125" style="2" bestFit="1" customWidth="1"/>
    <col min="1524" max="1524" width="9" style="2"/>
    <col min="1525" max="1526" width="11.125" style="2" bestFit="1" customWidth="1"/>
    <col min="1527" max="1527" width="9" style="2"/>
    <col min="1528" max="1539" width="11.125" style="2" bestFit="1" customWidth="1"/>
    <col min="1540" max="1542" width="9" style="2"/>
    <col min="1543" max="1550" width="11.125" style="2" bestFit="1" customWidth="1"/>
    <col min="1551" max="1551" width="9.625" style="2" bestFit="1" customWidth="1"/>
    <col min="1552" max="1771" width="9" style="2"/>
    <col min="1772" max="1772" width="2.375" style="2" customWidth="1"/>
    <col min="1773" max="1774" width="13.25" style="2" bestFit="1" customWidth="1"/>
    <col min="1775" max="1777" width="11.125" style="2" bestFit="1" customWidth="1"/>
    <col min="1778" max="1778" width="13.25" style="2" bestFit="1" customWidth="1"/>
    <col min="1779" max="1779" width="11.125" style="2" bestFit="1" customWidth="1"/>
    <col min="1780" max="1780" width="9" style="2"/>
    <col min="1781" max="1782" width="11.125" style="2" bestFit="1" customWidth="1"/>
    <col min="1783" max="1783" width="9" style="2"/>
    <col min="1784" max="1795" width="11.125" style="2" bestFit="1" customWidth="1"/>
    <col min="1796" max="1798" width="9" style="2"/>
    <col min="1799" max="1806" width="11.125" style="2" bestFit="1" customWidth="1"/>
    <col min="1807" max="1807" width="9.625" style="2" bestFit="1" customWidth="1"/>
    <col min="1808" max="2027" width="9" style="2"/>
    <col min="2028" max="2028" width="2.375" style="2" customWidth="1"/>
    <col min="2029" max="2030" width="13.25" style="2" bestFit="1" customWidth="1"/>
    <col min="2031" max="2033" width="11.125" style="2" bestFit="1" customWidth="1"/>
    <col min="2034" max="2034" width="13.25" style="2" bestFit="1" customWidth="1"/>
    <col min="2035" max="2035" width="11.125" style="2" bestFit="1" customWidth="1"/>
    <col min="2036" max="2036" width="9" style="2"/>
    <col min="2037" max="2038" width="11.125" style="2" bestFit="1" customWidth="1"/>
    <col min="2039" max="2039" width="9" style="2"/>
    <col min="2040" max="2051" width="11.125" style="2" bestFit="1" customWidth="1"/>
    <col min="2052" max="2054" width="9" style="2"/>
    <col min="2055" max="2062" width="11.125" style="2" bestFit="1" customWidth="1"/>
    <col min="2063" max="2063" width="9.625" style="2" bestFit="1" customWidth="1"/>
    <col min="2064" max="2283" width="9" style="2"/>
    <col min="2284" max="2284" width="2.375" style="2" customWidth="1"/>
    <col min="2285" max="2286" width="13.25" style="2" bestFit="1" customWidth="1"/>
    <col min="2287" max="2289" width="11.125" style="2" bestFit="1" customWidth="1"/>
    <col min="2290" max="2290" width="13.25" style="2" bestFit="1" customWidth="1"/>
    <col min="2291" max="2291" width="11.125" style="2" bestFit="1" customWidth="1"/>
    <col min="2292" max="2292" width="9" style="2"/>
    <col min="2293" max="2294" width="11.125" style="2" bestFit="1" customWidth="1"/>
    <col min="2295" max="2295" width="9" style="2"/>
    <col min="2296" max="2307" width="11.125" style="2" bestFit="1" customWidth="1"/>
    <col min="2308" max="2310" width="9" style="2"/>
    <col min="2311" max="2318" width="11.125" style="2" bestFit="1" customWidth="1"/>
    <col min="2319" max="2319" width="9.625" style="2" bestFit="1" customWidth="1"/>
    <col min="2320" max="2539" width="9" style="2"/>
    <col min="2540" max="2540" width="2.375" style="2" customWidth="1"/>
    <col min="2541" max="2542" width="13.25" style="2" bestFit="1" customWidth="1"/>
    <col min="2543" max="2545" width="11.125" style="2" bestFit="1" customWidth="1"/>
    <col min="2546" max="2546" width="13.25" style="2" bestFit="1" customWidth="1"/>
    <col min="2547" max="2547" width="11.125" style="2" bestFit="1" customWidth="1"/>
    <col min="2548" max="2548" width="9" style="2"/>
    <col min="2549" max="2550" width="11.125" style="2" bestFit="1" customWidth="1"/>
    <col min="2551" max="2551" width="9" style="2"/>
    <col min="2552" max="2563" width="11.125" style="2" bestFit="1" customWidth="1"/>
    <col min="2564" max="2566" width="9" style="2"/>
    <col min="2567" max="2574" width="11.125" style="2" bestFit="1" customWidth="1"/>
    <col min="2575" max="2575" width="9.625" style="2" bestFit="1" customWidth="1"/>
    <col min="2576" max="2795" width="9" style="2"/>
    <col min="2796" max="2796" width="2.375" style="2" customWidth="1"/>
    <col min="2797" max="2798" width="13.25" style="2" bestFit="1" customWidth="1"/>
    <col min="2799" max="2801" width="11.125" style="2" bestFit="1" customWidth="1"/>
    <col min="2802" max="2802" width="13.25" style="2" bestFit="1" customWidth="1"/>
    <col min="2803" max="2803" width="11.125" style="2" bestFit="1" customWidth="1"/>
    <col min="2804" max="2804" width="9" style="2"/>
    <col min="2805" max="2806" width="11.125" style="2" bestFit="1" customWidth="1"/>
    <col min="2807" max="2807" width="9" style="2"/>
    <col min="2808" max="2819" width="11.125" style="2" bestFit="1" customWidth="1"/>
    <col min="2820" max="2822" width="9" style="2"/>
    <col min="2823" max="2830" width="11.125" style="2" bestFit="1" customWidth="1"/>
    <col min="2831" max="2831" width="9.625" style="2" bestFit="1" customWidth="1"/>
    <col min="2832" max="3051" width="9" style="2"/>
    <col min="3052" max="3052" width="2.375" style="2" customWidth="1"/>
    <col min="3053" max="3054" width="13.25" style="2" bestFit="1" customWidth="1"/>
    <col min="3055" max="3057" width="11.125" style="2" bestFit="1" customWidth="1"/>
    <col min="3058" max="3058" width="13.25" style="2" bestFit="1" customWidth="1"/>
    <col min="3059" max="3059" width="11.125" style="2" bestFit="1" customWidth="1"/>
    <col min="3060" max="3060" width="9" style="2"/>
    <col min="3061" max="3062" width="11.125" style="2" bestFit="1" customWidth="1"/>
    <col min="3063" max="3063" width="9" style="2"/>
    <col min="3064" max="3075" width="11.125" style="2" bestFit="1" customWidth="1"/>
    <col min="3076" max="3078" width="9" style="2"/>
    <col min="3079" max="3086" width="11.125" style="2" bestFit="1" customWidth="1"/>
    <col min="3087" max="3087" width="9.625" style="2" bestFit="1" customWidth="1"/>
    <col min="3088" max="3307" width="9" style="2"/>
    <col min="3308" max="3308" width="2.375" style="2" customWidth="1"/>
    <col min="3309" max="3310" width="13.25" style="2" bestFit="1" customWidth="1"/>
    <col min="3311" max="3313" width="11.125" style="2" bestFit="1" customWidth="1"/>
    <col min="3314" max="3314" width="13.25" style="2" bestFit="1" customWidth="1"/>
    <col min="3315" max="3315" width="11.125" style="2" bestFit="1" customWidth="1"/>
    <col min="3316" max="3316" width="9" style="2"/>
    <col min="3317" max="3318" width="11.125" style="2" bestFit="1" customWidth="1"/>
    <col min="3319" max="3319" width="9" style="2"/>
    <col min="3320" max="3331" width="11.125" style="2" bestFit="1" customWidth="1"/>
    <col min="3332" max="3334" width="9" style="2"/>
    <col min="3335" max="3342" width="11.125" style="2" bestFit="1" customWidth="1"/>
    <col min="3343" max="3343" width="9.625" style="2" bestFit="1" customWidth="1"/>
    <col min="3344" max="3563" width="9" style="2"/>
    <col min="3564" max="3564" width="2.375" style="2" customWidth="1"/>
    <col min="3565" max="3566" width="13.25" style="2" bestFit="1" customWidth="1"/>
    <col min="3567" max="3569" width="11.125" style="2" bestFit="1" customWidth="1"/>
    <col min="3570" max="3570" width="13.25" style="2" bestFit="1" customWidth="1"/>
    <col min="3571" max="3571" width="11.125" style="2" bestFit="1" customWidth="1"/>
    <col min="3572" max="3572" width="9" style="2"/>
    <col min="3573" max="3574" width="11.125" style="2" bestFit="1" customWidth="1"/>
    <col min="3575" max="3575" width="9" style="2"/>
    <col min="3576" max="3587" width="11.125" style="2" bestFit="1" customWidth="1"/>
    <col min="3588" max="3590" width="9" style="2"/>
    <col min="3591" max="3598" width="11.125" style="2" bestFit="1" customWidth="1"/>
    <col min="3599" max="3599" width="9.625" style="2" bestFit="1" customWidth="1"/>
    <col min="3600" max="3819" width="9" style="2"/>
    <col min="3820" max="3820" width="2.375" style="2" customWidth="1"/>
    <col min="3821" max="3822" width="13.25" style="2" bestFit="1" customWidth="1"/>
    <col min="3823" max="3825" width="11.125" style="2" bestFit="1" customWidth="1"/>
    <col min="3826" max="3826" width="13.25" style="2" bestFit="1" customWidth="1"/>
    <col min="3827" max="3827" width="11.125" style="2" bestFit="1" customWidth="1"/>
    <col min="3828" max="3828" width="9" style="2"/>
    <col min="3829" max="3830" width="11.125" style="2" bestFit="1" customWidth="1"/>
    <col min="3831" max="3831" width="9" style="2"/>
    <col min="3832" max="3843" width="11.125" style="2" bestFit="1" customWidth="1"/>
    <col min="3844" max="3846" width="9" style="2"/>
    <col min="3847" max="3854" width="11.125" style="2" bestFit="1" customWidth="1"/>
    <col min="3855" max="3855" width="9.625" style="2" bestFit="1" customWidth="1"/>
    <col min="3856" max="4075" width="9" style="2"/>
    <col min="4076" max="4076" width="2.375" style="2" customWidth="1"/>
    <col min="4077" max="4078" width="13.25" style="2" bestFit="1" customWidth="1"/>
    <col min="4079" max="4081" width="11.125" style="2" bestFit="1" customWidth="1"/>
    <col min="4082" max="4082" width="13.25" style="2" bestFit="1" customWidth="1"/>
    <col min="4083" max="4083" width="11.125" style="2" bestFit="1" customWidth="1"/>
    <col min="4084" max="4084" width="9" style="2"/>
    <col min="4085" max="4086" width="11.125" style="2" bestFit="1" customWidth="1"/>
    <col min="4087" max="4087" width="9" style="2"/>
    <col min="4088" max="4099" width="11.125" style="2" bestFit="1" customWidth="1"/>
    <col min="4100" max="4102" width="9" style="2"/>
    <col min="4103" max="4110" width="11.125" style="2" bestFit="1" customWidth="1"/>
    <col min="4111" max="4111" width="9.625" style="2" bestFit="1" customWidth="1"/>
    <col min="4112" max="4331" width="9" style="2"/>
    <col min="4332" max="4332" width="2.375" style="2" customWidth="1"/>
    <col min="4333" max="4334" width="13.25" style="2" bestFit="1" customWidth="1"/>
    <col min="4335" max="4337" width="11.125" style="2" bestFit="1" customWidth="1"/>
    <col min="4338" max="4338" width="13.25" style="2" bestFit="1" customWidth="1"/>
    <col min="4339" max="4339" width="11.125" style="2" bestFit="1" customWidth="1"/>
    <col min="4340" max="4340" width="9" style="2"/>
    <col min="4341" max="4342" width="11.125" style="2" bestFit="1" customWidth="1"/>
    <col min="4343" max="4343" width="9" style="2"/>
    <col min="4344" max="4355" width="11.125" style="2" bestFit="1" customWidth="1"/>
    <col min="4356" max="4358" width="9" style="2"/>
    <col min="4359" max="4366" width="11.125" style="2" bestFit="1" customWidth="1"/>
    <col min="4367" max="4367" width="9.625" style="2" bestFit="1" customWidth="1"/>
    <col min="4368" max="4587" width="9" style="2"/>
    <col min="4588" max="4588" width="2.375" style="2" customWidth="1"/>
    <col min="4589" max="4590" width="13.25" style="2" bestFit="1" customWidth="1"/>
    <col min="4591" max="4593" width="11.125" style="2" bestFit="1" customWidth="1"/>
    <col min="4594" max="4594" width="13.25" style="2" bestFit="1" customWidth="1"/>
    <col min="4595" max="4595" width="11.125" style="2" bestFit="1" customWidth="1"/>
    <col min="4596" max="4596" width="9" style="2"/>
    <col min="4597" max="4598" width="11.125" style="2" bestFit="1" customWidth="1"/>
    <col min="4599" max="4599" width="9" style="2"/>
    <col min="4600" max="4611" width="11.125" style="2" bestFit="1" customWidth="1"/>
    <col min="4612" max="4614" width="9" style="2"/>
    <col min="4615" max="4622" width="11.125" style="2" bestFit="1" customWidth="1"/>
    <col min="4623" max="4623" width="9.625" style="2" bestFit="1" customWidth="1"/>
    <col min="4624" max="4843" width="9" style="2"/>
    <col min="4844" max="4844" width="2.375" style="2" customWidth="1"/>
    <col min="4845" max="4846" width="13.25" style="2" bestFit="1" customWidth="1"/>
    <col min="4847" max="4849" width="11.125" style="2" bestFit="1" customWidth="1"/>
    <col min="4850" max="4850" width="13.25" style="2" bestFit="1" customWidth="1"/>
    <col min="4851" max="4851" width="11.125" style="2" bestFit="1" customWidth="1"/>
    <col min="4852" max="4852" width="9" style="2"/>
    <col min="4853" max="4854" width="11.125" style="2" bestFit="1" customWidth="1"/>
    <col min="4855" max="4855" width="9" style="2"/>
    <col min="4856" max="4867" width="11.125" style="2" bestFit="1" customWidth="1"/>
    <col min="4868" max="4870" width="9" style="2"/>
    <col min="4871" max="4878" width="11.125" style="2" bestFit="1" customWidth="1"/>
    <col min="4879" max="4879" width="9.625" style="2" bestFit="1" customWidth="1"/>
    <col min="4880" max="5099" width="9" style="2"/>
    <col min="5100" max="5100" width="2.375" style="2" customWidth="1"/>
    <col min="5101" max="5102" width="13.25" style="2" bestFit="1" customWidth="1"/>
    <col min="5103" max="5105" width="11.125" style="2" bestFit="1" customWidth="1"/>
    <col min="5106" max="5106" width="13.25" style="2" bestFit="1" customWidth="1"/>
    <col min="5107" max="5107" width="11.125" style="2" bestFit="1" customWidth="1"/>
    <col min="5108" max="5108" width="9" style="2"/>
    <col min="5109" max="5110" width="11.125" style="2" bestFit="1" customWidth="1"/>
    <col min="5111" max="5111" width="9" style="2"/>
    <col min="5112" max="5123" width="11.125" style="2" bestFit="1" customWidth="1"/>
    <col min="5124" max="5126" width="9" style="2"/>
    <col min="5127" max="5134" width="11.125" style="2" bestFit="1" customWidth="1"/>
    <col min="5135" max="5135" width="9.625" style="2" bestFit="1" customWidth="1"/>
    <col min="5136" max="5355" width="9" style="2"/>
    <col min="5356" max="5356" width="2.375" style="2" customWidth="1"/>
    <col min="5357" max="5358" width="13.25" style="2" bestFit="1" customWidth="1"/>
    <col min="5359" max="5361" width="11.125" style="2" bestFit="1" customWidth="1"/>
    <col min="5362" max="5362" width="13.25" style="2" bestFit="1" customWidth="1"/>
    <col min="5363" max="5363" width="11.125" style="2" bestFit="1" customWidth="1"/>
    <col min="5364" max="5364" width="9" style="2"/>
    <col min="5365" max="5366" width="11.125" style="2" bestFit="1" customWidth="1"/>
    <col min="5367" max="5367" width="9" style="2"/>
    <col min="5368" max="5379" width="11.125" style="2" bestFit="1" customWidth="1"/>
    <col min="5380" max="5382" width="9" style="2"/>
    <col min="5383" max="5390" width="11.125" style="2" bestFit="1" customWidth="1"/>
    <col min="5391" max="5391" width="9.625" style="2" bestFit="1" customWidth="1"/>
    <col min="5392" max="5611" width="9" style="2"/>
    <col min="5612" max="5612" width="2.375" style="2" customWidth="1"/>
    <col min="5613" max="5614" width="13.25" style="2" bestFit="1" customWidth="1"/>
    <col min="5615" max="5617" width="11.125" style="2" bestFit="1" customWidth="1"/>
    <col min="5618" max="5618" width="13.25" style="2" bestFit="1" customWidth="1"/>
    <col min="5619" max="5619" width="11.125" style="2" bestFit="1" customWidth="1"/>
    <col min="5620" max="5620" width="9" style="2"/>
    <col min="5621" max="5622" width="11.125" style="2" bestFit="1" customWidth="1"/>
    <col min="5623" max="5623" width="9" style="2"/>
    <col min="5624" max="5635" width="11.125" style="2" bestFit="1" customWidth="1"/>
    <col min="5636" max="5638" width="9" style="2"/>
    <col min="5639" max="5646" width="11.125" style="2" bestFit="1" customWidth="1"/>
    <col min="5647" max="5647" width="9.625" style="2" bestFit="1" customWidth="1"/>
    <col min="5648" max="5867" width="9" style="2"/>
    <col min="5868" max="5868" width="2.375" style="2" customWidth="1"/>
    <col min="5869" max="5870" width="13.25" style="2" bestFit="1" customWidth="1"/>
    <col min="5871" max="5873" width="11.125" style="2" bestFit="1" customWidth="1"/>
    <col min="5874" max="5874" width="13.25" style="2" bestFit="1" customWidth="1"/>
    <col min="5875" max="5875" width="11.125" style="2" bestFit="1" customWidth="1"/>
    <col min="5876" max="5876" width="9" style="2"/>
    <col min="5877" max="5878" width="11.125" style="2" bestFit="1" customWidth="1"/>
    <col min="5879" max="5879" width="9" style="2"/>
    <col min="5880" max="5891" width="11.125" style="2" bestFit="1" customWidth="1"/>
    <col min="5892" max="5894" width="9" style="2"/>
    <col min="5895" max="5902" width="11.125" style="2" bestFit="1" customWidth="1"/>
    <col min="5903" max="5903" width="9.625" style="2" bestFit="1" customWidth="1"/>
    <col min="5904" max="6123" width="9" style="2"/>
    <col min="6124" max="6124" width="2.375" style="2" customWidth="1"/>
    <col min="6125" max="6126" width="13.25" style="2" bestFit="1" customWidth="1"/>
    <col min="6127" max="6129" width="11.125" style="2" bestFit="1" customWidth="1"/>
    <col min="6130" max="6130" width="13.25" style="2" bestFit="1" customWidth="1"/>
    <col min="6131" max="6131" width="11.125" style="2" bestFit="1" customWidth="1"/>
    <col min="6132" max="6132" width="9" style="2"/>
    <col min="6133" max="6134" width="11.125" style="2" bestFit="1" customWidth="1"/>
    <col min="6135" max="6135" width="9" style="2"/>
    <col min="6136" max="6147" width="11.125" style="2" bestFit="1" customWidth="1"/>
    <col min="6148" max="6150" width="9" style="2"/>
    <col min="6151" max="6158" width="11.125" style="2" bestFit="1" customWidth="1"/>
    <col min="6159" max="6159" width="9.625" style="2" bestFit="1" customWidth="1"/>
    <col min="6160" max="6379" width="9" style="2"/>
    <col min="6380" max="6380" width="2.375" style="2" customWidth="1"/>
    <col min="6381" max="6382" width="13.25" style="2" bestFit="1" customWidth="1"/>
    <col min="6383" max="6385" width="11.125" style="2" bestFit="1" customWidth="1"/>
    <col min="6386" max="6386" width="13.25" style="2" bestFit="1" customWidth="1"/>
    <col min="6387" max="6387" width="11.125" style="2" bestFit="1" customWidth="1"/>
    <col min="6388" max="6388" width="9" style="2"/>
    <col min="6389" max="6390" width="11.125" style="2" bestFit="1" customWidth="1"/>
    <col min="6391" max="6391" width="9" style="2"/>
    <col min="6392" max="6403" width="11.125" style="2" bestFit="1" customWidth="1"/>
    <col min="6404" max="6406" width="9" style="2"/>
    <col min="6407" max="6414" width="11.125" style="2" bestFit="1" customWidth="1"/>
    <col min="6415" max="6415" width="9.625" style="2" bestFit="1" customWidth="1"/>
    <col min="6416" max="6635" width="9" style="2"/>
    <col min="6636" max="6636" width="2.375" style="2" customWidth="1"/>
    <col min="6637" max="6638" width="13.25" style="2" bestFit="1" customWidth="1"/>
    <col min="6639" max="6641" width="11.125" style="2" bestFit="1" customWidth="1"/>
    <col min="6642" max="6642" width="13.25" style="2" bestFit="1" customWidth="1"/>
    <col min="6643" max="6643" width="11.125" style="2" bestFit="1" customWidth="1"/>
    <col min="6644" max="6644" width="9" style="2"/>
    <col min="6645" max="6646" width="11.125" style="2" bestFit="1" customWidth="1"/>
    <col min="6647" max="6647" width="9" style="2"/>
    <col min="6648" max="6659" width="11.125" style="2" bestFit="1" customWidth="1"/>
    <col min="6660" max="6662" width="9" style="2"/>
    <col min="6663" max="6670" width="11.125" style="2" bestFit="1" customWidth="1"/>
    <col min="6671" max="6671" width="9.625" style="2" bestFit="1" customWidth="1"/>
    <col min="6672" max="6891" width="9" style="2"/>
    <col min="6892" max="6892" width="2.375" style="2" customWidth="1"/>
    <col min="6893" max="6894" width="13.25" style="2" bestFit="1" customWidth="1"/>
    <col min="6895" max="6897" width="11.125" style="2" bestFit="1" customWidth="1"/>
    <col min="6898" max="6898" width="13.25" style="2" bestFit="1" customWidth="1"/>
    <col min="6899" max="6899" width="11.125" style="2" bestFit="1" customWidth="1"/>
    <col min="6900" max="6900" width="9" style="2"/>
    <col min="6901" max="6902" width="11.125" style="2" bestFit="1" customWidth="1"/>
    <col min="6903" max="6903" width="9" style="2"/>
    <col min="6904" max="6915" width="11.125" style="2" bestFit="1" customWidth="1"/>
    <col min="6916" max="6918" width="9" style="2"/>
    <col min="6919" max="6926" width="11.125" style="2" bestFit="1" customWidth="1"/>
    <col min="6927" max="6927" width="9.625" style="2" bestFit="1" customWidth="1"/>
    <col min="6928" max="7147" width="9" style="2"/>
    <col min="7148" max="7148" width="2.375" style="2" customWidth="1"/>
    <col min="7149" max="7150" width="13.25" style="2" bestFit="1" customWidth="1"/>
    <col min="7151" max="7153" width="11.125" style="2" bestFit="1" customWidth="1"/>
    <col min="7154" max="7154" width="13.25" style="2" bestFit="1" customWidth="1"/>
    <col min="7155" max="7155" width="11.125" style="2" bestFit="1" customWidth="1"/>
    <col min="7156" max="7156" width="9" style="2"/>
    <col min="7157" max="7158" width="11.125" style="2" bestFit="1" customWidth="1"/>
    <col min="7159" max="7159" width="9" style="2"/>
    <col min="7160" max="7171" width="11.125" style="2" bestFit="1" customWidth="1"/>
    <col min="7172" max="7174" width="9" style="2"/>
    <col min="7175" max="7182" width="11.125" style="2" bestFit="1" customWidth="1"/>
    <col min="7183" max="7183" width="9.625" style="2" bestFit="1" customWidth="1"/>
    <col min="7184" max="7403" width="9" style="2"/>
    <col min="7404" max="7404" width="2.375" style="2" customWidth="1"/>
    <col min="7405" max="7406" width="13.25" style="2" bestFit="1" customWidth="1"/>
    <col min="7407" max="7409" width="11.125" style="2" bestFit="1" customWidth="1"/>
    <col min="7410" max="7410" width="13.25" style="2" bestFit="1" customWidth="1"/>
    <col min="7411" max="7411" width="11.125" style="2" bestFit="1" customWidth="1"/>
    <col min="7412" max="7412" width="9" style="2"/>
    <col min="7413" max="7414" width="11.125" style="2" bestFit="1" customWidth="1"/>
    <col min="7415" max="7415" width="9" style="2"/>
    <col min="7416" max="7427" width="11.125" style="2" bestFit="1" customWidth="1"/>
    <col min="7428" max="7430" width="9" style="2"/>
    <col min="7431" max="7438" width="11.125" style="2" bestFit="1" customWidth="1"/>
    <col min="7439" max="7439" width="9.625" style="2" bestFit="1" customWidth="1"/>
    <col min="7440" max="7659" width="9" style="2"/>
    <col min="7660" max="7660" width="2.375" style="2" customWidth="1"/>
    <col min="7661" max="7662" width="13.25" style="2" bestFit="1" customWidth="1"/>
    <col min="7663" max="7665" width="11.125" style="2" bestFit="1" customWidth="1"/>
    <col min="7666" max="7666" width="13.25" style="2" bestFit="1" customWidth="1"/>
    <col min="7667" max="7667" width="11.125" style="2" bestFit="1" customWidth="1"/>
    <col min="7668" max="7668" width="9" style="2"/>
    <col min="7669" max="7670" width="11.125" style="2" bestFit="1" customWidth="1"/>
    <col min="7671" max="7671" width="9" style="2"/>
    <col min="7672" max="7683" width="11.125" style="2" bestFit="1" customWidth="1"/>
    <col min="7684" max="7686" width="9" style="2"/>
    <col min="7687" max="7694" width="11.125" style="2" bestFit="1" customWidth="1"/>
    <col min="7695" max="7695" width="9.625" style="2" bestFit="1" customWidth="1"/>
    <col min="7696" max="7915" width="9" style="2"/>
    <col min="7916" max="7916" width="2.375" style="2" customWidth="1"/>
    <col min="7917" max="7918" width="13.25" style="2" bestFit="1" customWidth="1"/>
    <col min="7919" max="7921" width="11.125" style="2" bestFit="1" customWidth="1"/>
    <col min="7922" max="7922" width="13.25" style="2" bestFit="1" customWidth="1"/>
    <col min="7923" max="7923" width="11.125" style="2" bestFit="1" customWidth="1"/>
    <col min="7924" max="7924" width="9" style="2"/>
    <col min="7925" max="7926" width="11.125" style="2" bestFit="1" customWidth="1"/>
    <col min="7927" max="7927" width="9" style="2"/>
    <col min="7928" max="7939" width="11.125" style="2" bestFit="1" customWidth="1"/>
    <col min="7940" max="7942" width="9" style="2"/>
    <col min="7943" max="7950" width="11.125" style="2" bestFit="1" customWidth="1"/>
    <col min="7951" max="7951" width="9.625" style="2" bestFit="1" customWidth="1"/>
    <col min="7952" max="8171" width="9" style="2"/>
    <col min="8172" max="8172" width="2.375" style="2" customWidth="1"/>
    <col min="8173" max="8174" width="13.25" style="2" bestFit="1" customWidth="1"/>
    <col min="8175" max="8177" width="11.125" style="2" bestFit="1" customWidth="1"/>
    <col min="8178" max="8178" width="13.25" style="2" bestFit="1" customWidth="1"/>
    <col min="8179" max="8179" width="11.125" style="2" bestFit="1" customWidth="1"/>
    <col min="8180" max="8180" width="9" style="2"/>
    <col min="8181" max="8182" width="11.125" style="2" bestFit="1" customWidth="1"/>
    <col min="8183" max="8183" width="9" style="2"/>
    <col min="8184" max="8195" width="11.125" style="2" bestFit="1" customWidth="1"/>
    <col min="8196" max="8198" width="9" style="2"/>
    <col min="8199" max="8206" width="11.125" style="2" bestFit="1" customWidth="1"/>
    <col min="8207" max="8207" width="9.625" style="2" bestFit="1" customWidth="1"/>
    <col min="8208" max="8427" width="9" style="2"/>
    <col min="8428" max="8428" width="2.375" style="2" customWidth="1"/>
    <col min="8429" max="8430" width="13.25" style="2" bestFit="1" customWidth="1"/>
    <col min="8431" max="8433" width="11.125" style="2" bestFit="1" customWidth="1"/>
    <col min="8434" max="8434" width="13.25" style="2" bestFit="1" customWidth="1"/>
    <col min="8435" max="8435" width="11.125" style="2" bestFit="1" customWidth="1"/>
    <col min="8436" max="8436" width="9" style="2"/>
    <col min="8437" max="8438" width="11.125" style="2" bestFit="1" customWidth="1"/>
    <col min="8439" max="8439" width="9" style="2"/>
    <col min="8440" max="8451" width="11.125" style="2" bestFit="1" customWidth="1"/>
    <col min="8452" max="8454" width="9" style="2"/>
    <col min="8455" max="8462" width="11.125" style="2" bestFit="1" customWidth="1"/>
    <col min="8463" max="8463" width="9.625" style="2" bestFit="1" customWidth="1"/>
    <col min="8464" max="8683" width="9" style="2"/>
    <col min="8684" max="8684" width="2.375" style="2" customWidth="1"/>
    <col min="8685" max="8686" width="13.25" style="2" bestFit="1" customWidth="1"/>
    <col min="8687" max="8689" width="11.125" style="2" bestFit="1" customWidth="1"/>
    <col min="8690" max="8690" width="13.25" style="2" bestFit="1" customWidth="1"/>
    <col min="8691" max="8691" width="11.125" style="2" bestFit="1" customWidth="1"/>
    <col min="8692" max="8692" width="9" style="2"/>
    <col min="8693" max="8694" width="11.125" style="2" bestFit="1" customWidth="1"/>
    <col min="8695" max="8695" width="9" style="2"/>
    <col min="8696" max="8707" width="11.125" style="2" bestFit="1" customWidth="1"/>
    <col min="8708" max="8710" width="9" style="2"/>
    <col min="8711" max="8718" width="11.125" style="2" bestFit="1" customWidth="1"/>
    <col min="8719" max="8719" width="9.625" style="2" bestFit="1" customWidth="1"/>
    <col min="8720" max="8939" width="9" style="2"/>
    <col min="8940" max="8940" width="2.375" style="2" customWidth="1"/>
    <col min="8941" max="8942" width="13.25" style="2" bestFit="1" customWidth="1"/>
    <col min="8943" max="8945" width="11.125" style="2" bestFit="1" customWidth="1"/>
    <col min="8946" max="8946" width="13.25" style="2" bestFit="1" customWidth="1"/>
    <col min="8947" max="8947" width="11.125" style="2" bestFit="1" customWidth="1"/>
    <col min="8948" max="8948" width="9" style="2"/>
    <col min="8949" max="8950" width="11.125" style="2" bestFit="1" customWidth="1"/>
    <col min="8951" max="8951" width="9" style="2"/>
    <col min="8952" max="8963" width="11.125" style="2" bestFit="1" customWidth="1"/>
    <col min="8964" max="8966" width="9" style="2"/>
    <col min="8967" max="8974" width="11.125" style="2" bestFit="1" customWidth="1"/>
    <col min="8975" max="8975" width="9.625" style="2" bestFit="1" customWidth="1"/>
    <col min="8976" max="9195" width="9" style="2"/>
    <col min="9196" max="9196" width="2.375" style="2" customWidth="1"/>
    <col min="9197" max="9198" width="13.25" style="2" bestFit="1" customWidth="1"/>
    <col min="9199" max="9201" width="11.125" style="2" bestFit="1" customWidth="1"/>
    <col min="9202" max="9202" width="13.25" style="2" bestFit="1" customWidth="1"/>
    <col min="9203" max="9203" width="11.125" style="2" bestFit="1" customWidth="1"/>
    <col min="9204" max="9204" width="9" style="2"/>
    <col min="9205" max="9206" width="11.125" style="2" bestFit="1" customWidth="1"/>
    <col min="9207" max="9207" width="9" style="2"/>
    <col min="9208" max="9219" width="11.125" style="2" bestFit="1" customWidth="1"/>
    <col min="9220" max="9222" width="9" style="2"/>
    <col min="9223" max="9230" width="11.125" style="2" bestFit="1" customWidth="1"/>
    <col min="9231" max="9231" width="9.625" style="2" bestFit="1" customWidth="1"/>
    <col min="9232" max="9451" width="9" style="2"/>
    <col min="9452" max="9452" width="2.375" style="2" customWidth="1"/>
    <col min="9453" max="9454" width="13.25" style="2" bestFit="1" customWidth="1"/>
    <col min="9455" max="9457" width="11.125" style="2" bestFit="1" customWidth="1"/>
    <col min="9458" max="9458" width="13.25" style="2" bestFit="1" customWidth="1"/>
    <col min="9459" max="9459" width="11.125" style="2" bestFit="1" customWidth="1"/>
    <col min="9460" max="9460" width="9" style="2"/>
    <col min="9461" max="9462" width="11.125" style="2" bestFit="1" customWidth="1"/>
    <col min="9463" max="9463" width="9" style="2"/>
    <col min="9464" max="9475" width="11.125" style="2" bestFit="1" customWidth="1"/>
    <col min="9476" max="9478" width="9" style="2"/>
    <col min="9479" max="9486" width="11.125" style="2" bestFit="1" customWidth="1"/>
    <col min="9487" max="9487" width="9.625" style="2" bestFit="1" customWidth="1"/>
    <col min="9488" max="9707" width="9" style="2"/>
    <col min="9708" max="9708" width="2.375" style="2" customWidth="1"/>
    <col min="9709" max="9710" width="13.25" style="2" bestFit="1" customWidth="1"/>
    <col min="9711" max="9713" width="11.125" style="2" bestFit="1" customWidth="1"/>
    <col min="9714" max="9714" width="13.25" style="2" bestFit="1" customWidth="1"/>
    <col min="9715" max="9715" width="11.125" style="2" bestFit="1" customWidth="1"/>
    <col min="9716" max="9716" width="9" style="2"/>
    <col min="9717" max="9718" width="11.125" style="2" bestFit="1" customWidth="1"/>
    <col min="9719" max="9719" width="9" style="2"/>
    <col min="9720" max="9731" width="11.125" style="2" bestFit="1" customWidth="1"/>
    <col min="9732" max="9734" width="9" style="2"/>
    <col min="9735" max="9742" width="11.125" style="2" bestFit="1" customWidth="1"/>
    <col min="9743" max="9743" width="9.625" style="2" bestFit="1" customWidth="1"/>
    <col min="9744" max="9963" width="9" style="2"/>
    <col min="9964" max="9964" width="2.375" style="2" customWidth="1"/>
    <col min="9965" max="9966" width="13.25" style="2" bestFit="1" customWidth="1"/>
    <col min="9967" max="9969" width="11.125" style="2" bestFit="1" customWidth="1"/>
    <col min="9970" max="9970" width="13.25" style="2" bestFit="1" customWidth="1"/>
    <col min="9971" max="9971" width="11.125" style="2" bestFit="1" customWidth="1"/>
    <col min="9972" max="9972" width="9" style="2"/>
    <col min="9973" max="9974" width="11.125" style="2" bestFit="1" customWidth="1"/>
    <col min="9975" max="9975" width="9" style="2"/>
    <col min="9976" max="9987" width="11.125" style="2" bestFit="1" customWidth="1"/>
    <col min="9988" max="9990" width="9" style="2"/>
    <col min="9991" max="9998" width="11.125" style="2" bestFit="1" customWidth="1"/>
    <col min="9999" max="9999" width="9.625" style="2" bestFit="1" customWidth="1"/>
    <col min="10000" max="10219" width="9" style="2"/>
    <col min="10220" max="10220" width="2.375" style="2" customWidth="1"/>
    <col min="10221" max="10222" width="13.25" style="2" bestFit="1" customWidth="1"/>
    <col min="10223" max="10225" width="11.125" style="2" bestFit="1" customWidth="1"/>
    <col min="10226" max="10226" width="13.25" style="2" bestFit="1" customWidth="1"/>
    <col min="10227" max="10227" width="11.125" style="2" bestFit="1" customWidth="1"/>
    <col min="10228" max="10228" width="9" style="2"/>
    <col min="10229" max="10230" width="11.125" style="2" bestFit="1" customWidth="1"/>
    <col min="10231" max="10231" width="9" style="2"/>
    <col min="10232" max="10243" width="11.125" style="2" bestFit="1" customWidth="1"/>
    <col min="10244" max="10246" width="9" style="2"/>
    <col min="10247" max="10254" width="11.125" style="2" bestFit="1" customWidth="1"/>
    <col min="10255" max="10255" width="9.625" style="2" bestFit="1" customWidth="1"/>
    <col min="10256" max="10475" width="9" style="2"/>
    <col min="10476" max="10476" width="2.375" style="2" customWidth="1"/>
    <col min="10477" max="10478" width="13.25" style="2" bestFit="1" customWidth="1"/>
    <col min="10479" max="10481" width="11.125" style="2" bestFit="1" customWidth="1"/>
    <col min="10482" max="10482" width="13.25" style="2" bestFit="1" customWidth="1"/>
    <col min="10483" max="10483" width="11.125" style="2" bestFit="1" customWidth="1"/>
    <col min="10484" max="10484" width="9" style="2"/>
    <col min="10485" max="10486" width="11.125" style="2" bestFit="1" customWidth="1"/>
    <col min="10487" max="10487" width="9" style="2"/>
    <col min="10488" max="10499" width="11.125" style="2" bestFit="1" customWidth="1"/>
    <col min="10500" max="10502" width="9" style="2"/>
    <col min="10503" max="10510" width="11.125" style="2" bestFit="1" customWidth="1"/>
    <col min="10511" max="10511" width="9.625" style="2" bestFit="1" customWidth="1"/>
    <col min="10512" max="10731" width="9" style="2"/>
    <col min="10732" max="10732" width="2.375" style="2" customWidth="1"/>
    <col min="10733" max="10734" width="13.25" style="2" bestFit="1" customWidth="1"/>
    <col min="10735" max="10737" width="11.125" style="2" bestFit="1" customWidth="1"/>
    <col min="10738" max="10738" width="13.25" style="2" bestFit="1" customWidth="1"/>
    <col min="10739" max="10739" width="11.125" style="2" bestFit="1" customWidth="1"/>
    <col min="10740" max="10740" width="9" style="2"/>
    <col min="10741" max="10742" width="11.125" style="2" bestFit="1" customWidth="1"/>
    <col min="10743" max="10743" width="9" style="2"/>
    <col min="10744" max="10755" width="11.125" style="2" bestFit="1" customWidth="1"/>
    <col min="10756" max="10758" width="9" style="2"/>
    <col min="10759" max="10766" width="11.125" style="2" bestFit="1" customWidth="1"/>
    <col min="10767" max="10767" width="9.625" style="2" bestFit="1" customWidth="1"/>
    <col min="10768" max="10987" width="9" style="2"/>
    <col min="10988" max="10988" width="2.375" style="2" customWidth="1"/>
    <col min="10989" max="10990" width="13.25" style="2" bestFit="1" customWidth="1"/>
    <col min="10991" max="10993" width="11.125" style="2" bestFit="1" customWidth="1"/>
    <col min="10994" max="10994" width="13.25" style="2" bestFit="1" customWidth="1"/>
    <col min="10995" max="10995" width="11.125" style="2" bestFit="1" customWidth="1"/>
    <col min="10996" max="10996" width="9" style="2"/>
    <col min="10997" max="10998" width="11.125" style="2" bestFit="1" customWidth="1"/>
    <col min="10999" max="10999" width="9" style="2"/>
    <col min="11000" max="11011" width="11.125" style="2" bestFit="1" customWidth="1"/>
    <col min="11012" max="11014" width="9" style="2"/>
    <col min="11015" max="11022" width="11.125" style="2" bestFit="1" customWidth="1"/>
    <col min="11023" max="11023" width="9.625" style="2" bestFit="1" customWidth="1"/>
    <col min="11024" max="11243" width="9" style="2"/>
    <col min="11244" max="11244" width="2.375" style="2" customWidth="1"/>
    <col min="11245" max="11246" width="13.25" style="2" bestFit="1" customWidth="1"/>
    <col min="11247" max="11249" width="11.125" style="2" bestFit="1" customWidth="1"/>
    <col min="11250" max="11250" width="13.25" style="2" bestFit="1" customWidth="1"/>
    <col min="11251" max="11251" width="11.125" style="2" bestFit="1" customWidth="1"/>
    <col min="11252" max="11252" width="9" style="2"/>
    <col min="11253" max="11254" width="11.125" style="2" bestFit="1" customWidth="1"/>
    <col min="11255" max="11255" width="9" style="2"/>
    <col min="11256" max="11267" width="11.125" style="2" bestFit="1" customWidth="1"/>
    <col min="11268" max="11270" width="9" style="2"/>
    <col min="11271" max="11278" width="11.125" style="2" bestFit="1" customWidth="1"/>
    <col min="11279" max="11279" width="9.625" style="2" bestFit="1" customWidth="1"/>
    <col min="11280" max="11499" width="9" style="2"/>
    <col min="11500" max="11500" width="2.375" style="2" customWidth="1"/>
    <col min="11501" max="11502" width="13.25" style="2" bestFit="1" customWidth="1"/>
    <col min="11503" max="11505" width="11.125" style="2" bestFit="1" customWidth="1"/>
    <col min="11506" max="11506" width="13.25" style="2" bestFit="1" customWidth="1"/>
    <col min="11507" max="11507" width="11.125" style="2" bestFit="1" customWidth="1"/>
    <col min="11508" max="11508" width="9" style="2"/>
    <col min="11509" max="11510" width="11.125" style="2" bestFit="1" customWidth="1"/>
    <col min="11511" max="11511" width="9" style="2"/>
    <col min="11512" max="11523" width="11.125" style="2" bestFit="1" customWidth="1"/>
    <col min="11524" max="11526" width="9" style="2"/>
    <col min="11527" max="11534" width="11.125" style="2" bestFit="1" customWidth="1"/>
    <col min="11535" max="11535" width="9.625" style="2" bestFit="1" customWidth="1"/>
    <col min="11536" max="11755" width="9" style="2"/>
    <col min="11756" max="11756" width="2.375" style="2" customWidth="1"/>
    <col min="11757" max="11758" width="13.25" style="2" bestFit="1" customWidth="1"/>
    <col min="11759" max="11761" width="11.125" style="2" bestFit="1" customWidth="1"/>
    <col min="11762" max="11762" width="13.25" style="2" bestFit="1" customWidth="1"/>
    <col min="11763" max="11763" width="11.125" style="2" bestFit="1" customWidth="1"/>
    <col min="11764" max="11764" width="9" style="2"/>
    <col min="11765" max="11766" width="11.125" style="2" bestFit="1" customWidth="1"/>
    <col min="11767" max="11767" width="9" style="2"/>
    <col min="11768" max="11779" width="11.125" style="2" bestFit="1" customWidth="1"/>
    <col min="11780" max="11782" width="9" style="2"/>
    <col min="11783" max="11790" width="11.125" style="2" bestFit="1" customWidth="1"/>
    <col min="11791" max="11791" width="9.625" style="2" bestFit="1" customWidth="1"/>
    <col min="11792" max="12011" width="9" style="2"/>
    <col min="12012" max="12012" width="2.375" style="2" customWidth="1"/>
    <col min="12013" max="12014" width="13.25" style="2" bestFit="1" customWidth="1"/>
    <col min="12015" max="12017" width="11.125" style="2" bestFit="1" customWidth="1"/>
    <col min="12018" max="12018" width="13.25" style="2" bestFit="1" customWidth="1"/>
    <col min="12019" max="12019" width="11.125" style="2" bestFit="1" customWidth="1"/>
    <col min="12020" max="12020" width="9" style="2"/>
    <col min="12021" max="12022" width="11.125" style="2" bestFit="1" customWidth="1"/>
    <col min="12023" max="12023" width="9" style="2"/>
    <col min="12024" max="12035" width="11.125" style="2" bestFit="1" customWidth="1"/>
    <col min="12036" max="12038" width="9" style="2"/>
    <col min="12039" max="12046" width="11.125" style="2" bestFit="1" customWidth="1"/>
    <col min="12047" max="12047" width="9.625" style="2" bestFit="1" customWidth="1"/>
    <col min="12048" max="12267" width="9" style="2"/>
    <col min="12268" max="12268" width="2.375" style="2" customWidth="1"/>
    <col min="12269" max="12270" width="13.25" style="2" bestFit="1" customWidth="1"/>
    <col min="12271" max="12273" width="11.125" style="2" bestFit="1" customWidth="1"/>
    <col min="12274" max="12274" width="13.25" style="2" bestFit="1" customWidth="1"/>
    <col min="12275" max="12275" width="11.125" style="2" bestFit="1" customWidth="1"/>
    <col min="12276" max="12276" width="9" style="2"/>
    <col min="12277" max="12278" width="11.125" style="2" bestFit="1" customWidth="1"/>
    <col min="12279" max="12279" width="9" style="2"/>
    <col min="12280" max="12291" width="11.125" style="2" bestFit="1" customWidth="1"/>
    <col min="12292" max="12294" width="9" style="2"/>
    <col min="12295" max="12302" width="11.125" style="2" bestFit="1" customWidth="1"/>
    <col min="12303" max="12303" width="9.625" style="2" bestFit="1" customWidth="1"/>
    <col min="12304" max="12523" width="9" style="2"/>
    <col min="12524" max="12524" width="2.375" style="2" customWidth="1"/>
    <col min="12525" max="12526" width="13.25" style="2" bestFit="1" customWidth="1"/>
    <col min="12527" max="12529" width="11.125" style="2" bestFit="1" customWidth="1"/>
    <col min="12530" max="12530" width="13.25" style="2" bestFit="1" customWidth="1"/>
    <col min="12531" max="12531" width="11.125" style="2" bestFit="1" customWidth="1"/>
    <col min="12532" max="12532" width="9" style="2"/>
    <col min="12533" max="12534" width="11.125" style="2" bestFit="1" customWidth="1"/>
    <col min="12535" max="12535" width="9" style="2"/>
    <col min="12536" max="12547" width="11.125" style="2" bestFit="1" customWidth="1"/>
    <col min="12548" max="12550" width="9" style="2"/>
    <col min="12551" max="12558" width="11.125" style="2" bestFit="1" customWidth="1"/>
    <col min="12559" max="12559" width="9.625" style="2" bestFit="1" customWidth="1"/>
    <col min="12560" max="12779" width="9" style="2"/>
    <col min="12780" max="12780" width="2.375" style="2" customWidth="1"/>
    <col min="12781" max="12782" width="13.25" style="2" bestFit="1" customWidth="1"/>
    <col min="12783" max="12785" width="11.125" style="2" bestFit="1" customWidth="1"/>
    <col min="12786" max="12786" width="13.25" style="2" bestFit="1" customWidth="1"/>
    <col min="12787" max="12787" width="11.125" style="2" bestFit="1" customWidth="1"/>
    <col min="12788" max="12788" width="9" style="2"/>
    <col min="12789" max="12790" width="11.125" style="2" bestFit="1" customWidth="1"/>
    <col min="12791" max="12791" width="9" style="2"/>
    <col min="12792" max="12803" width="11.125" style="2" bestFit="1" customWidth="1"/>
    <col min="12804" max="12806" width="9" style="2"/>
    <col min="12807" max="12814" width="11.125" style="2" bestFit="1" customWidth="1"/>
    <col min="12815" max="12815" width="9.625" style="2" bestFit="1" customWidth="1"/>
    <col min="12816" max="13035" width="9" style="2"/>
    <col min="13036" max="13036" width="2.375" style="2" customWidth="1"/>
    <col min="13037" max="13038" width="13.25" style="2" bestFit="1" customWidth="1"/>
    <col min="13039" max="13041" width="11.125" style="2" bestFit="1" customWidth="1"/>
    <col min="13042" max="13042" width="13.25" style="2" bestFit="1" customWidth="1"/>
    <col min="13043" max="13043" width="11.125" style="2" bestFit="1" customWidth="1"/>
    <col min="13044" max="13044" width="9" style="2"/>
    <col min="13045" max="13046" width="11.125" style="2" bestFit="1" customWidth="1"/>
    <col min="13047" max="13047" width="9" style="2"/>
    <col min="13048" max="13059" width="11.125" style="2" bestFit="1" customWidth="1"/>
    <col min="13060" max="13062" width="9" style="2"/>
    <col min="13063" max="13070" width="11.125" style="2" bestFit="1" customWidth="1"/>
    <col min="13071" max="13071" width="9.625" style="2" bestFit="1" customWidth="1"/>
    <col min="13072" max="13291" width="9" style="2"/>
    <col min="13292" max="13292" width="2.375" style="2" customWidth="1"/>
    <col min="13293" max="13294" width="13.25" style="2" bestFit="1" customWidth="1"/>
    <col min="13295" max="13297" width="11.125" style="2" bestFit="1" customWidth="1"/>
    <col min="13298" max="13298" width="13.25" style="2" bestFit="1" customWidth="1"/>
    <col min="13299" max="13299" width="11.125" style="2" bestFit="1" customWidth="1"/>
    <col min="13300" max="13300" width="9" style="2"/>
    <col min="13301" max="13302" width="11.125" style="2" bestFit="1" customWidth="1"/>
    <col min="13303" max="13303" width="9" style="2"/>
    <col min="13304" max="13315" width="11.125" style="2" bestFit="1" customWidth="1"/>
    <col min="13316" max="13318" width="9" style="2"/>
    <col min="13319" max="13326" width="11.125" style="2" bestFit="1" customWidth="1"/>
    <col min="13327" max="13327" width="9.625" style="2" bestFit="1" customWidth="1"/>
    <col min="13328" max="13547" width="9" style="2"/>
    <col min="13548" max="13548" width="2.375" style="2" customWidth="1"/>
    <col min="13549" max="13550" width="13.25" style="2" bestFit="1" customWidth="1"/>
    <col min="13551" max="13553" width="11.125" style="2" bestFit="1" customWidth="1"/>
    <col min="13554" max="13554" width="13.25" style="2" bestFit="1" customWidth="1"/>
    <col min="13555" max="13555" width="11.125" style="2" bestFit="1" customWidth="1"/>
    <col min="13556" max="13556" width="9" style="2"/>
    <col min="13557" max="13558" width="11.125" style="2" bestFit="1" customWidth="1"/>
    <col min="13559" max="13559" width="9" style="2"/>
    <col min="13560" max="13571" width="11.125" style="2" bestFit="1" customWidth="1"/>
    <col min="13572" max="13574" width="9" style="2"/>
    <col min="13575" max="13582" width="11.125" style="2" bestFit="1" customWidth="1"/>
    <col min="13583" max="13583" width="9.625" style="2" bestFit="1" customWidth="1"/>
    <col min="13584" max="13803" width="9" style="2"/>
    <col min="13804" max="13804" width="2.375" style="2" customWidth="1"/>
    <col min="13805" max="13806" width="13.25" style="2" bestFit="1" customWidth="1"/>
    <col min="13807" max="13809" width="11.125" style="2" bestFit="1" customWidth="1"/>
    <col min="13810" max="13810" width="13.25" style="2" bestFit="1" customWidth="1"/>
    <col min="13811" max="13811" width="11.125" style="2" bestFit="1" customWidth="1"/>
    <col min="13812" max="13812" width="9" style="2"/>
    <col min="13813" max="13814" width="11.125" style="2" bestFit="1" customWidth="1"/>
    <col min="13815" max="13815" width="9" style="2"/>
    <col min="13816" max="13827" width="11.125" style="2" bestFit="1" customWidth="1"/>
    <col min="13828" max="13830" width="9" style="2"/>
    <col min="13831" max="13838" width="11.125" style="2" bestFit="1" customWidth="1"/>
    <col min="13839" max="13839" width="9.625" style="2" bestFit="1" customWidth="1"/>
    <col min="13840" max="14059" width="9" style="2"/>
    <col min="14060" max="14060" width="2.375" style="2" customWidth="1"/>
    <col min="14061" max="14062" width="13.25" style="2" bestFit="1" customWidth="1"/>
    <col min="14063" max="14065" width="11.125" style="2" bestFit="1" customWidth="1"/>
    <col min="14066" max="14066" width="13.25" style="2" bestFit="1" customWidth="1"/>
    <col min="14067" max="14067" width="11.125" style="2" bestFit="1" customWidth="1"/>
    <col min="14068" max="14068" width="9" style="2"/>
    <col min="14069" max="14070" width="11.125" style="2" bestFit="1" customWidth="1"/>
    <col min="14071" max="14071" width="9" style="2"/>
    <col min="14072" max="14083" width="11.125" style="2" bestFit="1" customWidth="1"/>
    <col min="14084" max="14086" width="9" style="2"/>
    <col min="14087" max="14094" width="11.125" style="2" bestFit="1" customWidth="1"/>
    <col min="14095" max="14095" width="9.625" style="2" bestFit="1" customWidth="1"/>
    <col min="14096" max="14315" width="9" style="2"/>
    <col min="14316" max="14316" width="2.375" style="2" customWidth="1"/>
    <col min="14317" max="14318" width="13.25" style="2" bestFit="1" customWidth="1"/>
    <col min="14319" max="14321" width="11.125" style="2" bestFit="1" customWidth="1"/>
    <col min="14322" max="14322" width="13.25" style="2" bestFit="1" customWidth="1"/>
    <col min="14323" max="14323" width="11.125" style="2" bestFit="1" customWidth="1"/>
    <col min="14324" max="14324" width="9" style="2"/>
    <col min="14325" max="14326" width="11.125" style="2" bestFit="1" customWidth="1"/>
    <col min="14327" max="14327" width="9" style="2"/>
    <col min="14328" max="14339" width="11.125" style="2" bestFit="1" customWidth="1"/>
    <col min="14340" max="14342" width="9" style="2"/>
    <col min="14343" max="14350" width="11.125" style="2" bestFit="1" customWidth="1"/>
    <col min="14351" max="14351" width="9.625" style="2" bestFit="1" customWidth="1"/>
    <col min="14352" max="14571" width="9" style="2"/>
    <col min="14572" max="14572" width="2.375" style="2" customWidth="1"/>
    <col min="14573" max="14574" width="13.25" style="2" bestFit="1" customWidth="1"/>
    <col min="14575" max="14577" width="11.125" style="2" bestFit="1" customWidth="1"/>
    <col min="14578" max="14578" width="13.25" style="2" bestFit="1" customWidth="1"/>
    <col min="14579" max="14579" width="11.125" style="2" bestFit="1" customWidth="1"/>
    <col min="14580" max="14580" width="9" style="2"/>
    <col min="14581" max="14582" width="11.125" style="2" bestFit="1" customWidth="1"/>
    <col min="14583" max="14583" width="9" style="2"/>
    <col min="14584" max="14595" width="11.125" style="2" bestFit="1" customWidth="1"/>
    <col min="14596" max="14598" width="9" style="2"/>
    <col min="14599" max="14606" width="11.125" style="2" bestFit="1" customWidth="1"/>
    <col min="14607" max="14607" width="9.625" style="2" bestFit="1" customWidth="1"/>
    <col min="14608" max="14827" width="9" style="2"/>
    <col min="14828" max="14828" width="2.375" style="2" customWidth="1"/>
    <col min="14829" max="14830" width="13.25" style="2" bestFit="1" customWidth="1"/>
    <col min="14831" max="14833" width="11.125" style="2" bestFit="1" customWidth="1"/>
    <col min="14834" max="14834" width="13.25" style="2" bestFit="1" customWidth="1"/>
    <col min="14835" max="14835" width="11.125" style="2" bestFit="1" customWidth="1"/>
    <col min="14836" max="14836" width="9" style="2"/>
    <col min="14837" max="14838" width="11.125" style="2" bestFit="1" customWidth="1"/>
    <col min="14839" max="14839" width="9" style="2"/>
    <col min="14840" max="14851" width="11.125" style="2" bestFit="1" customWidth="1"/>
    <col min="14852" max="14854" width="9" style="2"/>
    <col min="14855" max="14862" width="11.125" style="2" bestFit="1" customWidth="1"/>
    <col min="14863" max="14863" width="9.625" style="2" bestFit="1" customWidth="1"/>
    <col min="14864" max="15083" width="9" style="2"/>
    <col min="15084" max="15084" width="2.375" style="2" customWidth="1"/>
    <col min="15085" max="15086" width="13.25" style="2" bestFit="1" customWidth="1"/>
    <col min="15087" max="15089" width="11.125" style="2" bestFit="1" customWidth="1"/>
    <col min="15090" max="15090" width="13.25" style="2" bestFit="1" customWidth="1"/>
    <col min="15091" max="15091" width="11.125" style="2" bestFit="1" customWidth="1"/>
    <col min="15092" max="15092" width="9" style="2"/>
    <col min="15093" max="15094" width="11.125" style="2" bestFit="1" customWidth="1"/>
    <col min="15095" max="15095" width="9" style="2"/>
    <col min="15096" max="15107" width="11.125" style="2" bestFit="1" customWidth="1"/>
    <col min="15108" max="15110" width="9" style="2"/>
    <col min="15111" max="15118" width="11.125" style="2" bestFit="1" customWidth="1"/>
    <col min="15119" max="15119" width="9.625" style="2" bestFit="1" customWidth="1"/>
    <col min="15120" max="15339" width="9" style="2"/>
    <col min="15340" max="15340" width="2.375" style="2" customWidth="1"/>
    <col min="15341" max="15342" width="13.25" style="2" bestFit="1" customWidth="1"/>
    <col min="15343" max="15345" width="11.125" style="2" bestFit="1" customWidth="1"/>
    <col min="15346" max="15346" width="13.25" style="2" bestFit="1" customWidth="1"/>
    <col min="15347" max="15347" width="11.125" style="2" bestFit="1" customWidth="1"/>
    <col min="15348" max="15348" width="9" style="2"/>
    <col min="15349" max="15350" width="11.125" style="2" bestFit="1" customWidth="1"/>
    <col min="15351" max="15351" width="9" style="2"/>
    <col min="15352" max="15363" width="11.125" style="2" bestFit="1" customWidth="1"/>
    <col min="15364" max="15366" width="9" style="2"/>
    <col min="15367" max="15374" width="11.125" style="2" bestFit="1" customWidth="1"/>
    <col min="15375" max="15375" width="9.625" style="2" bestFit="1" customWidth="1"/>
    <col min="15376" max="15595" width="9" style="2"/>
    <col min="15596" max="15596" width="2.375" style="2" customWidth="1"/>
    <col min="15597" max="15598" width="13.25" style="2" bestFit="1" customWidth="1"/>
    <col min="15599" max="15601" width="11.125" style="2" bestFit="1" customWidth="1"/>
    <col min="15602" max="15602" width="13.25" style="2" bestFit="1" customWidth="1"/>
    <col min="15603" max="15603" width="11.125" style="2" bestFit="1" customWidth="1"/>
    <col min="15604" max="15604" width="9" style="2"/>
    <col min="15605" max="15606" width="11.125" style="2" bestFit="1" customWidth="1"/>
    <col min="15607" max="15607" width="9" style="2"/>
    <col min="15608" max="15619" width="11.125" style="2" bestFit="1" customWidth="1"/>
    <col min="15620" max="15622" width="9" style="2"/>
    <col min="15623" max="15630" width="11.125" style="2" bestFit="1" customWidth="1"/>
    <col min="15631" max="15631" width="9.625" style="2" bestFit="1" customWidth="1"/>
    <col min="15632" max="15851" width="9" style="2"/>
    <col min="15852" max="15852" width="2.375" style="2" customWidth="1"/>
    <col min="15853" max="15854" width="13.25" style="2" bestFit="1" customWidth="1"/>
    <col min="15855" max="15857" width="11.125" style="2" bestFit="1" customWidth="1"/>
    <col min="15858" max="15858" width="13.25" style="2" bestFit="1" customWidth="1"/>
    <col min="15859" max="15859" width="11.125" style="2" bestFit="1" customWidth="1"/>
    <col min="15860" max="15860" width="9" style="2"/>
    <col min="15861" max="15862" width="11.125" style="2" bestFit="1" customWidth="1"/>
    <col min="15863" max="15863" width="9" style="2"/>
    <col min="15864" max="15875" width="11.125" style="2" bestFit="1" customWidth="1"/>
    <col min="15876" max="15878" width="9" style="2"/>
    <col min="15879" max="15886" width="11.125" style="2" bestFit="1" customWidth="1"/>
    <col min="15887" max="15887" width="9.625" style="2" bestFit="1" customWidth="1"/>
    <col min="15888" max="16107" width="9" style="2"/>
    <col min="16108" max="16108" width="2.375" style="2" customWidth="1"/>
    <col min="16109" max="16110" width="13.25" style="2" bestFit="1" customWidth="1"/>
    <col min="16111" max="16113" width="11.125" style="2" bestFit="1" customWidth="1"/>
    <col min="16114" max="16114" width="13.25" style="2" bestFit="1" customWidth="1"/>
    <col min="16115" max="16115" width="11.125" style="2" bestFit="1" customWidth="1"/>
    <col min="16116" max="16116" width="9" style="2"/>
    <col min="16117" max="16118" width="11.125" style="2" bestFit="1" customWidth="1"/>
    <col min="16119" max="16119" width="9" style="2"/>
    <col min="16120" max="16131" width="11.125" style="2" bestFit="1" customWidth="1"/>
    <col min="16132" max="16134" width="9" style="2"/>
    <col min="16135" max="16142" width="11.125" style="2" bestFit="1" customWidth="1"/>
    <col min="16143" max="16143" width="9.625" style="2" bestFit="1" customWidth="1"/>
    <col min="16144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 ht="19.5" thickBot="1">
      <c r="A3" s="1" t="s">
        <v>118</v>
      </c>
    </row>
    <row r="4" spans="1:17">
      <c r="B4" s="81"/>
      <c r="C4" s="55" t="s">
        <v>5</v>
      </c>
      <c r="D4" s="6" t="s">
        <v>6</v>
      </c>
      <c r="E4" s="6" t="s">
        <v>26</v>
      </c>
      <c r="F4" s="6" t="s">
        <v>27</v>
      </c>
      <c r="G4" s="6" t="s">
        <v>23</v>
      </c>
      <c r="H4" s="6" t="s">
        <v>24</v>
      </c>
      <c r="I4" s="6" t="s">
        <v>25</v>
      </c>
      <c r="J4" s="6" t="s">
        <v>28</v>
      </c>
      <c r="K4" s="7" t="s">
        <v>29</v>
      </c>
      <c r="L4" s="66" t="s">
        <v>119</v>
      </c>
      <c r="M4" s="43" t="s">
        <v>7</v>
      </c>
      <c r="N4" s="66" t="s">
        <v>119</v>
      </c>
      <c r="O4" s="78" t="s">
        <v>58</v>
      </c>
    </row>
    <row r="5" spans="1:17" ht="19.5" thickBot="1">
      <c r="A5" s="80"/>
      <c r="B5" s="82" t="s">
        <v>30</v>
      </c>
      <c r="C5" s="56" t="s">
        <v>33</v>
      </c>
      <c r="D5" s="20" t="s">
        <v>34</v>
      </c>
      <c r="E5" s="20" t="s">
        <v>54</v>
      </c>
      <c r="F5" s="20" t="s">
        <v>55</v>
      </c>
      <c r="G5" s="20" t="s">
        <v>51</v>
      </c>
      <c r="H5" s="20" t="s">
        <v>52</v>
      </c>
      <c r="I5" s="20" t="s">
        <v>53</v>
      </c>
      <c r="J5" s="20" t="s">
        <v>56</v>
      </c>
      <c r="K5" s="21" t="s">
        <v>57</v>
      </c>
      <c r="L5" s="67" t="s">
        <v>121</v>
      </c>
      <c r="M5" s="44" t="s">
        <v>35</v>
      </c>
      <c r="N5" s="67" t="s">
        <v>122</v>
      </c>
      <c r="O5" s="79" t="s">
        <v>123</v>
      </c>
    </row>
    <row r="6" spans="1:17">
      <c r="A6" s="1" t="s">
        <v>2</v>
      </c>
      <c r="B6" s="83" t="s">
        <v>59</v>
      </c>
      <c r="C6" s="57">
        <v>22</v>
      </c>
      <c r="D6" s="17">
        <v>22</v>
      </c>
      <c r="E6" s="17">
        <v>14</v>
      </c>
      <c r="F6" s="17">
        <v>14</v>
      </c>
      <c r="G6" s="17">
        <v>11</v>
      </c>
      <c r="H6" s="17">
        <v>5</v>
      </c>
      <c r="I6" s="17">
        <v>10</v>
      </c>
      <c r="J6" s="17">
        <v>9</v>
      </c>
      <c r="K6" s="18">
        <v>21</v>
      </c>
      <c r="L6" s="68">
        <f>SUM(C6:K6)</f>
        <v>128</v>
      </c>
      <c r="M6" s="45">
        <v>21</v>
      </c>
      <c r="N6" s="68">
        <f>SUM(M6)</f>
        <v>21</v>
      </c>
      <c r="O6" s="68">
        <v>469</v>
      </c>
      <c r="Q6"/>
    </row>
    <row r="7" spans="1:17">
      <c r="A7" s="1" t="s">
        <v>2</v>
      </c>
      <c r="B7" s="84" t="s">
        <v>60</v>
      </c>
      <c r="C7" s="58">
        <v>0</v>
      </c>
      <c r="D7" s="8">
        <v>3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9">
        <v>0</v>
      </c>
      <c r="L7" s="69">
        <f>SUM(C7:K7)</f>
        <v>3</v>
      </c>
      <c r="M7" s="46">
        <v>0</v>
      </c>
      <c r="N7" s="69"/>
      <c r="O7" s="69">
        <v>42</v>
      </c>
      <c r="Q7"/>
    </row>
    <row r="8" spans="1:17">
      <c r="A8" s="1" t="s">
        <v>2</v>
      </c>
      <c r="B8" s="84" t="s">
        <v>61</v>
      </c>
      <c r="C8" s="58">
        <v>0</v>
      </c>
      <c r="D8" s="8">
        <v>0</v>
      </c>
      <c r="E8" s="8">
        <v>0</v>
      </c>
      <c r="F8" s="8">
        <v>2</v>
      </c>
      <c r="G8" s="8">
        <v>0</v>
      </c>
      <c r="H8" s="8">
        <v>0</v>
      </c>
      <c r="I8" s="8">
        <v>0</v>
      </c>
      <c r="J8" s="8">
        <v>0</v>
      </c>
      <c r="K8" s="9">
        <v>0</v>
      </c>
      <c r="L8" s="69">
        <f>SUM(C8:K8)</f>
        <v>2</v>
      </c>
      <c r="M8" s="46">
        <v>0</v>
      </c>
      <c r="N8" s="69"/>
      <c r="O8" s="69">
        <v>33</v>
      </c>
      <c r="Q8"/>
    </row>
    <row r="9" spans="1:17">
      <c r="A9" s="1" t="s">
        <v>2</v>
      </c>
      <c r="B9" s="84" t="s">
        <v>62</v>
      </c>
      <c r="C9" s="5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9">
        <v>0</v>
      </c>
      <c r="L9" s="69"/>
      <c r="M9" s="46">
        <v>0</v>
      </c>
      <c r="N9" s="69"/>
      <c r="O9" s="69">
        <v>12</v>
      </c>
      <c r="Q9"/>
    </row>
    <row r="10" spans="1:17">
      <c r="A10" s="1" t="s">
        <v>2</v>
      </c>
      <c r="B10" s="84" t="s">
        <v>63</v>
      </c>
      <c r="C10" s="58">
        <v>0</v>
      </c>
      <c r="D10" s="8">
        <v>0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9">
        <v>0</v>
      </c>
      <c r="L10" s="69">
        <f>SUM(C10:K10)</f>
        <v>1</v>
      </c>
      <c r="M10" s="46">
        <v>0</v>
      </c>
      <c r="N10" s="69"/>
      <c r="O10" s="69">
        <v>21</v>
      </c>
      <c r="Q10"/>
    </row>
    <row r="11" spans="1:17">
      <c r="A11" s="1" t="s">
        <v>2</v>
      </c>
      <c r="B11" s="84" t="s">
        <v>65</v>
      </c>
      <c r="C11" s="5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9">
        <v>0</v>
      </c>
      <c r="L11" s="69"/>
      <c r="M11" s="46">
        <v>0</v>
      </c>
      <c r="N11" s="69"/>
      <c r="O11" s="69">
        <v>0</v>
      </c>
      <c r="Q11"/>
    </row>
    <row r="12" spans="1:17">
      <c r="A12" s="1" t="s">
        <v>2</v>
      </c>
      <c r="B12" s="84" t="s">
        <v>66</v>
      </c>
      <c r="C12" s="5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9">
        <v>0</v>
      </c>
      <c r="L12" s="69"/>
      <c r="M12" s="46">
        <v>0</v>
      </c>
      <c r="N12" s="69"/>
      <c r="O12" s="69">
        <v>0</v>
      </c>
      <c r="Q12"/>
    </row>
    <row r="13" spans="1:17">
      <c r="A13" s="1" t="s">
        <v>2</v>
      </c>
      <c r="B13" s="84" t="s">
        <v>67</v>
      </c>
      <c r="C13" s="59">
        <v>0</v>
      </c>
      <c r="D13" s="10">
        <v>0</v>
      </c>
      <c r="E13" s="10">
        <v>3.625</v>
      </c>
      <c r="F13" s="10">
        <v>3.75</v>
      </c>
      <c r="G13" s="10">
        <v>3.25</v>
      </c>
      <c r="H13" s="10">
        <v>1.4583333333333333</v>
      </c>
      <c r="I13" s="10">
        <v>2.9166666666666665</v>
      </c>
      <c r="J13" s="10">
        <v>2.8333333333333335</v>
      </c>
      <c r="K13" s="11">
        <v>3.9166666666666665</v>
      </c>
      <c r="L13" s="70">
        <f>SUM(C13:K13)</f>
        <v>21.75</v>
      </c>
      <c r="M13" s="47">
        <v>0</v>
      </c>
      <c r="N13" s="70"/>
      <c r="O13" s="70">
        <v>21.75</v>
      </c>
      <c r="Q13"/>
    </row>
    <row r="14" spans="1:17">
      <c r="A14" s="1" t="s">
        <v>2</v>
      </c>
      <c r="B14" s="84" t="s">
        <v>68</v>
      </c>
      <c r="C14" s="59">
        <v>0</v>
      </c>
      <c r="D14" s="10">
        <v>1.0833333333333333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0.16666666666666666</v>
      </c>
      <c r="K14" s="11">
        <v>0</v>
      </c>
      <c r="L14" s="70">
        <f>SUM(C14:K14)</f>
        <v>1.25</v>
      </c>
      <c r="M14" s="47">
        <v>0</v>
      </c>
      <c r="N14" s="70"/>
      <c r="O14" s="70">
        <v>34.875</v>
      </c>
      <c r="Q14"/>
    </row>
    <row r="15" spans="1:17">
      <c r="A15" s="1" t="s">
        <v>2</v>
      </c>
      <c r="B15" s="84" t="s">
        <v>69</v>
      </c>
      <c r="C15" s="59">
        <v>0</v>
      </c>
      <c r="D15" s="10">
        <v>0.79166666666666663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1">
        <v>0</v>
      </c>
      <c r="L15" s="70">
        <f>SUM(C15:K15)</f>
        <v>0.79166666666666663</v>
      </c>
      <c r="M15" s="47">
        <v>0</v>
      </c>
      <c r="N15" s="70"/>
      <c r="O15" s="70">
        <v>14.791666666666666</v>
      </c>
      <c r="Q15"/>
    </row>
    <row r="16" spans="1:17">
      <c r="A16" s="1" t="s">
        <v>2</v>
      </c>
      <c r="B16" s="84" t="s">
        <v>70</v>
      </c>
      <c r="C16" s="59">
        <v>0</v>
      </c>
      <c r="D16" s="10">
        <v>0</v>
      </c>
      <c r="E16" s="10">
        <v>0</v>
      </c>
      <c r="F16" s="10">
        <v>0.29166666666666669</v>
      </c>
      <c r="G16" s="10">
        <v>0</v>
      </c>
      <c r="H16" s="10">
        <v>0</v>
      </c>
      <c r="I16" s="10">
        <v>0</v>
      </c>
      <c r="J16" s="10">
        <v>0</v>
      </c>
      <c r="K16" s="11">
        <v>0</v>
      </c>
      <c r="L16" s="70">
        <f>SUM(C16:K16)</f>
        <v>0.29166666666666669</v>
      </c>
      <c r="M16" s="47">
        <v>0</v>
      </c>
      <c r="N16" s="70"/>
      <c r="O16" s="70">
        <v>8.1666666666666661</v>
      </c>
      <c r="Q16"/>
    </row>
    <row r="17" spans="1:17">
      <c r="A17" s="1" t="s">
        <v>2</v>
      </c>
      <c r="B17" s="84" t="s">
        <v>71</v>
      </c>
      <c r="C17" s="59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1">
        <v>0</v>
      </c>
      <c r="L17" s="70"/>
      <c r="M17" s="47">
        <v>0</v>
      </c>
      <c r="N17" s="70"/>
      <c r="O17" s="70">
        <v>1.9166666666666667</v>
      </c>
      <c r="Q17"/>
    </row>
    <row r="18" spans="1:17">
      <c r="A18" s="1" t="s">
        <v>2</v>
      </c>
      <c r="B18" s="84" t="s">
        <v>72</v>
      </c>
      <c r="C18" s="59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1">
        <v>0</v>
      </c>
      <c r="L18" s="70"/>
      <c r="M18" s="47">
        <v>0</v>
      </c>
      <c r="N18" s="70"/>
      <c r="O18" s="70">
        <v>2.5</v>
      </c>
      <c r="Q18"/>
    </row>
    <row r="19" spans="1:17">
      <c r="A19" s="1" t="s">
        <v>2</v>
      </c>
      <c r="B19" s="84" t="s">
        <v>73</v>
      </c>
      <c r="C19" s="59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1">
        <v>0</v>
      </c>
      <c r="L19" s="70"/>
      <c r="M19" s="47">
        <v>0</v>
      </c>
      <c r="N19" s="70"/>
      <c r="O19" s="70">
        <v>0</v>
      </c>
      <c r="Q19"/>
    </row>
    <row r="20" spans="1:17">
      <c r="A20" s="1" t="s">
        <v>2</v>
      </c>
      <c r="B20" s="84" t="s">
        <v>74</v>
      </c>
      <c r="C20" s="59">
        <v>0</v>
      </c>
      <c r="D20" s="10">
        <v>0</v>
      </c>
      <c r="E20" s="10">
        <v>0.29166666666666669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1">
        <v>0</v>
      </c>
      <c r="L20" s="70">
        <f>SUM(C20:K20)</f>
        <v>0.29166666666666669</v>
      </c>
      <c r="M20" s="47">
        <v>0</v>
      </c>
      <c r="N20" s="70"/>
      <c r="O20" s="70">
        <v>0.29166666666666669</v>
      </c>
      <c r="Q20"/>
    </row>
    <row r="21" spans="1:17">
      <c r="A21" s="1" t="s">
        <v>2</v>
      </c>
      <c r="B21" s="84" t="s">
        <v>75</v>
      </c>
      <c r="C21" s="59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1">
        <v>0</v>
      </c>
      <c r="L21" s="70"/>
      <c r="M21" s="47">
        <v>0</v>
      </c>
      <c r="N21" s="70"/>
      <c r="O21" s="70">
        <v>0</v>
      </c>
      <c r="Q21"/>
    </row>
    <row r="22" spans="1:17">
      <c r="A22" s="1" t="s">
        <v>2</v>
      </c>
      <c r="B22" s="84" t="s">
        <v>76</v>
      </c>
      <c r="C22" s="59">
        <v>8.3333333333333329E-2</v>
      </c>
      <c r="D22" s="10">
        <v>0</v>
      </c>
      <c r="E22" s="10">
        <v>0</v>
      </c>
      <c r="F22" s="10">
        <v>0</v>
      </c>
      <c r="G22" s="10">
        <v>2.2916666666666665</v>
      </c>
      <c r="H22" s="10">
        <v>1.0416666666666667</v>
      </c>
      <c r="I22" s="10">
        <v>2.0833333333333335</v>
      </c>
      <c r="J22" s="10">
        <v>1.0416666666666667</v>
      </c>
      <c r="K22" s="11">
        <v>0</v>
      </c>
      <c r="L22" s="70">
        <f>SUM(C22:K22)</f>
        <v>6.541666666666667</v>
      </c>
      <c r="M22" s="47">
        <v>0</v>
      </c>
      <c r="N22" s="70"/>
      <c r="O22" s="70">
        <v>17.25</v>
      </c>
      <c r="Q22"/>
    </row>
    <row r="23" spans="1:17" ht="19.5" thickBot="1">
      <c r="A23" s="1" t="s">
        <v>2</v>
      </c>
      <c r="B23" s="85" t="s">
        <v>77</v>
      </c>
      <c r="C23" s="60">
        <v>37</v>
      </c>
      <c r="D23" s="24">
        <v>38</v>
      </c>
      <c r="E23" s="24">
        <v>18</v>
      </c>
      <c r="F23" s="24">
        <v>17</v>
      </c>
      <c r="G23" s="24">
        <v>5</v>
      </c>
      <c r="H23" s="24">
        <v>3</v>
      </c>
      <c r="I23" s="24">
        <v>3</v>
      </c>
      <c r="J23" s="24">
        <v>3</v>
      </c>
      <c r="K23" s="25">
        <v>0</v>
      </c>
      <c r="L23" s="71">
        <f>SUM(C23:K23)</f>
        <v>124</v>
      </c>
      <c r="M23" s="48">
        <v>39</v>
      </c>
      <c r="N23" s="71">
        <f>SUM(M23)</f>
        <v>39</v>
      </c>
      <c r="O23" s="71">
        <v>455</v>
      </c>
      <c r="Q23"/>
    </row>
    <row r="24" spans="1:17">
      <c r="A24" s="1" t="s">
        <v>2</v>
      </c>
      <c r="B24" s="83" t="s">
        <v>78</v>
      </c>
      <c r="C24" s="61">
        <v>485000</v>
      </c>
      <c r="D24" s="22">
        <v>280000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3">
        <v>0</v>
      </c>
      <c r="L24" s="72">
        <f>SUM(C24:K24)</f>
        <v>765000</v>
      </c>
      <c r="M24" s="49">
        <v>375000</v>
      </c>
      <c r="N24" s="72">
        <f>SUM(M24)</f>
        <v>375000</v>
      </c>
      <c r="O24" s="72">
        <v>3999000</v>
      </c>
      <c r="Q24"/>
    </row>
    <row r="25" spans="1:17">
      <c r="A25" s="1" t="s">
        <v>2</v>
      </c>
      <c r="B25" s="84" t="s">
        <v>79</v>
      </c>
      <c r="C25" s="6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3">
        <v>0</v>
      </c>
      <c r="L25" s="73">
        <f t="shared" ref="L25:L62" si="0">SUM(C25:K25)</f>
        <v>0</v>
      </c>
      <c r="M25" s="50">
        <v>0</v>
      </c>
      <c r="N25" s="73"/>
      <c r="O25" s="73">
        <v>35000</v>
      </c>
      <c r="Q25"/>
    </row>
    <row r="26" spans="1:17">
      <c r="A26" s="1" t="s">
        <v>2</v>
      </c>
      <c r="B26" s="84" t="s">
        <v>80</v>
      </c>
      <c r="C26" s="62">
        <v>0</v>
      </c>
      <c r="D26" s="12">
        <v>3000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3">
        <v>0</v>
      </c>
      <c r="L26" s="73">
        <f t="shared" si="0"/>
        <v>3000</v>
      </c>
      <c r="M26" s="50">
        <v>0</v>
      </c>
      <c r="N26" s="73"/>
      <c r="O26" s="73">
        <v>6000</v>
      </c>
      <c r="Q26"/>
    </row>
    <row r="27" spans="1:17">
      <c r="A27" s="1" t="s">
        <v>2</v>
      </c>
      <c r="B27" s="84" t="s">
        <v>81</v>
      </c>
      <c r="C27" s="6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3">
        <v>0</v>
      </c>
      <c r="L27" s="73">
        <f t="shared" si="0"/>
        <v>0</v>
      </c>
      <c r="M27" s="50">
        <v>0</v>
      </c>
      <c r="N27" s="73"/>
      <c r="O27" s="73">
        <v>64989</v>
      </c>
      <c r="Q27"/>
    </row>
    <row r="28" spans="1:17">
      <c r="A28" s="1" t="s">
        <v>2</v>
      </c>
      <c r="B28" s="84" t="s">
        <v>82</v>
      </c>
      <c r="C28" s="62">
        <v>0</v>
      </c>
      <c r="D28" s="12">
        <v>0</v>
      </c>
      <c r="E28" s="12">
        <v>80040</v>
      </c>
      <c r="F28" s="12">
        <v>82800</v>
      </c>
      <c r="G28" s="12">
        <v>65520</v>
      </c>
      <c r="H28" s="12">
        <v>29400</v>
      </c>
      <c r="I28" s="12">
        <v>58800</v>
      </c>
      <c r="J28" s="12">
        <v>56440</v>
      </c>
      <c r="K28" s="13">
        <v>78960</v>
      </c>
      <c r="L28" s="73">
        <f t="shared" si="0"/>
        <v>451960</v>
      </c>
      <c r="M28" s="50">
        <v>0</v>
      </c>
      <c r="N28" s="73"/>
      <c r="O28" s="73">
        <v>451960</v>
      </c>
      <c r="Q28"/>
    </row>
    <row r="29" spans="1:17">
      <c r="A29" s="1" t="s">
        <v>2</v>
      </c>
      <c r="B29" s="84" t="s">
        <v>83</v>
      </c>
      <c r="C29" s="6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3">
        <v>0</v>
      </c>
      <c r="L29" s="73">
        <f t="shared" si="0"/>
        <v>0</v>
      </c>
      <c r="M29" s="50">
        <v>0</v>
      </c>
      <c r="N29" s="73"/>
      <c r="O29" s="73">
        <v>0</v>
      </c>
      <c r="Q29"/>
    </row>
    <row r="30" spans="1:17">
      <c r="A30" s="1" t="s">
        <v>2</v>
      </c>
      <c r="B30" s="84" t="s">
        <v>84</v>
      </c>
      <c r="C30" s="6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3">
        <v>0</v>
      </c>
      <c r="L30" s="73">
        <f t="shared" si="0"/>
        <v>0</v>
      </c>
      <c r="M30" s="50">
        <v>0</v>
      </c>
      <c r="N30" s="73"/>
      <c r="O30" s="73">
        <v>0</v>
      </c>
      <c r="Q30"/>
    </row>
    <row r="31" spans="1:17">
      <c r="A31" s="1" t="s">
        <v>2</v>
      </c>
      <c r="B31" s="84" t="s">
        <v>85</v>
      </c>
      <c r="C31" s="6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3">
        <v>0</v>
      </c>
      <c r="L31" s="73">
        <f t="shared" si="0"/>
        <v>0</v>
      </c>
      <c r="M31" s="50">
        <v>0</v>
      </c>
      <c r="N31" s="73"/>
      <c r="O31" s="73">
        <v>12000</v>
      </c>
      <c r="Q31"/>
    </row>
    <row r="32" spans="1:17">
      <c r="A32" s="1" t="s">
        <v>2</v>
      </c>
      <c r="B32" s="84" t="s">
        <v>86</v>
      </c>
      <c r="C32" s="62">
        <v>0</v>
      </c>
      <c r="D32" s="12">
        <v>0</v>
      </c>
      <c r="E32" s="12">
        <v>6440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3">
        <v>0</v>
      </c>
      <c r="L32" s="73">
        <f t="shared" si="0"/>
        <v>6440</v>
      </c>
      <c r="M32" s="50">
        <v>0</v>
      </c>
      <c r="N32" s="73"/>
      <c r="O32" s="73">
        <v>6440</v>
      </c>
      <c r="Q32"/>
    </row>
    <row r="33" spans="1:17">
      <c r="A33" s="1" t="s">
        <v>2</v>
      </c>
      <c r="B33" s="84" t="s">
        <v>87</v>
      </c>
      <c r="C33" s="6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3">
        <v>0</v>
      </c>
      <c r="L33" s="73">
        <f t="shared" si="0"/>
        <v>0</v>
      </c>
      <c r="M33" s="50">
        <v>0</v>
      </c>
      <c r="N33" s="73"/>
      <c r="O33" s="73">
        <v>0</v>
      </c>
      <c r="Q33"/>
    </row>
    <row r="34" spans="1:17">
      <c r="A34" s="1" t="s">
        <v>2</v>
      </c>
      <c r="B34" s="84" t="s">
        <v>88</v>
      </c>
      <c r="C34" s="6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3">
        <v>0</v>
      </c>
      <c r="L34" s="73">
        <f t="shared" si="0"/>
        <v>0</v>
      </c>
      <c r="M34" s="50">
        <v>0</v>
      </c>
      <c r="N34" s="73"/>
      <c r="O34" s="73">
        <v>0</v>
      </c>
      <c r="Q34"/>
    </row>
    <row r="35" spans="1:17">
      <c r="A35" s="1" t="s">
        <v>2</v>
      </c>
      <c r="B35" s="84" t="s">
        <v>89</v>
      </c>
      <c r="C35" s="6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3">
        <v>0</v>
      </c>
      <c r="L35" s="73">
        <f t="shared" si="0"/>
        <v>0</v>
      </c>
      <c r="M35" s="50">
        <v>0</v>
      </c>
      <c r="N35" s="73"/>
      <c r="O35" s="73">
        <v>0</v>
      </c>
      <c r="Q35"/>
    </row>
    <row r="36" spans="1:17">
      <c r="A36" s="1" t="s">
        <v>2</v>
      </c>
      <c r="B36" s="84" t="s">
        <v>90</v>
      </c>
      <c r="C36" s="6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3">
        <v>0</v>
      </c>
      <c r="L36" s="73">
        <f t="shared" si="0"/>
        <v>0</v>
      </c>
      <c r="M36" s="50">
        <v>0</v>
      </c>
      <c r="N36" s="73"/>
      <c r="O36" s="73">
        <v>0</v>
      </c>
      <c r="Q36"/>
    </row>
    <row r="37" spans="1:17">
      <c r="A37" s="1" t="s">
        <v>2</v>
      </c>
      <c r="B37" s="84" t="s">
        <v>68</v>
      </c>
      <c r="C37" s="62">
        <v>0</v>
      </c>
      <c r="D37" s="12">
        <v>55094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4152</v>
      </c>
      <c r="K37" s="13">
        <v>0</v>
      </c>
      <c r="L37" s="73">
        <f t="shared" si="0"/>
        <v>59246</v>
      </c>
      <c r="M37" s="50">
        <v>0</v>
      </c>
      <c r="N37" s="73"/>
      <c r="O37" s="73">
        <v>1156110</v>
      </c>
      <c r="Q37"/>
    </row>
    <row r="38" spans="1:17">
      <c r="A38" s="1" t="s">
        <v>2</v>
      </c>
      <c r="B38" s="84" t="s">
        <v>91</v>
      </c>
      <c r="C38" s="62">
        <v>0</v>
      </c>
      <c r="D38" s="12">
        <v>43472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3">
        <v>0</v>
      </c>
      <c r="L38" s="73">
        <f t="shared" si="0"/>
        <v>43472</v>
      </c>
      <c r="M38" s="50">
        <v>0</v>
      </c>
      <c r="N38" s="73"/>
      <c r="O38" s="73">
        <v>537713</v>
      </c>
      <c r="Q38"/>
    </row>
    <row r="39" spans="1:17">
      <c r="A39" s="1" t="s">
        <v>2</v>
      </c>
      <c r="B39" s="84" t="s">
        <v>92</v>
      </c>
      <c r="C39" s="62">
        <v>0</v>
      </c>
      <c r="D39" s="12">
        <v>0</v>
      </c>
      <c r="E39" s="12">
        <v>0</v>
      </c>
      <c r="F39" s="12">
        <v>8694</v>
      </c>
      <c r="G39" s="12">
        <v>0</v>
      </c>
      <c r="H39" s="12">
        <v>0</v>
      </c>
      <c r="I39" s="12">
        <v>0</v>
      </c>
      <c r="J39" s="12">
        <v>0</v>
      </c>
      <c r="K39" s="13">
        <v>0</v>
      </c>
      <c r="L39" s="73">
        <f t="shared" si="0"/>
        <v>8694</v>
      </c>
      <c r="M39" s="50">
        <v>0</v>
      </c>
      <c r="N39" s="73"/>
      <c r="O39" s="73">
        <v>286150</v>
      </c>
      <c r="Q39"/>
    </row>
    <row r="40" spans="1:17">
      <c r="A40" s="1" t="s">
        <v>2</v>
      </c>
      <c r="B40" s="84" t="s">
        <v>93</v>
      </c>
      <c r="C40" s="6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3">
        <v>0</v>
      </c>
      <c r="L40" s="73">
        <f t="shared" si="0"/>
        <v>0</v>
      </c>
      <c r="M40" s="50">
        <v>0</v>
      </c>
      <c r="N40" s="73"/>
      <c r="O40" s="73">
        <v>16899</v>
      </c>
      <c r="Q40"/>
    </row>
    <row r="41" spans="1:17">
      <c r="A41" s="1" t="s">
        <v>2</v>
      </c>
      <c r="B41" s="84" t="s">
        <v>94</v>
      </c>
      <c r="C41" s="6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3">
        <v>0</v>
      </c>
      <c r="L41" s="73">
        <f t="shared" si="0"/>
        <v>0</v>
      </c>
      <c r="M41" s="50">
        <v>0</v>
      </c>
      <c r="N41" s="73"/>
      <c r="O41" s="73">
        <v>22715</v>
      </c>
      <c r="Q41"/>
    </row>
    <row r="42" spans="1:17">
      <c r="A42" s="1" t="s">
        <v>2</v>
      </c>
      <c r="B42" s="84" t="s">
        <v>95</v>
      </c>
      <c r="C42" s="6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3">
        <v>0</v>
      </c>
      <c r="L42" s="73">
        <f t="shared" si="0"/>
        <v>0</v>
      </c>
      <c r="M42" s="50">
        <v>0</v>
      </c>
      <c r="N42" s="73"/>
      <c r="O42" s="73">
        <v>0</v>
      </c>
      <c r="Q42"/>
    </row>
    <row r="43" spans="1:17">
      <c r="A43" s="1" t="s">
        <v>2</v>
      </c>
      <c r="B43" s="84" t="s">
        <v>73</v>
      </c>
      <c r="C43" s="6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3">
        <v>0</v>
      </c>
      <c r="L43" s="73">
        <f t="shared" si="0"/>
        <v>0</v>
      </c>
      <c r="M43" s="50">
        <v>0</v>
      </c>
      <c r="N43" s="73"/>
      <c r="O43" s="73">
        <v>0</v>
      </c>
      <c r="Q43"/>
    </row>
    <row r="44" spans="1:17" ht="19.5" thickBot="1">
      <c r="A44" s="1" t="s">
        <v>2</v>
      </c>
      <c r="B44" s="86" t="s">
        <v>76</v>
      </c>
      <c r="C44" s="63">
        <v>1452</v>
      </c>
      <c r="D44" s="27">
        <v>0</v>
      </c>
      <c r="E44" s="27">
        <v>0</v>
      </c>
      <c r="F44" s="27">
        <v>0</v>
      </c>
      <c r="G44" s="27">
        <v>11550</v>
      </c>
      <c r="H44" s="27">
        <v>5250</v>
      </c>
      <c r="I44" s="27">
        <v>10500</v>
      </c>
      <c r="J44" s="27">
        <v>5200</v>
      </c>
      <c r="K44" s="28">
        <v>0</v>
      </c>
      <c r="L44" s="74">
        <f t="shared" si="0"/>
        <v>33952</v>
      </c>
      <c r="M44" s="51">
        <v>0</v>
      </c>
      <c r="N44" s="74"/>
      <c r="O44" s="74">
        <v>103617</v>
      </c>
      <c r="Q44"/>
    </row>
    <row r="45" spans="1:17" ht="19.5" thickBot="1">
      <c r="A45" s="1" t="s">
        <v>2</v>
      </c>
      <c r="B45" s="87" t="s">
        <v>96</v>
      </c>
      <c r="C45" s="64">
        <v>486452</v>
      </c>
      <c r="D45" s="30">
        <v>381566</v>
      </c>
      <c r="E45" s="30">
        <v>86480</v>
      </c>
      <c r="F45" s="30">
        <v>91494</v>
      </c>
      <c r="G45" s="30">
        <v>77070</v>
      </c>
      <c r="H45" s="30">
        <v>34650</v>
      </c>
      <c r="I45" s="30">
        <v>69300</v>
      </c>
      <c r="J45" s="30">
        <v>65792</v>
      </c>
      <c r="K45" s="31">
        <v>78960</v>
      </c>
      <c r="L45" s="75">
        <f t="shared" si="0"/>
        <v>1371764</v>
      </c>
      <c r="M45" s="52">
        <v>375000</v>
      </c>
      <c r="N45" s="75">
        <f>SUM(M45)</f>
        <v>375000</v>
      </c>
      <c r="O45" s="75">
        <v>6698593</v>
      </c>
      <c r="Q45"/>
    </row>
    <row r="46" spans="1:17" ht="19.5" thickBot="1">
      <c r="A46" s="1" t="s">
        <v>2</v>
      </c>
      <c r="B46" s="83" t="s">
        <v>97</v>
      </c>
      <c r="C46" s="61">
        <v>9420</v>
      </c>
      <c r="D46" s="22">
        <v>5435</v>
      </c>
      <c r="E46" s="22">
        <v>2706</v>
      </c>
      <c r="F46" s="22">
        <v>1933</v>
      </c>
      <c r="G46" s="22">
        <v>3189</v>
      </c>
      <c r="H46" s="22">
        <v>1812</v>
      </c>
      <c r="I46" s="22">
        <v>3865</v>
      </c>
      <c r="J46" s="22">
        <v>2826</v>
      </c>
      <c r="K46" s="23">
        <v>7102</v>
      </c>
      <c r="L46" s="72">
        <f t="shared" si="0"/>
        <v>38288</v>
      </c>
      <c r="M46" s="49">
        <v>7222</v>
      </c>
      <c r="N46" s="72">
        <f t="shared" ref="N46:N62" si="1">SUM(M46)</f>
        <v>7222</v>
      </c>
      <c r="O46" s="72">
        <v>130054</v>
      </c>
      <c r="Q46"/>
    </row>
    <row r="47" spans="1:17" ht="19.5" thickBot="1">
      <c r="A47" s="1" t="s">
        <v>2</v>
      </c>
      <c r="B47" s="87" t="s">
        <v>99</v>
      </c>
      <c r="C47" s="64">
        <v>9420</v>
      </c>
      <c r="D47" s="30">
        <v>5435</v>
      </c>
      <c r="E47" s="30">
        <v>2706</v>
      </c>
      <c r="F47" s="30">
        <v>1933</v>
      </c>
      <c r="G47" s="30">
        <v>3189</v>
      </c>
      <c r="H47" s="30">
        <v>1812</v>
      </c>
      <c r="I47" s="30">
        <v>3865</v>
      </c>
      <c r="J47" s="30">
        <v>2826</v>
      </c>
      <c r="K47" s="31">
        <v>7102</v>
      </c>
      <c r="L47" s="75">
        <f t="shared" si="0"/>
        <v>38288</v>
      </c>
      <c r="M47" s="52">
        <v>7222</v>
      </c>
      <c r="N47" s="75">
        <f t="shared" si="1"/>
        <v>7222</v>
      </c>
      <c r="O47" s="75">
        <v>130054</v>
      </c>
      <c r="Q47"/>
    </row>
    <row r="48" spans="1:17" ht="19.5" thickBot="1">
      <c r="A48" s="1" t="s">
        <v>2</v>
      </c>
      <c r="B48" s="87" t="s">
        <v>100</v>
      </c>
      <c r="C48" s="64">
        <v>495872</v>
      </c>
      <c r="D48" s="30">
        <v>387001</v>
      </c>
      <c r="E48" s="30">
        <v>89186</v>
      </c>
      <c r="F48" s="30">
        <v>93427</v>
      </c>
      <c r="G48" s="30">
        <v>80259</v>
      </c>
      <c r="H48" s="30">
        <v>36462</v>
      </c>
      <c r="I48" s="30">
        <v>73165</v>
      </c>
      <c r="J48" s="30">
        <v>68618</v>
      </c>
      <c r="K48" s="31">
        <v>86062</v>
      </c>
      <c r="L48" s="75">
        <f t="shared" si="0"/>
        <v>1410052</v>
      </c>
      <c r="M48" s="52">
        <v>382222</v>
      </c>
      <c r="N48" s="75">
        <f t="shared" si="1"/>
        <v>382222</v>
      </c>
      <c r="O48" s="75">
        <v>6828647</v>
      </c>
      <c r="Q48"/>
    </row>
    <row r="49" spans="1:17">
      <c r="A49" s="1" t="s">
        <v>2</v>
      </c>
      <c r="B49" s="83" t="s">
        <v>101</v>
      </c>
      <c r="C49" s="61">
        <v>23970</v>
      </c>
      <c r="D49" s="22">
        <v>19380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3">
        <v>0</v>
      </c>
      <c r="L49" s="72">
        <f t="shared" si="0"/>
        <v>43350</v>
      </c>
      <c r="M49" s="49">
        <v>19380</v>
      </c>
      <c r="N49" s="72">
        <f t="shared" si="1"/>
        <v>19380</v>
      </c>
      <c r="O49" s="72">
        <v>351390</v>
      </c>
      <c r="Q49"/>
    </row>
    <row r="50" spans="1:17">
      <c r="A50" s="1" t="s">
        <v>2</v>
      </c>
      <c r="B50" s="84" t="s">
        <v>102</v>
      </c>
      <c r="C50" s="62">
        <v>0</v>
      </c>
      <c r="D50" s="12">
        <v>3420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3">
        <v>0</v>
      </c>
      <c r="L50" s="73">
        <f t="shared" si="0"/>
        <v>3420</v>
      </c>
      <c r="M50" s="50">
        <v>3420</v>
      </c>
      <c r="N50" s="73">
        <f t="shared" si="1"/>
        <v>3420</v>
      </c>
      <c r="O50" s="73">
        <v>52380</v>
      </c>
      <c r="Q50"/>
    </row>
    <row r="51" spans="1:17">
      <c r="A51" s="1" t="s">
        <v>2</v>
      </c>
      <c r="B51" s="84" t="s">
        <v>103</v>
      </c>
      <c r="C51" s="62">
        <v>43005</v>
      </c>
      <c r="D51" s="12">
        <v>34770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3">
        <v>0</v>
      </c>
      <c r="L51" s="73">
        <f t="shared" si="0"/>
        <v>77775</v>
      </c>
      <c r="M51" s="50">
        <v>34770</v>
      </c>
      <c r="N51" s="73">
        <f t="shared" si="1"/>
        <v>34770</v>
      </c>
      <c r="O51" s="73">
        <v>630435</v>
      </c>
      <c r="Q51"/>
    </row>
    <row r="52" spans="1:17" ht="19.5" thickBot="1">
      <c r="A52" s="1" t="s">
        <v>2</v>
      </c>
      <c r="B52" s="84" t="s">
        <v>104</v>
      </c>
      <c r="C52" s="62">
        <v>1488</v>
      </c>
      <c r="D52" s="12">
        <v>1161</v>
      </c>
      <c r="E52" s="12">
        <v>268</v>
      </c>
      <c r="F52" s="12">
        <v>280</v>
      </c>
      <c r="G52" s="12">
        <v>0</v>
      </c>
      <c r="H52" s="12">
        <v>0</v>
      </c>
      <c r="I52" s="12">
        <v>0</v>
      </c>
      <c r="J52" s="12">
        <v>0</v>
      </c>
      <c r="K52" s="13">
        <v>258</v>
      </c>
      <c r="L52" s="73">
        <f t="shared" si="0"/>
        <v>3455</v>
      </c>
      <c r="M52" s="50">
        <v>1147</v>
      </c>
      <c r="N52" s="73">
        <f t="shared" si="1"/>
        <v>1147</v>
      </c>
      <c r="O52" s="73">
        <v>19711</v>
      </c>
      <c r="Q52"/>
    </row>
    <row r="53" spans="1:17" ht="19.5" thickBot="1">
      <c r="A53" s="1" t="s">
        <v>2</v>
      </c>
      <c r="B53" s="87" t="s">
        <v>105</v>
      </c>
      <c r="C53" s="64">
        <v>68463</v>
      </c>
      <c r="D53" s="30">
        <v>58731</v>
      </c>
      <c r="E53" s="30">
        <v>268</v>
      </c>
      <c r="F53" s="30">
        <v>280</v>
      </c>
      <c r="G53" s="30">
        <v>0</v>
      </c>
      <c r="H53" s="30">
        <v>0</v>
      </c>
      <c r="I53" s="30">
        <v>0</v>
      </c>
      <c r="J53" s="30">
        <v>0</v>
      </c>
      <c r="K53" s="31">
        <v>258</v>
      </c>
      <c r="L53" s="75">
        <f t="shared" si="0"/>
        <v>128000</v>
      </c>
      <c r="M53" s="52">
        <v>58717</v>
      </c>
      <c r="N53" s="75">
        <f t="shared" si="1"/>
        <v>58717</v>
      </c>
      <c r="O53" s="75">
        <v>1053916</v>
      </c>
      <c r="Q53"/>
    </row>
    <row r="54" spans="1:17">
      <c r="A54" s="1" t="s">
        <v>2</v>
      </c>
      <c r="B54" s="83" t="s">
        <v>106</v>
      </c>
      <c r="C54" s="61">
        <v>18020</v>
      </c>
      <c r="D54" s="22">
        <v>7650</v>
      </c>
      <c r="E54" s="22">
        <v>20</v>
      </c>
      <c r="F54" s="22">
        <v>270</v>
      </c>
      <c r="G54" s="22">
        <v>0</v>
      </c>
      <c r="H54" s="22">
        <v>0</v>
      </c>
      <c r="I54" s="22">
        <v>0</v>
      </c>
      <c r="J54" s="22">
        <v>0</v>
      </c>
      <c r="K54" s="23">
        <v>0</v>
      </c>
      <c r="L54" s="72">
        <f t="shared" si="0"/>
        <v>25960</v>
      </c>
      <c r="M54" s="49">
        <v>9710</v>
      </c>
      <c r="N54" s="72">
        <f t="shared" si="1"/>
        <v>9710</v>
      </c>
      <c r="O54" s="72">
        <v>134270</v>
      </c>
      <c r="Q54"/>
    </row>
    <row r="55" spans="1:17">
      <c r="A55" s="1" t="s">
        <v>2</v>
      </c>
      <c r="B55" s="84" t="s">
        <v>107</v>
      </c>
      <c r="C55" s="6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3">
        <v>0</v>
      </c>
      <c r="L55" s="73">
        <f t="shared" si="0"/>
        <v>0</v>
      </c>
      <c r="M55" s="50">
        <v>0</v>
      </c>
      <c r="N55" s="73">
        <f t="shared" si="1"/>
        <v>0</v>
      </c>
      <c r="O55" s="73">
        <v>15600</v>
      </c>
      <c r="Q55"/>
    </row>
    <row r="56" spans="1:17">
      <c r="A56" s="1" t="s">
        <v>2</v>
      </c>
      <c r="B56" s="84" t="s">
        <v>108</v>
      </c>
      <c r="C56" s="62">
        <v>35200</v>
      </c>
      <c r="D56" s="12">
        <v>14500</v>
      </c>
      <c r="E56" s="12">
        <v>600</v>
      </c>
      <c r="F56" s="12">
        <v>500</v>
      </c>
      <c r="G56" s="12">
        <v>0</v>
      </c>
      <c r="H56" s="12">
        <v>4100</v>
      </c>
      <c r="I56" s="12">
        <v>0</v>
      </c>
      <c r="J56" s="12">
        <v>0</v>
      </c>
      <c r="K56" s="13">
        <v>0</v>
      </c>
      <c r="L56" s="73">
        <f t="shared" si="0"/>
        <v>54900</v>
      </c>
      <c r="M56" s="50">
        <v>16100</v>
      </c>
      <c r="N56" s="73">
        <f t="shared" si="1"/>
        <v>16100</v>
      </c>
      <c r="O56" s="73">
        <v>263000</v>
      </c>
      <c r="Q56"/>
    </row>
    <row r="57" spans="1:17" ht="19.5" thickBot="1">
      <c r="A57" s="1" t="s">
        <v>2</v>
      </c>
      <c r="B57" s="84" t="s">
        <v>109</v>
      </c>
      <c r="C57" s="62">
        <v>3620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3">
        <v>0</v>
      </c>
      <c r="L57" s="73">
        <f t="shared" si="0"/>
        <v>3620</v>
      </c>
      <c r="M57" s="50">
        <v>0</v>
      </c>
      <c r="N57" s="73">
        <f t="shared" si="1"/>
        <v>0</v>
      </c>
      <c r="O57" s="76">
        <v>-45360</v>
      </c>
      <c r="Q57"/>
    </row>
    <row r="58" spans="1:17" ht="19.5" thickBot="1">
      <c r="A58" s="1" t="s">
        <v>2</v>
      </c>
      <c r="B58" s="87" t="s">
        <v>110</v>
      </c>
      <c r="C58" s="64">
        <v>125303</v>
      </c>
      <c r="D58" s="30">
        <v>80881</v>
      </c>
      <c r="E58" s="30">
        <v>888</v>
      </c>
      <c r="F58" s="30">
        <v>1050</v>
      </c>
      <c r="G58" s="30">
        <v>0</v>
      </c>
      <c r="H58" s="30">
        <v>4100</v>
      </c>
      <c r="I58" s="30">
        <v>0</v>
      </c>
      <c r="J58" s="30">
        <v>0</v>
      </c>
      <c r="K58" s="31">
        <v>258</v>
      </c>
      <c r="L58" s="75">
        <f t="shared" si="0"/>
        <v>212480</v>
      </c>
      <c r="M58" s="52">
        <v>84527</v>
      </c>
      <c r="N58" s="75">
        <f t="shared" si="1"/>
        <v>84527</v>
      </c>
      <c r="O58" s="75">
        <v>1421426</v>
      </c>
      <c r="Q58"/>
    </row>
    <row r="59" spans="1:17" ht="19.5" thickBot="1">
      <c r="A59" s="1" t="s">
        <v>2</v>
      </c>
      <c r="B59" s="87" t="s">
        <v>111</v>
      </c>
      <c r="C59" s="64">
        <v>417989</v>
      </c>
      <c r="D59" s="30">
        <v>322835</v>
      </c>
      <c r="E59" s="30">
        <v>86212</v>
      </c>
      <c r="F59" s="30">
        <v>91214</v>
      </c>
      <c r="G59" s="30">
        <v>77070</v>
      </c>
      <c r="H59" s="30">
        <v>34650</v>
      </c>
      <c r="I59" s="30">
        <v>69300</v>
      </c>
      <c r="J59" s="30">
        <v>65792</v>
      </c>
      <c r="K59" s="31">
        <v>78702</v>
      </c>
      <c r="L59" s="75">
        <f t="shared" si="0"/>
        <v>1243764</v>
      </c>
      <c r="M59" s="52">
        <v>316283</v>
      </c>
      <c r="N59" s="75">
        <f t="shared" si="1"/>
        <v>316283</v>
      </c>
      <c r="O59" s="75">
        <v>5644677</v>
      </c>
      <c r="Q59"/>
    </row>
    <row r="60" spans="1:17" ht="19.5" thickBot="1">
      <c r="A60" s="1" t="s">
        <v>2</v>
      </c>
      <c r="B60" s="87" t="s">
        <v>112</v>
      </c>
      <c r="C60" s="64">
        <v>370569</v>
      </c>
      <c r="D60" s="30">
        <v>306120</v>
      </c>
      <c r="E60" s="30">
        <v>88298</v>
      </c>
      <c r="F60" s="30">
        <v>92377</v>
      </c>
      <c r="G60" s="30">
        <v>80259</v>
      </c>
      <c r="H60" s="30">
        <v>32362</v>
      </c>
      <c r="I60" s="30">
        <v>73165</v>
      </c>
      <c r="J60" s="30">
        <v>68618</v>
      </c>
      <c r="K60" s="31">
        <v>85804</v>
      </c>
      <c r="L60" s="75">
        <f t="shared" si="0"/>
        <v>1197572</v>
      </c>
      <c r="M60" s="52">
        <v>297695</v>
      </c>
      <c r="N60" s="75">
        <f t="shared" si="1"/>
        <v>297695</v>
      </c>
      <c r="O60" s="75">
        <v>5407221</v>
      </c>
      <c r="Q60"/>
    </row>
    <row r="61" spans="1:17">
      <c r="A61" s="1" t="s">
        <v>2</v>
      </c>
      <c r="B61" s="83" t="s">
        <v>113</v>
      </c>
      <c r="C61" s="61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3">
        <v>0</v>
      </c>
      <c r="L61" s="72">
        <f t="shared" si="0"/>
        <v>0</v>
      </c>
      <c r="M61" s="49">
        <v>0</v>
      </c>
      <c r="N61" s="72">
        <f t="shared" si="1"/>
        <v>0</v>
      </c>
      <c r="O61" s="72">
        <v>0</v>
      </c>
      <c r="Q61"/>
    </row>
    <row r="62" spans="1:17">
      <c r="A62" s="1" t="s">
        <v>2</v>
      </c>
      <c r="B62" s="84" t="s">
        <v>114</v>
      </c>
      <c r="C62" s="62">
        <v>370569</v>
      </c>
      <c r="D62" s="12">
        <v>306120</v>
      </c>
      <c r="E62" s="12">
        <v>88298</v>
      </c>
      <c r="F62" s="12">
        <v>92377</v>
      </c>
      <c r="G62" s="12">
        <v>80259</v>
      </c>
      <c r="H62" s="12">
        <v>32362</v>
      </c>
      <c r="I62" s="12">
        <v>73165</v>
      </c>
      <c r="J62" s="12">
        <v>68618</v>
      </c>
      <c r="K62" s="13">
        <v>85804</v>
      </c>
      <c r="L62" s="73">
        <f t="shared" si="0"/>
        <v>1197572</v>
      </c>
      <c r="M62" s="50">
        <v>297695</v>
      </c>
      <c r="N62" s="73">
        <f t="shared" si="1"/>
        <v>297695</v>
      </c>
      <c r="O62" s="73">
        <v>5407221</v>
      </c>
      <c r="Q62"/>
    </row>
    <row r="63" spans="1:17">
      <c r="A63" s="1" t="s">
        <v>2</v>
      </c>
      <c r="B63" s="84" t="s">
        <v>115</v>
      </c>
      <c r="C63" s="62">
        <v>0</v>
      </c>
      <c r="D63" s="12">
        <v>1</v>
      </c>
      <c r="E63" s="12">
        <v>0</v>
      </c>
      <c r="F63" s="12">
        <v>0</v>
      </c>
      <c r="G63" s="12">
        <v>1</v>
      </c>
      <c r="H63" s="12">
        <v>1</v>
      </c>
      <c r="I63" s="12">
        <v>1</v>
      </c>
      <c r="J63" s="12">
        <v>1</v>
      </c>
      <c r="K63" s="13">
        <v>1</v>
      </c>
      <c r="L63" s="73"/>
      <c r="M63" s="50">
        <v>0</v>
      </c>
      <c r="N63" s="73"/>
      <c r="O63" s="73"/>
      <c r="Q63"/>
    </row>
    <row r="64" spans="1:17" ht="19.5" thickBot="1">
      <c r="A64" s="1" t="s">
        <v>2</v>
      </c>
      <c r="B64" s="85" t="s">
        <v>116</v>
      </c>
      <c r="C64" s="65" t="s">
        <v>117</v>
      </c>
      <c r="D64" s="14" t="s">
        <v>117</v>
      </c>
      <c r="E64" s="14" t="s">
        <v>117</v>
      </c>
      <c r="F64" s="14" t="s">
        <v>117</v>
      </c>
      <c r="G64" s="14" t="s">
        <v>117</v>
      </c>
      <c r="H64" s="14" t="s">
        <v>117</v>
      </c>
      <c r="I64" s="14" t="s">
        <v>117</v>
      </c>
      <c r="J64" s="14" t="s">
        <v>117</v>
      </c>
      <c r="K64" s="15" t="s">
        <v>117</v>
      </c>
      <c r="L64" s="77"/>
      <c r="M64" s="53" t="s">
        <v>117</v>
      </c>
      <c r="N64" s="77"/>
      <c r="O64" s="77"/>
      <c r="Q64"/>
    </row>
  </sheetData>
  <phoneticPr fontId="3"/>
  <pageMargins left="0.11811023622047245" right="0.11811023622047245" top="0.15748031496062992" bottom="0.15748031496062992" header="0.11811023622047245" footer="0.11811023622047245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BD25-084B-42B0-83A7-CF9C77E7AA1C}">
  <sheetPr>
    <pageSetUpPr fitToPage="1"/>
  </sheetPr>
  <dimension ref="A1:V66"/>
  <sheetViews>
    <sheetView showZeros="0" tabSelected="1" topLeftCell="J22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20" width="11.125" style="2" customWidth="1"/>
    <col min="21" max="240" width="9" style="2"/>
    <col min="241" max="241" width="2.375" style="2" customWidth="1"/>
    <col min="242" max="243" width="13.25" style="2" bestFit="1" customWidth="1"/>
    <col min="244" max="246" width="11.125" style="2" bestFit="1" customWidth="1"/>
    <col min="247" max="247" width="13.25" style="2" bestFit="1" customWidth="1"/>
    <col min="248" max="248" width="11.125" style="2" bestFit="1" customWidth="1"/>
    <col min="249" max="249" width="9" style="2"/>
    <col min="250" max="251" width="11.125" style="2" bestFit="1" customWidth="1"/>
    <col min="252" max="252" width="9" style="2"/>
    <col min="253" max="264" width="11.125" style="2" bestFit="1" customWidth="1"/>
    <col min="265" max="267" width="9" style="2"/>
    <col min="268" max="275" width="11.125" style="2" bestFit="1" customWidth="1"/>
    <col min="276" max="276" width="9.625" style="2" bestFit="1" customWidth="1"/>
    <col min="277" max="496" width="9" style="2"/>
    <col min="497" max="497" width="2.375" style="2" customWidth="1"/>
    <col min="498" max="499" width="13.25" style="2" bestFit="1" customWidth="1"/>
    <col min="500" max="502" width="11.125" style="2" bestFit="1" customWidth="1"/>
    <col min="503" max="503" width="13.25" style="2" bestFit="1" customWidth="1"/>
    <col min="504" max="504" width="11.125" style="2" bestFit="1" customWidth="1"/>
    <col min="505" max="505" width="9" style="2"/>
    <col min="506" max="507" width="11.125" style="2" bestFit="1" customWidth="1"/>
    <col min="508" max="508" width="9" style="2"/>
    <col min="509" max="520" width="11.125" style="2" bestFit="1" customWidth="1"/>
    <col min="521" max="523" width="9" style="2"/>
    <col min="524" max="531" width="11.125" style="2" bestFit="1" customWidth="1"/>
    <col min="532" max="532" width="9.625" style="2" bestFit="1" customWidth="1"/>
    <col min="533" max="752" width="9" style="2"/>
    <col min="753" max="753" width="2.375" style="2" customWidth="1"/>
    <col min="754" max="755" width="13.25" style="2" bestFit="1" customWidth="1"/>
    <col min="756" max="758" width="11.125" style="2" bestFit="1" customWidth="1"/>
    <col min="759" max="759" width="13.25" style="2" bestFit="1" customWidth="1"/>
    <col min="760" max="760" width="11.125" style="2" bestFit="1" customWidth="1"/>
    <col min="761" max="761" width="9" style="2"/>
    <col min="762" max="763" width="11.125" style="2" bestFit="1" customWidth="1"/>
    <col min="764" max="764" width="9" style="2"/>
    <col min="765" max="776" width="11.125" style="2" bestFit="1" customWidth="1"/>
    <col min="777" max="779" width="9" style="2"/>
    <col min="780" max="787" width="11.125" style="2" bestFit="1" customWidth="1"/>
    <col min="788" max="788" width="9.625" style="2" bestFit="1" customWidth="1"/>
    <col min="789" max="1008" width="9" style="2"/>
    <col min="1009" max="1009" width="2.375" style="2" customWidth="1"/>
    <col min="1010" max="1011" width="13.25" style="2" bestFit="1" customWidth="1"/>
    <col min="1012" max="1014" width="11.125" style="2" bestFit="1" customWidth="1"/>
    <col min="1015" max="1015" width="13.25" style="2" bestFit="1" customWidth="1"/>
    <col min="1016" max="1016" width="11.125" style="2" bestFit="1" customWidth="1"/>
    <col min="1017" max="1017" width="9" style="2"/>
    <col min="1018" max="1019" width="11.125" style="2" bestFit="1" customWidth="1"/>
    <col min="1020" max="1020" width="9" style="2"/>
    <col min="1021" max="1032" width="11.125" style="2" bestFit="1" customWidth="1"/>
    <col min="1033" max="1035" width="9" style="2"/>
    <col min="1036" max="1043" width="11.125" style="2" bestFit="1" customWidth="1"/>
    <col min="1044" max="1044" width="9.625" style="2" bestFit="1" customWidth="1"/>
    <col min="1045" max="1264" width="9" style="2"/>
    <col min="1265" max="1265" width="2.375" style="2" customWidth="1"/>
    <col min="1266" max="1267" width="13.25" style="2" bestFit="1" customWidth="1"/>
    <col min="1268" max="1270" width="11.125" style="2" bestFit="1" customWidth="1"/>
    <col min="1271" max="1271" width="13.25" style="2" bestFit="1" customWidth="1"/>
    <col min="1272" max="1272" width="11.125" style="2" bestFit="1" customWidth="1"/>
    <col min="1273" max="1273" width="9" style="2"/>
    <col min="1274" max="1275" width="11.125" style="2" bestFit="1" customWidth="1"/>
    <col min="1276" max="1276" width="9" style="2"/>
    <col min="1277" max="1288" width="11.125" style="2" bestFit="1" customWidth="1"/>
    <col min="1289" max="1291" width="9" style="2"/>
    <col min="1292" max="1299" width="11.125" style="2" bestFit="1" customWidth="1"/>
    <col min="1300" max="1300" width="9.625" style="2" bestFit="1" customWidth="1"/>
    <col min="1301" max="1520" width="9" style="2"/>
    <col min="1521" max="1521" width="2.375" style="2" customWidth="1"/>
    <col min="1522" max="1523" width="13.25" style="2" bestFit="1" customWidth="1"/>
    <col min="1524" max="1526" width="11.125" style="2" bestFit="1" customWidth="1"/>
    <col min="1527" max="1527" width="13.25" style="2" bestFit="1" customWidth="1"/>
    <col min="1528" max="1528" width="11.125" style="2" bestFit="1" customWidth="1"/>
    <col min="1529" max="1529" width="9" style="2"/>
    <col min="1530" max="1531" width="11.125" style="2" bestFit="1" customWidth="1"/>
    <col min="1532" max="1532" width="9" style="2"/>
    <col min="1533" max="1544" width="11.125" style="2" bestFit="1" customWidth="1"/>
    <col min="1545" max="1547" width="9" style="2"/>
    <col min="1548" max="1555" width="11.125" style="2" bestFit="1" customWidth="1"/>
    <col min="1556" max="1556" width="9.625" style="2" bestFit="1" customWidth="1"/>
    <col min="1557" max="1776" width="9" style="2"/>
    <col min="1777" max="1777" width="2.375" style="2" customWidth="1"/>
    <col min="1778" max="1779" width="13.25" style="2" bestFit="1" customWidth="1"/>
    <col min="1780" max="1782" width="11.125" style="2" bestFit="1" customWidth="1"/>
    <col min="1783" max="1783" width="13.25" style="2" bestFit="1" customWidth="1"/>
    <col min="1784" max="1784" width="11.125" style="2" bestFit="1" customWidth="1"/>
    <col min="1785" max="1785" width="9" style="2"/>
    <col min="1786" max="1787" width="11.125" style="2" bestFit="1" customWidth="1"/>
    <col min="1788" max="1788" width="9" style="2"/>
    <col min="1789" max="1800" width="11.125" style="2" bestFit="1" customWidth="1"/>
    <col min="1801" max="1803" width="9" style="2"/>
    <col min="1804" max="1811" width="11.125" style="2" bestFit="1" customWidth="1"/>
    <col min="1812" max="1812" width="9.625" style="2" bestFit="1" customWidth="1"/>
    <col min="1813" max="2032" width="9" style="2"/>
    <col min="2033" max="2033" width="2.375" style="2" customWidth="1"/>
    <col min="2034" max="2035" width="13.25" style="2" bestFit="1" customWidth="1"/>
    <col min="2036" max="2038" width="11.125" style="2" bestFit="1" customWidth="1"/>
    <col min="2039" max="2039" width="13.25" style="2" bestFit="1" customWidth="1"/>
    <col min="2040" max="2040" width="11.125" style="2" bestFit="1" customWidth="1"/>
    <col min="2041" max="2041" width="9" style="2"/>
    <col min="2042" max="2043" width="11.125" style="2" bestFit="1" customWidth="1"/>
    <col min="2044" max="2044" width="9" style="2"/>
    <col min="2045" max="2056" width="11.125" style="2" bestFit="1" customWidth="1"/>
    <col min="2057" max="2059" width="9" style="2"/>
    <col min="2060" max="2067" width="11.125" style="2" bestFit="1" customWidth="1"/>
    <col min="2068" max="2068" width="9.625" style="2" bestFit="1" customWidth="1"/>
    <col min="2069" max="2288" width="9" style="2"/>
    <col min="2289" max="2289" width="2.375" style="2" customWidth="1"/>
    <col min="2290" max="2291" width="13.25" style="2" bestFit="1" customWidth="1"/>
    <col min="2292" max="2294" width="11.125" style="2" bestFit="1" customWidth="1"/>
    <col min="2295" max="2295" width="13.25" style="2" bestFit="1" customWidth="1"/>
    <col min="2296" max="2296" width="11.125" style="2" bestFit="1" customWidth="1"/>
    <col min="2297" max="2297" width="9" style="2"/>
    <col min="2298" max="2299" width="11.125" style="2" bestFit="1" customWidth="1"/>
    <col min="2300" max="2300" width="9" style="2"/>
    <col min="2301" max="2312" width="11.125" style="2" bestFit="1" customWidth="1"/>
    <col min="2313" max="2315" width="9" style="2"/>
    <col min="2316" max="2323" width="11.125" style="2" bestFit="1" customWidth="1"/>
    <col min="2324" max="2324" width="9.625" style="2" bestFit="1" customWidth="1"/>
    <col min="2325" max="2544" width="9" style="2"/>
    <col min="2545" max="2545" width="2.375" style="2" customWidth="1"/>
    <col min="2546" max="2547" width="13.25" style="2" bestFit="1" customWidth="1"/>
    <col min="2548" max="2550" width="11.125" style="2" bestFit="1" customWidth="1"/>
    <col min="2551" max="2551" width="13.25" style="2" bestFit="1" customWidth="1"/>
    <col min="2552" max="2552" width="11.125" style="2" bestFit="1" customWidth="1"/>
    <col min="2553" max="2553" width="9" style="2"/>
    <col min="2554" max="2555" width="11.125" style="2" bestFit="1" customWidth="1"/>
    <col min="2556" max="2556" width="9" style="2"/>
    <col min="2557" max="2568" width="11.125" style="2" bestFit="1" customWidth="1"/>
    <col min="2569" max="2571" width="9" style="2"/>
    <col min="2572" max="2579" width="11.125" style="2" bestFit="1" customWidth="1"/>
    <col min="2580" max="2580" width="9.625" style="2" bestFit="1" customWidth="1"/>
    <col min="2581" max="2800" width="9" style="2"/>
    <col min="2801" max="2801" width="2.375" style="2" customWidth="1"/>
    <col min="2802" max="2803" width="13.25" style="2" bestFit="1" customWidth="1"/>
    <col min="2804" max="2806" width="11.125" style="2" bestFit="1" customWidth="1"/>
    <col min="2807" max="2807" width="13.25" style="2" bestFit="1" customWidth="1"/>
    <col min="2808" max="2808" width="11.125" style="2" bestFit="1" customWidth="1"/>
    <col min="2809" max="2809" width="9" style="2"/>
    <col min="2810" max="2811" width="11.125" style="2" bestFit="1" customWidth="1"/>
    <col min="2812" max="2812" width="9" style="2"/>
    <col min="2813" max="2824" width="11.125" style="2" bestFit="1" customWidth="1"/>
    <col min="2825" max="2827" width="9" style="2"/>
    <col min="2828" max="2835" width="11.125" style="2" bestFit="1" customWidth="1"/>
    <col min="2836" max="2836" width="9.625" style="2" bestFit="1" customWidth="1"/>
    <col min="2837" max="3056" width="9" style="2"/>
    <col min="3057" max="3057" width="2.375" style="2" customWidth="1"/>
    <col min="3058" max="3059" width="13.25" style="2" bestFit="1" customWidth="1"/>
    <col min="3060" max="3062" width="11.125" style="2" bestFit="1" customWidth="1"/>
    <col min="3063" max="3063" width="13.25" style="2" bestFit="1" customWidth="1"/>
    <col min="3064" max="3064" width="11.125" style="2" bestFit="1" customWidth="1"/>
    <col min="3065" max="3065" width="9" style="2"/>
    <col min="3066" max="3067" width="11.125" style="2" bestFit="1" customWidth="1"/>
    <col min="3068" max="3068" width="9" style="2"/>
    <col min="3069" max="3080" width="11.125" style="2" bestFit="1" customWidth="1"/>
    <col min="3081" max="3083" width="9" style="2"/>
    <col min="3084" max="3091" width="11.125" style="2" bestFit="1" customWidth="1"/>
    <col min="3092" max="3092" width="9.625" style="2" bestFit="1" customWidth="1"/>
    <col min="3093" max="3312" width="9" style="2"/>
    <col min="3313" max="3313" width="2.375" style="2" customWidth="1"/>
    <col min="3314" max="3315" width="13.25" style="2" bestFit="1" customWidth="1"/>
    <col min="3316" max="3318" width="11.125" style="2" bestFit="1" customWidth="1"/>
    <col min="3319" max="3319" width="13.25" style="2" bestFit="1" customWidth="1"/>
    <col min="3320" max="3320" width="11.125" style="2" bestFit="1" customWidth="1"/>
    <col min="3321" max="3321" width="9" style="2"/>
    <col min="3322" max="3323" width="11.125" style="2" bestFit="1" customWidth="1"/>
    <col min="3324" max="3324" width="9" style="2"/>
    <col min="3325" max="3336" width="11.125" style="2" bestFit="1" customWidth="1"/>
    <col min="3337" max="3339" width="9" style="2"/>
    <col min="3340" max="3347" width="11.125" style="2" bestFit="1" customWidth="1"/>
    <col min="3348" max="3348" width="9.625" style="2" bestFit="1" customWidth="1"/>
    <col min="3349" max="3568" width="9" style="2"/>
    <col min="3569" max="3569" width="2.375" style="2" customWidth="1"/>
    <col min="3570" max="3571" width="13.25" style="2" bestFit="1" customWidth="1"/>
    <col min="3572" max="3574" width="11.125" style="2" bestFit="1" customWidth="1"/>
    <col min="3575" max="3575" width="13.25" style="2" bestFit="1" customWidth="1"/>
    <col min="3576" max="3576" width="11.125" style="2" bestFit="1" customWidth="1"/>
    <col min="3577" max="3577" width="9" style="2"/>
    <col min="3578" max="3579" width="11.125" style="2" bestFit="1" customWidth="1"/>
    <col min="3580" max="3580" width="9" style="2"/>
    <col min="3581" max="3592" width="11.125" style="2" bestFit="1" customWidth="1"/>
    <col min="3593" max="3595" width="9" style="2"/>
    <col min="3596" max="3603" width="11.125" style="2" bestFit="1" customWidth="1"/>
    <col min="3604" max="3604" width="9.625" style="2" bestFit="1" customWidth="1"/>
    <col min="3605" max="3824" width="9" style="2"/>
    <col min="3825" max="3825" width="2.375" style="2" customWidth="1"/>
    <col min="3826" max="3827" width="13.25" style="2" bestFit="1" customWidth="1"/>
    <col min="3828" max="3830" width="11.125" style="2" bestFit="1" customWidth="1"/>
    <col min="3831" max="3831" width="13.25" style="2" bestFit="1" customWidth="1"/>
    <col min="3832" max="3832" width="11.125" style="2" bestFit="1" customWidth="1"/>
    <col min="3833" max="3833" width="9" style="2"/>
    <col min="3834" max="3835" width="11.125" style="2" bestFit="1" customWidth="1"/>
    <col min="3836" max="3836" width="9" style="2"/>
    <col min="3837" max="3848" width="11.125" style="2" bestFit="1" customWidth="1"/>
    <col min="3849" max="3851" width="9" style="2"/>
    <col min="3852" max="3859" width="11.125" style="2" bestFit="1" customWidth="1"/>
    <col min="3860" max="3860" width="9.625" style="2" bestFit="1" customWidth="1"/>
    <col min="3861" max="4080" width="9" style="2"/>
    <col min="4081" max="4081" width="2.375" style="2" customWidth="1"/>
    <col min="4082" max="4083" width="13.25" style="2" bestFit="1" customWidth="1"/>
    <col min="4084" max="4086" width="11.125" style="2" bestFit="1" customWidth="1"/>
    <col min="4087" max="4087" width="13.25" style="2" bestFit="1" customWidth="1"/>
    <col min="4088" max="4088" width="11.125" style="2" bestFit="1" customWidth="1"/>
    <col min="4089" max="4089" width="9" style="2"/>
    <col min="4090" max="4091" width="11.125" style="2" bestFit="1" customWidth="1"/>
    <col min="4092" max="4092" width="9" style="2"/>
    <col min="4093" max="4104" width="11.125" style="2" bestFit="1" customWidth="1"/>
    <col min="4105" max="4107" width="9" style="2"/>
    <col min="4108" max="4115" width="11.125" style="2" bestFit="1" customWidth="1"/>
    <col min="4116" max="4116" width="9.625" style="2" bestFit="1" customWidth="1"/>
    <col min="4117" max="4336" width="9" style="2"/>
    <col min="4337" max="4337" width="2.375" style="2" customWidth="1"/>
    <col min="4338" max="4339" width="13.25" style="2" bestFit="1" customWidth="1"/>
    <col min="4340" max="4342" width="11.125" style="2" bestFit="1" customWidth="1"/>
    <col min="4343" max="4343" width="13.25" style="2" bestFit="1" customWidth="1"/>
    <col min="4344" max="4344" width="11.125" style="2" bestFit="1" customWidth="1"/>
    <col min="4345" max="4345" width="9" style="2"/>
    <col min="4346" max="4347" width="11.125" style="2" bestFit="1" customWidth="1"/>
    <col min="4348" max="4348" width="9" style="2"/>
    <col min="4349" max="4360" width="11.125" style="2" bestFit="1" customWidth="1"/>
    <col min="4361" max="4363" width="9" style="2"/>
    <col min="4364" max="4371" width="11.125" style="2" bestFit="1" customWidth="1"/>
    <col min="4372" max="4372" width="9.625" style="2" bestFit="1" customWidth="1"/>
    <col min="4373" max="4592" width="9" style="2"/>
    <col min="4593" max="4593" width="2.375" style="2" customWidth="1"/>
    <col min="4594" max="4595" width="13.25" style="2" bestFit="1" customWidth="1"/>
    <col min="4596" max="4598" width="11.125" style="2" bestFit="1" customWidth="1"/>
    <col min="4599" max="4599" width="13.25" style="2" bestFit="1" customWidth="1"/>
    <col min="4600" max="4600" width="11.125" style="2" bestFit="1" customWidth="1"/>
    <col min="4601" max="4601" width="9" style="2"/>
    <col min="4602" max="4603" width="11.125" style="2" bestFit="1" customWidth="1"/>
    <col min="4604" max="4604" width="9" style="2"/>
    <col min="4605" max="4616" width="11.125" style="2" bestFit="1" customWidth="1"/>
    <col min="4617" max="4619" width="9" style="2"/>
    <col min="4620" max="4627" width="11.125" style="2" bestFit="1" customWidth="1"/>
    <col min="4628" max="4628" width="9.625" style="2" bestFit="1" customWidth="1"/>
    <col min="4629" max="4848" width="9" style="2"/>
    <col min="4849" max="4849" width="2.375" style="2" customWidth="1"/>
    <col min="4850" max="4851" width="13.25" style="2" bestFit="1" customWidth="1"/>
    <col min="4852" max="4854" width="11.125" style="2" bestFit="1" customWidth="1"/>
    <col min="4855" max="4855" width="13.25" style="2" bestFit="1" customWidth="1"/>
    <col min="4856" max="4856" width="11.125" style="2" bestFit="1" customWidth="1"/>
    <col min="4857" max="4857" width="9" style="2"/>
    <col min="4858" max="4859" width="11.125" style="2" bestFit="1" customWidth="1"/>
    <col min="4860" max="4860" width="9" style="2"/>
    <col min="4861" max="4872" width="11.125" style="2" bestFit="1" customWidth="1"/>
    <col min="4873" max="4875" width="9" style="2"/>
    <col min="4876" max="4883" width="11.125" style="2" bestFit="1" customWidth="1"/>
    <col min="4884" max="4884" width="9.625" style="2" bestFit="1" customWidth="1"/>
    <col min="4885" max="5104" width="9" style="2"/>
    <col min="5105" max="5105" width="2.375" style="2" customWidth="1"/>
    <col min="5106" max="5107" width="13.25" style="2" bestFit="1" customWidth="1"/>
    <col min="5108" max="5110" width="11.125" style="2" bestFit="1" customWidth="1"/>
    <col min="5111" max="5111" width="13.25" style="2" bestFit="1" customWidth="1"/>
    <col min="5112" max="5112" width="11.125" style="2" bestFit="1" customWidth="1"/>
    <col min="5113" max="5113" width="9" style="2"/>
    <col min="5114" max="5115" width="11.125" style="2" bestFit="1" customWidth="1"/>
    <col min="5116" max="5116" width="9" style="2"/>
    <col min="5117" max="5128" width="11.125" style="2" bestFit="1" customWidth="1"/>
    <col min="5129" max="5131" width="9" style="2"/>
    <col min="5132" max="5139" width="11.125" style="2" bestFit="1" customWidth="1"/>
    <col min="5140" max="5140" width="9.625" style="2" bestFit="1" customWidth="1"/>
    <col min="5141" max="5360" width="9" style="2"/>
    <col min="5361" max="5361" width="2.375" style="2" customWidth="1"/>
    <col min="5362" max="5363" width="13.25" style="2" bestFit="1" customWidth="1"/>
    <col min="5364" max="5366" width="11.125" style="2" bestFit="1" customWidth="1"/>
    <col min="5367" max="5367" width="13.25" style="2" bestFit="1" customWidth="1"/>
    <col min="5368" max="5368" width="11.125" style="2" bestFit="1" customWidth="1"/>
    <col min="5369" max="5369" width="9" style="2"/>
    <col min="5370" max="5371" width="11.125" style="2" bestFit="1" customWidth="1"/>
    <col min="5372" max="5372" width="9" style="2"/>
    <col min="5373" max="5384" width="11.125" style="2" bestFit="1" customWidth="1"/>
    <col min="5385" max="5387" width="9" style="2"/>
    <col min="5388" max="5395" width="11.125" style="2" bestFit="1" customWidth="1"/>
    <col min="5396" max="5396" width="9.625" style="2" bestFit="1" customWidth="1"/>
    <col min="5397" max="5616" width="9" style="2"/>
    <col min="5617" max="5617" width="2.375" style="2" customWidth="1"/>
    <col min="5618" max="5619" width="13.25" style="2" bestFit="1" customWidth="1"/>
    <col min="5620" max="5622" width="11.125" style="2" bestFit="1" customWidth="1"/>
    <col min="5623" max="5623" width="13.25" style="2" bestFit="1" customWidth="1"/>
    <col min="5624" max="5624" width="11.125" style="2" bestFit="1" customWidth="1"/>
    <col min="5625" max="5625" width="9" style="2"/>
    <col min="5626" max="5627" width="11.125" style="2" bestFit="1" customWidth="1"/>
    <col min="5628" max="5628" width="9" style="2"/>
    <col min="5629" max="5640" width="11.125" style="2" bestFit="1" customWidth="1"/>
    <col min="5641" max="5643" width="9" style="2"/>
    <col min="5644" max="5651" width="11.125" style="2" bestFit="1" customWidth="1"/>
    <col min="5652" max="5652" width="9.625" style="2" bestFit="1" customWidth="1"/>
    <col min="5653" max="5872" width="9" style="2"/>
    <col min="5873" max="5873" width="2.375" style="2" customWidth="1"/>
    <col min="5874" max="5875" width="13.25" style="2" bestFit="1" customWidth="1"/>
    <col min="5876" max="5878" width="11.125" style="2" bestFit="1" customWidth="1"/>
    <col min="5879" max="5879" width="13.25" style="2" bestFit="1" customWidth="1"/>
    <col min="5880" max="5880" width="11.125" style="2" bestFit="1" customWidth="1"/>
    <col min="5881" max="5881" width="9" style="2"/>
    <col min="5882" max="5883" width="11.125" style="2" bestFit="1" customWidth="1"/>
    <col min="5884" max="5884" width="9" style="2"/>
    <col min="5885" max="5896" width="11.125" style="2" bestFit="1" customWidth="1"/>
    <col min="5897" max="5899" width="9" style="2"/>
    <col min="5900" max="5907" width="11.125" style="2" bestFit="1" customWidth="1"/>
    <col min="5908" max="5908" width="9.625" style="2" bestFit="1" customWidth="1"/>
    <col min="5909" max="6128" width="9" style="2"/>
    <col min="6129" max="6129" width="2.375" style="2" customWidth="1"/>
    <col min="6130" max="6131" width="13.25" style="2" bestFit="1" customWidth="1"/>
    <col min="6132" max="6134" width="11.125" style="2" bestFit="1" customWidth="1"/>
    <col min="6135" max="6135" width="13.25" style="2" bestFit="1" customWidth="1"/>
    <col min="6136" max="6136" width="11.125" style="2" bestFit="1" customWidth="1"/>
    <col min="6137" max="6137" width="9" style="2"/>
    <col min="6138" max="6139" width="11.125" style="2" bestFit="1" customWidth="1"/>
    <col min="6140" max="6140" width="9" style="2"/>
    <col min="6141" max="6152" width="11.125" style="2" bestFit="1" customWidth="1"/>
    <col min="6153" max="6155" width="9" style="2"/>
    <col min="6156" max="6163" width="11.125" style="2" bestFit="1" customWidth="1"/>
    <col min="6164" max="6164" width="9.625" style="2" bestFit="1" customWidth="1"/>
    <col min="6165" max="6384" width="9" style="2"/>
    <col min="6385" max="6385" width="2.375" style="2" customWidth="1"/>
    <col min="6386" max="6387" width="13.25" style="2" bestFit="1" customWidth="1"/>
    <col min="6388" max="6390" width="11.125" style="2" bestFit="1" customWidth="1"/>
    <col min="6391" max="6391" width="13.25" style="2" bestFit="1" customWidth="1"/>
    <col min="6392" max="6392" width="11.125" style="2" bestFit="1" customWidth="1"/>
    <col min="6393" max="6393" width="9" style="2"/>
    <col min="6394" max="6395" width="11.125" style="2" bestFit="1" customWidth="1"/>
    <col min="6396" max="6396" width="9" style="2"/>
    <col min="6397" max="6408" width="11.125" style="2" bestFit="1" customWidth="1"/>
    <col min="6409" max="6411" width="9" style="2"/>
    <col min="6412" max="6419" width="11.125" style="2" bestFit="1" customWidth="1"/>
    <col min="6420" max="6420" width="9.625" style="2" bestFit="1" customWidth="1"/>
    <col min="6421" max="6640" width="9" style="2"/>
    <col min="6641" max="6641" width="2.375" style="2" customWidth="1"/>
    <col min="6642" max="6643" width="13.25" style="2" bestFit="1" customWidth="1"/>
    <col min="6644" max="6646" width="11.125" style="2" bestFit="1" customWidth="1"/>
    <col min="6647" max="6647" width="13.25" style="2" bestFit="1" customWidth="1"/>
    <col min="6648" max="6648" width="11.125" style="2" bestFit="1" customWidth="1"/>
    <col min="6649" max="6649" width="9" style="2"/>
    <col min="6650" max="6651" width="11.125" style="2" bestFit="1" customWidth="1"/>
    <col min="6652" max="6652" width="9" style="2"/>
    <col min="6653" max="6664" width="11.125" style="2" bestFit="1" customWidth="1"/>
    <col min="6665" max="6667" width="9" style="2"/>
    <col min="6668" max="6675" width="11.125" style="2" bestFit="1" customWidth="1"/>
    <col min="6676" max="6676" width="9.625" style="2" bestFit="1" customWidth="1"/>
    <col min="6677" max="6896" width="9" style="2"/>
    <col min="6897" max="6897" width="2.375" style="2" customWidth="1"/>
    <col min="6898" max="6899" width="13.25" style="2" bestFit="1" customWidth="1"/>
    <col min="6900" max="6902" width="11.125" style="2" bestFit="1" customWidth="1"/>
    <col min="6903" max="6903" width="13.25" style="2" bestFit="1" customWidth="1"/>
    <col min="6904" max="6904" width="11.125" style="2" bestFit="1" customWidth="1"/>
    <col min="6905" max="6905" width="9" style="2"/>
    <col min="6906" max="6907" width="11.125" style="2" bestFit="1" customWidth="1"/>
    <col min="6908" max="6908" width="9" style="2"/>
    <col min="6909" max="6920" width="11.125" style="2" bestFit="1" customWidth="1"/>
    <col min="6921" max="6923" width="9" style="2"/>
    <col min="6924" max="6931" width="11.125" style="2" bestFit="1" customWidth="1"/>
    <col min="6932" max="6932" width="9.625" style="2" bestFit="1" customWidth="1"/>
    <col min="6933" max="7152" width="9" style="2"/>
    <col min="7153" max="7153" width="2.375" style="2" customWidth="1"/>
    <col min="7154" max="7155" width="13.25" style="2" bestFit="1" customWidth="1"/>
    <col min="7156" max="7158" width="11.125" style="2" bestFit="1" customWidth="1"/>
    <col min="7159" max="7159" width="13.25" style="2" bestFit="1" customWidth="1"/>
    <col min="7160" max="7160" width="11.125" style="2" bestFit="1" customWidth="1"/>
    <col min="7161" max="7161" width="9" style="2"/>
    <col min="7162" max="7163" width="11.125" style="2" bestFit="1" customWidth="1"/>
    <col min="7164" max="7164" width="9" style="2"/>
    <col min="7165" max="7176" width="11.125" style="2" bestFit="1" customWidth="1"/>
    <col min="7177" max="7179" width="9" style="2"/>
    <col min="7180" max="7187" width="11.125" style="2" bestFit="1" customWidth="1"/>
    <col min="7188" max="7188" width="9.625" style="2" bestFit="1" customWidth="1"/>
    <col min="7189" max="7408" width="9" style="2"/>
    <col min="7409" max="7409" width="2.375" style="2" customWidth="1"/>
    <col min="7410" max="7411" width="13.25" style="2" bestFit="1" customWidth="1"/>
    <col min="7412" max="7414" width="11.125" style="2" bestFit="1" customWidth="1"/>
    <col min="7415" max="7415" width="13.25" style="2" bestFit="1" customWidth="1"/>
    <col min="7416" max="7416" width="11.125" style="2" bestFit="1" customWidth="1"/>
    <col min="7417" max="7417" width="9" style="2"/>
    <col min="7418" max="7419" width="11.125" style="2" bestFit="1" customWidth="1"/>
    <col min="7420" max="7420" width="9" style="2"/>
    <col min="7421" max="7432" width="11.125" style="2" bestFit="1" customWidth="1"/>
    <col min="7433" max="7435" width="9" style="2"/>
    <col min="7436" max="7443" width="11.125" style="2" bestFit="1" customWidth="1"/>
    <col min="7444" max="7444" width="9.625" style="2" bestFit="1" customWidth="1"/>
    <col min="7445" max="7664" width="9" style="2"/>
    <col min="7665" max="7665" width="2.375" style="2" customWidth="1"/>
    <col min="7666" max="7667" width="13.25" style="2" bestFit="1" customWidth="1"/>
    <col min="7668" max="7670" width="11.125" style="2" bestFit="1" customWidth="1"/>
    <col min="7671" max="7671" width="13.25" style="2" bestFit="1" customWidth="1"/>
    <col min="7672" max="7672" width="11.125" style="2" bestFit="1" customWidth="1"/>
    <col min="7673" max="7673" width="9" style="2"/>
    <col min="7674" max="7675" width="11.125" style="2" bestFit="1" customWidth="1"/>
    <col min="7676" max="7676" width="9" style="2"/>
    <col min="7677" max="7688" width="11.125" style="2" bestFit="1" customWidth="1"/>
    <col min="7689" max="7691" width="9" style="2"/>
    <col min="7692" max="7699" width="11.125" style="2" bestFit="1" customWidth="1"/>
    <col min="7700" max="7700" width="9.625" style="2" bestFit="1" customWidth="1"/>
    <col min="7701" max="7920" width="9" style="2"/>
    <col min="7921" max="7921" width="2.375" style="2" customWidth="1"/>
    <col min="7922" max="7923" width="13.25" style="2" bestFit="1" customWidth="1"/>
    <col min="7924" max="7926" width="11.125" style="2" bestFit="1" customWidth="1"/>
    <col min="7927" max="7927" width="13.25" style="2" bestFit="1" customWidth="1"/>
    <col min="7928" max="7928" width="11.125" style="2" bestFit="1" customWidth="1"/>
    <col min="7929" max="7929" width="9" style="2"/>
    <col min="7930" max="7931" width="11.125" style="2" bestFit="1" customWidth="1"/>
    <col min="7932" max="7932" width="9" style="2"/>
    <col min="7933" max="7944" width="11.125" style="2" bestFit="1" customWidth="1"/>
    <col min="7945" max="7947" width="9" style="2"/>
    <col min="7948" max="7955" width="11.125" style="2" bestFit="1" customWidth="1"/>
    <col min="7956" max="7956" width="9.625" style="2" bestFit="1" customWidth="1"/>
    <col min="7957" max="8176" width="9" style="2"/>
    <col min="8177" max="8177" width="2.375" style="2" customWidth="1"/>
    <col min="8178" max="8179" width="13.25" style="2" bestFit="1" customWidth="1"/>
    <col min="8180" max="8182" width="11.125" style="2" bestFit="1" customWidth="1"/>
    <col min="8183" max="8183" width="13.25" style="2" bestFit="1" customWidth="1"/>
    <col min="8184" max="8184" width="11.125" style="2" bestFit="1" customWidth="1"/>
    <col min="8185" max="8185" width="9" style="2"/>
    <col min="8186" max="8187" width="11.125" style="2" bestFit="1" customWidth="1"/>
    <col min="8188" max="8188" width="9" style="2"/>
    <col min="8189" max="8200" width="11.125" style="2" bestFit="1" customWidth="1"/>
    <col min="8201" max="8203" width="9" style="2"/>
    <col min="8204" max="8211" width="11.125" style="2" bestFit="1" customWidth="1"/>
    <col min="8212" max="8212" width="9.625" style="2" bestFit="1" customWidth="1"/>
    <col min="8213" max="8432" width="9" style="2"/>
    <col min="8433" max="8433" width="2.375" style="2" customWidth="1"/>
    <col min="8434" max="8435" width="13.25" style="2" bestFit="1" customWidth="1"/>
    <col min="8436" max="8438" width="11.125" style="2" bestFit="1" customWidth="1"/>
    <col min="8439" max="8439" width="13.25" style="2" bestFit="1" customWidth="1"/>
    <col min="8440" max="8440" width="11.125" style="2" bestFit="1" customWidth="1"/>
    <col min="8441" max="8441" width="9" style="2"/>
    <col min="8442" max="8443" width="11.125" style="2" bestFit="1" customWidth="1"/>
    <col min="8444" max="8444" width="9" style="2"/>
    <col min="8445" max="8456" width="11.125" style="2" bestFit="1" customWidth="1"/>
    <col min="8457" max="8459" width="9" style="2"/>
    <col min="8460" max="8467" width="11.125" style="2" bestFit="1" customWidth="1"/>
    <col min="8468" max="8468" width="9.625" style="2" bestFit="1" customWidth="1"/>
    <col min="8469" max="8688" width="9" style="2"/>
    <col min="8689" max="8689" width="2.375" style="2" customWidth="1"/>
    <col min="8690" max="8691" width="13.25" style="2" bestFit="1" customWidth="1"/>
    <col min="8692" max="8694" width="11.125" style="2" bestFit="1" customWidth="1"/>
    <col min="8695" max="8695" width="13.25" style="2" bestFit="1" customWidth="1"/>
    <col min="8696" max="8696" width="11.125" style="2" bestFit="1" customWidth="1"/>
    <col min="8697" max="8697" width="9" style="2"/>
    <col min="8698" max="8699" width="11.125" style="2" bestFit="1" customWidth="1"/>
    <col min="8700" max="8700" width="9" style="2"/>
    <col min="8701" max="8712" width="11.125" style="2" bestFit="1" customWidth="1"/>
    <col min="8713" max="8715" width="9" style="2"/>
    <col min="8716" max="8723" width="11.125" style="2" bestFit="1" customWidth="1"/>
    <col min="8724" max="8724" width="9.625" style="2" bestFit="1" customWidth="1"/>
    <col min="8725" max="8944" width="9" style="2"/>
    <col min="8945" max="8945" width="2.375" style="2" customWidth="1"/>
    <col min="8946" max="8947" width="13.25" style="2" bestFit="1" customWidth="1"/>
    <col min="8948" max="8950" width="11.125" style="2" bestFit="1" customWidth="1"/>
    <col min="8951" max="8951" width="13.25" style="2" bestFit="1" customWidth="1"/>
    <col min="8952" max="8952" width="11.125" style="2" bestFit="1" customWidth="1"/>
    <col min="8953" max="8953" width="9" style="2"/>
    <col min="8954" max="8955" width="11.125" style="2" bestFit="1" customWidth="1"/>
    <col min="8956" max="8956" width="9" style="2"/>
    <col min="8957" max="8968" width="11.125" style="2" bestFit="1" customWidth="1"/>
    <col min="8969" max="8971" width="9" style="2"/>
    <col min="8972" max="8979" width="11.125" style="2" bestFit="1" customWidth="1"/>
    <col min="8980" max="8980" width="9.625" style="2" bestFit="1" customWidth="1"/>
    <col min="8981" max="9200" width="9" style="2"/>
    <col min="9201" max="9201" width="2.375" style="2" customWidth="1"/>
    <col min="9202" max="9203" width="13.25" style="2" bestFit="1" customWidth="1"/>
    <col min="9204" max="9206" width="11.125" style="2" bestFit="1" customWidth="1"/>
    <col min="9207" max="9207" width="13.25" style="2" bestFit="1" customWidth="1"/>
    <col min="9208" max="9208" width="11.125" style="2" bestFit="1" customWidth="1"/>
    <col min="9209" max="9209" width="9" style="2"/>
    <col min="9210" max="9211" width="11.125" style="2" bestFit="1" customWidth="1"/>
    <col min="9212" max="9212" width="9" style="2"/>
    <col min="9213" max="9224" width="11.125" style="2" bestFit="1" customWidth="1"/>
    <col min="9225" max="9227" width="9" style="2"/>
    <col min="9228" max="9235" width="11.125" style="2" bestFit="1" customWidth="1"/>
    <col min="9236" max="9236" width="9.625" style="2" bestFit="1" customWidth="1"/>
    <col min="9237" max="9456" width="9" style="2"/>
    <col min="9457" max="9457" width="2.375" style="2" customWidth="1"/>
    <col min="9458" max="9459" width="13.25" style="2" bestFit="1" customWidth="1"/>
    <col min="9460" max="9462" width="11.125" style="2" bestFit="1" customWidth="1"/>
    <col min="9463" max="9463" width="13.25" style="2" bestFit="1" customWidth="1"/>
    <col min="9464" max="9464" width="11.125" style="2" bestFit="1" customWidth="1"/>
    <col min="9465" max="9465" width="9" style="2"/>
    <col min="9466" max="9467" width="11.125" style="2" bestFit="1" customWidth="1"/>
    <col min="9468" max="9468" width="9" style="2"/>
    <col min="9469" max="9480" width="11.125" style="2" bestFit="1" customWidth="1"/>
    <col min="9481" max="9483" width="9" style="2"/>
    <col min="9484" max="9491" width="11.125" style="2" bestFit="1" customWidth="1"/>
    <col min="9492" max="9492" width="9.625" style="2" bestFit="1" customWidth="1"/>
    <col min="9493" max="9712" width="9" style="2"/>
    <col min="9713" max="9713" width="2.375" style="2" customWidth="1"/>
    <col min="9714" max="9715" width="13.25" style="2" bestFit="1" customWidth="1"/>
    <col min="9716" max="9718" width="11.125" style="2" bestFit="1" customWidth="1"/>
    <col min="9719" max="9719" width="13.25" style="2" bestFit="1" customWidth="1"/>
    <col min="9720" max="9720" width="11.125" style="2" bestFit="1" customWidth="1"/>
    <col min="9721" max="9721" width="9" style="2"/>
    <col min="9722" max="9723" width="11.125" style="2" bestFit="1" customWidth="1"/>
    <col min="9724" max="9724" width="9" style="2"/>
    <col min="9725" max="9736" width="11.125" style="2" bestFit="1" customWidth="1"/>
    <col min="9737" max="9739" width="9" style="2"/>
    <col min="9740" max="9747" width="11.125" style="2" bestFit="1" customWidth="1"/>
    <col min="9748" max="9748" width="9.625" style="2" bestFit="1" customWidth="1"/>
    <col min="9749" max="9968" width="9" style="2"/>
    <col min="9969" max="9969" width="2.375" style="2" customWidth="1"/>
    <col min="9970" max="9971" width="13.25" style="2" bestFit="1" customWidth="1"/>
    <col min="9972" max="9974" width="11.125" style="2" bestFit="1" customWidth="1"/>
    <col min="9975" max="9975" width="13.25" style="2" bestFit="1" customWidth="1"/>
    <col min="9976" max="9976" width="11.125" style="2" bestFit="1" customWidth="1"/>
    <col min="9977" max="9977" width="9" style="2"/>
    <col min="9978" max="9979" width="11.125" style="2" bestFit="1" customWidth="1"/>
    <col min="9980" max="9980" width="9" style="2"/>
    <col min="9981" max="9992" width="11.125" style="2" bestFit="1" customWidth="1"/>
    <col min="9993" max="9995" width="9" style="2"/>
    <col min="9996" max="10003" width="11.125" style="2" bestFit="1" customWidth="1"/>
    <col min="10004" max="10004" width="9.625" style="2" bestFit="1" customWidth="1"/>
    <col min="10005" max="10224" width="9" style="2"/>
    <col min="10225" max="10225" width="2.375" style="2" customWidth="1"/>
    <col min="10226" max="10227" width="13.25" style="2" bestFit="1" customWidth="1"/>
    <col min="10228" max="10230" width="11.125" style="2" bestFit="1" customWidth="1"/>
    <col min="10231" max="10231" width="13.25" style="2" bestFit="1" customWidth="1"/>
    <col min="10232" max="10232" width="11.125" style="2" bestFit="1" customWidth="1"/>
    <col min="10233" max="10233" width="9" style="2"/>
    <col min="10234" max="10235" width="11.125" style="2" bestFit="1" customWidth="1"/>
    <col min="10236" max="10236" width="9" style="2"/>
    <col min="10237" max="10248" width="11.125" style="2" bestFit="1" customWidth="1"/>
    <col min="10249" max="10251" width="9" style="2"/>
    <col min="10252" max="10259" width="11.125" style="2" bestFit="1" customWidth="1"/>
    <col min="10260" max="10260" width="9.625" style="2" bestFit="1" customWidth="1"/>
    <col min="10261" max="10480" width="9" style="2"/>
    <col min="10481" max="10481" width="2.375" style="2" customWidth="1"/>
    <col min="10482" max="10483" width="13.25" style="2" bestFit="1" customWidth="1"/>
    <col min="10484" max="10486" width="11.125" style="2" bestFit="1" customWidth="1"/>
    <col min="10487" max="10487" width="13.25" style="2" bestFit="1" customWidth="1"/>
    <col min="10488" max="10488" width="11.125" style="2" bestFit="1" customWidth="1"/>
    <col min="10489" max="10489" width="9" style="2"/>
    <col min="10490" max="10491" width="11.125" style="2" bestFit="1" customWidth="1"/>
    <col min="10492" max="10492" width="9" style="2"/>
    <col min="10493" max="10504" width="11.125" style="2" bestFit="1" customWidth="1"/>
    <col min="10505" max="10507" width="9" style="2"/>
    <col min="10508" max="10515" width="11.125" style="2" bestFit="1" customWidth="1"/>
    <col min="10516" max="10516" width="9.625" style="2" bestFit="1" customWidth="1"/>
    <col min="10517" max="10736" width="9" style="2"/>
    <col min="10737" max="10737" width="2.375" style="2" customWidth="1"/>
    <col min="10738" max="10739" width="13.25" style="2" bestFit="1" customWidth="1"/>
    <col min="10740" max="10742" width="11.125" style="2" bestFit="1" customWidth="1"/>
    <col min="10743" max="10743" width="13.25" style="2" bestFit="1" customWidth="1"/>
    <col min="10744" max="10744" width="11.125" style="2" bestFit="1" customWidth="1"/>
    <col min="10745" max="10745" width="9" style="2"/>
    <col min="10746" max="10747" width="11.125" style="2" bestFit="1" customWidth="1"/>
    <col min="10748" max="10748" width="9" style="2"/>
    <col min="10749" max="10760" width="11.125" style="2" bestFit="1" customWidth="1"/>
    <col min="10761" max="10763" width="9" style="2"/>
    <col min="10764" max="10771" width="11.125" style="2" bestFit="1" customWidth="1"/>
    <col min="10772" max="10772" width="9.625" style="2" bestFit="1" customWidth="1"/>
    <col min="10773" max="10992" width="9" style="2"/>
    <col min="10993" max="10993" width="2.375" style="2" customWidth="1"/>
    <col min="10994" max="10995" width="13.25" style="2" bestFit="1" customWidth="1"/>
    <col min="10996" max="10998" width="11.125" style="2" bestFit="1" customWidth="1"/>
    <col min="10999" max="10999" width="13.25" style="2" bestFit="1" customWidth="1"/>
    <col min="11000" max="11000" width="11.125" style="2" bestFit="1" customWidth="1"/>
    <col min="11001" max="11001" width="9" style="2"/>
    <col min="11002" max="11003" width="11.125" style="2" bestFit="1" customWidth="1"/>
    <col min="11004" max="11004" width="9" style="2"/>
    <col min="11005" max="11016" width="11.125" style="2" bestFit="1" customWidth="1"/>
    <col min="11017" max="11019" width="9" style="2"/>
    <col min="11020" max="11027" width="11.125" style="2" bestFit="1" customWidth="1"/>
    <col min="11028" max="11028" width="9.625" style="2" bestFit="1" customWidth="1"/>
    <col min="11029" max="11248" width="9" style="2"/>
    <col min="11249" max="11249" width="2.375" style="2" customWidth="1"/>
    <col min="11250" max="11251" width="13.25" style="2" bestFit="1" customWidth="1"/>
    <col min="11252" max="11254" width="11.125" style="2" bestFit="1" customWidth="1"/>
    <col min="11255" max="11255" width="13.25" style="2" bestFit="1" customWidth="1"/>
    <col min="11256" max="11256" width="11.125" style="2" bestFit="1" customWidth="1"/>
    <col min="11257" max="11257" width="9" style="2"/>
    <col min="11258" max="11259" width="11.125" style="2" bestFit="1" customWidth="1"/>
    <col min="11260" max="11260" width="9" style="2"/>
    <col min="11261" max="11272" width="11.125" style="2" bestFit="1" customWidth="1"/>
    <col min="11273" max="11275" width="9" style="2"/>
    <col min="11276" max="11283" width="11.125" style="2" bestFit="1" customWidth="1"/>
    <col min="11284" max="11284" width="9.625" style="2" bestFit="1" customWidth="1"/>
    <col min="11285" max="11504" width="9" style="2"/>
    <col min="11505" max="11505" width="2.375" style="2" customWidth="1"/>
    <col min="11506" max="11507" width="13.25" style="2" bestFit="1" customWidth="1"/>
    <col min="11508" max="11510" width="11.125" style="2" bestFit="1" customWidth="1"/>
    <col min="11511" max="11511" width="13.25" style="2" bestFit="1" customWidth="1"/>
    <col min="11512" max="11512" width="11.125" style="2" bestFit="1" customWidth="1"/>
    <col min="11513" max="11513" width="9" style="2"/>
    <col min="11514" max="11515" width="11.125" style="2" bestFit="1" customWidth="1"/>
    <col min="11516" max="11516" width="9" style="2"/>
    <col min="11517" max="11528" width="11.125" style="2" bestFit="1" customWidth="1"/>
    <col min="11529" max="11531" width="9" style="2"/>
    <col min="11532" max="11539" width="11.125" style="2" bestFit="1" customWidth="1"/>
    <col min="11540" max="11540" width="9.625" style="2" bestFit="1" customWidth="1"/>
    <col min="11541" max="11760" width="9" style="2"/>
    <col min="11761" max="11761" width="2.375" style="2" customWidth="1"/>
    <col min="11762" max="11763" width="13.25" style="2" bestFit="1" customWidth="1"/>
    <col min="11764" max="11766" width="11.125" style="2" bestFit="1" customWidth="1"/>
    <col min="11767" max="11767" width="13.25" style="2" bestFit="1" customWidth="1"/>
    <col min="11768" max="11768" width="11.125" style="2" bestFit="1" customWidth="1"/>
    <col min="11769" max="11769" width="9" style="2"/>
    <col min="11770" max="11771" width="11.125" style="2" bestFit="1" customWidth="1"/>
    <col min="11772" max="11772" width="9" style="2"/>
    <col min="11773" max="11784" width="11.125" style="2" bestFit="1" customWidth="1"/>
    <col min="11785" max="11787" width="9" style="2"/>
    <col min="11788" max="11795" width="11.125" style="2" bestFit="1" customWidth="1"/>
    <col min="11796" max="11796" width="9.625" style="2" bestFit="1" customWidth="1"/>
    <col min="11797" max="12016" width="9" style="2"/>
    <col min="12017" max="12017" width="2.375" style="2" customWidth="1"/>
    <col min="12018" max="12019" width="13.25" style="2" bestFit="1" customWidth="1"/>
    <col min="12020" max="12022" width="11.125" style="2" bestFit="1" customWidth="1"/>
    <col min="12023" max="12023" width="13.25" style="2" bestFit="1" customWidth="1"/>
    <col min="12024" max="12024" width="11.125" style="2" bestFit="1" customWidth="1"/>
    <col min="12025" max="12025" width="9" style="2"/>
    <col min="12026" max="12027" width="11.125" style="2" bestFit="1" customWidth="1"/>
    <col min="12028" max="12028" width="9" style="2"/>
    <col min="12029" max="12040" width="11.125" style="2" bestFit="1" customWidth="1"/>
    <col min="12041" max="12043" width="9" style="2"/>
    <col min="12044" max="12051" width="11.125" style="2" bestFit="1" customWidth="1"/>
    <col min="12052" max="12052" width="9.625" style="2" bestFit="1" customWidth="1"/>
    <col min="12053" max="12272" width="9" style="2"/>
    <col min="12273" max="12273" width="2.375" style="2" customWidth="1"/>
    <col min="12274" max="12275" width="13.25" style="2" bestFit="1" customWidth="1"/>
    <col min="12276" max="12278" width="11.125" style="2" bestFit="1" customWidth="1"/>
    <col min="12279" max="12279" width="13.25" style="2" bestFit="1" customWidth="1"/>
    <col min="12280" max="12280" width="11.125" style="2" bestFit="1" customWidth="1"/>
    <col min="12281" max="12281" width="9" style="2"/>
    <col min="12282" max="12283" width="11.125" style="2" bestFit="1" customWidth="1"/>
    <col min="12284" max="12284" width="9" style="2"/>
    <col min="12285" max="12296" width="11.125" style="2" bestFit="1" customWidth="1"/>
    <col min="12297" max="12299" width="9" style="2"/>
    <col min="12300" max="12307" width="11.125" style="2" bestFit="1" customWidth="1"/>
    <col min="12308" max="12308" width="9.625" style="2" bestFit="1" customWidth="1"/>
    <col min="12309" max="12528" width="9" style="2"/>
    <col min="12529" max="12529" width="2.375" style="2" customWidth="1"/>
    <col min="12530" max="12531" width="13.25" style="2" bestFit="1" customWidth="1"/>
    <col min="12532" max="12534" width="11.125" style="2" bestFit="1" customWidth="1"/>
    <col min="12535" max="12535" width="13.25" style="2" bestFit="1" customWidth="1"/>
    <col min="12536" max="12536" width="11.125" style="2" bestFit="1" customWidth="1"/>
    <col min="12537" max="12537" width="9" style="2"/>
    <col min="12538" max="12539" width="11.125" style="2" bestFit="1" customWidth="1"/>
    <col min="12540" max="12540" width="9" style="2"/>
    <col min="12541" max="12552" width="11.125" style="2" bestFit="1" customWidth="1"/>
    <col min="12553" max="12555" width="9" style="2"/>
    <col min="12556" max="12563" width="11.125" style="2" bestFit="1" customWidth="1"/>
    <col min="12564" max="12564" width="9.625" style="2" bestFit="1" customWidth="1"/>
    <col min="12565" max="12784" width="9" style="2"/>
    <col min="12785" max="12785" width="2.375" style="2" customWidth="1"/>
    <col min="12786" max="12787" width="13.25" style="2" bestFit="1" customWidth="1"/>
    <col min="12788" max="12790" width="11.125" style="2" bestFit="1" customWidth="1"/>
    <col min="12791" max="12791" width="13.25" style="2" bestFit="1" customWidth="1"/>
    <col min="12792" max="12792" width="11.125" style="2" bestFit="1" customWidth="1"/>
    <col min="12793" max="12793" width="9" style="2"/>
    <col min="12794" max="12795" width="11.125" style="2" bestFit="1" customWidth="1"/>
    <col min="12796" max="12796" width="9" style="2"/>
    <col min="12797" max="12808" width="11.125" style="2" bestFit="1" customWidth="1"/>
    <col min="12809" max="12811" width="9" style="2"/>
    <col min="12812" max="12819" width="11.125" style="2" bestFit="1" customWidth="1"/>
    <col min="12820" max="12820" width="9.625" style="2" bestFit="1" customWidth="1"/>
    <col min="12821" max="13040" width="9" style="2"/>
    <col min="13041" max="13041" width="2.375" style="2" customWidth="1"/>
    <col min="13042" max="13043" width="13.25" style="2" bestFit="1" customWidth="1"/>
    <col min="13044" max="13046" width="11.125" style="2" bestFit="1" customWidth="1"/>
    <col min="13047" max="13047" width="13.25" style="2" bestFit="1" customWidth="1"/>
    <col min="13048" max="13048" width="11.125" style="2" bestFit="1" customWidth="1"/>
    <col min="13049" max="13049" width="9" style="2"/>
    <col min="13050" max="13051" width="11.125" style="2" bestFit="1" customWidth="1"/>
    <col min="13052" max="13052" width="9" style="2"/>
    <col min="13053" max="13064" width="11.125" style="2" bestFit="1" customWidth="1"/>
    <col min="13065" max="13067" width="9" style="2"/>
    <col min="13068" max="13075" width="11.125" style="2" bestFit="1" customWidth="1"/>
    <col min="13076" max="13076" width="9.625" style="2" bestFit="1" customWidth="1"/>
    <col min="13077" max="13296" width="9" style="2"/>
    <col min="13297" max="13297" width="2.375" style="2" customWidth="1"/>
    <col min="13298" max="13299" width="13.25" style="2" bestFit="1" customWidth="1"/>
    <col min="13300" max="13302" width="11.125" style="2" bestFit="1" customWidth="1"/>
    <col min="13303" max="13303" width="13.25" style="2" bestFit="1" customWidth="1"/>
    <col min="13304" max="13304" width="11.125" style="2" bestFit="1" customWidth="1"/>
    <col min="13305" max="13305" width="9" style="2"/>
    <col min="13306" max="13307" width="11.125" style="2" bestFit="1" customWidth="1"/>
    <col min="13308" max="13308" width="9" style="2"/>
    <col min="13309" max="13320" width="11.125" style="2" bestFit="1" customWidth="1"/>
    <col min="13321" max="13323" width="9" style="2"/>
    <col min="13324" max="13331" width="11.125" style="2" bestFit="1" customWidth="1"/>
    <col min="13332" max="13332" width="9.625" style="2" bestFit="1" customWidth="1"/>
    <col min="13333" max="13552" width="9" style="2"/>
    <col min="13553" max="13553" width="2.375" style="2" customWidth="1"/>
    <col min="13554" max="13555" width="13.25" style="2" bestFit="1" customWidth="1"/>
    <col min="13556" max="13558" width="11.125" style="2" bestFit="1" customWidth="1"/>
    <col min="13559" max="13559" width="13.25" style="2" bestFit="1" customWidth="1"/>
    <col min="13560" max="13560" width="11.125" style="2" bestFit="1" customWidth="1"/>
    <col min="13561" max="13561" width="9" style="2"/>
    <col min="13562" max="13563" width="11.125" style="2" bestFit="1" customWidth="1"/>
    <col min="13564" max="13564" width="9" style="2"/>
    <col min="13565" max="13576" width="11.125" style="2" bestFit="1" customWidth="1"/>
    <col min="13577" max="13579" width="9" style="2"/>
    <col min="13580" max="13587" width="11.125" style="2" bestFit="1" customWidth="1"/>
    <col min="13588" max="13588" width="9.625" style="2" bestFit="1" customWidth="1"/>
    <col min="13589" max="13808" width="9" style="2"/>
    <col min="13809" max="13809" width="2.375" style="2" customWidth="1"/>
    <col min="13810" max="13811" width="13.25" style="2" bestFit="1" customWidth="1"/>
    <col min="13812" max="13814" width="11.125" style="2" bestFit="1" customWidth="1"/>
    <col min="13815" max="13815" width="13.25" style="2" bestFit="1" customWidth="1"/>
    <col min="13816" max="13816" width="11.125" style="2" bestFit="1" customWidth="1"/>
    <col min="13817" max="13817" width="9" style="2"/>
    <col min="13818" max="13819" width="11.125" style="2" bestFit="1" customWidth="1"/>
    <col min="13820" max="13820" width="9" style="2"/>
    <col min="13821" max="13832" width="11.125" style="2" bestFit="1" customWidth="1"/>
    <col min="13833" max="13835" width="9" style="2"/>
    <col min="13836" max="13843" width="11.125" style="2" bestFit="1" customWidth="1"/>
    <col min="13844" max="13844" width="9.625" style="2" bestFit="1" customWidth="1"/>
    <col min="13845" max="14064" width="9" style="2"/>
    <col min="14065" max="14065" width="2.375" style="2" customWidth="1"/>
    <col min="14066" max="14067" width="13.25" style="2" bestFit="1" customWidth="1"/>
    <col min="14068" max="14070" width="11.125" style="2" bestFit="1" customWidth="1"/>
    <col min="14071" max="14071" width="13.25" style="2" bestFit="1" customWidth="1"/>
    <col min="14072" max="14072" width="11.125" style="2" bestFit="1" customWidth="1"/>
    <col min="14073" max="14073" width="9" style="2"/>
    <col min="14074" max="14075" width="11.125" style="2" bestFit="1" customWidth="1"/>
    <col min="14076" max="14076" width="9" style="2"/>
    <col min="14077" max="14088" width="11.125" style="2" bestFit="1" customWidth="1"/>
    <col min="14089" max="14091" width="9" style="2"/>
    <col min="14092" max="14099" width="11.125" style="2" bestFit="1" customWidth="1"/>
    <col min="14100" max="14100" width="9.625" style="2" bestFit="1" customWidth="1"/>
    <col min="14101" max="14320" width="9" style="2"/>
    <col min="14321" max="14321" width="2.375" style="2" customWidth="1"/>
    <col min="14322" max="14323" width="13.25" style="2" bestFit="1" customWidth="1"/>
    <col min="14324" max="14326" width="11.125" style="2" bestFit="1" customWidth="1"/>
    <col min="14327" max="14327" width="13.25" style="2" bestFit="1" customWidth="1"/>
    <col min="14328" max="14328" width="11.125" style="2" bestFit="1" customWidth="1"/>
    <col min="14329" max="14329" width="9" style="2"/>
    <col min="14330" max="14331" width="11.125" style="2" bestFit="1" customWidth="1"/>
    <col min="14332" max="14332" width="9" style="2"/>
    <col min="14333" max="14344" width="11.125" style="2" bestFit="1" customWidth="1"/>
    <col min="14345" max="14347" width="9" style="2"/>
    <col min="14348" max="14355" width="11.125" style="2" bestFit="1" customWidth="1"/>
    <col min="14356" max="14356" width="9.625" style="2" bestFit="1" customWidth="1"/>
    <col min="14357" max="14576" width="9" style="2"/>
    <col min="14577" max="14577" width="2.375" style="2" customWidth="1"/>
    <col min="14578" max="14579" width="13.25" style="2" bestFit="1" customWidth="1"/>
    <col min="14580" max="14582" width="11.125" style="2" bestFit="1" customWidth="1"/>
    <col min="14583" max="14583" width="13.25" style="2" bestFit="1" customWidth="1"/>
    <col min="14584" max="14584" width="11.125" style="2" bestFit="1" customWidth="1"/>
    <col min="14585" max="14585" width="9" style="2"/>
    <col min="14586" max="14587" width="11.125" style="2" bestFit="1" customWidth="1"/>
    <col min="14588" max="14588" width="9" style="2"/>
    <col min="14589" max="14600" width="11.125" style="2" bestFit="1" customWidth="1"/>
    <col min="14601" max="14603" width="9" style="2"/>
    <col min="14604" max="14611" width="11.125" style="2" bestFit="1" customWidth="1"/>
    <col min="14612" max="14612" width="9.625" style="2" bestFit="1" customWidth="1"/>
    <col min="14613" max="14832" width="9" style="2"/>
    <col min="14833" max="14833" width="2.375" style="2" customWidth="1"/>
    <col min="14834" max="14835" width="13.25" style="2" bestFit="1" customWidth="1"/>
    <col min="14836" max="14838" width="11.125" style="2" bestFit="1" customWidth="1"/>
    <col min="14839" max="14839" width="13.25" style="2" bestFit="1" customWidth="1"/>
    <col min="14840" max="14840" width="11.125" style="2" bestFit="1" customWidth="1"/>
    <col min="14841" max="14841" width="9" style="2"/>
    <col min="14842" max="14843" width="11.125" style="2" bestFit="1" customWidth="1"/>
    <col min="14844" max="14844" width="9" style="2"/>
    <col min="14845" max="14856" width="11.125" style="2" bestFit="1" customWidth="1"/>
    <col min="14857" max="14859" width="9" style="2"/>
    <col min="14860" max="14867" width="11.125" style="2" bestFit="1" customWidth="1"/>
    <col min="14868" max="14868" width="9.625" style="2" bestFit="1" customWidth="1"/>
    <col min="14869" max="15088" width="9" style="2"/>
    <col min="15089" max="15089" width="2.375" style="2" customWidth="1"/>
    <col min="15090" max="15091" width="13.25" style="2" bestFit="1" customWidth="1"/>
    <col min="15092" max="15094" width="11.125" style="2" bestFit="1" customWidth="1"/>
    <col min="15095" max="15095" width="13.25" style="2" bestFit="1" customWidth="1"/>
    <col min="15096" max="15096" width="11.125" style="2" bestFit="1" customWidth="1"/>
    <col min="15097" max="15097" width="9" style="2"/>
    <col min="15098" max="15099" width="11.125" style="2" bestFit="1" customWidth="1"/>
    <col min="15100" max="15100" width="9" style="2"/>
    <col min="15101" max="15112" width="11.125" style="2" bestFit="1" customWidth="1"/>
    <col min="15113" max="15115" width="9" style="2"/>
    <col min="15116" max="15123" width="11.125" style="2" bestFit="1" customWidth="1"/>
    <col min="15124" max="15124" width="9.625" style="2" bestFit="1" customWidth="1"/>
    <col min="15125" max="15344" width="9" style="2"/>
    <col min="15345" max="15345" width="2.375" style="2" customWidth="1"/>
    <col min="15346" max="15347" width="13.25" style="2" bestFit="1" customWidth="1"/>
    <col min="15348" max="15350" width="11.125" style="2" bestFit="1" customWidth="1"/>
    <col min="15351" max="15351" width="13.25" style="2" bestFit="1" customWidth="1"/>
    <col min="15352" max="15352" width="11.125" style="2" bestFit="1" customWidth="1"/>
    <col min="15353" max="15353" width="9" style="2"/>
    <col min="15354" max="15355" width="11.125" style="2" bestFit="1" customWidth="1"/>
    <col min="15356" max="15356" width="9" style="2"/>
    <col min="15357" max="15368" width="11.125" style="2" bestFit="1" customWidth="1"/>
    <col min="15369" max="15371" width="9" style="2"/>
    <col min="15372" max="15379" width="11.125" style="2" bestFit="1" customWidth="1"/>
    <col min="15380" max="15380" width="9.625" style="2" bestFit="1" customWidth="1"/>
    <col min="15381" max="15600" width="9" style="2"/>
    <col min="15601" max="15601" width="2.375" style="2" customWidth="1"/>
    <col min="15602" max="15603" width="13.25" style="2" bestFit="1" customWidth="1"/>
    <col min="15604" max="15606" width="11.125" style="2" bestFit="1" customWidth="1"/>
    <col min="15607" max="15607" width="13.25" style="2" bestFit="1" customWidth="1"/>
    <col min="15608" max="15608" width="11.125" style="2" bestFit="1" customWidth="1"/>
    <col min="15609" max="15609" width="9" style="2"/>
    <col min="15610" max="15611" width="11.125" style="2" bestFit="1" customWidth="1"/>
    <col min="15612" max="15612" width="9" style="2"/>
    <col min="15613" max="15624" width="11.125" style="2" bestFit="1" customWidth="1"/>
    <col min="15625" max="15627" width="9" style="2"/>
    <col min="15628" max="15635" width="11.125" style="2" bestFit="1" customWidth="1"/>
    <col min="15636" max="15636" width="9.625" style="2" bestFit="1" customWidth="1"/>
    <col min="15637" max="15856" width="9" style="2"/>
    <col min="15857" max="15857" width="2.375" style="2" customWidth="1"/>
    <col min="15858" max="15859" width="13.25" style="2" bestFit="1" customWidth="1"/>
    <col min="15860" max="15862" width="11.125" style="2" bestFit="1" customWidth="1"/>
    <col min="15863" max="15863" width="13.25" style="2" bestFit="1" customWidth="1"/>
    <col min="15864" max="15864" width="11.125" style="2" bestFit="1" customWidth="1"/>
    <col min="15865" max="15865" width="9" style="2"/>
    <col min="15866" max="15867" width="11.125" style="2" bestFit="1" customWidth="1"/>
    <col min="15868" max="15868" width="9" style="2"/>
    <col min="15869" max="15880" width="11.125" style="2" bestFit="1" customWidth="1"/>
    <col min="15881" max="15883" width="9" style="2"/>
    <col min="15884" max="15891" width="11.125" style="2" bestFit="1" customWidth="1"/>
    <col min="15892" max="15892" width="9.625" style="2" bestFit="1" customWidth="1"/>
    <col min="15893" max="16112" width="9" style="2"/>
    <col min="16113" max="16113" width="2.375" style="2" customWidth="1"/>
    <col min="16114" max="16115" width="13.25" style="2" bestFit="1" customWidth="1"/>
    <col min="16116" max="16118" width="11.125" style="2" bestFit="1" customWidth="1"/>
    <col min="16119" max="16119" width="13.25" style="2" bestFit="1" customWidth="1"/>
    <col min="16120" max="16120" width="11.125" style="2" bestFit="1" customWidth="1"/>
    <col min="16121" max="16121" width="9" style="2"/>
    <col min="16122" max="16123" width="11.125" style="2" bestFit="1" customWidth="1"/>
    <col min="16124" max="16124" width="9" style="2"/>
    <col min="16125" max="16136" width="11.125" style="2" bestFit="1" customWidth="1"/>
    <col min="16137" max="16139" width="9" style="2"/>
    <col min="16140" max="16147" width="11.125" style="2" bestFit="1" customWidth="1"/>
    <col min="16148" max="16148" width="9.625" style="2" bestFit="1" customWidth="1"/>
    <col min="16149" max="16384" width="9" style="2"/>
  </cols>
  <sheetData>
    <row r="1" spans="1:22">
      <c r="A1" s="1" t="s">
        <v>0</v>
      </c>
    </row>
    <row r="2" spans="1:22">
      <c r="A2" s="1" t="s">
        <v>1</v>
      </c>
    </row>
    <row r="3" spans="1:22" ht="19.5" thickBot="1">
      <c r="A3" s="1" t="s">
        <v>118</v>
      </c>
    </row>
    <row r="4" spans="1:22">
      <c r="B4" s="3"/>
      <c r="C4" s="6" t="s">
        <v>3</v>
      </c>
      <c r="D4" s="6" t="s">
        <v>4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18</v>
      </c>
      <c r="P4" s="6" t="s">
        <v>19</v>
      </c>
      <c r="Q4" s="6" t="s">
        <v>20</v>
      </c>
      <c r="R4" s="6" t="s">
        <v>21</v>
      </c>
      <c r="S4" s="32" t="s">
        <v>22</v>
      </c>
      <c r="T4" s="66" t="s">
        <v>119</v>
      </c>
    </row>
    <row r="5" spans="1:22" ht="19.5" thickBot="1">
      <c r="A5" s="80"/>
      <c r="B5" s="19" t="s">
        <v>30</v>
      </c>
      <c r="C5" s="20" t="s">
        <v>31</v>
      </c>
      <c r="D5" s="20" t="s">
        <v>32</v>
      </c>
      <c r="E5" s="20" t="s">
        <v>36</v>
      </c>
      <c r="F5" s="20" t="s">
        <v>37</v>
      </c>
      <c r="G5" s="20" t="s">
        <v>38</v>
      </c>
      <c r="H5" s="20" t="s">
        <v>39</v>
      </c>
      <c r="I5" s="20" t="s">
        <v>40</v>
      </c>
      <c r="J5" s="20" t="s">
        <v>41</v>
      </c>
      <c r="K5" s="20" t="s">
        <v>42</v>
      </c>
      <c r="L5" s="20" t="s">
        <v>43</v>
      </c>
      <c r="M5" s="20" t="s">
        <v>44</v>
      </c>
      <c r="N5" s="20" t="s">
        <v>45</v>
      </c>
      <c r="O5" s="20" t="s">
        <v>46</v>
      </c>
      <c r="P5" s="20" t="s">
        <v>47</v>
      </c>
      <c r="Q5" s="20" t="s">
        <v>48</v>
      </c>
      <c r="R5" s="20" t="s">
        <v>49</v>
      </c>
      <c r="S5" s="33" t="s">
        <v>50</v>
      </c>
      <c r="T5" s="67" t="s">
        <v>120</v>
      </c>
    </row>
    <row r="6" spans="1:22">
      <c r="A6" s="1" t="s">
        <v>2</v>
      </c>
      <c r="B6" s="16" t="s">
        <v>59</v>
      </c>
      <c r="C6" s="17">
        <v>18</v>
      </c>
      <c r="D6" s="17">
        <v>21</v>
      </c>
      <c r="E6" s="17">
        <v>18</v>
      </c>
      <c r="F6" s="17">
        <v>20</v>
      </c>
      <c r="G6" s="17">
        <v>21</v>
      </c>
      <c r="H6" s="17">
        <v>21</v>
      </c>
      <c r="I6" s="17">
        <v>19</v>
      </c>
      <c r="J6" s="17">
        <v>21</v>
      </c>
      <c r="K6" s="17">
        <v>21</v>
      </c>
      <c r="L6" s="17">
        <v>21</v>
      </c>
      <c r="M6" s="17">
        <v>0</v>
      </c>
      <c r="N6" s="17">
        <v>18</v>
      </c>
      <c r="O6" s="17">
        <v>21</v>
      </c>
      <c r="P6" s="17">
        <v>22</v>
      </c>
      <c r="Q6" s="17">
        <v>21</v>
      </c>
      <c r="R6" s="17">
        <v>17</v>
      </c>
      <c r="S6" s="34">
        <v>20</v>
      </c>
      <c r="T6" s="68">
        <f>SUM(C6:S6)</f>
        <v>320</v>
      </c>
      <c r="V6"/>
    </row>
    <row r="7" spans="1:22">
      <c r="A7" s="1" t="s">
        <v>2</v>
      </c>
      <c r="B7" s="4" t="s">
        <v>60</v>
      </c>
      <c r="C7" s="8">
        <v>2</v>
      </c>
      <c r="D7" s="8">
        <v>2</v>
      </c>
      <c r="E7" s="8">
        <v>3</v>
      </c>
      <c r="F7" s="8">
        <v>2</v>
      </c>
      <c r="G7" s="8">
        <v>1</v>
      </c>
      <c r="H7" s="8">
        <v>2</v>
      </c>
      <c r="I7" s="8">
        <v>2</v>
      </c>
      <c r="J7" s="8">
        <v>3</v>
      </c>
      <c r="K7" s="8">
        <v>3</v>
      </c>
      <c r="L7" s="8">
        <v>2</v>
      </c>
      <c r="M7" s="8">
        <v>0</v>
      </c>
      <c r="N7" s="8">
        <v>4</v>
      </c>
      <c r="O7" s="8">
        <v>2</v>
      </c>
      <c r="P7" s="8">
        <v>2</v>
      </c>
      <c r="Q7" s="8">
        <v>3</v>
      </c>
      <c r="R7" s="8">
        <v>3</v>
      </c>
      <c r="S7" s="35">
        <v>3</v>
      </c>
      <c r="T7" s="69">
        <f>SUM(C7:S7)</f>
        <v>39</v>
      </c>
      <c r="V7"/>
    </row>
    <row r="8" spans="1:22">
      <c r="A8" s="1" t="s">
        <v>2</v>
      </c>
      <c r="B8" s="4" t="s">
        <v>61</v>
      </c>
      <c r="C8" s="8">
        <v>5</v>
      </c>
      <c r="D8" s="8">
        <v>4</v>
      </c>
      <c r="E8" s="8">
        <v>2</v>
      </c>
      <c r="F8" s="8">
        <v>2</v>
      </c>
      <c r="G8" s="8">
        <v>1</v>
      </c>
      <c r="H8" s="8">
        <v>1</v>
      </c>
      <c r="I8" s="8">
        <v>1</v>
      </c>
      <c r="J8" s="8">
        <v>0</v>
      </c>
      <c r="K8" s="8">
        <v>1</v>
      </c>
      <c r="L8" s="8">
        <v>1</v>
      </c>
      <c r="M8" s="8">
        <v>0</v>
      </c>
      <c r="N8" s="8">
        <v>2</v>
      </c>
      <c r="O8" s="8">
        <v>3</v>
      </c>
      <c r="P8" s="8">
        <v>1</v>
      </c>
      <c r="Q8" s="8">
        <v>0</v>
      </c>
      <c r="R8" s="8">
        <v>4</v>
      </c>
      <c r="S8" s="35">
        <v>3</v>
      </c>
      <c r="T8" s="69">
        <f t="shared" ref="T8:T10" si="0">SUM(C8:S8)</f>
        <v>31</v>
      </c>
      <c r="V8"/>
    </row>
    <row r="9" spans="1:22">
      <c r="A9" s="1" t="s">
        <v>2</v>
      </c>
      <c r="B9" s="4" t="s">
        <v>62</v>
      </c>
      <c r="C9" s="8">
        <v>0</v>
      </c>
      <c r="D9" s="8">
        <v>0</v>
      </c>
      <c r="E9" s="8">
        <v>1</v>
      </c>
      <c r="F9" s="8">
        <v>1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3</v>
      </c>
      <c r="O9" s="8">
        <v>1</v>
      </c>
      <c r="P9" s="8">
        <v>0</v>
      </c>
      <c r="Q9" s="8">
        <v>0</v>
      </c>
      <c r="R9" s="8">
        <v>4</v>
      </c>
      <c r="S9" s="35">
        <v>2</v>
      </c>
      <c r="T9" s="69">
        <f t="shared" si="0"/>
        <v>12</v>
      </c>
      <c r="V9"/>
    </row>
    <row r="10" spans="1:22">
      <c r="A10" s="1" t="s">
        <v>2</v>
      </c>
      <c r="B10" s="4" t="s">
        <v>63</v>
      </c>
      <c r="C10" s="8">
        <v>4</v>
      </c>
      <c r="D10" s="8">
        <v>1</v>
      </c>
      <c r="E10" s="8">
        <v>3</v>
      </c>
      <c r="F10" s="8">
        <v>1</v>
      </c>
      <c r="G10" s="8">
        <v>1</v>
      </c>
      <c r="H10" s="8">
        <v>1</v>
      </c>
      <c r="I10" s="8">
        <v>3</v>
      </c>
      <c r="J10" s="8">
        <v>1</v>
      </c>
      <c r="K10" s="8">
        <v>1</v>
      </c>
      <c r="L10" s="8">
        <v>1</v>
      </c>
      <c r="M10" s="8">
        <v>0</v>
      </c>
      <c r="N10" s="8">
        <v>1</v>
      </c>
      <c r="O10" s="8">
        <v>0</v>
      </c>
      <c r="P10" s="8">
        <v>0</v>
      </c>
      <c r="Q10" s="8">
        <v>1</v>
      </c>
      <c r="R10" s="8">
        <v>1</v>
      </c>
      <c r="S10" s="35">
        <v>0</v>
      </c>
      <c r="T10" s="69">
        <f t="shared" si="0"/>
        <v>20</v>
      </c>
      <c r="V10"/>
    </row>
    <row r="11" spans="1:22">
      <c r="A11" s="1" t="s">
        <v>2</v>
      </c>
      <c r="B11" s="4" t="s">
        <v>64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35">
        <v>0</v>
      </c>
      <c r="T11" s="69"/>
      <c r="V11"/>
    </row>
    <row r="12" spans="1:22">
      <c r="A12" s="1" t="s">
        <v>2</v>
      </c>
      <c r="B12" s="4" t="s">
        <v>65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35">
        <v>0</v>
      </c>
      <c r="T12" s="69"/>
      <c r="V12"/>
    </row>
    <row r="13" spans="1:22">
      <c r="A13" s="1" t="s">
        <v>2</v>
      </c>
      <c r="B13" s="4" t="s">
        <v>66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35">
        <v>0</v>
      </c>
      <c r="T13" s="69"/>
      <c r="V13"/>
    </row>
    <row r="14" spans="1:22">
      <c r="A14" s="1" t="s">
        <v>2</v>
      </c>
      <c r="B14" s="4" t="s">
        <v>67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36">
        <v>0</v>
      </c>
      <c r="T14" s="70"/>
      <c r="V14"/>
    </row>
    <row r="15" spans="1:22">
      <c r="A15" s="1" t="s">
        <v>2</v>
      </c>
      <c r="B15" s="4" t="s">
        <v>68</v>
      </c>
      <c r="C15" s="10">
        <v>1.375</v>
      </c>
      <c r="D15" s="10">
        <v>2.7916666666666665</v>
      </c>
      <c r="E15" s="10">
        <v>0.79166666666666663</v>
      </c>
      <c r="F15" s="10">
        <v>2.625</v>
      </c>
      <c r="G15" s="10">
        <v>1.2083333333333333</v>
      </c>
      <c r="H15" s="10">
        <v>3.375</v>
      </c>
      <c r="I15" s="10">
        <v>2.25</v>
      </c>
      <c r="J15" s="10">
        <v>2.5</v>
      </c>
      <c r="K15" s="10">
        <v>2.1666666666666665</v>
      </c>
      <c r="L15" s="10">
        <v>1.25</v>
      </c>
      <c r="M15" s="10">
        <v>0</v>
      </c>
      <c r="N15" s="10">
        <v>2</v>
      </c>
      <c r="O15" s="10">
        <v>1.5833333333333335</v>
      </c>
      <c r="P15" s="10">
        <v>3.4166666666666665</v>
      </c>
      <c r="Q15" s="10">
        <v>3.5</v>
      </c>
      <c r="R15" s="10">
        <v>0.95833333333333337</v>
      </c>
      <c r="S15" s="36">
        <v>1.8333333333333335</v>
      </c>
      <c r="T15" s="70">
        <f>SUM(C15:S15)</f>
        <v>33.625</v>
      </c>
      <c r="V15"/>
    </row>
    <row r="16" spans="1:22">
      <c r="A16" s="1" t="s">
        <v>2</v>
      </c>
      <c r="B16" s="4" t="s">
        <v>69</v>
      </c>
      <c r="C16" s="10">
        <v>1</v>
      </c>
      <c r="D16" s="10">
        <v>0.91666666666666663</v>
      </c>
      <c r="E16" s="10">
        <v>1.0416666666666667</v>
      </c>
      <c r="F16" s="10">
        <v>0.875</v>
      </c>
      <c r="G16" s="10">
        <v>0.41666666666666669</v>
      </c>
      <c r="H16" s="10">
        <v>0.91666666666666663</v>
      </c>
      <c r="I16" s="10">
        <v>0.91666666666666663</v>
      </c>
      <c r="J16" s="10">
        <v>1.0833333333333333</v>
      </c>
      <c r="K16" s="10">
        <v>1.25</v>
      </c>
      <c r="L16" s="10">
        <v>0.79166666666666663</v>
      </c>
      <c r="M16" s="10">
        <v>0</v>
      </c>
      <c r="N16" s="10">
        <v>0.79166666666666663</v>
      </c>
      <c r="O16" s="10">
        <v>0.875</v>
      </c>
      <c r="P16" s="10">
        <v>1</v>
      </c>
      <c r="Q16" s="10">
        <v>0.95833333333333337</v>
      </c>
      <c r="R16" s="10">
        <v>0.41666666666666669</v>
      </c>
      <c r="S16" s="36">
        <v>0.75</v>
      </c>
      <c r="T16" s="70">
        <f t="shared" ref="T16:T19" si="1">SUM(C16:S16)</f>
        <v>14</v>
      </c>
      <c r="V16"/>
    </row>
    <row r="17" spans="1:22">
      <c r="A17" s="1" t="s">
        <v>2</v>
      </c>
      <c r="B17" s="4" t="s">
        <v>70</v>
      </c>
      <c r="C17" s="10">
        <v>1.375</v>
      </c>
      <c r="D17" s="10">
        <v>1</v>
      </c>
      <c r="E17" s="10">
        <v>0.5</v>
      </c>
      <c r="F17" s="10">
        <v>0.33333333333333331</v>
      </c>
      <c r="G17" s="10">
        <v>0.41666666666666669</v>
      </c>
      <c r="H17" s="10">
        <v>0.33333333333333331</v>
      </c>
      <c r="I17" s="10">
        <v>0.375</v>
      </c>
      <c r="J17" s="10">
        <v>0</v>
      </c>
      <c r="K17" s="10">
        <v>0.45833333333333331</v>
      </c>
      <c r="L17" s="10">
        <v>0.25</v>
      </c>
      <c r="M17" s="10">
        <v>0</v>
      </c>
      <c r="N17" s="10">
        <v>0.5</v>
      </c>
      <c r="O17" s="10">
        <v>0.625</v>
      </c>
      <c r="P17" s="10">
        <v>0.375</v>
      </c>
      <c r="Q17" s="10">
        <v>0</v>
      </c>
      <c r="R17" s="10">
        <v>0.75</v>
      </c>
      <c r="S17" s="36">
        <v>0.58333333333333337</v>
      </c>
      <c r="T17" s="70">
        <f t="shared" si="1"/>
        <v>7.875</v>
      </c>
      <c r="V17"/>
    </row>
    <row r="18" spans="1:22">
      <c r="A18" s="1" t="s">
        <v>2</v>
      </c>
      <c r="B18" s="4" t="s">
        <v>71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0.70833333333333337</v>
      </c>
      <c r="O18" s="10">
        <v>0</v>
      </c>
      <c r="P18" s="10">
        <v>0</v>
      </c>
      <c r="Q18" s="10">
        <v>0</v>
      </c>
      <c r="R18" s="10">
        <v>0.75</v>
      </c>
      <c r="S18" s="36">
        <v>0.45833333333333331</v>
      </c>
      <c r="T18" s="70">
        <f t="shared" si="1"/>
        <v>1.9166666666666667</v>
      </c>
      <c r="V18"/>
    </row>
    <row r="19" spans="1:22">
      <c r="A19" s="1" t="s">
        <v>2</v>
      </c>
      <c r="B19" s="4" t="s">
        <v>72</v>
      </c>
      <c r="C19" s="10">
        <v>0</v>
      </c>
      <c r="D19" s="10">
        <v>0</v>
      </c>
      <c r="E19" s="10">
        <v>0.25</v>
      </c>
      <c r="F19" s="10">
        <v>0.33333333333333331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0.25</v>
      </c>
      <c r="O19" s="10">
        <v>0.375</v>
      </c>
      <c r="P19" s="10">
        <v>0</v>
      </c>
      <c r="Q19" s="10">
        <v>0</v>
      </c>
      <c r="R19" s="10">
        <v>0.79166666666666663</v>
      </c>
      <c r="S19" s="36">
        <v>0.5</v>
      </c>
      <c r="T19" s="70">
        <f t="shared" si="1"/>
        <v>2.5</v>
      </c>
      <c r="V19"/>
    </row>
    <row r="20" spans="1:22">
      <c r="A20" s="1" t="s">
        <v>2</v>
      </c>
      <c r="B20" s="4" t="s">
        <v>73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36">
        <v>0</v>
      </c>
      <c r="T20" s="70"/>
      <c r="V20"/>
    </row>
    <row r="21" spans="1:22">
      <c r="A21" s="1" t="s">
        <v>2</v>
      </c>
      <c r="B21" s="4" t="s">
        <v>74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36">
        <v>0</v>
      </c>
      <c r="T21" s="70"/>
      <c r="V21"/>
    </row>
    <row r="22" spans="1:22">
      <c r="A22" s="1" t="s">
        <v>2</v>
      </c>
      <c r="B22" s="4" t="s">
        <v>75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36">
        <v>0</v>
      </c>
      <c r="T22" s="70"/>
      <c r="V22"/>
    </row>
    <row r="23" spans="1:22">
      <c r="A23" s="1" t="s">
        <v>2</v>
      </c>
      <c r="B23" s="4" t="s">
        <v>76</v>
      </c>
      <c r="C23" s="10">
        <v>0.33333333333333331</v>
      </c>
      <c r="D23" s="10">
        <v>4.1666666666666664E-2</v>
      </c>
      <c r="E23" s="10">
        <v>8.3333333333333329E-2</v>
      </c>
      <c r="F23" s="10">
        <v>0.70833333333333337</v>
      </c>
      <c r="G23" s="10">
        <v>1.375</v>
      </c>
      <c r="H23" s="10">
        <v>1.2083333333333333</v>
      </c>
      <c r="I23" s="10">
        <v>0.16666666666666666</v>
      </c>
      <c r="J23" s="10">
        <v>0.125</v>
      </c>
      <c r="K23" s="10">
        <v>8.3333333333333329E-2</v>
      </c>
      <c r="L23" s="10">
        <v>0.125</v>
      </c>
      <c r="M23" s="10">
        <v>0</v>
      </c>
      <c r="N23" s="10">
        <v>0.91666666666666663</v>
      </c>
      <c r="O23" s="10">
        <v>0.125</v>
      </c>
      <c r="P23" s="10">
        <v>1.7916666666666665</v>
      </c>
      <c r="Q23" s="10">
        <v>1.5</v>
      </c>
      <c r="R23" s="10">
        <v>0.625</v>
      </c>
      <c r="S23" s="36">
        <v>1.5</v>
      </c>
      <c r="T23" s="70">
        <f>SUM(C23:S23)</f>
        <v>10.708333333333332</v>
      </c>
      <c r="V23"/>
    </row>
    <row r="24" spans="1:22" ht="19.5" thickBot="1">
      <c r="A24" s="1" t="s">
        <v>2</v>
      </c>
      <c r="B24" s="5" t="s">
        <v>77</v>
      </c>
      <c r="C24" s="24">
        <v>16</v>
      </c>
      <c r="D24" s="24">
        <v>27</v>
      </c>
      <c r="E24" s="24">
        <v>30</v>
      </c>
      <c r="F24" s="24">
        <v>33</v>
      </c>
      <c r="G24" s="24">
        <v>19</v>
      </c>
      <c r="H24" s="24">
        <v>27</v>
      </c>
      <c r="I24" s="24">
        <v>25</v>
      </c>
      <c r="J24" s="24">
        <v>12</v>
      </c>
      <c r="K24" s="24">
        <v>19</v>
      </c>
      <c r="L24" s="24">
        <v>28</v>
      </c>
      <c r="M24" s="24">
        <v>6</v>
      </c>
      <c r="N24" s="24">
        <v>4</v>
      </c>
      <c r="O24" s="24">
        <v>19</v>
      </c>
      <c r="P24" s="24">
        <v>11</v>
      </c>
      <c r="Q24" s="24">
        <v>9</v>
      </c>
      <c r="R24" s="24">
        <v>7</v>
      </c>
      <c r="S24" s="37">
        <v>0</v>
      </c>
      <c r="T24" s="71">
        <f>SUM(C24:S24)</f>
        <v>292</v>
      </c>
      <c r="V24"/>
    </row>
    <row r="25" spans="1:22">
      <c r="A25" s="1" t="s">
        <v>2</v>
      </c>
      <c r="B25" s="16" t="s">
        <v>78</v>
      </c>
      <c r="C25" s="22">
        <v>177000</v>
      </c>
      <c r="D25" s="22">
        <v>187000</v>
      </c>
      <c r="E25" s="22">
        <v>187000</v>
      </c>
      <c r="F25" s="22">
        <v>192000</v>
      </c>
      <c r="G25" s="22">
        <v>182000</v>
      </c>
      <c r="H25" s="22">
        <v>187000</v>
      </c>
      <c r="I25" s="22">
        <v>177000</v>
      </c>
      <c r="J25" s="22">
        <v>177000</v>
      </c>
      <c r="K25" s="22">
        <v>172000</v>
      </c>
      <c r="L25" s="22">
        <v>177000</v>
      </c>
      <c r="M25" s="22">
        <v>0</v>
      </c>
      <c r="N25" s="22">
        <v>177000</v>
      </c>
      <c r="O25" s="22">
        <v>170000</v>
      </c>
      <c r="P25" s="22">
        <v>177000</v>
      </c>
      <c r="Q25" s="22">
        <v>175000</v>
      </c>
      <c r="R25" s="22">
        <v>175000</v>
      </c>
      <c r="S25" s="38">
        <v>170000</v>
      </c>
      <c r="T25" s="72">
        <f>SUM(C25:S25)</f>
        <v>2859000</v>
      </c>
      <c r="V25"/>
    </row>
    <row r="26" spans="1:22">
      <c r="A26" s="1" t="s">
        <v>2</v>
      </c>
      <c r="B26" s="4" t="s">
        <v>79</v>
      </c>
      <c r="C26" s="12">
        <v>0</v>
      </c>
      <c r="D26" s="12">
        <v>0</v>
      </c>
      <c r="E26" s="12">
        <v>20000</v>
      </c>
      <c r="F26" s="12">
        <v>5000</v>
      </c>
      <c r="G26" s="12">
        <v>5000</v>
      </c>
      <c r="H26" s="12">
        <v>5000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9">
        <v>0</v>
      </c>
      <c r="T26" s="73">
        <f t="shared" ref="T26:T64" si="2">SUM(C26:S26)</f>
        <v>35000</v>
      </c>
      <c r="V26"/>
    </row>
    <row r="27" spans="1:22">
      <c r="A27" s="1" t="s">
        <v>2</v>
      </c>
      <c r="B27" s="4" t="s">
        <v>80</v>
      </c>
      <c r="C27" s="12">
        <v>0</v>
      </c>
      <c r="D27" s="12">
        <v>0</v>
      </c>
      <c r="E27" s="12">
        <v>3000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39">
        <v>0</v>
      </c>
      <c r="T27" s="73">
        <f t="shared" si="2"/>
        <v>3000</v>
      </c>
      <c r="V27"/>
    </row>
    <row r="28" spans="1:22">
      <c r="A28" s="1" t="s">
        <v>2</v>
      </c>
      <c r="B28" s="4" t="s">
        <v>81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64989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9">
        <v>0</v>
      </c>
      <c r="T28" s="73">
        <f t="shared" si="2"/>
        <v>64989</v>
      </c>
      <c r="V28"/>
    </row>
    <row r="29" spans="1:22">
      <c r="A29" s="1" t="s">
        <v>2</v>
      </c>
      <c r="B29" s="4" t="s">
        <v>82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39">
        <v>0</v>
      </c>
      <c r="T29" s="73">
        <f t="shared" si="2"/>
        <v>0</v>
      </c>
      <c r="V29"/>
    </row>
    <row r="30" spans="1:22">
      <c r="A30" s="1" t="s">
        <v>2</v>
      </c>
      <c r="B30" s="4" t="s">
        <v>83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9">
        <v>0</v>
      </c>
      <c r="T30" s="73">
        <f t="shared" si="2"/>
        <v>0</v>
      </c>
      <c r="V30"/>
    </row>
    <row r="31" spans="1:22">
      <c r="A31" s="1" t="s">
        <v>2</v>
      </c>
      <c r="B31" s="4" t="s">
        <v>84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39">
        <v>0</v>
      </c>
      <c r="T31" s="73">
        <f t="shared" si="2"/>
        <v>0</v>
      </c>
      <c r="V31"/>
    </row>
    <row r="32" spans="1:22">
      <c r="A32" s="1" t="s">
        <v>2</v>
      </c>
      <c r="B32" s="4" t="s">
        <v>85</v>
      </c>
      <c r="C32" s="12">
        <v>1000</v>
      </c>
      <c r="D32" s="12">
        <v>1000</v>
      </c>
      <c r="E32" s="12">
        <v>1000</v>
      </c>
      <c r="F32" s="12">
        <v>1000</v>
      </c>
      <c r="G32" s="12">
        <v>0</v>
      </c>
      <c r="H32" s="12">
        <v>1000</v>
      </c>
      <c r="I32" s="12">
        <v>0</v>
      </c>
      <c r="J32" s="12">
        <v>1000</v>
      </c>
      <c r="K32" s="12">
        <v>0</v>
      </c>
      <c r="L32" s="12">
        <v>1000</v>
      </c>
      <c r="M32" s="12">
        <v>0</v>
      </c>
      <c r="N32" s="12">
        <v>1000</v>
      </c>
      <c r="O32" s="12">
        <v>1000</v>
      </c>
      <c r="P32" s="12">
        <v>1000</v>
      </c>
      <c r="Q32" s="12">
        <v>1000</v>
      </c>
      <c r="R32" s="12">
        <v>1000</v>
      </c>
      <c r="S32" s="39">
        <v>0</v>
      </c>
      <c r="T32" s="73">
        <f t="shared" si="2"/>
        <v>12000</v>
      </c>
      <c r="V32"/>
    </row>
    <row r="33" spans="1:22">
      <c r="A33" s="1" t="s">
        <v>2</v>
      </c>
      <c r="B33" s="4" t="s">
        <v>86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39">
        <v>0</v>
      </c>
      <c r="T33" s="73">
        <f t="shared" si="2"/>
        <v>0</v>
      </c>
      <c r="V33"/>
    </row>
    <row r="34" spans="1:22">
      <c r="A34" s="1" t="s">
        <v>2</v>
      </c>
      <c r="B34" s="4" t="s">
        <v>87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9">
        <v>0</v>
      </c>
      <c r="T34" s="73">
        <f t="shared" si="2"/>
        <v>0</v>
      </c>
      <c r="V34"/>
    </row>
    <row r="35" spans="1:22">
      <c r="A35" s="1" t="s">
        <v>2</v>
      </c>
      <c r="B35" s="4" t="s">
        <v>88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39">
        <v>0</v>
      </c>
      <c r="T35" s="73">
        <f t="shared" si="2"/>
        <v>0</v>
      </c>
      <c r="V35"/>
    </row>
    <row r="36" spans="1:22">
      <c r="A36" s="1" t="s">
        <v>2</v>
      </c>
      <c r="B36" s="4" t="s">
        <v>89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9">
        <v>0</v>
      </c>
      <c r="T36" s="73">
        <f t="shared" si="2"/>
        <v>0</v>
      </c>
      <c r="V36"/>
    </row>
    <row r="37" spans="1:22">
      <c r="A37" s="1" t="s">
        <v>2</v>
      </c>
      <c r="B37" s="4" t="s">
        <v>90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39">
        <v>0</v>
      </c>
      <c r="T37" s="73">
        <f t="shared" si="2"/>
        <v>0</v>
      </c>
      <c r="V37"/>
    </row>
    <row r="38" spans="1:22">
      <c r="A38" s="1" t="s">
        <v>2</v>
      </c>
      <c r="B38" s="4" t="s">
        <v>68</v>
      </c>
      <c r="C38" s="12">
        <v>43989</v>
      </c>
      <c r="D38" s="12">
        <v>94336</v>
      </c>
      <c r="E38" s="12">
        <v>30001</v>
      </c>
      <c r="F38" s="12">
        <v>93429</v>
      </c>
      <c r="G38" s="12">
        <v>40600</v>
      </c>
      <c r="H38" s="12">
        <v>117045</v>
      </c>
      <c r="I38" s="12">
        <v>71550</v>
      </c>
      <c r="J38" s="12">
        <v>79980</v>
      </c>
      <c r="K38" s="12">
        <v>66976</v>
      </c>
      <c r="L38" s="12">
        <v>39990</v>
      </c>
      <c r="M38" s="12">
        <v>0</v>
      </c>
      <c r="N38" s="12">
        <v>63984</v>
      </c>
      <c r="O38" s="12">
        <v>48640</v>
      </c>
      <c r="P38" s="12">
        <v>109306</v>
      </c>
      <c r="Q38" s="12">
        <v>110712</v>
      </c>
      <c r="R38" s="12">
        <v>30314</v>
      </c>
      <c r="S38" s="39">
        <v>56012</v>
      </c>
      <c r="T38" s="73">
        <f t="shared" si="2"/>
        <v>1096864</v>
      </c>
      <c r="V38"/>
    </row>
    <row r="39" spans="1:22">
      <c r="A39" s="1" t="s">
        <v>2</v>
      </c>
      <c r="B39" s="4" t="s">
        <v>91</v>
      </c>
      <c r="C39" s="12">
        <v>34536</v>
      </c>
      <c r="D39" s="12">
        <v>33440</v>
      </c>
      <c r="E39" s="12">
        <v>42625</v>
      </c>
      <c r="F39" s="12">
        <v>33621</v>
      </c>
      <c r="G39" s="12">
        <v>15120</v>
      </c>
      <c r="H39" s="12">
        <v>34342</v>
      </c>
      <c r="I39" s="12">
        <v>31482</v>
      </c>
      <c r="J39" s="12">
        <v>37414</v>
      </c>
      <c r="K39" s="12">
        <v>41730</v>
      </c>
      <c r="L39" s="12">
        <v>27341</v>
      </c>
      <c r="M39" s="12">
        <v>0</v>
      </c>
      <c r="N39" s="12">
        <v>27341</v>
      </c>
      <c r="O39" s="12">
        <v>29022</v>
      </c>
      <c r="P39" s="12">
        <v>34536</v>
      </c>
      <c r="Q39" s="12">
        <v>32729</v>
      </c>
      <c r="R39" s="12">
        <v>14230</v>
      </c>
      <c r="S39" s="39">
        <v>24732</v>
      </c>
      <c r="T39" s="73">
        <f t="shared" si="2"/>
        <v>494241</v>
      </c>
      <c r="V39"/>
    </row>
    <row r="40" spans="1:22">
      <c r="A40" s="1" t="s">
        <v>2</v>
      </c>
      <c r="B40" s="4" t="s">
        <v>92</v>
      </c>
      <c r="C40" s="12">
        <v>47487</v>
      </c>
      <c r="D40" s="12">
        <v>36480</v>
      </c>
      <c r="E40" s="12">
        <v>20460</v>
      </c>
      <c r="F40" s="12">
        <v>12808</v>
      </c>
      <c r="G40" s="12">
        <v>15120</v>
      </c>
      <c r="H40" s="12">
        <v>12488</v>
      </c>
      <c r="I40" s="12">
        <v>12879</v>
      </c>
      <c r="J40" s="12">
        <v>0</v>
      </c>
      <c r="K40" s="12">
        <v>15301</v>
      </c>
      <c r="L40" s="12">
        <v>8634</v>
      </c>
      <c r="M40" s="12">
        <v>0</v>
      </c>
      <c r="N40" s="12">
        <v>17268</v>
      </c>
      <c r="O40" s="12">
        <v>20730</v>
      </c>
      <c r="P40" s="12">
        <v>12951</v>
      </c>
      <c r="Q40" s="12">
        <v>0</v>
      </c>
      <c r="R40" s="12">
        <v>25614</v>
      </c>
      <c r="S40" s="39">
        <v>19236</v>
      </c>
      <c r="T40" s="73">
        <f t="shared" si="2"/>
        <v>277456</v>
      </c>
      <c r="V40"/>
    </row>
    <row r="41" spans="1:22">
      <c r="A41" s="1" t="s">
        <v>2</v>
      </c>
      <c r="B41" s="4" t="s">
        <v>93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6341</v>
      </c>
      <c r="O41" s="12">
        <v>0</v>
      </c>
      <c r="P41" s="12">
        <v>0</v>
      </c>
      <c r="Q41" s="12">
        <v>0</v>
      </c>
      <c r="R41" s="12">
        <v>6642</v>
      </c>
      <c r="S41" s="39">
        <v>3916</v>
      </c>
      <c r="T41" s="73">
        <f t="shared" si="2"/>
        <v>16899</v>
      </c>
      <c r="V41"/>
    </row>
    <row r="42" spans="1:22">
      <c r="A42" s="1" t="s">
        <v>2</v>
      </c>
      <c r="B42" s="4" t="s">
        <v>94</v>
      </c>
      <c r="C42" s="12">
        <v>0</v>
      </c>
      <c r="D42" s="12">
        <v>0</v>
      </c>
      <c r="E42" s="12">
        <v>2652</v>
      </c>
      <c r="F42" s="12">
        <v>3320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2238</v>
      </c>
      <c r="O42" s="12">
        <v>3222</v>
      </c>
      <c r="P42" s="12">
        <v>0</v>
      </c>
      <c r="Q42" s="12">
        <v>0</v>
      </c>
      <c r="R42" s="12">
        <v>7011</v>
      </c>
      <c r="S42" s="39">
        <v>4272</v>
      </c>
      <c r="T42" s="73">
        <f t="shared" si="2"/>
        <v>22715</v>
      </c>
      <c r="V42"/>
    </row>
    <row r="43" spans="1:22">
      <c r="A43" s="1" t="s">
        <v>2</v>
      </c>
      <c r="B43" s="4" t="s">
        <v>95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39">
        <v>0</v>
      </c>
      <c r="T43" s="73">
        <f t="shared" si="2"/>
        <v>0</v>
      </c>
      <c r="V43"/>
    </row>
    <row r="44" spans="1:22">
      <c r="A44" s="1" t="s">
        <v>2</v>
      </c>
      <c r="B44" s="4" t="s">
        <v>73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39">
        <v>0</v>
      </c>
      <c r="T44" s="73">
        <f t="shared" si="2"/>
        <v>0</v>
      </c>
      <c r="V44"/>
    </row>
    <row r="45" spans="1:22" ht="19.5" thickBot="1">
      <c r="A45" s="1" t="s">
        <v>2</v>
      </c>
      <c r="B45" s="26" t="s">
        <v>76</v>
      </c>
      <c r="C45" s="27">
        <v>2136</v>
      </c>
      <c r="D45" s="27">
        <v>282</v>
      </c>
      <c r="E45" s="27">
        <v>632</v>
      </c>
      <c r="F45" s="27">
        <v>5049</v>
      </c>
      <c r="G45" s="27">
        <v>9240</v>
      </c>
      <c r="H45" s="27">
        <v>8381</v>
      </c>
      <c r="I45" s="27">
        <v>1060</v>
      </c>
      <c r="J45" s="27">
        <v>801</v>
      </c>
      <c r="K45" s="27">
        <v>516</v>
      </c>
      <c r="L45" s="27">
        <v>801</v>
      </c>
      <c r="M45" s="27">
        <v>0</v>
      </c>
      <c r="N45" s="27">
        <v>5874</v>
      </c>
      <c r="O45" s="27">
        <v>768</v>
      </c>
      <c r="P45" s="27">
        <v>11481</v>
      </c>
      <c r="Q45" s="27">
        <v>9504</v>
      </c>
      <c r="R45" s="27">
        <v>3960</v>
      </c>
      <c r="S45" s="40">
        <v>9180</v>
      </c>
      <c r="T45" s="74">
        <f t="shared" si="2"/>
        <v>69665</v>
      </c>
      <c r="V45"/>
    </row>
    <row r="46" spans="1:22" ht="19.5" thickBot="1">
      <c r="A46" s="1" t="s">
        <v>2</v>
      </c>
      <c r="B46" s="29" t="s">
        <v>96</v>
      </c>
      <c r="C46" s="30">
        <v>306148</v>
      </c>
      <c r="D46" s="30">
        <v>352538</v>
      </c>
      <c r="E46" s="30">
        <v>307370</v>
      </c>
      <c r="F46" s="30">
        <v>346227</v>
      </c>
      <c r="G46" s="30">
        <v>267080</v>
      </c>
      <c r="H46" s="30">
        <v>365256</v>
      </c>
      <c r="I46" s="30">
        <v>293971</v>
      </c>
      <c r="J46" s="30">
        <v>296195</v>
      </c>
      <c r="K46" s="30">
        <v>296523</v>
      </c>
      <c r="L46" s="30">
        <v>319755</v>
      </c>
      <c r="M46" s="30">
        <v>0</v>
      </c>
      <c r="N46" s="30">
        <v>301046</v>
      </c>
      <c r="O46" s="30">
        <v>273382</v>
      </c>
      <c r="P46" s="30">
        <v>346274</v>
      </c>
      <c r="Q46" s="30">
        <v>328945</v>
      </c>
      <c r="R46" s="30">
        <v>263771</v>
      </c>
      <c r="S46" s="41">
        <v>287348</v>
      </c>
      <c r="T46" s="75">
        <f t="shared" si="2"/>
        <v>4951829</v>
      </c>
      <c r="V46"/>
    </row>
    <row r="47" spans="1:22">
      <c r="A47" s="1" t="s">
        <v>2</v>
      </c>
      <c r="B47" s="16" t="s">
        <v>97</v>
      </c>
      <c r="C47" s="22">
        <v>12077</v>
      </c>
      <c r="D47" s="22">
        <v>3261</v>
      </c>
      <c r="E47" s="22">
        <v>5000</v>
      </c>
      <c r="F47" s="22">
        <v>2899</v>
      </c>
      <c r="G47" s="22">
        <v>12778</v>
      </c>
      <c r="H47" s="22">
        <v>2319</v>
      </c>
      <c r="I47" s="22">
        <v>2126</v>
      </c>
      <c r="J47" s="22">
        <v>1160</v>
      </c>
      <c r="K47" s="22">
        <v>3020</v>
      </c>
      <c r="L47" s="22">
        <v>4638</v>
      </c>
      <c r="M47" s="22">
        <v>0</v>
      </c>
      <c r="N47" s="22">
        <v>4058</v>
      </c>
      <c r="O47" s="22">
        <v>7536</v>
      </c>
      <c r="P47" s="22">
        <v>3624</v>
      </c>
      <c r="Q47" s="22">
        <v>5797</v>
      </c>
      <c r="R47" s="22">
        <v>9855</v>
      </c>
      <c r="S47" s="38">
        <v>4396</v>
      </c>
      <c r="T47" s="72">
        <f t="shared" si="2"/>
        <v>84544</v>
      </c>
      <c r="V47"/>
    </row>
    <row r="48" spans="1:22" ht="19.5" thickBot="1">
      <c r="A48" s="1" t="s">
        <v>2</v>
      </c>
      <c r="B48" s="26" t="s">
        <v>98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40">
        <v>0</v>
      </c>
      <c r="T48" s="74">
        <f t="shared" si="2"/>
        <v>0</v>
      </c>
      <c r="V48"/>
    </row>
    <row r="49" spans="1:22" ht="19.5" thickBot="1">
      <c r="A49" s="1" t="s">
        <v>2</v>
      </c>
      <c r="B49" s="29" t="s">
        <v>99</v>
      </c>
      <c r="C49" s="30">
        <v>12077</v>
      </c>
      <c r="D49" s="30">
        <v>3261</v>
      </c>
      <c r="E49" s="30">
        <v>5000</v>
      </c>
      <c r="F49" s="30">
        <v>2899</v>
      </c>
      <c r="G49" s="30">
        <v>12778</v>
      </c>
      <c r="H49" s="30">
        <v>2319</v>
      </c>
      <c r="I49" s="30">
        <v>2126</v>
      </c>
      <c r="J49" s="30">
        <v>1160</v>
      </c>
      <c r="K49" s="30">
        <v>3020</v>
      </c>
      <c r="L49" s="30">
        <v>4638</v>
      </c>
      <c r="M49" s="30">
        <v>0</v>
      </c>
      <c r="N49" s="30">
        <v>4058</v>
      </c>
      <c r="O49" s="30">
        <v>7536</v>
      </c>
      <c r="P49" s="30">
        <v>3624</v>
      </c>
      <c r="Q49" s="30">
        <v>5797</v>
      </c>
      <c r="R49" s="30">
        <v>9855</v>
      </c>
      <c r="S49" s="41">
        <v>4396</v>
      </c>
      <c r="T49" s="75">
        <f t="shared" si="2"/>
        <v>84544</v>
      </c>
      <c r="V49"/>
    </row>
    <row r="50" spans="1:22" ht="19.5" thickBot="1">
      <c r="A50" s="1" t="s">
        <v>2</v>
      </c>
      <c r="B50" s="29" t="s">
        <v>100</v>
      </c>
      <c r="C50" s="30">
        <v>318225</v>
      </c>
      <c r="D50" s="30">
        <v>355799</v>
      </c>
      <c r="E50" s="30">
        <v>312370</v>
      </c>
      <c r="F50" s="30">
        <v>349126</v>
      </c>
      <c r="G50" s="30">
        <v>279858</v>
      </c>
      <c r="H50" s="30">
        <v>367575</v>
      </c>
      <c r="I50" s="30">
        <v>296097</v>
      </c>
      <c r="J50" s="30">
        <v>297355</v>
      </c>
      <c r="K50" s="30">
        <v>299543</v>
      </c>
      <c r="L50" s="30">
        <v>324393</v>
      </c>
      <c r="M50" s="30">
        <v>0</v>
      </c>
      <c r="N50" s="30">
        <v>305104</v>
      </c>
      <c r="O50" s="30">
        <v>280918</v>
      </c>
      <c r="P50" s="30">
        <v>349898</v>
      </c>
      <c r="Q50" s="30">
        <v>334742</v>
      </c>
      <c r="R50" s="30">
        <v>273626</v>
      </c>
      <c r="S50" s="41">
        <v>291744</v>
      </c>
      <c r="T50" s="75">
        <f t="shared" si="2"/>
        <v>5036373</v>
      </c>
      <c r="V50"/>
    </row>
    <row r="51" spans="1:22">
      <c r="A51" s="1" t="s">
        <v>2</v>
      </c>
      <c r="B51" s="16" t="s">
        <v>101</v>
      </c>
      <c r="C51" s="22">
        <v>16320</v>
      </c>
      <c r="D51" s="22">
        <v>16320</v>
      </c>
      <c r="E51" s="22">
        <v>19380</v>
      </c>
      <c r="F51" s="22">
        <v>20910</v>
      </c>
      <c r="G51" s="22">
        <v>19380</v>
      </c>
      <c r="H51" s="22">
        <v>20910</v>
      </c>
      <c r="I51" s="22">
        <v>16320</v>
      </c>
      <c r="J51" s="22">
        <v>15300</v>
      </c>
      <c r="K51" s="22">
        <v>16320</v>
      </c>
      <c r="L51" s="22">
        <v>17340</v>
      </c>
      <c r="M51" s="22">
        <v>16320</v>
      </c>
      <c r="N51" s="22">
        <v>17340</v>
      </c>
      <c r="O51" s="22">
        <v>15300</v>
      </c>
      <c r="P51" s="22">
        <v>15300</v>
      </c>
      <c r="Q51" s="22">
        <v>17340</v>
      </c>
      <c r="R51" s="22">
        <v>15300</v>
      </c>
      <c r="S51" s="38">
        <v>13260</v>
      </c>
      <c r="T51" s="72">
        <f t="shared" si="2"/>
        <v>288660</v>
      </c>
      <c r="V51"/>
    </row>
    <row r="52" spans="1:22">
      <c r="A52" s="1" t="s">
        <v>2</v>
      </c>
      <c r="B52" s="4" t="s">
        <v>102</v>
      </c>
      <c r="C52" s="12">
        <v>2880</v>
      </c>
      <c r="D52" s="12">
        <v>2880</v>
      </c>
      <c r="E52" s="12">
        <v>3420</v>
      </c>
      <c r="F52" s="12">
        <v>3690</v>
      </c>
      <c r="G52" s="12">
        <v>3420</v>
      </c>
      <c r="H52" s="12">
        <v>3690</v>
      </c>
      <c r="I52" s="12">
        <v>2880</v>
      </c>
      <c r="J52" s="12">
        <v>2700</v>
      </c>
      <c r="K52" s="12">
        <v>2880</v>
      </c>
      <c r="L52" s="12">
        <v>3060</v>
      </c>
      <c r="M52" s="12">
        <v>2880</v>
      </c>
      <c r="N52" s="12">
        <v>0</v>
      </c>
      <c r="O52" s="12">
        <v>2700</v>
      </c>
      <c r="P52" s="12">
        <v>2700</v>
      </c>
      <c r="Q52" s="12">
        <v>3060</v>
      </c>
      <c r="R52" s="12">
        <v>2700</v>
      </c>
      <c r="S52" s="39">
        <v>0</v>
      </c>
      <c r="T52" s="73">
        <f t="shared" si="2"/>
        <v>45540</v>
      </c>
      <c r="V52"/>
    </row>
    <row r="53" spans="1:22">
      <c r="A53" s="1" t="s">
        <v>2</v>
      </c>
      <c r="B53" s="4" t="s">
        <v>103</v>
      </c>
      <c r="C53" s="12">
        <v>29280</v>
      </c>
      <c r="D53" s="12">
        <v>29280</v>
      </c>
      <c r="E53" s="12">
        <v>34770</v>
      </c>
      <c r="F53" s="12">
        <v>37515</v>
      </c>
      <c r="G53" s="12">
        <v>34770</v>
      </c>
      <c r="H53" s="12">
        <v>37515</v>
      </c>
      <c r="I53" s="12">
        <v>29280</v>
      </c>
      <c r="J53" s="12">
        <v>27450</v>
      </c>
      <c r="K53" s="12">
        <v>29280</v>
      </c>
      <c r="L53" s="12">
        <v>31110</v>
      </c>
      <c r="M53" s="12">
        <v>29280</v>
      </c>
      <c r="N53" s="12">
        <v>31110</v>
      </c>
      <c r="O53" s="12">
        <v>27450</v>
      </c>
      <c r="P53" s="12">
        <v>27450</v>
      </c>
      <c r="Q53" s="12">
        <v>31110</v>
      </c>
      <c r="R53" s="12">
        <v>27450</v>
      </c>
      <c r="S53" s="39">
        <v>23790</v>
      </c>
      <c r="T53" s="73">
        <f t="shared" si="2"/>
        <v>517890</v>
      </c>
      <c r="V53"/>
    </row>
    <row r="54" spans="1:22" ht="19.5" thickBot="1">
      <c r="A54" s="1" t="s">
        <v>2</v>
      </c>
      <c r="B54" s="4" t="s">
        <v>104</v>
      </c>
      <c r="C54" s="12">
        <v>955</v>
      </c>
      <c r="D54" s="12">
        <v>1067</v>
      </c>
      <c r="E54" s="12">
        <v>937</v>
      </c>
      <c r="F54" s="12">
        <v>1047</v>
      </c>
      <c r="G54" s="12">
        <v>840</v>
      </c>
      <c r="H54" s="12">
        <v>1103</v>
      </c>
      <c r="I54" s="12">
        <v>888</v>
      </c>
      <c r="J54" s="12">
        <v>892</v>
      </c>
      <c r="K54" s="12">
        <v>899</v>
      </c>
      <c r="L54" s="12">
        <v>973</v>
      </c>
      <c r="M54" s="12">
        <v>0</v>
      </c>
      <c r="N54" s="12">
        <v>915</v>
      </c>
      <c r="O54" s="12">
        <v>843</v>
      </c>
      <c r="P54" s="12">
        <v>1050</v>
      </c>
      <c r="Q54" s="12">
        <v>1004</v>
      </c>
      <c r="R54" s="12">
        <v>821</v>
      </c>
      <c r="S54" s="39">
        <v>875</v>
      </c>
      <c r="T54" s="73">
        <f t="shared" si="2"/>
        <v>15109</v>
      </c>
      <c r="V54"/>
    </row>
    <row r="55" spans="1:22" ht="19.5" thickBot="1">
      <c r="A55" s="1" t="s">
        <v>2</v>
      </c>
      <c r="B55" s="29" t="s">
        <v>105</v>
      </c>
      <c r="C55" s="30">
        <v>49435</v>
      </c>
      <c r="D55" s="30">
        <v>49547</v>
      </c>
      <c r="E55" s="30">
        <v>58507</v>
      </c>
      <c r="F55" s="30">
        <v>63162</v>
      </c>
      <c r="G55" s="30">
        <v>58410</v>
      </c>
      <c r="H55" s="30">
        <v>63218</v>
      </c>
      <c r="I55" s="30">
        <v>49368</v>
      </c>
      <c r="J55" s="30">
        <v>46342</v>
      </c>
      <c r="K55" s="30">
        <v>49379</v>
      </c>
      <c r="L55" s="30">
        <v>52483</v>
      </c>
      <c r="M55" s="30">
        <v>48480</v>
      </c>
      <c r="N55" s="30">
        <v>49365</v>
      </c>
      <c r="O55" s="30">
        <v>46293</v>
      </c>
      <c r="P55" s="30">
        <v>46500</v>
      </c>
      <c r="Q55" s="30">
        <v>52514</v>
      </c>
      <c r="R55" s="30">
        <v>46271</v>
      </c>
      <c r="S55" s="41">
        <v>37925</v>
      </c>
      <c r="T55" s="75">
        <f t="shared" si="2"/>
        <v>867199</v>
      </c>
      <c r="V55"/>
    </row>
    <row r="56" spans="1:22">
      <c r="A56" s="1" t="s">
        <v>2</v>
      </c>
      <c r="B56" s="16" t="s">
        <v>106</v>
      </c>
      <c r="C56" s="22">
        <v>5170</v>
      </c>
      <c r="D56" s="22">
        <v>8620</v>
      </c>
      <c r="E56" s="22">
        <v>4890</v>
      </c>
      <c r="F56" s="22">
        <v>7730</v>
      </c>
      <c r="G56" s="22">
        <v>3460</v>
      </c>
      <c r="H56" s="22">
        <v>8550</v>
      </c>
      <c r="I56" s="22">
        <v>6360</v>
      </c>
      <c r="J56" s="22">
        <v>4930</v>
      </c>
      <c r="K56" s="22">
        <v>6450</v>
      </c>
      <c r="L56" s="22">
        <v>7170</v>
      </c>
      <c r="M56" s="22">
        <v>0</v>
      </c>
      <c r="N56" s="22">
        <v>6610</v>
      </c>
      <c r="O56" s="22">
        <v>5730</v>
      </c>
      <c r="P56" s="22">
        <v>8360</v>
      </c>
      <c r="Q56" s="22">
        <v>2650</v>
      </c>
      <c r="R56" s="22">
        <v>5390</v>
      </c>
      <c r="S56" s="38">
        <v>6530</v>
      </c>
      <c r="T56" s="72">
        <f t="shared" si="2"/>
        <v>98600</v>
      </c>
      <c r="V56"/>
    </row>
    <row r="57" spans="1:22">
      <c r="A57" s="1" t="s">
        <v>2</v>
      </c>
      <c r="B57" s="4" t="s">
        <v>107</v>
      </c>
      <c r="C57" s="12">
        <v>1300</v>
      </c>
      <c r="D57" s="12">
        <v>1300</v>
      </c>
      <c r="E57" s="12">
        <v>1300</v>
      </c>
      <c r="F57" s="12">
        <v>0</v>
      </c>
      <c r="G57" s="12">
        <v>1300</v>
      </c>
      <c r="H57" s="12">
        <v>1300</v>
      </c>
      <c r="I57" s="12">
        <v>1300</v>
      </c>
      <c r="J57" s="12">
        <v>1300</v>
      </c>
      <c r="K57" s="12">
        <v>1300</v>
      </c>
      <c r="L57" s="12">
        <v>1300</v>
      </c>
      <c r="M57" s="12">
        <v>0</v>
      </c>
      <c r="N57" s="12">
        <v>0</v>
      </c>
      <c r="O57" s="12">
        <v>1300</v>
      </c>
      <c r="P57" s="12">
        <v>1300</v>
      </c>
      <c r="Q57" s="12">
        <v>1300</v>
      </c>
      <c r="R57" s="12">
        <v>0</v>
      </c>
      <c r="S57" s="39">
        <v>0</v>
      </c>
      <c r="T57" s="73">
        <f t="shared" si="2"/>
        <v>15600</v>
      </c>
      <c r="V57"/>
    </row>
    <row r="58" spans="1:22">
      <c r="A58" s="1" t="s">
        <v>2</v>
      </c>
      <c r="B58" s="4" t="s">
        <v>108</v>
      </c>
      <c r="C58" s="12">
        <v>8600</v>
      </c>
      <c r="D58" s="12">
        <v>14600</v>
      </c>
      <c r="E58" s="12">
        <v>13800</v>
      </c>
      <c r="F58" s="12">
        <v>16700</v>
      </c>
      <c r="G58" s="12">
        <v>15200</v>
      </c>
      <c r="H58" s="12">
        <v>17700</v>
      </c>
      <c r="I58" s="12">
        <v>13500</v>
      </c>
      <c r="J58" s="12">
        <v>9200</v>
      </c>
      <c r="K58" s="12">
        <v>13000</v>
      </c>
      <c r="L58" s="12">
        <v>13800</v>
      </c>
      <c r="M58" s="12">
        <v>10500</v>
      </c>
      <c r="N58" s="12">
        <v>13500</v>
      </c>
      <c r="O58" s="12">
        <v>12100</v>
      </c>
      <c r="P58" s="12">
        <v>14200</v>
      </c>
      <c r="Q58" s="12">
        <v>5600</v>
      </c>
      <c r="R58" s="12">
        <v>0</v>
      </c>
      <c r="S58" s="39">
        <v>0</v>
      </c>
      <c r="T58" s="73">
        <f t="shared" si="2"/>
        <v>192000</v>
      </c>
      <c r="V58"/>
    </row>
    <row r="59" spans="1:22" ht="19.5" thickBot="1">
      <c r="A59" s="1" t="s">
        <v>2</v>
      </c>
      <c r="B59" s="4" t="s">
        <v>109</v>
      </c>
      <c r="C59" s="12">
        <v>0</v>
      </c>
      <c r="D59" s="12">
        <v>0</v>
      </c>
      <c r="E59" s="12">
        <v>0</v>
      </c>
      <c r="F59" s="12">
        <v>10000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54">
        <v>-58980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39">
        <v>0</v>
      </c>
      <c r="T59" s="76">
        <f t="shared" si="2"/>
        <v>-48980</v>
      </c>
      <c r="V59"/>
    </row>
    <row r="60" spans="1:22" ht="19.5" thickBot="1">
      <c r="A60" s="1" t="s">
        <v>2</v>
      </c>
      <c r="B60" s="29" t="s">
        <v>110</v>
      </c>
      <c r="C60" s="30">
        <v>64505</v>
      </c>
      <c r="D60" s="30">
        <v>74067</v>
      </c>
      <c r="E60" s="30">
        <v>78497</v>
      </c>
      <c r="F60" s="30">
        <v>97592</v>
      </c>
      <c r="G60" s="30">
        <v>78370</v>
      </c>
      <c r="H60" s="30">
        <v>90768</v>
      </c>
      <c r="I60" s="30">
        <v>70528</v>
      </c>
      <c r="J60" s="30">
        <v>61772</v>
      </c>
      <c r="K60" s="30">
        <v>70129</v>
      </c>
      <c r="L60" s="30">
        <v>74753</v>
      </c>
      <c r="M60" s="30">
        <v>0</v>
      </c>
      <c r="N60" s="30">
        <v>69475</v>
      </c>
      <c r="O60" s="30">
        <v>65423</v>
      </c>
      <c r="P60" s="30">
        <v>70360</v>
      </c>
      <c r="Q60" s="30">
        <v>62064</v>
      </c>
      <c r="R60" s="30">
        <v>51661</v>
      </c>
      <c r="S60" s="41">
        <v>44455</v>
      </c>
      <c r="T60" s="75">
        <f t="shared" si="2"/>
        <v>1124419</v>
      </c>
      <c r="V60"/>
    </row>
    <row r="61" spans="1:22" ht="19.5" thickBot="1">
      <c r="A61" s="1" t="s">
        <v>2</v>
      </c>
      <c r="B61" s="29" t="s">
        <v>111</v>
      </c>
      <c r="C61" s="30">
        <v>256713</v>
      </c>
      <c r="D61" s="30">
        <v>302991</v>
      </c>
      <c r="E61" s="30">
        <v>248863</v>
      </c>
      <c r="F61" s="30">
        <v>283065</v>
      </c>
      <c r="G61" s="30">
        <v>208670</v>
      </c>
      <c r="H61" s="30">
        <v>302038</v>
      </c>
      <c r="I61" s="30">
        <v>244603</v>
      </c>
      <c r="J61" s="30">
        <v>249853</v>
      </c>
      <c r="K61" s="30">
        <v>247144</v>
      </c>
      <c r="L61" s="30">
        <v>267272</v>
      </c>
      <c r="M61" s="30">
        <v>-48480</v>
      </c>
      <c r="N61" s="30">
        <v>251681</v>
      </c>
      <c r="O61" s="30">
        <v>227089</v>
      </c>
      <c r="P61" s="30">
        <v>299774</v>
      </c>
      <c r="Q61" s="30">
        <v>276431</v>
      </c>
      <c r="R61" s="30">
        <v>217500</v>
      </c>
      <c r="S61" s="41">
        <v>249423</v>
      </c>
      <c r="T61" s="75">
        <f t="shared" si="2"/>
        <v>4084630</v>
      </c>
      <c r="V61"/>
    </row>
    <row r="62" spans="1:22" ht="19.5" thickBot="1">
      <c r="A62" s="1" t="s">
        <v>2</v>
      </c>
      <c r="B62" s="29" t="s">
        <v>112</v>
      </c>
      <c r="C62" s="30">
        <v>253720</v>
      </c>
      <c r="D62" s="30">
        <v>281732</v>
      </c>
      <c r="E62" s="30">
        <v>233873</v>
      </c>
      <c r="F62" s="30">
        <v>251534</v>
      </c>
      <c r="G62" s="30">
        <v>201488</v>
      </c>
      <c r="H62" s="30">
        <v>276807</v>
      </c>
      <c r="I62" s="30">
        <v>225569</v>
      </c>
      <c r="J62" s="30">
        <v>235583</v>
      </c>
      <c r="K62" s="30">
        <v>229414</v>
      </c>
      <c r="L62" s="30">
        <v>249640</v>
      </c>
      <c r="M62" s="30">
        <v>0</v>
      </c>
      <c r="N62" s="30">
        <v>235629</v>
      </c>
      <c r="O62" s="30">
        <v>215495</v>
      </c>
      <c r="P62" s="30">
        <v>279538</v>
      </c>
      <c r="Q62" s="30">
        <v>272678</v>
      </c>
      <c r="R62" s="30">
        <v>221965</v>
      </c>
      <c r="S62" s="41">
        <v>247289</v>
      </c>
      <c r="T62" s="75">
        <f t="shared" si="2"/>
        <v>3911954</v>
      </c>
      <c r="V62"/>
    </row>
    <row r="63" spans="1:22">
      <c r="A63" s="1" t="s">
        <v>2</v>
      </c>
      <c r="B63" s="16" t="s">
        <v>113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38">
        <v>0</v>
      </c>
      <c r="T63" s="72">
        <f t="shared" si="2"/>
        <v>0</v>
      </c>
      <c r="V63"/>
    </row>
    <row r="64" spans="1:22">
      <c r="A64" s="1" t="s">
        <v>2</v>
      </c>
      <c r="B64" s="4" t="s">
        <v>114</v>
      </c>
      <c r="C64" s="12">
        <v>253720</v>
      </c>
      <c r="D64" s="12">
        <v>281732</v>
      </c>
      <c r="E64" s="12">
        <v>233873</v>
      </c>
      <c r="F64" s="12">
        <v>251534</v>
      </c>
      <c r="G64" s="12">
        <v>201488</v>
      </c>
      <c r="H64" s="12">
        <v>276807</v>
      </c>
      <c r="I64" s="12">
        <v>225569</v>
      </c>
      <c r="J64" s="12">
        <v>235583</v>
      </c>
      <c r="K64" s="12">
        <v>229414</v>
      </c>
      <c r="L64" s="12">
        <v>249640</v>
      </c>
      <c r="M64" s="12">
        <v>0</v>
      </c>
      <c r="N64" s="12">
        <v>235629</v>
      </c>
      <c r="O64" s="12">
        <v>215495</v>
      </c>
      <c r="P64" s="12">
        <v>279538</v>
      </c>
      <c r="Q64" s="12">
        <v>272678</v>
      </c>
      <c r="R64" s="12">
        <v>221965</v>
      </c>
      <c r="S64" s="39">
        <v>247289</v>
      </c>
      <c r="T64" s="73">
        <f t="shared" si="2"/>
        <v>3911954</v>
      </c>
      <c r="V64"/>
    </row>
    <row r="65" spans="1:22">
      <c r="A65" s="1" t="s">
        <v>2</v>
      </c>
      <c r="B65" s="4" t="s">
        <v>115</v>
      </c>
      <c r="C65" s="12">
        <v>1</v>
      </c>
      <c r="D65" s="12">
        <v>0</v>
      </c>
      <c r="E65" s="12">
        <v>1</v>
      </c>
      <c r="F65" s="12">
        <v>0</v>
      </c>
      <c r="G65" s="12">
        <v>1</v>
      </c>
      <c r="H65" s="12">
        <v>0</v>
      </c>
      <c r="I65" s="12">
        <v>0</v>
      </c>
      <c r="J65" s="12">
        <v>1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3</v>
      </c>
      <c r="R65" s="12">
        <v>0</v>
      </c>
      <c r="S65" s="39">
        <v>0</v>
      </c>
      <c r="T65" s="73"/>
      <c r="V65"/>
    </row>
    <row r="66" spans="1:22" ht="19.5" thickBot="1">
      <c r="A66" s="1" t="s">
        <v>2</v>
      </c>
      <c r="B66" s="5" t="s">
        <v>116</v>
      </c>
      <c r="C66" s="14" t="s">
        <v>117</v>
      </c>
      <c r="D66" s="14" t="s">
        <v>117</v>
      </c>
      <c r="E66" s="14" t="s">
        <v>117</v>
      </c>
      <c r="F66" s="14" t="s">
        <v>117</v>
      </c>
      <c r="G66" s="14" t="s">
        <v>117</v>
      </c>
      <c r="H66" s="14" t="s">
        <v>117</v>
      </c>
      <c r="I66" s="14" t="s">
        <v>117</v>
      </c>
      <c r="J66" s="14" t="s">
        <v>117</v>
      </c>
      <c r="K66" s="14" t="s">
        <v>117</v>
      </c>
      <c r="L66" s="14" t="s">
        <v>117</v>
      </c>
      <c r="M66" s="14" t="s">
        <v>117</v>
      </c>
      <c r="N66" s="14" t="s">
        <v>117</v>
      </c>
      <c r="O66" s="14" t="s">
        <v>117</v>
      </c>
      <c r="P66" s="14" t="s">
        <v>117</v>
      </c>
      <c r="Q66" s="14" t="s">
        <v>117</v>
      </c>
      <c r="R66" s="14" t="s">
        <v>117</v>
      </c>
      <c r="S66" s="42" t="s">
        <v>117</v>
      </c>
      <c r="T66" s="77"/>
      <c r="V66"/>
    </row>
  </sheetData>
  <phoneticPr fontId="3"/>
  <pageMargins left="0.31496062992125984" right="0.11811023622047245" top="0.15748031496062992" bottom="0.15748031496062992" header="0.31496062992125984" footer="0.11811023622047245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2021年 12月度給与 (3)</vt:lpstr>
      <vt:lpstr>2021年 12月度給与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2022-01-13T04:23:05Z</cp:lastPrinted>
  <dcterms:created xsi:type="dcterms:W3CDTF">2022-01-11T02:31:00Z</dcterms:created>
  <dcterms:modified xsi:type="dcterms:W3CDTF">2023-01-30T02:59:49Z</dcterms:modified>
</cp:coreProperties>
</file>