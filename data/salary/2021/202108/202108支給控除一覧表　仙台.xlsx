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8\"/>
    </mc:Choice>
  </mc:AlternateContent>
  <xr:revisionPtr revIDLastSave="0" documentId="13_ncr:1_{7BBD0BF9-6AC3-445D-AEC4-3D80EF5EB039}" xr6:coauthVersionLast="47" xr6:coauthVersionMax="47" xr10:uidLastSave="{00000000-0000-0000-0000-000000000000}"/>
  <bookViews>
    <workbookView xWindow="-120" yWindow="-120" windowWidth="20730" windowHeight="11160" xr2:uid="{6C30FCEF-9420-4DBE-9FA3-B984E97EE01D}"/>
  </bookViews>
  <sheets>
    <sheet name="2021年 8月度給与 (2)" sheetId="4" r:id="rId1"/>
  </sheets>
  <definedNames>
    <definedName name="_xlnm.Print_Area" localSheetId="0">'2021年 8月度給与 (2)'!$A$1:$O$61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" i="4" l="1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23" i="4"/>
  <c r="N22" i="4"/>
  <c r="N21" i="4"/>
  <c r="N16" i="4"/>
  <c r="O16" i="4" s="1"/>
  <c r="N17" i="4"/>
  <c r="N18" i="4"/>
  <c r="N19" i="4"/>
  <c r="O19" i="4" s="1"/>
  <c r="N15" i="4"/>
  <c r="N8" i="4"/>
  <c r="N9" i="4"/>
  <c r="N10" i="4"/>
  <c r="N11" i="4"/>
  <c r="N12" i="4"/>
  <c r="N13" i="4"/>
  <c r="O13" i="4" s="1"/>
  <c r="N14" i="4"/>
  <c r="O14" i="4" s="1"/>
  <c r="N7" i="4"/>
  <c r="F24" i="4"/>
  <c r="O24" i="4" s="1"/>
  <c r="F25" i="4"/>
  <c r="O25" i="4" s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23" i="4"/>
  <c r="F22" i="4"/>
  <c r="F21" i="4"/>
  <c r="F20" i="4"/>
  <c r="O20" i="4" s="1"/>
  <c r="F18" i="4"/>
  <c r="F17" i="4"/>
  <c r="O17" i="4" s="1"/>
  <c r="F15" i="4"/>
  <c r="F9" i="4"/>
  <c r="F10" i="4"/>
  <c r="F11" i="4"/>
  <c r="F12" i="4"/>
  <c r="F8" i="4"/>
  <c r="F7" i="4"/>
  <c r="O31" i="4" l="1"/>
  <c r="O27" i="4"/>
  <c r="O8" i="4"/>
  <c r="O18" i="4"/>
  <c r="O23" i="4"/>
  <c r="O56" i="4"/>
  <c r="O52" i="4"/>
  <c r="O48" i="4"/>
  <c r="O44" i="4"/>
  <c r="O41" i="4"/>
  <c r="O37" i="4"/>
  <c r="O12" i="4"/>
  <c r="O21" i="4"/>
  <c r="O58" i="4"/>
  <c r="O53" i="4"/>
  <c r="O50" i="4"/>
  <c r="O46" i="4"/>
  <c r="O43" i="4"/>
  <c r="O39" i="4"/>
  <c r="O35" i="4"/>
  <c r="O32" i="4"/>
  <c r="O59" i="4"/>
  <c r="O55" i="4"/>
  <c r="O54" i="4"/>
  <c r="O51" i="4"/>
  <c r="O47" i="4"/>
  <c r="O40" i="4"/>
  <c r="O36" i="4"/>
  <c r="O33" i="4"/>
  <c r="O29" i="4"/>
  <c r="O15" i="4"/>
  <c r="O11" i="4"/>
  <c r="O7" i="4"/>
  <c r="O10" i="4"/>
  <c r="O9" i="4"/>
  <c r="O22" i="4"/>
  <c r="O57" i="4"/>
  <c r="O49" i="4"/>
  <c r="O45" i="4"/>
  <c r="O42" i="4"/>
  <c r="O38" i="4"/>
  <c r="O34" i="4"/>
  <c r="O30" i="4"/>
  <c r="O28" i="4"/>
  <c r="O26" i="4"/>
</calcChain>
</file>

<file path=xl/sharedStrings.xml><?xml version="1.0" encoding="utf-8"?>
<sst xmlns="http://schemas.openxmlformats.org/spreadsheetml/2006/main" count="150" uniqueCount="83">
  <si>
    <t>支給控除一覧表</t>
    <phoneticPr fontId="4"/>
  </si>
  <si>
    <t>若林運送株式会社</t>
    <phoneticPr fontId="4"/>
  </si>
  <si>
    <t>2021年 9月 9日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</si>
  <si>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</si>
  <si>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</si>
  <si>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</si>
  <si>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</si>
  <si>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</si>
  <si>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</si>
  <si>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</si>
  <si>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1083</t>
    <phoneticPr fontId="4"/>
  </si>
  <si>
    <t>1084</t>
    <phoneticPr fontId="4"/>
  </si>
  <si>
    <t>1091</t>
    <phoneticPr fontId="4"/>
  </si>
  <si>
    <t>1093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</si>
  <si>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</si>
  <si>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</si>
  <si>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</si>
  <si>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</si>
  <si>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</si>
  <si>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</si>
  <si>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</si>
  <si>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刈谷俊之</t>
    <phoneticPr fontId="4"/>
  </si>
  <si>
    <t>大沼幸夫</t>
    <phoneticPr fontId="4"/>
  </si>
  <si>
    <t>大野翼</t>
    <phoneticPr fontId="4"/>
  </si>
  <si>
    <t>佐藤禎尚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</si>
  <si>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</si>
  <si>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</si>
  <si>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</si>
  <si>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</si>
  <si>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</si>
  <si>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</si>
  <si>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</si>
  <si>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</si>
  <si>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</si>
  <si>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</si>
  <si>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</si>
  <si>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</si>
  <si>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</si>
  <si>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</si>
  <si>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</si>
  <si>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</si>
  <si>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</si>
  <si>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</si>
  <si>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</si>
  <si>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</si>
  <si>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</si>
  <si>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</si>
  <si>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</si>
  <si>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</si>
  <si>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</si>
  <si>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</si>
  <si>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</si>
  <si>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</si>
  <si>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</si>
  <si>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</si>
  <si>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</si>
  <si>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</si>
  <si>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</si>
  <si>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</si>
  <si>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</si>
  <si>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</si>
  <si>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</si>
  <si>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</si>
  <si>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</si>
  <si>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</si>
  <si>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</si>
  <si>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</si>
  <si>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</si>
  <si>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</si>
  <si>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</si>
  <si>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</si>
  <si>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</si>
  <si>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</si>
  <si>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</si>
  <si>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</si>
  <si>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</si>
  <si>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</si>
  <si>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</si>
  <si>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</si>
  <si>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8月度給与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</si>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</sst>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2" xfId="1" applyNumberFormat="1" applyFont="1" applyBorder="1"/>
    <xf numFmtId="2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0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1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1" xfId="1" applyNumberFormat="1" applyFont="1" applyBorder="1"/>
    <xf numFmtId="176" fontId="2" fillId="0" borderId="27" xfId="1" applyNumberFormat="1" applyFont="1" applyBorder="1"/>
    <xf numFmtId="0" fontId="2" fillId="0" borderId="26" xfId="1" applyFont="1" applyBorder="1"/>
    <xf numFmtId="0" fontId="2" fillId="0" borderId="27" xfId="1" applyFont="1" applyBorder="1" applyAlignment="1">
      <alignment horizontal="center"/>
    </xf>
    <xf numFmtId="0" fontId="2" fillId="0" borderId="37" xfId="1" applyFont="1" applyBorder="1"/>
    <xf numFmtId="177" fontId="2" fillId="0" borderId="14" xfId="1" applyNumberFormat="1" applyFont="1" applyBorder="1"/>
    <xf numFmtId="177" fontId="2" fillId="0" borderId="34" xfId="1" applyNumberFormat="1" applyFont="1" applyBorder="1"/>
    <xf numFmtId="177" fontId="2" fillId="0" borderId="29" xfId="1" applyNumberFormat="1" applyFont="1" applyBorder="1"/>
  </cellXfs>
  <cellStyles count="2">
    <cellStyle name="標準" xfId="0" builtinId="0"/>
    <cellStyle name="標準 2" xfId="1" xr:uid="{36FE96FF-1B3B-4A3E-9D61-167C8D9F0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D98E-FDBC-4479-88B3-D2B4B653F0BA}">
  <sheetPr>
    <pageSetUpPr fitToPage="1"/>
  </sheetPr>
  <dimension ref="A1:Q61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5" width="9.5" style="2" customWidth="1"/>
    <col min="16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8" width="9" style="2"/>
    <col min="269" max="269" width="8" style="2" bestFit="1" customWidth="1"/>
    <col min="270" max="270" width="9" style="2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4" width="9" style="2"/>
    <col min="525" max="525" width="8" style="2" bestFit="1" customWidth="1"/>
    <col min="526" max="526" width="9" style="2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80" width="9" style="2"/>
    <col min="781" max="781" width="8" style="2" bestFit="1" customWidth="1"/>
    <col min="782" max="782" width="9" style="2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6" width="9" style="2"/>
    <col min="1037" max="1037" width="8" style="2" bestFit="1" customWidth="1"/>
    <col min="1038" max="1038" width="9" style="2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2" width="9" style="2"/>
    <col min="1293" max="1293" width="8" style="2" bestFit="1" customWidth="1"/>
    <col min="1294" max="1294" width="9" style="2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8" width="9" style="2"/>
    <col min="1549" max="1549" width="8" style="2" bestFit="1" customWidth="1"/>
    <col min="1550" max="1550" width="9" style="2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4" width="9" style="2"/>
    <col min="1805" max="1805" width="8" style="2" bestFit="1" customWidth="1"/>
    <col min="1806" max="1806" width="9" style="2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60" width="9" style="2"/>
    <col min="2061" max="2061" width="8" style="2" bestFit="1" customWidth="1"/>
    <col min="2062" max="2062" width="9" style="2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6" width="9" style="2"/>
    <col min="2317" max="2317" width="8" style="2" bestFit="1" customWidth="1"/>
    <col min="2318" max="2318" width="9" style="2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2" width="9" style="2"/>
    <col min="2573" max="2573" width="8" style="2" bestFit="1" customWidth="1"/>
    <col min="2574" max="2574" width="9" style="2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8" width="9" style="2"/>
    <col min="2829" max="2829" width="8" style="2" bestFit="1" customWidth="1"/>
    <col min="2830" max="2830" width="9" style="2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4" width="9" style="2"/>
    <col min="3085" max="3085" width="8" style="2" bestFit="1" customWidth="1"/>
    <col min="3086" max="3086" width="9" style="2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40" width="9" style="2"/>
    <col min="3341" max="3341" width="8" style="2" bestFit="1" customWidth="1"/>
    <col min="3342" max="3342" width="9" style="2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6" width="9" style="2"/>
    <col min="3597" max="3597" width="8" style="2" bestFit="1" customWidth="1"/>
    <col min="3598" max="3598" width="9" style="2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2" width="9" style="2"/>
    <col min="3853" max="3853" width="8" style="2" bestFit="1" customWidth="1"/>
    <col min="3854" max="3854" width="9" style="2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8" width="9" style="2"/>
    <col min="4109" max="4109" width="8" style="2" bestFit="1" customWidth="1"/>
    <col min="4110" max="4110" width="9" style="2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4" width="9" style="2"/>
    <col min="4365" max="4365" width="8" style="2" bestFit="1" customWidth="1"/>
    <col min="4366" max="4366" width="9" style="2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20" width="9" style="2"/>
    <col min="4621" max="4621" width="8" style="2" bestFit="1" customWidth="1"/>
    <col min="4622" max="4622" width="9" style="2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6" width="9" style="2"/>
    <col min="4877" max="4877" width="8" style="2" bestFit="1" customWidth="1"/>
    <col min="4878" max="4878" width="9" style="2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2" width="9" style="2"/>
    <col min="5133" max="5133" width="8" style="2" bestFit="1" customWidth="1"/>
    <col min="5134" max="5134" width="9" style="2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8" width="9" style="2"/>
    <col min="5389" max="5389" width="8" style="2" bestFit="1" customWidth="1"/>
    <col min="5390" max="5390" width="9" style="2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4" width="9" style="2"/>
    <col min="5645" max="5645" width="8" style="2" bestFit="1" customWidth="1"/>
    <col min="5646" max="5646" width="9" style="2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900" width="9" style="2"/>
    <col min="5901" max="5901" width="8" style="2" bestFit="1" customWidth="1"/>
    <col min="5902" max="5902" width="9" style="2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6" width="9" style="2"/>
    <col min="6157" max="6157" width="8" style="2" bestFit="1" customWidth="1"/>
    <col min="6158" max="6158" width="9" style="2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2" width="9" style="2"/>
    <col min="6413" max="6413" width="8" style="2" bestFit="1" customWidth="1"/>
    <col min="6414" max="6414" width="9" style="2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8" width="9" style="2"/>
    <col min="6669" max="6669" width="8" style="2" bestFit="1" customWidth="1"/>
    <col min="6670" max="6670" width="9" style="2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4" width="9" style="2"/>
    <col min="6925" max="6925" width="8" style="2" bestFit="1" customWidth="1"/>
    <col min="6926" max="6926" width="9" style="2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80" width="9" style="2"/>
    <col min="7181" max="7181" width="8" style="2" bestFit="1" customWidth="1"/>
    <col min="7182" max="7182" width="9" style="2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6" width="9" style="2"/>
    <col min="7437" max="7437" width="8" style="2" bestFit="1" customWidth="1"/>
    <col min="7438" max="7438" width="9" style="2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2" width="9" style="2"/>
    <col min="7693" max="7693" width="8" style="2" bestFit="1" customWidth="1"/>
    <col min="7694" max="7694" width="9" style="2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8" width="9" style="2"/>
    <col min="7949" max="7949" width="8" style="2" bestFit="1" customWidth="1"/>
    <col min="7950" max="7950" width="9" style="2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4" width="9" style="2"/>
    <col min="8205" max="8205" width="8" style="2" bestFit="1" customWidth="1"/>
    <col min="8206" max="8206" width="9" style="2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60" width="9" style="2"/>
    <col min="8461" max="8461" width="8" style="2" bestFit="1" customWidth="1"/>
    <col min="8462" max="8462" width="9" style="2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6" width="9" style="2"/>
    <col min="8717" max="8717" width="8" style="2" bestFit="1" customWidth="1"/>
    <col min="8718" max="8718" width="9" style="2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2" width="9" style="2"/>
    <col min="8973" max="8973" width="8" style="2" bestFit="1" customWidth="1"/>
    <col min="8974" max="8974" width="9" style="2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8" width="9" style="2"/>
    <col min="9229" max="9229" width="8" style="2" bestFit="1" customWidth="1"/>
    <col min="9230" max="9230" width="9" style="2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4" width="9" style="2"/>
    <col min="9485" max="9485" width="8" style="2" bestFit="1" customWidth="1"/>
    <col min="9486" max="9486" width="9" style="2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40" width="9" style="2"/>
    <col min="9741" max="9741" width="8" style="2" bestFit="1" customWidth="1"/>
    <col min="9742" max="9742" width="9" style="2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6" width="9" style="2"/>
    <col min="9997" max="9997" width="8" style="2" bestFit="1" customWidth="1"/>
    <col min="9998" max="9998" width="9" style="2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2" width="9" style="2"/>
    <col min="10253" max="10253" width="8" style="2" bestFit="1" customWidth="1"/>
    <col min="10254" max="10254" width="9" style="2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8" width="9" style="2"/>
    <col min="10509" max="10509" width="8" style="2" bestFit="1" customWidth="1"/>
    <col min="10510" max="10510" width="9" style="2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4" width="9" style="2"/>
    <col min="10765" max="10765" width="8" style="2" bestFit="1" customWidth="1"/>
    <col min="10766" max="10766" width="9" style="2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20" width="9" style="2"/>
    <col min="11021" max="11021" width="8" style="2" bestFit="1" customWidth="1"/>
    <col min="11022" max="11022" width="9" style="2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6" width="9" style="2"/>
    <col min="11277" max="11277" width="8" style="2" bestFit="1" customWidth="1"/>
    <col min="11278" max="11278" width="9" style="2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2" width="9" style="2"/>
    <col min="11533" max="11533" width="8" style="2" bestFit="1" customWidth="1"/>
    <col min="11534" max="11534" width="9" style="2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8" width="9" style="2"/>
    <col min="11789" max="11789" width="8" style="2" bestFit="1" customWidth="1"/>
    <col min="11790" max="11790" width="9" style="2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4" width="9" style="2"/>
    <col min="12045" max="12045" width="8" style="2" bestFit="1" customWidth="1"/>
    <col min="12046" max="12046" width="9" style="2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300" width="9" style="2"/>
    <col min="12301" max="12301" width="8" style="2" bestFit="1" customWidth="1"/>
    <col min="12302" max="12302" width="9" style="2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6" width="9" style="2"/>
    <col min="12557" max="12557" width="8" style="2" bestFit="1" customWidth="1"/>
    <col min="12558" max="12558" width="9" style="2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2" width="9" style="2"/>
    <col min="12813" max="12813" width="8" style="2" bestFit="1" customWidth="1"/>
    <col min="12814" max="12814" width="9" style="2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8" width="9" style="2"/>
    <col min="13069" max="13069" width="8" style="2" bestFit="1" customWidth="1"/>
    <col min="13070" max="13070" width="9" style="2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4" width="9" style="2"/>
    <col min="13325" max="13325" width="8" style="2" bestFit="1" customWidth="1"/>
    <col min="13326" max="13326" width="9" style="2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80" width="9" style="2"/>
    <col min="13581" max="13581" width="8" style="2" bestFit="1" customWidth="1"/>
    <col min="13582" max="13582" width="9" style="2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6" width="9" style="2"/>
    <col min="13837" max="13837" width="8" style="2" bestFit="1" customWidth="1"/>
    <col min="13838" max="13838" width="9" style="2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2" width="9" style="2"/>
    <col min="14093" max="14093" width="8" style="2" bestFit="1" customWidth="1"/>
    <col min="14094" max="14094" width="9" style="2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8" width="9" style="2"/>
    <col min="14349" max="14349" width="8" style="2" bestFit="1" customWidth="1"/>
    <col min="14350" max="14350" width="9" style="2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4" width="9" style="2"/>
    <col min="14605" max="14605" width="8" style="2" bestFit="1" customWidth="1"/>
    <col min="14606" max="14606" width="9" style="2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60" width="9" style="2"/>
    <col min="14861" max="14861" width="8" style="2" bestFit="1" customWidth="1"/>
    <col min="14862" max="14862" width="9" style="2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6" width="9" style="2"/>
    <col min="15117" max="15117" width="8" style="2" bestFit="1" customWidth="1"/>
    <col min="15118" max="15118" width="9" style="2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2" width="9" style="2"/>
    <col min="15373" max="15373" width="8" style="2" bestFit="1" customWidth="1"/>
    <col min="15374" max="15374" width="9" style="2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8" width="9" style="2"/>
    <col min="15629" max="15629" width="8" style="2" bestFit="1" customWidth="1"/>
    <col min="15630" max="15630" width="9" style="2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4" width="9" style="2"/>
    <col min="15885" max="15885" width="8" style="2" bestFit="1" customWidth="1"/>
    <col min="15886" max="15886" width="9" style="2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40" width="9" style="2"/>
    <col min="16141" max="16141" width="8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>
      <c r="A3" s="1" t="s">
        <v>2</v>
      </c>
    </row>
    <row r="4" spans="1:17" ht="19.5" thickBot="1">
      <c r="A4" s="1" t="s">
        <v>79</v>
      </c>
    </row>
    <row r="5" spans="1:17">
      <c r="B5" s="3"/>
      <c r="C5" s="11" t="s">
        <v>7</v>
      </c>
      <c r="D5" s="11" t="s">
        <v>13</v>
      </c>
      <c r="E5" s="32" t="s">
        <v>9</v>
      </c>
      <c r="F5" s="43" t="s">
        <v>80</v>
      </c>
      <c r="G5" s="10" t="s">
        <v>4</v>
      </c>
      <c r="H5" s="11" t="s">
        <v>5</v>
      </c>
      <c r="I5" s="11" t="s">
        <v>6</v>
      </c>
      <c r="J5" s="11" t="s">
        <v>8</v>
      </c>
      <c r="K5" s="11" t="s">
        <v>10</v>
      </c>
      <c r="L5" s="11" t="s">
        <v>11</v>
      </c>
      <c r="M5" s="54" t="s">
        <v>12</v>
      </c>
      <c r="N5" s="43" t="s">
        <v>80</v>
      </c>
      <c r="O5" s="66"/>
    </row>
    <row r="6" spans="1:17" ht="19.5" thickBot="1">
      <c r="A6" s="68"/>
      <c r="B6" s="4" t="s">
        <v>14</v>
      </c>
      <c r="C6" s="13" t="s">
        <v>18</v>
      </c>
      <c r="D6" s="13" t="s">
        <v>24</v>
      </c>
      <c r="E6" s="33" t="s">
        <v>20</v>
      </c>
      <c r="F6" s="44" t="s">
        <v>81</v>
      </c>
      <c r="G6" s="12" t="s">
        <v>15</v>
      </c>
      <c r="H6" s="13" t="s">
        <v>16</v>
      </c>
      <c r="I6" s="13" t="s">
        <v>17</v>
      </c>
      <c r="J6" s="13" t="s">
        <v>19</v>
      </c>
      <c r="K6" s="13" t="s">
        <v>21</v>
      </c>
      <c r="L6" s="13" t="s">
        <v>22</v>
      </c>
      <c r="M6" s="55" t="s">
        <v>23</v>
      </c>
      <c r="N6" s="44" t="s">
        <v>82</v>
      </c>
      <c r="O6" s="67" t="s">
        <v>25</v>
      </c>
    </row>
    <row r="7" spans="1:17">
      <c r="A7" s="1" t="s">
        <v>3</v>
      </c>
      <c r="B7" s="5" t="s">
        <v>26</v>
      </c>
      <c r="C7" s="15">
        <v>19</v>
      </c>
      <c r="D7" s="15">
        <v>21</v>
      </c>
      <c r="E7" s="34">
        <v>19</v>
      </c>
      <c r="F7" s="45">
        <f>SUM(C7:E7)</f>
        <v>59</v>
      </c>
      <c r="G7" s="14">
        <v>21</v>
      </c>
      <c r="H7" s="15">
        <v>16</v>
      </c>
      <c r="I7" s="15">
        <v>15</v>
      </c>
      <c r="J7" s="15">
        <v>20</v>
      </c>
      <c r="K7" s="15">
        <v>20</v>
      </c>
      <c r="L7" s="15">
        <v>20</v>
      </c>
      <c r="M7" s="56">
        <v>21</v>
      </c>
      <c r="N7" s="45">
        <f>SUM(G7:M7)</f>
        <v>133</v>
      </c>
      <c r="O7" s="45">
        <f>F7+N7</f>
        <v>192</v>
      </c>
      <c r="Q7"/>
    </row>
    <row r="8" spans="1:17">
      <c r="A8" s="1" t="s">
        <v>3</v>
      </c>
      <c r="B8" s="6" t="s">
        <v>27</v>
      </c>
      <c r="C8" s="17">
        <v>0</v>
      </c>
      <c r="D8" s="17">
        <v>0</v>
      </c>
      <c r="E8" s="35">
        <v>1</v>
      </c>
      <c r="F8" s="46">
        <f>SUM(C8:E8)</f>
        <v>1</v>
      </c>
      <c r="G8" s="16">
        <v>2</v>
      </c>
      <c r="H8" s="17">
        <v>3</v>
      </c>
      <c r="I8" s="17">
        <v>2</v>
      </c>
      <c r="J8" s="17">
        <v>2</v>
      </c>
      <c r="K8" s="17">
        <v>3</v>
      </c>
      <c r="L8" s="17">
        <v>1</v>
      </c>
      <c r="M8" s="57">
        <v>1</v>
      </c>
      <c r="N8" s="45">
        <f t="shared" ref="N8:N14" si="0">SUM(G8:M8)</f>
        <v>14</v>
      </c>
      <c r="O8" s="45">
        <f t="shared" ref="O8:O22" si="1">F8+N8</f>
        <v>15</v>
      </c>
      <c r="Q8"/>
    </row>
    <row r="9" spans="1:17">
      <c r="A9" s="1" t="s">
        <v>3</v>
      </c>
      <c r="B9" s="6" t="s">
        <v>28</v>
      </c>
      <c r="C9" s="17">
        <v>0</v>
      </c>
      <c r="D9" s="17">
        <v>0</v>
      </c>
      <c r="E9" s="35">
        <v>2</v>
      </c>
      <c r="F9" s="46">
        <f t="shared" ref="F9:F12" si="2">SUM(C9:E9)</f>
        <v>2</v>
      </c>
      <c r="G9" s="16">
        <v>1</v>
      </c>
      <c r="H9" s="17">
        <v>2</v>
      </c>
      <c r="I9" s="17">
        <v>3</v>
      </c>
      <c r="J9" s="17">
        <v>1</v>
      </c>
      <c r="K9" s="17">
        <v>1</v>
      </c>
      <c r="L9" s="17">
        <v>0</v>
      </c>
      <c r="M9" s="57">
        <v>1</v>
      </c>
      <c r="N9" s="45">
        <f t="shared" si="0"/>
        <v>9</v>
      </c>
      <c r="O9" s="45">
        <f t="shared" si="1"/>
        <v>11</v>
      </c>
      <c r="Q9"/>
    </row>
    <row r="10" spans="1:17">
      <c r="A10" s="1" t="s">
        <v>3</v>
      </c>
      <c r="B10" s="6" t="s">
        <v>29</v>
      </c>
      <c r="C10" s="17">
        <v>0</v>
      </c>
      <c r="D10" s="17">
        <v>0</v>
      </c>
      <c r="E10" s="35">
        <v>1</v>
      </c>
      <c r="F10" s="46">
        <f t="shared" si="2"/>
        <v>1</v>
      </c>
      <c r="G10" s="16">
        <v>0</v>
      </c>
      <c r="H10" s="17">
        <v>3</v>
      </c>
      <c r="I10" s="17">
        <v>5</v>
      </c>
      <c r="J10" s="17">
        <v>0</v>
      </c>
      <c r="K10" s="17">
        <v>0</v>
      </c>
      <c r="L10" s="17">
        <v>0</v>
      </c>
      <c r="M10" s="57">
        <v>0</v>
      </c>
      <c r="N10" s="45">
        <f t="shared" si="0"/>
        <v>8</v>
      </c>
      <c r="O10" s="45">
        <f t="shared" si="1"/>
        <v>9</v>
      </c>
      <c r="Q10"/>
    </row>
    <row r="11" spans="1:17">
      <c r="A11" s="1" t="s">
        <v>3</v>
      </c>
      <c r="B11" s="6" t="s">
        <v>30</v>
      </c>
      <c r="C11" s="17">
        <v>3</v>
      </c>
      <c r="D11" s="17">
        <v>2.5</v>
      </c>
      <c r="E11" s="35">
        <v>3.5</v>
      </c>
      <c r="F11" s="46">
        <f t="shared" si="2"/>
        <v>9</v>
      </c>
      <c r="G11" s="16">
        <v>2</v>
      </c>
      <c r="H11" s="17">
        <v>4</v>
      </c>
      <c r="I11" s="17">
        <v>3</v>
      </c>
      <c r="J11" s="17">
        <v>3</v>
      </c>
      <c r="K11" s="17">
        <v>2</v>
      </c>
      <c r="L11" s="17">
        <v>2</v>
      </c>
      <c r="M11" s="57">
        <v>2</v>
      </c>
      <c r="N11" s="45">
        <f t="shared" si="0"/>
        <v>18</v>
      </c>
      <c r="O11" s="45">
        <f t="shared" si="1"/>
        <v>27</v>
      </c>
      <c r="Q11"/>
    </row>
    <row r="12" spans="1:17">
      <c r="A12" s="1" t="s">
        <v>3</v>
      </c>
      <c r="B12" s="6" t="s">
        <v>31</v>
      </c>
      <c r="C12" s="17">
        <v>1</v>
      </c>
      <c r="D12" s="17">
        <v>0</v>
      </c>
      <c r="E12" s="35">
        <v>0</v>
      </c>
      <c r="F12" s="46">
        <f t="shared" si="2"/>
        <v>1</v>
      </c>
      <c r="G12" s="16">
        <v>0</v>
      </c>
      <c r="H12" s="17">
        <v>0</v>
      </c>
      <c r="I12" s="17">
        <v>0</v>
      </c>
      <c r="J12" s="17">
        <v>0</v>
      </c>
      <c r="K12" s="17">
        <v>1</v>
      </c>
      <c r="L12" s="17">
        <v>0</v>
      </c>
      <c r="M12" s="57">
        <v>0</v>
      </c>
      <c r="N12" s="45">
        <f t="shared" si="0"/>
        <v>1</v>
      </c>
      <c r="O12" s="45">
        <f t="shared" si="1"/>
        <v>2</v>
      </c>
      <c r="Q12"/>
    </row>
    <row r="13" spans="1:17">
      <c r="A13" s="1" t="s">
        <v>3</v>
      </c>
      <c r="B13" s="6" t="s">
        <v>32</v>
      </c>
      <c r="C13" s="17">
        <v>0</v>
      </c>
      <c r="D13" s="17">
        <v>0</v>
      </c>
      <c r="E13" s="35">
        <v>0</v>
      </c>
      <c r="F13" s="46"/>
      <c r="G13" s="16">
        <v>0</v>
      </c>
      <c r="H13" s="17">
        <v>0</v>
      </c>
      <c r="I13" s="17">
        <v>0</v>
      </c>
      <c r="J13" s="17">
        <v>0</v>
      </c>
      <c r="K13" s="17">
        <v>0</v>
      </c>
      <c r="L13" s="17">
        <v>1</v>
      </c>
      <c r="M13" s="57">
        <v>0</v>
      </c>
      <c r="N13" s="45">
        <f t="shared" si="0"/>
        <v>1</v>
      </c>
      <c r="O13" s="45">
        <f t="shared" si="1"/>
        <v>1</v>
      </c>
      <c r="Q13"/>
    </row>
    <row r="14" spans="1:17">
      <c r="A14" s="1" t="s">
        <v>3</v>
      </c>
      <c r="B14" s="6" t="s">
        <v>33</v>
      </c>
      <c r="C14" s="17">
        <v>0</v>
      </c>
      <c r="D14" s="17">
        <v>0</v>
      </c>
      <c r="E14" s="35">
        <v>0</v>
      </c>
      <c r="F14" s="46"/>
      <c r="G14" s="16">
        <v>0</v>
      </c>
      <c r="H14" s="17">
        <v>0</v>
      </c>
      <c r="I14" s="17">
        <v>0</v>
      </c>
      <c r="J14" s="17">
        <v>0</v>
      </c>
      <c r="K14" s="17">
        <v>0</v>
      </c>
      <c r="L14" s="17">
        <v>1</v>
      </c>
      <c r="M14" s="57">
        <v>0</v>
      </c>
      <c r="N14" s="45">
        <f t="shared" si="0"/>
        <v>1</v>
      </c>
      <c r="O14" s="45">
        <f t="shared" si="1"/>
        <v>1</v>
      </c>
      <c r="Q14"/>
    </row>
    <row r="15" spans="1:17">
      <c r="A15" s="1" t="s">
        <v>3</v>
      </c>
      <c r="B15" s="6" t="s">
        <v>34</v>
      </c>
      <c r="C15" s="19">
        <v>0</v>
      </c>
      <c r="D15" s="19">
        <v>0</v>
      </c>
      <c r="E15" s="36">
        <v>4.1666666666666664E-2</v>
      </c>
      <c r="F15" s="47">
        <f>SUM(C15:E15)</f>
        <v>4.1666666666666664E-2</v>
      </c>
      <c r="G15" s="18">
        <v>1.5833333333333335</v>
      </c>
      <c r="H15" s="19">
        <v>0.5</v>
      </c>
      <c r="I15" s="19">
        <v>0.625</v>
      </c>
      <c r="J15" s="19">
        <v>1.5833333333333335</v>
      </c>
      <c r="K15" s="19">
        <v>1.625</v>
      </c>
      <c r="L15" s="19">
        <v>1.25</v>
      </c>
      <c r="M15" s="58">
        <v>1.875</v>
      </c>
      <c r="N15" s="47">
        <f>SUM(G15:M15)</f>
        <v>9.0416666666666679</v>
      </c>
      <c r="O15" s="47">
        <f t="shared" si="1"/>
        <v>9.0833333333333339</v>
      </c>
      <c r="Q15"/>
    </row>
    <row r="16" spans="1:17">
      <c r="A16" s="1" t="s">
        <v>3</v>
      </c>
      <c r="B16" s="6" t="s">
        <v>35</v>
      </c>
      <c r="C16" s="19">
        <v>0</v>
      </c>
      <c r="D16" s="19">
        <v>0</v>
      </c>
      <c r="E16" s="36">
        <v>0</v>
      </c>
      <c r="F16" s="47"/>
      <c r="G16" s="18">
        <v>0.54166666666666663</v>
      </c>
      <c r="H16" s="19">
        <v>0.66666666666666663</v>
      </c>
      <c r="I16" s="19">
        <v>0</v>
      </c>
      <c r="J16" s="19">
        <v>0.75</v>
      </c>
      <c r="K16" s="19">
        <v>0.95833333333333337</v>
      </c>
      <c r="L16" s="19">
        <v>0.29166666666666669</v>
      </c>
      <c r="M16" s="58">
        <v>0.375</v>
      </c>
      <c r="N16" s="47">
        <f t="shared" ref="N16:N19" si="3">SUM(G16:M16)</f>
        <v>3.583333333333333</v>
      </c>
      <c r="O16" s="47">
        <f t="shared" si="1"/>
        <v>3.583333333333333</v>
      </c>
      <c r="Q16"/>
    </row>
    <row r="17" spans="1:17">
      <c r="A17" s="1" t="s">
        <v>3</v>
      </c>
      <c r="B17" s="6" t="s">
        <v>36</v>
      </c>
      <c r="C17" s="19">
        <v>0</v>
      </c>
      <c r="D17" s="19">
        <v>0</v>
      </c>
      <c r="E17" s="36">
        <v>0.33333333333333331</v>
      </c>
      <c r="F17" s="47">
        <f>SUM(C17:E17)</f>
        <v>0.33333333333333331</v>
      </c>
      <c r="G17" s="18">
        <v>0.29166666666666669</v>
      </c>
      <c r="H17" s="19">
        <v>0</v>
      </c>
      <c r="I17" s="19">
        <v>0</v>
      </c>
      <c r="J17" s="19">
        <v>0.375</v>
      </c>
      <c r="K17" s="19">
        <v>0.33333333333333331</v>
      </c>
      <c r="L17" s="19">
        <v>0</v>
      </c>
      <c r="M17" s="58">
        <v>0.20833333333333334</v>
      </c>
      <c r="N17" s="47">
        <f t="shared" si="3"/>
        <v>1.2083333333333333</v>
      </c>
      <c r="O17" s="47">
        <f t="shared" si="1"/>
        <v>1.5416666666666665</v>
      </c>
      <c r="Q17"/>
    </row>
    <row r="18" spans="1:17">
      <c r="A18" s="1" t="s">
        <v>3</v>
      </c>
      <c r="B18" s="6" t="s">
        <v>37</v>
      </c>
      <c r="C18" s="19">
        <v>0</v>
      </c>
      <c r="D18" s="19">
        <v>0</v>
      </c>
      <c r="E18" s="36">
        <v>0.125</v>
      </c>
      <c r="F18" s="47">
        <f>SUM(C18:E18)</f>
        <v>0.125</v>
      </c>
      <c r="G18" s="18">
        <v>0</v>
      </c>
      <c r="H18" s="19">
        <v>0.33333333333333331</v>
      </c>
      <c r="I18" s="19">
        <v>0.75</v>
      </c>
      <c r="J18" s="19">
        <v>0</v>
      </c>
      <c r="K18" s="19">
        <v>0</v>
      </c>
      <c r="L18" s="19">
        <v>0</v>
      </c>
      <c r="M18" s="58">
        <v>0</v>
      </c>
      <c r="N18" s="47">
        <f t="shared" si="3"/>
        <v>1.0833333333333333</v>
      </c>
      <c r="O18" s="47">
        <f t="shared" si="1"/>
        <v>1.2083333333333333</v>
      </c>
      <c r="Q18"/>
    </row>
    <row r="19" spans="1:17">
      <c r="A19" s="1" t="s">
        <v>3</v>
      </c>
      <c r="B19" s="6" t="s">
        <v>38</v>
      </c>
      <c r="C19" s="19">
        <v>0</v>
      </c>
      <c r="D19" s="19">
        <v>0</v>
      </c>
      <c r="E19" s="36">
        <v>0</v>
      </c>
      <c r="F19" s="47"/>
      <c r="G19" s="18">
        <v>0</v>
      </c>
      <c r="H19" s="19">
        <v>0.66666666666666663</v>
      </c>
      <c r="I19" s="19">
        <v>1.0833333333333333</v>
      </c>
      <c r="J19" s="19">
        <v>0</v>
      </c>
      <c r="K19" s="19">
        <v>0</v>
      </c>
      <c r="L19" s="19">
        <v>0</v>
      </c>
      <c r="M19" s="58">
        <v>0</v>
      </c>
      <c r="N19" s="47">
        <f t="shared" si="3"/>
        <v>1.75</v>
      </c>
      <c r="O19" s="47">
        <f t="shared" si="1"/>
        <v>1.75</v>
      </c>
      <c r="Q19"/>
    </row>
    <row r="20" spans="1:17">
      <c r="A20" s="1" t="s">
        <v>3</v>
      </c>
      <c r="B20" s="6" t="s">
        <v>39</v>
      </c>
      <c r="C20" s="19">
        <v>0</v>
      </c>
      <c r="D20" s="19">
        <v>0</v>
      </c>
      <c r="E20" s="36">
        <v>0.25</v>
      </c>
      <c r="F20" s="47">
        <f>SUM(C20:E20)</f>
        <v>0.25</v>
      </c>
      <c r="G20" s="18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58">
        <v>0</v>
      </c>
      <c r="N20" s="47"/>
      <c r="O20" s="47">
        <f t="shared" si="1"/>
        <v>0.25</v>
      </c>
      <c r="Q20"/>
    </row>
    <row r="21" spans="1:17">
      <c r="A21" s="1" t="s">
        <v>3</v>
      </c>
      <c r="B21" s="6" t="s">
        <v>40</v>
      </c>
      <c r="C21" s="19">
        <v>0.20833333333333334</v>
      </c>
      <c r="D21" s="19">
        <v>0</v>
      </c>
      <c r="E21" s="36">
        <v>0</v>
      </c>
      <c r="F21" s="47">
        <f>SUM(C21:E21)</f>
        <v>0.20833333333333334</v>
      </c>
      <c r="G21" s="18">
        <v>0.875</v>
      </c>
      <c r="H21" s="19">
        <v>2.9583333333333335</v>
      </c>
      <c r="I21" s="19">
        <v>2.25</v>
      </c>
      <c r="J21" s="19">
        <v>0.45833333333333331</v>
      </c>
      <c r="K21" s="19">
        <v>1.0833333333333333</v>
      </c>
      <c r="L21" s="19">
        <v>0.375</v>
      </c>
      <c r="M21" s="58">
        <v>0.91666666666666663</v>
      </c>
      <c r="N21" s="47">
        <f>SUM(G21:M21)</f>
        <v>8.9166666666666661</v>
      </c>
      <c r="O21" s="47">
        <f t="shared" si="1"/>
        <v>9.125</v>
      </c>
      <c r="Q21"/>
    </row>
    <row r="22" spans="1:17" ht="19.5" thickBot="1">
      <c r="A22" s="1" t="s">
        <v>3</v>
      </c>
      <c r="B22" s="7" t="s">
        <v>41</v>
      </c>
      <c r="C22" s="21">
        <v>34.5</v>
      </c>
      <c r="D22" s="21">
        <v>11.5</v>
      </c>
      <c r="E22" s="37">
        <v>13.5</v>
      </c>
      <c r="F22" s="48">
        <f>SUM(C22:E22)</f>
        <v>59.5</v>
      </c>
      <c r="G22" s="20">
        <v>29</v>
      </c>
      <c r="H22" s="21">
        <v>24</v>
      </c>
      <c r="I22" s="21">
        <v>28</v>
      </c>
      <c r="J22" s="21">
        <v>33</v>
      </c>
      <c r="K22" s="21">
        <v>7</v>
      </c>
      <c r="L22" s="21">
        <v>19</v>
      </c>
      <c r="M22" s="59">
        <v>14</v>
      </c>
      <c r="N22" s="65">
        <f>SUM(G22:M22)</f>
        <v>154</v>
      </c>
      <c r="O22" s="65">
        <f t="shared" si="1"/>
        <v>213.5</v>
      </c>
      <c r="Q22"/>
    </row>
    <row r="23" spans="1:17">
      <c r="A23" s="1" t="s">
        <v>3</v>
      </c>
      <c r="B23" s="5" t="s">
        <v>42</v>
      </c>
      <c r="C23" s="23">
        <v>335000</v>
      </c>
      <c r="D23" s="23">
        <v>335000</v>
      </c>
      <c r="E23" s="38">
        <v>170000</v>
      </c>
      <c r="F23" s="49">
        <f>SUM(C23:E23)</f>
        <v>840000</v>
      </c>
      <c r="G23" s="22">
        <v>182000</v>
      </c>
      <c r="H23" s="23">
        <v>177000</v>
      </c>
      <c r="I23" s="23">
        <v>177000</v>
      </c>
      <c r="J23" s="23">
        <v>182000</v>
      </c>
      <c r="K23" s="23">
        <v>170000</v>
      </c>
      <c r="L23" s="23">
        <v>170000</v>
      </c>
      <c r="M23" s="60">
        <v>170000</v>
      </c>
      <c r="N23" s="49">
        <f>SUM(G23:M23)</f>
        <v>1228000</v>
      </c>
      <c r="O23" s="49">
        <f>F23+N23</f>
        <v>2068000</v>
      </c>
      <c r="Q23"/>
    </row>
    <row r="24" spans="1:17">
      <c r="A24" s="1" t="s">
        <v>3</v>
      </c>
      <c r="B24" s="6" t="s">
        <v>43</v>
      </c>
      <c r="C24" s="25">
        <v>0</v>
      </c>
      <c r="D24" s="25">
        <v>0</v>
      </c>
      <c r="E24" s="39">
        <v>0</v>
      </c>
      <c r="F24" s="50">
        <f t="shared" ref="F24:F59" si="4">SUM(C24:E24)</f>
        <v>0</v>
      </c>
      <c r="G24" s="24">
        <v>5000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61">
        <v>0</v>
      </c>
      <c r="N24" s="50">
        <f t="shared" ref="N24:N59" si="5">SUM(G24:M24)</f>
        <v>5000</v>
      </c>
      <c r="O24" s="50">
        <f t="shared" ref="O24:O59" si="6">F24+N24</f>
        <v>5000</v>
      </c>
      <c r="Q24"/>
    </row>
    <row r="25" spans="1:17">
      <c r="A25" s="1" t="s">
        <v>3</v>
      </c>
      <c r="B25" s="6" t="s">
        <v>44</v>
      </c>
      <c r="C25" s="25">
        <v>0</v>
      </c>
      <c r="D25" s="25">
        <v>0</v>
      </c>
      <c r="E25" s="39">
        <v>0</v>
      </c>
      <c r="F25" s="50">
        <f t="shared" si="4"/>
        <v>0</v>
      </c>
      <c r="G25" s="24">
        <v>3000</v>
      </c>
      <c r="H25" s="25">
        <v>10000</v>
      </c>
      <c r="I25" s="25">
        <v>0</v>
      </c>
      <c r="J25" s="25">
        <v>0</v>
      </c>
      <c r="K25" s="25">
        <v>0</v>
      </c>
      <c r="L25" s="25">
        <v>0</v>
      </c>
      <c r="M25" s="61">
        <v>0</v>
      </c>
      <c r="N25" s="50">
        <f t="shared" si="5"/>
        <v>13000</v>
      </c>
      <c r="O25" s="50">
        <f t="shared" si="6"/>
        <v>13000</v>
      </c>
      <c r="Q25"/>
    </row>
    <row r="26" spans="1:17">
      <c r="A26" s="1" t="s">
        <v>3</v>
      </c>
      <c r="B26" s="6" t="s">
        <v>45</v>
      </c>
      <c r="C26" s="25">
        <v>0</v>
      </c>
      <c r="D26" s="25">
        <v>0</v>
      </c>
      <c r="E26" s="39">
        <v>0</v>
      </c>
      <c r="F26" s="50">
        <f t="shared" si="4"/>
        <v>0</v>
      </c>
      <c r="G26" s="24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61">
        <v>0</v>
      </c>
      <c r="N26" s="50">
        <f t="shared" si="5"/>
        <v>0</v>
      </c>
      <c r="O26" s="50">
        <f t="shared" si="6"/>
        <v>0</v>
      </c>
      <c r="Q26"/>
    </row>
    <row r="27" spans="1:17">
      <c r="A27" s="1" t="s">
        <v>3</v>
      </c>
      <c r="B27" s="6" t="s">
        <v>46</v>
      </c>
      <c r="C27" s="25">
        <v>0</v>
      </c>
      <c r="D27" s="25">
        <v>0</v>
      </c>
      <c r="E27" s="39">
        <v>0</v>
      </c>
      <c r="F27" s="50">
        <f t="shared" si="4"/>
        <v>0</v>
      </c>
      <c r="G27" s="24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61">
        <v>0</v>
      </c>
      <c r="N27" s="50">
        <f t="shared" si="5"/>
        <v>0</v>
      </c>
      <c r="O27" s="50">
        <f t="shared" si="6"/>
        <v>0</v>
      </c>
      <c r="Q27"/>
    </row>
    <row r="28" spans="1:17">
      <c r="A28" s="1" t="s">
        <v>3</v>
      </c>
      <c r="B28" s="6" t="s">
        <v>47</v>
      </c>
      <c r="C28" s="25">
        <v>0</v>
      </c>
      <c r="D28" s="25">
        <v>0</v>
      </c>
      <c r="E28" s="39">
        <v>0</v>
      </c>
      <c r="F28" s="50">
        <f t="shared" si="4"/>
        <v>0</v>
      </c>
      <c r="G28" s="24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61">
        <v>0</v>
      </c>
      <c r="N28" s="50">
        <f t="shared" si="5"/>
        <v>0</v>
      </c>
      <c r="O28" s="50">
        <f t="shared" si="6"/>
        <v>0</v>
      </c>
      <c r="Q28"/>
    </row>
    <row r="29" spans="1:17">
      <c r="A29" s="1" t="s">
        <v>3</v>
      </c>
      <c r="B29" s="6" t="s">
        <v>48</v>
      </c>
      <c r="C29" s="25">
        <v>0</v>
      </c>
      <c r="D29" s="25">
        <v>0</v>
      </c>
      <c r="E29" s="39">
        <v>0</v>
      </c>
      <c r="F29" s="50">
        <f t="shared" si="4"/>
        <v>0</v>
      </c>
      <c r="G29" s="24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61">
        <v>0</v>
      </c>
      <c r="N29" s="50">
        <f t="shared" si="5"/>
        <v>0</v>
      </c>
      <c r="O29" s="50">
        <f t="shared" si="6"/>
        <v>0</v>
      </c>
      <c r="Q29"/>
    </row>
    <row r="30" spans="1:17">
      <c r="A30" s="1" t="s">
        <v>3</v>
      </c>
      <c r="B30" s="6" t="s">
        <v>49</v>
      </c>
      <c r="C30" s="25">
        <v>0</v>
      </c>
      <c r="D30" s="25">
        <v>0</v>
      </c>
      <c r="E30" s="39">
        <v>0</v>
      </c>
      <c r="F30" s="50">
        <f t="shared" si="4"/>
        <v>0</v>
      </c>
      <c r="G30" s="24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61">
        <v>0</v>
      </c>
      <c r="N30" s="50">
        <f t="shared" si="5"/>
        <v>0</v>
      </c>
      <c r="O30" s="50">
        <f t="shared" si="6"/>
        <v>0</v>
      </c>
      <c r="Q30"/>
    </row>
    <row r="31" spans="1:17">
      <c r="A31" s="1" t="s">
        <v>3</v>
      </c>
      <c r="B31" s="6" t="s">
        <v>50</v>
      </c>
      <c r="C31" s="25">
        <v>0</v>
      </c>
      <c r="D31" s="25">
        <v>0</v>
      </c>
      <c r="E31" s="39">
        <v>0</v>
      </c>
      <c r="F31" s="50">
        <f t="shared" si="4"/>
        <v>0</v>
      </c>
      <c r="G31" s="24">
        <v>0</v>
      </c>
      <c r="H31" s="25">
        <v>12600</v>
      </c>
      <c r="I31" s="25">
        <v>0</v>
      </c>
      <c r="J31" s="25">
        <v>0</v>
      </c>
      <c r="K31" s="25">
        <v>0</v>
      </c>
      <c r="L31" s="25">
        <v>0</v>
      </c>
      <c r="M31" s="61">
        <v>0</v>
      </c>
      <c r="N31" s="50">
        <f t="shared" si="5"/>
        <v>12600</v>
      </c>
      <c r="O31" s="50">
        <f t="shared" si="6"/>
        <v>12600</v>
      </c>
      <c r="Q31"/>
    </row>
    <row r="32" spans="1:17">
      <c r="A32" s="1" t="s">
        <v>3</v>
      </c>
      <c r="B32" s="6" t="s">
        <v>51</v>
      </c>
      <c r="C32" s="25">
        <v>0</v>
      </c>
      <c r="D32" s="25">
        <v>0</v>
      </c>
      <c r="E32" s="39">
        <v>0</v>
      </c>
      <c r="F32" s="50">
        <f t="shared" si="4"/>
        <v>0</v>
      </c>
      <c r="G32" s="24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61">
        <v>0</v>
      </c>
      <c r="N32" s="50">
        <f t="shared" si="5"/>
        <v>0</v>
      </c>
      <c r="O32" s="50">
        <f t="shared" si="6"/>
        <v>0</v>
      </c>
      <c r="Q32"/>
    </row>
    <row r="33" spans="1:17">
      <c r="A33" s="1" t="s">
        <v>3</v>
      </c>
      <c r="B33" s="6" t="s">
        <v>52</v>
      </c>
      <c r="C33" s="25">
        <v>0</v>
      </c>
      <c r="D33" s="25">
        <v>0</v>
      </c>
      <c r="E33" s="39">
        <v>0</v>
      </c>
      <c r="F33" s="50">
        <f t="shared" si="4"/>
        <v>0</v>
      </c>
      <c r="G33" s="24">
        <v>0</v>
      </c>
      <c r="H33" s="25">
        <v>0</v>
      </c>
      <c r="I33" s="25">
        <v>0</v>
      </c>
      <c r="J33" s="25">
        <v>0</v>
      </c>
      <c r="K33" s="25">
        <v>0</v>
      </c>
      <c r="L33" s="69">
        <v>-8133</v>
      </c>
      <c r="M33" s="70">
        <v>0</v>
      </c>
      <c r="N33" s="71">
        <f t="shared" si="5"/>
        <v>-8133</v>
      </c>
      <c r="O33" s="71">
        <f t="shared" si="6"/>
        <v>-8133</v>
      </c>
      <c r="Q33"/>
    </row>
    <row r="34" spans="1:17">
      <c r="A34" s="1" t="s">
        <v>3</v>
      </c>
      <c r="B34" s="6" t="s">
        <v>34</v>
      </c>
      <c r="C34" s="25">
        <v>0</v>
      </c>
      <c r="D34" s="25">
        <v>0</v>
      </c>
      <c r="E34" s="39">
        <v>1455</v>
      </c>
      <c r="F34" s="50">
        <f t="shared" si="4"/>
        <v>1455</v>
      </c>
      <c r="G34" s="24">
        <v>54074</v>
      </c>
      <c r="H34" s="25">
        <v>17928</v>
      </c>
      <c r="I34" s="25">
        <v>19875</v>
      </c>
      <c r="J34" s="25">
        <v>51794</v>
      </c>
      <c r="K34" s="25">
        <v>49647</v>
      </c>
      <c r="L34" s="25">
        <v>38190</v>
      </c>
      <c r="M34" s="61">
        <v>57285</v>
      </c>
      <c r="N34" s="50">
        <f t="shared" si="5"/>
        <v>288793</v>
      </c>
      <c r="O34" s="50">
        <f t="shared" si="6"/>
        <v>290248</v>
      </c>
      <c r="Q34"/>
    </row>
    <row r="35" spans="1:17">
      <c r="A35" s="1" t="s">
        <v>3</v>
      </c>
      <c r="B35" s="6" t="s">
        <v>53</v>
      </c>
      <c r="C35" s="25">
        <v>0</v>
      </c>
      <c r="D35" s="25">
        <v>0</v>
      </c>
      <c r="E35" s="39">
        <v>0</v>
      </c>
      <c r="F35" s="50">
        <f t="shared" si="4"/>
        <v>0</v>
      </c>
      <c r="G35" s="24">
        <v>19968</v>
      </c>
      <c r="H35" s="25">
        <v>25808</v>
      </c>
      <c r="I35" s="25">
        <v>0</v>
      </c>
      <c r="J35" s="25">
        <v>26496</v>
      </c>
      <c r="K35" s="25">
        <v>31602</v>
      </c>
      <c r="L35" s="25">
        <v>9618</v>
      </c>
      <c r="M35" s="61">
        <v>12366</v>
      </c>
      <c r="N35" s="50">
        <f t="shared" si="5"/>
        <v>125858</v>
      </c>
      <c r="O35" s="50">
        <f t="shared" si="6"/>
        <v>125858</v>
      </c>
      <c r="Q35"/>
    </row>
    <row r="36" spans="1:17">
      <c r="A36" s="1" t="s">
        <v>3</v>
      </c>
      <c r="B36" s="6" t="s">
        <v>54</v>
      </c>
      <c r="C36" s="25">
        <v>0</v>
      </c>
      <c r="D36" s="25">
        <v>0</v>
      </c>
      <c r="E36" s="39">
        <v>12568</v>
      </c>
      <c r="F36" s="50">
        <f t="shared" si="4"/>
        <v>12568</v>
      </c>
      <c r="G36" s="24">
        <v>10752</v>
      </c>
      <c r="H36" s="25">
        <v>0</v>
      </c>
      <c r="I36" s="25">
        <v>0</v>
      </c>
      <c r="J36" s="25">
        <v>13248</v>
      </c>
      <c r="K36" s="25">
        <v>10992</v>
      </c>
      <c r="L36" s="25">
        <v>0</v>
      </c>
      <c r="M36" s="61">
        <v>6870</v>
      </c>
      <c r="N36" s="50">
        <f t="shared" si="5"/>
        <v>41862</v>
      </c>
      <c r="O36" s="50">
        <f t="shared" si="6"/>
        <v>54430</v>
      </c>
      <c r="Q36"/>
    </row>
    <row r="37" spans="1:17">
      <c r="A37" s="1" t="s">
        <v>3</v>
      </c>
      <c r="B37" s="6" t="s">
        <v>55</v>
      </c>
      <c r="C37" s="25">
        <v>0</v>
      </c>
      <c r="D37" s="25">
        <v>0</v>
      </c>
      <c r="E37" s="39">
        <v>1221</v>
      </c>
      <c r="F37" s="50">
        <f t="shared" si="4"/>
        <v>1221</v>
      </c>
      <c r="G37" s="24">
        <v>0</v>
      </c>
      <c r="H37" s="25">
        <v>3344</v>
      </c>
      <c r="I37" s="25">
        <v>6678</v>
      </c>
      <c r="J37" s="25">
        <v>0</v>
      </c>
      <c r="K37" s="25">
        <v>0</v>
      </c>
      <c r="L37" s="25">
        <v>0</v>
      </c>
      <c r="M37" s="61">
        <v>0</v>
      </c>
      <c r="N37" s="50">
        <f t="shared" si="5"/>
        <v>10022</v>
      </c>
      <c r="O37" s="50">
        <f t="shared" si="6"/>
        <v>11243</v>
      </c>
      <c r="Q37"/>
    </row>
    <row r="38" spans="1:17">
      <c r="A38" s="1" t="s">
        <v>3</v>
      </c>
      <c r="B38" s="6" t="s">
        <v>56</v>
      </c>
      <c r="C38" s="25">
        <v>0</v>
      </c>
      <c r="D38" s="25">
        <v>0</v>
      </c>
      <c r="E38" s="39">
        <v>0</v>
      </c>
      <c r="F38" s="50">
        <f t="shared" si="4"/>
        <v>0</v>
      </c>
      <c r="G38" s="24">
        <v>0</v>
      </c>
      <c r="H38" s="25">
        <v>6688</v>
      </c>
      <c r="I38" s="25">
        <v>9646</v>
      </c>
      <c r="J38" s="25">
        <v>0</v>
      </c>
      <c r="K38" s="25">
        <v>0</v>
      </c>
      <c r="L38" s="25">
        <v>0</v>
      </c>
      <c r="M38" s="61">
        <v>0</v>
      </c>
      <c r="N38" s="50">
        <f t="shared" si="5"/>
        <v>16334</v>
      </c>
      <c r="O38" s="50">
        <f t="shared" si="6"/>
        <v>16334</v>
      </c>
      <c r="Q38"/>
    </row>
    <row r="39" spans="1:17">
      <c r="A39" s="1" t="s">
        <v>3</v>
      </c>
      <c r="B39" s="6" t="s">
        <v>57</v>
      </c>
      <c r="C39" s="25">
        <v>0</v>
      </c>
      <c r="D39" s="25">
        <v>0</v>
      </c>
      <c r="E39" s="39">
        <v>0</v>
      </c>
      <c r="F39" s="50">
        <f t="shared" si="4"/>
        <v>0</v>
      </c>
      <c r="G39" s="24">
        <v>0</v>
      </c>
      <c r="H39" s="25">
        <v>0</v>
      </c>
      <c r="I39" s="25">
        <v>0</v>
      </c>
      <c r="J39" s="25">
        <v>0</v>
      </c>
      <c r="K39" s="25">
        <v>0</v>
      </c>
      <c r="L39" s="25">
        <v>8133</v>
      </c>
      <c r="M39" s="61">
        <v>0</v>
      </c>
      <c r="N39" s="50">
        <f t="shared" si="5"/>
        <v>8133</v>
      </c>
      <c r="O39" s="50">
        <f t="shared" si="6"/>
        <v>8133</v>
      </c>
      <c r="Q39"/>
    </row>
    <row r="40" spans="1:17">
      <c r="A40" s="1" t="s">
        <v>3</v>
      </c>
      <c r="B40" s="6" t="s">
        <v>39</v>
      </c>
      <c r="C40" s="25">
        <v>0</v>
      </c>
      <c r="D40" s="25">
        <v>0</v>
      </c>
      <c r="E40" s="39">
        <v>6984</v>
      </c>
      <c r="F40" s="50">
        <f t="shared" si="4"/>
        <v>6984</v>
      </c>
      <c r="G40" s="24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61">
        <v>0</v>
      </c>
      <c r="N40" s="50">
        <f t="shared" si="5"/>
        <v>0</v>
      </c>
      <c r="O40" s="50">
        <f t="shared" si="6"/>
        <v>6984</v>
      </c>
      <c r="Q40"/>
    </row>
    <row r="41" spans="1:17" ht="19.5" thickBot="1">
      <c r="A41" s="1" t="s">
        <v>3</v>
      </c>
      <c r="B41" s="8" t="s">
        <v>40</v>
      </c>
      <c r="C41" s="27">
        <v>2510</v>
      </c>
      <c r="D41" s="27">
        <v>0</v>
      </c>
      <c r="E41" s="40">
        <v>0</v>
      </c>
      <c r="F41" s="51">
        <f t="shared" si="4"/>
        <v>2510</v>
      </c>
      <c r="G41" s="26">
        <v>5985</v>
      </c>
      <c r="H41" s="27">
        <v>21229</v>
      </c>
      <c r="I41" s="27">
        <v>14310</v>
      </c>
      <c r="J41" s="27">
        <v>3003</v>
      </c>
      <c r="K41" s="27">
        <v>6630</v>
      </c>
      <c r="L41" s="27">
        <v>2295</v>
      </c>
      <c r="M41" s="62">
        <v>5610</v>
      </c>
      <c r="N41" s="51">
        <f t="shared" si="5"/>
        <v>59062</v>
      </c>
      <c r="O41" s="51">
        <f t="shared" si="6"/>
        <v>61572</v>
      </c>
      <c r="Q41"/>
    </row>
    <row r="42" spans="1:17" ht="19.5" thickBot="1">
      <c r="A42" s="1" t="s">
        <v>3</v>
      </c>
      <c r="B42" s="9" t="s">
        <v>58</v>
      </c>
      <c r="C42" s="29">
        <v>337510</v>
      </c>
      <c r="D42" s="29">
        <v>335000</v>
      </c>
      <c r="E42" s="41">
        <v>192228</v>
      </c>
      <c r="F42" s="52">
        <f t="shared" si="4"/>
        <v>864738</v>
      </c>
      <c r="G42" s="28">
        <v>280779</v>
      </c>
      <c r="H42" s="29">
        <v>274597</v>
      </c>
      <c r="I42" s="29">
        <v>227509</v>
      </c>
      <c r="J42" s="29">
        <v>276541</v>
      </c>
      <c r="K42" s="29">
        <v>268871</v>
      </c>
      <c r="L42" s="29">
        <v>220103</v>
      </c>
      <c r="M42" s="63">
        <v>252131</v>
      </c>
      <c r="N42" s="52">
        <f t="shared" si="5"/>
        <v>1800531</v>
      </c>
      <c r="O42" s="52">
        <f t="shared" si="6"/>
        <v>2665269</v>
      </c>
      <c r="Q42"/>
    </row>
    <row r="43" spans="1:17" ht="19.5" thickBot="1">
      <c r="A43" s="1" t="s">
        <v>3</v>
      </c>
      <c r="B43" s="5" t="s">
        <v>59</v>
      </c>
      <c r="C43" s="23">
        <v>5594</v>
      </c>
      <c r="D43" s="23">
        <v>15219</v>
      </c>
      <c r="E43" s="38">
        <v>499</v>
      </c>
      <c r="F43" s="49">
        <f t="shared" si="4"/>
        <v>21312</v>
      </c>
      <c r="G43" s="22">
        <v>8153</v>
      </c>
      <c r="H43" s="23">
        <v>1903</v>
      </c>
      <c r="I43" s="23">
        <v>1812</v>
      </c>
      <c r="J43" s="23">
        <v>10939</v>
      </c>
      <c r="K43" s="23">
        <v>1631</v>
      </c>
      <c r="L43" s="23">
        <v>4281</v>
      </c>
      <c r="M43" s="60">
        <v>1563</v>
      </c>
      <c r="N43" s="49">
        <f t="shared" si="5"/>
        <v>30282</v>
      </c>
      <c r="O43" s="49">
        <f t="shared" si="6"/>
        <v>51594</v>
      </c>
      <c r="Q43"/>
    </row>
    <row r="44" spans="1:17" ht="19.5" thickBot="1">
      <c r="A44" s="1" t="s">
        <v>3</v>
      </c>
      <c r="B44" s="9" t="s">
        <v>60</v>
      </c>
      <c r="C44" s="29">
        <v>5594</v>
      </c>
      <c r="D44" s="29">
        <v>15219</v>
      </c>
      <c r="E44" s="41">
        <v>499</v>
      </c>
      <c r="F44" s="52">
        <f t="shared" si="4"/>
        <v>21312</v>
      </c>
      <c r="G44" s="28">
        <v>8153</v>
      </c>
      <c r="H44" s="29">
        <v>1903</v>
      </c>
      <c r="I44" s="29">
        <v>1812</v>
      </c>
      <c r="J44" s="29">
        <v>10939</v>
      </c>
      <c r="K44" s="29">
        <v>1631</v>
      </c>
      <c r="L44" s="29">
        <v>4281</v>
      </c>
      <c r="M44" s="63">
        <v>1563</v>
      </c>
      <c r="N44" s="52">
        <f t="shared" si="5"/>
        <v>30282</v>
      </c>
      <c r="O44" s="52">
        <f t="shared" si="6"/>
        <v>51594</v>
      </c>
      <c r="Q44"/>
    </row>
    <row r="45" spans="1:17" ht="19.5" thickBot="1">
      <c r="A45" s="1" t="s">
        <v>3</v>
      </c>
      <c r="B45" s="9" t="s">
        <v>61</v>
      </c>
      <c r="C45" s="29">
        <v>343104</v>
      </c>
      <c r="D45" s="29">
        <v>350219</v>
      </c>
      <c r="E45" s="41">
        <v>192727</v>
      </c>
      <c r="F45" s="52">
        <f t="shared" si="4"/>
        <v>886050</v>
      </c>
      <c r="G45" s="28">
        <v>288932</v>
      </c>
      <c r="H45" s="29">
        <v>276500</v>
      </c>
      <c r="I45" s="29">
        <v>229321</v>
      </c>
      <c r="J45" s="29">
        <v>287480</v>
      </c>
      <c r="K45" s="29">
        <v>270502</v>
      </c>
      <c r="L45" s="29">
        <v>224384</v>
      </c>
      <c r="M45" s="63">
        <v>253694</v>
      </c>
      <c r="N45" s="52">
        <f t="shared" si="5"/>
        <v>1830813</v>
      </c>
      <c r="O45" s="52">
        <f t="shared" si="6"/>
        <v>2716863</v>
      </c>
      <c r="Q45"/>
    </row>
    <row r="46" spans="1:17">
      <c r="A46" s="1" t="s">
        <v>3</v>
      </c>
      <c r="B46" s="5" t="s">
        <v>62</v>
      </c>
      <c r="C46" s="23">
        <v>17340</v>
      </c>
      <c r="D46" s="23">
        <v>17340</v>
      </c>
      <c r="E46" s="38">
        <v>8670</v>
      </c>
      <c r="F46" s="49">
        <f t="shared" si="4"/>
        <v>43350</v>
      </c>
      <c r="G46" s="22">
        <v>18360</v>
      </c>
      <c r="H46" s="23">
        <v>15300</v>
      </c>
      <c r="I46" s="23">
        <v>14280</v>
      </c>
      <c r="J46" s="23">
        <v>16320</v>
      </c>
      <c r="K46" s="23">
        <v>14280</v>
      </c>
      <c r="L46" s="23">
        <v>14280</v>
      </c>
      <c r="M46" s="60">
        <v>13260</v>
      </c>
      <c r="N46" s="49">
        <f t="shared" si="5"/>
        <v>106080</v>
      </c>
      <c r="O46" s="49">
        <f t="shared" si="6"/>
        <v>149430</v>
      </c>
      <c r="Q46"/>
    </row>
    <row r="47" spans="1:17">
      <c r="A47" s="1" t="s">
        <v>3</v>
      </c>
      <c r="B47" s="6" t="s">
        <v>63</v>
      </c>
      <c r="C47" s="25">
        <v>3060</v>
      </c>
      <c r="D47" s="25">
        <v>3060</v>
      </c>
      <c r="E47" s="39">
        <v>0</v>
      </c>
      <c r="F47" s="50">
        <f t="shared" si="4"/>
        <v>6120</v>
      </c>
      <c r="G47" s="24">
        <v>3240</v>
      </c>
      <c r="H47" s="25">
        <v>2700</v>
      </c>
      <c r="I47" s="25">
        <v>2520</v>
      </c>
      <c r="J47" s="25">
        <v>2880</v>
      </c>
      <c r="K47" s="25">
        <v>2520</v>
      </c>
      <c r="L47" s="25">
        <v>2520</v>
      </c>
      <c r="M47" s="61">
        <v>0</v>
      </c>
      <c r="N47" s="50">
        <f t="shared" si="5"/>
        <v>16380</v>
      </c>
      <c r="O47" s="50">
        <f t="shared" si="6"/>
        <v>22500</v>
      </c>
      <c r="Q47"/>
    </row>
    <row r="48" spans="1:17">
      <c r="A48" s="1" t="s">
        <v>3</v>
      </c>
      <c r="B48" s="6" t="s">
        <v>64</v>
      </c>
      <c r="C48" s="25">
        <v>31110</v>
      </c>
      <c r="D48" s="25">
        <v>31110</v>
      </c>
      <c r="E48" s="39">
        <v>15555</v>
      </c>
      <c r="F48" s="50">
        <f t="shared" si="4"/>
        <v>77775</v>
      </c>
      <c r="G48" s="24">
        <v>32940</v>
      </c>
      <c r="H48" s="25">
        <v>27450</v>
      </c>
      <c r="I48" s="25">
        <v>25620</v>
      </c>
      <c r="J48" s="25">
        <v>29280</v>
      </c>
      <c r="K48" s="25">
        <v>25620</v>
      </c>
      <c r="L48" s="25">
        <v>25620</v>
      </c>
      <c r="M48" s="61">
        <v>23790</v>
      </c>
      <c r="N48" s="50">
        <f t="shared" si="5"/>
        <v>190320</v>
      </c>
      <c r="O48" s="50">
        <f t="shared" si="6"/>
        <v>268095</v>
      </c>
      <c r="Q48"/>
    </row>
    <row r="49" spans="1:17">
      <c r="A49" s="1" t="s">
        <v>3</v>
      </c>
      <c r="B49" s="6" t="s">
        <v>65</v>
      </c>
      <c r="C49" s="25">
        <v>1029</v>
      </c>
      <c r="D49" s="25">
        <v>1051</v>
      </c>
      <c r="E49" s="39">
        <v>578</v>
      </c>
      <c r="F49" s="50">
        <f t="shared" si="4"/>
        <v>2658</v>
      </c>
      <c r="G49" s="24">
        <v>867</v>
      </c>
      <c r="H49" s="25">
        <v>829</v>
      </c>
      <c r="I49" s="25">
        <v>688</v>
      </c>
      <c r="J49" s="25">
        <v>862</v>
      </c>
      <c r="K49" s="25">
        <v>812</v>
      </c>
      <c r="L49" s="25">
        <v>673</v>
      </c>
      <c r="M49" s="61">
        <v>761</v>
      </c>
      <c r="N49" s="50">
        <f t="shared" si="5"/>
        <v>5492</v>
      </c>
      <c r="O49" s="50">
        <f t="shared" si="6"/>
        <v>8150</v>
      </c>
      <c r="Q49"/>
    </row>
    <row r="50" spans="1:17" ht="19.5" thickBot="1">
      <c r="A50" s="1" t="s">
        <v>3</v>
      </c>
      <c r="B50" s="8" t="s">
        <v>66</v>
      </c>
      <c r="C50" s="27">
        <v>0</v>
      </c>
      <c r="D50" s="27">
        <v>0</v>
      </c>
      <c r="E50" s="40">
        <v>0</v>
      </c>
      <c r="F50" s="51">
        <f t="shared" si="4"/>
        <v>0</v>
      </c>
      <c r="G50" s="26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62">
        <v>0</v>
      </c>
      <c r="N50" s="51">
        <f t="shared" si="5"/>
        <v>0</v>
      </c>
      <c r="O50" s="51">
        <f t="shared" si="6"/>
        <v>0</v>
      </c>
      <c r="Q50"/>
    </row>
    <row r="51" spans="1:17" ht="19.5" thickBot="1">
      <c r="A51" s="1" t="s">
        <v>3</v>
      </c>
      <c r="B51" s="9" t="s">
        <v>67</v>
      </c>
      <c r="C51" s="29">
        <v>52539</v>
      </c>
      <c r="D51" s="29">
        <v>52561</v>
      </c>
      <c r="E51" s="41">
        <v>24803</v>
      </c>
      <c r="F51" s="52">
        <f t="shared" si="4"/>
        <v>129903</v>
      </c>
      <c r="G51" s="28">
        <v>55407</v>
      </c>
      <c r="H51" s="29">
        <v>46279</v>
      </c>
      <c r="I51" s="29">
        <v>43108</v>
      </c>
      <c r="J51" s="29">
        <v>49342</v>
      </c>
      <c r="K51" s="29">
        <v>43232</v>
      </c>
      <c r="L51" s="29">
        <v>43093</v>
      </c>
      <c r="M51" s="63">
        <v>37811</v>
      </c>
      <c r="N51" s="52">
        <f t="shared" si="5"/>
        <v>318272</v>
      </c>
      <c r="O51" s="52">
        <f t="shared" si="6"/>
        <v>448175</v>
      </c>
      <c r="Q51"/>
    </row>
    <row r="52" spans="1:17">
      <c r="A52" s="1" t="s">
        <v>3</v>
      </c>
      <c r="B52" s="5" t="s">
        <v>68</v>
      </c>
      <c r="C52" s="23">
        <v>7800</v>
      </c>
      <c r="D52" s="23">
        <v>7710</v>
      </c>
      <c r="E52" s="38">
        <v>3600</v>
      </c>
      <c r="F52" s="49">
        <f t="shared" si="4"/>
        <v>19110</v>
      </c>
      <c r="G52" s="22">
        <v>2440</v>
      </c>
      <c r="H52" s="23">
        <v>4160</v>
      </c>
      <c r="I52" s="23">
        <v>4210</v>
      </c>
      <c r="J52" s="23">
        <v>5740</v>
      </c>
      <c r="K52" s="23">
        <v>5680</v>
      </c>
      <c r="L52" s="23">
        <v>2330</v>
      </c>
      <c r="M52" s="60">
        <v>3660</v>
      </c>
      <c r="N52" s="49">
        <f t="shared" si="5"/>
        <v>28220</v>
      </c>
      <c r="O52" s="49">
        <f t="shared" si="6"/>
        <v>47330</v>
      </c>
      <c r="Q52"/>
    </row>
    <row r="53" spans="1:17">
      <c r="A53" s="1" t="s">
        <v>3</v>
      </c>
      <c r="B53" s="6" t="s">
        <v>69</v>
      </c>
      <c r="C53" s="25">
        <v>6900</v>
      </c>
      <c r="D53" s="25">
        <v>7600</v>
      </c>
      <c r="E53" s="39">
        <v>1100</v>
      </c>
      <c r="F53" s="50">
        <f t="shared" si="4"/>
        <v>15600</v>
      </c>
      <c r="G53" s="24">
        <v>11100</v>
      </c>
      <c r="H53" s="25">
        <v>8000</v>
      </c>
      <c r="I53" s="25">
        <v>13100</v>
      </c>
      <c r="J53" s="25">
        <v>14100</v>
      </c>
      <c r="K53" s="25">
        <v>8700</v>
      </c>
      <c r="L53" s="25">
        <v>10300</v>
      </c>
      <c r="M53" s="61">
        <v>1300</v>
      </c>
      <c r="N53" s="50">
        <f t="shared" si="5"/>
        <v>66600</v>
      </c>
      <c r="O53" s="50">
        <f t="shared" si="6"/>
        <v>82200</v>
      </c>
      <c r="Q53"/>
    </row>
    <row r="54" spans="1:17" ht="19.5" thickBot="1">
      <c r="A54" s="1" t="s">
        <v>3</v>
      </c>
      <c r="B54" s="6" t="s">
        <v>70</v>
      </c>
      <c r="C54" s="25">
        <v>0</v>
      </c>
      <c r="D54" s="25">
        <v>0</v>
      </c>
      <c r="E54" s="39">
        <v>0</v>
      </c>
      <c r="F54" s="50">
        <f t="shared" si="4"/>
        <v>0</v>
      </c>
      <c r="G54" s="24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61">
        <v>0</v>
      </c>
      <c r="N54" s="50">
        <f t="shared" si="5"/>
        <v>0</v>
      </c>
      <c r="O54" s="50">
        <f t="shared" si="6"/>
        <v>0</v>
      </c>
      <c r="Q54"/>
    </row>
    <row r="55" spans="1:17" ht="19.5" thickBot="1">
      <c r="A55" s="1" t="s">
        <v>3</v>
      </c>
      <c r="B55" s="9" t="s">
        <v>71</v>
      </c>
      <c r="C55" s="29">
        <v>67239</v>
      </c>
      <c r="D55" s="29">
        <v>67871</v>
      </c>
      <c r="E55" s="41">
        <v>29503</v>
      </c>
      <c r="F55" s="52">
        <f t="shared" si="4"/>
        <v>164613</v>
      </c>
      <c r="G55" s="28">
        <v>68947</v>
      </c>
      <c r="H55" s="29">
        <v>58439</v>
      </c>
      <c r="I55" s="29">
        <v>60418</v>
      </c>
      <c r="J55" s="29">
        <v>69182</v>
      </c>
      <c r="K55" s="29">
        <v>57612</v>
      </c>
      <c r="L55" s="29">
        <v>55723</v>
      </c>
      <c r="M55" s="63">
        <v>42771</v>
      </c>
      <c r="N55" s="52">
        <f t="shared" si="5"/>
        <v>413092</v>
      </c>
      <c r="O55" s="52">
        <f t="shared" si="6"/>
        <v>577705</v>
      </c>
      <c r="Q55"/>
    </row>
    <row r="56" spans="1:17" ht="19.5" thickBot="1">
      <c r="A56" s="1" t="s">
        <v>3</v>
      </c>
      <c r="B56" s="9" t="s">
        <v>72</v>
      </c>
      <c r="C56" s="29">
        <v>284971</v>
      </c>
      <c r="D56" s="29">
        <v>282439</v>
      </c>
      <c r="E56" s="41">
        <v>167425</v>
      </c>
      <c r="F56" s="52">
        <f t="shared" si="4"/>
        <v>734835</v>
      </c>
      <c r="G56" s="28">
        <v>225372</v>
      </c>
      <c r="H56" s="29">
        <v>228318</v>
      </c>
      <c r="I56" s="29">
        <v>184401</v>
      </c>
      <c r="J56" s="29">
        <v>227199</v>
      </c>
      <c r="K56" s="29">
        <v>225639</v>
      </c>
      <c r="L56" s="29">
        <v>177010</v>
      </c>
      <c r="M56" s="63">
        <v>214320</v>
      </c>
      <c r="N56" s="52">
        <f t="shared" si="5"/>
        <v>1482259</v>
      </c>
      <c r="O56" s="52">
        <f t="shared" si="6"/>
        <v>2217094</v>
      </c>
      <c r="Q56"/>
    </row>
    <row r="57" spans="1:17" ht="19.5" thickBot="1">
      <c r="A57" s="1" t="s">
        <v>3</v>
      </c>
      <c r="B57" s="9" t="s">
        <v>73</v>
      </c>
      <c r="C57" s="29">
        <v>275865</v>
      </c>
      <c r="D57" s="29">
        <v>282348</v>
      </c>
      <c r="E57" s="41">
        <v>163224</v>
      </c>
      <c r="F57" s="52">
        <f t="shared" si="4"/>
        <v>721437</v>
      </c>
      <c r="G57" s="28">
        <v>219985</v>
      </c>
      <c r="H57" s="29">
        <v>218061</v>
      </c>
      <c r="I57" s="29">
        <v>168903</v>
      </c>
      <c r="J57" s="29">
        <v>218298</v>
      </c>
      <c r="K57" s="29">
        <v>212890</v>
      </c>
      <c r="L57" s="29">
        <v>168661</v>
      </c>
      <c r="M57" s="63">
        <v>210923</v>
      </c>
      <c r="N57" s="52">
        <f t="shared" si="5"/>
        <v>1417721</v>
      </c>
      <c r="O57" s="52">
        <f t="shared" si="6"/>
        <v>2139158</v>
      </c>
      <c r="Q57"/>
    </row>
    <row r="58" spans="1:17">
      <c r="A58" s="1" t="s">
        <v>3</v>
      </c>
      <c r="B58" s="5" t="s">
        <v>74</v>
      </c>
      <c r="C58" s="23">
        <v>0</v>
      </c>
      <c r="D58" s="23">
        <v>0</v>
      </c>
      <c r="E58" s="38">
        <v>0</v>
      </c>
      <c r="F58" s="49">
        <f t="shared" si="4"/>
        <v>0</v>
      </c>
      <c r="G58" s="22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60">
        <v>0</v>
      </c>
      <c r="N58" s="49">
        <f t="shared" si="5"/>
        <v>0</v>
      </c>
      <c r="O58" s="49">
        <f t="shared" si="6"/>
        <v>0</v>
      </c>
      <c r="Q58"/>
    </row>
    <row r="59" spans="1:17">
      <c r="A59" s="1" t="s">
        <v>3</v>
      </c>
      <c r="B59" s="6" t="s">
        <v>75</v>
      </c>
      <c r="C59" s="25">
        <v>275865</v>
      </c>
      <c r="D59" s="25">
        <v>282348</v>
      </c>
      <c r="E59" s="39">
        <v>163224</v>
      </c>
      <c r="F59" s="50">
        <f t="shared" si="4"/>
        <v>721437</v>
      </c>
      <c r="G59" s="24">
        <v>219985</v>
      </c>
      <c r="H59" s="25">
        <v>218061</v>
      </c>
      <c r="I59" s="25">
        <v>168903</v>
      </c>
      <c r="J59" s="25">
        <v>218298</v>
      </c>
      <c r="K59" s="25">
        <v>212890</v>
      </c>
      <c r="L59" s="25">
        <v>168661</v>
      </c>
      <c r="M59" s="61">
        <v>210923</v>
      </c>
      <c r="N59" s="50">
        <f t="shared" si="5"/>
        <v>1417721</v>
      </c>
      <c r="O59" s="50">
        <f t="shared" si="6"/>
        <v>2139158</v>
      </c>
      <c r="Q59"/>
    </row>
    <row r="60" spans="1:17">
      <c r="A60" s="1" t="s">
        <v>3</v>
      </c>
      <c r="B60" s="6" t="s">
        <v>76</v>
      </c>
      <c r="C60" s="25">
        <v>0</v>
      </c>
      <c r="D60" s="25">
        <v>0</v>
      </c>
      <c r="E60" s="39">
        <v>0</v>
      </c>
      <c r="F60" s="50"/>
      <c r="G60" s="24">
        <v>2</v>
      </c>
      <c r="H60" s="25">
        <v>1</v>
      </c>
      <c r="I60" s="25">
        <v>0</v>
      </c>
      <c r="J60" s="25">
        <v>0</v>
      </c>
      <c r="K60" s="25">
        <v>0</v>
      </c>
      <c r="L60" s="25">
        <v>1</v>
      </c>
      <c r="M60" s="61">
        <v>1</v>
      </c>
      <c r="N60" s="50"/>
      <c r="O60" s="50"/>
      <c r="Q60"/>
    </row>
    <row r="61" spans="1:17" ht="19.5" thickBot="1">
      <c r="A61" s="1" t="s">
        <v>3</v>
      </c>
      <c r="B61" s="7" t="s">
        <v>77</v>
      </c>
      <c r="C61" s="31" t="s">
        <v>78</v>
      </c>
      <c r="D61" s="31" t="s">
        <v>78</v>
      </c>
      <c r="E61" s="42" t="s">
        <v>78</v>
      </c>
      <c r="F61" s="53"/>
      <c r="G61" s="30" t="s">
        <v>78</v>
      </c>
      <c r="H61" s="31" t="s">
        <v>78</v>
      </c>
      <c r="I61" s="31" t="s">
        <v>78</v>
      </c>
      <c r="J61" s="31" t="s">
        <v>78</v>
      </c>
      <c r="K61" s="31" t="s">
        <v>78</v>
      </c>
      <c r="L61" s="31" t="s">
        <v>78</v>
      </c>
      <c r="M61" s="64" t="s">
        <v>78</v>
      </c>
      <c r="N61" s="53"/>
      <c r="O61" s="53"/>
    </row>
  </sheetData>
  <phoneticPr fontId="3"/>
  <pageMargins left="0.11811023622047245" right="0.11811023622047245" top="0.15748031496062992" bottom="0.15748031496062992" header="0.11811023622047245" footer="0.19685039370078741"/>
  <pageSetup paperSize="9" scale="5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8月度給与 (2)</vt:lpstr>
      <vt:lpstr>'2021年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2021-09-13T04:58:42Z</cp:lastPrinted>
  <dcterms:created xsi:type="dcterms:W3CDTF">2021-09-09T01:40:44Z</dcterms:created>
  <dcterms:modified xsi:type="dcterms:W3CDTF">2021-09-13T07:14:56Z</dcterms:modified>
</cp:coreProperties>
</file>