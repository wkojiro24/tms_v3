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8\"/>
    </mc:Choice>
  </mc:AlternateContent>
  <xr:revisionPtr revIDLastSave="0" documentId="13_ncr:1_{53EE7792-16BA-4C8B-9930-B5DEE76D6B88}" xr6:coauthVersionLast="47" xr6:coauthVersionMax="47" xr10:uidLastSave="{00000000-0000-0000-0000-000000000000}"/>
  <bookViews>
    <workbookView xWindow="-120" yWindow="-120" windowWidth="20730" windowHeight="11160" xr2:uid="{C51A22CF-B0A7-4E16-AF18-9E5968A4860F}"/>
  </bookViews>
  <sheets>
    <sheet name="2021年 8月度給与 (2)" sheetId="4" r:id="rId1"/>
  </sheets>
  <definedNames>
    <definedName name="_xlnm.Print_Area" localSheetId="0">'2021年 8月度給与 (2)'!$A$1:$M$67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4" l="1"/>
  <c r="M14" i="4"/>
  <c r="M19" i="4"/>
  <c r="M20" i="4"/>
  <c r="M21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25" i="4"/>
  <c r="L24" i="4"/>
  <c r="L23" i="4"/>
  <c r="M23" i="4" s="1"/>
  <c r="L17" i="4"/>
  <c r="M17" i="4" s="1"/>
  <c r="L18" i="4"/>
  <c r="M18" i="4" s="1"/>
  <c r="L16" i="4"/>
  <c r="M16" i="4" s="1"/>
  <c r="L8" i="4"/>
  <c r="M8" i="4" s="1"/>
  <c r="L9" i="4"/>
  <c r="M9" i="4" s="1"/>
  <c r="L10" i="4"/>
  <c r="M10" i="4" s="1"/>
  <c r="L11" i="4"/>
  <c r="L12" i="4"/>
  <c r="L7" i="4"/>
  <c r="E26" i="4"/>
  <c r="E27" i="4"/>
  <c r="M27" i="4" s="1"/>
  <c r="E28" i="4"/>
  <c r="E29" i="4"/>
  <c r="M29" i="4" s="1"/>
  <c r="E30" i="4"/>
  <c r="M30" i="4" s="1"/>
  <c r="E31" i="4"/>
  <c r="E32" i="4"/>
  <c r="E33" i="4"/>
  <c r="E34" i="4"/>
  <c r="E35" i="4"/>
  <c r="M35" i="4" s="1"/>
  <c r="E36" i="4"/>
  <c r="E37" i="4"/>
  <c r="E38" i="4"/>
  <c r="E39" i="4"/>
  <c r="M39" i="4" s="1"/>
  <c r="E40" i="4"/>
  <c r="E41" i="4"/>
  <c r="E42" i="4"/>
  <c r="E43" i="4"/>
  <c r="M43" i="4" s="1"/>
  <c r="E44" i="4"/>
  <c r="E45" i="4"/>
  <c r="E46" i="4"/>
  <c r="E47" i="4"/>
  <c r="M47" i="4" s="1"/>
  <c r="E48" i="4"/>
  <c r="E49" i="4"/>
  <c r="E50" i="4"/>
  <c r="E51" i="4"/>
  <c r="M51" i="4" s="1"/>
  <c r="E52" i="4"/>
  <c r="E53" i="4"/>
  <c r="E54" i="4"/>
  <c r="E55" i="4"/>
  <c r="M55" i="4" s="1"/>
  <c r="E56" i="4"/>
  <c r="E57" i="4"/>
  <c r="E58" i="4"/>
  <c r="E59" i="4"/>
  <c r="M59" i="4" s="1"/>
  <c r="E60" i="4"/>
  <c r="E61" i="4"/>
  <c r="E62" i="4"/>
  <c r="E63" i="4"/>
  <c r="E64" i="4"/>
  <c r="M64" i="4" s="1"/>
  <c r="E65" i="4"/>
  <c r="E25" i="4"/>
  <c r="E24" i="4"/>
  <c r="E22" i="4"/>
  <c r="M22" i="4" s="1"/>
  <c r="E15" i="4"/>
  <c r="M15" i="4" s="1"/>
  <c r="E12" i="4"/>
  <c r="E11" i="4"/>
  <c r="E7" i="4"/>
  <c r="M7" i="4" l="1"/>
  <c r="M62" i="4"/>
  <c r="M57" i="4"/>
  <c r="M53" i="4"/>
  <c r="M49" i="4"/>
  <c r="M41" i="4"/>
  <c r="M36" i="4"/>
  <c r="M31" i="4"/>
  <c r="M45" i="4"/>
  <c r="M11" i="4"/>
  <c r="M24" i="4"/>
  <c r="M63" i="4"/>
  <c r="M58" i="4"/>
  <c r="M54" i="4"/>
  <c r="M50" i="4"/>
  <c r="M46" i="4"/>
  <c r="M42" i="4"/>
  <c r="M38" i="4"/>
  <c r="M34" i="4"/>
  <c r="M32" i="4"/>
  <c r="M28" i="4"/>
  <c r="M12" i="4"/>
  <c r="M65" i="4"/>
  <c r="M61" i="4"/>
  <c r="M60" i="4"/>
  <c r="M56" i="4"/>
  <c r="M52" i="4"/>
  <c r="M48" i="4"/>
  <c r="M44" i="4"/>
  <c r="M40" i="4"/>
  <c r="M37" i="4"/>
  <c r="M33" i="4"/>
  <c r="M26" i="4"/>
  <c r="M25" i="4"/>
</calcChain>
</file>

<file path=xl/sharedStrings.xml><?xml version="1.0" encoding="utf-8"?>
<sst xmlns="http://schemas.openxmlformats.org/spreadsheetml/2006/main" count="156" uniqueCount="85">
  <si>
    <t>支給控除一覧表</t>
    <phoneticPr fontId="4"/>
  </si>
  <si>
    <t>若林運送株式会社</t>
    <phoneticPr fontId="4"/>
  </si>
  <si>
    <t>2021年 9月 9日 作成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</si>
  <si>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</si>
  <si>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</si>
  <si>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</si>
  <si>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</si>
  <si>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</si>
  <si>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</si>
  <si>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1092</t>
    <phoneticPr fontId="4"/>
  </si>
  <si>
    <t>1097</t>
    <phoneticPr fontId="4"/>
  </si>
  <si>
    <t>1063</t>
    <phoneticPr fontId="4"/>
  </si>
  <si>
    <t>項目名</t>
    <phoneticPr fontId="4"/>
  </si>
  <si>
    <t>河村智春</t>
    <phoneticPr fontId="4"/>
  </si>
  <si>
    <t>赤﨑功幸</t>
    <phoneticPr fontId="4"/>
  </si>
  <si>
    <t>櫻木諭治</t>
    <phoneticPr fontId="4"/>
  </si>
  <si>
    <t>米澤敬</t>
    <phoneticPr fontId="4"/>
  </si>
  <si>
    <t>大賀勇也</t>
    <phoneticPr fontId="4"/>
  </si>
  <si>
    <t>西口真樹</t>
    <phoneticPr fontId="4"/>
  </si>
  <si>
    <t>新田竜二</t>
    <phoneticPr fontId="4"/>
  </si>
  <si>
    <t>木下知美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</si>
  <si>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</si>
  <si>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</si>
  <si>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</si>
  <si>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</si>
  <si>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</si>
  <si>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</si>
  <si>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</si>
  <si>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</si>
  <si>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</si>
  <si>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</si>
  <si>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</si>
  <si>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</si>
  <si>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</si>
  <si>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</si>
  <si>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</si>
  <si>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</si>
  <si>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</si>
  <si>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</si>
  <si>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</si>
  <si>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</si>
  <si>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</si>
  <si>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</si>
  <si>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</si>
  <si>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</si>
  <si>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</si>
  <si>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</si>
  <si>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</si>
  <si>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</si>
  <si>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</si>
  <si>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</si>
  <si>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</si>
  <si>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</si>
  <si>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</si>
  <si>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</si>
  <si>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</si>
  <si>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</si>
  <si>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</si>
  <si>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</si>
  <si>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</si>
  <si>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</si>
  <si>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</si>
  <si>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</si>
  <si>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</si>
  <si>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</si>
  <si>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</si>
  <si>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</si>
  <si>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</si>
  <si>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</si>
  <si>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</si>
  <si>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</si>
  <si>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</si>
  <si>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</si>
  <si>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</si>
  <si>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</si>
  <si>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</si>
  <si>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</si>
  <si>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</si>
  <si>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</si>
  <si>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</si>
  <si>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</si>
  <si>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</si>
  <si>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</si>
  <si>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</si>
  <si>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合計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</si>
</sst>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4" xfId="1" applyNumberFormat="1" applyFont="1" applyBorder="1"/>
    <xf numFmtId="49" fontId="2" fillId="0" borderId="32" xfId="1" applyNumberFormat="1" applyFont="1" applyBorder="1"/>
    <xf numFmtId="49" fontId="2" fillId="0" borderId="31" xfId="1" applyNumberFormat="1" applyFont="1" applyBorder="1" applyAlignment="1">
      <alignment horizontal="left"/>
    </xf>
    <xf numFmtId="49" fontId="2" fillId="0" borderId="32" xfId="1" applyNumberFormat="1" applyFont="1" applyBorder="1" applyAlignment="1">
      <alignment horizontal="right"/>
    </xf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49" fontId="2" fillId="0" borderId="37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5" xfId="1" applyNumberFormat="1" applyFont="1" applyBorder="1"/>
    <xf numFmtId="176" fontId="2" fillId="0" borderId="6" xfId="1" applyNumberFormat="1" applyFont="1" applyBorder="1"/>
    <xf numFmtId="49" fontId="2" fillId="0" borderId="42" xfId="1" applyNumberFormat="1" applyFont="1" applyBorder="1" applyAlignment="1">
      <alignment horizontal="left"/>
    </xf>
    <xf numFmtId="49" fontId="2" fillId="0" borderId="43" xfId="1" applyNumberFormat="1" applyFont="1" applyBorder="1" applyAlignment="1">
      <alignment horizontal="right"/>
    </xf>
    <xf numFmtId="2" fontId="2" fillId="0" borderId="44" xfId="1" applyNumberFormat="1" applyFont="1" applyBorder="1"/>
    <xf numFmtId="2" fontId="2" fillId="0" borderId="45" xfId="1" applyNumberFormat="1" applyFont="1" applyBorder="1"/>
    <xf numFmtId="176" fontId="2" fillId="0" borderId="45" xfId="1" applyNumberFormat="1" applyFont="1" applyBorder="1"/>
    <xf numFmtId="176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36" xfId="1" applyNumberFormat="1" applyFont="1" applyBorder="1"/>
    <xf numFmtId="49" fontId="2" fillId="0" borderId="43" xfId="1" applyNumberFormat="1" applyFont="1" applyBorder="1"/>
    <xf numFmtId="0" fontId="2" fillId="0" borderId="47" xfId="1" applyFont="1" applyBorder="1"/>
  </cellXfs>
  <cellStyles count="2">
    <cellStyle name="標準" xfId="0" builtinId="0"/>
    <cellStyle name="標準 2" xfId="1" xr:uid="{3032C69E-D7CD-4404-9D9C-7993489D25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8B32-FEE7-4BD5-803C-F44EB9E64EDB}">
  <sheetPr>
    <pageSetUpPr fitToPage="1"/>
  </sheetPr>
  <dimension ref="A1:O67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5" width="9" style="2" customWidth="1"/>
    <col min="6" max="7" width="9" style="2" bestFit="1" customWidth="1"/>
    <col min="8" max="8" width="8" style="2" bestFit="1" customWidth="1"/>
    <col min="9" max="11" width="9" style="2" bestFit="1" customWidth="1"/>
    <col min="12" max="12" width="9" style="2" customWidth="1"/>
    <col min="13" max="13" width="9.625" style="2" bestFit="1" customWidth="1"/>
    <col min="14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 ht="19.5" thickBot="1">
      <c r="A4" s="1" t="s">
        <v>80</v>
      </c>
    </row>
    <row r="5" spans="1:15">
      <c r="B5" s="3"/>
      <c r="C5" s="11" t="s">
        <v>5</v>
      </c>
      <c r="D5" s="12" t="s">
        <v>11</v>
      </c>
      <c r="E5" s="57" t="s">
        <v>81</v>
      </c>
      <c r="F5" s="10" t="s">
        <v>4</v>
      </c>
      <c r="G5" s="11" t="s">
        <v>6</v>
      </c>
      <c r="H5" s="11" t="s">
        <v>7</v>
      </c>
      <c r="I5" s="11" t="s">
        <v>8</v>
      </c>
      <c r="J5" s="11" t="s">
        <v>9</v>
      </c>
      <c r="K5" s="61" t="s">
        <v>10</v>
      </c>
      <c r="L5" s="73" t="s">
        <v>81</v>
      </c>
      <c r="M5" s="59"/>
    </row>
    <row r="6" spans="1:15" ht="19.5" thickBot="1">
      <c r="A6" s="84"/>
      <c r="B6" s="30" t="s">
        <v>12</v>
      </c>
      <c r="C6" s="32" t="s">
        <v>14</v>
      </c>
      <c r="D6" s="33" t="s">
        <v>20</v>
      </c>
      <c r="E6" s="58" t="s">
        <v>82</v>
      </c>
      <c r="F6" s="31" t="s">
        <v>13</v>
      </c>
      <c r="G6" s="32" t="s">
        <v>15</v>
      </c>
      <c r="H6" s="32" t="s">
        <v>16</v>
      </c>
      <c r="I6" s="32" t="s">
        <v>17</v>
      </c>
      <c r="J6" s="32" t="s">
        <v>18</v>
      </c>
      <c r="K6" s="62" t="s">
        <v>19</v>
      </c>
      <c r="L6" s="74" t="s">
        <v>83</v>
      </c>
      <c r="M6" s="60" t="s">
        <v>84</v>
      </c>
    </row>
    <row r="7" spans="1:15">
      <c r="A7" s="1" t="s">
        <v>3</v>
      </c>
      <c r="B7" s="25" t="s">
        <v>21</v>
      </c>
      <c r="C7" s="27">
        <v>20</v>
      </c>
      <c r="D7" s="28">
        <v>15</v>
      </c>
      <c r="E7" s="51">
        <f>SUM(C7:D7)</f>
        <v>35</v>
      </c>
      <c r="F7" s="26">
        <v>21</v>
      </c>
      <c r="G7" s="27">
        <v>23</v>
      </c>
      <c r="H7" s="27">
        <v>21</v>
      </c>
      <c r="I7" s="27">
        <v>22</v>
      </c>
      <c r="J7" s="27">
        <v>21</v>
      </c>
      <c r="K7" s="63">
        <v>23</v>
      </c>
      <c r="L7" s="75">
        <f>SUM(F7:K7)</f>
        <v>131</v>
      </c>
      <c r="M7" s="29">
        <f>E7+L7</f>
        <v>166</v>
      </c>
      <c r="O7"/>
    </row>
    <row r="8" spans="1:15">
      <c r="A8" s="1" t="s">
        <v>3</v>
      </c>
      <c r="B8" s="4" t="s">
        <v>22</v>
      </c>
      <c r="C8" s="14">
        <v>0</v>
      </c>
      <c r="D8" s="15">
        <v>0</v>
      </c>
      <c r="E8" s="52"/>
      <c r="F8" s="13">
        <v>2</v>
      </c>
      <c r="G8" s="14">
        <v>1</v>
      </c>
      <c r="H8" s="14">
        <v>2</v>
      </c>
      <c r="I8" s="14">
        <v>1</v>
      </c>
      <c r="J8" s="14">
        <v>2</v>
      </c>
      <c r="K8" s="64">
        <v>1</v>
      </c>
      <c r="L8" s="75">
        <f t="shared" ref="L8:L12" si="0">SUM(F8:K8)</f>
        <v>9</v>
      </c>
      <c r="M8" s="29">
        <f t="shared" ref="M8:M58" si="1">E8+L8</f>
        <v>9</v>
      </c>
      <c r="O8"/>
    </row>
    <row r="9" spans="1:15">
      <c r="A9" s="1" t="s">
        <v>3</v>
      </c>
      <c r="B9" s="4" t="s">
        <v>23</v>
      </c>
      <c r="C9" s="14">
        <v>0</v>
      </c>
      <c r="D9" s="15">
        <v>0</v>
      </c>
      <c r="E9" s="52"/>
      <c r="F9" s="13">
        <v>0</v>
      </c>
      <c r="G9" s="14">
        <v>0</v>
      </c>
      <c r="H9" s="14">
        <v>1</v>
      </c>
      <c r="I9" s="14">
        <v>0</v>
      </c>
      <c r="J9" s="14">
        <v>2</v>
      </c>
      <c r="K9" s="64">
        <v>0</v>
      </c>
      <c r="L9" s="75">
        <f t="shared" si="0"/>
        <v>3</v>
      </c>
      <c r="M9" s="29">
        <f t="shared" si="1"/>
        <v>3</v>
      </c>
      <c r="O9"/>
    </row>
    <row r="10" spans="1:15">
      <c r="A10" s="1" t="s">
        <v>3</v>
      </c>
      <c r="B10" s="4" t="s">
        <v>24</v>
      </c>
      <c r="C10" s="14">
        <v>0</v>
      </c>
      <c r="D10" s="15">
        <v>0</v>
      </c>
      <c r="E10" s="52"/>
      <c r="F10" s="13">
        <v>0</v>
      </c>
      <c r="G10" s="14">
        <v>0</v>
      </c>
      <c r="H10" s="14">
        <v>0</v>
      </c>
      <c r="I10" s="14">
        <v>0</v>
      </c>
      <c r="J10" s="14">
        <v>0</v>
      </c>
      <c r="K10" s="64">
        <v>0</v>
      </c>
      <c r="L10" s="75">
        <f t="shared" si="0"/>
        <v>0</v>
      </c>
      <c r="M10" s="29">
        <f t="shared" si="1"/>
        <v>0</v>
      </c>
      <c r="O10"/>
    </row>
    <row r="11" spans="1:15">
      <c r="A11" s="1" t="s">
        <v>3</v>
      </c>
      <c r="B11" s="4" t="s">
        <v>25</v>
      </c>
      <c r="C11" s="14">
        <v>3</v>
      </c>
      <c r="D11" s="15">
        <v>2</v>
      </c>
      <c r="E11" s="52">
        <f>SUM(C11:D11)</f>
        <v>5</v>
      </c>
      <c r="F11" s="13">
        <v>2</v>
      </c>
      <c r="G11" s="14">
        <v>0</v>
      </c>
      <c r="H11" s="14">
        <v>1</v>
      </c>
      <c r="I11" s="14">
        <v>1</v>
      </c>
      <c r="J11" s="14">
        <v>2</v>
      </c>
      <c r="K11" s="64">
        <v>0</v>
      </c>
      <c r="L11" s="75">
        <f t="shared" si="0"/>
        <v>6</v>
      </c>
      <c r="M11" s="29">
        <f t="shared" si="1"/>
        <v>11</v>
      </c>
      <c r="O11"/>
    </row>
    <row r="12" spans="1:15">
      <c r="A12" s="1" t="s">
        <v>3</v>
      </c>
      <c r="B12" s="4" t="s">
        <v>26</v>
      </c>
      <c r="C12" s="14">
        <v>0</v>
      </c>
      <c r="D12" s="15">
        <v>2</v>
      </c>
      <c r="E12" s="52">
        <f>SUM(C12:D12)</f>
        <v>2</v>
      </c>
      <c r="F12" s="13">
        <v>0</v>
      </c>
      <c r="G12" s="14">
        <v>0</v>
      </c>
      <c r="H12" s="14">
        <v>1</v>
      </c>
      <c r="I12" s="14">
        <v>0</v>
      </c>
      <c r="J12" s="14">
        <v>0</v>
      </c>
      <c r="K12" s="64">
        <v>0</v>
      </c>
      <c r="L12" s="75">
        <f t="shared" si="0"/>
        <v>1</v>
      </c>
      <c r="M12" s="29">
        <f t="shared" si="1"/>
        <v>3</v>
      </c>
      <c r="O12"/>
    </row>
    <row r="13" spans="1:15">
      <c r="A13" s="1" t="s">
        <v>3</v>
      </c>
      <c r="B13" s="4" t="s">
        <v>27</v>
      </c>
      <c r="C13" s="14">
        <v>0</v>
      </c>
      <c r="D13" s="15">
        <v>0</v>
      </c>
      <c r="E13" s="52"/>
      <c r="F13" s="13">
        <v>0</v>
      </c>
      <c r="G13" s="14">
        <v>0</v>
      </c>
      <c r="H13" s="14">
        <v>0</v>
      </c>
      <c r="I13" s="14">
        <v>0</v>
      </c>
      <c r="J13" s="14">
        <v>0</v>
      </c>
      <c r="K13" s="64">
        <v>0</v>
      </c>
      <c r="L13" s="76"/>
      <c r="M13" s="6">
        <f t="shared" si="1"/>
        <v>0</v>
      </c>
      <c r="O13"/>
    </row>
    <row r="14" spans="1:15">
      <c r="A14" s="1" t="s">
        <v>3</v>
      </c>
      <c r="B14" s="4" t="s">
        <v>28</v>
      </c>
      <c r="C14" s="14">
        <v>0</v>
      </c>
      <c r="D14" s="15">
        <v>0</v>
      </c>
      <c r="E14" s="52"/>
      <c r="F14" s="13">
        <v>0</v>
      </c>
      <c r="G14" s="14">
        <v>0</v>
      </c>
      <c r="H14" s="14">
        <v>0</v>
      </c>
      <c r="I14" s="14">
        <v>0</v>
      </c>
      <c r="J14" s="14">
        <v>0</v>
      </c>
      <c r="K14" s="64">
        <v>0</v>
      </c>
      <c r="L14" s="76"/>
      <c r="M14" s="6">
        <f t="shared" si="1"/>
        <v>0</v>
      </c>
      <c r="O14"/>
    </row>
    <row r="15" spans="1:15">
      <c r="A15" s="1" t="s">
        <v>3</v>
      </c>
      <c r="B15" s="4" t="s">
        <v>29</v>
      </c>
      <c r="C15" s="17">
        <v>0</v>
      </c>
      <c r="D15" s="18">
        <v>3.125</v>
      </c>
      <c r="E15" s="53">
        <f>SUM(C15:D15)</f>
        <v>3.125</v>
      </c>
      <c r="F15" s="16">
        <v>0</v>
      </c>
      <c r="G15" s="17">
        <v>0</v>
      </c>
      <c r="H15" s="17">
        <v>0</v>
      </c>
      <c r="I15" s="17">
        <v>0</v>
      </c>
      <c r="J15" s="17">
        <v>0</v>
      </c>
      <c r="K15" s="65">
        <v>0</v>
      </c>
      <c r="L15" s="77"/>
      <c r="M15" s="7">
        <f t="shared" si="1"/>
        <v>3.125</v>
      </c>
      <c r="O15"/>
    </row>
    <row r="16" spans="1:15">
      <c r="A16" s="1" t="s">
        <v>3</v>
      </c>
      <c r="B16" s="4" t="s">
        <v>30</v>
      </c>
      <c r="C16" s="17">
        <v>0</v>
      </c>
      <c r="D16" s="18">
        <v>0</v>
      </c>
      <c r="E16" s="53"/>
      <c r="F16" s="16">
        <v>0.25</v>
      </c>
      <c r="G16" s="17">
        <v>1.125</v>
      </c>
      <c r="H16" s="17">
        <v>1.25</v>
      </c>
      <c r="I16" s="17">
        <v>1.0416666666666667</v>
      </c>
      <c r="J16" s="17">
        <v>0.66666666666666663</v>
      </c>
      <c r="K16" s="65">
        <v>1.3333333333333333</v>
      </c>
      <c r="L16" s="77">
        <f>SUM(F16:K16)</f>
        <v>5.666666666666667</v>
      </c>
      <c r="M16" s="7">
        <f t="shared" si="1"/>
        <v>5.666666666666667</v>
      </c>
      <c r="O16"/>
    </row>
    <row r="17" spans="1:15">
      <c r="A17" s="1" t="s">
        <v>3</v>
      </c>
      <c r="B17" s="4" t="s">
        <v>31</v>
      </c>
      <c r="C17" s="17">
        <v>0</v>
      </c>
      <c r="D17" s="18">
        <v>0</v>
      </c>
      <c r="E17" s="53"/>
      <c r="F17" s="16">
        <v>0.79166666666666663</v>
      </c>
      <c r="G17" s="17">
        <v>0.58333333333333337</v>
      </c>
      <c r="H17" s="17">
        <v>0.79166666666666663</v>
      </c>
      <c r="I17" s="17">
        <v>0.33333333333333331</v>
      </c>
      <c r="J17" s="17">
        <v>0.75</v>
      </c>
      <c r="K17" s="65">
        <v>0.45833333333333331</v>
      </c>
      <c r="L17" s="77">
        <f t="shared" ref="L17:L18" si="2">SUM(F17:K17)</f>
        <v>3.7083333333333335</v>
      </c>
      <c r="M17" s="7">
        <f t="shared" si="1"/>
        <v>3.7083333333333335</v>
      </c>
      <c r="O17"/>
    </row>
    <row r="18" spans="1:15">
      <c r="A18" s="1" t="s">
        <v>3</v>
      </c>
      <c r="B18" s="4" t="s">
        <v>32</v>
      </c>
      <c r="C18" s="17">
        <v>0</v>
      </c>
      <c r="D18" s="18">
        <v>0</v>
      </c>
      <c r="E18" s="53"/>
      <c r="F18" s="16">
        <v>0</v>
      </c>
      <c r="G18" s="17">
        <v>0</v>
      </c>
      <c r="H18" s="17">
        <v>0.29166666666666669</v>
      </c>
      <c r="I18" s="17">
        <v>0</v>
      </c>
      <c r="J18" s="17">
        <v>0.70833333333333337</v>
      </c>
      <c r="K18" s="65">
        <v>0</v>
      </c>
      <c r="L18" s="77">
        <f t="shared" si="2"/>
        <v>1</v>
      </c>
      <c r="M18" s="7">
        <f t="shared" si="1"/>
        <v>1</v>
      </c>
      <c r="O18"/>
    </row>
    <row r="19" spans="1:15">
      <c r="A19" s="1" t="s">
        <v>3</v>
      </c>
      <c r="B19" s="4" t="s">
        <v>33</v>
      </c>
      <c r="C19" s="17">
        <v>0</v>
      </c>
      <c r="D19" s="18">
        <v>0</v>
      </c>
      <c r="E19" s="53"/>
      <c r="F19" s="16">
        <v>0</v>
      </c>
      <c r="G19" s="17">
        <v>0</v>
      </c>
      <c r="H19" s="17">
        <v>0</v>
      </c>
      <c r="I19" s="17">
        <v>0</v>
      </c>
      <c r="J19" s="17">
        <v>0</v>
      </c>
      <c r="K19" s="65">
        <v>0</v>
      </c>
      <c r="L19" s="77"/>
      <c r="M19" s="7">
        <f t="shared" si="1"/>
        <v>0</v>
      </c>
      <c r="O19"/>
    </row>
    <row r="20" spans="1:15">
      <c r="A20" s="1" t="s">
        <v>3</v>
      </c>
      <c r="B20" s="4" t="s">
        <v>34</v>
      </c>
      <c r="C20" s="17">
        <v>0</v>
      </c>
      <c r="D20" s="18">
        <v>0</v>
      </c>
      <c r="E20" s="53"/>
      <c r="F20" s="16">
        <v>0</v>
      </c>
      <c r="G20" s="17">
        <v>0</v>
      </c>
      <c r="H20" s="17">
        <v>0</v>
      </c>
      <c r="I20" s="17">
        <v>0</v>
      </c>
      <c r="J20" s="17">
        <v>0</v>
      </c>
      <c r="K20" s="65">
        <v>0</v>
      </c>
      <c r="L20" s="77"/>
      <c r="M20" s="7">
        <f t="shared" si="1"/>
        <v>0</v>
      </c>
      <c r="O20"/>
    </row>
    <row r="21" spans="1:15">
      <c r="A21" s="1" t="s">
        <v>3</v>
      </c>
      <c r="B21" s="4" t="s">
        <v>35</v>
      </c>
      <c r="C21" s="17">
        <v>0</v>
      </c>
      <c r="D21" s="18">
        <v>0</v>
      </c>
      <c r="E21" s="53"/>
      <c r="F21" s="16">
        <v>0</v>
      </c>
      <c r="G21" s="17">
        <v>0</v>
      </c>
      <c r="H21" s="17">
        <v>0</v>
      </c>
      <c r="I21" s="17">
        <v>0</v>
      </c>
      <c r="J21" s="17">
        <v>0</v>
      </c>
      <c r="K21" s="65">
        <v>0</v>
      </c>
      <c r="L21" s="77"/>
      <c r="M21" s="7">
        <f t="shared" si="1"/>
        <v>0</v>
      </c>
      <c r="O21"/>
    </row>
    <row r="22" spans="1:15">
      <c r="A22" s="1" t="s">
        <v>3</v>
      </c>
      <c r="B22" s="4" t="s">
        <v>36</v>
      </c>
      <c r="C22" s="17">
        <v>0</v>
      </c>
      <c r="D22" s="18">
        <v>0.41666666666666669</v>
      </c>
      <c r="E22" s="53">
        <f>SUM(C22:D22)</f>
        <v>0.41666666666666669</v>
      </c>
      <c r="F22" s="16">
        <v>0</v>
      </c>
      <c r="G22" s="17">
        <v>0</v>
      </c>
      <c r="H22" s="17">
        <v>0</v>
      </c>
      <c r="I22" s="17">
        <v>0</v>
      </c>
      <c r="J22" s="17">
        <v>0</v>
      </c>
      <c r="K22" s="65">
        <v>0</v>
      </c>
      <c r="L22" s="77"/>
      <c r="M22" s="7">
        <f t="shared" si="1"/>
        <v>0.41666666666666669</v>
      </c>
      <c r="O22"/>
    </row>
    <row r="23" spans="1:15">
      <c r="A23" s="1" t="s">
        <v>3</v>
      </c>
      <c r="B23" s="4" t="s">
        <v>37</v>
      </c>
      <c r="C23" s="17">
        <v>0</v>
      </c>
      <c r="D23" s="18">
        <v>0</v>
      </c>
      <c r="E23" s="53"/>
      <c r="F23" s="16">
        <v>4.1666666666666664E-2</v>
      </c>
      <c r="G23" s="17">
        <v>0.125</v>
      </c>
      <c r="H23" s="17">
        <v>4.1666666666666664E-2</v>
      </c>
      <c r="I23" s="17">
        <v>0.125</v>
      </c>
      <c r="J23" s="17">
        <v>0</v>
      </c>
      <c r="K23" s="65">
        <v>0</v>
      </c>
      <c r="L23" s="77">
        <f>SUM(F23:K23)</f>
        <v>0.33333333333333331</v>
      </c>
      <c r="M23" s="7">
        <f t="shared" si="1"/>
        <v>0.33333333333333331</v>
      </c>
      <c r="O23"/>
    </row>
    <row r="24" spans="1:15" ht="19.5" thickBot="1">
      <c r="A24" s="1" t="s">
        <v>3</v>
      </c>
      <c r="B24" s="5" t="s">
        <v>38</v>
      </c>
      <c r="C24" s="39">
        <v>25</v>
      </c>
      <c r="D24" s="40">
        <v>17</v>
      </c>
      <c r="E24" s="54">
        <f>SUM(C24:D24)</f>
        <v>42</v>
      </c>
      <c r="F24" s="38">
        <v>11</v>
      </c>
      <c r="G24" s="39">
        <v>10</v>
      </c>
      <c r="H24" s="39">
        <v>19</v>
      </c>
      <c r="I24" s="39">
        <v>20</v>
      </c>
      <c r="J24" s="39">
        <v>13</v>
      </c>
      <c r="K24" s="66">
        <v>0</v>
      </c>
      <c r="L24" s="78">
        <f>SUM(F24:K24)</f>
        <v>73</v>
      </c>
      <c r="M24" s="72">
        <f t="shared" si="1"/>
        <v>115</v>
      </c>
      <c r="O24"/>
    </row>
    <row r="25" spans="1:15">
      <c r="A25" s="1" t="s">
        <v>3</v>
      </c>
      <c r="B25" s="25" t="s">
        <v>39</v>
      </c>
      <c r="C25" s="35">
        <v>365000</v>
      </c>
      <c r="D25" s="36">
        <v>0</v>
      </c>
      <c r="E25" s="36">
        <f>SUM(C25:D25)</f>
        <v>365000</v>
      </c>
      <c r="F25" s="34">
        <v>177000</v>
      </c>
      <c r="G25" s="35">
        <v>187000</v>
      </c>
      <c r="H25" s="35">
        <v>177000</v>
      </c>
      <c r="I25" s="35">
        <v>187000</v>
      </c>
      <c r="J25" s="35">
        <v>170000</v>
      </c>
      <c r="K25" s="67">
        <v>170000</v>
      </c>
      <c r="L25" s="79">
        <f>SUM(F25:K25)</f>
        <v>1068000</v>
      </c>
      <c r="M25" s="37">
        <f t="shared" si="1"/>
        <v>1433000</v>
      </c>
      <c r="O25"/>
    </row>
    <row r="26" spans="1:15">
      <c r="A26" s="1" t="s">
        <v>3</v>
      </c>
      <c r="B26" s="4" t="s">
        <v>40</v>
      </c>
      <c r="C26" s="20">
        <v>0</v>
      </c>
      <c r="D26" s="21">
        <v>0</v>
      </c>
      <c r="E26" s="21">
        <f t="shared" ref="E26:E65" si="3">SUM(C26:D26)</f>
        <v>0</v>
      </c>
      <c r="F26" s="19">
        <v>0</v>
      </c>
      <c r="G26" s="20">
        <v>0</v>
      </c>
      <c r="H26" s="20">
        <v>0</v>
      </c>
      <c r="I26" s="20">
        <v>0</v>
      </c>
      <c r="J26" s="20">
        <v>0</v>
      </c>
      <c r="K26" s="68">
        <v>0</v>
      </c>
      <c r="L26" s="80">
        <f t="shared" ref="L26:L65" si="4">SUM(F26:K26)</f>
        <v>0</v>
      </c>
      <c r="M26" s="8">
        <f t="shared" si="1"/>
        <v>0</v>
      </c>
      <c r="O26"/>
    </row>
    <row r="27" spans="1:15">
      <c r="A27" s="1" t="s">
        <v>3</v>
      </c>
      <c r="B27" s="4" t="s">
        <v>41</v>
      </c>
      <c r="C27" s="20">
        <v>0</v>
      </c>
      <c r="D27" s="21">
        <v>0</v>
      </c>
      <c r="E27" s="21">
        <f t="shared" si="3"/>
        <v>0</v>
      </c>
      <c r="F27" s="19">
        <v>0</v>
      </c>
      <c r="G27" s="20">
        <v>0</v>
      </c>
      <c r="H27" s="20">
        <v>6000</v>
      </c>
      <c r="I27" s="20">
        <v>0</v>
      </c>
      <c r="J27" s="20">
        <v>0</v>
      </c>
      <c r="K27" s="68">
        <v>0</v>
      </c>
      <c r="L27" s="80">
        <f t="shared" si="4"/>
        <v>6000</v>
      </c>
      <c r="M27" s="8">
        <f t="shared" si="1"/>
        <v>6000</v>
      </c>
      <c r="O27"/>
    </row>
    <row r="28" spans="1:15">
      <c r="A28" s="1" t="s">
        <v>3</v>
      </c>
      <c r="B28" s="4" t="s">
        <v>42</v>
      </c>
      <c r="C28" s="20">
        <v>0</v>
      </c>
      <c r="D28" s="21">
        <v>0</v>
      </c>
      <c r="E28" s="21">
        <f t="shared" si="3"/>
        <v>0</v>
      </c>
      <c r="F28" s="19">
        <v>0</v>
      </c>
      <c r="G28" s="20">
        <v>0</v>
      </c>
      <c r="H28" s="20">
        <v>0</v>
      </c>
      <c r="I28" s="20">
        <v>0</v>
      </c>
      <c r="J28" s="20">
        <v>0</v>
      </c>
      <c r="K28" s="68">
        <v>0</v>
      </c>
      <c r="L28" s="80">
        <f t="shared" si="4"/>
        <v>0</v>
      </c>
      <c r="M28" s="8">
        <f t="shared" si="1"/>
        <v>0</v>
      </c>
      <c r="O28"/>
    </row>
    <row r="29" spans="1:15">
      <c r="A29" s="1" t="s">
        <v>3</v>
      </c>
      <c r="B29" s="4" t="s">
        <v>43</v>
      </c>
      <c r="C29" s="20">
        <v>0</v>
      </c>
      <c r="D29" s="21">
        <v>0</v>
      </c>
      <c r="E29" s="21">
        <f t="shared" si="3"/>
        <v>0</v>
      </c>
      <c r="F29" s="19">
        <v>95400</v>
      </c>
      <c r="G29" s="20">
        <v>58800</v>
      </c>
      <c r="H29" s="20">
        <v>56170</v>
      </c>
      <c r="I29" s="20">
        <v>61600</v>
      </c>
      <c r="J29" s="20">
        <v>56012</v>
      </c>
      <c r="K29" s="68">
        <v>35644</v>
      </c>
      <c r="L29" s="80">
        <f t="shared" si="4"/>
        <v>363626</v>
      </c>
      <c r="M29" s="8">
        <f t="shared" si="1"/>
        <v>363626</v>
      </c>
      <c r="O29"/>
    </row>
    <row r="30" spans="1:15">
      <c r="A30" s="1" t="s">
        <v>3</v>
      </c>
      <c r="B30" s="4" t="s">
        <v>44</v>
      </c>
      <c r="C30" s="20">
        <v>0</v>
      </c>
      <c r="D30" s="21">
        <v>69375</v>
      </c>
      <c r="E30" s="21">
        <f t="shared" si="3"/>
        <v>69375</v>
      </c>
      <c r="F30" s="19">
        <v>0</v>
      </c>
      <c r="G30" s="20">
        <v>0</v>
      </c>
      <c r="H30" s="20">
        <v>0</v>
      </c>
      <c r="I30" s="20">
        <v>0</v>
      </c>
      <c r="J30" s="20">
        <v>0</v>
      </c>
      <c r="K30" s="68">
        <v>0</v>
      </c>
      <c r="L30" s="80">
        <f t="shared" si="4"/>
        <v>0</v>
      </c>
      <c r="M30" s="8">
        <f t="shared" si="1"/>
        <v>69375</v>
      </c>
      <c r="O30"/>
    </row>
    <row r="31" spans="1:15">
      <c r="A31" s="1" t="s">
        <v>3</v>
      </c>
      <c r="B31" s="4" t="s">
        <v>45</v>
      </c>
      <c r="C31" s="20">
        <v>0</v>
      </c>
      <c r="D31" s="21">
        <v>0</v>
      </c>
      <c r="E31" s="21">
        <f t="shared" si="3"/>
        <v>0</v>
      </c>
      <c r="F31" s="19">
        <v>0</v>
      </c>
      <c r="G31" s="20">
        <v>0</v>
      </c>
      <c r="H31" s="20">
        <v>0</v>
      </c>
      <c r="I31" s="20">
        <v>0</v>
      </c>
      <c r="J31" s="20">
        <v>0</v>
      </c>
      <c r="K31" s="68">
        <v>0</v>
      </c>
      <c r="L31" s="80">
        <f t="shared" si="4"/>
        <v>0</v>
      </c>
      <c r="M31" s="8">
        <f t="shared" si="1"/>
        <v>0</v>
      </c>
      <c r="O31"/>
    </row>
    <row r="32" spans="1:15">
      <c r="A32" s="1" t="s">
        <v>3</v>
      </c>
      <c r="B32" s="4" t="s">
        <v>46</v>
      </c>
      <c r="C32" s="20">
        <v>0</v>
      </c>
      <c r="D32" s="21">
        <v>0</v>
      </c>
      <c r="E32" s="21">
        <f t="shared" si="3"/>
        <v>0</v>
      </c>
      <c r="F32" s="19">
        <v>0</v>
      </c>
      <c r="G32" s="20">
        <v>0</v>
      </c>
      <c r="H32" s="20">
        <v>0</v>
      </c>
      <c r="I32" s="20">
        <v>0</v>
      </c>
      <c r="J32" s="20">
        <v>0</v>
      </c>
      <c r="K32" s="68">
        <v>0</v>
      </c>
      <c r="L32" s="80">
        <f t="shared" si="4"/>
        <v>0</v>
      </c>
      <c r="M32" s="8">
        <f t="shared" si="1"/>
        <v>0</v>
      </c>
      <c r="O32"/>
    </row>
    <row r="33" spans="1:15">
      <c r="A33" s="1" t="s">
        <v>3</v>
      </c>
      <c r="B33" s="4" t="s">
        <v>47</v>
      </c>
      <c r="C33" s="20">
        <v>0</v>
      </c>
      <c r="D33" s="21">
        <v>9250</v>
      </c>
      <c r="E33" s="21">
        <f t="shared" si="3"/>
        <v>9250</v>
      </c>
      <c r="F33" s="19">
        <v>0</v>
      </c>
      <c r="G33" s="20">
        <v>0</v>
      </c>
      <c r="H33" s="20">
        <v>0</v>
      </c>
      <c r="I33" s="20">
        <v>0</v>
      </c>
      <c r="J33" s="20">
        <v>0</v>
      </c>
      <c r="K33" s="68">
        <v>0</v>
      </c>
      <c r="L33" s="80">
        <f t="shared" si="4"/>
        <v>0</v>
      </c>
      <c r="M33" s="8">
        <f t="shared" si="1"/>
        <v>9250</v>
      </c>
      <c r="O33"/>
    </row>
    <row r="34" spans="1:15">
      <c r="A34" s="1" t="s">
        <v>3</v>
      </c>
      <c r="B34" s="4" t="s">
        <v>48</v>
      </c>
      <c r="C34" s="20">
        <v>0</v>
      </c>
      <c r="D34" s="21">
        <v>9250</v>
      </c>
      <c r="E34" s="21">
        <f t="shared" si="3"/>
        <v>9250</v>
      </c>
      <c r="F34" s="19">
        <v>0</v>
      </c>
      <c r="G34" s="20">
        <v>0</v>
      </c>
      <c r="H34" s="20">
        <v>0</v>
      </c>
      <c r="I34" s="20">
        <v>0</v>
      </c>
      <c r="J34" s="20">
        <v>0</v>
      </c>
      <c r="K34" s="68">
        <v>0</v>
      </c>
      <c r="L34" s="80">
        <f t="shared" si="4"/>
        <v>0</v>
      </c>
      <c r="M34" s="8">
        <f t="shared" si="1"/>
        <v>9250</v>
      </c>
      <c r="O34"/>
    </row>
    <row r="35" spans="1:15">
      <c r="A35" s="1" t="s">
        <v>3</v>
      </c>
      <c r="B35" s="4" t="s">
        <v>49</v>
      </c>
      <c r="C35" s="20">
        <v>0</v>
      </c>
      <c r="D35" s="21">
        <v>0</v>
      </c>
      <c r="E35" s="21">
        <f t="shared" si="3"/>
        <v>0</v>
      </c>
      <c r="F35" s="19">
        <v>0</v>
      </c>
      <c r="G35" s="20">
        <v>0</v>
      </c>
      <c r="H35" s="20">
        <v>0</v>
      </c>
      <c r="I35" s="20">
        <v>0</v>
      </c>
      <c r="J35" s="20">
        <v>0</v>
      </c>
      <c r="K35" s="68">
        <v>0</v>
      </c>
      <c r="L35" s="80">
        <f t="shared" si="4"/>
        <v>0</v>
      </c>
      <c r="M35" s="8">
        <f t="shared" si="1"/>
        <v>0</v>
      </c>
      <c r="O35"/>
    </row>
    <row r="36" spans="1:15">
      <c r="A36" s="1" t="s">
        <v>3</v>
      </c>
      <c r="B36" s="4" t="s">
        <v>50</v>
      </c>
      <c r="C36" s="20">
        <v>0</v>
      </c>
      <c r="D36" s="21">
        <v>0</v>
      </c>
      <c r="E36" s="21">
        <f t="shared" si="3"/>
        <v>0</v>
      </c>
      <c r="F36" s="19">
        <v>0</v>
      </c>
      <c r="G36" s="20">
        <v>0</v>
      </c>
      <c r="H36" s="20">
        <v>0</v>
      </c>
      <c r="I36" s="20">
        <v>0</v>
      </c>
      <c r="J36" s="20">
        <v>0</v>
      </c>
      <c r="K36" s="68">
        <v>0</v>
      </c>
      <c r="L36" s="80">
        <f t="shared" si="4"/>
        <v>0</v>
      </c>
      <c r="M36" s="8">
        <f t="shared" si="1"/>
        <v>0</v>
      </c>
      <c r="O36"/>
    </row>
    <row r="37" spans="1:15">
      <c r="A37" s="1" t="s">
        <v>3</v>
      </c>
      <c r="B37" s="4" t="s">
        <v>51</v>
      </c>
      <c r="C37" s="20">
        <v>0</v>
      </c>
      <c r="D37" s="21">
        <v>0</v>
      </c>
      <c r="E37" s="21">
        <f t="shared" si="3"/>
        <v>0</v>
      </c>
      <c r="F37" s="19">
        <v>0</v>
      </c>
      <c r="G37" s="20">
        <v>0</v>
      </c>
      <c r="H37" s="20">
        <v>0</v>
      </c>
      <c r="I37" s="20">
        <v>0</v>
      </c>
      <c r="J37" s="20">
        <v>0</v>
      </c>
      <c r="K37" s="68">
        <v>0</v>
      </c>
      <c r="L37" s="80">
        <f t="shared" si="4"/>
        <v>0</v>
      </c>
      <c r="M37" s="8">
        <f t="shared" si="1"/>
        <v>0</v>
      </c>
      <c r="O37"/>
    </row>
    <row r="38" spans="1:15">
      <c r="A38" s="1" t="s">
        <v>3</v>
      </c>
      <c r="B38" s="4" t="s">
        <v>30</v>
      </c>
      <c r="C38" s="20">
        <v>0</v>
      </c>
      <c r="D38" s="21">
        <v>0</v>
      </c>
      <c r="E38" s="21">
        <f t="shared" si="3"/>
        <v>0</v>
      </c>
      <c r="F38" s="19">
        <v>7950</v>
      </c>
      <c r="G38" s="20">
        <v>37800</v>
      </c>
      <c r="H38" s="20">
        <v>41100</v>
      </c>
      <c r="I38" s="20">
        <v>35000</v>
      </c>
      <c r="J38" s="20">
        <v>20368</v>
      </c>
      <c r="K38" s="68">
        <v>40736</v>
      </c>
      <c r="L38" s="80">
        <f t="shared" si="4"/>
        <v>182954</v>
      </c>
      <c r="M38" s="8">
        <f t="shared" si="1"/>
        <v>182954</v>
      </c>
      <c r="O38"/>
    </row>
    <row r="39" spans="1:15">
      <c r="A39" s="1" t="s">
        <v>3</v>
      </c>
      <c r="B39" s="4" t="s">
        <v>52</v>
      </c>
      <c r="C39" s="20">
        <v>0</v>
      </c>
      <c r="D39" s="21">
        <v>0</v>
      </c>
      <c r="E39" s="21">
        <f t="shared" si="3"/>
        <v>0</v>
      </c>
      <c r="F39" s="19">
        <v>27189</v>
      </c>
      <c r="G39" s="20">
        <v>21168</v>
      </c>
      <c r="H39" s="20">
        <v>28120</v>
      </c>
      <c r="I39" s="20">
        <v>12096</v>
      </c>
      <c r="J39" s="20">
        <v>24732</v>
      </c>
      <c r="K39" s="68">
        <v>15114</v>
      </c>
      <c r="L39" s="80">
        <f t="shared" si="4"/>
        <v>128419</v>
      </c>
      <c r="M39" s="8">
        <f t="shared" si="1"/>
        <v>128419</v>
      </c>
      <c r="O39"/>
    </row>
    <row r="40" spans="1:15">
      <c r="A40" s="1" t="s">
        <v>3</v>
      </c>
      <c r="B40" s="4" t="s">
        <v>53</v>
      </c>
      <c r="C40" s="20">
        <v>0</v>
      </c>
      <c r="D40" s="21">
        <v>0</v>
      </c>
      <c r="E40" s="21">
        <f t="shared" si="3"/>
        <v>0</v>
      </c>
      <c r="F40" s="19">
        <v>0</v>
      </c>
      <c r="G40" s="20">
        <v>0</v>
      </c>
      <c r="H40" s="20">
        <v>10360</v>
      </c>
      <c r="I40" s="20">
        <v>0</v>
      </c>
      <c r="J40" s="20">
        <v>23358</v>
      </c>
      <c r="K40" s="68">
        <v>0</v>
      </c>
      <c r="L40" s="80">
        <f t="shared" si="4"/>
        <v>33718</v>
      </c>
      <c r="M40" s="8">
        <f t="shared" si="1"/>
        <v>33718</v>
      </c>
      <c r="O40"/>
    </row>
    <row r="41" spans="1:15">
      <c r="A41" s="1" t="s">
        <v>3</v>
      </c>
      <c r="B41" s="4" t="s">
        <v>54</v>
      </c>
      <c r="C41" s="20">
        <v>0</v>
      </c>
      <c r="D41" s="21">
        <v>0</v>
      </c>
      <c r="E41" s="21">
        <f t="shared" si="3"/>
        <v>0</v>
      </c>
      <c r="F41" s="19">
        <v>0</v>
      </c>
      <c r="G41" s="20">
        <v>0</v>
      </c>
      <c r="H41" s="20">
        <v>0</v>
      </c>
      <c r="I41" s="20">
        <v>0</v>
      </c>
      <c r="J41" s="20">
        <v>0</v>
      </c>
      <c r="K41" s="68">
        <v>0</v>
      </c>
      <c r="L41" s="80">
        <f t="shared" si="4"/>
        <v>0</v>
      </c>
      <c r="M41" s="8">
        <f t="shared" si="1"/>
        <v>0</v>
      </c>
      <c r="O41"/>
    </row>
    <row r="42" spans="1:15">
      <c r="A42" s="1" t="s">
        <v>3</v>
      </c>
      <c r="B42" s="4" t="s">
        <v>55</v>
      </c>
      <c r="C42" s="20">
        <v>0</v>
      </c>
      <c r="D42" s="21">
        <v>0</v>
      </c>
      <c r="E42" s="21">
        <f t="shared" si="3"/>
        <v>0</v>
      </c>
      <c r="F42" s="19">
        <v>0</v>
      </c>
      <c r="G42" s="20">
        <v>0</v>
      </c>
      <c r="H42" s="20">
        <v>0</v>
      </c>
      <c r="I42" s="20">
        <v>0</v>
      </c>
      <c r="J42" s="20">
        <v>0</v>
      </c>
      <c r="K42" s="68">
        <v>0</v>
      </c>
      <c r="L42" s="80">
        <f t="shared" si="4"/>
        <v>0</v>
      </c>
      <c r="M42" s="8">
        <f t="shared" si="1"/>
        <v>0</v>
      </c>
      <c r="O42"/>
    </row>
    <row r="43" spans="1:15">
      <c r="A43" s="1" t="s">
        <v>3</v>
      </c>
      <c r="B43" s="4" t="s">
        <v>56</v>
      </c>
      <c r="C43" s="20">
        <v>0</v>
      </c>
      <c r="D43" s="21">
        <v>0</v>
      </c>
      <c r="E43" s="21">
        <f t="shared" si="3"/>
        <v>0</v>
      </c>
      <c r="F43" s="19">
        <v>0</v>
      </c>
      <c r="G43" s="20">
        <v>0</v>
      </c>
      <c r="H43" s="20">
        <v>0</v>
      </c>
      <c r="I43" s="20">
        <v>0</v>
      </c>
      <c r="J43" s="20">
        <v>0</v>
      </c>
      <c r="K43" s="68">
        <v>0</v>
      </c>
      <c r="L43" s="80">
        <f t="shared" si="4"/>
        <v>0</v>
      </c>
      <c r="M43" s="8">
        <f t="shared" si="1"/>
        <v>0</v>
      </c>
      <c r="O43"/>
    </row>
    <row r="44" spans="1:15">
      <c r="A44" s="1" t="s">
        <v>3</v>
      </c>
      <c r="B44" s="4" t="s">
        <v>35</v>
      </c>
      <c r="C44" s="20">
        <v>0</v>
      </c>
      <c r="D44" s="21">
        <v>0</v>
      </c>
      <c r="E44" s="21">
        <f t="shared" si="3"/>
        <v>0</v>
      </c>
      <c r="F44" s="19">
        <v>0</v>
      </c>
      <c r="G44" s="20">
        <v>0</v>
      </c>
      <c r="H44" s="20">
        <v>0</v>
      </c>
      <c r="I44" s="20">
        <v>0</v>
      </c>
      <c r="J44" s="20">
        <v>0</v>
      </c>
      <c r="K44" s="68">
        <v>0</v>
      </c>
      <c r="L44" s="80">
        <f t="shared" si="4"/>
        <v>0</v>
      </c>
      <c r="M44" s="8">
        <f t="shared" si="1"/>
        <v>0</v>
      </c>
      <c r="O44"/>
    </row>
    <row r="45" spans="1:15" ht="19.5" thickBot="1">
      <c r="A45" s="1" t="s">
        <v>3</v>
      </c>
      <c r="B45" s="41" t="s">
        <v>37</v>
      </c>
      <c r="C45" s="43">
        <v>0</v>
      </c>
      <c r="D45" s="44">
        <v>0</v>
      </c>
      <c r="E45" s="44">
        <f t="shared" si="3"/>
        <v>0</v>
      </c>
      <c r="F45" s="42">
        <v>265</v>
      </c>
      <c r="G45" s="43">
        <v>840</v>
      </c>
      <c r="H45" s="43">
        <v>274</v>
      </c>
      <c r="I45" s="43">
        <v>840</v>
      </c>
      <c r="J45" s="43">
        <v>0</v>
      </c>
      <c r="K45" s="69">
        <v>0</v>
      </c>
      <c r="L45" s="81">
        <f t="shared" si="4"/>
        <v>2219</v>
      </c>
      <c r="M45" s="45">
        <f t="shared" si="1"/>
        <v>2219</v>
      </c>
      <c r="O45"/>
    </row>
    <row r="46" spans="1:15" ht="19.5" thickBot="1">
      <c r="A46" s="1" t="s">
        <v>3</v>
      </c>
      <c r="B46" s="46" t="s">
        <v>57</v>
      </c>
      <c r="C46" s="48">
        <v>365000</v>
      </c>
      <c r="D46" s="49">
        <v>87875</v>
      </c>
      <c r="E46" s="49">
        <f t="shared" si="3"/>
        <v>452875</v>
      </c>
      <c r="F46" s="47">
        <v>307804</v>
      </c>
      <c r="G46" s="48">
        <v>305608</v>
      </c>
      <c r="H46" s="48">
        <v>319024</v>
      </c>
      <c r="I46" s="48">
        <v>296536</v>
      </c>
      <c r="J46" s="48">
        <v>294470</v>
      </c>
      <c r="K46" s="70">
        <v>261494</v>
      </c>
      <c r="L46" s="82">
        <f t="shared" si="4"/>
        <v>1784936</v>
      </c>
      <c r="M46" s="50">
        <f t="shared" si="1"/>
        <v>2237811</v>
      </c>
      <c r="O46"/>
    </row>
    <row r="47" spans="1:15">
      <c r="A47" s="1" t="s">
        <v>3</v>
      </c>
      <c r="B47" s="25" t="s">
        <v>58</v>
      </c>
      <c r="C47" s="35">
        <v>3956</v>
      </c>
      <c r="D47" s="36">
        <v>2361</v>
      </c>
      <c r="E47" s="36">
        <f t="shared" si="3"/>
        <v>6317</v>
      </c>
      <c r="F47" s="34">
        <v>6204</v>
      </c>
      <c r="G47" s="35">
        <v>4856</v>
      </c>
      <c r="H47" s="35">
        <v>9171</v>
      </c>
      <c r="I47" s="35">
        <v>1551</v>
      </c>
      <c r="J47" s="35">
        <v>13487</v>
      </c>
      <c r="K47" s="67">
        <v>6474</v>
      </c>
      <c r="L47" s="79">
        <f t="shared" si="4"/>
        <v>41743</v>
      </c>
      <c r="M47" s="37">
        <f t="shared" si="1"/>
        <v>48060</v>
      </c>
      <c r="O47"/>
    </row>
    <row r="48" spans="1:15" ht="19.5" thickBot="1">
      <c r="A48" s="1" t="s">
        <v>3</v>
      </c>
      <c r="B48" s="41" t="s">
        <v>59</v>
      </c>
      <c r="C48" s="43">
        <v>0</v>
      </c>
      <c r="D48" s="44">
        <v>0</v>
      </c>
      <c r="E48" s="44">
        <f t="shared" si="3"/>
        <v>0</v>
      </c>
      <c r="F48" s="42">
        <v>0</v>
      </c>
      <c r="G48" s="43">
        <v>0</v>
      </c>
      <c r="H48" s="43">
        <v>0</v>
      </c>
      <c r="I48" s="43">
        <v>0</v>
      </c>
      <c r="J48" s="43">
        <v>0</v>
      </c>
      <c r="K48" s="69">
        <v>0</v>
      </c>
      <c r="L48" s="81">
        <f t="shared" si="4"/>
        <v>0</v>
      </c>
      <c r="M48" s="45">
        <f t="shared" si="1"/>
        <v>0</v>
      </c>
      <c r="O48"/>
    </row>
    <row r="49" spans="1:15" ht="19.5" thickBot="1">
      <c r="A49" s="1" t="s">
        <v>3</v>
      </c>
      <c r="B49" s="46" t="s">
        <v>60</v>
      </c>
      <c r="C49" s="48">
        <v>3956</v>
      </c>
      <c r="D49" s="49">
        <v>2361</v>
      </c>
      <c r="E49" s="49">
        <f t="shared" si="3"/>
        <v>6317</v>
      </c>
      <c r="F49" s="47">
        <v>6204</v>
      </c>
      <c r="G49" s="48">
        <v>4856</v>
      </c>
      <c r="H49" s="48">
        <v>9171</v>
      </c>
      <c r="I49" s="48">
        <v>1551</v>
      </c>
      <c r="J49" s="48">
        <v>13487</v>
      </c>
      <c r="K49" s="70">
        <v>6474</v>
      </c>
      <c r="L49" s="82">
        <f t="shared" si="4"/>
        <v>41743</v>
      </c>
      <c r="M49" s="50">
        <f t="shared" si="1"/>
        <v>48060</v>
      </c>
      <c r="O49"/>
    </row>
    <row r="50" spans="1:15" ht="19.5" thickBot="1">
      <c r="A50" s="1" t="s">
        <v>3</v>
      </c>
      <c r="B50" s="46" t="s">
        <v>61</v>
      </c>
      <c r="C50" s="48">
        <v>368956</v>
      </c>
      <c r="D50" s="49">
        <v>90236</v>
      </c>
      <c r="E50" s="49">
        <f t="shared" si="3"/>
        <v>459192</v>
      </c>
      <c r="F50" s="47">
        <v>314008</v>
      </c>
      <c r="G50" s="48">
        <v>310464</v>
      </c>
      <c r="H50" s="48">
        <v>328195</v>
      </c>
      <c r="I50" s="48">
        <v>298087</v>
      </c>
      <c r="J50" s="48">
        <v>307957</v>
      </c>
      <c r="K50" s="70">
        <v>267968</v>
      </c>
      <c r="L50" s="82">
        <f t="shared" si="4"/>
        <v>1826679</v>
      </c>
      <c r="M50" s="50">
        <f t="shared" si="1"/>
        <v>2285871</v>
      </c>
      <c r="O50"/>
    </row>
    <row r="51" spans="1:15">
      <c r="A51" s="1" t="s">
        <v>3</v>
      </c>
      <c r="B51" s="25" t="s">
        <v>62</v>
      </c>
      <c r="C51" s="35">
        <v>18360</v>
      </c>
      <c r="D51" s="36">
        <v>0</v>
      </c>
      <c r="E51" s="36">
        <f t="shared" si="3"/>
        <v>18360</v>
      </c>
      <c r="F51" s="34">
        <v>15300</v>
      </c>
      <c r="G51" s="35">
        <v>16320</v>
      </c>
      <c r="H51" s="35">
        <v>16320</v>
      </c>
      <c r="I51" s="35">
        <v>16320</v>
      </c>
      <c r="J51" s="35">
        <v>13260</v>
      </c>
      <c r="K51" s="67">
        <v>13260</v>
      </c>
      <c r="L51" s="79">
        <f t="shared" si="4"/>
        <v>90780</v>
      </c>
      <c r="M51" s="37">
        <f t="shared" si="1"/>
        <v>109140</v>
      </c>
      <c r="O51"/>
    </row>
    <row r="52" spans="1:15">
      <c r="A52" s="1" t="s">
        <v>3</v>
      </c>
      <c r="B52" s="4" t="s">
        <v>63</v>
      </c>
      <c r="C52" s="20">
        <v>3240</v>
      </c>
      <c r="D52" s="21">
        <v>0</v>
      </c>
      <c r="E52" s="21">
        <f t="shared" si="3"/>
        <v>3240</v>
      </c>
      <c r="F52" s="19">
        <v>0</v>
      </c>
      <c r="G52" s="20">
        <v>2880</v>
      </c>
      <c r="H52" s="20">
        <v>2880</v>
      </c>
      <c r="I52" s="20">
        <v>2880</v>
      </c>
      <c r="J52" s="20">
        <v>2340</v>
      </c>
      <c r="K52" s="68">
        <v>2340</v>
      </c>
      <c r="L52" s="80">
        <f t="shared" si="4"/>
        <v>13320</v>
      </c>
      <c r="M52" s="8">
        <f t="shared" si="1"/>
        <v>16560</v>
      </c>
      <c r="O52"/>
    </row>
    <row r="53" spans="1:15">
      <c r="A53" s="1" t="s">
        <v>3</v>
      </c>
      <c r="B53" s="4" t="s">
        <v>64</v>
      </c>
      <c r="C53" s="20">
        <v>32940</v>
      </c>
      <c r="D53" s="21">
        <v>0</v>
      </c>
      <c r="E53" s="21">
        <f t="shared" si="3"/>
        <v>32940</v>
      </c>
      <c r="F53" s="19">
        <v>27450</v>
      </c>
      <c r="G53" s="20">
        <v>29280</v>
      </c>
      <c r="H53" s="20">
        <v>29280</v>
      </c>
      <c r="I53" s="20">
        <v>29280</v>
      </c>
      <c r="J53" s="20">
        <v>23790</v>
      </c>
      <c r="K53" s="68">
        <v>23790</v>
      </c>
      <c r="L53" s="80">
        <f t="shared" si="4"/>
        <v>162870</v>
      </c>
      <c r="M53" s="8">
        <f t="shared" si="1"/>
        <v>195810</v>
      </c>
      <c r="O53"/>
    </row>
    <row r="54" spans="1:15">
      <c r="A54" s="1" t="s">
        <v>3</v>
      </c>
      <c r="B54" s="4" t="s">
        <v>65</v>
      </c>
      <c r="C54" s="20">
        <v>1107</v>
      </c>
      <c r="D54" s="21">
        <v>271</v>
      </c>
      <c r="E54" s="21">
        <f t="shared" si="3"/>
        <v>1378</v>
      </c>
      <c r="F54" s="19">
        <v>942</v>
      </c>
      <c r="G54" s="20">
        <v>931</v>
      </c>
      <c r="H54" s="20">
        <v>985</v>
      </c>
      <c r="I54" s="20">
        <v>894</v>
      </c>
      <c r="J54" s="20">
        <v>924</v>
      </c>
      <c r="K54" s="68">
        <v>804</v>
      </c>
      <c r="L54" s="80">
        <f t="shared" si="4"/>
        <v>5480</v>
      </c>
      <c r="M54" s="8">
        <f t="shared" si="1"/>
        <v>6858</v>
      </c>
      <c r="O54"/>
    </row>
    <row r="55" spans="1:15" ht="19.5" thickBot="1">
      <c r="A55" s="1" t="s">
        <v>3</v>
      </c>
      <c r="B55" s="41" t="s">
        <v>66</v>
      </c>
      <c r="C55" s="43">
        <v>0</v>
      </c>
      <c r="D55" s="44">
        <v>0</v>
      </c>
      <c r="E55" s="44">
        <f t="shared" si="3"/>
        <v>0</v>
      </c>
      <c r="F55" s="42">
        <v>0</v>
      </c>
      <c r="G55" s="43">
        <v>0</v>
      </c>
      <c r="H55" s="43">
        <v>0</v>
      </c>
      <c r="I55" s="43">
        <v>0</v>
      </c>
      <c r="J55" s="43">
        <v>0</v>
      </c>
      <c r="K55" s="69">
        <v>0</v>
      </c>
      <c r="L55" s="81">
        <f t="shared" si="4"/>
        <v>0</v>
      </c>
      <c r="M55" s="45">
        <f t="shared" si="1"/>
        <v>0</v>
      </c>
      <c r="O55"/>
    </row>
    <row r="56" spans="1:15" ht="19.5" thickBot="1">
      <c r="A56" s="1" t="s">
        <v>3</v>
      </c>
      <c r="B56" s="46" t="s">
        <v>67</v>
      </c>
      <c r="C56" s="48">
        <v>55647</v>
      </c>
      <c r="D56" s="49">
        <v>271</v>
      </c>
      <c r="E56" s="49">
        <f t="shared" si="3"/>
        <v>55918</v>
      </c>
      <c r="F56" s="47">
        <v>43692</v>
      </c>
      <c r="G56" s="48">
        <v>49411</v>
      </c>
      <c r="H56" s="48">
        <v>49465</v>
      </c>
      <c r="I56" s="48">
        <v>49374</v>
      </c>
      <c r="J56" s="48">
        <v>40314</v>
      </c>
      <c r="K56" s="70">
        <v>40194</v>
      </c>
      <c r="L56" s="82">
        <f t="shared" si="4"/>
        <v>272450</v>
      </c>
      <c r="M56" s="50">
        <f t="shared" si="1"/>
        <v>328368</v>
      </c>
      <c r="O56"/>
    </row>
    <row r="57" spans="1:15">
      <c r="A57" s="1" t="s">
        <v>3</v>
      </c>
      <c r="B57" s="25" t="s">
        <v>68</v>
      </c>
      <c r="C57" s="35">
        <v>9140</v>
      </c>
      <c r="D57" s="36">
        <v>90</v>
      </c>
      <c r="E57" s="36">
        <f t="shared" si="3"/>
        <v>9230</v>
      </c>
      <c r="F57" s="34">
        <v>7060</v>
      </c>
      <c r="G57" s="35">
        <v>5160</v>
      </c>
      <c r="H57" s="35">
        <v>7250</v>
      </c>
      <c r="I57" s="35">
        <v>4830</v>
      </c>
      <c r="J57" s="35">
        <v>5080</v>
      </c>
      <c r="K57" s="67">
        <v>5530</v>
      </c>
      <c r="L57" s="79">
        <f t="shared" si="4"/>
        <v>34910</v>
      </c>
      <c r="M57" s="37">
        <f t="shared" si="1"/>
        <v>44140</v>
      </c>
      <c r="O57"/>
    </row>
    <row r="58" spans="1:15">
      <c r="A58" s="1" t="s">
        <v>3</v>
      </c>
      <c r="B58" s="4" t="s">
        <v>69</v>
      </c>
      <c r="C58" s="20">
        <v>0</v>
      </c>
      <c r="D58" s="21">
        <v>0</v>
      </c>
      <c r="E58" s="21">
        <f t="shared" si="3"/>
        <v>0</v>
      </c>
      <c r="F58" s="19">
        <v>0</v>
      </c>
      <c r="G58" s="20">
        <v>0</v>
      </c>
      <c r="H58" s="20">
        <v>0</v>
      </c>
      <c r="I58" s="20">
        <v>0</v>
      </c>
      <c r="J58" s="20">
        <v>0</v>
      </c>
      <c r="K58" s="68">
        <v>0</v>
      </c>
      <c r="L58" s="80">
        <f t="shared" si="4"/>
        <v>0</v>
      </c>
      <c r="M58" s="8">
        <f t="shared" si="1"/>
        <v>0</v>
      </c>
      <c r="O58"/>
    </row>
    <row r="59" spans="1:15">
      <c r="A59" s="1" t="s">
        <v>3</v>
      </c>
      <c r="B59" s="4" t="s">
        <v>70</v>
      </c>
      <c r="C59" s="20">
        <v>18800</v>
      </c>
      <c r="D59" s="21">
        <v>500</v>
      </c>
      <c r="E59" s="21">
        <f t="shared" si="3"/>
        <v>19300</v>
      </c>
      <c r="F59" s="19">
        <v>11900</v>
      </c>
      <c r="G59" s="20">
        <v>6100</v>
      </c>
      <c r="H59" s="20">
        <v>6800</v>
      </c>
      <c r="I59" s="20">
        <v>10800</v>
      </c>
      <c r="J59" s="20">
        <v>2000</v>
      </c>
      <c r="K59" s="68">
        <v>10400</v>
      </c>
      <c r="L59" s="80">
        <f t="shared" si="4"/>
        <v>48000</v>
      </c>
      <c r="M59" s="8">
        <f t="shared" ref="M59:M65" si="5">E59+L59</f>
        <v>67300</v>
      </c>
      <c r="O59"/>
    </row>
    <row r="60" spans="1:15" ht="19.5" thickBot="1">
      <c r="A60" s="1" t="s">
        <v>3</v>
      </c>
      <c r="B60" s="4" t="s">
        <v>71</v>
      </c>
      <c r="C60" s="20">
        <v>0</v>
      </c>
      <c r="D60" s="21">
        <v>0</v>
      </c>
      <c r="E60" s="21">
        <f t="shared" si="3"/>
        <v>0</v>
      </c>
      <c r="F60" s="19">
        <v>0</v>
      </c>
      <c r="G60" s="20">
        <v>5000</v>
      </c>
      <c r="H60" s="20">
        <v>0</v>
      </c>
      <c r="I60" s="20">
        <v>0</v>
      </c>
      <c r="J60" s="20">
        <v>0</v>
      </c>
      <c r="K60" s="68">
        <v>0</v>
      </c>
      <c r="L60" s="80">
        <f t="shared" si="4"/>
        <v>5000</v>
      </c>
      <c r="M60" s="8">
        <f t="shared" si="5"/>
        <v>5000</v>
      </c>
      <c r="O60"/>
    </row>
    <row r="61" spans="1:15" ht="19.5" thickBot="1">
      <c r="A61" s="1" t="s">
        <v>3</v>
      </c>
      <c r="B61" s="46" t="s">
        <v>72</v>
      </c>
      <c r="C61" s="48">
        <v>83587</v>
      </c>
      <c r="D61" s="49">
        <v>861</v>
      </c>
      <c r="E61" s="49">
        <f t="shared" si="3"/>
        <v>84448</v>
      </c>
      <c r="F61" s="47">
        <v>62652</v>
      </c>
      <c r="G61" s="48">
        <v>65671</v>
      </c>
      <c r="H61" s="48">
        <v>63515</v>
      </c>
      <c r="I61" s="48">
        <v>65004</v>
      </c>
      <c r="J61" s="48">
        <v>47394</v>
      </c>
      <c r="K61" s="70">
        <v>56124</v>
      </c>
      <c r="L61" s="82">
        <f t="shared" si="4"/>
        <v>360360</v>
      </c>
      <c r="M61" s="50">
        <f t="shared" si="5"/>
        <v>444808</v>
      </c>
      <c r="O61"/>
    </row>
    <row r="62" spans="1:15" ht="19.5" thickBot="1">
      <c r="A62" s="1" t="s">
        <v>3</v>
      </c>
      <c r="B62" s="46" t="s">
        <v>73</v>
      </c>
      <c r="C62" s="48">
        <v>309353</v>
      </c>
      <c r="D62" s="49">
        <v>87604</v>
      </c>
      <c r="E62" s="49">
        <f t="shared" si="3"/>
        <v>396957</v>
      </c>
      <c r="F62" s="47">
        <v>264112</v>
      </c>
      <c r="G62" s="48">
        <v>256197</v>
      </c>
      <c r="H62" s="48">
        <v>269559</v>
      </c>
      <c r="I62" s="48">
        <v>247162</v>
      </c>
      <c r="J62" s="48">
        <v>254156</v>
      </c>
      <c r="K62" s="70">
        <v>221300</v>
      </c>
      <c r="L62" s="82">
        <f t="shared" si="4"/>
        <v>1512486</v>
      </c>
      <c r="M62" s="50">
        <f t="shared" si="5"/>
        <v>1909443</v>
      </c>
      <c r="O62"/>
    </row>
    <row r="63" spans="1:15" ht="19.5" thickBot="1">
      <c r="A63" s="1" t="s">
        <v>3</v>
      </c>
      <c r="B63" s="46" t="s">
        <v>74</v>
      </c>
      <c r="C63" s="48">
        <v>285369</v>
      </c>
      <c r="D63" s="49">
        <v>89375</v>
      </c>
      <c r="E63" s="49">
        <f t="shared" si="3"/>
        <v>374744</v>
      </c>
      <c r="F63" s="47">
        <v>251356</v>
      </c>
      <c r="G63" s="48">
        <v>244793</v>
      </c>
      <c r="H63" s="48">
        <v>264680</v>
      </c>
      <c r="I63" s="48">
        <v>233083</v>
      </c>
      <c r="J63" s="48">
        <v>260563</v>
      </c>
      <c r="K63" s="70">
        <v>211844</v>
      </c>
      <c r="L63" s="82">
        <f t="shared" si="4"/>
        <v>1466319</v>
      </c>
      <c r="M63" s="50">
        <f t="shared" si="5"/>
        <v>1841063</v>
      </c>
      <c r="O63"/>
    </row>
    <row r="64" spans="1:15">
      <c r="A64" s="1" t="s">
        <v>3</v>
      </c>
      <c r="B64" s="25" t="s">
        <v>75</v>
      </c>
      <c r="C64" s="35">
        <v>0</v>
      </c>
      <c r="D64" s="36">
        <v>0</v>
      </c>
      <c r="E64" s="36">
        <f t="shared" si="3"/>
        <v>0</v>
      </c>
      <c r="F64" s="34">
        <v>0</v>
      </c>
      <c r="G64" s="35">
        <v>0</v>
      </c>
      <c r="H64" s="35">
        <v>0</v>
      </c>
      <c r="I64" s="35">
        <v>0</v>
      </c>
      <c r="J64" s="35">
        <v>0</v>
      </c>
      <c r="K64" s="67">
        <v>0</v>
      </c>
      <c r="L64" s="79">
        <f t="shared" si="4"/>
        <v>0</v>
      </c>
      <c r="M64" s="37">
        <f t="shared" si="5"/>
        <v>0</v>
      </c>
      <c r="O64"/>
    </row>
    <row r="65" spans="1:15">
      <c r="A65" s="1" t="s">
        <v>3</v>
      </c>
      <c r="B65" s="4" t="s">
        <v>76</v>
      </c>
      <c r="C65" s="20">
        <v>285369</v>
      </c>
      <c r="D65" s="21">
        <v>89375</v>
      </c>
      <c r="E65" s="21">
        <f t="shared" si="3"/>
        <v>374744</v>
      </c>
      <c r="F65" s="19">
        <v>251356</v>
      </c>
      <c r="G65" s="20">
        <v>244793</v>
      </c>
      <c r="H65" s="20">
        <v>264680</v>
      </c>
      <c r="I65" s="20">
        <v>233083</v>
      </c>
      <c r="J65" s="20">
        <v>260563</v>
      </c>
      <c r="K65" s="68">
        <v>211844</v>
      </c>
      <c r="L65" s="80">
        <f t="shared" si="4"/>
        <v>1466319</v>
      </c>
      <c r="M65" s="8">
        <f t="shared" si="5"/>
        <v>1841063</v>
      </c>
      <c r="O65"/>
    </row>
    <row r="66" spans="1:15">
      <c r="A66" s="1" t="s">
        <v>3</v>
      </c>
      <c r="B66" s="4" t="s">
        <v>77</v>
      </c>
      <c r="C66" s="20">
        <v>0</v>
      </c>
      <c r="D66" s="21">
        <v>0</v>
      </c>
      <c r="E66" s="55"/>
      <c r="F66" s="19">
        <v>0</v>
      </c>
      <c r="G66" s="20">
        <v>1</v>
      </c>
      <c r="H66" s="20">
        <v>0</v>
      </c>
      <c r="I66" s="20">
        <v>1</v>
      </c>
      <c r="J66" s="20">
        <v>1</v>
      </c>
      <c r="K66" s="68">
        <v>0</v>
      </c>
      <c r="L66" s="80"/>
      <c r="M66" s="8"/>
    </row>
    <row r="67" spans="1:15" ht="19.5" thickBot="1">
      <c r="A67" s="1" t="s">
        <v>3</v>
      </c>
      <c r="B67" s="5" t="s">
        <v>78</v>
      </c>
      <c r="C67" s="23" t="s">
        <v>79</v>
      </c>
      <c r="D67" s="24" t="s">
        <v>79</v>
      </c>
      <c r="E67" s="56"/>
      <c r="F67" s="22" t="s">
        <v>79</v>
      </c>
      <c r="G67" s="23" t="s">
        <v>79</v>
      </c>
      <c r="H67" s="23" t="s">
        <v>79</v>
      </c>
      <c r="I67" s="23" t="s">
        <v>79</v>
      </c>
      <c r="J67" s="23" t="s">
        <v>79</v>
      </c>
      <c r="K67" s="71" t="s">
        <v>79</v>
      </c>
      <c r="L67" s="83"/>
      <c r="M67" s="9"/>
    </row>
  </sheetData>
  <phoneticPr fontId="3"/>
  <pageMargins left="0.31496062992125984" right="0.31496062992125984" top="0.15748031496062992" bottom="0.15748031496062992" header="0.19685039370078741" footer="0.19685039370078741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8月度給与 (2)</vt:lpstr>
      <vt:lpstr>'2021年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2021-09-13T05:47:39Z</cp:lastPrinted>
  <dcterms:created xsi:type="dcterms:W3CDTF">2021-09-09T02:02:00Z</dcterms:created>
  <dcterms:modified xsi:type="dcterms:W3CDTF">2021-09-13T07:09:51Z</dcterms:modified>
</cp:coreProperties>
</file>