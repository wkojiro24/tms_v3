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8\"/>
    </mc:Choice>
  </mc:AlternateContent>
  <xr:revisionPtr revIDLastSave="0" documentId="13_ncr:1_{11DA18B6-9A20-421E-B5E4-B1584F6FD626}" xr6:coauthVersionLast="47" xr6:coauthVersionMax="47" xr10:uidLastSave="{00000000-0000-0000-0000-000000000000}"/>
  <bookViews>
    <workbookView xWindow="-120" yWindow="-120" windowWidth="20730" windowHeight="11160" xr2:uid="{9F247826-1478-42D3-8F78-6063EC207094}"/>
  </bookViews>
  <sheets>
    <sheet name="2021年 8月度給与 (3)" sheetId="4" r:id="rId1"/>
    <sheet name="2021年 8月度給与 (4)" sheetId="5" r:id="rId2"/>
  </sheets>
  <definedNames>
    <definedName name="_xlnm.Print_Area" localSheetId="1">'2021年 8月度給与 (4)'!$A$1:$T$66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4" i="5" l="1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17" i="5"/>
  <c r="T16" i="5"/>
  <c r="T15" i="5"/>
  <c r="T12" i="5"/>
  <c r="T11" i="5"/>
  <c r="T10" i="5"/>
  <c r="T9" i="5"/>
  <c r="T8" i="5"/>
  <c r="T7" i="5"/>
  <c r="N64" i="4"/>
  <c r="L64" i="4"/>
  <c r="N63" i="4"/>
  <c r="L63" i="4"/>
  <c r="N62" i="4"/>
  <c r="L62" i="4"/>
  <c r="N61" i="4"/>
  <c r="L61" i="4"/>
  <c r="N60" i="4"/>
  <c r="L60" i="4"/>
  <c r="N59" i="4"/>
  <c r="L59" i="4"/>
  <c r="N58" i="4"/>
  <c r="L58" i="4"/>
  <c r="N57" i="4"/>
  <c r="L57" i="4"/>
  <c r="N56" i="4"/>
  <c r="L56" i="4"/>
  <c r="N55" i="4"/>
  <c r="L55" i="4"/>
  <c r="N54" i="4"/>
  <c r="L54" i="4"/>
  <c r="N53" i="4"/>
  <c r="L53" i="4"/>
  <c r="N52" i="4"/>
  <c r="L52" i="4"/>
  <c r="N51" i="4"/>
  <c r="L51" i="4"/>
  <c r="N50" i="4"/>
  <c r="L50" i="4"/>
  <c r="N49" i="4"/>
  <c r="L49" i="4"/>
  <c r="N48" i="4"/>
  <c r="L48" i="4"/>
  <c r="N47" i="4"/>
  <c r="L47" i="4"/>
  <c r="N46" i="4"/>
  <c r="L46" i="4"/>
  <c r="N45" i="4"/>
  <c r="L45" i="4"/>
  <c r="N44" i="4"/>
  <c r="L44" i="4"/>
  <c r="N43" i="4"/>
  <c r="L43" i="4"/>
  <c r="N42" i="4"/>
  <c r="L42" i="4"/>
  <c r="N41" i="4"/>
  <c r="L41" i="4"/>
  <c r="N40" i="4"/>
  <c r="L40" i="4"/>
  <c r="N39" i="4"/>
  <c r="L39" i="4"/>
  <c r="N38" i="4"/>
  <c r="L38" i="4"/>
  <c r="N37" i="4"/>
  <c r="L37" i="4"/>
  <c r="N36" i="4"/>
  <c r="L36" i="4"/>
  <c r="N35" i="4"/>
  <c r="L35" i="4"/>
  <c r="N34" i="4"/>
  <c r="L34" i="4"/>
  <c r="N33" i="4"/>
  <c r="L33" i="4"/>
  <c r="N32" i="4"/>
  <c r="L32" i="4"/>
  <c r="N31" i="4"/>
  <c r="L31" i="4"/>
  <c r="N30" i="4"/>
  <c r="L30" i="4"/>
  <c r="N29" i="4"/>
  <c r="L29" i="4"/>
  <c r="N28" i="4"/>
  <c r="L28" i="4"/>
  <c r="N27" i="4"/>
  <c r="L27" i="4"/>
  <c r="N26" i="4"/>
  <c r="L26" i="4"/>
  <c r="N25" i="4"/>
  <c r="L25" i="4"/>
  <c r="N24" i="4"/>
  <c r="L24" i="4"/>
  <c r="N23" i="4"/>
  <c r="L23" i="4"/>
  <c r="N22" i="4"/>
  <c r="L22" i="4"/>
  <c r="L21" i="4"/>
  <c r="L15" i="4"/>
  <c r="N12" i="4"/>
  <c r="N11" i="4"/>
  <c r="L11" i="4"/>
  <c r="L10" i="4"/>
  <c r="L9" i="4"/>
  <c r="L8" i="4"/>
  <c r="N7" i="4"/>
  <c r="L7" i="4"/>
</calcChain>
</file>

<file path=xl/sharedStrings.xml><?xml version="1.0" encoding="utf-8"?>
<sst xmlns="http://schemas.openxmlformats.org/spreadsheetml/2006/main" count="338" uniqueCount="123">
  <si>
    <t>支給控除一覧表</t>
    <phoneticPr fontId="4"/>
  </si>
  <si>
    <t>若林運送株式会社</t>
    <phoneticPr fontId="4"/>
  </si>
  <si>
    <t>2021年 9月 9日 作成</t>
    <phoneticPr fontId="4"/>
  </si>
  <si>
    <t/>
  </si>
  <si>
    <t>1006</t>
    <phoneticPr fontId="4"/>
  </si>
  <si>
    <t>1007</t>
    <phoneticPr fontId="4"/>
  </si>
  <si>
    <t>1009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</si>
  <si>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</si>
  <si>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</si>
  <si>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</si>
  <si>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</si>
  <si>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</si>
  <si>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</si>
  <si>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</si>
  <si>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</si>
  <si>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</si>
  <si>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</si>
  <si>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</si>
  <si>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</si>
  <si>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</si>
  <si>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</si>
  <si>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</si>
  <si>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</si>
  <si>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1096</t>
    <phoneticPr fontId="4"/>
  </si>
  <si>
    <t>1001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</si>
  <si>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</si>
  <si>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</si>
  <si>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</si>
  <si>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</si>
  <si>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</si>
  <si>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</si>
  <si>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項目名</t>
    <phoneticPr fontId="4"/>
  </si>
  <si>
    <t>小林　啓一</t>
    <phoneticPr fontId="4"/>
  </si>
  <si>
    <t>鈴木 富雄</t>
    <phoneticPr fontId="4"/>
  </si>
  <si>
    <t>小野　宏美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</si>
  <si>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</si>
  <si>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</si>
  <si>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</si>
  <si>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</si>
  <si>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</si>
  <si>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</si>
  <si>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</si>
  <si>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</si>
  <si>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</si>
  <si>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</si>
  <si>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</si>
  <si>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</si>
  <si>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</si>
  <si>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</si>
  <si>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</si>
  <si>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</si>
  <si>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皆川正勝</t>
    <phoneticPr fontId="4"/>
  </si>
  <si>
    <t>三澤秀雄</t>
    <phoneticPr fontId="4"/>
  </si>
  <si>
    <t>瀬野尾勉</t>
    <phoneticPr fontId="4"/>
  </si>
  <si>
    <t>鈴木重夫</t>
    <phoneticPr fontId="4"/>
  </si>
  <si>
    <t>渡辺敏男</t>
    <phoneticPr fontId="4"/>
  </si>
  <si>
    <t>蛭田　孝子</t>
    <phoneticPr fontId="4"/>
  </si>
  <si>
    <t>鈴木　紀子</t>
    <phoneticPr fontId="4"/>
  </si>
  <si>
    <t>佐原三夫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</si>
  <si>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</si>
  <si>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</si>
  <si>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</si>
  <si>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</si>
  <si>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</si>
  <si>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</si>
  <si>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</si>
  <si>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</si>
  <si>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</si>
  <si>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</si>
  <si>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</si>
  <si>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</si>
  <si>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</si>
  <si>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</si>
  <si>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</si>
  <si>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</si>
  <si>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</si>
  <si>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</si>
  <si>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</si>
  <si>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</si>
  <si>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</si>
  <si>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</si>
  <si>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</si>
  <si>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</si>
  <si>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</si>
  <si>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</si>
  <si>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</si>
  <si>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</si>
  <si>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</si>
  <si>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</si>
  <si>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</si>
  <si>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</si>
  <si>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</si>
  <si>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</si>
  <si>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</si>
  <si>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</si>
  <si>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</si>
  <si>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</si>
  <si>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</si>
  <si>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</si>
  <si>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</si>
  <si>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</si>
  <si>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</si>
  <si>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</si>
  <si>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</si>
  <si>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</si>
  <si>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</si>
  <si>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</si>
  <si>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</si>
  <si>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</si>
  <si>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社宅費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</si>
  <si>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</si>
  <si>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</si>
  <si>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</si>
  <si>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</si>
  <si>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</si>
  <si>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</si>
  <si>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</si>
  <si>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</si>
  <si>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 8月度給与</t>
    <phoneticPr fontId="4"/>
  </si>
  <si>
    <t>小計</t>
    <rPh sb="0" eb="2">
      <t>ショウケイ</t>
    </rPh>
    <phoneticPr fontId="3"/>
  </si>
  <si>
    <t>１７名</t>
    <rPh sb="2" eb="3">
      <t>メイ</t>
    </rPh>
    <phoneticPr fontId="3"/>
  </si>
  <si>
    <t>９名</t>
    <rPh sb="1" eb="2">
      <t>メイ</t>
    </rPh>
    <phoneticPr fontId="3"/>
  </si>
  <si>
    <t>1名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</si>
</sst>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6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0" fontId="2" fillId="0" borderId="31" xfId="1" applyFont="1" applyBorder="1"/>
    <xf numFmtId="49" fontId="2" fillId="0" borderId="2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right"/>
    </xf>
    <xf numFmtId="49" fontId="2" fillId="0" borderId="33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49" fontId="2" fillId="0" borderId="34" xfId="1" applyNumberFormat="1" applyFont="1" applyBorder="1"/>
    <xf numFmtId="49" fontId="2" fillId="0" borderId="39" xfId="1" applyNumberFormat="1" applyFont="1" applyBorder="1" applyAlignment="1">
      <alignment horizontal="center"/>
    </xf>
    <xf numFmtId="49" fontId="2" fillId="0" borderId="40" xfId="1" applyNumberFormat="1" applyFont="1" applyBorder="1" applyAlignment="1">
      <alignment horizontal="center"/>
    </xf>
    <xf numFmtId="2" fontId="2" fillId="0" borderId="41" xfId="1" applyNumberFormat="1" applyFont="1" applyBorder="1"/>
    <xf numFmtId="2" fontId="2" fillId="0" borderId="42" xfId="1" applyNumberFormat="1" applyFont="1" applyBorder="1"/>
    <xf numFmtId="176" fontId="2" fillId="0" borderId="42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49" fontId="2" fillId="0" borderId="40" xfId="1" applyNumberFormat="1" applyFont="1" applyBorder="1"/>
    <xf numFmtId="49" fontId="2" fillId="0" borderId="45" xfId="1" applyNumberFormat="1" applyFont="1" applyBorder="1" applyAlignment="1">
      <alignment horizontal="left"/>
    </xf>
    <xf numFmtId="49" fontId="2" fillId="0" borderId="46" xfId="1" applyNumberFormat="1" applyFont="1" applyBorder="1" applyAlignment="1">
      <alignment horizontal="right"/>
    </xf>
    <xf numFmtId="2" fontId="2" fillId="0" borderId="47" xfId="1" applyNumberFormat="1" applyFont="1" applyBorder="1"/>
    <xf numFmtId="2" fontId="2" fillId="0" borderId="48" xfId="1" applyNumberFormat="1" applyFont="1" applyBorder="1"/>
    <xf numFmtId="176" fontId="2" fillId="0" borderId="48" xfId="1" applyNumberFormat="1" applyFont="1" applyBorder="1"/>
    <xf numFmtId="2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3" fontId="2" fillId="0" borderId="32" xfId="1" applyNumberFormat="1" applyFont="1" applyBorder="1"/>
    <xf numFmtId="49" fontId="2" fillId="0" borderId="46" xfId="1" applyNumberFormat="1" applyFont="1" applyBorder="1"/>
    <xf numFmtId="176" fontId="2" fillId="0" borderId="46" xfId="1" applyNumberFormat="1" applyFont="1" applyBorder="1"/>
    <xf numFmtId="0" fontId="2" fillId="0" borderId="7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49" fontId="2" fillId="0" borderId="17" xfId="1" applyNumberFormat="1" applyFont="1" applyBorder="1" applyAlignment="1">
      <alignment horizontal="left"/>
    </xf>
    <xf numFmtId="49" fontId="2" fillId="0" borderId="10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49" fontId="2" fillId="0" borderId="22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left"/>
    </xf>
  </cellXfs>
  <cellStyles count="2">
    <cellStyle name="標準" xfId="0" builtinId="0"/>
    <cellStyle name="標準 2" xfId="1" xr:uid="{0974E680-E4BA-4100-97BB-A0AB0BDD95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AEFB-4D48-44DF-8A47-18A3B72AE8C9}">
  <sheetPr>
    <pageSetUpPr fitToPage="1"/>
  </sheetPr>
  <dimension ref="A1:Q66"/>
  <sheetViews>
    <sheetView showZeros="0" tabSelected="1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5" width="10" style="2" customWidth="1"/>
    <col min="16" max="241" width="9" style="2"/>
    <col min="242" max="242" width="2.375" style="2" customWidth="1"/>
    <col min="243" max="243" width="13.25" style="2" bestFit="1" customWidth="1"/>
    <col min="244" max="244" width="11.125" style="2" bestFit="1" customWidth="1"/>
    <col min="245" max="245" width="9.625" style="2" bestFit="1" customWidth="1"/>
    <col min="246" max="246" width="11.125" style="2" bestFit="1" customWidth="1"/>
    <col min="247" max="247" width="13.25" style="2" bestFit="1" customWidth="1"/>
    <col min="248" max="248" width="11.125" style="2" bestFit="1" customWidth="1"/>
    <col min="249" max="249" width="9" style="2"/>
    <col min="250" max="250" width="11.125" style="2" bestFit="1" customWidth="1"/>
    <col min="251" max="251" width="9" style="2"/>
    <col min="252" max="252" width="11.125" style="2" bestFit="1" customWidth="1"/>
    <col min="253" max="253" width="9" style="2"/>
    <col min="254" max="262" width="11.125" style="2" bestFit="1" customWidth="1"/>
    <col min="263" max="267" width="9" style="2"/>
    <col min="268" max="269" width="11.125" style="2" bestFit="1" customWidth="1"/>
    <col min="270" max="270" width="9" style="2"/>
    <col min="271" max="271" width="9.625" style="2" bestFit="1" customWidth="1"/>
    <col min="272" max="497" width="9" style="2"/>
    <col min="498" max="498" width="2.375" style="2" customWidth="1"/>
    <col min="499" max="499" width="13.25" style="2" bestFit="1" customWidth="1"/>
    <col min="500" max="500" width="11.125" style="2" bestFit="1" customWidth="1"/>
    <col min="501" max="501" width="9.625" style="2" bestFit="1" customWidth="1"/>
    <col min="502" max="502" width="11.125" style="2" bestFit="1" customWidth="1"/>
    <col min="503" max="503" width="13.25" style="2" bestFit="1" customWidth="1"/>
    <col min="504" max="504" width="11.125" style="2" bestFit="1" customWidth="1"/>
    <col min="505" max="505" width="9" style="2"/>
    <col min="506" max="506" width="11.125" style="2" bestFit="1" customWidth="1"/>
    <col min="507" max="507" width="9" style="2"/>
    <col min="508" max="508" width="11.125" style="2" bestFit="1" customWidth="1"/>
    <col min="509" max="509" width="9" style="2"/>
    <col min="510" max="518" width="11.125" style="2" bestFit="1" customWidth="1"/>
    <col min="519" max="523" width="9" style="2"/>
    <col min="524" max="525" width="11.125" style="2" bestFit="1" customWidth="1"/>
    <col min="526" max="526" width="9" style="2"/>
    <col min="527" max="527" width="9.625" style="2" bestFit="1" customWidth="1"/>
    <col min="528" max="753" width="9" style="2"/>
    <col min="754" max="754" width="2.375" style="2" customWidth="1"/>
    <col min="755" max="755" width="13.25" style="2" bestFit="1" customWidth="1"/>
    <col min="756" max="756" width="11.125" style="2" bestFit="1" customWidth="1"/>
    <col min="757" max="757" width="9.625" style="2" bestFit="1" customWidth="1"/>
    <col min="758" max="758" width="11.125" style="2" bestFit="1" customWidth="1"/>
    <col min="759" max="759" width="13.25" style="2" bestFit="1" customWidth="1"/>
    <col min="760" max="760" width="11.125" style="2" bestFit="1" customWidth="1"/>
    <col min="761" max="761" width="9" style="2"/>
    <col min="762" max="762" width="11.125" style="2" bestFit="1" customWidth="1"/>
    <col min="763" max="763" width="9" style="2"/>
    <col min="764" max="764" width="11.125" style="2" bestFit="1" customWidth="1"/>
    <col min="765" max="765" width="9" style="2"/>
    <col min="766" max="774" width="11.125" style="2" bestFit="1" customWidth="1"/>
    <col min="775" max="779" width="9" style="2"/>
    <col min="780" max="781" width="11.125" style="2" bestFit="1" customWidth="1"/>
    <col min="782" max="782" width="9" style="2"/>
    <col min="783" max="783" width="9.625" style="2" bestFit="1" customWidth="1"/>
    <col min="784" max="1009" width="9" style="2"/>
    <col min="1010" max="1010" width="2.375" style="2" customWidth="1"/>
    <col min="1011" max="1011" width="13.25" style="2" bestFit="1" customWidth="1"/>
    <col min="1012" max="1012" width="11.125" style="2" bestFit="1" customWidth="1"/>
    <col min="1013" max="1013" width="9.625" style="2" bestFit="1" customWidth="1"/>
    <col min="1014" max="1014" width="11.125" style="2" bestFit="1" customWidth="1"/>
    <col min="1015" max="1015" width="13.25" style="2" bestFit="1" customWidth="1"/>
    <col min="1016" max="1016" width="11.125" style="2" bestFit="1" customWidth="1"/>
    <col min="1017" max="1017" width="9" style="2"/>
    <col min="1018" max="1018" width="11.125" style="2" bestFit="1" customWidth="1"/>
    <col min="1019" max="1019" width="9" style="2"/>
    <col min="1020" max="1020" width="11.125" style="2" bestFit="1" customWidth="1"/>
    <col min="1021" max="1021" width="9" style="2"/>
    <col min="1022" max="1030" width="11.125" style="2" bestFit="1" customWidth="1"/>
    <col min="1031" max="1035" width="9" style="2"/>
    <col min="1036" max="1037" width="11.125" style="2" bestFit="1" customWidth="1"/>
    <col min="1038" max="1038" width="9" style="2"/>
    <col min="1039" max="1039" width="9.625" style="2" bestFit="1" customWidth="1"/>
    <col min="1040" max="1265" width="9" style="2"/>
    <col min="1266" max="1266" width="2.375" style="2" customWidth="1"/>
    <col min="1267" max="1267" width="13.25" style="2" bestFit="1" customWidth="1"/>
    <col min="1268" max="1268" width="11.125" style="2" bestFit="1" customWidth="1"/>
    <col min="1269" max="1269" width="9.625" style="2" bestFit="1" customWidth="1"/>
    <col min="1270" max="1270" width="11.125" style="2" bestFit="1" customWidth="1"/>
    <col min="1271" max="1271" width="13.25" style="2" bestFit="1" customWidth="1"/>
    <col min="1272" max="1272" width="11.125" style="2" bestFit="1" customWidth="1"/>
    <col min="1273" max="1273" width="9" style="2"/>
    <col min="1274" max="1274" width="11.125" style="2" bestFit="1" customWidth="1"/>
    <col min="1275" max="1275" width="9" style="2"/>
    <col min="1276" max="1276" width="11.125" style="2" bestFit="1" customWidth="1"/>
    <col min="1277" max="1277" width="9" style="2"/>
    <col min="1278" max="1286" width="11.125" style="2" bestFit="1" customWidth="1"/>
    <col min="1287" max="1291" width="9" style="2"/>
    <col min="1292" max="1293" width="11.125" style="2" bestFit="1" customWidth="1"/>
    <col min="1294" max="1294" width="9" style="2"/>
    <col min="1295" max="1295" width="9.625" style="2" bestFit="1" customWidth="1"/>
    <col min="1296" max="1521" width="9" style="2"/>
    <col min="1522" max="1522" width="2.375" style="2" customWidth="1"/>
    <col min="1523" max="1523" width="13.25" style="2" bestFit="1" customWidth="1"/>
    <col min="1524" max="1524" width="11.125" style="2" bestFit="1" customWidth="1"/>
    <col min="1525" max="1525" width="9.625" style="2" bestFit="1" customWidth="1"/>
    <col min="1526" max="1526" width="11.125" style="2" bestFit="1" customWidth="1"/>
    <col min="1527" max="1527" width="13.25" style="2" bestFit="1" customWidth="1"/>
    <col min="1528" max="1528" width="11.125" style="2" bestFit="1" customWidth="1"/>
    <col min="1529" max="1529" width="9" style="2"/>
    <col min="1530" max="1530" width="11.125" style="2" bestFit="1" customWidth="1"/>
    <col min="1531" max="1531" width="9" style="2"/>
    <col min="1532" max="1532" width="11.125" style="2" bestFit="1" customWidth="1"/>
    <col min="1533" max="1533" width="9" style="2"/>
    <col min="1534" max="1542" width="11.125" style="2" bestFit="1" customWidth="1"/>
    <col min="1543" max="1547" width="9" style="2"/>
    <col min="1548" max="1549" width="11.125" style="2" bestFit="1" customWidth="1"/>
    <col min="1550" max="1550" width="9" style="2"/>
    <col min="1551" max="1551" width="9.625" style="2" bestFit="1" customWidth="1"/>
    <col min="1552" max="1777" width="9" style="2"/>
    <col min="1778" max="1778" width="2.375" style="2" customWidth="1"/>
    <col min="1779" max="1779" width="13.25" style="2" bestFit="1" customWidth="1"/>
    <col min="1780" max="1780" width="11.125" style="2" bestFit="1" customWidth="1"/>
    <col min="1781" max="1781" width="9.625" style="2" bestFit="1" customWidth="1"/>
    <col min="1782" max="1782" width="11.125" style="2" bestFit="1" customWidth="1"/>
    <col min="1783" max="1783" width="13.25" style="2" bestFit="1" customWidth="1"/>
    <col min="1784" max="1784" width="11.125" style="2" bestFit="1" customWidth="1"/>
    <col min="1785" max="1785" width="9" style="2"/>
    <col min="1786" max="1786" width="11.125" style="2" bestFit="1" customWidth="1"/>
    <col min="1787" max="1787" width="9" style="2"/>
    <col min="1788" max="1788" width="11.125" style="2" bestFit="1" customWidth="1"/>
    <col min="1789" max="1789" width="9" style="2"/>
    <col min="1790" max="1798" width="11.125" style="2" bestFit="1" customWidth="1"/>
    <col min="1799" max="1803" width="9" style="2"/>
    <col min="1804" max="1805" width="11.125" style="2" bestFit="1" customWidth="1"/>
    <col min="1806" max="1806" width="9" style="2"/>
    <col min="1807" max="1807" width="9.625" style="2" bestFit="1" customWidth="1"/>
    <col min="1808" max="2033" width="9" style="2"/>
    <col min="2034" max="2034" width="2.375" style="2" customWidth="1"/>
    <col min="2035" max="2035" width="13.25" style="2" bestFit="1" customWidth="1"/>
    <col min="2036" max="2036" width="11.125" style="2" bestFit="1" customWidth="1"/>
    <col min="2037" max="2037" width="9.625" style="2" bestFit="1" customWidth="1"/>
    <col min="2038" max="2038" width="11.125" style="2" bestFit="1" customWidth="1"/>
    <col min="2039" max="2039" width="13.25" style="2" bestFit="1" customWidth="1"/>
    <col min="2040" max="2040" width="11.125" style="2" bestFit="1" customWidth="1"/>
    <col min="2041" max="2041" width="9" style="2"/>
    <col min="2042" max="2042" width="11.125" style="2" bestFit="1" customWidth="1"/>
    <col min="2043" max="2043" width="9" style="2"/>
    <col min="2044" max="2044" width="11.125" style="2" bestFit="1" customWidth="1"/>
    <col min="2045" max="2045" width="9" style="2"/>
    <col min="2046" max="2054" width="11.125" style="2" bestFit="1" customWidth="1"/>
    <col min="2055" max="2059" width="9" style="2"/>
    <col min="2060" max="2061" width="11.125" style="2" bestFit="1" customWidth="1"/>
    <col min="2062" max="2062" width="9" style="2"/>
    <col min="2063" max="2063" width="9.625" style="2" bestFit="1" customWidth="1"/>
    <col min="2064" max="2289" width="9" style="2"/>
    <col min="2290" max="2290" width="2.375" style="2" customWidth="1"/>
    <col min="2291" max="2291" width="13.25" style="2" bestFit="1" customWidth="1"/>
    <col min="2292" max="2292" width="11.125" style="2" bestFit="1" customWidth="1"/>
    <col min="2293" max="2293" width="9.625" style="2" bestFit="1" customWidth="1"/>
    <col min="2294" max="2294" width="11.125" style="2" bestFit="1" customWidth="1"/>
    <col min="2295" max="2295" width="13.25" style="2" bestFit="1" customWidth="1"/>
    <col min="2296" max="2296" width="11.125" style="2" bestFit="1" customWidth="1"/>
    <col min="2297" max="2297" width="9" style="2"/>
    <col min="2298" max="2298" width="11.125" style="2" bestFit="1" customWidth="1"/>
    <col min="2299" max="2299" width="9" style="2"/>
    <col min="2300" max="2300" width="11.125" style="2" bestFit="1" customWidth="1"/>
    <col min="2301" max="2301" width="9" style="2"/>
    <col min="2302" max="2310" width="11.125" style="2" bestFit="1" customWidth="1"/>
    <col min="2311" max="2315" width="9" style="2"/>
    <col min="2316" max="2317" width="11.125" style="2" bestFit="1" customWidth="1"/>
    <col min="2318" max="2318" width="9" style="2"/>
    <col min="2319" max="2319" width="9.625" style="2" bestFit="1" customWidth="1"/>
    <col min="2320" max="2545" width="9" style="2"/>
    <col min="2546" max="2546" width="2.375" style="2" customWidth="1"/>
    <col min="2547" max="2547" width="13.25" style="2" bestFit="1" customWidth="1"/>
    <col min="2548" max="2548" width="11.125" style="2" bestFit="1" customWidth="1"/>
    <col min="2549" max="2549" width="9.625" style="2" bestFit="1" customWidth="1"/>
    <col min="2550" max="2550" width="11.125" style="2" bestFit="1" customWidth="1"/>
    <col min="2551" max="2551" width="13.25" style="2" bestFit="1" customWidth="1"/>
    <col min="2552" max="2552" width="11.125" style="2" bestFit="1" customWidth="1"/>
    <col min="2553" max="2553" width="9" style="2"/>
    <col min="2554" max="2554" width="11.125" style="2" bestFit="1" customWidth="1"/>
    <col min="2555" max="2555" width="9" style="2"/>
    <col min="2556" max="2556" width="11.125" style="2" bestFit="1" customWidth="1"/>
    <col min="2557" max="2557" width="9" style="2"/>
    <col min="2558" max="2566" width="11.125" style="2" bestFit="1" customWidth="1"/>
    <col min="2567" max="2571" width="9" style="2"/>
    <col min="2572" max="2573" width="11.125" style="2" bestFit="1" customWidth="1"/>
    <col min="2574" max="2574" width="9" style="2"/>
    <col min="2575" max="2575" width="9.625" style="2" bestFit="1" customWidth="1"/>
    <col min="2576" max="2801" width="9" style="2"/>
    <col min="2802" max="2802" width="2.375" style="2" customWidth="1"/>
    <col min="2803" max="2803" width="13.25" style="2" bestFit="1" customWidth="1"/>
    <col min="2804" max="2804" width="11.125" style="2" bestFit="1" customWidth="1"/>
    <col min="2805" max="2805" width="9.625" style="2" bestFit="1" customWidth="1"/>
    <col min="2806" max="2806" width="11.125" style="2" bestFit="1" customWidth="1"/>
    <col min="2807" max="2807" width="13.25" style="2" bestFit="1" customWidth="1"/>
    <col min="2808" max="2808" width="11.125" style="2" bestFit="1" customWidth="1"/>
    <col min="2809" max="2809" width="9" style="2"/>
    <col min="2810" max="2810" width="11.125" style="2" bestFit="1" customWidth="1"/>
    <col min="2811" max="2811" width="9" style="2"/>
    <col min="2812" max="2812" width="11.125" style="2" bestFit="1" customWidth="1"/>
    <col min="2813" max="2813" width="9" style="2"/>
    <col min="2814" max="2822" width="11.125" style="2" bestFit="1" customWidth="1"/>
    <col min="2823" max="2827" width="9" style="2"/>
    <col min="2828" max="2829" width="11.125" style="2" bestFit="1" customWidth="1"/>
    <col min="2830" max="2830" width="9" style="2"/>
    <col min="2831" max="2831" width="9.625" style="2" bestFit="1" customWidth="1"/>
    <col min="2832" max="3057" width="9" style="2"/>
    <col min="3058" max="3058" width="2.375" style="2" customWidth="1"/>
    <col min="3059" max="3059" width="13.25" style="2" bestFit="1" customWidth="1"/>
    <col min="3060" max="3060" width="11.125" style="2" bestFit="1" customWidth="1"/>
    <col min="3061" max="3061" width="9.625" style="2" bestFit="1" customWidth="1"/>
    <col min="3062" max="3062" width="11.125" style="2" bestFit="1" customWidth="1"/>
    <col min="3063" max="3063" width="13.25" style="2" bestFit="1" customWidth="1"/>
    <col min="3064" max="3064" width="11.125" style="2" bestFit="1" customWidth="1"/>
    <col min="3065" max="3065" width="9" style="2"/>
    <col min="3066" max="3066" width="11.125" style="2" bestFit="1" customWidth="1"/>
    <col min="3067" max="3067" width="9" style="2"/>
    <col min="3068" max="3068" width="11.125" style="2" bestFit="1" customWidth="1"/>
    <col min="3069" max="3069" width="9" style="2"/>
    <col min="3070" max="3078" width="11.125" style="2" bestFit="1" customWidth="1"/>
    <col min="3079" max="3083" width="9" style="2"/>
    <col min="3084" max="3085" width="11.125" style="2" bestFit="1" customWidth="1"/>
    <col min="3086" max="3086" width="9" style="2"/>
    <col min="3087" max="3087" width="9.625" style="2" bestFit="1" customWidth="1"/>
    <col min="3088" max="3313" width="9" style="2"/>
    <col min="3314" max="3314" width="2.375" style="2" customWidth="1"/>
    <col min="3315" max="3315" width="13.25" style="2" bestFit="1" customWidth="1"/>
    <col min="3316" max="3316" width="11.125" style="2" bestFit="1" customWidth="1"/>
    <col min="3317" max="3317" width="9.625" style="2" bestFit="1" customWidth="1"/>
    <col min="3318" max="3318" width="11.125" style="2" bestFit="1" customWidth="1"/>
    <col min="3319" max="3319" width="13.25" style="2" bestFit="1" customWidth="1"/>
    <col min="3320" max="3320" width="11.125" style="2" bestFit="1" customWidth="1"/>
    <col min="3321" max="3321" width="9" style="2"/>
    <col min="3322" max="3322" width="11.125" style="2" bestFit="1" customWidth="1"/>
    <col min="3323" max="3323" width="9" style="2"/>
    <col min="3324" max="3324" width="11.125" style="2" bestFit="1" customWidth="1"/>
    <col min="3325" max="3325" width="9" style="2"/>
    <col min="3326" max="3334" width="11.125" style="2" bestFit="1" customWidth="1"/>
    <col min="3335" max="3339" width="9" style="2"/>
    <col min="3340" max="3341" width="11.125" style="2" bestFit="1" customWidth="1"/>
    <col min="3342" max="3342" width="9" style="2"/>
    <col min="3343" max="3343" width="9.625" style="2" bestFit="1" customWidth="1"/>
    <col min="3344" max="3569" width="9" style="2"/>
    <col min="3570" max="3570" width="2.375" style="2" customWidth="1"/>
    <col min="3571" max="3571" width="13.25" style="2" bestFit="1" customWidth="1"/>
    <col min="3572" max="3572" width="11.125" style="2" bestFit="1" customWidth="1"/>
    <col min="3573" max="3573" width="9.625" style="2" bestFit="1" customWidth="1"/>
    <col min="3574" max="3574" width="11.125" style="2" bestFit="1" customWidth="1"/>
    <col min="3575" max="3575" width="13.25" style="2" bestFit="1" customWidth="1"/>
    <col min="3576" max="3576" width="11.125" style="2" bestFit="1" customWidth="1"/>
    <col min="3577" max="3577" width="9" style="2"/>
    <col min="3578" max="3578" width="11.125" style="2" bestFit="1" customWidth="1"/>
    <col min="3579" max="3579" width="9" style="2"/>
    <col min="3580" max="3580" width="11.125" style="2" bestFit="1" customWidth="1"/>
    <col min="3581" max="3581" width="9" style="2"/>
    <col min="3582" max="3590" width="11.125" style="2" bestFit="1" customWidth="1"/>
    <col min="3591" max="3595" width="9" style="2"/>
    <col min="3596" max="3597" width="11.125" style="2" bestFit="1" customWidth="1"/>
    <col min="3598" max="3598" width="9" style="2"/>
    <col min="3599" max="3599" width="9.625" style="2" bestFit="1" customWidth="1"/>
    <col min="3600" max="3825" width="9" style="2"/>
    <col min="3826" max="3826" width="2.375" style="2" customWidth="1"/>
    <col min="3827" max="3827" width="13.25" style="2" bestFit="1" customWidth="1"/>
    <col min="3828" max="3828" width="11.125" style="2" bestFit="1" customWidth="1"/>
    <col min="3829" max="3829" width="9.625" style="2" bestFit="1" customWidth="1"/>
    <col min="3830" max="3830" width="11.125" style="2" bestFit="1" customWidth="1"/>
    <col min="3831" max="3831" width="13.25" style="2" bestFit="1" customWidth="1"/>
    <col min="3832" max="3832" width="11.125" style="2" bestFit="1" customWidth="1"/>
    <col min="3833" max="3833" width="9" style="2"/>
    <col min="3834" max="3834" width="11.125" style="2" bestFit="1" customWidth="1"/>
    <col min="3835" max="3835" width="9" style="2"/>
    <col min="3836" max="3836" width="11.125" style="2" bestFit="1" customWidth="1"/>
    <col min="3837" max="3837" width="9" style="2"/>
    <col min="3838" max="3846" width="11.125" style="2" bestFit="1" customWidth="1"/>
    <col min="3847" max="3851" width="9" style="2"/>
    <col min="3852" max="3853" width="11.125" style="2" bestFit="1" customWidth="1"/>
    <col min="3854" max="3854" width="9" style="2"/>
    <col min="3855" max="3855" width="9.625" style="2" bestFit="1" customWidth="1"/>
    <col min="3856" max="4081" width="9" style="2"/>
    <col min="4082" max="4082" width="2.375" style="2" customWidth="1"/>
    <col min="4083" max="4083" width="13.25" style="2" bestFit="1" customWidth="1"/>
    <col min="4084" max="4084" width="11.125" style="2" bestFit="1" customWidth="1"/>
    <col min="4085" max="4085" width="9.625" style="2" bestFit="1" customWidth="1"/>
    <col min="4086" max="4086" width="11.125" style="2" bestFit="1" customWidth="1"/>
    <col min="4087" max="4087" width="13.25" style="2" bestFit="1" customWidth="1"/>
    <col min="4088" max="4088" width="11.125" style="2" bestFit="1" customWidth="1"/>
    <col min="4089" max="4089" width="9" style="2"/>
    <col min="4090" max="4090" width="11.125" style="2" bestFit="1" customWidth="1"/>
    <col min="4091" max="4091" width="9" style="2"/>
    <col min="4092" max="4092" width="11.125" style="2" bestFit="1" customWidth="1"/>
    <col min="4093" max="4093" width="9" style="2"/>
    <col min="4094" max="4102" width="11.125" style="2" bestFit="1" customWidth="1"/>
    <col min="4103" max="4107" width="9" style="2"/>
    <col min="4108" max="4109" width="11.125" style="2" bestFit="1" customWidth="1"/>
    <col min="4110" max="4110" width="9" style="2"/>
    <col min="4111" max="4111" width="9.625" style="2" bestFit="1" customWidth="1"/>
    <col min="4112" max="4337" width="9" style="2"/>
    <col min="4338" max="4338" width="2.375" style="2" customWidth="1"/>
    <col min="4339" max="4339" width="13.25" style="2" bestFit="1" customWidth="1"/>
    <col min="4340" max="4340" width="11.125" style="2" bestFit="1" customWidth="1"/>
    <col min="4341" max="4341" width="9.625" style="2" bestFit="1" customWidth="1"/>
    <col min="4342" max="4342" width="11.125" style="2" bestFit="1" customWidth="1"/>
    <col min="4343" max="4343" width="13.25" style="2" bestFit="1" customWidth="1"/>
    <col min="4344" max="4344" width="11.125" style="2" bestFit="1" customWidth="1"/>
    <col min="4345" max="4345" width="9" style="2"/>
    <col min="4346" max="4346" width="11.125" style="2" bestFit="1" customWidth="1"/>
    <col min="4347" max="4347" width="9" style="2"/>
    <col min="4348" max="4348" width="11.125" style="2" bestFit="1" customWidth="1"/>
    <col min="4349" max="4349" width="9" style="2"/>
    <col min="4350" max="4358" width="11.125" style="2" bestFit="1" customWidth="1"/>
    <col min="4359" max="4363" width="9" style="2"/>
    <col min="4364" max="4365" width="11.125" style="2" bestFit="1" customWidth="1"/>
    <col min="4366" max="4366" width="9" style="2"/>
    <col min="4367" max="4367" width="9.625" style="2" bestFit="1" customWidth="1"/>
    <col min="4368" max="4593" width="9" style="2"/>
    <col min="4594" max="4594" width="2.375" style="2" customWidth="1"/>
    <col min="4595" max="4595" width="13.25" style="2" bestFit="1" customWidth="1"/>
    <col min="4596" max="4596" width="11.125" style="2" bestFit="1" customWidth="1"/>
    <col min="4597" max="4597" width="9.625" style="2" bestFit="1" customWidth="1"/>
    <col min="4598" max="4598" width="11.125" style="2" bestFit="1" customWidth="1"/>
    <col min="4599" max="4599" width="13.25" style="2" bestFit="1" customWidth="1"/>
    <col min="4600" max="4600" width="11.125" style="2" bestFit="1" customWidth="1"/>
    <col min="4601" max="4601" width="9" style="2"/>
    <col min="4602" max="4602" width="11.125" style="2" bestFit="1" customWidth="1"/>
    <col min="4603" max="4603" width="9" style="2"/>
    <col min="4604" max="4604" width="11.125" style="2" bestFit="1" customWidth="1"/>
    <col min="4605" max="4605" width="9" style="2"/>
    <col min="4606" max="4614" width="11.125" style="2" bestFit="1" customWidth="1"/>
    <col min="4615" max="4619" width="9" style="2"/>
    <col min="4620" max="4621" width="11.125" style="2" bestFit="1" customWidth="1"/>
    <col min="4622" max="4622" width="9" style="2"/>
    <col min="4623" max="4623" width="9.625" style="2" bestFit="1" customWidth="1"/>
    <col min="4624" max="4849" width="9" style="2"/>
    <col min="4850" max="4850" width="2.375" style="2" customWidth="1"/>
    <col min="4851" max="4851" width="13.25" style="2" bestFit="1" customWidth="1"/>
    <col min="4852" max="4852" width="11.125" style="2" bestFit="1" customWidth="1"/>
    <col min="4853" max="4853" width="9.625" style="2" bestFit="1" customWidth="1"/>
    <col min="4854" max="4854" width="11.125" style="2" bestFit="1" customWidth="1"/>
    <col min="4855" max="4855" width="13.25" style="2" bestFit="1" customWidth="1"/>
    <col min="4856" max="4856" width="11.125" style="2" bestFit="1" customWidth="1"/>
    <col min="4857" max="4857" width="9" style="2"/>
    <col min="4858" max="4858" width="11.125" style="2" bestFit="1" customWidth="1"/>
    <col min="4859" max="4859" width="9" style="2"/>
    <col min="4860" max="4860" width="11.125" style="2" bestFit="1" customWidth="1"/>
    <col min="4861" max="4861" width="9" style="2"/>
    <col min="4862" max="4870" width="11.125" style="2" bestFit="1" customWidth="1"/>
    <col min="4871" max="4875" width="9" style="2"/>
    <col min="4876" max="4877" width="11.125" style="2" bestFit="1" customWidth="1"/>
    <col min="4878" max="4878" width="9" style="2"/>
    <col min="4879" max="4879" width="9.625" style="2" bestFit="1" customWidth="1"/>
    <col min="4880" max="5105" width="9" style="2"/>
    <col min="5106" max="5106" width="2.375" style="2" customWidth="1"/>
    <col min="5107" max="5107" width="13.25" style="2" bestFit="1" customWidth="1"/>
    <col min="5108" max="5108" width="11.125" style="2" bestFit="1" customWidth="1"/>
    <col min="5109" max="5109" width="9.625" style="2" bestFit="1" customWidth="1"/>
    <col min="5110" max="5110" width="11.125" style="2" bestFit="1" customWidth="1"/>
    <col min="5111" max="5111" width="13.25" style="2" bestFit="1" customWidth="1"/>
    <col min="5112" max="5112" width="11.125" style="2" bestFit="1" customWidth="1"/>
    <col min="5113" max="5113" width="9" style="2"/>
    <col min="5114" max="5114" width="11.125" style="2" bestFit="1" customWidth="1"/>
    <col min="5115" max="5115" width="9" style="2"/>
    <col min="5116" max="5116" width="11.125" style="2" bestFit="1" customWidth="1"/>
    <col min="5117" max="5117" width="9" style="2"/>
    <col min="5118" max="5126" width="11.125" style="2" bestFit="1" customWidth="1"/>
    <col min="5127" max="5131" width="9" style="2"/>
    <col min="5132" max="5133" width="11.125" style="2" bestFit="1" customWidth="1"/>
    <col min="5134" max="5134" width="9" style="2"/>
    <col min="5135" max="5135" width="9.625" style="2" bestFit="1" customWidth="1"/>
    <col min="5136" max="5361" width="9" style="2"/>
    <col min="5362" max="5362" width="2.375" style="2" customWidth="1"/>
    <col min="5363" max="5363" width="13.25" style="2" bestFit="1" customWidth="1"/>
    <col min="5364" max="5364" width="11.125" style="2" bestFit="1" customWidth="1"/>
    <col min="5365" max="5365" width="9.625" style="2" bestFit="1" customWidth="1"/>
    <col min="5366" max="5366" width="11.125" style="2" bestFit="1" customWidth="1"/>
    <col min="5367" max="5367" width="13.25" style="2" bestFit="1" customWidth="1"/>
    <col min="5368" max="5368" width="11.125" style="2" bestFit="1" customWidth="1"/>
    <col min="5369" max="5369" width="9" style="2"/>
    <col min="5370" max="5370" width="11.125" style="2" bestFit="1" customWidth="1"/>
    <col min="5371" max="5371" width="9" style="2"/>
    <col min="5372" max="5372" width="11.125" style="2" bestFit="1" customWidth="1"/>
    <col min="5373" max="5373" width="9" style="2"/>
    <col min="5374" max="5382" width="11.125" style="2" bestFit="1" customWidth="1"/>
    <col min="5383" max="5387" width="9" style="2"/>
    <col min="5388" max="5389" width="11.125" style="2" bestFit="1" customWidth="1"/>
    <col min="5390" max="5390" width="9" style="2"/>
    <col min="5391" max="5391" width="9.625" style="2" bestFit="1" customWidth="1"/>
    <col min="5392" max="5617" width="9" style="2"/>
    <col min="5618" max="5618" width="2.375" style="2" customWidth="1"/>
    <col min="5619" max="5619" width="13.25" style="2" bestFit="1" customWidth="1"/>
    <col min="5620" max="5620" width="11.125" style="2" bestFit="1" customWidth="1"/>
    <col min="5621" max="5621" width="9.625" style="2" bestFit="1" customWidth="1"/>
    <col min="5622" max="5622" width="11.125" style="2" bestFit="1" customWidth="1"/>
    <col min="5623" max="5623" width="13.25" style="2" bestFit="1" customWidth="1"/>
    <col min="5624" max="5624" width="11.125" style="2" bestFit="1" customWidth="1"/>
    <col min="5625" max="5625" width="9" style="2"/>
    <col min="5626" max="5626" width="11.125" style="2" bestFit="1" customWidth="1"/>
    <col min="5627" max="5627" width="9" style="2"/>
    <col min="5628" max="5628" width="11.125" style="2" bestFit="1" customWidth="1"/>
    <col min="5629" max="5629" width="9" style="2"/>
    <col min="5630" max="5638" width="11.125" style="2" bestFit="1" customWidth="1"/>
    <col min="5639" max="5643" width="9" style="2"/>
    <col min="5644" max="5645" width="11.125" style="2" bestFit="1" customWidth="1"/>
    <col min="5646" max="5646" width="9" style="2"/>
    <col min="5647" max="5647" width="9.625" style="2" bestFit="1" customWidth="1"/>
    <col min="5648" max="5873" width="9" style="2"/>
    <col min="5874" max="5874" width="2.375" style="2" customWidth="1"/>
    <col min="5875" max="5875" width="13.25" style="2" bestFit="1" customWidth="1"/>
    <col min="5876" max="5876" width="11.125" style="2" bestFit="1" customWidth="1"/>
    <col min="5877" max="5877" width="9.625" style="2" bestFit="1" customWidth="1"/>
    <col min="5878" max="5878" width="11.125" style="2" bestFit="1" customWidth="1"/>
    <col min="5879" max="5879" width="13.25" style="2" bestFit="1" customWidth="1"/>
    <col min="5880" max="5880" width="11.125" style="2" bestFit="1" customWidth="1"/>
    <col min="5881" max="5881" width="9" style="2"/>
    <col min="5882" max="5882" width="11.125" style="2" bestFit="1" customWidth="1"/>
    <col min="5883" max="5883" width="9" style="2"/>
    <col min="5884" max="5884" width="11.125" style="2" bestFit="1" customWidth="1"/>
    <col min="5885" max="5885" width="9" style="2"/>
    <col min="5886" max="5894" width="11.125" style="2" bestFit="1" customWidth="1"/>
    <col min="5895" max="5899" width="9" style="2"/>
    <col min="5900" max="5901" width="11.125" style="2" bestFit="1" customWidth="1"/>
    <col min="5902" max="5902" width="9" style="2"/>
    <col min="5903" max="5903" width="9.625" style="2" bestFit="1" customWidth="1"/>
    <col min="5904" max="6129" width="9" style="2"/>
    <col min="6130" max="6130" width="2.375" style="2" customWidth="1"/>
    <col min="6131" max="6131" width="13.25" style="2" bestFit="1" customWidth="1"/>
    <col min="6132" max="6132" width="11.125" style="2" bestFit="1" customWidth="1"/>
    <col min="6133" max="6133" width="9.625" style="2" bestFit="1" customWidth="1"/>
    <col min="6134" max="6134" width="11.125" style="2" bestFit="1" customWidth="1"/>
    <col min="6135" max="6135" width="13.25" style="2" bestFit="1" customWidth="1"/>
    <col min="6136" max="6136" width="11.125" style="2" bestFit="1" customWidth="1"/>
    <col min="6137" max="6137" width="9" style="2"/>
    <col min="6138" max="6138" width="11.125" style="2" bestFit="1" customWidth="1"/>
    <col min="6139" max="6139" width="9" style="2"/>
    <col min="6140" max="6140" width="11.125" style="2" bestFit="1" customWidth="1"/>
    <col min="6141" max="6141" width="9" style="2"/>
    <col min="6142" max="6150" width="11.125" style="2" bestFit="1" customWidth="1"/>
    <col min="6151" max="6155" width="9" style="2"/>
    <col min="6156" max="6157" width="11.125" style="2" bestFit="1" customWidth="1"/>
    <col min="6158" max="6158" width="9" style="2"/>
    <col min="6159" max="6159" width="9.625" style="2" bestFit="1" customWidth="1"/>
    <col min="6160" max="6385" width="9" style="2"/>
    <col min="6386" max="6386" width="2.375" style="2" customWidth="1"/>
    <col min="6387" max="6387" width="13.25" style="2" bestFit="1" customWidth="1"/>
    <col min="6388" max="6388" width="11.125" style="2" bestFit="1" customWidth="1"/>
    <col min="6389" max="6389" width="9.625" style="2" bestFit="1" customWidth="1"/>
    <col min="6390" max="6390" width="11.125" style="2" bestFit="1" customWidth="1"/>
    <col min="6391" max="6391" width="13.25" style="2" bestFit="1" customWidth="1"/>
    <col min="6392" max="6392" width="11.125" style="2" bestFit="1" customWidth="1"/>
    <col min="6393" max="6393" width="9" style="2"/>
    <col min="6394" max="6394" width="11.125" style="2" bestFit="1" customWidth="1"/>
    <col min="6395" max="6395" width="9" style="2"/>
    <col min="6396" max="6396" width="11.125" style="2" bestFit="1" customWidth="1"/>
    <col min="6397" max="6397" width="9" style="2"/>
    <col min="6398" max="6406" width="11.125" style="2" bestFit="1" customWidth="1"/>
    <col min="6407" max="6411" width="9" style="2"/>
    <col min="6412" max="6413" width="11.125" style="2" bestFit="1" customWidth="1"/>
    <col min="6414" max="6414" width="9" style="2"/>
    <col min="6415" max="6415" width="9.625" style="2" bestFit="1" customWidth="1"/>
    <col min="6416" max="6641" width="9" style="2"/>
    <col min="6642" max="6642" width="2.375" style="2" customWidth="1"/>
    <col min="6643" max="6643" width="13.25" style="2" bestFit="1" customWidth="1"/>
    <col min="6644" max="6644" width="11.125" style="2" bestFit="1" customWidth="1"/>
    <col min="6645" max="6645" width="9.625" style="2" bestFit="1" customWidth="1"/>
    <col min="6646" max="6646" width="11.125" style="2" bestFit="1" customWidth="1"/>
    <col min="6647" max="6647" width="13.25" style="2" bestFit="1" customWidth="1"/>
    <col min="6648" max="6648" width="11.125" style="2" bestFit="1" customWidth="1"/>
    <col min="6649" max="6649" width="9" style="2"/>
    <col min="6650" max="6650" width="11.125" style="2" bestFit="1" customWidth="1"/>
    <col min="6651" max="6651" width="9" style="2"/>
    <col min="6652" max="6652" width="11.125" style="2" bestFit="1" customWidth="1"/>
    <col min="6653" max="6653" width="9" style="2"/>
    <col min="6654" max="6662" width="11.125" style="2" bestFit="1" customWidth="1"/>
    <col min="6663" max="6667" width="9" style="2"/>
    <col min="6668" max="6669" width="11.125" style="2" bestFit="1" customWidth="1"/>
    <col min="6670" max="6670" width="9" style="2"/>
    <col min="6671" max="6671" width="9.625" style="2" bestFit="1" customWidth="1"/>
    <col min="6672" max="6897" width="9" style="2"/>
    <col min="6898" max="6898" width="2.375" style="2" customWidth="1"/>
    <col min="6899" max="6899" width="13.25" style="2" bestFit="1" customWidth="1"/>
    <col min="6900" max="6900" width="11.125" style="2" bestFit="1" customWidth="1"/>
    <col min="6901" max="6901" width="9.625" style="2" bestFit="1" customWidth="1"/>
    <col min="6902" max="6902" width="11.125" style="2" bestFit="1" customWidth="1"/>
    <col min="6903" max="6903" width="13.25" style="2" bestFit="1" customWidth="1"/>
    <col min="6904" max="6904" width="11.125" style="2" bestFit="1" customWidth="1"/>
    <col min="6905" max="6905" width="9" style="2"/>
    <col min="6906" max="6906" width="11.125" style="2" bestFit="1" customWidth="1"/>
    <col min="6907" max="6907" width="9" style="2"/>
    <col min="6908" max="6908" width="11.125" style="2" bestFit="1" customWidth="1"/>
    <col min="6909" max="6909" width="9" style="2"/>
    <col min="6910" max="6918" width="11.125" style="2" bestFit="1" customWidth="1"/>
    <col min="6919" max="6923" width="9" style="2"/>
    <col min="6924" max="6925" width="11.125" style="2" bestFit="1" customWidth="1"/>
    <col min="6926" max="6926" width="9" style="2"/>
    <col min="6927" max="6927" width="9.625" style="2" bestFit="1" customWidth="1"/>
    <col min="6928" max="7153" width="9" style="2"/>
    <col min="7154" max="7154" width="2.375" style="2" customWidth="1"/>
    <col min="7155" max="7155" width="13.25" style="2" bestFit="1" customWidth="1"/>
    <col min="7156" max="7156" width="11.125" style="2" bestFit="1" customWidth="1"/>
    <col min="7157" max="7157" width="9.625" style="2" bestFit="1" customWidth="1"/>
    <col min="7158" max="7158" width="11.125" style="2" bestFit="1" customWidth="1"/>
    <col min="7159" max="7159" width="13.25" style="2" bestFit="1" customWidth="1"/>
    <col min="7160" max="7160" width="11.125" style="2" bestFit="1" customWidth="1"/>
    <col min="7161" max="7161" width="9" style="2"/>
    <col min="7162" max="7162" width="11.125" style="2" bestFit="1" customWidth="1"/>
    <col min="7163" max="7163" width="9" style="2"/>
    <col min="7164" max="7164" width="11.125" style="2" bestFit="1" customWidth="1"/>
    <col min="7165" max="7165" width="9" style="2"/>
    <col min="7166" max="7174" width="11.125" style="2" bestFit="1" customWidth="1"/>
    <col min="7175" max="7179" width="9" style="2"/>
    <col min="7180" max="7181" width="11.125" style="2" bestFit="1" customWidth="1"/>
    <col min="7182" max="7182" width="9" style="2"/>
    <col min="7183" max="7183" width="9.625" style="2" bestFit="1" customWidth="1"/>
    <col min="7184" max="7409" width="9" style="2"/>
    <col min="7410" max="7410" width="2.375" style="2" customWidth="1"/>
    <col min="7411" max="7411" width="13.25" style="2" bestFit="1" customWidth="1"/>
    <col min="7412" max="7412" width="11.125" style="2" bestFit="1" customWidth="1"/>
    <col min="7413" max="7413" width="9.625" style="2" bestFit="1" customWidth="1"/>
    <col min="7414" max="7414" width="11.125" style="2" bestFit="1" customWidth="1"/>
    <col min="7415" max="7415" width="13.25" style="2" bestFit="1" customWidth="1"/>
    <col min="7416" max="7416" width="11.125" style="2" bestFit="1" customWidth="1"/>
    <col min="7417" max="7417" width="9" style="2"/>
    <col min="7418" max="7418" width="11.125" style="2" bestFit="1" customWidth="1"/>
    <col min="7419" max="7419" width="9" style="2"/>
    <col min="7420" max="7420" width="11.125" style="2" bestFit="1" customWidth="1"/>
    <col min="7421" max="7421" width="9" style="2"/>
    <col min="7422" max="7430" width="11.125" style="2" bestFit="1" customWidth="1"/>
    <col min="7431" max="7435" width="9" style="2"/>
    <col min="7436" max="7437" width="11.125" style="2" bestFit="1" customWidth="1"/>
    <col min="7438" max="7438" width="9" style="2"/>
    <col min="7439" max="7439" width="9.625" style="2" bestFit="1" customWidth="1"/>
    <col min="7440" max="7665" width="9" style="2"/>
    <col min="7666" max="7666" width="2.375" style="2" customWidth="1"/>
    <col min="7667" max="7667" width="13.25" style="2" bestFit="1" customWidth="1"/>
    <col min="7668" max="7668" width="11.125" style="2" bestFit="1" customWidth="1"/>
    <col min="7669" max="7669" width="9.625" style="2" bestFit="1" customWidth="1"/>
    <col min="7670" max="7670" width="11.125" style="2" bestFit="1" customWidth="1"/>
    <col min="7671" max="7671" width="13.25" style="2" bestFit="1" customWidth="1"/>
    <col min="7672" max="7672" width="11.125" style="2" bestFit="1" customWidth="1"/>
    <col min="7673" max="7673" width="9" style="2"/>
    <col min="7674" max="7674" width="11.125" style="2" bestFit="1" customWidth="1"/>
    <col min="7675" max="7675" width="9" style="2"/>
    <col min="7676" max="7676" width="11.125" style="2" bestFit="1" customWidth="1"/>
    <col min="7677" max="7677" width="9" style="2"/>
    <col min="7678" max="7686" width="11.125" style="2" bestFit="1" customWidth="1"/>
    <col min="7687" max="7691" width="9" style="2"/>
    <col min="7692" max="7693" width="11.125" style="2" bestFit="1" customWidth="1"/>
    <col min="7694" max="7694" width="9" style="2"/>
    <col min="7695" max="7695" width="9.625" style="2" bestFit="1" customWidth="1"/>
    <col min="7696" max="7921" width="9" style="2"/>
    <col min="7922" max="7922" width="2.375" style="2" customWidth="1"/>
    <col min="7923" max="7923" width="13.25" style="2" bestFit="1" customWidth="1"/>
    <col min="7924" max="7924" width="11.125" style="2" bestFit="1" customWidth="1"/>
    <col min="7925" max="7925" width="9.625" style="2" bestFit="1" customWidth="1"/>
    <col min="7926" max="7926" width="11.125" style="2" bestFit="1" customWidth="1"/>
    <col min="7927" max="7927" width="13.25" style="2" bestFit="1" customWidth="1"/>
    <col min="7928" max="7928" width="11.125" style="2" bestFit="1" customWidth="1"/>
    <col min="7929" max="7929" width="9" style="2"/>
    <col min="7930" max="7930" width="11.125" style="2" bestFit="1" customWidth="1"/>
    <col min="7931" max="7931" width="9" style="2"/>
    <col min="7932" max="7932" width="11.125" style="2" bestFit="1" customWidth="1"/>
    <col min="7933" max="7933" width="9" style="2"/>
    <col min="7934" max="7942" width="11.125" style="2" bestFit="1" customWidth="1"/>
    <col min="7943" max="7947" width="9" style="2"/>
    <col min="7948" max="7949" width="11.125" style="2" bestFit="1" customWidth="1"/>
    <col min="7950" max="7950" width="9" style="2"/>
    <col min="7951" max="7951" width="9.625" style="2" bestFit="1" customWidth="1"/>
    <col min="7952" max="8177" width="9" style="2"/>
    <col min="8178" max="8178" width="2.375" style="2" customWidth="1"/>
    <col min="8179" max="8179" width="13.25" style="2" bestFit="1" customWidth="1"/>
    <col min="8180" max="8180" width="11.125" style="2" bestFit="1" customWidth="1"/>
    <col min="8181" max="8181" width="9.625" style="2" bestFit="1" customWidth="1"/>
    <col min="8182" max="8182" width="11.125" style="2" bestFit="1" customWidth="1"/>
    <col min="8183" max="8183" width="13.25" style="2" bestFit="1" customWidth="1"/>
    <col min="8184" max="8184" width="11.125" style="2" bestFit="1" customWidth="1"/>
    <col min="8185" max="8185" width="9" style="2"/>
    <col min="8186" max="8186" width="11.125" style="2" bestFit="1" customWidth="1"/>
    <col min="8187" max="8187" width="9" style="2"/>
    <col min="8188" max="8188" width="11.125" style="2" bestFit="1" customWidth="1"/>
    <col min="8189" max="8189" width="9" style="2"/>
    <col min="8190" max="8198" width="11.125" style="2" bestFit="1" customWidth="1"/>
    <col min="8199" max="8203" width="9" style="2"/>
    <col min="8204" max="8205" width="11.125" style="2" bestFit="1" customWidth="1"/>
    <col min="8206" max="8206" width="9" style="2"/>
    <col min="8207" max="8207" width="9.625" style="2" bestFit="1" customWidth="1"/>
    <col min="8208" max="8433" width="9" style="2"/>
    <col min="8434" max="8434" width="2.375" style="2" customWidth="1"/>
    <col min="8435" max="8435" width="13.25" style="2" bestFit="1" customWidth="1"/>
    <col min="8436" max="8436" width="11.125" style="2" bestFit="1" customWidth="1"/>
    <col min="8437" max="8437" width="9.625" style="2" bestFit="1" customWidth="1"/>
    <col min="8438" max="8438" width="11.125" style="2" bestFit="1" customWidth="1"/>
    <col min="8439" max="8439" width="13.25" style="2" bestFit="1" customWidth="1"/>
    <col min="8440" max="8440" width="11.125" style="2" bestFit="1" customWidth="1"/>
    <col min="8441" max="8441" width="9" style="2"/>
    <col min="8442" max="8442" width="11.125" style="2" bestFit="1" customWidth="1"/>
    <col min="8443" max="8443" width="9" style="2"/>
    <col min="8444" max="8444" width="11.125" style="2" bestFit="1" customWidth="1"/>
    <col min="8445" max="8445" width="9" style="2"/>
    <col min="8446" max="8454" width="11.125" style="2" bestFit="1" customWidth="1"/>
    <col min="8455" max="8459" width="9" style="2"/>
    <col min="8460" max="8461" width="11.125" style="2" bestFit="1" customWidth="1"/>
    <col min="8462" max="8462" width="9" style="2"/>
    <col min="8463" max="8463" width="9.625" style="2" bestFit="1" customWidth="1"/>
    <col min="8464" max="8689" width="9" style="2"/>
    <col min="8690" max="8690" width="2.375" style="2" customWidth="1"/>
    <col min="8691" max="8691" width="13.25" style="2" bestFit="1" customWidth="1"/>
    <col min="8692" max="8692" width="11.125" style="2" bestFit="1" customWidth="1"/>
    <col min="8693" max="8693" width="9.625" style="2" bestFit="1" customWidth="1"/>
    <col min="8694" max="8694" width="11.125" style="2" bestFit="1" customWidth="1"/>
    <col min="8695" max="8695" width="13.25" style="2" bestFit="1" customWidth="1"/>
    <col min="8696" max="8696" width="11.125" style="2" bestFit="1" customWidth="1"/>
    <col min="8697" max="8697" width="9" style="2"/>
    <col min="8698" max="8698" width="11.125" style="2" bestFit="1" customWidth="1"/>
    <col min="8699" max="8699" width="9" style="2"/>
    <col min="8700" max="8700" width="11.125" style="2" bestFit="1" customWidth="1"/>
    <col min="8701" max="8701" width="9" style="2"/>
    <col min="8702" max="8710" width="11.125" style="2" bestFit="1" customWidth="1"/>
    <col min="8711" max="8715" width="9" style="2"/>
    <col min="8716" max="8717" width="11.125" style="2" bestFit="1" customWidth="1"/>
    <col min="8718" max="8718" width="9" style="2"/>
    <col min="8719" max="8719" width="9.625" style="2" bestFit="1" customWidth="1"/>
    <col min="8720" max="8945" width="9" style="2"/>
    <col min="8946" max="8946" width="2.375" style="2" customWidth="1"/>
    <col min="8947" max="8947" width="13.25" style="2" bestFit="1" customWidth="1"/>
    <col min="8948" max="8948" width="11.125" style="2" bestFit="1" customWidth="1"/>
    <col min="8949" max="8949" width="9.625" style="2" bestFit="1" customWidth="1"/>
    <col min="8950" max="8950" width="11.125" style="2" bestFit="1" customWidth="1"/>
    <col min="8951" max="8951" width="13.25" style="2" bestFit="1" customWidth="1"/>
    <col min="8952" max="8952" width="11.125" style="2" bestFit="1" customWidth="1"/>
    <col min="8953" max="8953" width="9" style="2"/>
    <col min="8954" max="8954" width="11.125" style="2" bestFit="1" customWidth="1"/>
    <col min="8955" max="8955" width="9" style="2"/>
    <col min="8956" max="8956" width="11.125" style="2" bestFit="1" customWidth="1"/>
    <col min="8957" max="8957" width="9" style="2"/>
    <col min="8958" max="8966" width="11.125" style="2" bestFit="1" customWidth="1"/>
    <col min="8967" max="8971" width="9" style="2"/>
    <col min="8972" max="8973" width="11.125" style="2" bestFit="1" customWidth="1"/>
    <col min="8974" max="8974" width="9" style="2"/>
    <col min="8975" max="8975" width="9.625" style="2" bestFit="1" customWidth="1"/>
    <col min="8976" max="9201" width="9" style="2"/>
    <col min="9202" max="9202" width="2.375" style="2" customWidth="1"/>
    <col min="9203" max="9203" width="13.25" style="2" bestFit="1" customWidth="1"/>
    <col min="9204" max="9204" width="11.125" style="2" bestFit="1" customWidth="1"/>
    <col min="9205" max="9205" width="9.625" style="2" bestFit="1" customWidth="1"/>
    <col min="9206" max="9206" width="11.125" style="2" bestFit="1" customWidth="1"/>
    <col min="9207" max="9207" width="13.25" style="2" bestFit="1" customWidth="1"/>
    <col min="9208" max="9208" width="11.125" style="2" bestFit="1" customWidth="1"/>
    <col min="9209" max="9209" width="9" style="2"/>
    <col min="9210" max="9210" width="11.125" style="2" bestFit="1" customWidth="1"/>
    <col min="9211" max="9211" width="9" style="2"/>
    <col min="9212" max="9212" width="11.125" style="2" bestFit="1" customWidth="1"/>
    <col min="9213" max="9213" width="9" style="2"/>
    <col min="9214" max="9222" width="11.125" style="2" bestFit="1" customWidth="1"/>
    <col min="9223" max="9227" width="9" style="2"/>
    <col min="9228" max="9229" width="11.125" style="2" bestFit="1" customWidth="1"/>
    <col min="9230" max="9230" width="9" style="2"/>
    <col min="9231" max="9231" width="9.625" style="2" bestFit="1" customWidth="1"/>
    <col min="9232" max="9457" width="9" style="2"/>
    <col min="9458" max="9458" width="2.375" style="2" customWidth="1"/>
    <col min="9459" max="9459" width="13.25" style="2" bestFit="1" customWidth="1"/>
    <col min="9460" max="9460" width="11.125" style="2" bestFit="1" customWidth="1"/>
    <col min="9461" max="9461" width="9.625" style="2" bestFit="1" customWidth="1"/>
    <col min="9462" max="9462" width="11.125" style="2" bestFit="1" customWidth="1"/>
    <col min="9463" max="9463" width="13.25" style="2" bestFit="1" customWidth="1"/>
    <col min="9464" max="9464" width="11.125" style="2" bestFit="1" customWidth="1"/>
    <col min="9465" max="9465" width="9" style="2"/>
    <col min="9466" max="9466" width="11.125" style="2" bestFit="1" customWidth="1"/>
    <col min="9467" max="9467" width="9" style="2"/>
    <col min="9468" max="9468" width="11.125" style="2" bestFit="1" customWidth="1"/>
    <col min="9469" max="9469" width="9" style="2"/>
    <col min="9470" max="9478" width="11.125" style="2" bestFit="1" customWidth="1"/>
    <col min="9479" max="9483" width="9" style="2"/>
    <col min="9484" max="9485" width="11.125" style="2" bestFit="1" customWidth="1"/>
    <col min="9486" max="9486" width="9" style="2"/>
    <col min="9487" max="9487" width="9.625" style="2" bestFit="1" customWidth="1"/>
    <col min="9488" max="9713" width="9" style="2"/>
    <col min="9714" max="9714" width="2.375" style="2" customWidth="1"/>
    <col min="9715" max="9715" width="13.25" style="2" bestFit="1" customWidth="1"/>
    <col min="9716" max="9716" width="11.125" style="2" bestFit="1" customWidth="1"/>
    <col min="9717" max="9717" width="9.625" style="2" bestFit="1" customWidth="1"/>
    <col min="9718" max="9718" width="11.125" style="2" bestFit="1" customWidth="1"/>
    <col min="9719" max="9719" width="13.25" style="2" bestFit="1" customWidth="1"/>
    <col min="9720" max="9720" width="11.125" style="2" bestFit="1" customWidth="1"/>
    <col min="9721" max="9721" width="9" style="2"/>
    <col min="9722" max="9722" width="11.125" style="2" bestFit="1" customWidth="1"/>
    <col min="9723" max="9723" width="9" style="2"/>
    <col min="9724" max="9724" width="11.125" style="2" bestFit="1" customWidth="1"/>
    <col min="9725" max="9725" width="9" style="2"/>
    <col min="9726" max="9734" width="11.125" style="2" bestFit="1" customWidth="1"/>
    <col min="9735" max="9739" width="9" style="2"/>
    <col min="9740" max="9741" width="11.125" style="2" bestFit="1" customWidth="1"/>
    <col min="9742" max="9742" width="9" style="2"/>
    <col min="9743" max="9743" width="9.625" style="2" bestFit="1" customWidth="1"/>
    <col min="9744" max="9969" width="9" style="2"/>
    <col min="9970" max="9970" width="2.375" style="2" customWidth="1"/>
    <col min="9971" max="9971" width="13.25" style="2" bestFit="1" customWidth="1"/>
    <col min="9972" max="9972" width="11.125" style="2" bestFit="1" customWidth="1"/>
    <col min="9973" max="9973" width="9.625" style="2" bestFit="1" customWidth="1"/>
    <col min="9974" max="9974" width="11.125" style="2" bestFit="1" customWidth="1"/>
    <col min="9975" max="9975" width="13.25" style="2" bestFit="1" customWidth="1"/>
    <col min="9976" max="9976" width="11.125" style="2" bestFit="1" customWidth="1"/>
    <col min="9977" max="9977" width="9" style="2"/>
    <col min="9978" max="9978" width="11.125" style="2" bestFit="1" customWidth="1"/>
    <col min="9979" max="9979" width="9" style="2"/>
    <col min="9980" max="9980" width="11.125" style="2" bestFit="1" customWidth="1"/>
    <col min="9981" max="9981" width="9" style="2"/>
    <col min="9982" max="9990" width="11.125" style="2" bestFit="1" customWidth="1"/>
    <col min="9991" max="9995" width="9" style="2"/>
    <col min="9996" max="9997" width="11.125" style="2" bestFit="1" customWidth="1"/>
    <col min="9998" max="9998" width="9" style="2"/>
    <col min="9999" max="9999" width="9.625" style="2" bestFit="1" customWidth="1"/>
    <col min="10000" max="10225" width="9" style="2"/>
    <col min="10226" max="10226" width="2.375" style="2" customWidth="1"/>
    <col min="10227" max="10227" width="13.25" style="2" bestFit="1" customWidth="1"/>
    <col min="10228" max="10228" width="11.125" style="2" bestFit="1" customWidth="1"/>
    <col min="10229" max="10229" width="9.625" style="2" bestFit="1" customWidth="1"/>
    <col min="10230" max="10230" width="11.125" style="2" bestFit="1" customWidth="1"/>
    <col min="10231" max="10231" width="13.25" style="2" bestFit="1" customWidth="1"/>
    <col min="10232" max="10232" width="11.125" style="2" bestFit="1" customWidth="1"/>
    <col min="10233" max="10233" width="9" style="2"/>
    <col min="10234" max="10234" width="11.125" style="2" bestFit="1" customWidth="1"/>
    <col min="10235" max="10235" width="9" style="2"/>
    <col min="10236" max="10236" width="11.125" style="2" bestFit="1" customWidth="1"/>
    <col min="10237" max="10237" width="9" style="2"/>
    <col min="10238" max="10246" width="11.125" style="2" bestFit="1" customWidth="1"/>
    <col min="10247" max="10251" width="9" style="2"/>
    <col min="10252" max="10253" width="11.125" style="2" bestFit="1" customWidth="1"/>
    <col min="10254" max="10254" width="9" style="2"/>
    <col min="10255" max="10255" width="9.625" style="2" bestFit="1" customWidth="1"/>
    <col min="10256" max="10481" width="9" style="2"/>
    <col min="10482" max="10482" width="2.375" style="2" customWidth="1"/>
    <col min="10483" max="10483" width="13.25" style="2" bestFit="1" customWidth="1"/>
    <col min="10484" max="10484" width="11.125" style="2" bestFit="1" customWidth="1"/>
    <col min="10485" max="10485" width="9.625" style="2" bestFit="1" customWidth="1"/>
    <col min="10486" max="10486" width="11.125" style="2" bestFit="1" customWidth="1"/>
    <col min="10487" max="10487" width="13.25" style="2" bestFit="1" customWidth="1"/>
    <col min="10488" max="10488" width="11.125" style="2" bestFit="1" customWidth="1"/>
    <col min="10489" max="10489" width="9" style="2"/>
    <col min="10490" max="10490" width="11.125" style="2" bestFit="1" customWidth="1"/>
    <col min="10491" max="10491" width="9" style="2"/>
    <col min="10492" max="10492" width="11.125" style="2" bestFit="1" customWidth="1"/>
    <col min="10493" max="10493" width="9" style="2"/>
    <col min="10494" max="10502" width="11.125" style="2" bestFit="1" customWidth="1"/>
    <col min="10503" max="10507" width="9" style="2"/>
    <col min="10508" max="10509" width="11.125" style="2" bestFit="1" customWidth="1"/>
    <col min="10510" max="10510" width="9" style="2"/>
    <col min="10511" max="10511" width="9.625" style="2" bestFit="1" customWidth="1"/>
    <col min="10512" max="10737" width="9" style="2"/>
    <col min="10738" max="10738" width="2.375" style="2" customWidth="1"/>
    <col min="10739" max="10739" width="13.25" style="2" bestFit="1" customWidth="1"/>
    <col min="10740" max="10740" width="11.125" style="2" bestFit="1" customWidth="1"/>
    <col min="10741" max="10741" width="9.625" style="2" bestFit="1" customWidth="1"/>
    <col min="10742" max="10742" width="11.125" style="2" bestFit="1" customWidth="1"/>
    <col min="10743" max="10743" width="13.25" style="2" bestFit="1" customWidth="1"/>
    <col min="10744" max="10744" width="11.125" style="2" bestFit="1" customWidth="1"/>
    <col min="10745" max="10745" width="9" style="2"/>
    <col min="10746" max="10746" width="11.125" style="2" bestFit="1" customWidth="1"/>
    <col min="10747" max="10747" width="9" style="2"/>
    <col min="10748" max="10748" width="11.125" style="2" bestFit="1" customWidth="1"/>
    <col min="10749" max="10749" width="9" style="2"/>
    <col min="10750" max="10758" width="11.125" style="2" bestFit="1" customWidth="1"/>
    <col min="10759" max="10763" width="9" style="2"/>
    <col min="10764" max="10765" width="11.125" style="2" bestFit="1" customWidth="1"/>
    <col min="10766" max="10766" width="9" style="2"/>
    <col min="10767" max="10767" width="9.625" style="2" bestFit="1" customWidth="1"/>
    <col min="10768" max="10993" width="9" style="2"/>
    <col min="10994" max="10994" width="2.375" style="2" customWidth="1"/>
    <col min="10995" max="10995" width="13.25" style="2" bestFit="1" customWidth="1"/>
    <col min="10996" max="10996" width="11.125" style="2" bestFit="1" customWidth="1"/>
    <col min="10997" max="10997" width="9.625" style="2" bestFit="1" customWidth="1"/>
    <col min="10998" max="10998" width="11.125" style="2" bestFit="1" customWidth="1"/>
    <col min="10999" max="10999" width="13.25" style="2" bestFit="1" customWidth="1"/>
    <col min="11000" max="11000" width="11.125" style="2" bestFit="1" customWidth="1"/>
    <col min="11001" max="11001" width="9" style="2"/>
    <col min="11002" max="11002" width="11.125" style="2" bestFit="1" customWidth="1"/>
    <col min="11003" max="11003" width="9" style="2"/>
    <col min="11004" max="11004" width="11.125" style="2" bestFit="1" customWidth="1"/>
    <col min="11005" max="11005" width="9" style="2"/>
    <col min="11006" max="11014" width="11.125" style="2" bestFit="1" customWidth="1"/>
    <col min="11015" max="11019" width="9" style="2"/>
    <col min="11020" max="11021" width="11.125" style="2" bestFit="1" customWidth="1"/>
    <col min="11022" max="11022" width="9" style="2"/>
    <col min="11023" max="11023" width="9.625" style="2" bestFit="1" customWidth="1"/>
    <col min="11024" max="11249" width="9" style="2"/>
    <col min="11250" max="11250" width="2.375" style="2" customWidth="1"/>
    <col min="11251" max="11251" width="13.25" style="2" bestFit="1" customWidth="1"/>
    <col min="11252" max="11252" width="11.125" style="2" bestFit="1" customWidth="1"/>
    <col min="11253" max="11253" width="9.625" style="2" bestFit="1" customWidth="1"/>
    <col min="11254" max="11254" width="11.125" style="2" bestFit="1" customWidth="1"/>
    <col min="11255" max="11255" width="13.25" style="2" bestFit="1" customWidth="1"/>
    <col min="11256" max="11256" width="11.125" style="2" bestFit="1" customWidth="1"/>
    <col min="11257" max="11257" width="9" style="2"/>
    <col min="11258" max="11258" width="11.125" style="2" bestFit="1" customWidth="1"/>
    <col min="11259" max="11259" width="9" style="2"/>
    <col min="11260" max="11260" width="11.125" style="2" bestFit="1" customWidth="1"/>
    <col min="11261" max="11261" width="9" style="2"/>
    <col min="11262" max="11270" width="11.125" style="2" bestFit="1" customWidth="1"/>
    <col min="11271" max="11275" width="9" style="2"/>
    <col min="11276" max="11277" width="11.125" style="2" bestFit="1" customWidth="1"/>
    <col min="11278" max="11278" width="9" style="2"/>
    <col min="11279" max="11279" width="9.625" style="2" bestFit="1" customWidth="1"/>
    <col min="11280" max="11505" width="9" style="2"/>
    <col min="11506" max="11506" width="2.375" style="2" customWidth="1"/>
    <col min="11507" max="11507" width="13.25" style="2" bestFit="1" customWidth="1"/>
    <col min="11508" max="11508" width="11.125" style="2" bestFit="1" customWidth="1"/>
    <col min="11509" max="11509" width="9.625" style="2" bestFit="1" customWidth="1"/>
    <col min="11510" max="11510" width="11.125" style="2" bestFit="1" customWidth="1"/>
    <col min="11511" max="11511" width="13.25" style="2" bestFit="1" customWidth="1"/>
    <col min="11512" max="11512" width="11.125" style="2" bestFit="1" customWidth="1"/>
    <col min="11513" max="11513" width="9" style="2"/>
    <col min="11514" max="11514" width="11.125" style="2" bestFit="1" customWidth="1"/>
    <col min="11515" max="11515" width="9" style="2"/>
    <col min="11516" max="11516" width="11.125" style="2" bestFit="1" customWidth="1"/>
    <col min="11517" max="11517" width="9" style="2"/>
    <col min="11518" max="11526" width="11.125" style="2" bestFit="1" customWidth="1"/>
    <col min="11527" max="11531" width="9" style="2"/>
    <col min="11532" max="11533" width="11.125" style="2" bestFit="1" customWidth="1"/>
    <col min="11534" max="11534" width="9" style="2"/>
    <col min="11535" max="11535" width="9.625" style="2" bestFit="1" customWidth="1"/>
    <col min="11536" max="11761" width="9" style="2"/>
    <col min="11762" max="11762" width="2.375" style="2" customWidth="1"/>
    <col min="11763" max="11763" width="13.25" style="2" bestFit="1" customWidth="1"/>
    <col min="11764" max="11764" width="11.125" style="2" bestFit="1" customWidth="1"/>
    <col min="11765" max="11765" width="9.625" style="2" bestFit="1" customWidth="1"/>
    <col min="11766" max="11766" width="11.125" style="2" bestFit="1" customWidth="1"/>
    <col min="11767" max="11767" width="13.25" style="2" bestFit="1" customWidth="1"/>
    <col min="11768" max="11768" width="11.125" style="2" bestFit="1" customWidth="1"/>
    <col min="11769" max="11769" width="9" style="2"/>
    <col min="11770" max="11770" width="11.125" style="2" bestFit="1" customWidth="1"/>
    <col min="11771" max="11771" width="9" style="2"/>
    <col min="11772" max="11772" width="11.125" style="2" bestFit="1" customWidth="1"/>
    <col min="11773" max="11773" width="9" style="2"/>
    <col min="11774" max="11782" width="11.125" style="2" bestFit="1" customWidth="1"/>
    <col min="11783" max="11787" width="9" style="2"/>
    <col min="11788" max="11789" width="11.125" style="2" bestFit="1" customWidth="1"/>
    <col min="11790" max="11790" width="9" style="2"/>
    <col min="11791" max="11791" width="9.625" style="2" bestFit="1" customWidth="1"/>
    <col min="11792" max="12017" width="9" style="2"/>
    <col min="12018" max="12018" width="2.375" style="2" customWidth="1"/>
    <col min="12019" max="12019" width="13.25" style="2" bestFit="1" customWidth="1"/>
    <col min="12020" max="12020" width="11.125" style="2" bestFit="1" customWidth="1"/>
    <col min="12021" max="12021" width="9.625" style="2" bestFit="1" customWidth="1"/>
    <col min="12022" max="12022" width="11.125" style="2" bestFit="1" customWidth="1"/>
    <col min="12023" max="12023" width="13.25" style="2" bestFit="1" customWidth="1"/>
    <col min="12024" max="12024" width="11.125" style="2" bestFit="1" customWidth="1"/>
    <col min="12025" max="12025" width="9" style="2"/>
    <col min="12026" max="12026" width="11.125" style="2" bestFit="1" customWidth="1"/>
    <col min="12027" max="12027" width="9" style="2"/>
    <col min="12028" max="12028" width="11.125" style="2" bestFit="1" customWidth="1"/>
    <col min="12029" max="12029" width="9" style="2"/>
    <col min="12030" max="12038" width="11.125" style="2" bestFit="1" customWidth="1"/>
    <col min="12039" max="12043" width="9" style="2"/>
    <col min="12044" max="12045" width="11.125" style="2" bestFit="1" customWidth="1"/>
    <col min="12046" max="12046" width="9" style="2"/>
    <col min="12047" max="12047" width="9.625" style="2" bestFit="1" customWidth="1"/>
    <col min="12048" max="12273" width="9" style="2"/>
    <col min="12274" max="12274" width="2.375" style="2" customWidth="1"/>
    <col min="12275" max="12275" width="13.25" style="2" bestFit="1" customWidth="1"/>
    <col min="12276" max="12276" width="11.125" style="2" bestFit="1" customWidth="1"/>
    <col min="12277" max="12277" width="9.625" style="2" bestFit="1" customWidth="1"/>
    <col min="12278" max="12278" width="11.125" style="2" bestFit="1" customWidth="1"/>
    <col min="12279" max="12279" width="13.25" style="2" bestFit="1" customWidth="1"/>
    <col min="12280" max="12280" width="11.125" style="2" bestFit="1" customWidth="1"/>
    <col min="12281" max="12281" width="9" style="2"/>
    <col min="12282" max="12282" width="11.125" style="2" bestFit="1" customWidth="1"/>
    <col min="12283" max="12283" width="9" style="2"/>
    <col min="12284" max="12284" width="11.125" style="2" bestFit="1" customWidth="1"/>
    <col min="12285" max="12285" width="9" style="2"/>
    <col min="12286" max="12294" width="11.125" style="2" bestFit="1" customWidth="1"/>
    <col min="12295" max="12299" width="9" style="2"/>
    <col min="12300" max="12301" width="11.125" style="2" bestFit="1" customWidth="1"/>
    <col min="12302" max="12302" width="9" style="2"/>
    <col min="12303" max="12303" width="9.625" style="2" bestFit="1" customWidth="1"/>
    <col min="12304" max="12529" width="9" style="2"/>
    <col min="12530" max="12530" width="2.375" style="2" customWidth="1"/>
    <col min="12531" max="12531" width="13.25" style="2" bestFit="1" customWidth="1"/>
    <col min="12532" max="12532" width="11.125" style="2" bestFit="1" customWidth="1"/>
    <col min="12533" max="12533" width="9.625" style="2" bestFit="1" customWidth="1"/>
    <col min="12534" max="12534" width="11.125" style="2" bestFit="1" customWidth="1"/>
    <col min="12535" max="12535" width="13.25" style="2" bestFit="1" customWidth="1"/>
    <col min="12536" max="12536" width="11.125" style="2" bestFit="1" customWidth="1"/>
    <col min="12537" max="12537" width="9" style="2"/>
    <col min="12538" max="12538" width="11.125" style="2" bestFit="1" customWidth="1"/>
    <col min="12539" max="12539" width="9" style="2"/>
    <col min="12540" max="12540" width="11.125" style="2" bestFit="1" customWidth="1"/>
    <col min="12541" max="12541" width="9" style="2"/>
    <col min="12542" max="12550" width="11.125" style="2" bestFit="1" customWidth="1"/>
    <col min="12551" max="12555" width="9" style="2"/>
    <col min="12556" max="12557" width="11.125" style="2" bestFit="1" customWidth="1"/>
    <col min="12558" max="12558" width="9" style="2"/>
    <col min="12559" max="12559" width="9.625" style="2" bestFit="1" customWidth="1"/>
    <col min="12560" max="12785" width="9" style="2"/>
    <col min="12786" max="12786" width="2.375" style="2" customWidth="1"/>
    <col min="12787" max="12787" width="13.25" style="2" bestFit="1" customWidth="1"/>
    <col min="12788" max="12788" width="11.125" style="2" bestFit="1" customWidth="1"/>
    <col min="12789" max="12789" width="9.625" style="2" bestFit="1" customWidth="1"/>
    <col min="12790" max="12790" width="11.125" style="2" bestFit="1" customWidth="1"/>
    <col min="12791" max="12791" width="13.25" style="2" bestFit="1" customWidth="1"/>
    <col min="12792" max="12792" width="11.125" style="2" bestFit="1" customWidth="1"/>
    <col min="12793" max="12793" width="9" style="2"/>
    <col min="12794" max="12794" width="11.125" style="2" bestFit="1" customWidth="1"/>
    <col min="12795" max="12795" width="9" style="2"/>
    <col min="12796" max="12796" width="11.125" style="2" bestFit="1" customWidth="1"/>
    <col min="12797" max="12797" width="9" style="2"/>
    <col min="12798" max="12806" width="11.125" style="2" bestFit="1" customWidth="1"/>
    <col min="12807" max="12811" width="9" style="2"/>
    <col min="12812" max="12813" width="11.125" style="2" bestFit="1" customWidth="1"/>
    <col min="12814" max="12814" width="9" style="2"/>
    <col min="12815" max="12815" width="9.625" style="2" bestFit="1" customWidth="1"/>
    <col min="12816" max="13041" width="9" style="2"/>
    <col min="13042" max="13042" width="2.375" style="2" customWidth="1"/>
    <col min="13043" max="13043" width="13.25" style="2" bestFit="1" customWidth="1"/>
    <col min="13044" max="13044" width="11.125" style="2" bestFit="1" customWidth="1"/>
    <col min="13045" max="13045" width="9.625" style="2" bestFit="1" customWidth="1"/>
    <col min="13046" max="13046" width="11.125" style="2" bestFit="1" customWidth="1"/>
    <col min="13047" max="13047" width="13.25" style="2" bestFit="1" customWidth="1"/>
    <col min="13048" max="13048" width="11.125" style="2" bestFit="1" customWidth="1"/>
    <col min="13049" max="13049" width="9" style="2"/>
    <col min="13050" max="13050" width="11.125" style="2" bestFit="1" customWidth="1"/>
    <col min="13051" max="13051" width="9" style="2"/>
    <col min="13052" max="13052" width="11.125" style="2" bestFit="1" customWidth="1"/>
    <col min="13053" max="13053" width="9" style="2"/>
    <col min="13054" max="13062" width="11.125" style="2" bestFit="1" customWidth="1"/>
    <col min="13063" max="13067" width="9" style="2"/>
    <col min="13068" max="13069" width="11.125" style="2" bestFit="1" customWidth="1"/>
    <col min="13070" max="13070" width="9" style="2"/>
    <col min="13071" max="13071" width="9.625" style="2" bestFit="1" customWidth="1"/>
    <col min="13072" max="13297" width="9" style="2"/>
    <col min="13298" max="13298" width="2.375" style="2" customWidth="1"/>
    <col min="13299" max="13299" width="13.25" style="2" bestFit="1" customWidth="1"/>
    <col min="13300" max="13300" width="11.125" style="2" bestFit="1" customWidth="1"/>
    <col min="13301" max="13301" width="9.625" style="2" bestFit="1" customWidth="1"/>
    <col min="13302" max="13302" width="11.125" style="2" bestFit="1" customWidth="1"/>
    <col min="13303" max="13303" width="13.25" style="2" bestFit="1" customWidth="1"/>
    <col min="13304" max="13304" width="11.125" style="2" bestFit="1" customWidth="1"/>
    <col min="13305" max="13305" width="9" style="2"/>
    <col min="13306" max="13306" width="11.125" style="2" bestFit="1" customWidth="1"/>
    <col min="13307" max="13307" width="9" style="2"/>
    <col min="13308" max="13308" width="11.125" style="2" bestFit="1" customWidth="1"/>
    <col min="13309" max="13309" width="9" style="2"/>
    <col min="13310" max="13318" width="11.125" style="2" bestFit="1" customWidth="1"/>
    <col min="13319" max="13323" width="9" style="2"/>
    <col min="13324" max="13325" width="11.125" style="2" bestFit="1" customWidth="1"/>
    <col min="13326" max="13326" width="9" style="2"/>
    <col min="13327" max="13327" width="9.625" style="2" bestFit="1" customWidth="1"/>
    <col min="13328" max="13553" width="9" style="2"/>
    <col min="13554" max="13554" width="2.375" style="2" customWidth="1"/>
    <col min="13555" max="13555" width="13.25" style="2" bestFit="1" customWidth="1"/>
    <col min="13556" max="13556" width="11.125" style="2" bestFit="1" customWidth="1"/>
    <col min="13557" max="13557" width="9.625" style="2" bestFit="1" customWidth="1"/>
    <col min="13558" max="13558" width="11.125" style="2" bestFit="1" customWidth="1"/>
    <col min="13559" max="13559" width="13.25" style="2" bestFit="1" customWidth="1"/>
    <col min="13560" max="13560" width="11.125" style="2" bestFit="1" customWidth="1"/>
    <col min="13561" max="13561" width="9" style="2"/>
    <col min="13562" max="13562" width="11.125" style="2" bestFit="1" customWidth="1"/>
    <col min="13563" max="13563" width="9" style="2"/>
    <col min="13564" max="13564" width="11.125" style="2" bestFit="1" customWidth="1"/>
    <col min="13565" max="13565" width="9" style="2"/>
    <col min="13566" max="13574" width="11.125" style="2" bestFit="1" customWidth="1"/>
    <col min="13575" max="13579" width="9" style="2"/>
    <col min="13580" max="13581" width="11.125" style="2" bestFit="1" customWidth="1"/>
    <col min="13582" max="13582" width="9" style="2"/>
    <col min="13583" max="13583" width="9.625" style="2" bestFit="1" customWidth="1"/>
    <col min="13584" max="13809" width="9" style="2"/>
    <col min="13810" max="13810" width="2.375" style="2" customWidth="1"/>
    <col min="13811" max="13811" width="13.25" style="2" bestFit="1" customWidth="1"/>
    <col min="13812" max="13812" width="11.125" style="2" bestFit="1" customWidth="1"/>
    <col min="13813" max="13813" width="9.625" style="2" bestFit="1" customWidth="1"/>
    <col min="13814" max="13814" width="11.125" style="2" bestFit="1" customWidth="1"/>
    <col min="13815" max="13815" width="13.25" style="2" bestFit="1" customWidth="1"/>
    <col min="13816" max="13816" width="11.125" style="2" bestFit="1" customWidth="1"/>
    <col min="13817" max="13817" width="9" style="2"/>
    <col min="13818" max="13818" width="11.125" style="2" bestFit="1" customWidth="1"/>
    <col min="13819" max="13819" width="9" style="2"/>
    <col min="13820" max="13820" width="11.125" style="2" bestFit="1" customWidth="1"/>
    <col min="13821" max="13821" width="9" style="2"/>
    <col min="13822" max="13830" width="11.125" style="2" bestFit="1" customWidth="1"/>
    <col min="13831" max="13835" width="9" style="2"/>
    <col min="13836" max="13837" width="11.125" style="2" bestFit="1" customWidth="1"/>
    <col min="13838" max="13838" width="9" style="2"/>
    <col min="13839" max="13839" width="9.625" style="2" bestFit="1" customWidth="1"/>
    <col min="13840" max="14065" width="9" style="2"/>
    <col min="14066" max="14066" width="2.375" style="2" customWidth="1"/>
    <col min="14067" max="14067" width="13.25" style="2" bestFit="1" customWidth="1"/>
    <col min="14068" max="14068" width="11.125" style="2" bestFit="1" customWidth="1"/>
    <col min="14069" max="14069" width="9.625" style="2" bestFit="1" customWidth="1"/>
    <col min="14070" max="14070" width="11.125" style="2" bestFit="1" customWidth="1"/>
    <col min="14071" max="14071" width="13.25" style="2" bestFit="1" customWidth="1"/>
    <col min="14072" max="14072" width="11.125" style="2" bestFit="1" customWidth="1"/>
    <col min="14073" max="14073" width="9" style="2"/>
    <col min="14074" max="14074" width="11.125" style="2" bestFit="1" customWidth="1"/>
    <col min="14075" max="14075" width="9" style="2"/>
    <col min="14076" max="14076" width="11.125" style="2" bestFit="1" customWidth="1"/>
    <col min="14077" max="14077" width="9" style="2"/>
    <col min="14078" max="14086" width="11.125" style="2" bestFit="1" customWidth="1"/>
    <col min="14087" max="14091" width="9" style="2"/>
    <col min="14092" max="14093" width="11.125" style="2" bestFit="1" customWidth="1"/>
    <col min="14094" max="14094" width="9" style="2"/>
    <col min="14095" max="14095" width="9.625" style="2" bestFit="1" customWidth="1"/>
    <col min="14096" max="14321" width="9" style="2"/>
    <col min="14322" max="14322" width="2.375" style="2" customWidth="1"/>
    <col min="14323" max="14323" width="13.25" style="2" bestFit="1" customWidth="1"/>
    <col min="14324" max="14324" width="11.125" style="2" bestFit="1" customWidth="1"/>
    <col min="14325" max="14325" width="9.625" style="2" bestFit="1" customWidth="1"/>
    <col min="14326" max="14326" width="11.125" style="2" bestFit="1" customWidth="1"/>
    <col min="14327" max="14327" width="13.25" style="2" bestFit="1" customWidth="1"/>
    <col min="14328" max="14328" width="11.125" style="2" bestFit="1" customWidth="1"/>
    <col min="14329" max="14329" width="9" style="2"/>
    <col min="14330" max="14330" width="11.125" style="2" bestFit="1" customWidth="1"/>
    <col min="14331" max="14331" width="9" style="2"/>
    <col min="14332" max="14332" width="11.125" style="2" bestFit="1" customWidth="1"/>
    <col min="14333" max="14333" width="9" style="2"/>
    <col min="14334" max="14342" width="11.125" style="2" bestFit="1" customWidth="1"/>
    <col min="14343" max="14347" width="9" style="2"/>
    <col min="14348" max="14349" width="11.125" style="2" bestFit="1" customWidth="1"/>
    <col min="14350" max="14350" width="9" style="2"/>
    <col min="14351" max="14351" width="9.625" style="2" bestFit="1" customWidth="1"/>
    <col min="14352" max="14577" width="9" style="2"/>
    <col min="14578" max="14578" width="2.375" style="2" customWidth="1"/>
    <col min="14579" max="14579" width="13.25" style="2" bestFit="1" customWidth="1"/>
    <col min="14580" max="14580" width="11.125" style="2" bestFit="1" customWidth="1"/>
    <col min="14581" max="14581" width="9.625" style="2" bestFit="1" customWidth="1"/>
    <col min="14582" max="14582" width="11.125" style="2" bestFit="1" customWidth="1"/>
    <col min="14583" max="14583" width="13.25" style="2" bestFit="1" customWidth="1"/>
    <col min="14584" max="14584" width="11.125" style="2" bestFit="1" customWidth="1"/>
    <col min="14585" max="14585" width="9" style="2"/>
    <col min="14586" max="14586" width="11.125" style="2" bestFit="1" customWidth="1"/>
    <col min="14587" max="14587" width="9" style="2"/>
    <col min="14588" max="14588" width="11.125" style="2" bestFit="1" customWidth="1"/>
    <col min="14589" max="14589" width="9" style="2"/>
    <col min="14590" max="14598" width="11.125" style="2" bestFit="1" customWidth="1"/>
    <col min="14599" max="14603" width="9" style="2"/>
    <col min="14604" max="14605" width="11.125" style="2" bestFit="1" customWidth="1"/>
    <col min="14606" max="14606" width="9" style="2"/>
    <col min="14607" max="14607" width="9.625" style="2" bestFit="1" customWidth="1"/>
    <col min="14608" max="14833" width="9" style="2"/>
    <col min="14834" max="14834" width="2.375" style="2" customWidth="1"/>
    <col min="14835" max="14835" width="13.25" style="2" bestFit="1" customWidth="1"/>
    <col min="14836" max="14836" width="11.125" style="2" bestFit="1" customWidth="1"/>
    <col min="14837" max="14837" width="9.625" style="2" bestFit="1" customWidth="1"/>
    <col min="14838" max="14838" width="11.125" style="2" bestFit="1" customWidth="1"/>
    <col min="14839" max="14839" width="13.25" style="2" bestFit="1" customWidth="1"/>
    <col min="14840" max="14840" width="11.125" style="2" bestFit="1" customWidth="1"/>
    <col min="14841" max="14841" width="9" style="2"/>
    <col min="14842" max="14842" width="11.125" style="2" bestFit="1" customWidth="1"/>
    <col min="14843" max="14843" width="9" style="2"/>
    <col min="14844" max="14844" width="11.125" style="2" bestFit="1" customWidth="1"/>
    <col min="14845" max="14845" width="9" style="2"/>
    <col min="14846" max="14854" width="11.125" style="2" bestFit="1" customWidth="1"/>
    <col min="14855" max="14859" width="9" style="2"/>
    <col min="14860" max="14861" width="11.125" style="2" bestFit="1" customWidth="1"/>
    <col min="14862" max="14862" width="9" style="2"/>
    <col min="14863" max="14863" width="9.625" style="2" bestFit="1" customWidth="1"/>
    <col min="14864" max="15089" width="9" style="2"/>
    <col min="15090" max="15090" width="2.375" style="2" customWidth="1"/>
    <col min="15091" max="15091" width="13.25" style="2" bestFit="1" customWidth="1"/>
    <col min="15092" max="15092" width="11.125" style="2" bestFit="1" customWidth="1"/>
    <col min="15093" max="15093" width="9.625" style="2" bestFit="1" customWidth="1"/>
    <col min="15094" max="15094" width="11.125" style="2" bestFit="1" customWidth="1"/>
    <col min="15095" max="15095" width="13.25" style="2" bestFit="1" customWidth="1"/>
    <col min="15096" max="15096" width="11.125" style="2" bestFit="1" customWidth="1"/>
    <col min="15097" max="15097" width="9" style="2"/>
    <col min="15098" max="15098" width="11.125" style="2" bestFit="1" customWidth="1"/>
    <col min="15099" max="15099" width="9" style="2"/>
    <col min="15100" max="15100" width="11.125" style="2" bestFit="1" customWidth="1"/>
    <col min="15101" max="15101" width="9" style="2"/>
    <col min="15102" max="15110" width="11.125" style="2" bestFit="1" customWidth="1"/>
    <col min="15111" max="15115" width="9" style="2"/>
    <col min="15116" max="15117" width="11.125" style="2" bestFit="1" customWidth="1"/>
    <col min="15118" max="15118" width="9" style="2"/>
    <col min="15119" max="15119" width="9.625" style="2" bestFit="1" customWidth="1"/>
    <col min="15120" max="15345" width="9" style="2"/>
    <col min="15346" max="15346" width="2.375" style="2" customWidth="1"/>
    <col min="15347" max="15347" width="13.25" style="2" bestFit="1" customWidth="1"/>
    <col min="15348" max="15348" width="11.125" style="2" bestFit="1" customWidth="1"/>
    <col min="15349" max="15349" width="9.625" style="2" bestFit="1" customWidth="1"/>
    <col min="15350" max="15350" width="11.125" style="2" bestFit="1" customWidth="1"/>
    <col min="15351" max="15351" width="13.25" style="2" bestFit="1" customWidth="1"/>
    <col min="15352" max="15352" width="11.125" style="2" bestFit="1" customWidth="1"/>
    <col min="15353" max="15353" width="9" style="2"/>
    <col min="15354" max="15354" width="11.125" style="2" bestFit="1" customWidth="1"/>
    <col min="15355" max="15355" width="9" style="2"/>
    <col min="15356" max="15356" width="11.125" style="2" bestFit="1" customWidth="1"/>
    <col min="15357" max="15357" width="9" style="2"/>
    <col min="15358" max="15366" width="11.125" style="2" bestFit="1" customWidth="1"/>
    <col min="15367" max="15371" width="9" style="2"/>
    <col min="15372" max="15373" width="11.125" style="2" bestFit="1" customWidth="1"/>
    <col min="15374" max="15374" width="9" style="2"/>
    <col min="15375" max="15375" width="9.625" style="2" bestFit="1" customWidth="1"/>
    <col min="15376" max="15601" width="9" style="2"/>
    <col min="15602" max="15602" width="2.375" style="2" customWidth="1"/>
    <col min="15603" max="15603" width="13.25" style="2" bestFit="1" customWidth="1"/>
    <col min="15604" max="15604" width="11.125" style="2" bestFit="1" customWidth="1"/>
    <col min="15605" max="15605" width="9.625" style="2" bestFit="1" customWidth="1"/>
    <col min="15606" max="15606" width="11.125" style="2" bestFit="1" customWidth="1"/>
    <col min="15607" max="15607" width="13.25" style="2" bestFit="1" customWidth="1"/>
    <col min="15608" max="15608" width="11.125" style="2" bestFit="1" customWidth="1"/>
    <col min="15609" max="15609" width="9" style="2"/>
    <col min="15610" max="15610" width="11.125" style="2" bestFit="1" customWidth="1"/>
    <col min="15611" max="15611" width="9" style="2"/>
    <col min="15612" max="15612" width="11.125" style="2" bestFit="1" customWidth="1"/>
    <col min="15613" max="15613" width="9" style="2"/>
    <col min="15614" max="15622" width="11.125" style="2" bestFit="1" customWidth="1"/>
    <col min="15623" max="15627" width="9" style="2"/>
    <col min="15628" max="15629" width="11.125" style="2" bestFit="1" customWidth="1"/>
    <col min="15630" max="15630" width="9" style="2"/>
    <col min="15631" max="15631" width="9.625" style="2" bestFit="1" customWidth="1"/>
    <col min="15632" max="15857" width="9" style="2"/>
    <col min="15858" max="15858" width="2.375" style="2" customWidth="1"/>
    <col min="15859" max="15859" width="13.25" style="2" bestFit="1" customWidth="1"/>
    <col min="15860" max="15860" width="11.125" style="2" bestFit="1" customWidth="1"/>
    <col min="15861" max="15861" width="9.625" style="2" bestFit="1" customWidth="1"/>
    <col min="15862" max="15862" width="11.125" style="2" bestFit="1" customWidth="1"/>
    <col min="15863" max="15863" width="13.25" style="2" bestFit="1" customWidth="1"/>
    <col min="15864" max="15864" width="11.125" style="2" bestFit="1" customWidth="1"/>
    <col min="15865" max="15865" width="9" style="2"/>
    <col min="15866" max="15866" width="11.125" style="2" bestFit="1" customWidth="1"/>
    <col min="15867" max="15867" width="9" style="2"/>
    <col min="15868" max="15868" width="11.125" style="2" bestFit="1" customWidth="1"/>
    <col min="15869" max="15869" width="9" style="2"/>
    <col min="15870" max="15878" width="11.125" style="2" bestFit="1" customWidth="1"/>
    <col min="15879" max="15883" width="9" style="2"/>
    <col min="15884" max="15885" width="11.125" style="2" bestFit="1" customWidth="1"/>
    <col min="15886" max="15886" width="9" style="2"/>
    <col min="15887" max="15887" width="9.625" style="2" bestFit="1" customWidth="1"/>
    <col min="15888" max="16113" width="9" style="2"/>
    <col min="16114" max="16114" width="2.375" style="2" customWidth="1"/>
    <col min="16115" max="16115" width="13.25" style="2" bestFit="1" customWidth="1"/>
    <col min="16116" max="16116" width="11.125" style="2" bestFit="1" customWidth="1"/>
    <col min="16117" max="16117" width="9.625" style="2" bestFit="1" customWidth="1"/>
    <col min="16118" max="16118" width="11.125" style="2" bestFit="1" customWidth="1"/>
    <col min="16119" max="16119" width="13.25" style="2" bestFit="1" customWidth="1"/>
    <col min="16120" max="16120" width="11.125" style="2" bestFit="1" customWidth="1"/>
    <col min="16121" max="16121" width="9" style="2"/>
    <col min="16122" max="16122" width="11.125" style="2" bestFit="1" customWidth="1"/>
    <col min="16123" max="16123" width="9" style="2"/>
    <col min="16124" max="16124" width="11.125" style="2" bestFit="1" customWidth="1"/>
    <col min="16125" max="16125" width="9" style="2"/>
    <col min="16126" max="16134" width="11.125" style="2" bestFit="1" customWidth="1"/>
    <col min="16135" max="16139" width="9" style="2"/>
    <col min="16140" max="16141" width="11.125" style="2" bestFit="1" customWidth="1"/>
    <col min="16142" max="16142" width="9" style="2"/>
    <col min="16143" max="16143" width="9.625" style="2" bestFit="1" customWidth="1"/>
    <col min="16144" max="16384" width="9" style="2"/>
  </cols>
  <sheetData>
    <row r="1" spans="1:17">
      <c r="A1" s="1" t="s">
        <v>0</v>
      </c>
    </row>
    <row r="2" spans="1:17">
      <c r="A2" s="1" t="s">
        <v>1</v>
      </c>
    </row>
    <row r="3" spans="1:17">
      <c r="A3" s="1" t="s">
        <v>2</v>
      </c>
    </row>
    <row r="4" spans="1:17" ht="19.5" thickBot="1">
      <c r="A4" s="1" t="s">
        <v>118</v>
      </c>
    </row>
    <row r="5" spans="1:17">
      <c r="B5" s="91"/>
      <c r="C5" s="68" t="s">
        <v>6</v>
      </c>
      <c r="D5" s="12" t="s">
        <v>7</v>
      </c>
      <c r="E5" s="12" t="s">
        <v>28</v>
      </c>
      <c r="F5" s="12" t="s">
        <v>29</v>
      </c>
      <c r="G5" s="12" t="s">
        <v>24</v>
      </c>
      <c r="H5" s="12" t="s">
        <v>25</v>
      </c>
      <c r="I5" s="12" t="s">
        <v>26</v>
      </c>
      <c r="J5" s="12" t="s">
        <v>27</v>
      </c>
      <c r="K5" s="13" t="s">
        <v>30</v>
      </c>
      <c r="L5" s="55" t="s">
        <v>119</v>
      </c>
      <c r="M5" s="57" t="s">
        <v>8</v>
      </c>
      <c r="N5" s="79" t="s">
        <v>119</v>
      </c>
      <c r="O5" s="4"/>
    </row>
    <row r="6" spans="1:17" ht="19.5" thickBot="1">
      <c r="A6" s="54"/>
      <c r="B6" s="92" t="s">
        <v>31</v>
      </c>
      <c r="C6" s="69" t="s">
        <v>34</v>
      </c>
      <c r="D6" s="33" t="s">
        <v>35</v>
      </c>
      <c r="E6" s="33" t="s">
        <v>56</v>
      </c>
      <c r="F6" s="33" t="s">
        <v>57</v>
      </c>
      <c r="G6" s="33" t="s">
        <v>52</v>
      </c>
      <c r="H6" s="33" t="s">
        <v>53</v>
      </c>
      <c r="I6" s="33" t="s">
        <v>54</v>
      </c>
      <c r="J6" s="33" t="s">
        <v>55</v>
      </c>
      <c r="K6" s="34" t="s">
        <v>58</v>
      </c>
      <c r="L6" s="56" t="s">
        <v>121</v>
      </c>
      <c r="M6" s="58" t="s">
        <v>36</v>
      </c>
      <c r="N6" s="80" t="s">
        <v>122</v>
      </c>
      <c r="O6" s="35" t="s">
        <v>59</v>
      </c>
    </row>
    <row r="7" spans="1:17">
      <c r="A7" s="1" t="s">
        <v>3</v>
      </c>
      <c r="B7" s="93" t="s">
        <v>60</v>
      </c>
      <c r="C7" s="70">
        <v>22</v>
      </c>
      <c r="D7" s="28">
        <v>21</v>
      </c>
      <c r="E7" s="28">
        <v>14</v>
      </c>
      <c r="F7" s="28">
        <v>14</v>
      </c>
      <c r="G7" s="28">
        <v>0</v>
      </c>
      <c r="H7" s="28">
        <v>10</v>
      </c>
      <c r="I7" s="28">
        <v>0</v>
      </c>
      <c r="J7" s="28">
        <v>11</v>
      </c>
      <c r="K7" s="29">
        <v>9</v>
      </c>
      <c r="L7" s="30">
        <f>SUM(C7:K7)</f>
        <v>101</v>
      </c>
      <c r="M7" s="59">
        <v>21</v>
      </c>
      <c r="N7" s="81">
        <f>SUM(M7)</f>
        <v>21</v>
      </c>
      <c r="O7" s="30">
        <v>444</v>
      </c>
      <c r="Q7"/>
    </row>
    <row r="8" spans="1:17">
      <c r="A8" s="1" t="s">
        <v>3</v>
      </c>
      <c r="B8" s="94" t="s">
        <v>61</v>
      </c>
      <c r="C8" s="71">
        <v>0</v>
      </c>
      <c r="D8" s="15">
        <v>1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6">
        <v>0</v>
      </c>
      <c r="L8" s="30">
        <f t="shared" ref="L8:L11" si="0">SUM(C8:K8)</f>
        <v>1</v>
      </c>
      <c r="M8" s="60">
        <v>0</v>
      </c>
      <c r="N8" s="82"/>
      <c r="O8" s="7">
        <v>37</v>
      </c>
      <c r="Q8"/>
    </row>
    <row r="9" spans="1:17">
      <c r="A9" s="1" t="s">
        <v>3</v>
      </c>
      <c r="B9" s="94" t="s">
        <v>62</v>
      </c>
      <c r="C9" s="71">
        <v>0</v>
      </c>
      <c r="D9" s="15">
        <v>1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6">
        <v>0</v>
      </c>
      <c r="L9" s="30">
        <f t="shared" si="0"/>
        <v>1</v>
      </c>
      <c r="M9" s="60">
        <v>0</v>
      </c>
      <c r="N9" s="82"/>
      <c r="O9" s="7">
        <v>31</v>
      </c>
      <c r="Q9"/>
    </row>
    <row r="10" spans="1:17">
      <c r="A10" s="1" t="s">
        <v>3</v>
      </c>
      <c r="B10" s="94" t="s">
        <v>63</v>
      </c>
      <c r="C10" s="71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6">
        <v>0</v>
      </c>
      <c r="L10" s="30">
        <f t="shared" si="0"/>
        <v>0</v>
      </c>
      <c r="M10" s="60">
        <v>0</v>
      </c>
      <c r="N10" s="82"/>
      <c r="O10" s="7">
        <v>0</v>
      </c>
      <c r="Q10"/>
    </row>
    <row r="11" spans="1:17">
      <c r="A11" s="1" t="s">
        <v>3</v>
      </c>
      <c r="B11" s="94" t="s">
        <v>64</v>
      </c>
      <c r="C11" s="71">
        <v>1</v>
      </c>
      <c r="D11" s="15">
        <v>2</v>
      </c>
      <c r="E11" s="15">
        <v>1</v>
      </c>
      <c r="F11" s="15">
        <v>1</v>
      </c>
      <c r="G11" s="15">
        <v>1</v>
      </c>
      <c r="H11" s="15">
        <v>1</v>
      </c>
      <c r="I11" s="15">
        <v>1</v>
      </c>
      <c r="J11" s="15">
        <v>1</v>
      </c>
      <c r="K11" s="16">
        <v>0</v>
      </c>
      <c r="L11" s="30">
        <f t="shared" si="0"/>
        <v>9</v>
      </c>
      <c r="M11" s="60">
        <v>1</v>
      </c>
      <c r="N11" s="82">
        <f>SUM(M11)</f>
        <v>1</v>
      </c>
      <c r="O11" s="7">
        <v>61</v>
      </c>
      <c r="Q11"/>
    </row>
    <row r="12" spans="1:17">
      <c r="A12" s="1" t="s">
        <v>3</v>
      </c>
      <c r="B12" s="94" t="s">
        <v>65</v>
      </c>
      <c r="C12" s="71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6">
        <v>0</v>
      </c>
      <c r="L12" s="7"/>
      <c r="M12" s="60">
        <v>1</v>
      </c>
      <c r="N12" s="82">
        <f>SUM(M12)</f>
        <v>1</v>
      </c>
      <c r="O12" s="7">
        <v>19</v>
      </c>
      <c r="Q12"/>
    </row>
    <row r="13" spans="1:17">
      <c r="A13" s="1" t="s">
        <v>3</v>
      </c>
      <c r="B13" s="94" t="s">
        <v>66</v>
      </c>
      <c r="C13" s="71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6">
        <v>0</v>
      </c>
      <c r="L13" s="7"/>
      <c r="M13" s="60">
        <v>0</v>
      </c>
      <c r="N13" s="82"/>
      <c r="O13" s="7">
        <v>0</v>
      </c>
      <c r="Q13"/>
    </row>
    <row r="14" spans="1:17">
      <c r="A14" s="1" t="s">
        <v>3</v>
      </c>
      <c r="B14" s="94" t="s">
        <v>67</v>
      </c>
      <c r="C14" s="71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6">
        <v>0</v>
      </c>
      <c r="L14" s="7"/>
      <c r="M14" s="60">
        <v>0</v>
      </c>
      <c r="N14" s="82"/>
      <c r="O14" s="7">
        <v>0</v>
      </c>
      <c r="Q14"/>
    </row>
    <row r="15" spans="1:17">
      <c r="A15" s="1" t="s">
        <v>3</v>
      </c>
      <c r="B15" s="94" t="s">
        <v>68</v>
      </c>
      <c r="C15" s="72">
        <v>0</v>
      </c>
      <c r="D15" s="18">
        <v>1.3333333333333333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9">
        <v>0.16666666666666666</v>
      </c>
      <c r="L15" s="8">
        <f>SUM(C15:K15)</f>
        <v>1.5</v>
      </c>
      <c r="M15" s="61">
        <v>0</v>
      </c>
      <c r="N15" s="83"/>
      <c r="O15" s="8">
        <v>34.708333333333329</v>
      </c>
      <c r="Q15"/>
    </row>
    <row r="16" spans="1:17">
      <c r="A16" s="1" t="s">
        <v>3</v>
      </c>
      <c r="B16" s="94" t="s">
        <v>69</v>
      </c>
      <c r="C16" s="72">
        <v>0</v>
      </c>
      <c r="D16" s="18">
        <v>0.33333333333333331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9">
        <v>0</v>
      </c>
      <c r="L16" s="8"/>
      <c r="M16" s="61">
        <v>0</v>
      </c>
      <c r="N16" s="83"/>
      <c r="O16" s="8">
        <v>12.291666666666668</v>
      </c>
      <c r="Q16"/>
    </row>
    <row r="17" spans="1:17">
      <c r="A17" s="1" t="s">
        <v>3</v>
      </c>
      <c r="B17" s="94" t="s">
        <v>70</v>
      </c>
      <c r="C17" s="72">
        <v>0</v>
      </c>
      <c r="D17" s="18">
        <v>8.3333333333333329E-2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9">
        <v>0</v>
      </c>
      <c r="L17" s="8"/>
      <c r="M17" s="61">
        <v>0</v>
      </c>
      <c r="N17" s="83"/>
      <c r="O17" s="8">
        <v>9.8333333333333339</v>
      </c>
      <c r="Q17"/>
    </row>
    <row r="18" spans="1:17">
      <c r="A18" s="1" t="s">
        <v>3</v>
      </c>
      <c r="B18" s="94" t="s">
        <v>71</v>
      </c>
      <c r="C18" s="72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9">
        <v>0</v>
      </c>
      <c r="L18" s="8"/>
      <c r="M18" s="61">
        <v>0</v>
      </c>
      <c r="N18" s="83"/>
      <c r="O18" s="8">
        <v>0</v>
      </c>
      <c r="Q18"/>
    </row>
    <row r="19" spans="1:17">
      <c r="A19" s="1" t="s">
        <v>3</v>
      </c>
      <c r="B19" s="94" t="s">
        <v>72</v>
      </c>
      <c r="C19" s="72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9">
        <v>0</v>
      </c>
      <c r="L19" s="8"/>
      <c r="M19" s="61">
        <v>0</v>
      </c>
      <c r="N19" s="83"/>
      <c r="O19" s="8">
        <v>0</v>
      </c>
      <c r="Q19"/>
    </row>
    <row r="20" spans="1:17">
      <c r="A20" s="1" t="s">
        <v>3</v>
      </c>
      <c r="B20" s="94" t="s">
        <v>73</v>
      </c>
      <c r="C20" s="72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9">
        <v>0</v>
      </c>
      <c r="L20" s="8"/>
      <c r="M20" s="61">
        <v>0</v>
      </c>
      <c r="N20" s="83"/>
      <c r="O20" s="8">
        <v>0</v>
      </c>
      <c r="Q20"/>
    </row>
    <row r="21" spans="1:17">
      <c r="A21" s="1" t="s">
        <v>3</v>
      </c>
      <c r="B21" s="94" t="s">
        <v>74</v>
      </c>
      <c r="C21" s="72">
        <v>0</v>
      </c>
      <c r="D21" s="18">
        <v>0</v>
      </c>
      <c r="E21" s="18">
        <v>0.29166666666666669</v>
      </c>
      <c r="F21" s="18">
        <v>0.29166666666666669</v>
      </c>
      <c r="G21" s="18">
        <v>0.16666666666666666</v>
      </c>
      <c r="H21" s="18">
        <v>0.29166666666666669</v>
      </c>
      <c r="I21" s="18">
        <v>0.29166666666666669</v>
      </c>
      <c r="J21" s="18">
        <v>0.29166666666666669</v>
      </c>
      <c r="K21" s="19">
        <v>0</v>
      </c>
      <c r="L21" s="8">
        <f t="shared" ref="L21:L23" si="1">SUM(C21:K21)</f>
        <v>1.6250000000000002</v>
      </c>
      <c r="M21" s="61">
        <v>0</v>
      </c>
      <c r="N21" s="83"/>
      <c r="O21" s="8">
        <v>1.6250000000000002</v>
      </c>
      <c r="Q21"/>
    </row>
    <row r="22" spans="1:17">
      <c r="A22" s="1" t="s">
        <v>3</v>
      </c>
      <c r="B22" s="94" t="s">
        <v>75</v>
      </c>
      <c r="C22" s="72">
        <v>0.20833333333333334</v>
      </c>
      <c r="D22" s="18">
        <v>0</v>
      </c>
      <c r="E22" s="18">
        <v>0</v>
      </c>
      <c r="F22" s="18">
        <v>0</v>
      </c>
      <c r="G22" s="18">
        <v>0</v>
      </c>
      <c r="H22" s="18">
        <v>2.0833333333333335</v>
      </c>
      <c r="I22" s="18">
        <v>0</v>
      </c>
      <c r="J22" s="18">
        <v>2.2916666666666665</v>
      </c>
      <c r="K22" s="19">
        <v>0.83333333333333337</v>
      </c>
      <c r="L22" s="83">
        <f t="shared" si="1"/>
        <v>5.416666666666667</v>
      </c>
      <c r="M22" s="61">
        <v>0.29166666666666669</v>
      </c>
      <c r="N22" s="83">
        <f>SUM(M22)</f>
        <v>0.29166666666666669</v>
      </c>
      <c r="O22" s="8">
        <v>16.666666666666664</v>
      </c>
      <c r="Q22"/>
    </row>
    <row r="23" spans="1:17" ht="19.5" thickBot="1">
      <c r="A23" s="1" t="s">
        <v>3</v>
      </c>
      <c r="B23" s="95" t="s">
        <v>76</v>
      </c>
      <c r="C23" s="73">
        <v>37</v>
      </c>
      <c r="D23" s="41">
        <v>38</v>
      </c>
      <c r="E23" s="41">
        <v>20</v>
      </c>
      <c r="F23" s="41">
        <v>19</v>
      </c>
      <c r="G23" s="41">
        <v>21</v>
      </c>
      <c r="H23" s="41">
        <v>6</v>
      </c>
      <c r="I23" s="41">
        <v>4</v>
      </c>
      <c r="J23" s="41">
        <v>3</v>
      </c>
      <c r="K23" s="42">
        <v>3</v>
      </c>
      <c r="L23" s="84">
        <f t="shared" si="1"/>
        <v>151</v>
      </c>
      <c r="M23" s="62">
        <v>39</v>
      </c>
      <c r="N23" s="90">
        <f>SUM(M23)</f>
        <v>39</v>
      </c>
      <c r="O23" s="43">
        <v>587</v>
      </c>
      <c r="Q23"/>
    </row>
    <row r="24" spans="1:17">
      <c r="A24" s="1" t="s">
        <v>3</v>
      </c>
      <c r="B24" s="93" t="s">
        <v>77</v>
      </c>
      <c r="C24" s="74">
        <v>485000</v>
      </c>
      <c r="D24" s="37">
        <v>270000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8">
        <v>0</v>
      </c>
      <c r="L24" s="38">
        <f>SUM(C24:K24)</f>
        <v>755000</v>
      </c>
      <c r="M24" s="63">
        <v>375000</v>
      </c>
      <c r="N24" s="85">
        <f>SUM(M24)</f>
        <v>375000</v>
      </c>
      <c r="O24" s="39">
        <v>4160000</v>
      </c>
      <c r="Q24"/>
    </row>
    <row r="25" spans="1:17">
      <c r="A25" s="1" t="s">
        <v>3</v>
      </c>
      <c r="B25" s="94" t="s">
        <v>78</v>
      </c>
      <c r="C25" s="75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2">
        <v>0</v>
      </c>
      <c r="L25" s="22">
        <f t="shared" ref="L25:L64" si="2">SUM(C25:K25)</f>
        <v>0</v>
      </c>
      <c r="M25" s="64">
        <v>0</v>
      </c>
      <c r="N25" s="86">
        <f t="shared" ref="N25:N64" si="3">SUM(M25)</f>
        <v>0</v>
      </c>
      <c r="O25" s="9">
        <v>35000</v>
      </c>
      <c r="Q25"/>
    </row>
    <row r="26" spans="1:17">
      <c r="A26" s="1" t="s">
        <v>3</v>
      </c>
      <c r="B26" s="94" t="s">
        <v>79</v>
      </c>
      <c r="C26" s="75">
        <v>0</v>
      </c>
      <c r="D26" s="21">
        <v>3000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2">
        <v>0</v>
      </c>
      <c r="L26" s="22">
        <f t="shared" si="2"/>
        <v>3000</v>
      </c>
      <c r="M26" s="64">
        <v>0</v>
      </c>
      <c r="N26" s="86">
        <f t="shared" si="3"/>
        <v>0</v>
      </c>
      <c r="O26" s="9">
        <v>6000</v>
      </c>
      <c r="Q26"/>
    </row>
    <row r="27" spans="1:17">
      <c r="A27" s="1" t="s">
        <v>3</v>
      </c>
      <c r="B27" s="94" t="s">
        <v>80</v>
      </c>
      <c r="C27" s="75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2">
        <v>0</v>
      </c>
      <c r="L27" s="22">
        <f t="shared" si="2"/>
        <v>0</v>
      </c>
      <c r="M27" s="64">
        <v>0</v>
      </c>
      <c r="N27" s="86">
        <f t="shared" si="3"/>
        <v>0</v>
      </c>
      <c r="O27" s="9">
        <v>0</v>
      </c>
      <c r="Q27"/>
    </row>
    <row r="28" spans="1:17">
      <c r="A28" s="1" t="s">
        <v>3</v>
      </c>
      <c r="B28" s="94" t="s">
        <v>81</v>
      </c>
      <c r="C28" s="75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2">
        <v>0</v>
      </c>
      <c r="L28" s="22">
        <f t="shared" si="2"/>
        <v>0</v>
      </c>
      <c r="M28" s="64">
        <v>0</v>
      </c>
      <c r="N28" s="86">
        <f t="shared" si="3"/>
        <v>0</v>
      </c>
      <c r="O28" s="9">
        <v>0</v>
      </c>
      <c r="Q28"/>
    </row>
    <row r="29" spans="1:17">
      <c r="A29" s="1" t="s">
        <v>3</v>
      </c>
      <c r="B29" s="94" t="s">
        <v>82</v>
      </c>
      <c r="C29" s="75">
        <v>0</v>
      </c>
      <c r="D29" s="21">
        <v>0</v>
      </c>
      <c r="E29" s="21">
        <v>75225</v>
      </c>
      <c r="F29" s="21">
        <v>78765</v>
      </c>
      <c r="G29" s="21">
        <v>0</v>
      </c>
      <c r="H29" s="21">
        <v>59640</v>
      </c>
      <c r="I29" s="21">
        <v>0</v>
      </c>
      <c r="J29" s="21">
        <v>64680</v>
      </c>
      <c r="K29" s="22">
        <v>56440</v>
      </c>
      <c r="L29" s="22">
        <f t="shared" si="2"/>
        <v>334750</v>
      </c>
      <c r="M29" s="64">
        <v>0</v>
      </c>
      <c r="N29" s="86">
        <f t="shared" si="3"/>
        <v>0</v>
      </c>
      <c r="O29" s="9">
        <v>334750</v>
      </c>
      <c r="Q29"/>
    </row>
    <row r="30" spans="1:17">
      <c r="A30" s="1" t="s">
        <v>3</v>
      </c>
      <c r="B30" s="94" t="s">
        <v>83</v>
      </c>
      <c r="C30" s="75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2">
        <v>0</v>
      </c>
      <c r="L30" s="22">
        <f t="shared" si="2"/>
        <v>0</v>
      </c>
      <c r="M30" s="64">
        <v>0</v>
      </c>
      <c r="N30" s="86">
        <f t="shared" si="3"/>
        <v>0</v>
      </c>
      <c r="O30" s="9">
        <v>0</v>
      </c>
      <c r="Q30"/>
    </row>
    <row r="31" spans="1:17">
      <c r="A31" s="1" t="s">
        <v>3</v>
      </c>
      <c r="B31" s="94" t="s">
        <v>84</v>
      </c>
      <c r="C31" s="75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2">
        <v>0</v>
      </c>
      <c r="L31" s="22">
        <f t="shared" si="2"/>
        <v>0</v>
      </c>
      <c r="M31" s="64">
        <v>0</v>
      </c>
      <c r="N31" s="86">
        <f t="shared" si="3"/>
        <v>0</v>
      </c>
      <c r="O31" s="9">
        <v>0</v>
      </c>
      <c r="Q31"/>
    </row>
    <row r="32" spans="1:17">
      <c r="A32" s="1" t="s">
        <v>3</v>
      </c>
      <c r="B32" s="94" t="s">
        <v>85</v>
      </c>
      <c r="C32" s="75">
        <v>0</v>
      </c>
      <c r="D32" s="21">
        <v>0</v>
      </c>
      <c r="E32" s="21">
        <v>6195</v>
      </c>
      <c r="F32" s="21">
        <v>6195</v>
      </c>
      <c r="G32" s="21">
        <v>3360</v>
      </c>
      <c r="H32" s="21">
        <v>5880</v>
      </c>
      <c r="I32" s="21">
        <v>5880</v>
      </c>
      <c r="J32" s="21">
        <v>5880</v>
      </c>
      <c r="K32" s="22">
        <v>0</v>
      </c>
      <c r="L32" s="22">
        <f t="shared" si="2"/>
        <v>33390</v>
      </c>
      <c r="M32" s="64">
        <v>0</v>
      </c>
      <c r="N32" s="86">
        <f t="shared" si="3"/>
        <v>0</v>
      </c>
      <c r="O32" s="9">
        <v>33390</v>
      </c>
      <c r="Q32"/>
    </row>
    <row r="33" spans="1:17">
      <c r="A33" s="1" t="s">
        <v>3</v>
      </c>
      <c r="B33" s="94" t="s">
        <v>86</v>
      </c>
      <c r="C33" s="75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2">
        <v>0</v>
      </c>
      <c r="L33" s="22">
        <f t="shared" si="2"/>
        <v>0</v>
      </c>
      <c r="M33" s="64">
        <v>0</v>
      </c>
      <c r="N33" s="86">
        <f t="shared" si="3"/>
        <v>0</v>
      </c>
      <c r="O33" s="9">
        <v>0</v>
      </c>
      <c r="Q33"/>
    </row>
    <row r="34" spans="1:17">
      <c r="A34" s="1" t="s">
        <v>3</v>
      </c>
      <c r="B34" s="94" t="s">
        <v>87</v>
      </c>
      <c r="C34" s="75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2">
        <v>0</v>
      </c>
      <c r="L34" s="22">
        <f t="shared" si="2"/>
        <v>0</v>
      </c>
      <c r="M34" s="64">
        <v>0</v>
      </c>
      <c r="N34" s="86">
        <f t="shared" si="3"/>
        <v>0</v>
      </c>
      <c r="O34" s="9">
        <v>0</v>
      </c>
      <c r="Q34"/>
    </row>
    <row r="35" spans="1:17">
      <c r="A35" s="1" t="s">
        <v>3</v>
      </c>
      <c r="B35" s="94" t="s">
        <v>88</v>
      </c>
      <c r="C35" s="75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2">
        <v>0</v>
      </c>
      <c r="L35" s="22">
        <f t="shared" si="2"/>
        <v>0</v>
      </c>
      <c r="M35" s="64">
        <v>0</v>
      </c>
      <c r="N35" s="86">
        <f t="shared" si="3"/>
        <v>0</v>
      </c>
      <c r="O35" s="9">
        <v>0</v>
      </c>
      <c r="Q35"/>
    </row>
    <row r="36" spans="1:17">
      <c r="A36" s="1" t="s">
        <v>3</v>
      </c>
      <c r="B36" s="94" t="s">
        <v>89</v>
      </c>
      <c r="C36" s="75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2">
        <v>0</v>
      </c>
      <c r="L36" s="22">
        <f t="shared" si="2"/>
        <v>0</v>
      </c>
      <c r="M36" s="64">
        <v>0</v>
      </c>
      <c r="N36" s="86">
        <f t="shared" si="3"/>
        <v>0</v>
      </c>
      <c r="O36" s="9">
        <v>0</v>
      </c>
      <c r="Q36"/>
    </row>
    <row r="37" spans="1:17">
      <c r="A37" s="1" t="s">
        <v>3</v>
      </c>
      <c r="B37" s="94" t="s">
        <v>68</v>
      </c>
      <c r="C37" s="75">
        <v>0</v>
      </c>
      <c r="D37" s="21">
        <v>65408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2">
        <v>4152</v>
      </c>
      <c r="L37" s="22">
        <f t="shared" si="2"/>
        <v>69560</v>
      </c>
      <c r="M37" s="64">
        <v>0</v>
      </c>
      <c r="N37" s="86">
        <f t="shared" si="3"/>
        <v>0</v>
      </c>
      <c r="O37" s="9">
        <v>1150799</v>
      </c>
      <c r="Q37"/>
    </row>
    <row r="38" spans="1:17">
      <c r="A38" s="1" t="s">
        <v>3</v>
      </c>
      <c r="B38" s="94" t="s">
        <v>90</v>
      </c>
      <c r="C38" s="75">
        <v>0</v>
      </c>
      <c r="D38" s="21">
        <v>17656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2">
        <v>0</v>
      </c>
      <c r="L38" s="22">
        <f t="shared" si="2"/>
        <v>17656</v>
      </c>
      <c r="M38" s="64">
        <v>0</v>
      </c>
      <c r="N38" s="86">
        <f t="shared" si="3"/>
        <v>0</v>
      </c>
      <c r="O38" s="9">
        <v>431734</v>
      </c>
      <c r="Q38"/>
    </row>
    <row r="39" spans="1:17">
      <c r="A39" s="1" t="s">
        <v>3</v>
      </c>
      <c r="B39" s="94" t="s">
        <v>91</v>
      </c>
      <c r="C39" s="75">
        <v>0</v>
      </c>
      <c r="D39" s="21">
        <v>4414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2">
        <v>0</v>
      </c>
      <c r="L39" s="22">
        <f t="shared" si="2"/>
        <v>4414</v>
      </c>
      <c r="M39" s="64">
        <v>0</v>
      </c>
      <c r="N39" s="86">
        <f t="shared" si="3"/>
        <v>0</v>
      </c>
      <c r="O39" s="9">
        <v>345311</v>
      </c>
      <c r="Q39"/>
    </row>
    <row r="40" spans="1:17">
      <c r="A40" s="1" t="s">
        <v>3</v>
      </c>
      <c r="B40" s="94" t="s">
        <v>92</v>
      </c>
      <c r="C40" s="75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2">
        <v>0</v>
      </c>
      <c r="L40" s="22">
        <f t="shared" si="2"/>
        <v>0</v>
      </c>
      <c r="M40" s="64">
        <v>0</v>
      </c>
      <c r="N40" s="86">
        <f t="shared" si="3"/>
        <v>0</v>
      </c>
      <c r="O40" s="9">
        <v>0</v>
      </c>
      <c r="Q40"/>
    </row>
    <row r="41" spans="1:17">
      <c r="A41" s="1" t="s">
        <v>3</v>
      </c>
      <c r="B41" s="94" t="s">
        <v>93</v>
      </c>
      <c r="C41" s="75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2">
        <v>0</v>
      </c>
      <c r="L41" s="22">
        <f t="shared" si="2"/>
        <v>0</v>
      </c>
      <c r="M41" s="64">
        <v>0</v>
      </c>
      <c r="N41" s="86">
        <f t="shared" si="3"/>
        <v>0</v>
      </c>
      <c r="O41" s="9">
        <v>0</v>
      </c>
      <c r="Q41"/>
    </row>
    <row r="42" spans="1:17">
      <c r="A42" s="1" t="s">
        <v>3</v>
      </c>
      <c r="B42" s="94" t="s">
        <v>94</v>
      </c>
      <c r="C42" s="75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2">
        <v>0</v>
      </c>
      <c r="L42" s="22">
        <f t="shared" si="2"/>
        <v>0</v>
      </c>
      <c r="M42" s="64">
        <v>0</v>
      </c>
      <c r="N42" s="86">
        <f t="shared" si="3"/>
        <v>0</v>
      </c>
      <c r="O42" s="9">
        <v>0</v>
      </c>
      <c r="Q42"/>
    </row>
    <row r="43" spans="1:17">
      <c r="A43" s="1" t="s">
        <v>3</v>
      </c>
      <c r="B43" s="94" t="s">
        <v>73</v>
      </c>
      <c r="C43" s="75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2">
        <v>0</v>
      </c>
      <c r="L43" s="22">
        <f t="shared" si="2"/>
        <v>0</v>
      </c>
      <c r="M43" s="64">
        <v>0</v>
      </c>
      <c r="N43" s="86">
        <f t="shared" si="3"/>
        <v>0</v>
      </c>
      <c r="O43" s="9">
        <v>0</v>
      </c>
      <c r="Q43"/>
    </row>
    <row r="44" spans="1:17" ht="19.5" thickBot="1">
      <c r="A44" s="1" t="s">
        <v>3</v>
      </c>
      <c r="B44" s="96" t="s">
        <v>75</v>
      </c>
      <c r="C44" s="76">
        <v>3630</v>
      </c>
      <c r="D44" s="46">
        <v>0</v>
      </c>
      <c r="E44" s="46">
        <v>0</v>
      </c>
      <c r="F44" s="46">
        <v>0</v>
      </c>
      <c r="G44" s="46">
        <v>0</v>
      </c>
      <c r="H44" s="46">
        <v>10500</v>
      </c>
      <c r="I44" s="46">
        <v>0</v>
      </c>
      <c r="J44" s="46">
        <v>11550</v>
      </c>
      <c r="K44" s="47">
        <v>4160</v>
      </c>
      <c r="L44" s="47">
        <f t="shared" si="2"/>
        <v>29840</v>
      </c>
      <c r="M44" s="65">
        <v>3934</v>
      </c>
      <c r="N44" s="87">
        <f t="shared" si="3"/>
        <v>3934</v>
      </c>
      <c r="O44" s="48">
        <v>105356</v>
      </c>
      <c r="Q44"/>
    </row>
    <row r="45" spans="1:17" ht="19.5" thickBot="1">
      <c r="A45" s="1" t="s">
        <v>3</v>
      </c>
      <c r="B45" s="97" t="s">
        <v>95</v>
      </c>
      <c r="C45" s="77">
        <v>488630</v>
      </c>
      <c r="D45" s="51">
        <v>360478</v>
      </c>
      <c r="E45" s="51">
        <v>81420</v>
      </c>
      <c r="F45" s="51">
        <v>84960</v>
      </c>
      <c r="G45" s="51">
        <v>3360</v>
      </c>
      <c r="H45" s="51">
        <v>76020</v>
      </c>
      <c r="I45" s="51">
        <v>5880</v>
      </c>
      <c r="J45" s="51">
        <v>82110</v>
      </c>
      <c r="K45" s="52">
        <v>64752</v>
      </c>
      <c r="L45" s="52">
        <f t="shared" si="2"/>
        <v>1247610</v>
      </c>
      <c r="M45" s="66">
        <v>378934</v>
      </c>
      <c r="N45" s="88">
        <f t="shared" si="3"/>
        <v>378934</v>
      </c>
      <c r="O45" s="53">
        <v>6602340</v>
      </c>
      <c r="Q45"/>
    </row>
    <row r="46" spans="1:17" ht="19.5" thickBot="1">
      <c r="A46" s="1" t="s">
        <v>3</v>
      </c>
      <c r="B46" s="93" t="s">
        <v>96</v>
      </c>
      <c r="C46" s="74">
        <v>8020</v>
      </c>
      <c r="D46" s="37">
        <v>4812</v>
      </c>
      <c r="E46" s="37">
        <v>2604</v>
      </c>
      <c r="F46" s="37">
        <v>1628</v>
      </c>
      <c r="G46" s="37">
        <v>0</v>
      </c>
      <c r="H46" s="37">
        <v>2790</v>
      </c>
      <c r="I46" s="37">
        <v>0</v>
      </c>
      <c r="J46" s="37">
        <v>4092</v>
      </c>
      <c r="K46" s="38">
        <v>2720</v>
      </c>
      <c r="L46" s="38">
        <f t="shared" si="2"/>
        <v>26666</v>
      </c>
      <c r="M46" s="63">
        <v>6649</v>
      </c>
      <c r="N46" s="85">
        <f t="shared" si="3"/>
        <v>6649</v>
      </c>
      <c r="O46" s="39">
        <v>118938</v>
      </c>
      <c r="Q46"/>
    </row>
    <row r="47" spans="1:17" ht="19.5" thickBot="1">
      <c r="A47" s="1" t="s">
        <v>3</v>
      </c>
      <c r="B47" s="97" t="s">
        <v>97</v>
      </c>
      <c r="C47" s="77">
        <v>8020</v>
      </c>
      <c r="D47" s="51">
        <v>4812</v>
      </c>
      <c r="E47" s="51">
        <v>2604</v>
      </c>
      <c r="F47" s="51">
        <v>1628</v>
      </c>
      <c r="G47" s="51">
        <v>0</v>
      </c>
      <c r="H47" s="51">
        <v>2790</v>
      </c>
      <c r="I47" s="51">
        <v>0</v>
      </c>
      <c r="J47" s="51">
        <v>4092</v>
      </c>
      <c r="K47" s="52">
        <v>2720</v>
      </c>
      <c r="L47" s="52">
        <f t="shared" si="2"/>
        <v>26666</v>
      </c>
      <c r="M47" s="66">
        <v>6649</v>
      </c>
      <c r="N47" s="88">
        <f t="shared" si="3"/>
        <v>6649</v>
      </c>
      <c r="O47" s="53">
        <v>118938</v>
      </c>
      <c r="Q47"/>
    </row>
    <row r="48" spans="1:17" ht="19.5" thickBot="1">
      <c r="A48" s="1" t="s">
        <v>3</v>
      </c>
      <c r="B48" s="97" t="s">
        <v>98</v>
      </c>
      <c r="C48" s="77">
        <v>496650</v>
      </c>
      <c r="D48" s="51">
        <v>365290</v>
      </c>
      <c r="E48" s="51">
        <v>84024</v>
      </c>
      <c r="F48" s="51">
        <v>86588</v>
      </c>
      <c r="G48" s="51">
        <v>3360</v>
      </c>
      <c r="H48" s="51">
        <v>78810</v>
      </c>
      <c r="I48" s="51">
        <v>5880</v>
      </c>
      <c r="J48" s="51">
        <v>86202</v>
      </c>
      <c r="K48" s="52">
        <v>67472</v>
      </c>
      <c r="L48" s="52">
        <f t="shared" si="2"/>
        <v>1274276</v>
      </c>
      <c r="M48" s="66">
        <v>385583</v>
      </c>
      <c r="N48" s="88">
        <f t="shared" si="3"/>
        <v>385583</v>
      </c>
      <c r="O48" s="53">
        <v>6721278</v>
      </c>
      <c r="Q48"/>
    </row>
    <row r="49" spans="1:17">
      <c r="A49" s="1" t="s">
        <v>3</v>
      </c>
      <c r="B49" s="93" t="s">
        <v>99</v>
      </c>
      <c r="C49" s="74">
        <v>25500</v>
      </c>
      <c r="D49" s="37">
        <v>18360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8">
        <v>0</v>
      </c>
      <c r="L49" s="38">
        <f t="shared" si="2"/>
        <v>43860</v>
      </c>
      <c r="M49" s="63">
        <v>18360</v>
      </c>
      <c r="N49" s="85">
        <f t="shared" si="3"/>
        <v>18360</v>
      </c>
      <c r="O49" s="39">
        <v>333540</v>
      </c>
      <c r="Q49"/>
    </row>
    <row r="50" spans="1:17">
      <c r="A50" s="1" t="s">
        <v>3</v>
      </c>
      <c r="B50" s="94" t="s">
        <v>100</v>
      </c>
      <c r="C50" s="75">
        <v>0</v>
      </c>
      <c r="D50" s="21">
        <v>3240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2">
        <v>0</v>
      </c>
      <c r="L50" s="22">
        <f t="shared" si="2"/>
        <v>3240</v>
      </c>
      <c r="M50" s="64">
        <v>3240</v>
      </c>
      <c r="N50" s="86">
        <f t="shared" si="3"/>
        <v>3240</v>
      </c>
      <c r="O50" s="9">
        <v>51480</v>
      </c>
      <c r="Q50"/>
    </row>
    <row r="51" spans="1:17">
      <c r="A51" s="1" t="s">
        <v>3</v>
      </c>
      <c r="B51" s="94" t="s">
        <v>101</v>
      </c>
      <c r="C51" s="75">
        <v>45750</v>
      </c>
      <c r="D51" s="21">
        <v>32940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2">
        <v>0</v>
      </c>
      <c r="L51" s="22">
        <f t="shared" si="2"/>
        <v>78690</v>
      </c>
      <c r="M51" s="64">
        <v>32940</v>
      </c>
      <c r="N51" s="86">
        <f t="shared" si="3"/>
        <v>32940</v>
      </c>
      <c r="O51" s="9">
        <v>598410</v>
      </c>
      <c r="Q51"/>
    </row>
    <row r="52" spans="1:17">
      <c r="A52" s="1" t="s">
        <v>3</v>
      </c>
      <c r="B52" s="94" t="s">
        <v>102</v>
      </c>
      <c r="C52" s="75">
        <v>1490</v>
      </c>
      <c r="D52" s="21">
        <v>1096</v>
      </c>
      <c r="E52" s="21">
        <v>252</v>
      </c>
      <c r="F52" s="21">
        <v>260</v>
      </c>
      <c r="G52" s="21">
        <v>0</v>
      </c>
      <c r="H52" s="21">
        <v>0</v>
      </c>
      <c r="I52" s="21">
        <v>0</v>
      </c>
      <c r="J52" s="21">
        <v>0</v>
      </c>
      <c r="K52" s="22">
        <v>0</v>
      </c>
      <c r="L52" s="22">
        <f t="shared" si="2"/>
        <v>3098</v>
      </c>
      <c r="M52" s="64">
        <v>1157</v>
      </c>
      <c r="N52" s="86">
        <f t="shared" si="3"/>
        <v>1157</v>
      </c>
      <c r="O52" s="9">
        <v>19438</v>
      </c>
      <c r="Q52"/>
    </row>
    <row r="53" spans="1:17" ht="19.5" thickBot="1">
      <c r="A53" s="1" t="s">
        <v>3</v>
      </c>
      <c r="B53" s="96" t="s">
        <v>103</v>
      </c>
      <c r="C53" s="76">
        <v>0</v>
      </c>
      <c r="D53" s="46">
        <v>0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7">
        <v>0</v>
      </c>
      <c r="L53" s="47">
        <f t="shared" si="2"/>
        <v>0</v>
      </c>
      <c r="M53" s="65">
        <v>0</v>
      </c>
      <c r="N53" s="87">
        <f t="shared" si="3"/>
        <v>0</v>
      </c>
      <c r="O53" s="48">
        <v>0</v>
      </c>
      <c r="Q53"/>
    </row>
    <row r="54" spans="1:17" ht="19.5" thickBot="1">
      <c r="A54" s="1" t="s">
        <v>3</v>
      </c>
      <c r="B54" s="97" t="s">
        <v>104</v>
      </c>
      <c r="C54" s="77">
        <v>72740</v>
      </c>
      <c r="D54" s="51">
        <v>55636</v>
      </c>
      <c r="E54" s="51">
        <v>252</v>
      </c>
      <c r="F54" s="51">
        <v>260</v>
      </c>
      <c r="G54" s="51">
        <v>0</v>
      </c>
      <c r="H54" s="51">
        <v>0</v>
      </c>
      <c r="I54" s="51">
        <v>0</v>
      </c>
      <c r="J54" s="51">
        <v>0</v>
      </c>
      <c r="K54" s="52">
        <v>0</v>
      </c>
      <c r="L54" s="52">
        <f t="shared" si="2"/>
        <v>128888</v>
      </c>
      <c r="M54" s="66">
        <v>55697</v>
      </c>
      <c r="N54" s="88">
        <f t="shared" si="3"/>
        <v>55697</v>
      </c>
      <c r="O54" s="53">
        <v>1002868</v>
      </c>
      <c r="Q54"/>
    </row>
    <row r="55" spans="1:17">
      <c r="A55" s="1" t="s">
        <v>3</v>
      </c>
      <c r="B55" s="93" t="s">
        <v>105</v>
      </c>
      <c r="C55" s="74">
        <v>14610</v>
      </c>
      <c r="D55" s="37">
        <v>6920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8">
        <v>0</v>
      </c>
      <c r="L55" s="38">
        <f t="shared" si="2"/>
        <v>21530</v>
      </c>
      <c r="M55" s="63">
        <v>10280</v>
      </c>
      <c r="N55" s="85">
        <f t="shared" si="3"/>
        <v>10280</v>
      </c>
      <c r="O55" s="39">
        <v>128550</v>
      </c>
      <c r="Q55"/>
    </row>
    <row r="56" spans="1:17">
      <c r="A56" s="1" t="s">
        <v>3</v>
      </c>
      <c r="B56" s="94" t="s">
        <v>106</v>
      </c>
      <c r="C56" s="75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2">
        <v>0</v>
      </c>
      <c r="L56" s="22">
        <f t="shared" si="2"/>
        <v>0</v>
      </c>
      <c r="M56" s="64">
        <v>0</v>
      </c>
      <c r="N56" s="86">
        <f t="shared" si="3"/>
        <v>0</v>
      </c>
      <c r="O56" s="9">
        <v>15600</v>
      </c>
      <c r="Q56"/>
    </row>
    <row r="57" spans="1:17">
      <c r="A57" s="1" t="s">
        <v>3</v>
      </c>
      <c r="B57" s="94" t="s">
        <v>107</v>
      </c>
      <c r="C57" s="75">
        <v>35200</v>
      </c>
      <c r="D57" s="21">
        <v>14500</v>
      </c>
      <c r="E57" s="21">
        <v>600</v>
      </c>
      <c r="F57" s="21">
        <v>500</v>
      </c>
      <c r="G57" s="21">
        <v>900</v>
      </c>
      <c r="H57" s="21">
        <v>0</v>
      </c>
      <c r="I57" s="21">
        <v>4100</v>
      </c>
      <c r="J57" s="21">
        <v>0</v>
      </c>
      <c r="K57" s="22">
        <v>0</v>
      </c>
      <c r="L57" s="22">
        <f t="shared" si="2"/>
        <v>55800</v>
      </c>
      <c r="M57" s="64">
        <v>16100</v>
      </c>
      <c r="N57" s="86">
        <f t="shared" si="3"/>
        <v>16100</v>
      </c>
      <c r="O57" s="9">
        <v>263900</v>
      </c>
      <c r="Q57"/>
    </row>
    <row r="58" spans="1:17">
      <c r="A58" s="1" t="s">
        <v>3</v>
      </c>
      <c r="B58" s="94" t="s">
        <v>108</v>
      </c>
      <c r="C58" s="75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2">
        <v>0</v>
      </c>
      <c r="L58" s="22">
        <f t="shared" si="2"/>
        <v>0</v>
      </c>
      <c r="M58" s="64">
        <v>0</v>
      </c>
      <c r="N58" s="86">
        <f t="shared" si="3"/>
        <v>0</v>
      </c>
      <c r="O58" s="9">
        <v>10000</v>
      </c>
      <c r="Q58"/>
    </row>
    <row r="59" spans="1:17" ht="19.5" thickBot="1">
      <c r="A59" s="1" t="s">
        <v>3</v>
      </c>
      <c r="B59" s="94" t="s">
        <v>109</v>
      </c>
      <c r="C59" s="75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2">
        <v>0</v>
      </c>
      <c r="L59" s="22">
        <f t="shared" si="2"/>
        <v>0</v>
      </c>
      <c r="M59" s="64">
        <v>0</v>
      </c>
      <c r="N59" s="86">
        <f t="shared" si="3"/>
        <v>0</v>
      </c>
      <c r="O59" s="9">
        <v>0</v>
      </c>
      <c r="Q59"/>
    </row>
    <row r="60" spans="1:17" ht="19.5" thickBot="1">
      <c r="A60" s="1" t="s">
        <v>3</v>
      </c>
      <c r="B60" s="97" t="s">
        <v>110</v>
      </c>
      <c r="C60" s="77">
        <v>122550</v>
      </c>
      <c r="D60" s="51">
        <v>77056</v>
      </c>
      <c r="E60" s="51">
        <v>852</v>
      </c>
      <c r="F60" s="51">
        <v>760</v>
      </c>
      <c r="G60" s="51">
        <v>900</v>
      </c>
      <c r="H60" s="51">
        <v>0</v>
      </c>
      <c r="I60" s="51">
        <v>4100</v>
      </c>
      <c r="J60" s="51">
        <v>0</v>
      </c>
      <c r="K60" s="52">
        <v>0</v>
      </c>
      <c r="L60" s="52">
        <f t="shared" si="2"/>
        <v>206218</v>
      </c>
      <c r="M60" s="66">
        <v>82077</v>
      </c>
      <c r="N60" s="88">
        <f t="shared" si="3"/>
        <v>82077</v>
      </c>
      <c r="O60" s="53">
        <v>1420918</v>
      </c>
      <c r="Q60"/>
    </row>
    <row r="61" spans="1:17" ht="19.5" thickBot="1">
      <c r="A61" s="1" t="s">
        <v>3</v>
      </c>
      <c r="B61" s="97" t="s">
        <v>111</v>
      </c>
      <c r="C61" s="77">
        <v>415890</v>
      </c>
      <c r="D61" s="51">
        <v>304842</v>
      </c>
      <c r="E61" s="51">
        <v>81168</v>
      </c>
      <c r="F61" s="51">
        <v>84700</v>
      </c>
      <c r="G61" s="51">
        <v>3360</v>
      </c>
      <c r="H61" s="51">
        <v>76020</v>
      </c>
      <c r="I61" s="51">
        <v>5880</v>
      </c>
      <c r="J61" s="51">
        <v>82110</v>
      </c>
      <c r="K61" s="52">
        <v>64752</v>
      </c>
      <c r="L61" s="52">
        <f t="shared" si="2"/>
        <v>1118722</v>
      </c>
      <c r="M61" s="66">
        <v>323237</v>
      </c>
      <c r="N61" s="88">
        <f t="shared" si="3"/>
        <v>323237</v>
      </c>
      <c r="O61" s="53">
        <v>5599472</v>
      </c>
      <c r="Q61"/>
    </row>
    <row r="62" spans="1:17" ht="19.5" thickBot="1">
      <c r="A62" s="1" t="s">
        <v>3</v>
      </c>
      <c r="B62" s="97" t="s">
        <v>112</v>
      </c>
      <c r="C62" s="77">
        <v>374100</v>
      </c>
      <c r="D62" s="51">
        <v>288234</v>
      </c>
      <c r="E62" s="51">
        <v>83172</v>
      </c>
      <c r="F62" s="51">
        <v>85828</v>
      </c>
      <c r="G62" s="51">
        <v>2460</v>
      </c>
      <c r="H62" s="51">
        <v>78810</v>
      </c>
      <c r="I62" s="51">
        <v>1780</v>
      </c>
      <c r="J62" s="51">
        <v>86202</v>
      </c>
      <c r="K62" s="52">
        <v>67472</v>
      </c>
      <c r="L62" s="52">
        <f t="shared" si="2"/>
        <v>1068058</v>
      </c>
      <c r="M62" s="66">
        <v>303506</v>
      </c>
      <c r="N62" s="88">
        <f t="shared" si="3"/>
        <v>303506</v>
      </c>
      <c r="O62" s="53">
        <v>5300360</v>
      </c>
      <c r="Q62"/>
    </row>
    <row r="63" spans="1:17">
      <c r="A63" s="1" t="s">
        <v>3</v>
      </c>
      <c r="B63" s="93" t="s">
        <v>113</v>
      </c>
      <c r="C63" s="74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  <c r="K63" s="38">
        <v>0</v>
      </c>
      <c r="L63" s="38">
        <f t="shared" si="2"/>
        <v>0</v>
      </c>
      <c r="M63" s="63">
        <v>0</v>
      </c>
      <c r="N63" s="85">
        <f t="shared" si="3"/>
        <v>0</v>
      </c>
      <c r="O63" s="39">
        <v>0</v>
      </c>
      <c r="Q63"/>
    </row>
    <row r="64" spans="1:17">
      <c r="A64" s="1" t="s">
        <v>3</v>
      </c>
      <c r="B64" s="94" t="s">
        <v>114</v>
      </c>
      <c r="C64" s="75">
        <v>374100</v>
      </c>
      <c r="D64" s="21">
        <v>288234</v>
      </c>
      <c r="E64" s="21">
        <v>83172</v>
      </c>
      <c r="F64" s="21">
        <v>85828</v>
      </c>
      <c r="G64" s="21">
        <v>2460</v>
      </c>
      <c r="H64" s="21">
        <v>78810</v>
      </c>
      <c r="I64" s="21">
        <v>1780</v>
      </c>
      <c r="J64" s="21">
        <v>86202</v>
      </c>
      <c r="K64" s="22">
        <v>67472</v>
      </c>
      <c r="L64" s="22">
        <f t="shared" si="2"/>
        <v>1068058</v>
      </c>
      <c r="M64" s="64">
        <v>303506</v>
      </c>
      <c r="N64" s="86">
        <f t="shared" si="3"/>
        <v>303506</v>
      </c>
      <c r="O64" s="9">
        <v>5300360</v>
      </c>
      <c r="Q64"/>
    </row>
    <row r="65" spans="1:17">
      <c r="A65" s="1" t="s">
        <v>3</v>
      </c>
      <c r="B65" s="94" t="s">
        <v>115</v>
      </c>
      <c r="C65" s="75">
        <v>1</v>
      </c>
      <c r="D65" s="21">
        <v>1</v>
      </c>
      <c r="E65" s="21">
        <v>0</v>
      </c>
      <c r="F65" s="21">
        <v>0</v>
      </c>
      <c r="G65" s="21">
        <v>0</v>
      </c>
      <c r="H65" s="21">
        <v>1</v>
      </c>
      <c r="I65" s="21">
        <v>1</v>
      </c>
      <c r="J65" s="21">
        <v>1</v>
      </c>
      <c r="K65" s="22">
        <v>1</v>
      </c>
      <c r="L65" s="9"/>
      <c r="M65" s="64">
        <v>0</v>
      </c>
      <c r="N65" s="86"/>
      <c r="O65" s="9"/>
      <c r="Q65"/>
    </row>
    <row r="66" spans="1:17" ht="19.5" thickBot="1">
      <c r="A66" s="1" t="s">
        <v>3</v>
      </c>
      <c r="B66" s="95" t="s">
        <v>116</v>
      </c>
      <c r="C66" s="78" t="s">
        <v>117</v>
      </c>
      <c r="D66" s="24" t="s">
        <v>117</v>
      </c>
      <c r="E66" s="24" t="s">
        <v>117</v>
      </c>
      <c r="F66" s="24" t="s">
        <v>117</v>
      </c>
      <c r="G66" s="24" t="s">
        <v>117</v>
      </c>
      <c r="H66" s="24" t="s">
        <v>117</v>
      </c>
      <c r="I66" s="24" t="s">
        <v>117</v>
      </c>
      <c r="J66" s="24" t="s">
        <v>117</v>
      </c>
      <c r="K66" s="25" t="s">
        <v>117</v>
      </c>
      <c r="L66" s="10"/>
      <c r="M66" s="67" t="s">
        <v>117</v>
      </c>
      <c r="N66" s="89"/>
      <c r="O66" s="10"/>
    </row>
  </sheetData>
  <phoneticPr fontId="3"/>
  <pageMargins left="0.11811023622047245" right="0.11811023622047245" top="0.15748031496062992" bottom="0.15748031496062992" header="0.11811023622047245" footer="0.11811023622047245"/>
  <pageSetup paperSize="9" scale="46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E418-6CF0-46D5-A3E7-45DDCDFBAC99}">
  <sheetPr>
    <pageSetUpPr fitToPage="1"/>
  </sheetPr>
  <dimension ref="A1:V66"/>
  <sheetViews>
    <sheetView showZeros="0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20" width="9.625" style="2" customWidth="1"/>
    <col min="21" max="246" width="9" style="2"/>
    <col min="247" max="247" width="2.375" style="2" customWidth="1"/>
    <col min="248" max="248" width="13.25" style="2" bestFit="1" customWidth="1"/>
    <col min="249" max="249" width="11.125" style="2" bestFit="1" customWidth="1"/>
    <col min="250" max="250" width="9.625" style="2" bestFit="1" customWidth="1"/>
    <col min="251" max="251" width="11.125" style="2" bestFit="1" customWidth="1"/>
    <col min="252" max="252" width="13.25" style="2" bestFit="1" customWidth="1"/>
    <col min="253" max="253" width="11.125" style="2" bestFit="1" customWidth="1"/>
    <col min="254" max="254" width="9" style="2"/>
    <col min="255" max="255" width="11.125" style="2" bestFit="1" customWidth="1"/>
    <col min="256" max="256" width="9" style="2"/>
    <col min="257" max="257" width="11.125" style="2" bestFit="1" customWidth="1"/>
    <col min="258" max="258" width="9" style="2"/>
    <col min="259" max="267" width="11.125" style="2" bestFit="1" customWidth="1"/>
    <col min="268" max="272" width="9" style="2"/>
    <col min="273" max="274" width="11.125" style="2" bestFit="1" customWidth="1"/>
    <col min="275" max="275" width="9" style="2"/>
    <col min="276" max="276" width="9.625" style="2" bestFit="1" customWidth="1"/>
    <col min="277" max="502" width="9" style="2"/>
    <col min="503" max="503" width="2.375" style="2" customWidth="1"/>
    <col min="504" max="504" width="13.25" style="2" bestFit="1" customWidth="1"/>
    <col min="505" max="505" width="11.125" style="2" bestFit="1" customWidth="1"/>
    <col min="506" max="506" width="9.625" style="2" bestFit="1" customWidth="1"/>
    <col min="507" max="507" width="11.125" style="2" bestFit="1" customWidth="1"/>
    <col min="508" max="508" width="13.25" style="2" bestFit="1" customWidth="1"/>
    <col min="509" max="509" width="11.125" style="2" bestFit="1" customWidth="1"/>
    <col min="510" max="510" width="9" style="2"/>
    <col min="511" max="511" width="11.125" style="2" bestFit="1" customWidth="1"/>
    <col min="512" max="512" width="9" style="2"/>
    <col min="513" max="513" width="11.125" style="2" bestFit="1" customWidth="1"/>
    <col min="514" max="514" width="9" style="2"/>
    <col min="515" max="523" width="11.125" style="2" bestFit="1" customWidth="1"/>
    <col min="524" max="528" width="9" style="2"/>
    <col min="529" max="530" width="11.125" style="2" bestFit="1" customWidth="1"/>
    <col min="531" max="531" width="9" style="2"/>
    <col min="532" max="532" width="9.625" style="2" bestFit="1" customWidth="1"/>
    <col min="533" max="758" width="9" style="2"/>
    <col min="759" max="759" width="2.375" style="2" customWidth="1"/>
    <col min="760" max="760" width="13.25" style="2" bestFit="1" customWidth="1"/>
    <col min="761" max="761" width="11.125" style="2" bestFit="1" customWidth="1"/>
    <col min="762" max="762" width="9.625" style="2" bestFit="1" customWidth="1"/>
    <col min="763" max="763" width="11.125" style="2" bestFit="1" customWidth="1"/>
    <col min="764" max="764" width="13.25" style="2" bestFit="1" customWidth="1"/>
    <col min="765" max="765" width="11.125" style="2" bestFit="1" customWidth="1"/>
    <col min="766" max="766" width="9" style="2"/>
    <col min="767" max="767" width="11.125" style="2" bestFit="1" customWidth="1"/>
    <col min="768" max="768" width="9" style="2"/>
    <col min="769" max="769" width="11.125" style="2" bestFit="1" customWidth="1"/>
    <col min="770" max="770" width="9" style="2"/>
    <col min="771" max="779" width="11.125" style="2" bestFit="1" customWidth="1"/>
    <col min="780" max="784" width="9" style="2"/>
    <col min="785" max="786" width="11.125" style="2" bestFit="1" customWidth="1"/>
    <col min="787" max="787" width="9" style="2"/>
    <col min="788" max="788" width="9.625" style="2" bestFit="1" customWidth="1"/>
    <col min="789" max="1014" width="9" style="2"/>
    <col min="1015" max="1015" width="2.375" style="2" customWidth="1"/>
    <col min="1016" max="1016" width="13.25" style="2" bestFit="1" customWidth="1"/>
    <col min="1017" max="1017" width="11.125" style="2" bestFit="1" customWidth="1"/>
    <col min="1018" max="1018" width="9.625" style="2" bestFit="1" customWidth="1"/>
    <col min="1019" max="1019" width="11.125" style="2" bestFit="1" customWidth="1"/>
    <col min="1020" max="1020" width="13.25" style="2" bestFit="1" customWidth="1"/>
    <col min="1021" max="1021" width="11.125" style="2" bestFit="1" customWidth="1"/>
    <col min="1022" max="1022" width="9" style="2"/>
    <col min="1023" max="1023" width="11.125" style="2" bestFit="1" customWidth="1"/>
    <col min="1024" max="1024" width="9" style="2"/>
    <col min="1025" max="1025" width="11.125" style="2" bestFit="1" customWidth="1"/>
    <col min="1026" max="1026" width="9" style="2"/>
    <col min="1027" max="1035" width="11.125" style="2" bestFit="1" customWidth="1"/>
    <col min="1036" max="1040" width="9" style="2"/>
    <col min="1041" max="1042" width="11.125" style="2" bestFit="1" customWidth="1"/>
    <col min="1043" max="1043" width="9" style="2"/>
    <col min="1044" max="1044" width="9.625" style="2" bestFit="1" customWidth="1"/>
    <col min="1045" max="1270" width="9" style="2"/>
    <col min="1271" max="1271" width="2.375" style="2" customWidth="1"/>
    <col min="1272" max="1272" width="13.25" style="2" bestFit="1" customWidth="1"/>
    <col min="1273" max="1273" width="11.125" style="2" bestFit="1" customWidth="1"/>
    <col min="1274" max="1274" width="9.625" style="2" bestFit="1" customWidth="1"/>
    <col min="1275" max="1275" width="11.125" style="2" bestFit="1" customWidth="1"/>
    <col min="1276" max="1276" width="13.25" style="2" bestFit="1" customWidth="1"/>
    <col min="1277" max="1277" width="11.125" style="2" bestFit="1" customWidth="1"/>
    <col min="1278" max="1278" width="9" style="2"/>
    <col min="1279" max="1279" width="11.125" style="2" bestFit="1" customWidth="1"/>
    <col min="1280" max="1280" width="9" style="2"/>
    <col min="1281" max="1281" width="11.125" style="2" bestFit="1" customWidth="1"/>
    <col min="1282" max="1282" width="9" style="2"/>
    <col min="1283" max="1291" width="11.125" style="2" bestFit="1" customWidth="1"/>
    <col min="1292" max="1296" width="9" style="2"/>
    <col min="1297" max="1298" width="11.125" style="2" bestFit="1" customWidth="1"/>
    <col min="1299" max="1299" width="9" style="2"/>
    <col min="1300" max="1300" width="9.625" style="2" bestFit="1" customWidth="1"/>
    <col min="1301" max="1526" width="9" style="2"/>
    <col min="1527" max="1527" width="2.375" style="2" customWidth="1"/>
    <col min="1528" max="1528" width="13.25" style="2" bestFit="1" customWidth="1"/>
    <col min="1529" max="1529" width="11.125" style="2" bestFit="1" customWidth="1"/>
    <col min="1530" max="1530" width="9.625" style="2" bestFit="1" customWidth="1"/>
    <col min="1531" max="1531" width="11.125" style="2" bestFit="1" customWidth="1"/>
    <col min="1532" max="1532" width="13.25" style="2" bestFit="1" customWidth="1"/>
    <col min="1533" max="1533" width="11.125" style="2" bestFit="1" customWidth="1"/>
    <col min="1534" max="1534" width="9" style="2"/>
    <col min="1535" max="1535" width="11.125" style="2" bestFit="1" customWidth="1"/>
    <col min="1536" max="1536" width="9" style="2"/>
    <col min="1537" max="1537" width="11.125" style="2" bestFit="1" customWidth="1"/>
    <col min="1538" max="1538" width="9" style="2"/>
    <col min="1539" max="1547" width="11.125" style="2" bestFit="1" customWidth="1"/>
    <col min="1548" max="1552" width="9" style="2"/>
    <col min="1553" max="1554" width="11.125" style="2" bestFit="1" customWidth="1"/>
    <col min="1555" max="1555" width="9" style="2"/>
    <col min="1556" max="1556" width="9.625" style="2" bestFit="1" customWidth="1"/>
    <col min="1557" max="1782" width="9" style="2"/>
    <col min="1783" max="1783" width="2.375" style="2" customWidth="1"/>
    <col min="1784" max="1784" width="13.25" style="2" bestFit="1" customWidth="1"/>
    <col min="1785" max="1785" width="11.125" style="2" bestFit="1" customWidth="1"/>
    <col min="1786" max="1786" width="9.625" style="2" bestFit="1" customWidth="1"/>
    <col min="1787" max="1787" width="11.125" style="2" bestFit="1" customWidth="1"/>
    <col min="1788" max="1788" width="13.25" style="2" bestFit="1" customWidth="1"/>
    <col min="1789" max="1789" width="11.125" style="2" bestFit="1" customWidth="1"/>
    <col min="1790" max="1790" width="9" style="2"/>
    <col min="1791" max="1791" width="11.125" style="2" bestFit="1" customWidth="1"/>
    <col min="1792" max="1792" width="9" style="2"/>
    <col min="1793" max="1793" width="11.125" style="2" bestFit="1" customWidth="1"/>
    <col min="1794" max="1794" width="9" style="2"/>
    <col min="1795" max="1803" width="11.125" style="2" bestFit="1" customWidth="1"/>
    <col min="1804" max="1808" width="9" style="2"/>
    <col min="1809" max="1810" width="11.125" style="2" bestFit="1" customWidth="1"/>
    <col min="1811" max="1811" width="9" style="2"/>
    <col min="1812" max="1812" width="9.625" style="2" bestFit="1" customWidth="1"/>
    <col min="1813" max="2038" width="9" style="2"/>
    <col min="2039" max="2039" width="2.375" style="2" customWidth="1"/>
    <col min="2040" max="2040" width="13.25" style="2" bestFit="1" customWidth="1"/>
    <col min="2041" max="2041" width="11.125" style="2" bestFit="1" customWidth="1"/>
    <col min="2042" max="2042" width="9.625" style="2" bestFit="1" customWidth="1"/>
    <col min="2043" max="2043" width="11.125" style="2" bestFit="1" customWidth="1"/>
    <col min="2044" max="2044" width="13.25" style="2" bestFit="1" customWidth="1"/>
    <col min="2045" max="2045" width="11.125" style="2" bestFit="1" customWidth="1"/>
    <col min="2046" max="2046" width="9" style="2"/>
    <col min="2047" max="2047" width="11.125" style="2" bestFit="1" customWidth="1"/>
    <col min="2048" max="2048" width="9" style="2"/>
    <col min="2049" max="2049" width="11.125" style="2" bestFit="1" customWidth="1"/>
    <col min="2050" max="2050" width="9" style="2"/>
    <col min="2051" max="2059" width="11.125" style="2" bestFit="1" customWidth="1"/>
    <col min="2060" max="2064" width="9" style="2"/>
    <col min="2065" max="2066" width="11.125" style="2" bestFit="1" customWidth="1"/>
    <col min="2067" max="2067" width="9" style="2"/>
    <col min="2068" max="2068" width="9.625" style="2" bestFit="1" customWidth="1"/>
    <col min="2069" max="2294" width="9" style="2"/>
    <col min="2295" max="2295" width="2.375" style="2" customWidth="1"/>
    <col min="2296" max="2296" width="13.25" style="2" bestFit="1" customWidth="1"/>
    <col min="2297" max="2297" width="11.125" style="2" bestFit="1" customWidth="1"/>
    <col min="2298" max="2298" width="9.625" style="2" bestFit="1" customWidth="1"/>
    <col min="2299" max="2299" width="11.125" style="2" bestFit="1" customWidth="1"/>
    <col min="2300" max="2300" width="13.25" style="2" bestFit="1" customWidth="1"/>
    <col min="2301" max="2301" width="11.125" style="2" bestFit="1" customWidth="1"/>
    <col min="2302" max="2302" width="9" style="2"/>
    <col min="2303" max="2303" width="11.125" style="2" bestFit="1" customWidth="1"/>
    <col min="2304" max="2304" width="9" style="2"/>
    <col min="2305" max="2305" width="11.125" style="2" bestFit="1" customWidth="1"/>
    <col min="2306" max="2306" width="9" style="2"/>
    <col min="2307" max="2315" width="11.125" style="2" bestFit="1" customWidth="1"/>
    <col min="2316" max="2320" width="9" style="2"/>
    <col min="2321" max="2322" width="11.125" style="2" bestFit="1" customWidth="1"/>
    <col min="2323" max="2323" width="9" style="2"/>
    <col min="2324" max="2324" width="9.625" style="2" bestFit="1" customWidth="1"/>
    <col min="2325" max="2550" width="9" style="2"/>
    <col min="2551" max="2551" width="2.375" style="2" customWidth="1"/>
    <col min="2552" max="2552" width="13.25" style="2" bestFit="1" customWidth="1"/>
    <col min="2553" max="2553" width="11.125" style="2" bestFit="1" customWidth="1"/>
    <col min="2554" max="2554" width="9.625" style="2" bestFit="1" customWidth="1"/>
    <col min="2555" max="2555" width="11.125" style="2" bestFit="1" customWidth="1"/>
    <col min="2556" max="2556" width="13.25" style="2" bestFit="1" customWidth="1"/>
    <col min="2557" max="2557" width="11.125" style="2" bestFit="1" customWidth="1"/>
    <col min="2558" max="2558" width="9" style="2"/>
    <col min="2559" max="2559" width="11.125" style="2" bestFit="1" customWidth="1"/>
    <col min="2560" max="2560" width="9" style="2"/>
    <col min="2561" max="2561" width="11.125" style="2" bestFit="1" customWidth="1"/>
    <col min="2562" max="2562" width="9" style="2"/>
    <col min="2563" max="2571" width="11.125" style="2" bestFit="1" customWidth="1"/>
    <col min="2572" max="2576" width="9" style="2"/>
    <col min="2577" max="2578" width="11.125" style="2" bestFit="1" customWidth="1"/>
    <col min="2579" max="2579" width="9" style="2"/>
    <col min="2580" max="2580" width="9.625" style="2" bestFit="1" customWidth="1"/>
    <col min="2581" max="2806" width="9" style="2"/>
    <col min="2807" max="2807" width="2.375" style="2" customWidth="1"/>
    <col min="2808" max="2808" width="13.25" style="2" bestFit="1" customWidth="1"/>
    <col min="2809" max="2809" width="11.125" style="2" bestFit="1" customWidth="1"/>
    <col min="2810" max="2810" width="9.625" style="2" bestFit="1" customWidth="1"/>
    <col min="2811" max="2811" width="11.125" style="2" bestFit="1" customWidth="1"/>
    <col min="2812" max="2812" width="13.25" style="2" bestFit="1" customWidth="1"/>
    <col min="2813" max="2813" width="11.125" style="2" bestFit="1" customWidth="1"/>
    <col min="2814" max="2814" width="9" style="2"/>
    <col min="2815" max="2815" width="11.125" style="2" bestFit="1" customWidth="1"/>
    <col min="2816" max="2816" width="9" style="2"/>
    <col min="2817" max="2817" width="11.125" style="2" bestFit="1" customWidth="1"/>
    <col min="2818" max="2818" width="9" style="2"/>
    <col min="2819" max="2827" width="11.125" style="2" bestFit="1" customWidth="1"/>
    <col min="2828" max="2832" width="9" style="2"/>
    <col min="2833" max="2834" width="11.125" style="2" bestFit="1" customWidth="1"/>
    <col min="2835" max="2835" width="9" style="2"/>
    <col min="2836" max="2836" width="9.625" style="2" bestFit="1" customWidth="1"/>
    <col min="2837" max="3062" width="9" style="2"/>
    <col min="3063" max="3063" width="2.375" style="2" customWidth="1"/>
    <col min="3064" max="3064" width="13.25" style="2" bestFit="1" customWidth="1"/>
    <col min="3065" max="3065" width="11.125" style="2" bestFit="1" customWidth="1"/>
    <col min="3066" max="3066" width="9.625" style="2" bestFit="1" customWidth="1"/>
    <col min="3067" max="3067" width="11.125" style="2" bestFit="1" customWidth="1"/>
    <col min="3068" max="3068" width="13.25" style="2" bestFit="1" customWidth="1"/>
    <col min="3069" max="3069" width="11.125" style="2" bestFit="1" customWidth="1"/>
    <col min="3070" max="3070" width="9" style="2"/>
    <col min="3071" max="3071" width="11.125" style="2" bestFit="1" customWidth="1"/>
    <col min="3072" max="3072" width="9" style="2"/>
    <col min="3073" max="3073" width="11.125" style="2" bestFit="1" customWidth="1"/>
    <col min="3074" max="3074" width="9" style="2"/>
    <col min="3075" max="3083" width="11.125" style="2" bestFit="1" customWidth="1"/>
    <col min="3084" max="3088" width="9" style="2"/>
    <col min="3089" max="3090" width="11.125" style="2" bestFit="1" customWidth="1"/>
    <col min="3091" max="3091" width="9" style="2"/>
    <col min="3092" max="3092" width="9.625" style="2" bestFit="1" customWidth="1"/>
    <col min="3093" max="3318" width="9" style="2"/>
    <col min="3319" max="3319" width="2.375" style="2" customWidth="1"/>
    <col min="3320" max="3320" width="13.25" style="2" bestFit="1" customWidth="1"/>
    <col min="3321" max="3321" width="11.125" style="2" bestFit="1" customWidth="1"/>
    <col min="3322" max="3322" width="9.625" style="2" bestFit="1" customWidth="1"/>
    <col min="3323" max="3323" width="11.125" style="2" bestFit="1" customWidth="1"/>
    <col min="3324" max="3324" width="13.25" style="2" bestFit="1" customWidth="1"/>
    <col min="3325" max="3325" width="11.125" style="2" bestFit="1" customWidth="1"/>
    <col min="3326" max="3326" width="9" style="2"/>
    <col min="3327" max="3327" width="11.125" style="2" bestFit="1" customWidth="1"/>
    <col min="3328" max="3328" width="9" style="2"/>
    <col min="3329" max="3329" width="11.125" style="2" bestFit="1" customWidth="1"/>
    <col min="3330" max="3330" width="9" style="2"/>
    <col min="3331" max="3339" width="11.125" style="2" bestFit="1" customWidth="1"/>
    <col min="3340" max="3344" width="9" style="2"/>
    <col min="3345" max="3346" width="11.125" style="2" bestFit="1" customWidth="1"/>
    <col min="3347" max="3347" width="9" style="2"/>
    <col min="3348" max="3348" width="9.625" style="2" bestFit="1" customWidth="1"/>
    <col min="3349" max="3574" width="9" style="2"/>
    <col min="3575" max="3575" width="2.375" style="2" customWidth="1"/>
    <col min="3576" max="3576" width="13.25" style="2" bestFit="1" customWidth="1"/>
    <col min="3577" max="3577" width="11.125" style="2" bestFit="1" customWidth="1"/>
    <col min="3578" max="3578" width="9.625" style="2" bestFit="1" customWidth="1"/>
    <col min="3579" max="3579" width="11.125" style="2" bestFit="1" customWidth="1"/>
    <col min="3580" max="3580" width="13.25" style="2" bestFit="1" customWidth="1"/>
    <col min="3581" max="3581" width="11.125" style="2" bestFit="1" customWidth="1"/>
    <col min="3582" max="3582" width="9" style="2"/>
    <col min="3583" max="3583" width="11.125" style="2" bestFit="1" customWidth="1"/>
    <col min="3584" max="3584" width="9" style="2"/>
    <col min="3585" max="3585" width="11.125" style="2" bestFit="1" customWidth="1"/>
    <col min="3586" max="3586" width="9" style="2"/>
    <col min="3587" max="3595" width="11.125" style="2" bestFit="1" customWidth="1"/>
    <col min="3596" max="3600" width="9" style="2"/>
    <col min="3601" max="3602" width="11.125" style="2" bestFit="1" customWidth="1"/>
    <col min="3603" max="3603" width="9" style="2"/>
    <col min="3604" max="3604" width="9.625" style="2" bestFit="1" customWidth="1"/>
    <col min="3605" max="3830" width="9" style="2"/>
    <col min="3831" max="3831" width="2.375" style="2" customWidth="1"/>
    <col min="3832" max="3832" width="13.25" style="2" bestFit="1" customWidth="1"/>
    <col min="3833" max="3833" width="11.125" style="2" bestFit="1" customWidth="1"/>
    <col min="3834" max="3834" width="9.625" style="2" bestFit="1" customWidth="1"/>
    <col min="3835" max="3835" width="11.125" style="2" bestFit="1" customWidth="1"/>
    <col min="3836" max="3836" width="13.25" style="2" bestFit="1" customWidth="1"/>
    <col min="3837" max="3837" width="11.125" style="2" bestFit="1" customWidth="1"/>
    <col min="3838" max="3838" width="9" style="2"/>
    <col min="3839" max="3839" width="11.125" style="2" bestFit="1" customWidth="1"/>
    <col min="3840" max="3840" width="9" style="2"/>
    <col min="3841" max="3841" width="11.125" style="2" bestFit="1" customWidth="1"/>
    <col min="3842" max="3842" width="9" style="2"/>
    <col min="3843" max="3851" width="11.125" style="2" bestFit="1" customWidth="1"/>
    <col min="3852" max="3856" width="9" style="2"/>
    <col min="3857" max="3858" width="11.125" style="2" bestFit="1" customWidth="1"/>
    <col min="3859" max="3859" width="9" style="2"/>
    <col min="3860" max="3860" width="9.625" style="2" bestFit="1" customWidth="1"/>
    <col min="3861" max="4086" width="9" style="2"/>
    <col min="4087" max="4087" width="2.375" style="2" customWidth="1"/>
    <col min="4088" max="4088" width="13.25" style="2" bestFit="1" customWidth="1"/>
    <col min="4089" max="4089" width="11.125" style="2" bestFit="1" customWidth="1"/>
    <col min="4090" max="4090" width="9.625" style="2" bestFit="1" customWidth="1"/>
    <col min="4091" max="4091" width="11.125" style="2" bestFit="1" customWidth="1"/>
    <col min="4092" max="4092" width="13.25" style="2" bestFit="1" customWidth="1"/>
    <col min="4093" max="4093" width="11.125" style="2" bestFit="1" customWidth="1"/>
    <col min="4094" max="4094" width="9" style="2"/>
    <col min="4095" max="4095" width="11.125" style="2" bestFit="1" customWidth="1"/>
    <col min="4096" max="4096" width="9" style="2"/>
    <col min="4097" max="4097" width="11.125" style="2" bestFit="1" customWidth="1"/>
    <col min="4098" max="4098" width="9" style="2"/>
    <col min="4099" max="4107" width="11.125" style="2" bestFit="1" customWidth="1"/>
    <col min="4108" max="4112" width="9" style="2"/>
    <col min="4113" max="4114" width="11.125" style="2" bestFit="1" customWidth="1"/>
    <col min="4115" max="4115" width="9" style="2"/>
    <col min="4116" max="4116" width="9.625" style="2" bestFit="1" customWidth="1"/>
    <col min="4117" max="4342" width="9" style="2"/>
    <col min="4343" max="4343" width="2.375" style="2" customWidth="1"/>
    <col min="4344" max="4344" width="13.25" style="2" bestFit="1" customWidth="1"/>
    <col min="4345" max="4345" width="11.125" style="2" bestFit="1" customWidth="1"/>
    <col min="4346" max="4346" width="9.625" style="2" bestFit="1" customWidth="1"/>
    <col min="4347" max="4347" width="11.125" style="2" bestFit="1" customWidth="1"/>
    <col min="4348" max="4348" width="13.25" style="2" bestFit="1" customWidth="1"/>
    <col min="4349" max="4349" width="11.125" style="2" bestFit="1" customWidth="1"/>
    <col min="4350" max="4350" width="9" style="2"/>
    <col min="4351" max="4351" width="11.125" style="2" bestFit="1" customWidth="1"/>
    <col min="4352" max="4352" width="9" style="2"/>
    <col min="4353" max="4353" width="11.125" style="2" bestFit="1" customWidth="1"/>
    <col min="4354" max="4354" width="9" style="2"/>
    <col min="4355" max="4363" width="11.125" style="2" bestFit="1" customWidth="1"/>
    <col min="4364" max="4368" width="9" style="2"/>
    <col min="4369" max="4370" width="11.125" style="2" bestFit="1" customWidth="1"/>
    <col min="4371" max="4371" width="9" style="2"/>
    <col min="4372" max="4372" width="9.625" style="2" bestFit="1" customWidth="1"/>
    <col min="4373" max="4598" width="9" style="2"/>
    <col min="4599" max="4599" width="2.375" style="2" customWidth="1"/>
    <col min="4600" max="4600" width="13.25" style="2" bestFit="1" customWidth="1"/>
    <col min="4601" max="4601" width="11.125" style="2" bestFit="1" customWidth="1"/>
    <col min="4602" max="4602" width="9.625" style="2" bestFit="1" customWidth="1"/>
    <col min="4603" max="4603" width="11.125" style="2" bestFit="1" customWidth="1"/>
    <col min="4604" max="4604" width="13.25" style="2" bestFit="1" customWidth="1"/>
    <col min="4605" max="4605" width="11.125" style="2" bestFit="1" customWidth="1"/>
    <col min="4606" max="4606" width="9" style="2"/>
    <col min="4607" max="4607" width="11.125" style="2" bestFit="1" customWidth="1"/>
    <col min="4608" max="4608" width="9" style="2"/>
    <col min="4609" max="4609" width="11.125" style="2" bestFit="1" customWidth="1"/>
    <col min="4610" max="4610" width="9" style="2"/>
    <col min="4611" max="4619" width="11.125" style="2" bestFit="1" customWidth="1"/>
    <col min="4620" max="4624" width="9" style="2"/>
    <col min="4625" max="4626" width="11.125" style="2" bestFit="1" customWidth="1"/>
    <col min="4627" max="4627" width="9" style="2"/>
    <col min="4628" max="4628" width="9.625" style="2" bestFit="1" customWidth="1"/>
    <col min="4629" max="4854" width="9" style="2"/>
    <col min="4855" max="4855" width="2.375" style="2" customWidth="1"/>
    <col min="4856" max="4856" width="13.25" style="2" bestFit="1" customWidth="1"/>
    <col min="4857" max="4857" width="11.125" style="2" bestFit="1" customWidth="1"/>
    <col min="4858" max="4858" width="9.625" style="2" bestFit="1" customWidth="1"/>
    <col min="4859" max="4859" width="11.125" style="2" bestFit="1" customWidth="1"/>
    <col min="4860" max="4860" width="13.25" style="2" bestFit="1" customWidth="1"/>
    <col min="4861" max="4861" width="11.125" style="2" bestFit="1" customWidth="1"/>
    <col min="4862" max="4862" width="9" style="2"/>
    <col min="4863" max="4863" width="11.125" style="2" bestFit="1" customWidth="1"/>
    <col min="4864" max="4864" width="9" style="2"/>
    <col min="4865" max="4865" width="11.125" style="2" bestFit="1" customWidth="1"/>
    <col min="4866" max="4866" width="9" style="2"/>
    <col min="4867" max="4875" width="11.125" style="2" bestFit="1" customWidth="1"/>
    <col min="4876" max="4880" width="9" style="2"/>
    <col min="4881" max="4882" width="11.125" style="2" bestFit="1" customWidth="1"/>
    <col min="4883" max="4883" width="9" style="2"/>
    <col min="4884" max="4884" width="9.625" style="2" bestFit="1" customWidth="1"/>
    <col min="4885" max="5110" width="9" style="2"/>
    <col min="5111" max="5111" width="2.375" style="2" customWidth="1"/>
    <col min="5112" max="5112" width="13.25" style="2" bestFit="1" customWidth="1"/>
    <col min="5113" max="5113" width="11.125" style="2" bestFit="1" customWidth="1"/>
    <col min="5114" max="5114" width="9.625" style="2" bestFit="1" customWidth="1"/>
    <col min="5115" max="5115" width="11.125" style="2" bestFit="1" customWidth="1"/>
    <col min="5116" max="5116" width="13.25" style="2" bestFit="1" customWidth="1"/>
    <col min="5117" max="5117" width="11.125" style="2" bestFit="1" customWidth="1"/>
    <col min="5118" max="5118" width="9" style="2"/>
    <col min="5119" max="5119" width="11.125" style="2" bestFit="1" customWidth="1"/>
    <col min="5120" max="5120" width="9" style="2"/>
    <col min="5121" max="5121" width="11.125" style="2" bestFit="1" customWidth="1"/>
    <col min="5122" max="5122" width="9" style="2"/>
    <col min="5123" max="5131" width="11.125" style="2" bestFit="1" customWidth="1"/>
    <col min="5132" max="5136" width="9" style="2"/>
    <col min="5137" max="5138" width="11.125" style="2" bestFit="1" customWidth="1"/>
    <col min="5139" max="5139" width="9" style="2"/>
    <col min="5140" max="5140" width="9.625" style="2" bestFit="1" customWidth="1"/>
    <col min="5141" max="5366" width="9" style="2"/>
    <col min="5367" max="5367" width="2.375" style="2" customWidth="1"/>
    <col min="5368" max="5368" width="13.25" style="2" bestFit="1" customWidth="1"/>
    <col min="5369" max="5369" width="11.125" style="2" bestFit="1" customWidth="1"/>
    <col min="5370" max="5370" width="9.625" style="2" bestFit="1" customWidth="1"/>
    <col min="5371" max="5371" width="11.125" style="2" bestFit="1" customWidth="1"/>
    <col min="5372" max="5372" width="13.25" style="2" bestFit="1" customWidth="1"/>
    <col min="5373" max="5373" width="11.125" style="2" bestFit="1" customWidth="1"/>
    <col min="5374" max="5374" width="9" style="2"/>
    <col min="5375" max="5375" width="11.125" style="2" bestFit="1" customWidth="1"/>
    <col min="5376" max="5376" width="9" style="2"/>
    <col min="5377" max="5377" width="11.125" style="2" bestFit="1" customWidth="1"/>
    <col min="5378" max="5378" width="9" style="2"/>
    <col min="5379" max="5387" width="11.125" style="2" bestFit="1" customWidth="1"/>
    <col min="5388" max="5392" width="9" style="2"/>
    <col min="5393" max="5394" width="11.125" style="2" bestFit="1" customWidth="1"/>
    <col min="5395" max="5395" width="9" style="2"/>
    <col min="5396" max="5396" width="9.625" style="2" bestFit="1" customWidth="1"/>
    <col min="5397" max="5622" width="9" style="2"/>
    <col min="5623" max="5623" width="2.375" style="2" customWidth="1"/>
    <col min="5624" max="5624" width="13.25" style="2" bestFit="1" customWidth="1"/>
    <col min="5625" max="5625" width="11.125" style="2" bestFit="1" customWidth="1"/>
    <col min="5626" max="5626" width="9.625" style="2" bestFit="1" customWidth="1"/>
    <col min="5627" max="5627" width="11.125" style="2" bestFit="1" customWidth="1"/>
    <col min="5628" max="5628" width="13.25" style="2" bestFit="1" customWidth="1"/>
    <col min="5629" max="5629" width="11.125" style="2" bestFit="1" customWidth="1"/>
    <col min="5630" max="5630" width="9" style="2"/>
    <col min="5631" max="5631" width="11.125" style="2" bestFit="1" customWidth="1"/>
    <col min="5632" max="5632" width="9" style="2"/>
    <col min="5633" max="5633" width="11.125" style="2" bestFit="1" customWidth="1"/>
    <col min="5634" max="5634" width="9" style="2"/>
    <col min="5635" max="5643" width="11.125" style="2" bestFit="1" customWidth="1"/>
    <col min="5644" max="5648" width="9" style="2"/>
    <col min="5649" max="5650" width="11.125" style="2" bestFit="1" customWidth="1"/>
    <col min="5651" max="5651" width="9" style="2"/>
    <col min="5652" max="5652" width="9.625" style="2" bestFit="1" customWidth="1"/>
    <col min="5653" max="5878" width="9" style="2"/>
    <col min="5879" max="5879" width="2.375" style="2" customWidth="1"/>
    <col min="5880" max="5880" width="13.25" style="2" bestFit="1" customWidth="1"/>
    <col min="5881" max="5881" width="11.125" style="2" bestFit="1" customWidth="1"/>
    <col min="5882" max="5882" width="9.625" style="2" bestFit="1" customWidth="1"/>
    <col min="5883" max="5883" width="11.125" style="2" bestFit="1" customWidth="1"/>
    <col min="5884" max="5884" width="13.25" style="2" bestFit="1" customWidth="1"/>
    <col min="5885" max="5885" width="11.125" style="2" bestFit="1" customWidth="1"/>
    <col min="5886" max="5886" width="9" style="2"/>
    <col min="5887" max="5887" width="11.125" style="2" bestFit="1" customWidth="1"/>
    <col min="5888" max="5888" width="9" style="2"/>
    <col min="5889" max="5889" width="11.125" style="2" bestFit="1" customWidth="1"/>
    <col min="5890" max="5890" width="9" style="2"/>
    <col min="5891" max="5899" width="11.125" style="2" bestFit="1" customWidth="1"/>
    <col min="5900" max="5904" width="9" style="2"/>
    <col min="5905" max="5906" width="11.125" style="2" bestFit="1" customWidth="1"/>
    <col min="5907" max="5907" width="9" style="2"/>
    <col min="5908" max="5908" width="9.625" style="2" bestFit="1" customWidth="1"/>
    <col min="5909" max="6134" width="9" style="2"/>
    <col min="6135" max="6135" width="2.375" style="2" customWidth="1"/>
    <col min="6136" max="6136" width="13.25" style="2" bestFit="1" customWidth="1"/>
    <col min="6137" max="6137" width="11.125" style="2" bestFit="1" customWidth="1"/>
    <col min="6138" max="6138" width="9.625" style="2" bestFit="1" customWidth="1"/>
    <col min="6139" max="6139" width="11.125" style="2" bestFit="1" customWidth="1"/>
    <col min="6140" max="6140" width="13.25" style="2" bestFit="1" customWidth="1"/>
    <col min="6141" max="6141" width="11.125" style="2" bestFit="1" customWidth="1"/>
    <col min="6142" max="6142" width="9" style="2"/>
    <col min="6143" max="6143" width="11.125" style="2" bestFit="1" customWidth="1"/>
    <col min="6144" max="6144" width="9" style="2"/>
    <col min="6145" max="6145" width="11.125" style="2" bestFit="1" customWidth="1"/>
    <col min="6146" max="6146" width="9" style="2"/>
    <col min="6147" max="6155" width="11.125" style="2" bestFit="1" customWidth="1"/>
    <col min="6156" max="6160" width="9" style="2"/>
    <col min="6161" max="6162" width="11.125" style="2" bestFit="1" customWidth="1"/>
    <col min="6163" max="6163" width="9" style="2"/>
    <col min="6164" max="6164" width="9.625" style="2" bestFit="1" customWidth="1"/>
    <col min="6165" max="6390" width="9" style="2"/>
    <col min="6391" max="6391" width="2.375" style="2" customWidth="1"/>
    <col min="6392" max="6392" width="13.25" style="2" bestFit="1" customWidth="1"/>
    <col min="6393" max="6393" width="11.125" style="2" bestFit="1" customWidth="1"/>
    <col min="6394" max="6394" width="9.625" style="2" bestFit="1" customWidth="1"/>
    <col min="6395" max="6395" width="11.125" style="2" bestFit="1" customWidth="1"/>
    <col min="6396" max="6396" width="13.25" style="2" bestFit="1" customWidth="1"/>
    <col min="6397" max="6397" width="11.125" style="2" bestFit="1" customWidth="1"/>
    <col min="6398" max="6398" width="9" style="2"/>
    <col min="6399" max="6399" width="11.125" style="2" bestFit="1" customWidth="1"/>
    <col min="6400" max="6400" width="9" style="2"/>
    <col min="6401" max="6401" width="11.125" style="2" bestFit="1" customWidth="1"/>
    <col min="6402" max="6402" width="9" style="2"/>
    <col min="6403" max="6411" width="11.125" style="2" bestFit="1" customWidth="1"/>
    <col min="6412" max="6416" width="9" style="2"/>
    <col min="6417" max="6418" width="11.125" style="2" bestFit="1" customWidth="1"/>
    <col min="6419" max="6419" width="9" style="2"/>
    <col min="6420" max="6420" width="9.625" style="2" bestFit="1" customWidth="1"/>
    <col min="6421" max="6646" width="9" style="2"/>
    <col min="6647" max="6647" width="2.375" style="2" customWidth="1"/>
    <col min="6648" max="6648" width="13.25" style="2" bestFit="1" customWidth="1"/>
    <col min="6649" max="6649" width="11.125" style="2" bestFit="1" customWidth="1"/>
    <col min="6650" max="6650" width="9.625" style="2" bestFit="1" customWidth="1"/>
    <col min="6651" max="6651" width="11.125" style="2" bestFit="1" customWidth="1"/>
    <col min="6652" max="6652" width="13.25" style="2" bestFit="1" customWidth="1"/>
    <col min="6653" max="6653" width="11.125" style="2" bestFit="1" customWidth="1"/>
    <col min="6654" max="6654" width="9" style="2"/>
    <col min="6655" max="6655" width="11.125" style="2" bestFit="1" customWidth="1"/>
    <col min="6656" max="6656" width="9" style="2"/>
    <col min="6657" max="6657" width="11.125" style="2" bestFit="1" customWidth="1"/>
    <col min="6658" max="6658" width="9" style="2"/>
    <col min="6659" max="6667" width="11.125" style="2" bestFit="1" customWidth="1"/>
    <col min="6668" max="6672" width="9" style="2"/>
    <col min="6673" max="6674" width="11.125" style="2" bestFit="1" customWidth="1"/>
    <col min="6675" max="6675" width="9" style="2"/>
    <col min="6676" max="6676" width="9.625" style="2" bestFit="1" customWidth="1"/>
    <col min="6677" max="6902" width="9" style="2"/>
    <col min="6903" max="6903" width="2.375" style="2" customWidth="1"/>
    <col min="6904" max="6904" width="13.25" style="2" bestFit="1" customWidth="1"/>
    <col min="6905" max="6905" width="11.125" style="2" bestFit="1" customWidth="1"/>
    <col min="6906" max="6906" width="9.625" style="2" bestFit="1" customWidth="1"/>
    <col min="6907" max="6907" width="11.125" style="2" bestFit="1" customWidth="1"/>
    <col min="6908" max="6908" width="13.25" style="2" bestFit="1" customWidth="1"/>
    <col min="6909" max="6909" width="11.125" style="2" bestFit="1" customWidth="1"/>
    <col min="6910" max="6910" width="9" style="2"/>
    <col min="6911" max="6911" width="11.125" style="2" bestFit="1" customWidth="1"/>
    <col min="6912" max="6912" width="9" style="2"/>
    <col min="6913" max="6913" width="11.125" style="2" bestFit="1" customWidth="1"/>
    <col min="6914" max="6914" width="9" style="2"/>
    <col min="6915" max="6923" width="11.125" style="2" bestFit="1" customWidth="1"/>
    <col min="6924" max="6928" width="9" style="2"/>
    <col min="6929" max="6930" width="11.125" style="2" bestFit="1" customWidth="1"/>
    <col min="6931" max="6931" width="9" style="2"/>
    <col min="6932" max="6932" width="9.625" style="2" bestFit="1" customWidth="1"/>
    <col min="6933" max="7158" width="9" style="2"/>
    <col min="7159" max="7159" width="2.375" style="2" customWidth="1"/>
    <col min="7160" max="7160" width="13.25" style="2" bestFit="1" customWidth="1"/>
    <col min="7161" max="7161" width="11.125" style="2" bestFit="1" customWidth="1"/>
    <col min="7162" max="7162" width="9.625" style="2" bestFit="1" customWidth="1"/>
    <col min="7163" max="7163" width="11.125" style="2" bestFit="1" customWidth="1"/>
    <col min="7164" max="7164" width="13.25" style="2" bestFit="1" customWidth="1"/>
    <col min="7165" max="7165" width="11.125" style="2" bestFit="1" customWidth="1"/>
    <col min="7166" max="7166" width="9" style="2"/>
    <col min="7167" max="7167" width="11.125" style="2" bestFit="1" customWidth="1"/>
    <col min="7168" max="7168" width="9" style="2"/>
    <col min="7169" max="7169" width="11.125" style="2" bestFit="1" customWidth="1"/>
    <col min="7170" max="7170" width="9" style="2"/>
    <col min="7171" max="7179" width="11.125" style="2" bestFit="1" customWidth="1"/>
    <col min="7180" max="7184" width="9" style="2"/>
    <col min="7185" max="7186" width="11.125" style="2" bestFit="1" customWidth="1"/>
    <col min="7187" max="7187" width="9" style="2"/>
    <col min="7188" max="7188" width="9.625" style="2" bestFit="1" customWidth="1"/>
    <col min="7189" max="7414" width="9" style="2"/>
    <col min="7415" max="7415" width="2.375" style="2" customWidth="1"/>
    <col min="7416" max="7416" width="13.25" style="2" bestFit="1" customWidth="1"/>
    <col min="7417" max="7417" width="11.125" style="2" bestFit="1" customWidth="1"/>
    <col min="7418" max="7418" width="9.625" style="2" bestFit="1" customWidth="1"/>
    <col min="7419" max="7419" width="11.125" style="2" bestFit="1" customWidth="1"/>
    <col min="7420" max="7420" width="13.25" style="2" bestFit="1" customWidth="1"/>
    <col min="7421" max="7421" width="11.125" style="2" bestFit="1" customWidth="1"/>
    <col min="7422" max="7422" width="9" style="2"/>
    <col min="7423" max="7423" width="11.125" style="2" bestFit="1" customWidth="1"/>
    <col min="7424" max="7424" width="9" style="2"/>
    <col min="7425" max="7425" width="11.125" style="2" bestFit="1" customWidth="1"/>
    <col min="7426" max="7426" width="9" style="2"/>
    <col min="7427" max="7435" width="11.125" style="2" bestFit="1" customWidth="1"/>
    <col min="7436" max="7440" width="9" style="2"/>
    <col min="7441" max="7442" width="11.125" style="2" bestFit="1" customWidth="1"/>
    <col min="7443" max="7443" width="9" style="2"/>
    <col min="7444" max="7444" width="9.625" style="2" bestFit="1" customWidth="1"/>
    <col min="7445" max="7670" width="9" style="2"/>
    <col min="7671" max="7671" width="2.375" style="2" customWidth="1"/>
    <col min="7672" max="7672" width="13.25" style="2" bestFit="1" customWidth="1"/>
    <col min="7673" max="7673" width="11.125" style="2" bestFit="1" customWidth="1"/>
    <col min="7674" max="7674" width="9.625" style="2" bestFit="1" customWidth="1"/>
    <col min="7675" max="7675" width="11.125" style="2" bestFit="1" customWidth="1"/>
    <col min="7676" max="7676" width="13.25" style="2" bestFit="1" customWidth="1"/>
    <col min="7677" max="7677" width="11.125" style="2" bestFit="1" customWidth="1"/>
    <col min="7678" max="7678" width="9" style="2"/>
    <col min="7679" max="7679" width="11.125" style="2" bestFit="1" customWidth="1"/>
    <col min="7680" max="7680" width="9" style="2"/>
    <col min="7681" max="7681" width="11.125" style="2" bestFit="1" customWidth="1"/>
    <col min="7682" max="7682" width="9" style="2"/>
    <col min="7683" max="7691" width="11.125" style="2" bestFit="1" customWidth="1"/>
    <col min="7692" max="7696" width="9" style="2"/>
    <col min="7697" max="7698" width="11.125" style="2" bestFit="1" customWidth="1"/>
    <col min="7699" max="7699" width="9" style="2"/>
    <col min="7700" max="7700" width="9.625" style="2" bestFit="1" customWidth="1"/>
    <col min="7701" max="7926" width="9" style="2"/>
    <col min="7927" max="7927" width="2.375" style="2" customWidth="1"/>
    <col min="7928" max="7928" width="13.25" style="2" bestFit="1" customWidth="1"/>
    <col min="7929" max="7929" width="11.125" style="2" bestFit="1" customWidth="1"/>
    <col min="7930" max="7930" width="9.625" style="2" bestFit="1" customWidth="1"/>
    <col min="7931" max="7931" width="11.125" style="2" bestFit="1" customWidth="1"/>
    <col min="7932" max="7932" width="13.25" style="2" bestFit="1" customWidth="1"/>
    <col min="7933" max="7933" width="11.125" style="2" bestFit="1" customWidth="1"/>
    <col min="7934" max="7934" width="9" style="2"/>
    <col min="7935" max="7935" width="11.125" style="2" bestFit="1" customWidth="1"/>
    <col min="7936" max="7936" width="9" style="2"/>
    <col min="7937" max="7937" width="11.125" style="2" bestFit="1" customWidth="1"/>
    <col min="7938" max="7938" width="9" style="2"/>
    <col min="7939" max="7947" width="11.125" style="2" bestFit="1" customWidth="1"/>
    <col min="7948" max="7952" width="9" style="2"/>
    <col min="7953" max="7954" width="11.125" style="2" bestFit="1" customWidth="1"/>
    <col min="7955" max="7955" width="9" style="2"/>
    <col min="7956" max="7956" width="9.625" style="2" bestFit="1" customWidth="1"/>
    <col min="7957" max="8182" width="9" style="2"/>
    <col min="8183" max="8183" width="2.375" style="2" customWidth="1"/>
    <col min="8184" max="8184" width="13.25" style="2" bestFit="1" customWidth="1"/>
    <col min="8185" max="8185" width="11.125" style="2" bestFit="1" customWidth="1"/>
    <col min="8186" max="8186" width="9.625" style="2" bestFit="1" customWidth="1"/>
    <col min="8187" max="8187" width="11.125" style="2" bestFit="1" customWidth="1"/>
    <col min="8188" max="8188" width="13.25" style="2" bestFit="1" customWidth="1"/>
    <col min="8189" max="8189" width="11.125" style="2" bestFit="1" customWidth="1"/>
    <col min="8190" max="8190" width="9" style="2"/>
    <col min="8191" max="8191" width="11.125" style="2" bestFit="1" customWidth="1"/>
    <col min="8192" max="8192" width="9" style="2"/>
    <col min="8193" max="8193" width="11.125" style="2" bestFit="1" customWidth="1"/>
    <col min="8194" max="8194" width="9" style="2"/>
    <col min="8195" max="8203" width="11.125" style="2" bestFit="1" customWidth="1"/>
    <col min="8204" max="8208" width="9" style="2"/>
    <col min="8209" max="8210" width="11.125" style="2" bestFit="1" customWidth="1"/>
    <col min="8211" max="8211" width="9" style="2"/>
    <col min="8212" max="8212" width="9.625" style="2" bestFit="1" customWidth="1"/>
    <col min="8213" max="8438" width="9" style="2"/>
    <col min="8439" max="8439" width="2.375" style="2" customWidth="1"/>
    <col min="8440" max="8440" width="13.25" style="2" bestFit="1" customWidth="1"/>
    <col min="8441" max="8441" width="11.125" style="2" bestFit="1" customWidth="1"/>
    <col min="8442" max="8442" width="9.625" style="2" bestFit="1" customWidth="1"/>
    <col min="8443" max="8443" width="11.125" style="2" bestFit="1" customWidth="1"/>
    <col min="8444" max="8444" width="13.25" style="2" bestFit="1" customWidth="1"/>
    <col min="8445" max="8445" width="11.125" style="2" bestFit="1" customWidth="1"/>
    <col min="8446" max="8446" width="9" style="2"/>
    <col min="8447" max="8447" width="11.125" style="2" bestFit="1" customWidth="1"/>
    <col min="8448" max="8448" width="9" style="2"/>
    <col min="8449" max="8449" width="11.125" style="2" bestFit="1" customWidth="1"/>
    <col min="8450" max="8450" width="9" style="2"/>
    <col min="8451" max="8459" width="11.125" style="2" bestFit="1" customWidth="1"/>
    <col min="8460" max="8464" width="9" style="2"/>
    <col min="8465" max="8466" width="11.125" style="2" bestFit="1" customWidth="1"/>
    <col min="8467" max="8467" width="9" style="2"/>
    <col min="8468" max="8468" width="9.625" style="2" bestFit="1" customWidth="1"/>
    <col min="8469" max="8694" width="9" style="2"/>
    <col min="8695" max="8695" width="2.375" style="2" customWidth="1"/>
    <col min="8696" max="8696" width="13.25" style="2" bestFit="1" customWidth="1"/>
    <col min="8697" max="8697" width="11.125" style="2" bestFit="1" customWidth="1"/>
    <col min="8698" max="8698" width="9.625" style="2" bestFit="1" customWidth="1"/>
    <col min="8699" max="8699" width="11.125" style="2" bestFit="1" customWidth="1"/>
    <col min="8700" max="8700" width="13.25" style="2" bestFit="1" customWidth="1"/>
    <col min="8701" max="8701" width="11.125" style="2" bestFit="1" customWidth="1"/>
    <col min="8702" max="8702" width="9" style="2"/>
    <col min="8703" max="8703" width="11.125" style="2" bestFit="1" customWidth="1"/>
    <col min="8704" max="8704" width="9" style="2"/>
    <col min="8705" max="8705" width="11.125" style="2" bestFit="1" customWidth="1"/>
    <col min="8706" max="8706" width="9" style="2"/>
    <col min="8707" max="8715" width="11.125" style="2" bestFit="1" customWidth="1"/>
    <col min="8716" max="8720" width="9" style="2"/>
    <col min="8721" max="8722" width="11.125" style="2" bestFit="1" customWidth="1"/>
    <col min="8723" max="8723" width="9" style="2"/>
    <col min="8724" max="8724" width="9.625" style="2" bestFit="1" customWidth="1"/>
    <col min="8725" max="8950" width="9" style="2"/>
    <col min="8951" max="8951" width="2.375" style="2" customWidth="1"/>
    <col min="8952" max="8952" width="13.25" style="2" bestFit="1" customWidth="1"/>
    <col min="8953" max="8953" width="11.125" style="2" bestFit="1" customWidth="1"/>
    <col min="8954" max="8954" width="9.625" style="2" bestFit="1" customWidth="1"/>
    <col min="8955" max="8955" width="11.125" style="2" bestFit="1" customWidth="1"/>
    <col min="8956" max="8956" width="13.25" style="2" bestFit="1" customWidth="1"/>
    <col min="8957" max="8957" width="11.125" style="2" bestFit="1" customWidth="1"/>
    <col min="8958" max="8958" width="9" style="2"/>
    <col min="8959" max="8959" width="11.125" style="2" bestFit="1" customWidth="1"/>
    <col min="8960" max="8960" width="9" style="2"/>
    <col min="8961" max="8961" width="11.125" style="2" bestFit="1" customWidth="1"/>
    <col min="8962" max="8962" width="9" style="2"/>
    <col min="8963" max="8971" width="11.125" style="2" bestFit="1" customWidth="1"/>
    <col min="8972" max="8976" width="9" style="2"/>
    <col min="8977" max="8978" width="11.125" style="2" bestFit="1" customWidth="1"/>
    <col min="8979" max="8979" width="9" style="2"/>
    <col min="8980" max="8980" width="9.625" style="2" bestFit="1" customWidth="1"/>
    <col min="8981" max="9206" width="9" style="2"/>
    <col min="9207" max="9207" width="2.375" style="2" customWidth="1"/>
    <col min="9208" max="9208" width="13.25" style="2" bestFit="1" customWidth="1"/>
    <col min="9209" max="9209" width="11.125" style="2" bestFit="1" customWidth="1"/>
    <col min="9210" max="9210" width="9.625" style="2" bestFit="1" customWidth="1"/>
    <col min="9211" max="9211" width="11.125" style="2" bestFit="1" customWidth="1"/>
    <col min="9212" max="9212" width="13.25" style="2" bestFit="1" customWidth="1"/>
    <col min="9213" max="9213" width="11.125" style="2" bestFit="1" customWidth="1"/>
    <col min="9214" max="9214" width="9" style="2"/>
    <col min="9215" max="9215" width="11.125" style="2" bestFit="1" customWidth="1"/>
    <col min="9216" max="9216" width="9" style="2"/>
    <col min="9217" max="9217" width="11.125" style="2" bestFit="1" customWidth="1"/>
    <col min="9218" max="9218" width="9" style="2"/>
    <col min="9219" max="9227" width="11.125" style="2" bestFit="1" customWidth="1"/>
    <col min="9228" max="9232" width="9" style="2"/>
    <col min="9233" max="9234" width="11.125" style="2" bestFit="1" customWidth="1"/>
    <col min="9235" max="9235" width="9" style="2"/>
    <col min="9236" max="9236" width="9.625" style="2" bestFit="1" customWidth="1"/>
    <col min="9237" max="9462" width="9" style="2"/>
    <col min="9463" max="9463" width="2.375" style="2" customWidth="1"/>
    <col min="9464" max="9464" width="13.25" style="2" bestFit="1" customWidth="1"/>
    <col min="9465" max="9465" width="11.125" style="2" bestFit="1" customWidth="1"/>
    <col min="9466" max="9466" width="9.625" style="2" bestFit="1" customWidth="1"/>
    <col min="9467" max="9467" width="11.125" style="2" bestFit="1" customWidth="1"/>
    <col min="9468" max="9468" width="13.25" style="2" bestFit="1" customWidth="1"/>
    <col min="9469" max="9469" width="11.125" style="2" bestFit="1" customWidth="1"/>
    <col min="9470" max="9470" width="9" style="2"/>
    <col min="9471" max="9471" width="11.125" style="2" bestFit="1" customWidth="1"/>
    <col min="9472" max="9472" width="9" style="2"/>
    <col min="9473" max="9473" width="11.125" style="2" bestFit="1" customWidth="1"/>
    <col min="9474" max="9474" width="9" style="2"/>
    <col min="9475" max="9483" width="11.125" style="2" bestFit="1" customWidth="1"/>
    <col min="9484" max="9488" width="9" style="2"/>
    <col min="9489" max="9490" width="11.125" style="2" bestFit="1" customWidth="1"/>
    <col min="9491" max="9491" width="9" style="2"/>
    <col min="9492" max="9492" width="9.625" style="2" bestFit="1" customWidth="1"/>
    <col min="9493" max="9718" width="9" style="2"/>
    <col min="9719" max="9719" width="2.375" style="2" customWidth="1"/>
    <col min="9720" max="9720" width="13.25" style="2" bestFit="1" customWidth="1"/>
    <col min="9721" max="9721" width="11.125" style="2" bestFit="1" customWidth="1"/>
    <col min="9722" max="9722" width="9.625" style="2" bestFit="1" customWidth="1"/>
    <col min="9723" max="9723" width="11.125" style="2" bestFit="1" customWidth="1"/>
    <col min="9724" max="9724" width="13.25" style="2" bestFit="1" customWidth="1"/>
    <col min="9725" max="9725" width="11.125" style="2" bestFit="1" customWidth="1"/>
    <col min="9726" max="9726" width="9" style="2"/>
    <col min="9727" max="9727" width="11.125" style="2" bestFit="1" customWidth="1"/>
    <col min="9728" max="9728" width="9" style="2"/>
    <col min="9729" max="9729" width="11.125" style="2" bestFit="1" customWidth="1"/>
    <col min="9730" max="9730" width="9" style="2"/>
    <col min="9731" max="9739" width="11.125" style="2" bestFit="1" customWidth="1"/>
    <col min="9740" max="9744" width="9" style="2"/>
    <col min="9745" max="9746" width="11.125" style="2" bestFit="1" customWidth="1"/>
    <col min="9747" max="9747" width="9" style="2"/>
    <col min="9748" max="9748" width="9.625" style="2" bestFit="1" customWidth="1"/>
    <col min="9749" max="9974" width="9" style="2"/>
    <col min="9975" max="9975" width="2.375" style="2" customWidth="1"/>
    <col min="9976" max="9976" width="13.25" style="2" bestFit="1" customWidth="1"/>
    <col min="9977" max="9977" width="11.125" style="2" bestFit="1" customWidth="1"/>
    <col min="9978" max="9978" width="9.625" style="2" bestFit="1" customWidth="1"/>
    <col min="9979" max="9979" width="11.125" style="2" bestFit="1" customWidth="1"/>
    <col min="9980" max="9980" width="13.25" style="2" bestFit="1" customWidth="1"/>
    <col min="9981" max="9981" width="11.125" style="2" bestFit="1" customWidth="1"/>
    <col min="9982" max="9982" width="9" style="2"/>
    <col min="9983" max="9983" width="11.125" style="2" bestFit="1" customWidth="1"/>
    <col min="9984" max="9984" width="9" style="2"/>
    <col min="9985" max="9985" width="11.125" style="2" bestFit="1" customWidth="1"/>
    <col min="9986" max="9986" width="9" style="2"/>
    <col min="9987" max="9995" width="11.125" style="2" bestFit="1" customWidth="1"/>
    <col min="9996" max="10000" width="9" style="2"/>
    <col min="10001" max="10002" width="11.125" style="2" bestFit="1" customWidth="1"/>
    <col min="10003" max="10003" width="9" style="2"/>
    <col min="10004" max="10004" width="9.625" style="2" bestFit="1" customWidth="1"/>
    <col min="10005" max="10230" width="9" style="2"/>
    <col min="10231" max="10231" width="2.375" style="2" customWidth="1"/>
    <col min="10232" max="10232" width="13.25" style="2" bestFit="1" customWidth="1"/>
    <col min="10233" max="10233" width="11.125" style="2" bestFit="1" customWidth="1"/>
    <col min="10234" max="10234" width="9.625" style="2" bestFit="1" customWidth="1"/>
    <col min="10235" max="10235" width="11.125" style="2" bestFit="1" customWidth="1"/>
    <col min="10236" max="10236" width="13.25" style="2" bestFit="1" customWidth="1"/>
    <col min="10237" max="10237" width="11.125" style="2" bestFit="1" customWidth="1"/>
    <col min="10238" max="10238" width="9" style="2"/>
    <col min="10239" max="10239" width="11.125" style="2" bestFit="1" customWidth="1"/>
    <col min="10240" max="10240" width="9" style="2"/>
    <col min="10241" max="10241" width="11.125" style="2" bestFit="1" customWidth="1"/>
    <col min="10242" max="10242" width="9" style="2"/>
    <col min="10243" max="10251" width="11.125" style="2" bestFit="1" customWidth="1"/>
    <col min="10252" max="10256" width="9" style="2"/>
    <col min="10257" max="10258" width="11.125" style="2" bestFit="1" customWidth="1"/>
    <col min="10259" max="10259" width="9" style="2"/>
    <col min="10260" max="10260" width="9.625" style="2" bestFit="1" customWidth="1"/>
    <col min="10261" max="10486" width="9" style="2"/>
    <col min="10487" max="10487" width="2.375" style="2" customWidth="1"/>
    <col min="10488" max="10488" width="13.25" style="2" bestFit="1" customWidth="1"/>
    <col min="10489" max="10489" width="11.125" style="2" bestFit="1" customWidth="1"/>
    <col min="10490" max="10490" width="9.625" style="2" bestFit="1" customWidth="1"/>
    <col min="10491" max="10491" width="11.125" style="2" bestFit="1" customWidth="1"/>
    <col min="10492" max="10492" width="13.25" style="2" bestFit="1" customWidth="1"/>
    <col min="10493" max="10493" width="11.125" style="2" bestFit="1" customWidth="1"/>
    <col min="10494" max="10494" width="9" style="2"/>
    <col min="10495" max="10495" width="11.125" style="2" bestFit="1" customWidth="1"/>
    <col min="10496" max="10496" width="9" style="2"/>
    <col min="10497" max="10497" width="11.125" style="2" bestFit="1" customWidth="1"/>
    <col min="10498" max="10498" width="9" style="2"/>
    <col min="10499" max="10507" width="11.125" style="2" bestFit="1" customWidth="1"/>
    <col min="10508" max="10512" width="9" style="2"/>
    <col min="10513" max="10514" width="11.125" style="2" bestFit="1" customWidth="1"/>
    <col min="10515" max="10515" width="9" style="2"/>
    <col min="10516" max="10516" width="9.625" style="2" bestFit="1" customWidth="1"/>
    <col min="10517" max="10742" width="9" style="2"/>
    <col min="10743" max="10743" width="2.375" style="2" customWidth="1"/>
    <col min="10744" max="10744" width="13.25" style="2" bestFit="1" customWidth="1"/>
    <col min="10745" max="10745" width="11.125" style="2" bestFit="1" customWidth="1"/>
    <col min="10746" max="10746" width="9.625" style="2" bestFit="1" customWidth="1"/>
    <col min="10747" max="10747" width="11.125" style="2" bestFit="1" customWidth="1"/>
    <col min="10748" max="10748" width="13.25" style="2" bestFit="1" customWidth="1"/>
    <col min="10749" max="10749" width="11.125" style="2" bestFit="1" customWidth="1"/>
    <col min="10750" max="10750" width="9" style="2"/>
    <col min="10751" max="10751" width="11.125" style="2" bestFit="1" customWidth="1"/>
    <col min="10752" max="10752" width="9" style="2"/>
    <col min="10753" max="10753" width="11.125" style="2" bestFit="1" customWidth="1"/>
    <col min="10754" max="10754" width="9" style="2"/>
    <col min="10755" max="10763" width="11.125" style="2" bestFit="1" customWidth="1"/>
    <col min="10764" max="10768" width="9" style="2"/>
    <col min="10769" max="10770" width="11.125" style="2" bestFit="1" customWidth="1"/>
    <col min="10771" max="10771" width="9" style="2"/>
    <col min="10772" max="10772" width="9.625" style="2" bestFit="1" customWidth="1"/>
    <col min="10773" max="10998" width="9" style="2"/>
    <col min="10999" max="10999" width="2.375" style="2" customWidth="1"/>
    <col min="11000" max="11000" width="13.25" style="2" bestFit="1" customWidth="1"/>
    <col min="11001" max="11001" width="11.125" style="2" bestFit="1" customWidth="1"/>
    <col min="11002" max="11002" width="9.625" style="2" bestFit="1" customWidth="1"/>
    <col min="11003" max="11003" width="11.125" style="2" bestFit="1" customWidth="1"/>
    <col min="11004" max="11004" width="13.25" style="2" bestFit="1" customWidth="1"/>
    <col min="11005" max="11005" width="11.125" style="2" bestFit="1" customWidth="1"/>
    <col min="11006" max="11006" width="9" style="2"/>
    <col min="11007" max="11007" width="11.125" style="2" bestFit="1" customWidth="1"/>
    <col min="11008" max="11008" width="9" style="2"/>
    <col min="11009" max="11009" width="11.125" style="2" bestFit="1" customWidth="1"/>
    <col min="11010" max="11010" width="9" style="2"/>
    <col min="11011" max="11019" width="11.125" style="2" bestFit="1" customWidth="1"/>
    <col min="11020" max="11024" width="9" style="2"/>
    <col min="11025" max="11026" width="11.125" style="2" bestFit="1" customWidth="1"/>
    <col min="11027" max="11027" width="9" style="2"/>
    <col min="11028" max="11028" width="9.625" style="2" bestFit="1" customWidth="1"/>
    <col min="11029" max="11254" width="9" style="2"/>
    <col min="11255" max="11255" width="2.375" style="2" customWidth="1"/>
    <col min="11256" max="11256" width="13.25" style="2" bestFit="1" customWidth="1"/>
    <col min="11257" max="11257" width="11.125" style="2" bestFit="1" customWidth="1"/>
    <col min="11258" max="11258" width="9.625" style="2" bestFit="1" customWidth="1"/>
    <col min="11259" max="11259" width="11.125" style="2" bestFit="1" customWidth="1"/>
    <col min="11260" max="11260" width="13.25" style="2" bestFit="1" customWidth="1"/>
    <col min="11261" max="11261" width="11.125" style="2" bestFit="1" customWidth="1"/>
    <col min="11262" max="11262" width="9" style="2"/>
    <col min="11263" max="11263" width="11.125" style="2" bestFit="1" customWidth="1"/>
    <col min="11264" max="11264" width="9" style="2"/>
    <col min="11265" max="11265" width="11.125" style="2" bestFit="1" customWidth="1"/>
    <col min="11266" max="11266" width="9" style="2"/>
    <col min="11267" max="11275" width="11.125" style="2" bestFit="1" customWidth="1"/>
    <col min="11276" max="11280" width="9" style="2"/>
    <col min="11281" max="11282" width="11.125" style="2" bestFit="1" customWidth="1"/>
    <col min="11283" max="11283" width="9" style="2"/>
    <col min="11284" max="11284" width="9.625" style="2" bestFit="1" customWidth="1"/>
    <col min="11285" max="11510" width="9" style="2"/>
    <col min="11511" max="11511" width="2.375" style="2" customWidth="1"/>
    <col min="11512" max="11512" width="13.25" style="2" bestFit="1" customWidth="1"/>
    <col min="11513" max="11513" width="11.125" style="2" bestFit="1" customWidth="1"/>
    <col min="11514" max="11514" width="9.625" style="2" bestFit="1" customWidth="1"/>
    <col min="11515" max="11515" width="11.125" style="2" bestFit="1" customWidth="1"/>
    <col min="11516" max="11516" width="13.25" style="2" bestFit="1" customWidth="1"/>
    <col min="11517" max="11517" width="11.125" style="2" bestFit="1" customWidth="1"/>
    <col min="11518" max="11518" width="9" style="2"/>
    <col min="11519" max="11519" width="11.125" style="2" bestFit="1" customWidth="1"/>
    <col min="11520" max="11520" width="9" style="2"/>
    <col min="11521" max="11521" width="11.125" style="2" bestFit="1" customWidth="1"/>
    <col min="11522" max="11522" width="9" style="2"/>
    <col min="11523" max="11531" width="11.125" style="2" bestFit="1" customWidth="1"/>
    <col min="11532" max="11536" width="9" style="2"/>
    <col min="11537" max="11538" width="11.125" style="2" bestFit="1" customWidth="1"/>
    <col min="11539" max="11539" width="9" style="2"/>
    <col min="11540" max="11540" width="9.625" style="2" bestFit="1" customWidth="1"/>
    <col min="11541" max="11766" width="9" style="2"/>
    <col min="11767" max="11767" width="2.375" style="2" customWidth="1"/>
    <col min="11768" max="11768" width="13.25" style="2" bestFit="1" customWidth="1"/>
    <col min="11769" max="11769" width="11.125" style="2" bestFit="1" customWidth="1"/>
    <col min="11770" max="11770" width="9.625" style="2" bestFit="1" customWidth="1"/>
    <col min="11771" max="11771" width="11.125" style="2" bestFit="1" customWidth="1"/>
    <col min="11772" max="11772" width="13.25" style="2" bestFit="1" customWidth="1"/>
    <col min="11773" max="11773" width="11.125" style="2" bestFit="1" customWidth="1"/>
    <col min="11774" max="11774" width="9" style="2"/>
    <col min="11775" max="11775" width="11.125" style="2" bestFit="1" customWidth="1"/>
    <col min="11776" max="11776" width="9" style="2"/>
    <col min="11777" max="11777" width="11.125" style="2" bestFit="1" customWidth="1"/>
    <col min="11778" max="11778" width="9" style="2"/>
    <col min="11779" max="11787" width="11.125" style="2" bestFit="1" customWidth="1"/>
    <col min="11788" max="11792" width="9" style="2"/>
    <col min="11793" max="11794" width="11.125" style="2" bestFit="1" customWidth="1"/>
    <col min="11795" max="11795" width="9" style="2"/>
    <col min="11796" max="11796" width="9.625" style="2" bestFit="1" customWidth="1"/>
    <col min="11797" max="12022" width="9" style="2"/>
    <col min="12023" max="12023" width="2.375" style="2" customWidth="1"/>
    <col min="12024" max="12024" width="13.25" style="2" bestFit="1" customWidth="1"/>
    <col min="12025" max="12025" width="11.125" style="2" bestFit="1" customWidth="1"/>
    <col min="12026" max="12026" width="9.625" style="2" bestFit="1" customWidth="1"/>
    <col min="12027" max="12027" width="11.125" style="2" bestFit="1" customWidth="1"/>
    <col min="12028" max="12028" width="13.25" style="2" bestFit="1" customWidth="1"/>
    <col min="12029" max="12029" width="11.125" style="2" bestFit="1" customWidth="1"/>
    <col min="12030" max="12030" width="9" style="2"/>
    <col min="12031" max="12031" width="11.125" style="2" bestFit="1" customWidth="1"/>
    <col min="12032" max="12032" width="9" style="2"/>
    <col min="12033" max="12033" width="11.125" style="2" bestFit="1" customWidth="1"/>
    <col min="12034" max="12034" width="9" style="2"/>
    <col min="12035" max="12043" width="11.125" style="2" bestFit="1" customWidth="1"/>
    <col min="12044" max="12048" width="9" style="2"/>
    <col min="12049" max="12050" width="11.125" style="2" bestFit="1" customWidth="1"/>
    <col min="12051" max="12051" width="9" style="2"/>
    <col min="12052" max="12052" width="9.625" style="2" bestFit="1" customWidth="1"/>
    <col min="12053" max="12278" width="9" style="2"/>
    <col min="12279" max="12279" width="2.375" style="2" customWidth="1"/>
    <col min="12280" max="12280" width="13.25" style="2" bestFit="1" customWidth="1"/>
    <col min="12281" max="12281" width="11.125" style="2" bestFit="1" customWidth="1"/>
    <col min="12282" max="12282" width="9.625" style="2" bestFit="1" customWidth="1"/>
    <col min="12283" max="12283" width="11.125" style="2" bestFit="1" customWidth="1"/>
    <col min="12284" max="12284" width="13.25" style="2" bestFit="1" customWidth="1"/>
    <col min="12285" max="12285" width="11.125" style="2" bestFit="1" customWidth="1"/>
    <col min="12286" max="12286" width="9" style="2"/>
    <col min="12287" max="12287" width="11.125" style="2" bestFit="1" customWidth="1"/>
    <col min="12288" max="12288" width="9" style="2"/>
    <col min="12289" max="12289" width="11.125" style="2" bestFit="1" customWidth="1"/>
    <col min="12290" max="12290" width="9" style="2"/>
    <col min="12291" max="12299" width="11.125" style="2" bestFit="1" customWidth="1"/>
    <col min="12300" max="12304" width="9" style="2"/>
    <col min="12305" max="12306" width="11.125" style="2" bestFit="1" customWidth="1"/>
    <col min="12307" max="12307" width="9" style="2"/>
    <col min="12308" max="12308" width="9.625" style="2" bestFit="1" customWidth="1"/>
    <col min="12309" max="12534" width="9" style="2"/>
    <col min="12535" max="12535" width="2.375" style="2" customWidth="1"/>
    <col min="12536" max="12536" width="13.25" style="2" bestFit="1" customWidth="1"/>
    <col min="12537" max="12537" width="11.125" style="2" bestFit="1" customWidth="1"/>
    <col min="12538" max="12538" width="9.625" style="2" bestFit="1" customWidth="1"/>
    <col min="12539" max="12539" width="11.125" style="2" bestFit="1" customWidth="1"/>
    <col min="12540" max="12540" width="13.25" style="2" bestFit="1" customWidth="1"/>
    <col min="12541" max="12541" width="11.125" style="2" bestFit="1" customWidth="1"/>
    <col min="12542" max="12542" width="9" style="2"/>
    <col min="12543" max="12543" width="11.125" style="2" bestFit="1" customWidth="1"/>
    <col min="12544" max="12544" width="9" style="2"/>
    <col min="12545" max="12545" width="11.125" style="2" bestFit="1" customWidth="1"/>
    <col min="12546" max="12546" width="9" style="2"/>
    <col min="12547" max="12555" width="11.125" style="2" bestFit="1" customWidth="1"/>
    <col min="12556" max="12560" width="9" style="2"/>
    <col min="12561" max="12562" width="11.125" style="2" bestFit="1" customWidth="1"/>
    <col min="12563" max="12563" width="9" style="2"/>
    <col min="12564" max="12564" width="9.625" style="2" bestFit="1" customWidth="1"/>
    <col min="12565" max="12790" width="9" style="2"/>
    <col min="12791" max="12791" width="2.375" style="2" customWidth="1"/>
    <col min="12792" max="12792" width="13.25" style="2" bestFit="1" customWidth="1"/>
    <col min="12793" max="12793" width="11.125" style="2" bestFit="1" customWidth="1"/>
    <col min="12794" max="12794" width="9.625" style="2" bestFit="1" customWidth="1"/>
    <col min="12795" max="12795" width="11.125" style="2" bestFit="1" customWidth="1"/>
    <col min="12796" max="12796" width="13.25" style="2" bestFit="1" customWidth="1"/>
    <col min="12797" max="12797" width="11.125" style="2" bestFit="1" customWidth="1"/>
    <col min="12798" max="12798" width="9" style="2"/>
    <col min="12799" max="12799" width="11.125" style="2" bestFit="1" customWidth="1"/>
    <col min="12800" max="12800" width="9" style="2"/>
    <col min="12801" max="12801" width="11.125" style="2" bestFit="1" customWidth="1"/>
    <col min="12802" max="12802" width="9" style="2"/>
    <col min="12803" max="12811" width="11.125" style="2" bestFit="1" customWidth="1"/>
    <col min="12812" max="12816" width="9" style="2"/>
    <col min="12817" max="12818" width="11.125" style="2" bestFit="1" customWidth="1"/>
    <col min="12819" max="12819" width="9" style="2"/>
    <col min="12820" max="12820" width="9.625" style="2" bestFit="1" customWidth="1"/>
    <col min="12821" max="13046" width="9" style="2"/>
    <col min="13047" max="13047" width="2.375" style="2" customWidth="1"/>
    <col min="13048" max="13048" width="13.25" style="2" bestFit="1" customWidth="1"/>
    <col min="13049" max="13049" width="11.125" style="2" bestFit="1" customWidth="1"/>
    <col min="13050" max="13050" width="9.625" style="2" bestFit="1" customWidth="1"/>
    <col min="13051" max="13051" width="11.125" style="2" bestFit="1" customWidth="1"/>
    <col min="13052" max="13052" width="13.25" style="2" bestFit="1" customWidth="1"/>
    <col min="13053" max="13053" width="11.125" style="2" bestFit="1" customWidth="1"/>
    <col min="13054" max="13054" width="9" style="2"/>
    <col min="13055" max="13055" width="11.125" style="2" bestFit="1" customWidth="1"/>
    <col min="13056" max="13056" width="9" style="2"/>
    <col min="13057" max="13057" width="11.125" style="2" bestFit="1" customWidth="1"/>
    <col min="13058" max="13058" width="9" style="2"/>
    <col min="13059" max="13067" width="11.125" style="2" bestFit="1" customWidth="1"/>
    <col min="13068" max="13072" width="9" style="2"/>
    <col min="13073" max="13074" width="11.125" style="2" bestFit="1" customWidth="1"/>
    <col min="13075" max="13075" width="9" style="2"/>
    <col min="13076" max="13076" width="9.625" style="2" bestFit="1" customWidth="1"/>
    <col min="13077" max="13302" width="9" style="2"/>
    <col min="13303" max="13303" width="2.375" style="2" customWidth="1"/>
    <col min="13304" max="13304" width="13.25" style="2" bestFit="1" customWidth="1"/>
    <col min="13305" max="13305" width="11.125" style="2" bestFit="1" customWidth="1"/>
    <col min="13306" max="13306" width="9.625" style="2" bestFit="1" customWidth="1"/>
    <col min="13307" max="13307" width="11.125" style="2" bestFit="1" customWidth="1"/>
    <col min="13308" max="13308" width="13.25" style="2" bestFit="1" customWidth="1"/>
    <col min="13309" max="13309" width="11.125" style="2" bestFit="1" customWidth="1"/>
    <col min="13310" max="13310" width="9" style="2"/>
    <col min="13311" max="13311" width="11.125" style="2" bestFit="1" customWidth="1"/>
    <col min="13312" max="13312" width="9" style="2"/>
    <col min="13313" max="13313" width="11.125" style="2" bestFit="1" customWidth="1"/>
    <col min="13314" max="13314" width="9" style="2"/>
    <col min="13315" max="13323" width="11.125" style="2" bestFit="1" customWidth="1"/>
    <col min="13324" max="13328" width="9" style="2"/>
    <col min="13329" max="13330" width="11.125" style="2" bestFit="1" customWidth="1"/>
    <col min="13331" max="13331" width="9" style="2"/>
    <col min="13332" max="13332" width="9.625" style="2" bestFit="1" customWidth="1"/>
    <col min="13333" max="13558" width="9" style="2"/>
    <col min="13559" max="13559" width="2.375" style="2" customWidth="1"/>
    <col min="13560" max="13560" width="13.25" style="2" bestFit="1" customWidth="1"/>
    <col min="13561" max="13561" width="11.125" style="2" bestFit="1" customWidth="1"/>
    <col min="13562" max="13562" width="9.625" style="2" bestFit="1" customWidth="1"/>
    <col min="13563" max="13563" width="11.125" style="2" bestFit="1" customWidth="1"/>
    <col min="13564" max="13564" width="13.25" style="2" bestFit="1" customWidth="1"/>
    <col min="13565" max="13565" width="11.125" style="2" bestFit="1" customWidth="1"/>
    <col min="13566" max="13566" width="9" style="2"/>
    <col min="13567" max="13567" width="11.125" style="2" bestFit="1" customWidth="1"/>
    <col min="13568" max="13568" width="9" style="2"/>
    <col min="13569" max="13569" width="11.125" style="2" bestFit="1" customWidth="1"/>
    <col min="13570" max="13570" width="9" style="2"/>
    <col min="13571" max="13579" width="11.125" style="2" bestFit="1" customWidth="1"/>
    <col min="13580" max="13584" width="9" style="2"/>
    <col min="13585" max="13586" width="11.125" style="2" bestFit="1" customWidth="1"/>
    <col min="13587" max="13587" width="9" style="2"/>
    <col min="13588" max="13588" width="9.625" style="2" bestFit="1" customWidth="1"/>
    <col min="13589" max="13814" width="9" style="2"/>
    <col min="13815" max="13815" width="2.375" style="2" customWidth="1"/>
    <col min="13816" max="13816" width="13.25" style="2" bestFit="1" customWidth="1"/>
    <col min="13817" max="13817" width="11.125" style="2" bestFit="1" customWidth="1"/>
    <col min="13818" max="13818" width="9.625" style="2" bestFit="1" customWidth="1"/>
    <col min="13819" max="13819" width="11.125" style="2" bestFit="1" customWidth="1"/>
    <col min="13820" max="13820" width="13.25" style="2" bestFit="1" customWidth="1"/>
    <col min="13821" max="13821" width="11.125" style="2" bestFit="1" customWidth="1"/>
    <col min="13822" max="13822" width="9" style="2"/>
    <col min="13823" max="13823" width="11.125" style="2" bestFit="1" customWidth="1"/>
    <col min="13824" max="13824" width="9" style="2"/>
    <col min="13825" max="13825" width="11.125" style="2" bestFit="1" customWidth="1"/>
    <col min="13826" max="13826" width="9" style="2"/>
    <col min="13827" max="13835" width="11.125" style="2" bestFit="1" customWidth="1"/>
    <col min="13836" max="13840" width="9" style="2"/>
    <col min="13841" max="13842" width="11.125" style="2" bestFit="1" customWidth="1"/>
    <col min="13843" max="13843" width="9" style="2"/>
    <col min="13844" max="13844" width="9.625" style="2" bestFit="1" customWidth="1"/>
    <col min="13845" max="14070" width="9" style="2"/>
    <col min="14071" max="14071" width="2.375" style="2" customWidth="1"/>
    <col min="14072" max="14072" width="13.25" style="2" bestFit="1" customWidth="1"/>
    <col min="14073" max="14073" width="11.125" style="2" bestFit="1" customWidth="1"/>
    <col min="14074" max="14074" width="9.625" style="2" bestFit="1" customWidth="1"/>
    <col min="14075" max="14075" width="11.125" style="2" bestFit="1" customWidth="1"/>
    <col min="14076" max="14076" width="13.25" style="2" bestFit="1" customWidth="1"/>
    <col min="14077" max="14077" width="11.125" style="2" bestFit="1" customWidth="1"/>
    <col min="14078" max="14078" width="9" style="2"/>
    <col min="14079" max="14079" width="11.125" style="2" bestFit="1" customWidth="1"/>
    <col min="14080" max="14080" width="9" style="2"/>
    <col min="14081" max="14081" width="11.125" style="2" bestFit="1" customWidth="1"/>
    <col min="14082" max="14082" width="9" style="2"/>
    <col min="14083" max="14091" width="11.125" style="2" bestFit="1" customWidth="1"/>
    <col min="14092" max="14096" width="9" style="2"/>
    <col min="14097" max="14098" width="11.125" style="2" bestFit="1" customWidth="1"/>
    <col min="14099" max="14099" width="9" style="2"/>
    <col min="14100" max="14100" width="9.625" style="2" bestFit="1" customWidth="1"/>
    <col min="14101" max="14326" width="9" style="2"/>
    <col min="14327" max="14327" width="2.375" style="2" customWidth="1"/>
    <col min="14328" max="14328" width="13.25" style="2" bestFit="1" customWidth="1"/>
    <col min="14329" max="14329" width="11.125" style="2" bestFit="1" customWidth="1"/>
    <col min="14330" max="14330" width="9.625" style="2" bestFit="1" customWidth="1"/>
    <col min="14331" max="14331" width="11.125" style="2" bestFit="1" customWidth="1"/>
    <col min="14332" max="14332" width="13.25" style="2" bestFit="1" customWidth="1"/>
    <col min="14333" max="14333" width="11.125" style="2" bestFit="1" customWidth="1"/>
    <col min="14334" max="14334" width="9" style="2"/>
    <col min="14335" max="14335" width="11.125" style="2" bestFit="1" customWidth="1"/>
    <col min="14336" max="14336" width="9" style="2"/>
    <col min="14337" max="14337" width="11.125" style="2" bestFit="1" customWidth="1"/>
    <col min="14338" max="14338" width="9" style="2"/>
    <col min="14339" max="14347" width="11.125" style="2" bestFit="1" customWidth="1"/>
    <col min="14348" max="14352" width="9" style="2"/>
    <col min="14353" max="14354" width="11.125" style="2" bestFit="1" customWidth="1"/>
    <col min="14355" max="14355" width="9" style="2"/>
    <col min="14356" max="14356" width="9.625" style="2" bestFit="1" customWidth="1"/>
    <col min="14357" max="14582" width="9" style="2"/>
    <col min="14583" max="14583" width="2.375" style="2" customWidth="1"/>
    <col min="14584" max="14584" width="13.25" style="2" bestFit="1" customWidth="1"/>
    <col min="14585" max="14585" width="11.125" style="2" bestFit="1" customWidth="1"/>
    <col min="14586" max="14586" width="9.625" style="2" bestFit="1" customWidth="1"/>
    <col min="14587" max="14587" width="11.125" style="2" bestFit="1" customWidth="1"/>
    <col min="14588" max="14588" width="13.25" style="2" bestFit="1" customWidth="1"/>
    <col min="14589" max="14589" width="11.125" style="2" bestFit="1" customWidth="1"/>
    <col min="14590" max="14590" width="9" style="2"/>
    <col min="14591" max="14591" width="11.125" style="2" bestFit="1" customWidth="1"/>
    <col min="14592" max="14592" width="9" style="2"/>
    <col min="14593" max="14593" width="11.125" style="2" bestFit="1" customWidth="1"/>
    <col min="14594" max="14594" width="9" style="2"/>
    <col min="14595" max="14603" width="11.125" style="2" bestFit="1" customWidth="1"/>
    <col min="14604" max="14608" width="9" style="2"/>
    <col min="14609" max="14610" width="11.125" style="2" bestFit="1" customWidth="1"/>
    <col min="14611" max="14611" width="9" style="2"/>
    <col min="14612" max="14612" width="9.625" style="2" bestFit="1" customWidth="1"/>
    <col min="14613" max="14838" width="9" style="2"/>
    <col min="14839" max="14839" width="2.375" style="2" customWidth="1"/>
    <col min="14840" max="14840" width="13.25" style="2" bestFit="1" customWidth="1"/>
    <col min="14841" max="14841" width="11.125" style="2" bestFit="1" customWidth="1"/>
    <col min="14842" max="14842" width="9.625" style="2" bestFit="1" customWidth="1"/>
    <col min="14843" max="14843" width="11.125" style="2" bestFit="1" customWidth="1"/>
    <col min="14844" max="14844" width="13.25" style="2" bestFit="1" customWidth="1"/>
    <col min="14845" max="14845" width="11.125" style="2" bestFit="1" customWidth="1"/>
    <col min="14846" max="14846" width="9" style="2"/>
    <col min="14847" max="14847" width="11.125" style="2" bestFit="1" customWidth="1"/>
    <col min="14848" max="14848" width="9" style="2"/>
    <col min="14849" max="14849" width="11.125" style="2" bestFit="1" customWidth="1"/>
    <col min="14850" max="14850" width="9" style="2"/>
    <col min="14851" max="14859" width="11.125" style="2" bestFit="1" customWidth="1"/>
    <col min="14860" max="14864" width="9" style="2"/>
    <col min="14865" max="14866" width="11.125" style="2" bestFit="1" customWidth="1"/>
    <col min="14867" max="14867" width="9" style="2"/>
    <col min="14868" max="14868" width="9.625" style="2" bestFit="1" customWidth="1"/>
    <col min="14869" max="15094" width="9" style="2"/>
    <col min="15095" max="15095" width="2.375" style="2" customWidth="1"/>
    <col min="15096" max="15096" width="13.25" style="2" bestFit="1" customWidth="1"/>
    <col min="15097" max="15097" width="11.125" style="2" bestFit="1" customWidth="1"/>
    <col min="15098" max="15098" width="9.625" style="2" bestFit="1" customWidth="1"/>
    <col min="15099" max="15099" width="11.125" style="2" bestFit="1" customWidth="1"/>
    <col min="15100" max="15100" width="13.25" style="2" bestFit="1" customWidth="1"/>
    <col min="15101" max="15101" width="11.125" style="2" bestFit="1" customWidth="1"/>
    <col min="15102" max="15102" width="9" style="2"/>
    <col min="15103" max="15103" width="11.125" style="2" bestFit="1" customWidth="1"/>
    <col min="15104" max="15104" width="9" style="2"/>
    <col min="15105" max="15105" width="11.125" style="2" bestFit="1" customWidth="1"/>
    <col min="15106" max="15106" width="9" style="2"/>
    <col min="15107" max="15115" width="11.125" style="2" bestFit="1" customWidth="1"/>
    <col min="15116" max="15120" width="9" style="2"/>
    <col min="15121" max="15122" width="11.125" style="2" bestFit="1" customWidth="1"/>
    <col min="15123" max="15123" width="9" style="2"/>
    <col min="15124" max="15124" width="9.625" style="2" bestFit="1" customWidth="1"/>
    <col min="15125" max="15350" width="9" style="2"/>
    <col min="15351" max="15351" width="2.375" style="2" customWidth="1"/>
    <col min="15352" max="15352" width="13.25" style="2" bestFit="1" customWidth="1"/>
    <col min="15353" max="15353" width="11.125" style="2" bestFit="1" customWidth="1"/>
    <col min="15354" max="15354" width="9.625" style="2" bestFit="1" customWidth="1"/>
    <col min="15355" max="15355" width="11.125" style="2" bestFit="1" customWidth="1"/>
    <col min="15356" max="15356" width="13.25" style="2" bestFit="1" customWidth="1"/>
    <col min="15357" max="15357" width="11.125" style="2" bestFit="1" customWidth="1"/>
    <col min="15358" max="15358" width="9" style="2"/>
    <col min="15359" max="15359" width="11.125" style="2" bestFit="1" customWidth="1"/>
    <col min="15360" max="15360" width="9" style="2"/>
    <col min="15361" max="15361" width="11.125" style="2" bestFit="1" customWidth="1"/>
    <col min="15362" max="15362" width="9" style="2"/>
    <col min="15363" max="15371" width="11.125" style="2" bestFit="1" customWidth="1"/>
    <col min="15372" max="15376" width="9" style="2"/>
    <col min="15377" max="15378" width="11.125" style="2" bestFit="1" customWidth="1"/>
    <col min="15379" max="15379" width="9" style="2"/>
    <col min="15380" max="15380" width="9.625" style="2" bestFit="1" customWidth="1"/>
    <col min="15381" max="15606" width="9" style="2"/>
    <col min="15607" max="15607" width="2.375" style="2" customWidth="1"/>
    <col min="15608" max="15608" width="13.25" style="2" bestFit="1" customWidth="1"/>
    <col min="15609" max="15609" width="11.125" style="2" bestFit="1" customWidth="1"/>
    <col min="15610" max="15610" width="9.625" style="2" bestFit="1" customWidth="1"/>
    <col min="15611" max="15611" width="11.125" style="2" bestFit="1" customWidth="1"/>
    <col min="15612" max="15612" width="13.25" style="2" bestFit="1" customWidth="1"/>
    <col min="15613" max="15613" width="11.125" style="2" bestFit="1" customWidth="1"/>
    <col min="15614" max="15614" width="9" style="2"/>
    <col min="15615" max="15615" width="11.125" style="2" bestFit="1" customWidth="1"/>
    <col min="15616" max="15616" width="9" style="2"/>
    <col min="15617" max="15617" width="11.125" style="2" bestFit="1" customWidth="1"/>
    <col min="15618" max="15618" width="9" style="2"/>
    <col min="15619" max="15627" width="11.125" style="2" bestFit="1" customWidth="1"/>
    <col min="15628" max="15632" width="9" style="2"/>
    <col min="15633" max="15634" width="11.125" style="2" bestFit="1" customWidth="1"/>
    <col min="15635" max="15635" width="9" style="2"/>
    <col min="15636" max="15636" width="9.625" style="2" bestFit="1" customWidth="1"/>
    <col min="15637" max="15862" width="9" style="2"/>
    <col min="15863" max="15863" width="2.375" style="2" customWidth="1"/>
    <col min="15864" max="15864" width="13.25" style="2" bestFit="1" customWidth="1"/>
    <col min="15865" max="15865" width="11.125" style="2" bestFit="1" customWidth="1"/>
    <col min="15866" max="15866" width="9.625" style="2" bestFit="1" customWidth="1"/>
    <col min="15867" max="15867" width="11.125" style="2" bestFit="1" customWidth="1"/>
    <col min="15868" max="15868" width="13.25" style="2" bestFit="1" customWidth="1"/>
    <col min="15869" max="15869" width="11.125" style="2" bestFit="1" customWidth="1"/>
    <col min="15870" max="15870" width="9" style="2"/>
    <col min="15871" max="15871" width="11.125" style="2" bestFit="1" customWidth="1"/>
    <col min="15872" max="15872" width="9" style="2"/>
    <col min="15873" max="15873" width="11.125" style="2" bestFit="1" customWidth="1"/>
    <col min="15874" max="15874" width="9" style="2"/>
    <col min="15875" max="15883" width="11.125" style="2" bestFit="1" customWidth="1"/>
    <col min="15884" max="15888" width="9" style="2"/>
    <col min="15889" max="15890" width="11.125" style="2" bestFit="1" customWidth="1"/>
    <col min="15891" max="15891" width="9" style="2"/>
    <col min="15892" max="15892" width="9.625" style="2" bestFit="1" customWidth="1"/>
    <col min="15893" max="16118" width="9" style="2"/>
    <col min="16119" max="16119" width="2.375" style="2" customWidth="1"/>
    <col min="16120" max="16120" width="13.25" style="2" bestFit="1" customWidth="1"/>
    <col min="16121" max="16121" width="11.125" style="2" bestFit="1" customWidth="1"/>
    <col min="16122" max="16122" width="9.625" style="2" bestFit="1" customWidth="1"/>
    <col min="16123" max="16123" width="11.125" style="2" bestFit="1" customWidth="1"/>
    <col min="16124" max="16124" width="13.25" style="2" bestFit="1" customWidth="1"/>
    <col min="16125" max="16125" width="11.125" style="2" bestFit="1" customWidth="1"/>
    <col min="16126" max="16126" width="9" style="2"/>
    <col min="16127" max="16127" width="11.125" style="2" bestFit="1" customWidth="1"/>
    <col min="16128" max="16128" width="9" style="2"/>
    <col min="16129" max="16129" width="11.125" style="2" bestFit="1" customWidth="1"/>
    <col min="16130" max="16130" width="9" style="2"/>
    <col min="16131" max="16139" width="11.125" style="2" bestFit="1" customWidth="1"/>
    <col min="16140" max="16144" width="9" style="2"/>
    <col min="16145" max="16146" width="11.125" style="2" bestFit="1" customWidth="1"/>
    <col min="16147" max="16147" width="9" style="2"/>
    <col min="16148" max="16148" width="9.625" style="2" bestFit="1" customWidth="1"/>
    <col min="16149" max="16384" width="9" style="2"/>
  </cols>
  <sheetData>
    <row r="1" spans="1:22">
      <c r="A1" s="1" t="s">
        <v>0</v>
      </c>
    </row>
    <row r="2" spans="1:22">
      <c r="A2" s="1" t="s">
        <v>1</v>
      </c>
    </row>
    <row r="3" spans="1:22">
      <c r="A3" s="1" t="s">
        <v>2</v>
      </c>
    </row>
    <row r="4" spans="1:22" ht="19.5" thickBot="1">
      <c r="A4" s="1" t="s">
        <v>118</v>
      </c>
    </row>
    <row r="5" spans="1:22">
      <c r="B5" s="3"/>
      <c r="C5" s="11" t="s">
        <v>4</v>
      </c>
      <c r="D5" s="12" t="s">
        <v>5</v>
      </c>
      <c r="E5" s="12" t="s">
        <v>9</v>
      </c>
      <c r="F5" s="12" t="s">
        <v>10</v>
      </c>
      <c r="G5" s="12" t="s">
        <v>11</v>
      </c>
      <c r="H5" s="12" t="s">
        <v>12</v>
      </c>
      <c r="I5" s="12" t="s">
        <v>13</v>
      </c>
      <c r="J5" s="12" t="s">
        <v>14</v>
      </c>
      <c r="K5" s="12" t="s">
        <v>15</v>
      </c>
      <c r="L5" s="12" t="s">
        <v>16</v>
      </c>
      <c r="M5" s="12" t="s">
        <v>17</v>
      </c>
      <c r="N5" s="12" t="s">
        <v>18</v>
      </c>
      <c r="O5" s="12" t="s">
        <v>19</v>
      </c>
      <c r="P5" s="12" t="s">
        <v>20</v>
      </c>
      <c r="Q5" s="12" t="s">
        <v>21</v>
      </c>
      <c r="R5" s="12" t="s">
        <v>22</v>
      </c>
      <c r="S5" s="57" t="s">
        <v>23</v>
      </c>
      <c r="T5" s="79" t="s">
        <v>119</v>
      </c>
    </row>
    <row r="6" spans="1:22" ht="19.5" thickBot="1">
      <c r="A6" s="54"/>
      <c r="B6" s="31" t="s">
        <v>31</v>
      </c>
      <c r="C6" s="32" t="s">
        <v>32</v>
      </c>
      <c r="D6" s="33" t="s">
        <v>33</v>
      </c>
      <c r="E6" s="33" t="s">
        <v>37</v>
      </c>
      <c r="F6" s="33" t="s">
        <v>38</v>
      </c>
      <c r="G6" s="33" t="s">
        <v>39</v>
      </c>
      <c r="H6" s="33" t="s">
        <v>40</v>
      </c>
      <c r="I6" s="33" t="s">
        <v>41</v>
      </c>
      <c r="J6" s="33" t="s">
        <v>42</v>
      </c>
      <c r="K6" s="33" t="s">
        <v>43</v>
      </c>
      <c r="L6" s="33" t="s">
        <v>44</v>
      </c>
      <c r="M6" s="33" t="s">
        <v>45</v>
      </c>
      <c r="N6" s="33" t="s">
        <v>46</v>
      </c>
      <c r="O6" s="33" t="s">
        <v>47</v>
      </c>
      <c r="P6" s="33" t="s">
        <v>48</v>
      </c>
      <c r="Q6" s="33" t="s">
        <v>49</v>
      </c>
      <c r="R6" s="33" t="s">
        <v>50</v>
      </c>
      <c r="S6" s="58" t="s">
        <v>51</v>
      </c>
      <c r="T6" s="80" t="s">
        <v>120</v>
      </c>
    </row>
    <row r="7" spans="1:22">
      <c r="A7" s="1" t="s">
        <v>3</v>
      </c>
      <c r="B7" s="26" t="s">
        <v>60</v>
      </c>
      <c r="C7" s="27">
        <v>17</v>
      </c>
      <c r="D7" s="28">
        <v>18</v>
      </c>
      <c r="E7" s="28">
        <v>22</v>
      </c>
      <c r="F7" s="28">
        <v>21</v>
      </c>
      <c r="G7" s="28">
        <v>15</v>
      </c>
      <c r="H7" s="28">
        <v>20</v>
      </c>
      <c r="I7" s="28">
        <v>17</v>
      </c>
      <c r="J7" s="28">
        <v>17</v>
      </c>
      <c r="K7" s="28">
        <v>19</v>
      </c>
      <c r="L7" s="28">
        <v>18</v>
      </c>
      <c r="M7" s="28">
        <v>17</v>
      </c>
      <c r="N7" s="28">
        <v>21</v>
      </c>
      <c r="O7" s="28">
        <v>22</v>
      </c>
      <c r="P7" s="28">
        <v>22</v>
      </c>
      <c r="Q7" s="28">
        <v>18</v>
      </c>
      <c r="R7" s="28">
        <v>18</v>
      </c>
      <c r="S7" s="59">
        <v>20</v>
      </c>
      <c r="T7" s="81">
        <f>SUM(C7:S7)</f>
        <v>322</v>
      </c>
      <c r="V7"/>
    </row>
    <row r="8" spans="1:22">
      <c r="A8" s="1" t="s">
        <v>3</v>
      </c>
      <c r="B8" s="5" t="s">
        <v>61</v>
      </c>
      <c r="C8" s="14">
        <v>2</v>
      </c>
      <c r="D8" s="15">
        <v>3</v>
      </c>
      <c r="E8" s="15">
        <v>1</v>
      </c>
      <c r="F8" s="15">
        <v>3</v>
      </c>
      <c r="G8" s="15">
        <v>2</v>
      </c>
      <c r="H8" s="15">
        <v>1</v>
      </c>
      <c r="I8" s="15">
        <v>3</v>
      </c>
      <c r="J8" s="15">
        <v>2</v>
      </c>
      <c r="K8" s="15">
        <v>2</v>
      </c>
      <c r="L8" s="15">
        <v>1</v>
      </c>
      <c r="M8" s="15">
        <v>3</v>
      </c>
      <c r="N8" s="15">
        <v>3</v>
      </c>
      <c r="O8" s="15">
        <v>2</v>
      </c>
      <c r="P8" s="15">
        <v>1</v>
      </c>
      <c r="Q8" s="15">
        <v>4</v>
      </c>
      <c r="R8" s="15">
        <v>1</v>
      </c>
      <c r="S8" s="60">
        <v>2</v>
      </c>
      <c r="T8" s="81">
        <f t="shared" ref="T8:T12" si="0">SUM(C8:S8)</f>
        <v>36</v>
      </c>
      <c r="V8"/>
    </row>
    <row r="9" spans="1:22">
      <c r="A9" s="1" t="s">
        <v>3</v>
      </c>
      <c r="B9" s="5" t="s">
        <v>62</v>
      </c>
      <c r="C9" s="14">
        <v>3</v>
      </c>
      <c r="D9" s="15">
        <v>2</v>
      </c>
      <c r="E9" s="15">
        <v>2</v>
      </c>
      <c r="F9" s="15">
        <v>1</v>
      </c>
      <c r="G9" s="15">
        <v>1</v>
      </c>
      <c r="H9" s="15">
        <v>2</v>
      </c>
      <c r="I9" s="15">
        <v>2</v>
      </c>
      <c r="J9" s="15">
        <v>1</v>
      </c>
      <c r="K9" s="15">
        <v>3</v>
      </c>
      <c r="L9" s="15">
        <v>2</v>
      </c>
      <c r="M9" s="15">
        <v>2</v>
      </c>
      <c r="N9" s="15">
        <v>2</v>
      </c>
      <c r="O9" s="15">
        <v>2</v>
      </c>
      <c r="P9" s="15">
        <v>2</v>
      </c>
      <c r="Q9" s="15">
        <v>0</v>
      </c>
      <c r="R9" s="15">
        <v>1</v>
      </c>
      <c r="S9" s="60">
        <v>2</v>
      </c>
      <c r="T9" s="81">
        <f t="shared" si="0"/>
        <v>30</v>
      </c>
      <c r="V9"/>
    </row>
    <row r="10" spans="1:22">
      <c r="A10" s="1" t="s">
        <v>3</v>
      </c>
      <c r="B10" s="5" t="s">
        <v>63</v>
      </c>
      <c r="C10" s="14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60">
        <v>0</v>
      </c>
      <c r="T10" s="81">
        <f t="shared" si="0"/>
        <v>0</v>
      </c>
      <c r="V10"/>
    </row>
    <row r="11" spans="1:22">
      <c r="A11" s="1" t="s">
        <v>3</v>
      </c>
      <c r="B11" s="5" t="s">
        <v>64</v>
      </c>
      <c r="C11" s="14">
        <v>4</v>
      </c>
      <c r="D11" s="15">
        <v>3</v>
      </c>
      <c r="E11" s="15">
        <v>0</v>
      </c>
      <c r="F11" s="15">
        <v>2</v>
      </c>
      <c r="G11" s="15">
        <v>6</v>
      </c>
      <c r="H11" s="15">
        <v>2</v>
      </c>
      <c r="I11" s="15">
        <v>6</v>
      </c>
      <c r="J11" s="15">
        <v>5</v>
      </c>
      <c r="K11" s="15">
        <v>2</v>
      </c>
      <c r="L11" s="15">
        <v>1</v>
      </c>
      <c r="M11" s="15">
        <v>3</v>
      </c>
      <c r="N11" s="15">
        <v>2</v>
      </c>
      <c r="O11" s="15">
        <v>1</v>
      </c>
      <c r="P11" s="15">
        <v>1</v>
      </c>
      <c r="Q11" s="15">
        <v>5</v>
      </c>
      <c r="R11" s="15">
        <v>5</v>
      </c>
      <c r="S11" s="60">
        <v>3</v>
      </c>
      <c r="T11" s="81">
        <f t="shared" si="0"/>
        <v>51</v>
      </c>
      <c r="V11"/>
    </row>
    <row r="12" spans="1:22">
      <c r="A12" s="1" t="s">
        <v>3</v>
      </c>
      <c r="B12" s="5" t="s">
        <v>65</v>
      </c>
      <c r="C12" s="14">
        <v>2</v>
      </c>
      <c r="D12" s="15">
        <v>2</v>
      </c>
      <c r="E12" s="15">
        <v>1</v>
      </c>
      <c r="F12" s="15">
        <v>0</v>
      </c>
      <c r="G12" s="15">
        <v>2</v>
      </c>
      <c r="H12" s="15">
        <v>1</v>
      </c>
      <c r="I12" s="15">
        <v>0</v>
      </c>
      <c r="J12" s="15">
        <v>1</v>
      </c>
      <c r="K12" s="15">
        <v>2</v>
      </c>
      <c r="L12" s="15">
        <v>4</v>
      </c>
      <c r="M12" s="15">
        <v>3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60">
        <v>0</v>
      </c>
      <c r="T12" s="81">
        <f t="shared" si="0"/>
        <v>18</v>
      </c>
      <c r="V12"/>
    </row>
    <row r="13" spans="1:22">
      <c r="A13" s="1" t="s">
        <v>3</v>
      </c>
      <c r="B13" s="5" t="s">
        <v>66</v>
      </c>
      <c r="C13" s="14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60">
        <v>0</v>
      </c>
      <c r="T13" s="82"/>
      <c r="V13"/>
    </row>
    <row r="14" spans="1:22">
      <c r="A14" s="1" t="s">
        <v>3</v>
      </c>
      <c r="B14" s="5" t="s">
        <v>67</v>
      </c>
      <c r="C14" s="14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60">
        <v>0</v>
      </c>
      <c r="T14" s="82"/>
      <c r="V14"/>
    </row>
    <row r="15" spans="1:22">
      <c r="A15" s="1" t="s">
        <v>3</v>
      </c>
      <c r="B15" s="5" t="s">
        <v>68</v>
      </c>
      <c r="C15" s="17">
        <v>1.0416666666666667</v>
      </c>
      <c r="D15" s="18">
        <v>1.9166666666666665</v>
      </c>
      <c r="E15" s="18">
        <v>2.2083333333333335</v>
      </c>
      <c r="F15" s="18">
        <v>2.875</v>
      </c>
      <c r="G15" s="18">
        <v>1.1666666666666667</v>
      </c>
      <c r="H15" s="18">
        <v>3.125</v>
      </c>
      <c r="I15" s="18">
        <v>2.5416666666666665</v>
      </c>
      <c r="J15" s="18">
        <v>1.2916666666666667</v>
      </c>
      <c r="K15" s="18">
        <v>2.0416666666666665</v>
      </c>
      <c r="L15" s="18">
        <v>1.375</v>
      </c>
      <c r="M15" s="18">
        <v>0.91666666666666663</v>
      </c>
      <c r="N15" s="18">
        <v>1.8333333333333335</v>
      </c>
      <c r="O15" s="18">
        <v>2</v>
      </c>
      <c r="P15" s="18">
        <v>2.9583333333333335</v>
      </c>
      <c r="Q15" s="18">
        <v>3.0833333333333335</v>
      </c>
      <c r="R15" s="18">
        <v>0.79166666666666663</v>
      </c>
      <c r="S15" s="61">
        <v>2.0416666666666665</v>
      </c>
      <c r="T15" s="83">
        <f>SUM(C15:S15)</f>
        <v>33.208333333333329</v>
      </c>
      <c r="V15"/>
    </row>
    <row r="16" spans="1:22">
      <c r="A16" s="1" t="s">
        <v>3</v>
      </c>
      <c r="B16" s="5" t="s">
        <v>69</v>
      </c>
      <c r="C16" s="17">
        <v>0.66666666666666663</v>
      </c>
      <c r="D16" s="18">
        <v>1.1666666666666667</v>
      </c>
      <c r="E16" s="18">
        <v>0.375</v>
      </c>
      <c r="F16" s="18">
        <v>0.875</v>
      </c>
      <c r="G16" s="18">
        <v>0.375</v>
      </c>
      <c r="H16" s="18">
        <v>0.29166666666666669</v>
      </c>
      <c r="I16" s="18">
        <v>1.2083333333333333</v>
      </c>
      <c r="J16" s="18">
        <v>0.75</v>
      </c>
      <c r="K16" s="18">
        <v>0.70833333333333337</v>
      </c>
      <c r="L16" s="18">
        <v>0.20833333333333334</v>
      </c>
      <c r="M16" s="18">
        <v>1.2083333333333333</v>
      </c>
      <c r="N16" s="18">
        <v>1.2083333333333333</v>
      </c>
      <c r="O16" s="18">
        <v>0.5</v>
      </c>
      <c r="P16" s="18">
        <v>0.20833333333333334</v>
      </c>
      <c r="Q16" s="18">
        <v>1.0416666666666667</v>
      </c>
      <c r="R16" s="18">
        <v>0.45833333333333331</v>
      </c>
      <c r="S16" s="61">
        <v>0.70833333333333337</v>
      </c>
      <c r="T16" s="83">
        <f t="shared" ref="T16:T17" si="1">SUM(C16:S16)</f>
        <v>11.958333333333334</v>
      </c>
      <c r="V16"/>
    </row>
    <row r="17" spans="1:22">
      <c r="A17" s="1" t="s">
        <v>3</v>
      </c>
      <c r="B17" s="5" t="s">
        <v>70</v>
      </c>
      <c r="C17" s="17">
        <v>0.83333333333333337</v>
      </c>
      <c r="D17" s="18">
        <v>0.625</v>
      </c>
      <c r="E17" s="18">
        <v>0.70833333333333337</v>
      </c>
      <c r="F17" s="18">
        <v>0.25</v>
      </c>
      <c r="G17" s="18">
        <v>0.125</v>
      </c>
      <c r="H17" s="18">
        <v>0.83333333333333337</v>
      </c>
      <c r="I17" s="18">
        <v>0.58333333333333337</v>
      </c>
      <c r="J17" s="18">
        <v>0.16666666666666666</v>
      </c>
      <c r="K17" s="18">
        <v>1.0416666666666667</v>
      </c>
      <c r="L17" s="18">
        <v>0.5</v>
      </c>
      <c r="M17" s="18">
        <v>0.83333333333333337</v>
      </c>
      <c r="N17" s="18">
        <v>1.0416666666666667</v>
      </c>
      <c r="O17" s="18">
        <v>0.5</v>
      </c>
      <c r="P17" s="18">
        <v>0.75</v>
      </c>
      <c r="Q17" s="18">
        <v>0</v>
      </c>
      <c r="R17" s="18">
        <v>0.45833333333333331</v>
      </c>
      <c r="S17" s="61">
        <v>0.5</v>
      </c>
      <c r="T17" s="83">
        <f t="shared" si="1"/>
        <v>9.7500000000000018</v>
      </c>
      <c r="V17"/>
    </row>
    <row r="18" spans="1:22">
      <c r="A18" s="1" t="s">
        <v>3</v>
      </c>
      <c r="B18" s="5" t="s">
        <v>71</v>
      </c>
      <c r="C18" s="17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61">
        <v>0</v>
      </c>
      <c r="T18" s="83"/>
      <c r="V18"/>
    </row>
    <row r="19" spans="1:22">
      <c r="A19" s="1" t="s">
        <v>3</v>
      </c>
      <c r="B19" s="5" t="s">
        <v>72</v>
      </c>
      <c r="C19" s="17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61">
        <v>0</v>
      </c>
      <c r="T19" s="83"/>
      <c r="V19"/>
    </row>
    <row r="20" spans="1:22">
      <c r="A20" s="1" t="s">
        <v>3</v>
      </c>
      <c r="B20" s="5" t="s">
        <v>73</v>
      </c>
      <c r="C20" s="17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61">
        <v>0</v>
      </c>
      <c r="T20" s="83"/>
      <c r="V20"/>
    </row>
    <row r="21" spans="1:22">
      <c r="A21" s="1" t="s">
        <v>3</v>
      </c>
      <c r="B21" s="5" t="s">
        <v>74</v>
      </c>
      <c r="C21" s="17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61">
        <v>0</v>
      </c>
      <c r="T21" s="83"/>
      <c r="V21"/>
    </row>
    <row r="22" spans="1:22">
      <c r="A22" s="1" t="s">
        <v>3</v>
      </c>
      <c r="B22" s="5" t="s">
        <v>75</v>
      </c>
      <c r="C22" s="17">
        <v>0.125</v>
      </c>
      <c r="D22" s="18">
        <v>0.29166666666666669</v>
      </c>
      <c r="E22" s="18">
        <v>0.20833333333333334</v>
      </c>
      <c r="F22" s="18">
        <v>1.0833333333333333</v>
      </c>
      <c r="G22" s="18">
        <v>0.95833333333333337</v>
      </c>
      <c r="H22" s="18">
        <v>1.625</v>
      </c>
      <c r="I22" s="18">
        <v>0.45833333333333331</v>
      </c>
      <c r="J22" s="18">
        <v>0.83333333333333337</v>
      </c>
      <c r="K22" s="18">
        <v>4.1666666666666664E-2</v>
      </c>
      <c r="L22" s="18">
        <v>0.20833333333333334</v>
      </c>
      <c r="M22" s="18">
        <v>0.20833333333333334</v>
      </c>
      <c r="N22" s="18">
        <v>0.95833333333333337</v>
      </c>
      <c r="O22" s="18">
        <v>0.45833333333333331</v>
      </c>
      <c r="P22" s="18">
        <v>1.3333333333333333</v>
      </c>
      <c r="Q22" s="18">
        <v>1.125</v>
      </c>
      <c r="R22" s="18">
        <v>1.0416666666666667</v>
      </c>
      <c r="S22" s="61">
        <v>0</v>
      </c>
      <c r="T22" s="83">
        <f>SUM(C22:S22)</f>
        <v>10.95833333333333</v>
      </c>
      <c r="V22"/>
    </row>
    <row r="23" spans="1:22" ht="19.5" thickBot="1">
      <c r="A23" s="1" t="s">
        <v>3</v>
      </c>
      <c r="B23" s="6" t="s">
        <v>76</v>
      </c>
      <c r="C23" s="40">
        <v>28</v>
      </c>
      <c r="D23" s="41">
        <v>32</v>
      </c>
      <c r="E23" s="41">
        <v>37</v>
      </c>
      <c r="F23" s="41">
        <v>37</v>
      </c>
      <c r="G23" s="41">
        <v>25</v>
      </c>
      <c r="H23" s="41">
        <v>32</v>
      </c>
      <c r="I23" s="41">
        <v>32</v>
      </c>
      <c r="J23" s="41">
        <v>23</v>
      </c>
      <c r="K23" s="41">
        <v>25</v>
      </c>
      <c r="L23" s="41">
        <v>33</v>
      </c>
      <c r="M23" s="41">
        <v>7</v>
      </c>
      <c r="N23" s="41">
        <v>14</v>
      </c>
      <c r="O23" s="41">
        <v>24</v>
      </c>
      <c r="P23" s="41">
        <v>14</v>
      </c>
      <c r="Q23" s="41">
        <v>13</v>
      </c>
      <c r="R23" s="41">
        <v>10</v>
      </c>
      <c r="S23" s="62">
        <v>11</v>
      </c>
      <c r="T23" s="84">
        <f>SUM(C23:S23)</f>
        <v>397</v>
      </c>
      <c r="V23"/>
    </row>
    <row r="24" spans="1:22">
      <c r="A24" s="1" t="s">
        <v>3</v>
      </c>
      <c r="B24" s="26" t="s">
        <v>77</v>
      </c>
      <c r="C24" s="36">
        <v>182000</v>
      </c>
      <c r="D24" s="37">
        <v>187000</v>
      </c>
      <c r="E24" s="37">
        <v>192000</v>
      </c>
      <c r="F24" s="37">
        <v>192000</v>
      </c>
      <c r="G24" s="37">
        <v>192000</v>
      </c>
      <c r="H24" s="37">
        <v>187000</v>
      </c>
      <c r="I24" s="37">
        <v>172000</v>
      </c>
      <c r="J24" s="37">
        <v>172000</v>
      </c>
      <c r="K24" s="37">
        <v>172000</v>
      </c>
      <c r="L24" s="37">
        <v>177000</v>
      </c>
      <c r="M24" s="37">
        <v>170000</v>
      </c>
      <c r="N24" s="37">
        <v>175000</v>
      </c>
      <c r="O24" s="37">
        <v>170000</v>
      </c>
      <c r="P24" s="37">
        <v>175000</v>
      </c>
      <c r="Q24" s="37">
        <v>170000</v>
      </c>
      <c r="R24" s="37">
        <v>175000</v>
      </c>
      <c r="S24" s="63">
        <v>170000</v>
      </c>
      <c r="T24" s="85">
        <f>SUM(C24:S24)</f>
        <v>3030000</v>
      </c>
      <c r="V24"/>
    </row>
    <row r="25" spans="1:22">
      <c r="A25" s="1" t="s">
        <v>3</v>
      </c>
      <c r="B25" s="5" t="s">
        <v>78</v>
      </c>
      <c r="C25" s="20">
        <v>0</v>
      </c>
      <c r="D25" s="21">
        <v>0</v>
      </c>
      <c r="E25" s="21">
        <v>20000</v>
      </c>
      <c r="F25" s="21">
        <v>5000</v>
      </c>
      <c r="G25" s="21">
        <v>5000</v>
      </c>
      <c r="H25" s="21">
        <v>5000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64">
        <v>0</v>
      </c>
      <c r="T25" s="86">
        <f t="shared" ref="T25:T64" si="2">SUM(C25:S25)</f>
        <v>35000</v>
      </c>
      <c r="V25"/>
    </row>
    <row r="26" spans="1:22">
      <c r="A26" s="1" t="s">
        <v>3</v>
      </c>
      <c r="B26" s="5" t="s">
        <v>79</v>
      </c>
      <c r="C26" s="20">
        <v>0</v>
      </c>
      <c r="D26" s="21">
        <v>0</v>
      </c>
      <c r="E26" s="21">
        <v>3000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64">
        <v>0</v>
      </c>
      <c r="T26" s="86">
        <f t="shared" si="2"/>
        <v>3000</v>
      </c>
      <c r="V26"/>
    </row>
    <row r="27" spans="1:22">
      <c r="A27" s="1" t="s">
        <v>3</v>
      </c>
      <c r="B27" s="5" t="s">
        <v>80</v>
      </c>
      <c r="C27" s="20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64">
        <v>0</v>
      </c>
      <c r="T27" s="86">
        <f t="shared" si="2"/>
        <v>0</v>
      </c>
      <c r="V27"/>
    </row>
    <row r="28" spans="1:22">
      <c r="A28" s="1" t="s">
        <v>3</v>
      </c>
      <c r="B28" s="5" t="s">
        <v>81</v>
      </c>
      <c r="C28" s="20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64">
        <v>0</v>
      </c>
      <c r="T28" s="86">
        <f t="shared" si="2"/>
        <v>0</v>
      </c>
      <c r="V28"/>
    </row>
    <row r="29" spans="1:22">
      <c r="A29" s="1" t="s">
        <v>3</v>
      </c>
      <c r="B29" s="5" t="s">
        <v>82</v>
      </c>
      <c r="C29" s="20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64">
        <v>0</v>
      </c>
      <c r="T29" s="86">
        <f t="shared" si="2"/>
        <v>0</v>
      </c>
      <c r="V29"/>
    </row>
    <row r="30" spans="1:22">
      <c r="A30" s="1" t="s">
        <v>3</v>
      </c>
      <c r="B30" s="5" t="s">
        <v>83</v>
      </c>
      <c r="C30" s="20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64">
        <v>0</v>
      </c>
      <c r="T30" s="86">
        <f t="shared" si="2"/>
        <v>0</v>
      </c>
      <c r="V30"/>
    </row>
    <row r="31" spans="1:22">
      <c r="A31" s="1" t="s">
        <v>3</v>
      </c>
      <c r="B31" s="5" t="s">
        <v>84</v>
      </c>
      <c r="C31" s="20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64">
        <v>0</v>
      </c>
      <c r="T31" s="86">
        <f t="shared" si="2"/>
        <v>0</v>
      </c>
      <c r="V31"/>
    </row>
    <row r="32" spans="1:22">
      <c r="A32" s="1" t="s">
        <v>3</v>
      </c>
      <c r="B32" s="5" t="s">
        <v>85</v>
      </c>
      <c r="C32" s="20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64">
        <v>0</v>
      </c>
      <c r="T32" s="86">
        <f t="shared" si="2"/>
        <v>0</v>
      </c>
      <c r="V32"/>
    </row>
    <row r="33" spans="1:22">
      <c r="A33" s="1" t="s">
        <v>3</v>
      </c>
      <c r="B33" s="5" t="s">
        <v>86</v>
      </c>
      <c r="C33" s="20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64">
        <v>0</v>
      </c>
      <c r="T33" s="86">
        <f t="shared" si="2"/>
        <v>0</v>
      </c>
      <c r="V33"/>
    </row>
    <row r="34" spans="1:22">
      <c r="A34" s="1" t="s">
        <v>3</v>
      </c>
      <c r="B34" s="5" t="s">
        <v>87</v>
      </c>
      <c r="C34" s="20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64">
        <v>0</v>
      </c>
      <c r="T34" s="86">
        <f t="shared" si="2"/>
        <v>0</v>
      </c>
      <c r="V34"/>
    </row>
    <row r="35" spans="1:22">
      <c r="A35" s="1" t="s">
        <v>3</v>
      </c>
      <c r="B35" s="5" t="s">
        <v>88</v>
      </c>
      <c r="C35" s="20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64">
        <v>0</v>
      </c>
      <c r="T35" s="86">
        <f t="shared" si="2"/>
        <v>0</v>
      </c>
      <c r="V35"/>
    </row>
    <row r="36" spans="1:22">
      <c r="A36" s="1" t="s">
        <v>3</v>
      </c>
      <c r="B36" s="5" t="s">
        <v>89</v>
      </c>
      <c r="C36" s="20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64">
        <v>0</v>
      </c>
      <c r="T36" s="86">
        <f t="shared" si="2"/>
        <v>0</v>
      </c>
      <c r="V36"/>
    </row>
    <row r="37" spans="1:22">
      <c r="A37" s="1" t="s">
        <v>3</v>
      </c>
      <c r="B37" s="5" t="s">
        <v>68</v>
      </c>
      <c r="C37" s="20">
        <v>34075</v>
      </c>
      <c r="D37" s="21">
        <v>64400</v>
      </c>
      <c r="E37" s="21">
        <v>85277</v>
      </c>
      <c r="F37" s="21">
        <v>101775</v>
      </c>
      <c r="G37" s="21">
        <v>41300</v>
      </c>
      <c r="H37" s="21">
        <v>107850</v>
      </c>
      <c r="I37" s="21">
        <v>78568</v>
      </c>
      <c r="J37" s="21">
        <v>39928</v>
      </c>
      <c r="K37" s="21">
        <v>63112</v>
      </c>
      <c r="L37" s="21">
        <v>43725</v>
      </c>
      <c r="M37" s="21">
        <v>28006</v>
      </c>
      <c r="N37" s="21">
        <v>57640</v>
      </c>
      <c r="O37" s="21">
        <v>61104</v>
      </c>
      <c r="P37" s="21">
        <v>93010</v>
      </c>
      <c r="Q37" s="21">
        <v>94202</v>
      </c>
      <c r="R37" s="21">
        <v>24890</v>
      </c>
      <c r="S37" s="64">
        <v>62377</v>
      </c>
      <c r="T37" s="86">
        <f t="shared" si="2"/>
        <v>1081239</v>
      </c>
      <c r="V37"/>
    </row>
    <row r="38" spans="1:22">
      <c r="A38" s="1" t="s">
        <v>3</v>
      </c>
      <c r="B38" s="5" t="s">
        <v>90</v>
      </c>
      <c r="C38" s="20">
        <v>23552</v>
      </c>
      <c r="D38" s="21">
        <v>42336</v>
      </c>
      <c r="E38" s="21">
        <v>15633</v>
      </c>
      <c r="F38" s="21">
        <v>33453</v>
      </c>
      <c r="G38" s="21">
        <v>14337</v>
      </c>
      <c r="H38" s="21">
        <v>10871</v>
      </c>
      <c r="I38" s="21">
        <v>40339</v>
      </c>
      <c r="J38" s="21">
        <v>25038</v>
      </c>
      <c r="K38" s="21">
        <v>23647</v>
      </c>
      <c r="L38" s="21">
        <v>7155</v>
      </c>
      <c r="M38" s="21">
        <v>39846</v>
      </c>
      <c r="N38" s="21">
        <v>41035</v>
      </c>
      <c r="O38" s="21">
        <v>16488</v>
      </c>
      <c r="P38" s="21">
        <v>7075</v>
      </c>
      <c r="Q38" s="21">
        <v>34350</v>
      </c>
      <c r="R38" s="21">
        <v>15565</v>
      </c>
      <c r="S38" s="64">
        <v>23358</v>
      </c>
      <c r="T38" s="86">
        <f t="shared" si="2"/>
        <v>414078</v>
      </c>
      <c r="V38"/>
    </row>
    <row r="39" spans="1:22">
      <c r="A39" s="1" t="s">
        <v>3</v>
      </c>
      <c r="B39" s="5" t="s">
        <v>91</v>
      </c>
      <c r="C39" s="20">
        <v>29440</v>
      </c>
      <c r="D39" s="21">
        <v>22680</v>
      </c>
      <c r="E39" s="21">
        <v>29529</v>
      </c>
      <c r="F39" s="21">
        <v>9558</v>
      </c>
      <c r="G39" s="21">
        <v>4779</v>
      </c>
      <c r="H39" s="21">
        <v>31060</v>
      </c>
      <c r="I39" s="21">
        <v>19474</v>
      </c>
      <c r="J39" s="21">
        <v>5564</v>
      </c>
      <c r="K39" s="21">
        <v>34775</v>
      </c>
      <c r="L39" s="21">
        <v>17172</v>
      </c>
      <c r="M39" s="21">
        <v>27480</v>
      </c>
      <c r="N39" s="21">
        <v>35375</v>
      </c>
      <c r="O39" s="21">
        <v>16488</v>
      </c>
      <c r="P39" s="21">
        <v>25470</v>
      </c>
      <c r="Q39" s="21">
        <v>0</v>
      </c>
      <c r="R39" s="21">
        <v>15565</v>
      </c>
      <c r="S39" s="64">
        <v>16488</v>
      </c>
      <c r="T39" s="86">
        <f t="shared" si="2"/>
        <v>340897</v>
      </c>
      <c r="V39"/>
    </row>
    <row r="40" spans="1:22">
      <c r="A40" s="1" t="s">
        <v>3</v>
      </c>
      <c r="B40" s="5" t="s">
        <v>92</v>
      </c>
      <c r="C40" s="20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64">
        <v>0</v>
      </c>
      <c r="T40" s="86">
        <f t="shared" si="2"/>
        <v>0</v>
      </c>
      <c r="V40"/>
    </row>
    <row r="41" spans="1:22">
      <c r="A41" s="1" t="s">
        <v>3</v>
      </c>
      <c r="B41" s="5" t="s">
        <v>93</v>
      </c>
      <c r="C41" s="20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64">
        <v>0</v>
      </c>
      <c r="T41" s="86">
        <f t="shared" si="2"/>
        <v>0</v>
      </c>
      <c r="V41"/>
    </row>
    <row r="42" spans="1:22">
      <c r="A42" s="1" t="s">
        <v>3</v>
      </c>
      <c r="B42" s="5" t="s">
        <v>94</v>
      </c>
      <c r="C42" s="20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64">
        <v>0</v>
      </c>
      <c r="T42" s="86">
        <f t="shared" si="2"/>
        <v>0</v>
      </c>
      <c r="V42"/>
    </row>
    <row r="43" spans="1:22">
      <c r="A43" s="1" t="s">
        <v>3</v>
      </c>
      <c r="B43" s="5" t="s">
        <v>73</v>
      </c>
      <c r="C43" s="20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64">
        <v>0</v>
      </c>
      <c r="T43" s="86">
        <f t="shared" si="2"/>
        <v>0</v>
      </c>
      <c r="V43"/>
    </row>
    <row r="44" spans="1:22" ht="19.5" thickBot="1">
      <c r="A44" s="1" t="s">
        <v>3</v>
      </c>
      <c r="B44" s="44" t="s">
        <v>75</v>
      </c>
      <c r="C44" s="45">
        <v>819</v>
      </c>
      <c r="D44" s="46">
        <v>1960</v>
      </c>
      <c r="E44" s="46">
        <v>1610</v>
      </c>
      <c r="F44" s="46">
        <v>7670</v>
      </c>
      <c r="G44" s="46">
        <v>6785</v>
      </c>
      <c r="H44" s="46">
        <v>11232</v>
      </c>
      <c r="I44" s="46">
        <v>2838</v>
      </c>
      <c r="J44" s="46">
        <v>5160</v>
      </c>
      <c r="K44" s="46">
        <v>258</v>
      </c>
      <c r="L44" s="46">
        <v>1325</v>
      </c>
      <c r="M44" s="46">
        <v>1275</v>
      </c>
      <c r="N44" s="46">
        <v>6026</v>
      </c>
      <c r="O44" s="46">
        <v>2805</v>
      </c>
      <c r="P44" s="46">
        <v>8384</v>
      </c>
      <c r="Q44" s="46">
        <v>6885</v>
      </c>
      <c r="R44" s="46">
        <v>6550</v>
      </c>
      <c r="S44" s="65">
        <v>0</v>
      </c>
      <c r="T44" s="87">
        <f t="shared" si="2"/>
        <v>71582</v>
      </c>
      <c r="V44"/>
    </row>
    <row r="45" spans="1:22" ht="19.5" thickBot="1">
      <c r="A45" s="1" t="s">
        <v>3</v>
      </c>
      <c r="B45" s="49" t="s">
        <v>95</v>
      </c>
      <c r="C45" s="50">
        <v>269886</v>
      </c>
      <c r="D45" s="51">
        <v>318376</v>
      </c>
      <c r="E45" s="51">
        <v>347049</v>
      </c>
      <c r="F45" s="51">
        <v>349456</v>
      </c>
      <c r="G45" s="51">
        <v>264201</v>
      </c>
      <c r="H45" s="51">
        <v>353013</v>
      </c>
      <c r="I45" s="51">
        <v>313219</v>
      </c>
      <c r="J45" s="51">
        <v>247690</v>
      </c>
      <c r="K45" s="51">
        <v>293792</v>
      </c>
      <c r="L45" s="51">
        <v>246377</v>
      </c>
      <c r="M45" s="51">
        <v>266607</v>
      </c>
      <c r="N45" s="51">
        <v>315076</v>
      </c>
      <c r="O45" s="51">
        <v>266885</v>
      </c>
      <c r="P45" s="51">
        <v>308939</v>
      </c>
      <c r="Q45" s="51">
        <v>305437</v>
      </c>
      <c r="R45" s="51">
        <v>237570</v>
      </c>
      <c r="S45" s="66">
        <v>272223</v>
      </c>
      <c r="T45" s="88">
        <f t="shared" si="2"/>
        <v>4975796</v>
      </c>
      <c r="V45"/>
    </row>
    <row r="46" spans="1:22" ht="19.5" thickBot="1">
      <c r="A46" s="1" t="s">
        <v>3</v>
      </c>
      <c r="B46" s="26" t="s">
        <v>96</v>
      </c>
      <c r="C46" s="36">
        <v>10229</v>
      </c>
      <c r="D46" s="37">
        <v>2674</v>
      </c>
      <c r="E46" s="37">
        <v>5231</v>
      </c>
      <c r="F46" s="37">
        <v>2906</v>
      </c>
      <c r="G46" s="37">
        <v>9624</v>
      </c>
      <c r="H46" s="37">
        <v>2139</v>
      </c>
      <c r="I46" s="37">
        <v>2046</v>
      </c>
      <c r="J46" s="37">
        <v>930</v>
      </c>
      <c r="K46" s="37">
        <v>2790</v>
      </c>
      <c r="L46" s="37">
        <v>3906</v>
      </c>
      <c r="M46" s="37">
        <v>5115</v>
      </c>
      <c r="N46" s="37">
        <v>4231</v>
      </c>
      <c r="O46" s="37">
        <v>7253</v>
      </c>
      <c r="P46" s="37">
        <v>3487</v>
      </c>
      <c r="Q46" s="37">
        <v>5115</v>
      </c>
      <c r="R46" s="37">
        <v>7904</v>
      </c>
      <c r="S46" s="63">
        <v>10043</v>
      </c>
      <c r="T46" s="85">
        <f t="shared" si="2"/>
        <v>85623</v>
      </c>
      <c r="V46"/>
    </row>
    <row r="47" spans="1:22" ht="19.5" thickBot="1">
      <c r="A47" s="1" t="s">
        <v>3</v>
      </c>
      <c r="B47" s="49" t="s">
        <v>97</v>
      </c>
      <c r="C47" s="50">
        <v>10229</v>
      </c>
      <c r="D47" s="51">
        <v>2674</v>
      </c>
      <c r="E47" s="51">
        <v>5231</v>
      </c>
      <c r="F47" s="51">
        <v>2906</v>
      </c>
      <c r="G47" s="51">
        <v>9624</v>
      </c>
      <c r="H47" s="51">
        <v>2139</v>
      </c>
      <c r="I47" s="51">
        <v>2046</v>
      </c>
      <c r="J47" s="51">
        <v>930</v>
      </c>
      <c r="K47" s="51">
        <v>2790</v>
      </c>
      <c r="L47" s="51">
        <v>3906</v>
      </c>
      <c r="M47" s="51">
        <v>5115</v>
      </c>
      <c r="N47" s="51">
        <v>4231</v>
      </c>
      <c r="O47" s="51">
        <v>7253</v>
      </c>
      <c r="P47" s="51">
        <v>3487</v>
      </c>
      <c r="Q47" s="51">
        <v>5115</v>
      </c>
      <c r="R47" s="51">
        <v>7904</v>
      </c>
      <c r="S47" s="66">
        <v>10043</v>
      </c>
      <c r="T47" s="88">
        <f t="shared" si="2"/>
        <v>85623</v>
      </c>
      <c r="V47"/>
    </row>
    <row r="48" spans="1:22" ht="19.5" thickBot="1">
      <c r="A48" s="1" t="s">
        <v>3</v>
      </c>
      <c r="B48" s="49" t="s">
        <v>98</v>
      </c>
      <c r="C48" s="50">
        <v>280115</v>
      </c>
      <c r="D48" s="51">
        <v>321050</v>
      </c>
      <c r="E48" s="51">
        <v>352280</v>
      </c>
      <c r="F48" s="51">
        <v>352362</v>
      </c>
      <c r="G48" s="51">
        <v>273825</v>
      </c>
      <c r="H48" s="51">
        <v>355152</v>
      </c>
      <c r="I48" s="51">
        <v>315265</v>
      </c>
      <c r="J48" s="51">
        <v>248620</v>
      </c>
      <c r="K48" s="51">
        <v>296582</v>
      </c>
      <c r="L48" s="51">
        <v>250283</v>
      </c>
      <c r="M48" s="51">
        <v>271722</v>
      </c>
      <c r="N48" s="51">
        <v>319307</v>
      </c>
      <c r="O48" s="51">
        <v>274138</v>
      </c>
      <c r="P48" s="51">
        <v>312426</v>
      </c>
      <c r="Q48" s="51">
        <v>310552</v>
      </c>
      <c r="R48" s="51">
        <v>245474</v>
      </c>
      <c r="S48" s="66">
        <v>282266</v>
      </c>
      <c r="T48" s="88">
        <f t="shared" si="2"/>
        <v>5061419</v>
      </c>
      <c r="V48"/>
    </row>
    <row r="49" spans="1:22">
      <c r="A49" s="1" t="s">
        <v>3</v>
      </c>
      <c r="B49" s="26" t="s">
        <v>99</v>
      </c>
      <c r="C49" s="36">
        <v>15300</v>
      </c>
      <c r="D49" s="37">
        <v>16320</v>
      </c>
      <c r="E49" s="37">
        <v>17340</v>
      </c>
      <c r="F49" s="37">
        <v>19380</v>
      </c>
      <c r="G49" s="37">
        <v>17340</v>
      </c>
      <c r="H49" s="37">
        <v>19380</v>
      </c>
      <c r="I49" s="37">
        <v>16320</v>
      </c>
      <c r="J49" s="37">
        <v>15300</v>
      </c>
      <c r="K49" s="37">
        <v>15300</v>
      </c>
      <c r="L49" s="37">
        <v>16320</v>
      </c>
      <c r="M49" s="37">
        <v>14280</v>
      </c>
      <c r="N49" s="37">
        <v>16320</v>
      </c>
      <c r="O49" s="37">
        <v>15300</v>
      </c>
      <c r="P49" s="37">
        <v>15300</v>
      </c>
      <c r="Q49" s="37">
        <v>16320</v>
      </c>
      <c r="R49" s="37">
        <v>12240</v>
      </c>
      <c r="S49" s="63">
        <v>13260</v>
      </c>
      <c r="T49" s="85">
        <f t="shared" si="2"/>
        <v>271320</v>
      </c>
      <c r="V49"/>
    </row>
    <row r="50" spans="1:22">
      <c r="A50" s="1" t="s">
        <v>3</v>
      </c>
      <c r="B50" s="5" t="s">
        <v>100</v>
      </c>
      <c r="C50" s="20">
        <v>2700</v>
      </c>
      <c r="D50" s="21">
        <v>2880</v>
      </c>
      <c r="E50" s="21">
        <v>3060</v>
      </c>
      <c r="F50" s="21">
        <v>3420</v>
      </c>
      <c r="G50" s="21">
        <v>3060</v>
      </c>
      <c r="H50" s="21">
        <v>3420</v>
      </c>
      <c r="I50" s="21">
        <v>2880</v>
      </c>
      <c r="J50" s="21">
        <v>2700</v>
      </c>
      <c r="K50" s="21">
        <v>2700</v>
      </c>
      <c r="L50" s="21">
        <v>2880</v>
      </c>
      <c r="M50" s="21">
        <v>2520</v>
      </c>
      <c r="N50" s="21">
        <v>0</v>
      </c>
      <c r="O50" s="21">
        <v>2700</v>
      </c>
      <c r="P50" s="21">
        <v>2700</v>
      </c>
      <c r="Q50" s="21">
        <v>2880</v>
      </c>
      <c r="R50" s="21">
        <v>2160</v>
      </c>
      <c r="S50" s="64">
        <v>2340</v>
      </c>
      <c r="T50" s="86">
        <f t="shared" si="2"/>
        <v>45000</v>
      </c>
      <c r="V50"/>
    </row>
    <row r="51" spans="1:22">
      <c r="A51" s="1" t="s">
        <v>3</v>
      </c>
      <c r="B51" s="5" t="s">
        <v>101</v>
      </c>
      <c r="C51" s="20">
        <v>27450</v>
      </c>
      <c r="D51" s="21">
        <v>29280</v>
      </c>
      <c r="E51" s="21">
        <v>31110</v>
      </c>
      <c r="F51" s="21">
        <v>34770</v>
      </c>
      <c r="G51" s="21">
        <v>31110</v>
      </c>
      <c r="H51" s="21">
        <v>34770</v>
      </c>
      <c r="I51" s="21">
        <v>29280</v>
      </c>
      <c r="J51" s="21">
        <v>27450</v>
      </c>
      <c r="K51" s="21">
        <v>27450</v>
      </c>
      <c r="L51" s="21">
        <v>29280</v>
      </c>
      <c r="M51" s="21">
        <v>25620</v>
      </c>
      <c r="N51" s="21">
        <v>29280</v>
      </c>
      <c r="O51" s="21">
        <v>27450</v>
      </c>
      <c r="P51" s="21">
        <v>27450</v>
      </c>
      <c r="Q51" s="21">
        <v>29280</v>
      </c>
      <c r="R51" s="21">
        <v>21960</v>
      </c>
      <c r="S51" s="64">
        <v>23790</v>
      </c>
      <c r="T51" s="86">
        <f t="shared" si="2"/>
        <v>486780</v>
      </c>
      <c r="V51"/>
    </row>
    <row r="52" spans="1:22">
      <c r="A52" s="1" t="s">
        <v>3</v>
      </c>
      <c r="B52" s="5" t="s">
        <v>102</v>
      </c>
      <c r="C52" s="20">
        <v>840</v>
      </c>
      <c r="D52" s="21">
        <v>963</v>
      </c>
      <c r="E52" s="21">
        <v>1057</v>
      </c>
      <c r="F52" s="21">
        <v>1057</v>
      </c>
      <c r="G52" s="21">
        <v>821</v>
      </c>
      <c r="H52" s="21">
        <v>1065</v>
      </c>
      <c r="I52" s="21">
        <v>946</v>
      </c>
      <c r="J52" s="21">
        <v>746</v>
      </c>
      <c r="K52" s="21">
        <v>890</v>
      </c>
      <c r="L52" s="21">
        <v>751</v>
      </c>
      <c r="M52" s="21">
        <v>815</v>
      </c>
      <c r="N52" s="21">
        <v>958</v>
      </c>
      <c r="O52" s="21">
        <v>822</v>
      </c>
      <c r="P52" s="21">
        <v>937</v>
      </c>
      <c r="Q52" s="21">
        <v>932</v>
      </c>
      <c r="R52" s="21">
        <v>736</v>
      </c>
      <c r="S52" s="64">
        <v>847</v>
      </c>
      <c r="T52" s="86">
        <f t="shared" si="2"/>
        <v>15183</v>
      </c>
      <c r="V52"/>
    </row>
    <row r="53" spans="1:22" ht="19.5" thickBot="1">
      <c r="A53" s="1" t="s">
        <v>3</v>
      </c>
      <c r="B53" s="44" t="s">
        <v>103</v>
      </c>
      <c r="C53" s="45">
        <v>0</v>
      </c>
      <c r="D53" s="46">
        <v>0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v>0</v>
      </c>
      <c r="O53" s="46">
        <v>0</v>
      </c>
      <c r="P53" s="46">
        <v>0</v>
      </c>
      <c r="Q53" s="46">
        <v>0</v>
      </c>
      <c r="R53" s="46">
        <v>0</v>
      </c>
      <c r="S53" s="65">
        <v>0</v>
      </c>
      <c r="T53" s="87">
        <f t="shared" si="2"/>
        <v>0</v>
      </c>
      <c r="V53"/>
    </row>
    <row r="54" spans="1:22" ht="19.5" thickBot="1">
      <c r="A54" s="1" t="s">
        <v>3</v>
      </c>
      <c r="B54" s="49" t="s">
        <v>104</v>
      </c>
      <c r="C54" s="50">
        <v>46290</v>
      </c>
      <c r="D54" s="51">
        <v>49443</v>
      </c>
      <c r="E54" s="51">
        <v>52567</v>
      </c>
      <c r="F54" s="51">
        <v>58627</v>
      </c>
      <c r="G54" s="51">
        <v>52331</v>
      </c>
      <c r="H54" s="51">
        <v>58635</v>
      </c>
      <c r="I54" s="51">
        <v>49426</v>
      </c>
      <c r="J54" s="51">
        <v>46196</v>
      </c>
      <c r="K54" s="51">
        <v>46340</v>
      </c>
      <c r="L54" s="51">
        <v>49231</v>
      </c>
      <c r="M54" s="51">
        <v>43235</v>
      </c>
      <c r="N54" s="51">
        <v>46558</v>
      </c>
      <c r="O54" s="51">
        <v>46272</v>
      </c>
      <c r="P54" s="51">
        <v>46387</v>
      </c>
      <c r="Q54" s="51">
        <v>49412</v>
      </c>
      <c r="R54" s="51">
        <v>37096</v>
      </c>
      <c r="S54" s="66">
        <v>40237</v>
      </c>
      <c r="T54" s="88">
        <f t="shared" si="2"/>
        <v>818283</v>
      </c>
      <c r="V54"/>
    </row>
    <row r="55" spans="1:22">
      <c r="A55" s="1" t="s">
        <v>3</v>
      </c>
      <c r="B55" s="26" t="s">
        <v>105</v>
      </c>
      <c r="C55" s="36">
        <v>3990</v>
      </c>
      <c r="D55" s="37">
        <v>7230</v>
      </c>
      <c r="E55" s="37">
        <v>6520</v>
      </c>
      <c r="F55" s="37">
        <v>8010</v>
      </c>
      <c r="G55" s="37">
        <v>3570</v>
      </c>
      <c r="H55" s="37">
        <v>8140</v>
      </c>
      <c r="I55" s="37">
        <v>7040</v>
      </c>
      <c r="J55" s="37">
        <v>3200</v>
      </c>
      <c r="K55" s="37">
        <v>6460</v>
      </c>
      <c r="L55" s="37">
        <v>4660</v>
      </c>
      <c r="M55" s="37">
        <v>5600</v>
      </c>
      <c r="N55" s="37">
        <v>7210</v>
      </c>
      <c r="O55" s="37">
        <v>5500</v>
      </c>
      <c r="P55" s="37">
        <v>7000</v>
      </c>
      <c r="Q55" s="37">
        <v>1920</v>
      </c>
      <c r="R55" s="37">
        <v>4780</v>
      </c>
      <c r="S55" s="63">
        <v>5910</v>
      </c>
      <c r="T55" s="85">
        <f t="shared" si="2"/>
        <v>96740</v>
      </c>
      <c r="V55"/>
    </row>
    <row r="56" spans="1:22">
      <c r="A56" s="1" t="s">
        <v>3</v>
      </c>
      <c r="B56" s="5" t="s">
        <v>106</v>
      </c>
      <c r="C56" s="20">
        <v>1300</v>
      </c>
      <c r="D56" s="21">
        <v>1300</v>
      </c>
      <c r="E56" s="21">
        <v>1300</v>
      </c>
      <c r="F56" s="21">
        <v>0</v>
      </c>
      <c r="G56" s="21">
        <v>1300</v>
      </c>
      <c r="H56" s="21">
        <v>1300</v>
      </c>
      <c r="I56" s="21">
        <v>1300</v>
      </c>
      <c r="J56" s="21">
        <v>1300</v>
      </c>
      <c r="K56" s="21">
        <v>1300</v>
      </c>
      <c r="L56" s="21">
        <v>1300</v>
      </c>
      <c r="M56" s="21">
        <v>0</v>
      </c>
      <c r="N56" s="21">
        <v>0</v>
      </c>
      <c r="O56" s="21">
        <v>1300</v>
      </c>
      <c r="P56" s="21">
        <v>1300</v>
      </c>
      <c r="Q56" s="21">
        <v>1300</v>
      </c>
      <c r="R56" s="21">
        <v>0</v>
      </c>
      <c r="S56" s="64">
        <v>0</v>
      </c>
      <c r="T56" s="86">
        <f t="shared" si="2"/>
        <v>15600</v>
      </c>
      <c r="V56"/>
    </row>
    <row r="57" spans="1:22">
      <c r="A57" s="1" t="s">
        <v>3</v>
      </c>
      <c r="B57" s="5" t="s">
        <v>107</v>
      </c>
      <c r="C57" s="20">
        <v>8600</v>
      </c>
      <c r="D57" s="21">
        <v>14600</v>
      </c>
      <c r="E57" s="21">
        <v>13800</v>
      </c>
      <c r="F57" s="21">
        <v>16700</v>
      </c>
      <c r="G57" s="21">
        <v>15200</v>
      </c>
      <c r="H57" s="21">
        <v>17700</v>
      </c>
      <c r="I57" s="21">
        <v>13500</v>
      </c>
      <c r="J57" s="21">
        <v>9200</v>
      </c>
      <c r="K57" s="21">
        <v>13000</v>
      </c>
      <c r="L57" s="21">
        <v>13800</v>
      </c>
      <c r="M57" s="21">
        <v>10500</v>
      </c>
      <c r="N57" s="21">
        <v>13500</v>
      </c>
      <c r="O57" s="21">
        <v>12100</v>
      </c>
      <c r="P57" s="21">
        <v>14200</v>
      </c>
      <c r="Q57" s="21">
        <v>5600</v>
      </c>
      <c r="R57" s="21">
        <v>0</v>
      </c>
      <c r="S57" s="64">
        <v>0</v>
      </c>
      <c r="T57" s="86">
        <f t="shared" si="2"/>
        <v>192000</v>
      </c>
      <c r="V57"/>
    </row>
    <row r="58" spans="1:22">
      <c r="A58" s="1" t="s">
        <v>3</v>
      </c>
      <c r="B58" s="5" t="s">
        <v>108</v>
      </c>
      <c r="C58" s="20">
        <v>0</v>
      </c>
      <c r="D58" s="21">
        <v>0</v>
      </c>
      <c r="E58" s="21">
        <v>0</v>
      </c>
      <c r="F58" s="21">
        <v>10000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64">
        <v>0</v>
      </c>
      <c r="T58" s="86">
        <f t="shared" si="2"/>
        <v>10000</v>
      </c>
      <c r="V58"/>
    </row>
    <row r="59" spans="1:22" ht="19.5" thickBot="1">
      <c r="A59" s="1" t="s">
        <v>3</v>
      </c>
      <c r="B59" s="5" t="s">
        <v>109</v>
      </c>
      <c r="C59" s="20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64">
        <v>0</v>
      </c>
      <c r="T59" s="86">
        <f t="shared" si="2"/>
        <v>0</v>
      </c>
      <c r="V59"/>
    </row>
    <row r="60" spans="1:22" ht="19.5" thickBot="1">
      <c r="A60" s="1" t="s">
        <v>3</v>
      </c>
      <c r="B60" s="49" t="s">
        <v>110</v>
      </c>
      <c r="C60" s="50">
        <v>60180</v>
      </c>
      <c r="D60" s="51">
        <v>72573</v>
      </c>
      <c r="E60" s="51">
        <v>74187</v>
      </c>
      <c r="F60" s="51">
        <v>93337</v>
      </c>
      <c r="G60" s="51">
        <v>72401</v>
      </c>
      <c r="H60" s="51">
        <v>85775</v>
      </c>
      <c r="I60" s="51">
        <v>71266</v>
      </c>
      <c r="J60" s="51">
        <v>59896</v>
      </c>
      <c r="K60" s="51">
        <v>67100</v>
      </c>
      <c r="L60" s="51">
        <v>68991</v>
      </c>
      <c r="M60" s="51">
        <v>59335</v>
      </c>
      <c r="N60" s="51">
        <v>67268</v>
      </c>
      <c r="O60" s="51">
        <v>65172</v>
      </c>
      <c r="P60" s="51">
        <v>68887</v>
      </c>
      <c r="Q60" s="51">
        <v>58232</v>
      </c>
      <c r="R60" s="51">
        <v>41876</v>
      </c>
      <c r="S60" s="66">
        <v>46147</v>
      </c>
      <c r="T60" s="88">
        <f t="shared" si="2"/>
        <v>1132623</v>
      </c>
      <c r="V60"/>
    </row>
    <row r="61" spans="1:22" ht="19.5" thickBot="1">
      <c r="A61" s="1" t="s">
        <v>3</v>
      </c>
      <c r="B61" s="49" t="s">
        <v>111</v>
      </c>
      <c r="C61" s="50">
        <v>223596</v>
      </c>
      <c r="D61" s="51">
        <v>268933</v>
      </c>
      <c r="E61" s="51">
        <v>294482</v>
      </c>
      <c r="F61" s="51">
        <v>290829</v>
      </c>
      <c r="G61" s="51">
        <v>211870</v>
      </c>
      <c r="H61" s="51">
        <v>294378</v>
      </c>
      <c r="I61" s="51">
        <v>263793</v>
      </c>
      <c r="J61" s="51">
        <v>201494</v>
      </c>
      <c r="K61" s="51">
        <v>247452</v>
      </c>
      <c r="L61" s="51">
        <v>197146</v>
      </c>
      <c r="M61" s="51">
        <v>223372</v>
      </c>
      <c r="N61" s="51">
        <v>268518</v>
      </c>
      <c r="O61" s="51">
        <v>220613</v>
      </c>
      <c r="P61" s="51">
        <v>262552</v>
      </c>
      <c r="Q61" s="51">
        <v>256025</v>
      </c>
      <c r="R61" s="51">
        <v>200474</v>
      </c>
      <c r="S61" s="66">
        <v>231986</v>
      </c>
      <c r="T61" s="88">
        <f t="shared" si="2"/>
        <v>4157513</v>
      </c>
      <c r="V61"/>
    </row>
    <row r="62" spans="1:22" ht="19.5" thickBot="1">
      <c r="A62" s="1" t="s">
        <v>3</v>
      </c>
      <c r="B62" s="49" t="s">
        <v>112</v>
      </c>
      <c r="C62" s="50">
        <v>219935</v>
      </c>
      <c r="D62" s="51">
        <v>248477</v>
      </c>
      <c r="E62" s="51">
        <v>278093</v>
      </c>
      <c r="F62" s="51">
        <v>259025</v>
      </c>
      <c r="G62" s="51">
        <v>201424</v>
      </c>
      <c r="H62" s="51">
        <v>269377</v>
      </c>
      <c r="I62" s="51">
        <v>243999</v>
      </c>
      <c r="J62" s="51">
        <v>188724</v>
      </c>
      <c r="K62" s="51">
        <v>229482</v>
      </c>
      <c r="L62" s="51">
        <v>181292</v>
      </c>
      <c r="M62" s="51">
        <v>212387</v>
      </c>
      <c r="N62" s="51">
        <v>252039</v>
      </c>
      <c r="O62" s="51">
        <v>208966</v>
      </c>
      <c r="P62" s="51">
        <v>243539</v>
      </c>
      <c r="Q62" s="51">
        <v>252320</v>
      </c>
      <c r="R62" s="51">
        <v>203598</v>
      </c>
      <c r="S62" s="66">
        <v>236119</v>
      </c>
      <c r="T62" s="88">
        <f t="shared" si="2"/>
        <v>3928796</v>
      </c>
      <c r="V62"/>
    </row>
    <row r="63" spans="1:22">
      <c r="A63" s="1" t="s">
        <v>3</v>
      </c>
      <c r="B63" s="26" t="s">
        <v>113</v>
      </c>
      <c r="C63" s="36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37">
        <v>0</v>
      </c>
      <c r="P63" s="37">
        <v>0</v>
      </c>
      <c r="Q63" s="37">
        <v>0</v>
      </c>
      <c r="R63" s="37">
        <v>0</v>
      </c>
      <c r="S63" s="63">
        <v>0</v>
      </c>
      <c r="T63" s="85">
        <f t="shared" si="2"/>
        <v>0</v>
      </c>
      <c r="V63"/>
    </row>
    <row r="64" spans="1:22">
      <c r="A64" s="1" t="s">
        <v>3</v>
      </c>
      <c r="B64" s="5" t="s">
        <v>114</v>
      </c>
      <c r="C64" s="20">
        <v>219935</v>
      </c>
      <c r="D64" s="21">
        <v>248477</v>
      </c>
      <c r="E64" s="21">
        <v>278093</v>
      </c>
      <c r="F64" s="21">
        <v>259025</v>
      </c>
      <c r="G64" s="21">
        <v>201424</v>
      </c>
      <c r="H64" s="21">
        <v>269377</v>
      </c>
      <c r="I64" s="21">
        <v>243999</v>
      </c>
      <c r="J64" s="21">
        <v>188724</v>
      </c>
      <c r="K64" s="21">
        <v>229482</v>
      </c>
      <c r="L64" s="21">
        <v>181292</v>
      </c>
      <c r="M64" s="21">
        <v>212387</v>
      </c>
      <c r="N64" s="21">
        <v>252039</v>
      </c>
      <c r="O64" s="21">
        <v>208966</v>
      </c>
      <c r="P64" s="21">
        <v>243539</v>
      </c>
      <c r="Q64" s="21">
        <v>252320</v>
      </c>
      <c r="R64" s="21">
        <v>203598</v>
      </c>
      <c r="S64" s="64">
        <v>236119</v>
      </c>
      <c r="T64" s="86">
        <f t="shared" si="2"/>
        <v>3928796</v>
      </c>
      <c r="V64"/>
    </row>
    <row r="65" spans="1:22">
      <c r="A65" s="1" t="s">
        <v>3</v>
      </c>
      <c r="B65" s="5" t="s">
        <v>115</v>
      </c>
      <c r="C65" s="20">
        <v>1</v>
      </c>
      <c r="D65" s="21">
        <v>0</v>
      </c>
      <c r="E65" s="21">
        <v>1</v>
      </c>
      <c r="F65" s="21">
        <v>0</v>
      </c>
      <c r="G65" s="21">
        <v>1</v>
      </c>
      <c r="H65" s="21">
        <v>0</v>
      </c>
      <c r="I65" s="21">
        <v>0</v>
      </c>
      <c r="J65" s="21">
        <v>1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3</v>
      </c>
      <c r="R65" s="21">
        <v>0</v>
      </c>
      <c r="S65" s="64">
        <v>0</v>
      </c>
      <c r="T65" s="86"/>
      <c r="V65"/>
    </row>
    <row r="66" spans="1:22" ht="19.5" thickBot="1">
      <c r="A66" s="1" t="s">
        <v>3</v>
      </c>
      <c r="B66" s="6" t="s">
        <v>116</v>
      </c>
      <c r="C66" s="23" t="s">
        <v>117</v>
      </c>
      <c r="D66" s="24" t="s">
        <v>117</v>
      </c>
      <c r="E66" s="24" t="s">
        <v>117</v>
      </c>
      <c r="F66" s="24" t="s">
        <v>117</v>
      </c>
      <c r="G66" s="24" t="s">
        <v>117</v>
      </c>
      <c r="H66" s="24" t="s">
        <v>117</v>
      </c>
      <c r="I66" s="24" t="s">
        <v>117</v>
      </c>
      <c r="J66" s="24" t="s">
        <v>117</v>
      </c>
      <c r="K66" s="24" t="s">
        <v>117</v>
      </c>
      <c r="L66" s="24" t="s">
        <v>117</v>
      </c>
      <c r="M66" s="24" t="s">
        <v>117</v>
      </c>
      <c r="N66" s="24" t="s">
        <v>117</v>
      </c>
      <c r="O66" s="24" t="s">
        <v>117</v>
      </c>
      <c r="P66" s="24" t="s">
        <v>117</v>
      </c>
      <c r="Q66" s="24" t="s">
        <v>117</v>
      </c>
      <c r="R66" s="24" t="s">
        <v>117</v>
      </c>
      <c r="S66" s="67" t="s">
        <v>117</v>
      </c>
      <c r="T66" s="89"/>
    </row>
  </sheetData>
  <phoneticPr fontId="3"/>
  <pageMargins left="0.11811023622047245" right="0.11811023622047245" top="0.15748031496062992" bottom="0.15748031496062992" header="0.11811023622047245" footer="0.11811023622047245"/>
  <pageSetup paperSize="9" scale="46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2021年 8月度給与 (3)</vt:lpstr>
      <vt:lpstr>2021年 8月度給与 (4)</vt:lpstr>
      <vt:lpstr>'2021年 8月度給与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2021-09-13T06:45:04Z</cp:lastPrinted>
  <dcterms:created xsi:type="dcterms:W3CDTF">2021-09-09T01:34:48Z</dcterms:created>
  <dcterms:modified xsi:type="dcterms:W3CDTF">2021-09-13T07:15:45Z</dcterms:modified>
</cp:coreProperties>
</file>