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8\"/>
    </mc:Choice>
  </mc:AlternateContent>
  <xr:revisionPtr revIDLastSave="0" documentId="13_ncr:1_{433F6F66-791E-4F4A-9FF2-53D5DB14A410}" xr6:coauthVersionLast="47" xr6:coauthVersionMax="47" xr10:uidLastSave="{00000000-0000-0000-0000-000000000000}"/>
  <bookViews>
    <workbookView xWindow="-120" yWindow="-120" windowWidth="20730" windowHeight="11160" xr2:uid="{7E79B62F-425A-4D08-A15B-DC1A723D441B}"/>
  </bookViews>
  <sheets>
    <sheet name="2021年 8月度給与 (2)" sheetId="3" r:id="rId1"/>
  </sheets>
  <definedNames>
    <definedName name="_xlnm.Print_Area" localSheetId="0">'2021年 8月度給与 (2)'!$A$1:$M$69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0" i="3"/>
  <c r="M12" i="3"/>
  <c r="M13" i="3"/>
  <c r="M18" i="3"/>
  <c r="M19" i="3"/>
  <c r="M20" i="3"/>
  <c r="M22" i="3"/>
  <c r="M24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26" i="3"/>
  <c r="L25" i="3"/>
  <c r="L21" i="3"/>
  <c r="M21" i="3" s="1"/>
  <c r="L17" i="3"/>
  <c r="M17" i="3" s="1"/>
  <c r="L16" i="3"/>
  <c r="M16" i="3" s="1"/>
  <c r="L14" i="3"/>
  <c r="L11" i="3"/>
  <c r="L8" i="3"/>
  <c r="M8" i="3" s="1"/>
  <c r="L7" i="3"/>
  <c r="J27" i="3"/>
  <c r="J28" i="3"/>
  <c r="M28" i="3" s="1"/>
  <c r="J29" i="3"/>
  <c r="M29" i="3" s="1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26" i="3"/>
  <c r="M26" i="3" s="1"/>
  <c r="J25" i="3"/>
  <c r="M25" i="3" s="1"/>
  <c r="J23" i="3"/>
  <c r="M23" i="3" s="1"/>
  <c r="J15" i="3"/>
  <c r="M15" i="3" s="1"/>
  <c r="J14" i="3"/>
  <c r="M14" i="3" s="1"/>
  <c r="J11" i="3"/>
  <c r="M11" i="3" s="1"/>
  <c r="J7" i="3"/>
  <c r="F33" i="3"/>
  <c r="F34" i="3"/>
  <c r="M34" i="3" s="1"/>
  <c r="F35" i="3"/>
  <c r="M35" i="3" s="1"/>
  <c r="F36" i="3"/>
  <c r="F37" i="3"/>
  <c r="F38" i="3"/>
  <c r="M38" i="3" s="1"/>
  <c r="F39" i="3"/>
  <c r="M39" i="3" s="1"/>
  <c r="F40" i="3"/>
  <c r="F41" i="3"/>
  <c r="F42" i="3"/>
  <c r="M42" i="3" s="1"/>
  <c r="F43" i="3"/>
  <c r="M43" i="3" s="1"/>
  <c r="F44" i="3"/>
  <c r="F45" i="3"/>
  <c r="F46" i="3"/>
  <c r="M46" i="3" s="1"/>
  <c r="F47" i="3"/>
  <c r="M47" i="3" s="1"/>
  <c r="F48" i="3"/>
  <c r="F49" i="3"/>
  <c r="F50" i="3"/>
  <c r="M50" i="3" s="1"/>
  <c r="F51" i="3"/>
  <c r="M51" i="3" s="1"/>
  <c r="F52" i="3"/>
  <c r="F53" i="3"/>
  <c r="F54" i="3"/>
  <c r="M54" i="3" s="1"/>
  <c r="F55" i="3"/>
  <c r="M55" i="3" s="1"/>
  <c r="F56" i="3"/>
  <c r="F57" i="3"/>
  <c r="F58" i="3"/>
  <c r="M58" i="3" s="1"/>
  <c r="F59" i="3"/>
  <c r="M59" i="3" s="1"/>
  <c r="F60" i="3"/>
  <c r="F61" i="3"/>
  <c r="F62" i="3"/>
  <c r="M62" i="3" s="1"/>
  <c r="F63" i="3"/>
  <c r="M63" i="3" s="1"/>
  <c r="F64" i="3"/>
  <c r="F65" i="3"/>
  <c r="F66" i="3"/>
  <c r="M66" i="3" s="1"/>
  <c r="F67" i="3"/>
  <c r="M67" i="3" s="1"/>
  <c r="F32" i="3"/>
  <c r="F7" i="3"/>
  <c r="M7" i="3" s="1"/>
  <c r="M65" i="3" l="1"/>
  <c r="M61" i="3"/>
  <c r="M57" i="3"/>
  <c r="M53" i="3"/>
  <c r="M49" i="3"/>
  <c r="M45" i="3"/>
  <c r="M41" i="3"/>
  <c r="M37" i="3"/>
  <c r="M33" i="3"/>
  <c r="M31" i="3"/>
  <c r="M27" i="3"/>
  <c r="M32" i="3"/>
  <c r="M64" i="3"/>
  <c r="M60" i="3"/>
  <c r="M56" i="3"/>
  <c r="M52" i="3"/>
  <c r="M48" i="3"/>
  <c r="M44" i="3"/>
  <c r="M40" i="3"/>
  <c r="M36" i="3"/>
  <c r="M30" i="3"/>
</calcChain>
</file>

<file path=xl/sharedStrings.xml><?xml version="1.0" encoding="utf-8"?>
<sst xmlns="http://schemas.openxmlformats.org/spreadsheetml/2006/main" count="159" uniqueCount="86">
  <si>
    <t>支給控除一覧表</t>
    <phoneticPr fontId="4"/>
  </si>
  <si>
    <t>若林運送株式会社</t>
    <phoneticPr fontId="4"/>
  </si>
  <si>
    <t>2021年 9月 9日 作成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</si>
  <si>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</si>
  <si>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</si>
  <si>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</si>
  <si>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</si>
  <si>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</si>
  <si>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</si>
  <si>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</si>
  <si>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</si>
  <si>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</si>
  <si>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</si>
  <si>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</si>
  <si>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</si>
  <si>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</si>
  <si>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</si>
  <si>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高田智幸</t>
    <phoneticPr fontId="4"/>
  </si>
  <si>
    <t>渋谷晶子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</si>
  <si>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</si>
  <si>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</si>
  <si>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</si>
  <si>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</si>
  <si>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</si>
  <si>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</si>
  <si>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</si>
  <si>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</si>
  <si>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</si>
  <si>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</si>
  <si>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</si>
  <si>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</si>
  <si>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</si>
  <si>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</si>
  <si>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</si>
  <si>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</si>
  <si>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</si>
  <si>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</si>
  <si>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</si>
  <si>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</si>
  <si>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</si>
  <si>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</si>
  <si>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</si>
  <si>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</si>
  <si>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</si>
  <si>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</si>
  <si>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</si>
  <si>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</si>
  <si>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</si>
  <si>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</si>
  <si>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</si>
  <si>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</si>
  <si>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</si>
  <si>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</si>
  <si>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</si>
  <si>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</si>
  <si>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</si>
  <si>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</si>
  <si>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</si>
  <si>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</si>
  <si>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</si>
  <si>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</si>
  <si>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</si>
  <si>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</si>
  <si>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</si>
  <si>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</si>
  <si>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</si>
  <si>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</si>
  <si>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</si>
  <si>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</si>
  <si>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</si>
  <si>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</si>
  <si>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</si>
  <si>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</si>
  <si>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</si>
  <si>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</si>
  <si>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</si>
  <si>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</si>
  <si>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</si>
  <si>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</si>
  <si>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</si>
  <si>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</si>
  <si>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</si>
  <si>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 8月度給与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</si>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</sst>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49" fontId="2" fillId="0" borderId="45" xfId="1" applyNumberFormat="1" applyFont="1" applyBorder="1"/>
    <xf numFmtId="49" fontId="2" fillId="0" borderId="49" xfId="1" applyNumberFormat="1" applyFont="1" applyBorder="1" applyAlignment="1">
      <alignment horizontal="center"/>
    </xf>
    <xf numFmtId="49" fontId="2" fillId="0" borderId="50" xfId="1" applyNumberFormat="1" applyFont="1" applyBorder="1" applyAlignment="1">
      <alignment horizontal="center"/>
    </xf>
    <xf numFmtId="2" fontId="2" fillId="0" borderId="51" xfId="1" applyNumberFormat="1" applyFont="1" applyBorder="1"/>
    <xf numFmtId="2" fontId="2" fillId="0" borderId="52" xfId="1" applyNumberFormat="1" applyFont="1" applyBorder="1"/>
    <xf numFmtId="176" fontId="2" fillId="0" borderId="52" xfId="1" applyNumberFormat="1" applyFont="1" applyBorder="1"/>
    <xf numFmtId="2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49" fontId="2" fillId="0" borderId="50" xfId="1" applyNumberFormat="1" applyFont="1" applyBorder="1"/>
    <xf numFmtId="0" fontId="2" fillId="0" borderId="55" xfId="1" applyFont="1" applyBorder="1"/>
  </cellXfs>
  <cellStyles count="2">
    <cellStyle name="標準" xfId="0" builtinId="0"/>
    <cellStyle name="標準 2" xfId="1" xr:uid="{8F184D1F-4D0F-4C46-A9E8-21A2B9317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264F-ABB5-417A-846D-D06E92A98EDA}">
  <sheetPr>
    <pageSetUpPr fitToPage="1"/>
  </sheetPr>
  <dimension ref="A1:O69"/>
  <sheetViews>
    <sheetView showZeros="0" tabSelected="1" workbookViewId="0">
      <selection activeCell="A2" sqref="A2"/>
    </sheetView>
  </sheetViews>
  <sheetFormatPr defaultRowHeight="18.75"/>
  <cols>
    <col min="1" max="1" width="2.375" style="2" customWidth="1"/>
    <col min="2" max="2" width="13.25" style="2" bestFit="1" customWidth="1"/>
    <col min="3" max="13" width="10.125" style="2" customWidth="1"/>
    <col min="1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5" width="9" style="2"/>
    <col min="266" max="266" width="11.125" style="2" bestFit="1" customWidth="1"/>
    <col min="267" max="268" width="9" style="2"/>
    <col min="269" max="269" width="9.625" style="2" bestFit="1" customWidth="1"/>
    <col min="27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1" width="9" style="2"/>
    <col min="522" max="522" width="11.125" style="2" bestFit="1" customWidth="1"/>
    <col min="523" max="524" width="9" style="2"/>
    <col min="525" max="525" width="9.625" style="2" bestFit="1" customWidth="1"/>
    <col min="52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7" width="9" style="2"/>
    <col min="778" max="778" width="11.125" style="2" bestFit="1" customWidth="1"/>
    <col min="779" max="780" width="9" style="2"/>
    <col min="781" max="781" width="9.625" style="2" bestFit="1" customWidth="1"/>
    <col min="78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3" width="9" style="2"/>
    <col min="1034" max="1034" width="11.125" style="2" bestFit="1" customWidth="1"/>
    <col min="1035" max="1036" width="9" style="2"/>
    <col min="1037" max="1037" width="9.625" style="2" bestFit="1" customWidth="1"/>
    <col min="103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9" width="9" style="2"/>
    <col min="1290" max="1290" width="11.125" style="2" bestFit="1" customWidth="1"/>
    <col min="1291" max="1292" width="9" style="2"/>
    <col min="1293" max="1293" width="9.625" style="2" bestFit="1" customWidth="1"/>
    <col min="129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5" width="9" style="2"/>
    <col min="1546" max="1546" width="11.125" style="2" bestFit="1" customWidth="1"/>
    <col min="1547" max="1548" width="9" style="2"/>
    <col min="1549" max="1549" width="9.625" style="2" bestFit="1" customWidth="1"/>
    <col min="155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1" width="9" style="2"/>
    <col min="1802" max="1802" width="11.125" style="2" bestFit="1" customWidth="1"/>
    <col min="1803" max="1804" width="9" style="2"/>
    <col min="1805" max="1805" width="9.625" style="2" bestFit="1" customWidth="1"/>
    <col min="180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7" width="9" style="2"/>
    <col min="2058" max="2058" width="11.125" style="2" bestFit="1" customWidth="1"/>
    <col min="2059" max="2060" width="9" style="2"/>
    <col min="2061" max="2061" width="9.625" style="2" bestFit="1" customWidth="1"/>
    <col min="206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3" width="9" style="2"/>
    <col min="2314" max="2314" width="11.125" style="2" bestFit="1" customWidth="1"/>
    <col min="2315" max="2316" width="9" style="2"/>
    <col min="2317" max="2317" width="9.625" style="2" bestFit="1" customWidth="1"/>
    <col min="231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9" width="9" style="2"/>
    <col min="2570" max="2570" width="11.125" style="2" bestFit="1" customWidth="1"/>
    <col min="2571" max="2572" width="9" style="2"/>
    <col min="2573" max="2573" width="9.625" style="2" bestFit="1" customWidth="1"/>
    <col min="257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5" width="9" style="2"/>
    <col min="2826" max="2826" width="11.125" style="2" bestFit="1" customWidth="1"/>
    <col min="2827" max="2828" width="9" style="2"/>
    <col min="2829" max="2829" width="9.625" style="2" bestFit="1" customWidth="1"/>
    <col min="283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1" width="9" style="2"/>
    <col min="3082" max="3082" width="11.125" style="2" bestFit="1" customWidth="1"/>
    <col min="3083" max="3084" width="9" style="2"/>
    <col min="3085" max="3085" width="9.625" style="2" bestFit="1" customWidth="1"/>
    <col min="308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7" width="9" style="2"/>
    <col min="3338" max="3338" width="11.125" style="2" bestFit="1" customWidth="1"/>
    <col min="3339" max="3340" width="9" style="2"/>
    <col min="3341" max="3341" width="9.625" style="2" bestFit="1" customWidth="1"/>
    <col min="334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3" width="9" style="2"/>
    <col min="3594" max="3594" width="11.125" style="2" bestFit="1" customWidth="1"/>
    <col min="3595" max="3596" width="9" style="2"/>
    <col min="3597" max="3597" width="9.625" style="2" bestFit="1" customWidth="1"/>
    <col min="359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9" width="9" style="2"/>
    <col min="3850" max="3850" width="11.125" style="2" bestFit="1" customWidth="1"/>
    <col min="3851" max="3852" width="9" style="2"/>
    <col min="3853" max="3853" width="9.625" style="2" bestFit="1" customWidth="1"/>
    <col min="385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5" width="9" style="2"/>
    <col min="4106" max="4106" width="11.125" style="2" bestFit="1" customWidth="1"/>
    <col min="4107" max="4108" width="9" style="2"/>
    <col min="4109" max="4109" width="9.625" style="2" bestFit="1" customWidth="1"/>
    <col min="411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1" width="9" style="2"/>
    <col min="4362" max="4362" width="11.125" style="2" bestFit="1" customWidth="1"/>
    <col min="4363" max="4364" width="9" style="2"/>
    <col min="4365" max="4365" width="9.625" style="2" bestFit="1" customWidth="1"/>
    <col min="436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7" width="9" style="2"/>
    <col min="4618" max="4618" width="11.125" style="2" bestFit="1" customWidth="1"/>
    <col min="4619" max="4620" width="9" style="2"/>
    <col min="4621" max="4621" width="9.625" style="2" bestFit="1" customWidth="1"/>
    <col min="462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3" width="9" style="2"/>
    <col min="4874" max="4874" width="11.125" style="2" bestFit="1" customWidth="1"/>
    <col min="4875" max="4876" width="9" style="2"/>
    <col min="4877" max="4877" width="9.625" style="2" bestFit="1" customWidth="1"/>
    <col min="487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9" width="9" style="2"/>
    <col min="5130" max="5130" width="11.125" style="2" bestFit="1" customWidth="1"/>
    <col min="5131" max="5132" width="9" style="2"/>
    <col min="5133" max="5133" width="9.625" style="2" bestFit="1" customWidth="1"/>
    <col min="513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5" width="9" style="2"/>
    <col min="5386" max="5386" width="11.125" style="2" bestFit="1" customWidth="1"/>
    <col min="5387" max="5388" width="9" style="2"/>
    <col min="5389" max="5389" width="9.625" style="2" bestFit="1" customWidth="1"/>
    <col min="539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1" width="9" style="2"/>
    <col min="5642" max="5642" width="11.125" style="2" bestFit="1" customWidth="1"/>
    <col min="5643" max="5644" width="9" style="2"/>
    <col min="5645" max="5645" width="9.625" style="2" bestFit="1" customWidth="1"/>
    <col min="564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7" width="9" style="2"/>
    <col min="5898" max="5898" width="11.125" style="2" bestFit="1" customWidth="1"/>
    <col min="5899" max="5900" width="9" style="2"/>
    <col min="5901" max="5901" width="9.625" style="2" bestFit="1" customWidth="1"/>
    <col min="590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3" width="9" style="2"/>
    <col min="6154" max="6154" width="11.125" style="2" bestFit="1" customWidth="1"/>
    <col min="6155" max="6156" width="9" style="2"/>
    <col min="6157" max="6157" width="9.625" style="2" bestFit="1" customWidth="1"/>
    <col min="615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9" width="9" style="2"/>
    <col min="6410" max="6410" width="11.125" style="2" bestFit="1" customWidth="1"/>
    <col min="6411" max="6412" width="9" style="2"/>
    <col min="6413" max="6413" width="9.625" style="2" bestFit="1" customWidth="1"/>
    <col min="641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5" width="9" style="2"/>
    <col min="6666" max="6666" width="11.125" style="2" bestFit="1" customWidth="1"/>
    <col min="6667" max="6668" width="9" style="2"/>
    <col min="6669" max="6669" width="9.625" style="2" bestFit="1" customWidth="1"/>
    <col min="667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1" width="9" style="2"/>
    <col min="6922" max="6922" width="11.125" style="2" bestFit="1" customWidth="1"/>
    <col min="6923" max="6924" width="9" style="2"/>
    <col min="6925" max="6925" width="9.625" style="2" bestFit="1" customWidth="1"/>
    <col min="692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7" width="9" style="2"/>
    <col min="7178" max="7178" width="11.125" style="2" bestFit="1" customWidth="1"/>
    <col min="7179" max="7180" width="9" style="2"/>
    <col min="7181" max="7181" width="9.625" style="2" bestFit="1" customWidth="1"/>
    <col min="718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3" width="9" style="2"/>
    <col min="7434" max="7434" width="11.125" style="2" bestFit="1" customWidth="1"/>
    <col min="7435" max="7436" width="9" style="2"/>
    <col min="7437" max="7437" width="9.625" style="2" bestFit="1" customWidth="1"/>
    <col min="743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9" width="9" style="2"/>
    <col min="7690" max="7690" width="11.125" style="2" bestFit="1" customWidth="1"/>
    <col min="7691" max="7692" width="9" style="2"/>
    <col min="7693" max="7693" width="9.625" style="2" bestFit="1" customWidth="1"/>
    <col min="769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5" width="9" style="2"/>
    <col min="7946" max="7946" width="11.125" style="2" bestFit="1" customWidth="1"/>
    <col min="7947" max="7948" width="9" style="2"/>
    <col min="7949" max="7949" width="9.625" style="2" bestFit="1" customWidth="1"/>
    <col min="795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1" width="9" style="2"/>
    <col min="8202" max="8202" width="11.125" style="2" bestFit="1" customWidth="1"/>
    <col min="8203" max="8204" width="9" style="2"/>
    <col min="8205" max="8205" width="9.625" style="2" bestFit="1" customWidth="1"/>
    <col min="820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7" width="9" style="2"/>
    <col min="8458" max="8458" width="11.125" style="2" bestFit="1" customWidth="1"/>
    <col min="8459" max="8460" width="9" style="2"/>
    <col min="8461" max="8461" width="9.625" style="2" bestFit="1" customWidth="1"/>
    <col min="846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3" width="9" style="2"/>
    <col min="8714" max="8714" width="11.125" style="2" bestFit="1" customWidth="1"/>
    <col min="8715" max="8716" width="9" style="2"/>
    <col min="8717" max="8717" width="9.625" style="2" bestFit="1" customWidth="1"/>
    <col min="871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9" width="9" style="2"/>
    <col min="8970" max="8970" width="11.125" style="2" bestFit="1" customWidth="1"/>
    <col min="8971" max="8972" width="9" style="2"/>
    <col min="8973" max="8973" width="9.625" style="2" bestFit="1" customWidth="1"/>
    <col min="897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5" width="9" style="2"/>
    <col min="9226" max="9226" width="11.125" style="2" bestFit="1" customWidth="1"/>
    <col min="9227" max="9228" width="9" style="2"/>
    <col min="9229" max="9229" width="9.625" style="2" bestFit="1" customWidth="1"/>
    <col min="923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1" width="9" style="2"/>
    <col min="9482" max="9482" width="11.125" style="2" bestFit="1" customWidth="1"/>
    <col min="9483" max="9484" width="9" style="2"/>
    <col min="9485" max="9485" width="9.625" style="2" bestFit="1" customWidth="1"/>
    <col min="948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7" width="9" style="2"/>
    <col min="9738" max="9738" width="11.125" style="2" bestFit="1" customWidth="1"/>
    <col min="9739" max="9740" width="9" style="2"/>
    <col min="9741" max="9741" width="9.625" style="2" bestFit="1" customWidth="1"/>
    <col min="974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3" width="9" style="2"/>
    <col min="9994" max="9994" width="11.125" style="2" bestFit="1" customWidth="1"/>
    <col min="9995" max="9996" width="9" style="2"/>
    <col min="9997" max="9997" width="9.625" style="2" bestFit="1" customWidth="1"/>
    <col min="999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9" width="9" style="2"/>
    <col min="10250" max="10250" width="11.125" style="2" bestFit="1" customWidth="1"/>
    <col min="10251" max="10252" width="9" style="2"/>
    <col min="10253" max="10253" width="9.625" style="2" bestFit="1" customWidth="1"/>
    <col min="1025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5" width="9" style="2"/>
    <col min="10506" max="10506" width="11.125" style="2" bestFit="1" customWidth="1"/>
    <col min="10507" max="10508" width="9" style="2"/>
    <col min="10509" max="10509" width="9.625" style="2" bestFit="1" customWidth="1"/>
    <col min="1051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1" width="9" style="2"/>
    <col min="10762" max="10762" width="11.125" style="2" bestFit="1" customWidth="1"/>
    <col min="10763" max="10764" width="9" style="2"/>
    <col min="10765" max="10765" width="9.625" style="2" bestFit="1" customWidth="1"/>
    <col min="1076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7" width="9" style="2"/>
    <col min="11018" max="11018" width="11.125" style="2" bestFit="1" customWidth="1"/>
    <col min="11019" max="11020" width="9" style="2"/>
    <col min="11021" max="11021" width="9.625" style="2" bestFit="1" customWidth="1"/>
    <col min="1102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3" width="9" style="2"/>
    <col min="11274" max="11274" width="11.125" style="2" bestFit="1" customWidth="1"/>
    <col min="11275" max="11276" width="9" style="2"/>
    <col min="11277" max="11277" width="9.625" style="2" bestFit="1" customWidth="1"/>
    <col min="1127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9" width="9" style="2"/>
    <col min="11530" max="11530" width="11.125" style="2" bestFit="1" customWidth="1"/>
    <col min="11531" max="11532" width="9" style="2"/>
    <col min="11533" max="11533" width="9.625" style="2" bestFit="1" customWidth="1"/>
    <col min="1153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5" width="9" style="2"/>
    <col min="11786" max="11786" width="11.125" style="2" bestFit="1" customWidth="1"/>
    <col min="11787" max="11788" width="9" style="2"/>
    <col min="11789" max="11789" width="9.625" style="2" bestFit="1" customWidth="1"/>
    <col min="1179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1" width="9" style="2"/>
    <col min="12042" max="12042" width="11.125" style="2" bestFit="1" customWidth="1"/>
    <col min="12043" max="12044" width="9" style="2"/>
    <col min="12045" max="12045" width="9.625" style="2" bestFit="1" customWidth="1"/>
    <col min="1204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7" width="9" style="2"/>
    <col min="12298" max="12298" width="11.125" style="2" bestFit="1" customWidth="1"/>
    <col min="12299" max="12300" width="9" style="2"/>
    <col min="12301" max="12301" width="9.625" style="2" bestFit="1" customWidth="1"/>
    <col min="1230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3" width="9" style="2"/>
    <col min="12554" max="12554" width="11.125" style="2" bestFit="1" customWidth="1"/>
    <col min="12555" max="12556" width="9" style="2"/>
    <col min="12557" max="12557" width="9.625" style="2" bestFit="1" customWidth="1"/>
    <col min="1255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9" width="9" style="2"/>
    <col min="12810" max="12810" width="11.125" style="2" bestFit="1" customWidth="1"/>
    <col min="12811" max="12812" width="9" style="2"/>
    <col min="12813" max="12813" width="9.625" style="2" bestFit="1" customWidth="1"/>
    <col min="1281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5" width="9" style="2"/>
    <col min="13066" max="13066" width="11.125" style="2" bestFit="1" customWidth="1"/>
    <col min="13067" max="13068" width="9" style="2"/>
    <col min="13069" max="13069" width="9.625" style="2" bestFit="1" customWidth="1"/>
    <col min="1307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1" width="9" style="2"/>
    <col min="13322" max="13322" width="11.125" style="2" bestFit="1" customWidth="1"/>
    <col min="13323" max="13324" width="9" style="2"/>
    <col min="13325" max="13325" width="9.625" style="2" bestFit="1" customWidth="1"/>
    <col min="1332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7" width="9" style="2"/>
    <col min="13578" max="13578" width="11.125" style="2" bestFit="1" customWidth="1"/>
    <col min="13579" max="13580" width="9" style="2"/>
    <col min="13581" max="13581" width="9.625" style="2" bestFit="1" customWidth="1"/>
    <col min="1358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3" width="9" style="2"/>
    <col min="13834" max="13834" width="11.125" style="2" bestFit="1" customWidth="1"/>
    <col min="13835" max="13836" width="9" style="2"/>
    <col min="13837" max="13837" width="9.625" style="2" bestFit="1" customWidth="1"/>
    <col min="1383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9" width="9" style="2"/>
    <col min="14090" max="14090" width="11.125" style="2" bestFit="1" customWidth="1"/>
    <col min="14091" max="14092" width="9" style="2"/>
    <col min="14093" max="14093" width="9.625" style="2" bestFit="1" customWidth="1"/>
    <col min="1409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5" width="9" style="2"/>
    <col min="14346" max="14346" width="11.125" style="2" bestFit="1" customWidth="1"/>
    <col min="14347" max="14348" width="9" style="2"/>
    <col min="14349" max="14349" width="9.625" style="2" bestFit="1" customWidth="1"/>
    <col min="1435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1" width="9" style="2"/>
    <col min="14602" max="14602" width="11.125" style="2" bestFit="1" customWidth="1"/>
    <col min="14603" max="14604" width="9" style="2"/>
    <col min="14605" max="14605" width="9.625" style="2" bestFit="1" customWidth="1"/>
    <col min="1460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7" width="9" style="2"/>
    <col min="14858" max="14858" width="11.125" style="2" bestFit="1" customWidth="1"/>
    <col min="14859" max="14860" width="9" style="2"/>
    <col min="14861" max="14861" width="9.625" style="2" bestFit="1" customWidth="1"/>
    <col min="1486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3" width="9" style="2"/>
    <col min="15114" max="15114" width="11.125" style="2" bestFit="1" customWidth="1"/>
    <col min="15115" max="15116" width="9" style="2"/>
    <col min="15117" max="15117" width="9.625" style="2" bestFit="1" customWidth="1"/>
    <col min="1511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9" width="9" style="2"/>
    <col min="15370" max="15370" width="11.125" style="2" bestFit="1" customWidth="1"/>
    <col min="15371" max="15372" width="9" style="2"/>
    <col min="15373" max="15373" width="9.625" style="2" bestFit="1" customWidth="1"/>
    <col min="1537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5" width="9" style="2"/>
    <col min="15626" max="15626" width="11.125" style="2" bestFit="1" customWidth="1"/>
    <col min="15627" max="15628" width="9" style="2"/>
    <col min="15629" max="15629" width="9.625" style="2" bestFit="1" customWidth="1"/>
    <col min="1563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1" width="9" style="2"/>
    <col min="15882" max="15882" width="11.125" style="2" bestFit="1" customWidth="1"/>
    <col min="15883" max="15884" width="9" style="2"/>
    <col min="15885" max="15885" width="9.625" style="2" bestFit="1" customWidth="1"/>
    <col min="1588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7" width="9" style="2"/>
    <col min="16138" max="16138" width="11.125" style="2" bestFit="1" customWidth="1"/>
    <col min="16139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82</v>
      </c>
    </row>
    <row r="5" spans="1:15">
      <c r="B5" s="3"/>
      <c r="C5" s="11" t="s">
        <v>4</v>
      </c>
      <c r="D5" s="12" t="s">
        <v>5</v>
      </c>
      <c r="E5" s="54" t="s">
        <v>6</v>
      </c>
      <c r="F5" s="76" t="s">
        <v>83</v>
      </c>
      <c r="G5" s="65" t="s">
        <v>7</v>
      </c>
      <c r="H5" s="12" t="s">
        <v>8</v>
      </c>
      <c r="I5" s="13" t="s">
        <v>10</v>
      </c>
      <c r="J5" s="76" t="s">
        <v>83</v>
      </c>
      <c r="K5" s="87" t="s">
        <v>9</v>
      </c>
      <c r="L5" s="76" t="s">
        <v>83</v>
      </c>
      <c r="M5" s="4"/>
      <c r="O5"/>
    </row>
    <row r="6" spans="1:15" ht="19.5" thickBot="1">
      <c r="A6" s="98"/>
      <c r="B6" s="31" t="s">
        <v>11</v>
      </c>
      <c r="C6" s="32" t="s">
        <v>12</v>
      </c>
      <c r="D6" s="33" t="s">
        <v>13</v>
      </c>
      <c r="E6" s="55" t="s">
        <v>14</v>
      </c>
      <c r="F6" s="77" t="s">
        <v>84</v>
      </c>
      <c r="G6" s="66" t="s">
        <v>15</v>
      </c>
      <c r="H6" s="33" t="s">
        <v>16</v>
      </c>
      <c r="I6" s="34" t="s">
        <v>18</v>
      </c>
      <c r="J6" s="77" t="s">
        <v>84</v>
      </c>
      <c r="K6" s="88" t="s">
        <v>17</v>
      </c>
      <c r="L6" s="77" t="s">
        <v>85</v>
      </c>
      <c r="M6" s="35" t="s">
        <v>19</v>
      </c>
      <c r="O6"/>
    </row>
    <row r="7" spans="1:15">
      <c r="A7" s="1" t="s">
        <v>3</v>
      </c>
      <c r="B7" s="26" t="s">
        <v>20</v>
      </c>
      <c r="C7" s="27">
        <v>20</v>
      </c>
      <c r="D7" s="28">
        <v>0</v>
      </c>
      <c r="E7" s="56">
        <v>0</v>
      </c>
      <c r="F7" s="78">
        <f>SUM(C7:E7)</f>
        <v>20</v>
      </c>
      <c r="G7" s="67">
        <v>21</v>
      </c>
      <c r="H7" s="28">
        <v>19</v>
      </c>
      <c r="I7" s="29">
        <v>14</v>
      </c>
      <c r="J7" s="78">
        <f>SUM(G7:I7)</f>
        <v>54</v>
      </c>
      <c r="K7" s="89">
        <v>17</v>
      </c>
      <c r="L7" s="78">
        <f>SUM(K7)</f>
        <v>17</v>
      </c>
      <c r="M7" s="30">
        <f>F7+J7+L7</f>
        <v>91</v>
      </c>
      <c r="O7"/>
    </row>
    <row r="8" spans="1:15">
      <c r="A8" s="1" t="s">
        <v>3</v>
      </c>
      <c r="B8" s="5" t="s">
        <v>21</v>
      </c>
      <c r="C8" s="14">
        <v>0</v>
      </c>
      <c r="D8" s="15">
        <v>0</v>
      </c>
      <c r="E8" s="57">
        <v>0</v>
      </c>
      <c r="F8" s="79"/>
      <c r="G8" s="68">
        <v>0</v>
      </c>
      <c r="H8" s="15">
        <v>0</v>
      </c>
      <c r="I8" s="16">
        <v>0</v>
      </c>
      <c r="J8" s="79"/>
      <c r="K8" s="90">
        <v>1</v>
      </c>
      <c r="L8" s="79">
        <f>SUM(K8)</f>
        <v>1</v>
      </c>
      <c r="M8" s="7">
        <f t="shared" ref="M8:M67" si="0">F8+J8+L8</f>
        <v>1</v>
      </c>
      <c r="O8"/>
    </row>
    <row r="9" spans="1:15">
      <c r="A9" s="1" t="s">
        <v>3</v>
      </c>
      <c r="B9" s="5" t="s">
        <v>22</v>
      </c>
      <c r="C9" s="14">
        <v>0</v>
      </c>
      <c r="D9" s="15">
        <v>0</v>
      </c>
      <c r="E9" s="57">
        <v>0</v>
      </c>
      <c r="F9" s="79"/>
      <c r="G9" s="68">
        <v>0</v>
      </c>
      <c r="H9" s="15">
        <v>0</v>
      </c>
      <c r="I9" s="16">
        <v>0</v>
      </c>
      <c r="J9" s="79"/>
      <c r="K9" s="90">
        <v>0</v>
      </c>
      <c r="L9" s="79"/>
      <c r="M9" s="7">
        <f t="shared" si="0"/>
        <v>0</v>
      </c>
      <c r="O9"/>
    </row>
    <row r="10" spans="1:15">
      <c r="A10" s="1" t="s">
        <v>3</v>
      </c>
      <c r="B10" s="5" t="s">
        <v>23</v>
      </c>
      <c r="C10" s="14">
        <v>0</v>
      </c>
      <c r="D10" s="15">
        <v>0</v>
      </c>
      <c r="E10" s="57">
        <v>0</v>
      </c>
      <c r="F10" s="79"/>
      <c r="G10" s="68">
        <v>0</v>
      </c>
      <c r="H10" s="15">
        <v>0</v>
      </c>
      <c r="I10" s="16">
        <v>0</v>
      </c>
      <c r="J10" s="79"/>
      <c r="K10" s="90">
        <v>0</v>
      </c>
      <c r="L10" s="79"/>
      <c r="M10" s="7">
        <f t="shared" si="0"/>
        <v>0</v>
      </c>
      <c r="O10"/>
    </row>
    <row r="11" spans="1:15">
      <c r="A11" s="1" t="s">
        <v>3</v>
      </c>
      <c r="B11" s="5" t="s">
        <v>24</v>
      </c>
      <c r="C11" s="14">
        <v>0</v>
      </c>
      <c r="D11" s="15">
        <v>0</v>
      </c>
      <c r="E11" s="57">
        <v>0</v>
      </c>
      <c r="F11" s="79"/>
      <c r="G11" s="68">
        <v>0</v>
      </c>
      <c r="H11" s="15">
        <v>2</v>
      </c>
      <c r="I11" s="16">
        <v>2</v>
      </c>
      <c r="J11" s="79">
        <f>SUM(G11:I11)</f>
        <v>4</v>
      </c>
      <c r="K11" s="90">
        <v>4</v>
      </c>
      <c r="L11" s="79">
        <f>SUM(K11)</f>
        <v>4</v>
      </c>
      <c r="M11" s="7">
        <f t="shared" si="0"/>
        <v>8</v>
      </c>
      <c r="O11"/>
    </row>
    <row r="12" spans="1:15">
      <c r="A12" s="1" t="s">
        <v>3</v>
      </c>
      <c r="B12" s="5" t="s">
        <v>25</v>
      </c>
      <c r="C12" s="14">
        <v>0</v>
      </c>
      <c r="D12" s="15">
        <v>0</v>
      </c>
      <c r="E12" s="57">
        <v>0</v>
      </c>
      <c r="F12" s="79"/>
      <c r="G12" s="68">
        <v>0</v>
      </c>
      <c r="H12" s="15">
        <v>0</v>
      </c>
      <c r="I12" s="16">
        <v>0</v>
      </c>
      <c r="J12" s="79"/>
      <c r="K12" s="90">
        <v>0</v>
      </c>
      <c r="L12" s="79"/>
      <c r="M12" s="7">
        <f t="shared" si="0"/>
        <v>0</v>
      </c>
      <c r="O12"/>
    </row>
    <row r="13" spans="1:15">
      <c r="A13" s="1" t="s">
        <v>3</v>
      </c>
      <c r="B13" s="5" t="s">
        <v>26</v>
      </c>
      <c r="C13" s="14">
        <v>0</v>
      </c>
      <c r="D13" s="15">
        <v>0</v>
      </c>
      <c r="E13" s="57">
        <v>0</v>
      </c>
      <c r="F13" s="79"/>
      <c r="G13" s="68">
        <v>0</v>
      </c>
      <c r="H13" s="15">
        <v>0</v>
      </c>
      <c r="I13" s="16">
        <v>0</v>
      </c>
      <c r="J13" s="79"/>
      <c r="K13" s="90">
        <v>0</v>
      </c>
      <c r="L13" s="79"/>
      <c r="M13" s="7">
        <f t="shared" si="0"/>
        <v>0</v>
      </c>
      <c r="O13"/>
    </row>
    <row r="14" spans="1:15">
      <c r="A14" s="1" t="s">
        <v>3</v>
      </c>
      <c r="B14" s="5" t="s">
        <v>27</v>
      </c>
      <c r="C14" s="14">
        <v>0</v>
      </c>
      <c r="D14" s="15">
        <v>0</v>
      </c>
      <c r="E14" s="57">
        <v>0</v>
      </c>
      <c r="F14" s="79"/>
      <c r="G14" s="68">
        <v>0</v>
      </c>
      <c r="H14" s="15">
        <v>0</v>
      </c>
      <c r="I14" s="16">
        <v>4</v>
      </c>
      <c r="J14" s="79">
        <f>SUM(G14:I14)</f>
        <v>4</v>
      </c>
      <c r="K14" s="90">
        <v>0</v>
      </c>
      <c r="L14" s="79">
        <f>SUM(K14)</f>
        <v>0</v>
      </c>
      <c r="M14" s="7">
        <f t="shared" si="0"/>
        <v>4</v>
      </c>
      <c r="O14"/>
    </row>
    <row r="15" spans="1:15">
      <c r="A15" s="1" t="s">
        <v>3</v>
      </c>
      <c r="B15" s="5" t="s">
        <v>28</v>
      </c>
      <c r="C15" s="17">
        <v>0</v>
      </c>
      <c r="D15" s="18">
        <v>0</v>
      </c>
      <c r="E15" s="58">
        <v>0</v>
      </c>
      <c r="F15" s="80"/>
      <c r="G15" s="69">
        <v>0</v>
      </c>
      <c r="H15" s="18">
        <v>0</v>
      </c>
      <c r="I15" s="19">
        <v>2.9166666666666665</v>
      </c>
      <c r="J15" s="80">
        <f>SUM(G15:I15)</f>
        <v>2.9166666666666665</v>
      </c>
      <c r="K15" s="91">
        <v>0</v>
      </c>
      <c r="L15" s="80"/>
      <c r="M15" s="8">
        <f t="shared" si="0"/>
        <v>2.9166666666666665</v>
      </c>
      <c r="O15"/>
    </row>
    <row r="16" spans="1:15">
      <c r="A16" s="1" t="s">
        <v>3</v>
      </c>
      <c r="B16" s="5" t="s">
        <v>29</v>
      </c>
      <c r="C16" s="17">
        <v>0</v>
      </c>
      <c r="D16" s="18">
        <v>0</v>
      </c>
      <c r="E16" s="58">
        <v>0</v>
      </c>
      <c r="F16" s="80"/>
      <c r="G16" s="69">
        <v>0</v>
      </c>
      <c r="H16" s="18">
        <v>0</v>
      </c>
      <c r="I16" s="19">
        <v>0</v>
      </c>
      <c r="J16" s="80"/>
      <c r="K16" s="91">
        <v>0.33333333333333331</v>
      </c>
      <c r="L16" s="80">
        <f>SUM(K16)</f>
        <v>0.33333333333333331</v>
      </c>
      <c r="M16" s="8">
        <f t="shared" si="0"/>
        <v>0.33333333333333331</v>
      </c>
      <c r="O16"/>
    </row>
    <row r="17" spans="1:15">
      <c r="A17" s="1" t="s">
        <v>3</v>
      </c>
      <c r="B17" s="5" t="s">
        <v>30</v>
      </c>
      <c r="C17" s="17">
        <v>0</v>
      </c>
      <c r="D17" s="18">
        <v>0</v>
      </c>
      <c r="E17" s="58">
        <v>0</v>
      </c>
      <c r="F17" s="80"/>
      <c r="G17" s="69">
        <v>0</v>
      </c>
      <c r="H17" s="18">
        <v>0</v>
      </c>
      <c r="I17" s="19">
        <v>0</v>
      </c>
      <c r="J17" s="80"/>
      <c r="K17" s="91">
        <v>0.29166666666666669</v>
      </c>
      <c r="L17" s="80">
        <f>SUM(K17)</f>
        <v>0.29166666666666669</v>
      </c>
      <c r="M17" s="8">
        <f t="shared" si="0"/>
        <v>0.29166666666666669</v>
      </c>
      <c r="O17"/>
    </row>
    <row r="18" spans="1:15">
      <c r="A18" s="1" t="s">
        <v>3</v>
      </c>
      <c r="B18" s="5" t="s">
        <v>31</v>
      </c>
      <c r="C18" s="17">
        <v>0</v>
      </c>
      <c r="D18" s="18">
        <v>0</v>
      </c>
      <c r="E18" s="58">
        <v>0</v>
      </c>
      <c r="F18" s="80"/>
      <c r="G18" s="69">
        <v>0</v>
      </c>
      <c r="H18" s="18">
        <v>0</v>
      </c>
      <c r="I18" s="19">
        <v>0</v>
      </c>
      <c r="J18" s="80"/>
      <c r="K18" s="91">
        <v>0</v>
      </c>
      <c r="L18" s="80"/>
      <c r="M18" s="8">
        <f t="shared" si="0"/>
        <v>0</v>
      </c>
      <c r="O18"/>
    </row>
    <row r="19" spans="1:15">
      <c r="A19" s="1" t="s">
        <v>3</v>
      </c>
      <c r="B19" s="5" t="s">
        <v>32</v>
      </c>
      <c r="C19" s="17">
        <v>0</v>
      </c>
      <c r="D19" s="18">
        <v>0</v>
      </c>
      <c r="E19" s="58">
        <v>0</v>
      </c>
      <c r="F19" s="80"/>
      <c r="G19" s="69">
        <v>0</v>
      </c>
      <c r="H19" s="18">
        <v>0</v>
      </c>
      <c r="I19" s="19">
        <v>0</v>
      </c>
      <c r="J19" s="80"/>
      <c r="K19" s="91">
        <v>0</v>
      </c>
      <c r="L19" s="80"/>
      <c r="M19" s="8">
        <f t="shared" si="0"/>
        <v>0</v>
      </c>
      <c r="O19"/>
    </row>
    <row r="20" spans="1:15">
      <c r="A20" s="1" t="s">
        <v>3</v>
      </c>
      <c r="B20" s="5" t="s">
        <v>33</v>
      </c>
      <c r="C20" s="17">
        <v>0</v>
      </c>
      <c r="D20" s="18">
        <v>0</v>
      </c>
      <c r="E20" s="58">
        <v>0</v>
      </c>
      <c r="F20" s="80"/>
      <c r="G20" s="69">
        <v>0</v>
      </c>
      <c r="H20" s="18">
        <v>0</v>
      </c>
      <c r="I20" s="19">
        <v>0</v>
      </c>
      <c r="J20" s="80"/>
      <c r="K20" s="91">
        <v>0</v>
      </c>
      <c r="L20" s="80"/>
      <c r="M20" s="8">
        <f t="shared" si="0"/>
        <v>0</v>
      </c>
      <c r="O20"/>
    </row>
    <row r="21" spans="1:15">
      <c r="A21" s="1" t="s">
        <v>3</v>
      </c>
      <c r="B21" s="5" t="s">
        <v>34</v>
      </c>
      <c r="C21" s="17">
        <v>0</v>
      </c>
      <c r="D21" s="18">
        <v>0</v>
      </c>
      <c r="E21" s="58">
        <v>0</v>
      </c>
      <c r="F21" s="80"/>
      <c r="G21" s="69">
        <v>0</v>
      </c>
      <c r="H21" s="18">
        <v>0</v>
      </c>
      <c r="I21" s="19">
        <v>0</v>
      </c>
      <c r="J21" s="80"/>
      <c r="K21" s="91">
        <v>0.54166666666666663</v>
      </c>
      <c r="L21" s="80">
        <f>SUM(K21)</f>
        <v>0.54166666666666663</v>
      </c>
      <c r="M21" s="8">
        <f t="shared" si="0"/>
        <v>0.54166666666666663</v>
      </c>
      <c r="O21"/>
    </row>
    <row r="22" spans="1:15">
      <c r="A22" s="1" t="s">
        <v>3</v>
      </c>
      <c r="B22" s="5" t="s">
        <v>35</v>
      </c>
      <c r="C22" s="17">
        <v>0</v>
      </c>
      <c r="D22" s="18">
        <v>0</v>
      </c>
      <c r="E22" s="58">
        <v>0</v>
      </c>
      <c r="F22" s="80"/>
      <c r="G22" s="69">
        <v>0</v>
      </c>
      <c r="H22" s="18">
        <v>0</v>
      </c>
      <c r="I22" s="19">
        <v>0</v>
      </c>
      <c r="J22" s="80"/>
      <c r="K22" s="91">
        <v>0</v>
      </c>
      <c r="L22" s="80"/>
      <c r="M22" s="8">
        <f t="shared" si="0"/>
        <v>0</v>
      </c>
      <c r="O22"/>
    </row>
    <row r="23" spans="1:15">
      <c r="A23" s="1" t="s">
        <v>3</v>
      </c>
      <c r="B23" s="5" t="s">
        <v>36</v>
      </c>
      <c r="C23" s="17">
        <v>0</v>
      </c>
      <c r="D23" s="18">
        <v>0</v>
      </c>
      <c r="E23" s="58">
        <v>0</v>
      </c>
      <c r="F23" s="80"/>
      <c r="G23" s="69">
        <v>0</v>
      </c>
      <c r="H23" s="18">
        <v>0</v>
      </c>
      <c r="I23" s="19">
        <v>0.41666666666666669</v>
      </c>
      <c r="J23" s="80">
        <f>SUM(G23:I23)</f>
        <v>0.41666666666666669</v>
      </c>
      <c r="K23" s="91">
        <v>0</v>
      </c>
      <c r="L23" s="80"/>
      <c r="M23" s="8">
        <f t="shared" si="0"/>
        <v>0.41666666666666669</v>
      </c>
      <c r="O23"/>
    </row>
    <row r="24" spans="1:15">
      <c r="A24" s="1" t="s">
        <v>3</v>
      </c>
      <c r="B24" s="5" t="s">
        <v>37</v>
      </c>
      <c r="C24" s="17">
        <v>0</v>
      </c>
      <c r="D24" s="18">
        <v>0</v>
      </c>
      <c r="E24" s="58">
        <v>0</v>
      </c>
      <c r="F24" s="80"/>
      <c r="G24" s="69">
        <v>0</v>
      </c>
      <c r="H24" s="18">
        <v>0</v>
      </c>
      <c r="I24" s="19">
        <v>0</v>
      </c>
      <c r="J24" s="80"/>
      <c r="K24" s="91">
        <v>0</v>
      </c>
      <c r="L24" s="80"/>
      <c r="M24" s="8">
        <f t="shared" si="0"/>
        <v>0</v>
      </c>
      <c r="O24"/>
    </row>
    <row r="25" spans="1:15" ht="19.5" thickBot="1">
      <c r="A25" s="1" t="s">
        <v>3</v>
      </c>
      <c r="B25" s="6" t="s">
        <v>38</v>
      </c>
      <c r="C25" s="40">
        <v>0</v>
      </c>
      <c r="D25" s="41">
        <v>0</v>
      </c>
      <c r="E25" s="59">
        <v>0</v>
      </c>
      <c r="F25" s="81"/>
      <c r="G25" s="70">
        <v>24</v>
      </c>
      <c r="H25" s="41">
        <v>32</v>
      </c>
      <c r="I25" s="42">
        <v>34</v>
      </c>
      <c r="J25" s="81">
        <f>SUM(G25:I25)</f>
        <v>90</v>
      </c>
      <c r="K25" s="92">
        <v>15.5</v>
      </c>
      <c r="L25" s="81">
        <f>SUM(K25)</f>
        <v>15.5</v>
      </c>
      <c r="M25" s="43">
        <f t="shared" si="0"/>
        <v>105.5</v>
      </c>
      <c r="O25"/>
    </row>
    <row r="26" spans="1:15">
      <c r="A26" s="1" t="s">
        <v>3</v>
      </c>
      <c r="B26" s="26" t="s">
        <v>39</v>
      </c>
      <c r="C26" s="36">
        <v>0</v>
      </c>
      <c r="D26" s="37">
        <v>0</v>
      </c>
      <c r="E26" s="60">
        <v>0</v>
      </c>
      <c r="F26" s="82"/>
      <c r="G26" s="71">
        <v>375000</v>
      </c>
      <c r="H26" s="37">
        <v>355000</v>
      </c>
      <c r="I26" s="38">
        <v>0</v>
      </c>
      <c r="J26" s="82">
        <f>SUM(G26:I26)</f>
        <v>730000</v>
      </c>
      <c r="K26" s="93">
        <v>220000</v>
      </c>
      <c r="L26" s="82">
        <f>SUM(K26)</f>
        <v>220000</v>
      </c>
      <c r="M26" s="39">
        <f t="shared" si="0"/>
        <v>950000</v>
      </c>
      <c r="O26"/>
    </row>
    <row r="27" spans="1:15">
      <c r="A27" s="1" t="s">
        <v>3</v>
      </c>
      <c r="B27" s="5" t="s">
        <v>40</v>
      </c>
      <c r="C27" s="20">
        <v>0</v>
      </c>
      <c r="D27" s="21">
        <v>0</v>
      </c>
      <c r="E27" s="61">
        <v>0</v>
      </c>
      <c r="F27" s="83"/>
      <c r="G27" s="72">
        <v>0</v>
      </c>
      <c r="H27" s="21">
        <v>0</v>
      </c>
      <c r="I27" s="22">
        <v>0</v>
      </c>
      <c r="J27" s="83">
        <f t="shared" ref="J27:J67" si="1">SUM(G27:I27)</f>
        <v>0</v>
      </c>
      <c r="K27" s="94">
        <v>5000</v>
      </c>
      <c r="L27" s="83">
        <f t="shared" ref="L27:L67" si="2">SUM(K27)</f>
        <v>5000</v>
      </c>
      <c r="M27" s="9">
        <f t="shared" si="0"/>
        <v>5000</v>
      </c>
      <c r="O27"/>
    </row>
    <row r="28" spans="1:15">
      <c r="A28" s="1" t="s">
        <v>3</v>
      </c>
      <c r="B28" s="5" t="s">
        <v>41</v>
      </c>
      <c r="C28" s="20">
        <v>0</v>
      </c>
      <c r="D28" s="21">
        <v>0</v>
      </c>
      <c r="E28" s="61">
        <v>0</v>
      </c>
      <c r="F28" s="83"/>
      <c r="G28" s="72">
        <v>0</v>
      </c>
      <c r="H28" s="21">
        <v>0</v>
      </c>
      <c r="I28" s="22">
        <v>0</v>
      </c>
      <c r="J28" s="83">
        <f t="shared" si="1"/>
        <v>0</v>
      </c>
      <c r="K28" s="94">
        <v>6000</v>
      </c>
      <c r="L28" s="83">
        <f t="shared" si="2"/>
        <v>6000</v>
      </c>
      <c r="M28" s="9">
        <f t="shared" si="0"/>
        <v>6000</v>
      </c>
      <c r="O28"/>
    </row>
    <row r="29" spans="1:15">
      <c r="A29" s="1" t="s">
        <v>3</v>
      </c>
      <c r="B29" s="5" t="s">
        <v>42</v>
      </c>
      <c r="C29" s="20">
        <v>0</v>
      </c>
      <c r="D29" s="21">
        <v>0</v>
      </c>
      <c r="E29" s="61">
        <v>0</v>
      </c>
      <c r="F29" s="83"/>
      <c r="G29" s="72">
        <v>50000</v>
      </c>
      <c r="H29" s="21">
        <v>50000</v>
      </c>
      <c r="I29" s="22">
        <v>0</v>
      </c>
      <c r="J29" s="83">
        <f t="shared" si="1"/>
        <v>100000</v>
      </c>
      <c r="K29" s="94">
        <v>50000</v>
      </c>
      <c r="L29" s="83">
        <f t="shared" si="2"/>
        <v>50000</v>
      </c>
      <c r="M29" s="9">
        <f t="shared" si="0"/>
        <v>150000</v>
      </c>
      <c r="O29"/>
    </row>
    <row r="30" spans="1:15">
      <c r="A30" s="1" t="s">
        <v>3</v>
      </c>
      <c r="B30" s="5" t="s">
        <v>43</v>
      </c>
      <c r="C30" s="20">
        <v>0</v>
      </c>
      <c r="D30" s="21">
        <v>0</v>
      </c>
      <c r="E30" s="61">
        <v>0</v>
      </c>
      <c r="F30" s="83"/>
      <c r="G30" s="72">
        <v>0</v>
      </c>
      <c r="H30" s="21">
        <v>0</v>
      </c>
      <c r="I30" s="22">
        <v>0</v>
      </c>
      <c r="J30" s="83">
        <f t="shared" si="1"/>
        <v>0</v>
      </c>
      <c r="K30" s="94">
        <v>0</v>
      </c>
      <c r="L30" s="83">
        <f t="shared" si="2"/>
        <v>0</v>
      </c>
      <c r="M30" s="9">
        <f t="shared" si="0"/>
        <v>0</v>
      </c>
      <c r="O30"/>
    </row>
    <row r="31" spans="1:15">
      <c r="A31" s="1" t="s">
        <v>3</v>
      </c>
      <c r="B31" s="5" t="s">
        <v>44</v>
      </c>
      <c r="C31" s="20">
        <v>0</v>
      </c>
      <c r="D31" s="21">
        <v>0</v>
      </c>
      <c r="E31" s="61">
        <v>0</v>
      </c>
      <c r="F31" s="83"/>
      <c r="G31" s="72">
        <v>0</v>
      </c>
      <c r="H31" s="21">
        <v>0</v>
      </c>
      <c r="I31" s="22">
        <v>79800</v>
      </c>
      <c r="J31" s="83">
        <f t="shared" si="1"/>
        <v>79800</v>
      </c>
      <c r="K31" s="94">
        <v>0</v>
      </c>
      <c r="L31" s="83">
        <f t="shared" si="2"/>
        <v>0</v>
      </c>
      <c r="M31" s="9">
        <f t="shared" si="0"/>
        <v>79800</v>
      </c>
      <c r="O31"/>
    </row>
    <row r="32" spans="1:15">
      <c r="A32" s="1" t="s">
        <v>3</v>
      </c>
      <c r="B32" s="5" t="s">
        <v>45</v>
      </c>
      <c r="C32" s="20">
        <v>1315000</v>
      </c>
      <c r="D32" s="21">
        <v>250000</v>
      </c>
      <c r="E32" s="61">
        <v>100000</v>
      </c>
      <c r="F32" s="83">
        <f>SUM(C32:E32)</f>
        <v>1665000</v>
      </c>
      <c r="G32" s="72">
        <v>0</v>
      </c>
      <c r="H32" s="21">
        <v>0</v>
      </c>
      <c r="I32" s="22">
        <v>0</v>
      </c>
      <c r="J32" s="83">
        <f t="shared" si="1"/>
        <v>0</v>
      </c>
      <c r="K32" s="94">
        <v>0</v>
      </c>
      <c r="L32" s="83">
        <f t="shared" si="2"/>
        <v>0</v>
      </c>
      <c r="M32" s="9">
        <f t="shared" si="0"/>
        <v>1665000</v>
      </c>
      <c r="O32"/>
    </row>
    <row r="33" spans="1:15">
      <c r="A33" s="1" t="s">
        <v>3</v>
      </c>
      <c r="B33" s="5" t="s">
        <v>46</v>
      </c>
      <c r="C33" s="20">
        <v>0</v>
      </c>
      <c r="D33" s="21">
        <v>0</v>
      </c>
      <c r="E33" s="61">
        <v>0</v>
      </c>
      <c r="F33" s="83">
        <f t="shared" ref="F33:F67" si="3">SUM(C33:E33)</f>
        <v>0</v>
      </c>
      <c r="G33" s="72">
        <v>0</v>
      </c>
      <c r="H33" s="21">
        <v>0</v>
      </c>
      <c r="I33" s="22">
        <v>0</v>
      </c>
      <c r="J33" s="83">
        <f t="shared" si="1"/>
        <v>0</v>
      </c>
      <c r="K33" s="94">
        <v>0</v>
      </c>
      <c r="L33" s="83">
        <f t="shared" si="2"/>
        <v>0</v>
      </c>
      <c r="M33" s="9">
        <f t="shared" si="0"/>
        <v>0</v>
      </c>
      <c r="O33"/>
    </row>
    <row r="34" spans="1:15">
      <c r="A34" s="1" t="s">
        <v>3</v>
      </c>
      <c r="B34" s="5" t="s">
        <v>47</v>
      </c>
      <c r="C34" s="20">
        <v>0</v>
      </c>
      <c r="D34" s="21">
        <v>0</v>
      </c>
      <c r="E34" s="61">
        <v>0</v>
      </c>
      <c r="F34" s="83">
        <f t="shared" si="3"/>
        <v>0</v>
      </c>
      <c r="G34" s="72">
        <v>0</v>
      </c>
      <c r="H34" s="21">
        <v>0</v>
      </c>
      <c r="I34" s="22">
        <v>0</v>
      </c>
      <c r="J34" s="83">
        <f t="shared" si="1"/>
        <v>0</v>
      </c>
      <c r="K34" s="94">
        <v>0</v>
      </c>
      <c r="L34" s="83">
        <f t="shared" si="2"/>
        <v>0</v>
      </c>
      <c r="M34" s="9">
        <f t="shared" si="0"/>
        <v>0</v>
      </c>
      <c r="O34"/>
    </row>
    <row r="35" spans="1:15">
      <c r="A35" s="1" t="s">
        <v>3</v>
      </c>
      <c r="B35" s="5" t="s">
        <v>48</v>
      </c>
      <c r="C35" s="20">
        <v>0</v>
      </c>
      <c r="D35" s="21">
        <v>0</v>
      </c>
      <c r="E35" s="61">
        <v>0</v>
      </c>
      <c r="F35" s="83">
        <f t="shared" si="3"/>
        <v>0</v>
      </c>
      <c r="G35" s="72">
        <v>0</v>
      </c>
      <c r="H35" s="21">
        <v>0</v>
      </c>
      <c r="I35" s="22">
        <v>11400</v>
      </c>
      <c r="J35" s="83">
        <f t="shared" si="1"/>
        <v>11400</v>
      </c>
      <c r="K35" s="94">
        <v>0</v>
      </c>
      <c r="L35" s="83">
        <f t="shared" si="2"/>
        <v>0</v>
      </c>
      <c r="M35" s="9">
        <f t="shared" si="0"/>
        <v>11400</v>
      </c>
      <c r="O35"/>
    </row>
    <row r="36" spans="1:15">
      <c r="A36" s="1" t="s">
        <v>3</v>
      </c>
      <c r="B36" s="5" t="s">
        <v>49</v>
      </c>
      <c r="C36" s="20">
        <v>0</v>
      </c>
      <c r="D36" s="21">
        <v>0</v>
      </c>
      <c r="E36" s="61">
        <v>0</v>
      </c>
      <c r="F36" s="83">
        <f t="shared" si="3"/>
        <v>0</v>
      </c>
      <c r="G36" s="72">
        <v>0</v>
      </c>
      <c r="H36" s="21">
        <v>0</v>
      </c>
      <c r="I36" s="22">
        <v>0</v>
      </c>
      <c r="J36" s="83">
        <f t="shared" si="1"/>
        <v>0</v>
      </c>
      <c r="K36" s="94">
        <v>0</v>
      </c>
      <c r="L36" s="83">
        <f t="shared" si="2"/>
        <v>0</v>
      </c>
      <c r="M36" s="9">
        <f t="shared" si="0"/>
        <v>0</v>
      </c>
      <c r="O36"/>
    </row>
    <row r="37" spans="1:15">
      <c r="A37" s="1" t="s">
        <v>3</v>
      </c>
      <c r="B37" s="5" t="s">
        <v>50</v>
      </c>
      <c r="C37" s="20">
        <v>0</v>
      </c>
      <c r="D37" s="21">
        <v>0</v>
      </c>
      <c r="E37" s="61">
        <v>0</v>
      </c>
      <c r="F37" s="83">
        <f t="shared" si="3"/>
        <v>0</v>
      </c>
      <c r="G37" s="72">
        <v>0</v>
      </c>
      <c r="H37" s="21">
        <v>0</v>
      </c>
      <c r="I37" s="22">
        <v>0</v>
      </c>
      <c r="J37" s="83">
        <f t="shared" si="1"/>
        <v>0</v>
      </c>
      <c r="K37" s="94">
        <v>0</v>
      </c>
      <c r="L37" s="83">
        <f t="shared" si="2"/>
        <v>0</v>
      </c>
      <c r="M37" s="9">
        <f t="shared" si="0"/>
        <v>0</v>
      </c>
      <c r="O37"/>
    </row>
    <row r="38" spans="1:15">
      <c r="A38" s="1" t="s">
        <v>3</v>
      </c>
      <c r="B38" s="5" t="s">
        <v>51</v>
      </c>
      <c r="C38" s="20">
        <v>0</v>
      </c>
      <c r="D38" s="21">
        <v>0</v>
      </c>
      <c r="E38" s="61">
        <v>0</v>
      </c>
      <c r="F38" s="83">
        <f t="shared" si="3"/>
        <v>0</v>
      </c>
      <c r="G38" s="72">
        <v>0</v>
      </c>
      <c r="H38" s="21">
        <v>0</v>
      </c>
      <c r="I38" s="22">
        <v>0</v>
      </c>
      <c r="J38" s="83">
        <f t="shared" si="1"/>
        <v>0</v>
      </c>
      <c r="K38" s="94">
        <v>0</v>
      </c>
      <c r="L38" s="83">
        <f t="shared" si="2"/>
        <v>0</v>
      </c>
      <c r="M38" s="9">
        <f t="shared" si="0"/>
        <v>0</v>
      </c>
      <c r="O38"/>
    </row>
    <row r="39" spans="1:15">
      <c r="A39" s="1" t="s">
        <v>3</v>
      </c>
      <c r="B39" s="5" t="s">
        <v>29</v>
      </c>
      <c r="C39" s="20">
        <v>0</v>
      </c>
      <c r="D39" s="21">
        <v>0</v>
      </c>
      <c r="E39" s="61">
        <v>0</v>
      </c>
      <c r="F39" s="83">
        <f t="shared" si="3"/>
        <v>0</v>
      </c>
      <c r="G39" s="72">
        <v>0</v>
      </c>
      <c r="H39" s="21">
        <v>0</v>
      </c>
      <c r="I39" s="22">
        <v>0</v>
      </c>
      <c r="J39" s="83">
        <f t="shared" si="1"/>
        <v>0</v>
      </c>
      <c r="K39" s="94">
        <v>19928</v>
      </c>
      <c r="L39" s="83">
        <f t="shared" si="2"/>
        <v>19928</v>
      </c>
      <c r="M39" s="9">
        <f t="shared" si="0"/>
        <v>19928</v>
      </c>
      <c r="O39"/>
    </row>
    <row r="40" spans="1:15">
      <c r="A40" s="1" t="s">
        <v>3</v>
      </c>
      <c r="B40" s="5" t="s">
        <v>52</v>
      </c>
      <c r="C40" s="20">
        <v>0</v>
      </c>
      <c r="D40" s="21">
        <v>0</v>
      </c>
      <c r="E40" s="61">
        <v>0</v>
      </c>
      <c r="F40" s="83">
        <f t="shared" si="3"/>
        <v>0</v>
      </c>
      <c r="G40" s="72">
        <v>0</v>
      </c>
      <c r="H40" s="21">
        <v>0</v>
      </c>
      <c r="I40" s="22">
        <v>0</v>
      </c>
      <c r="J40" s="83">
        <f t="shared" si="1"/>
        <v>0</v>
      </c>
      <c r="K40" s="94">
        <v>18837</v>
      </c>
      <c r="L40" s="83">
        <f t="shared" si="2"/>
        <v>18837</v>
      </c>
      <c r="M40" s="9">
        <f t="shared" si="0"/>
        <v>18837</v>
      </c>
      <c r="O40"/>
    </row>
    <row r="41" spans="1:15">
      <c r="A41" s="1" t="s">
        <v>3</v>
      </c>
      <c r="B41" s="5" t="s">
        <v>53</v>
      </c>
      <c r="C41" s="20">
        <v>0</v>
      </c>
      <c r="D41" s="21">
        <v>0</v>
      </c>
      <c r="E41" s="61">
        <v>0</v>
      </c>
      <c r="F41" s="83">
        <f t="shared" si="3"/>
        <v>0</v>
      </c>
      <c r="G41" s="72">
        <v>0</v>
      </c>
      <c r="H41" s="21">
        <v>0</v>
      </c>
      <c r="I41" s="22">
        <v>0</v>
      </c>
      <c r="J41" s="83">
        <f t="shared" si="1"/>
        <v>0</v>
      </c>
      <c r="K41" s="94">
        <v>0</v>
      </c>
      <c r="L41" s="83">
        <f t="shared" si="2"/>
        <v>0</v>
      </c>
      <c r="M41" s="9">
        <f t="shared" si="0"/>
        <v>0</v>
      </c>
      <c r="O41"/>
    </row>
    <row r="42" spans="1:15">
      <c r="A42" s="1" t="s">
        <v>3</v>
      </c>
      <c r="B42" s="5" t="s">
        <v>54</v>
      </c>
      <c r="C42" s="20">
        <v>0</v>
      </c>
      <c r="D42" s="21">
        <v>0</v>
      </c>
      <c r="E42" s="61">
        <v>0</v>
      </c>
      <c r="F42" s="83">
        <f t="shared" si="3"/>
        <v>0</v>
      </c>
      <c r="G42" s="72">
        <v>0</v>
      </c>
      <c r="H42" s="21">
        <v>0</v>
      </c>
      <c r="I42" s="22">
        <v>0</v>
      </c>
      <c r="J42" s="83">
        <f t="shared" si="1"/>
        <v>0</v>
      </c>
      <c r="K42" s="94">
        <v>0</v>
      </c>
      <c r="L42" s="83">
        <f t="shared" si="2"/>
        <v>0</v>
      </c>
      <c r="M42" s="9">
        <f t="shared" si="0"/>
        <v>0</v>
      </c>
      <c r="O42"/>
    </row>
    <row r="43" spans="1:15">
      <c r="A43" s="1" t="s">
        <v>3</v>
      </c>
      <c r="B43" s="5" t="s">
        <v>55</v>
      </c>
      <c r="C43" s="20">
        <v>0</v>
      </c>
      <c r="D43" s="21">
        <v>0</v>
      </c>
      <c r="E43" s="61">
        <v>0</v>
      </c>
      <c r="F43" s="83">
        <f t="shared" si="3"/>
        <v>0</v>
      </c>
      <c r="G43" s="72">
        <v>0</v>
      </c>
      <c r="H43" s="21">
        <v>0</v>
      </c>
      <c r="I43" s="22">
        <v>0</v>
      </c>
      <c r="J43" s="83">
        <f t="shared" si="1"/>
        <v>0</v>
      </c>
      <c r="K43" s="94">
        <v>0</v>
      </c>
      <c r="L43" s="83">
        <f t="shared" si="2"/>
        <v>0</v>
      </c>
      <c r="M43" s="9">
        <f t="shared" si="0"/>
        <v>0</v>
      </c>
      <c r="O43"/>
    </row>
    <row r="44" spans="1:15">
      <c r="A44" s="1" t="s">
        <v>3</v>
      </c>
      <c r="B44" s="5" t="s">
        <v>56</v>
      </c>
      <c r="C44" s="20">
        <v>0</v>
      </c>
      <c r="D44" s="21">
        <v>0</v>
      </c>
      <c r="E44" s="61">
        <v>0</v>
      </c>
      <c r="F44" s="83">
        <f t="shared" si="3"/>
        <v>0</v>
      </c>
      <c r="G44" s="72">
        <v>0</v>
      </c>
      <c r="H44" s="21">
        <v>0</v>
      </c>
      <c r="I44" s="22">
        <v>22800</v>
      </c>
      <c r="J44" s="83">
        <f t="shared" si="1"/>
        <v>22800</v>
      </c>
      <c r="K44" s="94">
        <v>0</v>
      </c>
      <c r="L44" s="83">
        <f t="shared" si="2"/>
        <v>0</v>
      </c>
      <c r="M44" s="9">
        <f t="shared" si="0"/>
        <v>22800</v>
      </c>
      <c r="O44"/>
    </row>
    <row r="45" spans="1:15">
      <c r="A45" s="1" t="s">
        <v>3</v>
      </c>
      <c r="B45" s="5" t="s">
        <v>34</v>
      </c>
      <c r="C45" s="20">
        <v>0</v>
      </c>
      <c r="D45" s="21">
        <v>0</v>
      </c>
      <c r="E45" s="61">
        <v>0</v>
      </c>
      <c r="F45" s="83">
        <f t="shared" si="3"/>
        <v>0</v>
      </c>
      <c r="G45" s="72">
        <v>0</v>
      </c>
      <c r="H45" s="21">
        <v>0</v>
      </c>
      <c r="I45" s="22">
        <v>0</v>
      </c>
      <c r="J45" s="83">
        <f t="shared" si="1"/>
        <v>0</v>
      </c>
      <c r="K45" s="94">
        <v>25909</v>
      </c>
      <c r="L45" s="83">
        <f t="shared" si="2"/>
        <v>25909</v>
      </c>
      <c r="M45" s="9">
        <f t="shared" si="0"/>
        <v>25909</v>
      </c>
      <c r="O45"/>
    </row>
    <row r="46" spans="1:15" ht="19.5" thickBot="1">
      <c r="A46" s="1" t="s">
        <v>3</v>
      </c>
      <c r="B46" s="44" t="s">
        <v>37</v>
      </c>
      <c r="C46" s="45">
        <v>0</v>
      </c>
      <c r="D46" s="46">
        <v>0</v>
      </c>
      <c r="E46" s="62">
        <v>0</v>
      </c>
      <c r="F46" s="84">
        <f t="shared" si="3"/>
        <v>0</v>
      </c>
      <c r="G46" s="73">
        <v>0</v>
      </c>
      <c r="H46" s="46">
        <v>0</v>
      </c>
      <c r="I46" s="47">
        <v>0</v>
      </c>
      <c r="J46" s="84">
        <f t="shared" si="1"/>
        <v>0</v>
      </c>
      <c r="K46" s="95">
        <v>0</v>
      </c>
      <c r="L46" s="84">
        <f t="shared" si="2"/>
        <v>0</v>
      </c>
      <c r="M46" s="48">
        <f t="shared" si="0"/>
        <v>0</v>
      </c>
      <c r="O46"/>
    </row>
    <row r="47" spans="1:15" ht="19.5" thickBot="1">
      <c r="A47" s="1" t="s">
        <v>3</v>
      </c>
      <c r="B47" s="49" t="s">
        <v>57</v>
      </c>
      <c r="C47" s="50">
        <v>1315000</v>
      </c>
      <c r="D47" s="51">
        <v>250000</v>
      </c>
      <c r="E47" s="63">
        <v>100000</v>
      </c>
      <c r="F47" s="85">
        <f t="shared" si="3"/>
        <v>1665000</v>
      </c>
      <c r="G47" s="74">
        <v>425000</v>
      </c>
      <c r="H47" s="51">
        <v>405000</v>
      </c>
      <c r="I47" s="52">
        <v>114000</v>
      </c>
      <c r="J47" s="85">
        <f t="shared" si="1"/>
        <v>944000</v>
      </c>
      <c r="K47" s="96">
        <v>345674</v>
      </c>
      <c r="L47" s="85">
        <f t="shared" si="2"/>
        <v>345674</v>
      </c>
      <c r="M47" s="53">
        <f t="shared" si="0"/>
        <v>2954674</v>
      </c>
      <c r="O47"/>
    </row>
    <row r="48" spans="1:15">
      <c r="A48" s="1" t="s">
        <v>3</v>
      </c>
      <c r="B48" s="26" t="s">
        <v>58</v>
      </c>
      <c r="C48" s="36">
        <v>0</v>
      </c>
      <c r="D48" s="37">
        <v>0</v>
      </c>
      <c r="E48" s="60">
        <v>0</v>
      </c>
      <c r="F48" s="82">
        <f t="shared" si="3"/>
        <v>0</v>
      </c>
      <c r="G48" s="71">
        <v>1346</v>
      </c>
      <c r="H48" s="37">
        <v>6160</v>
      </c>
      <c r="I48" s="38">
        <v>0</v>
      </c>
      <c r="J48" s="82">
        <f t="shared" si="1"/>
        <v>7506</v>
      </c>
      <c r="K48" s="93">
        <v>2437</v>
      </c>
      <c r="L48" s="82">
        <f t="shared" si="2"/>
        <v>2437</v>
      </c>
      <c r="M48" s="39">
        <f t="shared" si="0"/>
        <v>9943</v>
      </c>
      <c r="O48"/>
    </row>
    <row r="49" spans="1:15" ht="19.5" thickBot="1">
      <c r="A49" s="1" t="s">
        <v>3</v>
      </c>
      <c r="B49" s="44" t="s">
        <v>59</v>
      </c>
      <c r="C49" s="45">
        <v>0</v>
      </c>
      <c r="D49" s="46">
        <v>0</v>
      </c>
      <c r="E49" s="62">
        <v>0</v>
      </c>
      <c r="F49" s="84">
        <f t="shared" si="3"/>
        <v>0</v>
      </c>
      <c r="G49" s="73">
        <v>0</v>
      </c>
      <c r="H49" s="46">
        <v>0</v>
      </c>
      <c r="I49" s="47">
        <v>0</v>
      </c>
      <c r="J49" s="84">
        <f t="shared" si="1"/>
        <v>0</v>
      </c>
      <c r="K49" s="95">
        <v>0</v>
      </c>
      <c r="L49" s="84">
        <f t="shared" si="2"/>
        <v>0</v>
      </c>
      <c r="M49" s="48">
        <f t="shared" si="0"/>
        <v>0</v>
      </c>
      <c r="O49"/>
    </row>
    <row r="50" spans="1:15" ht="19.5" thickBot="1">
      <c r="A50" s="1" t="s">
        <v>3</v>
      </c>
      <c r="B50" s="49" t="s">
        <v>60</v>
      </c>
      <c r="C50" s="50">
        <v>0</v>
      </c>
      <c r="D50" s="51">
        <v>0</v>
      </c>
      <c r="E50" s="63">
        <v>0</v>
      </c>
      <c r="F50" s="85">
        <f t="shared" si="3"/>
        <v>0</v>
      </c>
      <c r="G50" s="74">
        <v>1346</v>
      </c>
      <c r="H50" s="51">
        <v>6160</v>
      </c>
      <c r="I50" s="52">
        <v>0</v>
      </c>
      <c r="J50" s="85">
        <f t="shared" si="1"/>
        <v>7506</v>
      </c>
      <c r="K50" s="96">
        <v>2437</v>
      </c>
      <c r="L50" s="85">
        <f t="shared" si="2"/>
        <v>2437</v>
      </c>
      <c r="M50" s="53">
        <f t="shared" si="0"/>
        <v>9943</v>
      </c>
      <c r="O50"/>
    </row>
    <row r="51" spans="1:15" ht="19.5" thickBot="1">
      <c r="A51" s="1" t="s">
        <v>3</v>
      </c>
      <c r="B51" s="49" t="s">
        <v>61</v>
      </c>
      <c r="C51" s="50">
        <v>1315000</v>
      </c>
      <c r="D51" s="51">
        <v>250000</v>
      </c>
      <c r="E51" s="63">
        <v>100000</v>
      </c>
      <c r="F51" s="85">
        <f t="shared" si="3"/>
        <v>1665000</v>
      </c>
      <c r="G51" s="74">
        <v>426346</v>
      </c>
      <c r="H51" s="51">
        <v>411160</v>
      </c>
      <c r="I51" s="52">
        <v>114000</v>
      </c>
      <c r="J51" s="85">
        <f t="shared" si="1"/>
        <v>951506</v>
      </c>
      <c r="K51" s="96">
        <v>348111</v>
      </c>
      <c r="L51" s="85">
        <f t="shared" si="2"/>
        <v>348111</v>
      </c>
      <c r="M51" s="53">
        <f t="shared" si="0"/>
        <v>2964617</v>
      </c>
      <c r="O51"/>
    </row>
    <row r="52" spans="1:15">
      <c r="A52" s="1" t="s">
        <v>3</v>
      </c>
      <c r="B52" s="26" t="s">
        <v>62</v>
      </c>
      <c r="C52" s="36">
        <v>70890</v>
      </c>
      <c r="D52" s="37">
        <v>0</v>
      </c>
      <c r="E52" s="60">
        <v>0</v>
      </c>
      <c r="F52" s="82">
        <f t="shared" si="3"/>
        <v>70890</v>
      </c>
      <c r="G52" s="71">
        <v>22440</v>
      </c>
      <c r="H52" s="37">
        <v>20910</v>
      </c>
      <c r="I52" s="38">
        <v>0</v>
      </c>
      <c r="J52" s="82">
        <f t="shared" si="1"/>
        <v>43350</v>
      </c>
      <c r="K52" s="93">
        <v>17340</v>
      </c>
      <c r="L52" s="82">
        <f t="shared" si="2"/>
        <v>17340</v>
      </c>
      <c r="M52" s="39">
        <f t="shared" si="0"/>
        <v>131580</v>
      </c>
      <c r="O52"/>
    </row>
    <row r="53" spans="1:15">
      <c r="A53" s="1" t="s">
        <v>3</v>
      </c>
      <c r="B53" s="5" t="s">
        <v>63</v>
      </c>
      <c r="C53" s="20">
        <v>12510</v>
      </c>
      <c r="D53" s="21">
        <v>0</v>
      </c>
      <c r="E53" s="61">
        <v>0</v>
      </c>
      <c r="F53" s="83">
        <f t="shared" si="3"/>
        <v>12510</v>
      </c>
      <c r="G53" s="72">
        <v>3960</v>
      </c>
      <c r="H53" s="21">
        <v>3690</v>
      </c>
      <c r="I53" s="22">
        <v>0</v>
      </c>
      <c r="J53" s="83">
        <f t="shared" si="1"/>
        <v>7650</v>
      </c>
      <c r="K53" s="94">
        <v>3060</v>
      </c>
      <c r="L53" s="83">
        <f t="shared" si="2"/>
        <v>3060</v>
      </c>
      <c r="M53" s="9">
        <f t="shared" si="0"/>
        <v>23220</v>
      </c>
      <c r="O53"/>
    </row>
    <row r="54" spans="1:15">
      <c r="A54" s="1" t="s">
        <v>3</v>
      </c>
      <c r="B54" s="5" t="s">
        <v>64</v>
      </c>
      <c r="C54" s="20">
        <v>59475</v>
      </c>
      <c r="D54" s="21">
        <v>0</v>
      </c>
      <c r="E54" s="61">
        <v>0</v>
      </c>
      <c r="F54" s="83">
        <f t="shared" si="3"/>
        <v>59475</v>
      </c>
      <c r="G54" s="72">
        <v>40260</v>
      </c>
      <c r="H54" s="21">
        <v>37515</v>
      </c>
      <c r="I54" s="22">
        <v>0</v>
      </c>
      <c r="J54" s="83">
        <f t="shared" si="1"/>
        <v>77775</v>
      </c>
      <c r="K54" s="94">
        <v>31110</v>
      </c>
      <c r="L54" s="83">
        <f t="shared" si="2"/>
        <v>31110</v>
      </c>
      <c r="M54" s="9">
        <f t="shared" si="0"/>
        <v>168360</v>
      </c>
      <c r="O54"/>
    </row>
    <row r="55" spans="1:15">
      <c r="A55" s="1" t="s">
        <v>3</v>
      </c>
      <c r="B55" s="5" t="s">
        <v>65</v>
      </c>
      <c r="C55" s="20">
        <v>0</v>
      </c>
      <c r="D55" s="21">
        <v>0</v>
      </c>
      <c r="E55" s="61">
        <v>0</v>
      </c>
      <c r="F55" s="83">
        <f t="shared" si="3"/>
        <v>0</v>
      </c>
      <c r="G55" s="72">
        <v>1279</v>
      </c>
      <c r="H55" s="21">
        <v>1233</v>
      </c>
      <c r="I55" s="22">
        <v>342</v>
      </c>
      <c r="J55" s="83">
        <f t="shared" si="1"/>
        <v>2854</v>
      </c>
      <c r="K55" s="94">
        <v>1044</v>
      </c>
      <c r="L55" s="83">
        <f t="shared" si="2"/>
        <v>1044</v>
      </c>
      <c r="M55" s="9">
        <f t="shared" si="0"/>
        <v>3898</v>
      </c>
      <c r="O55"/>
    </row>
    <row r="56" spans="1:15" ht="19.5" thickBot="1">
      <c r="A56" s="1" t="s">
        <v>3</v>
      </c>
      <c r="B56" s="44" t="s">
        <v>66</v>
      </c>
      <c r="C56" s="45">
        <v>0</v>
      </c>
      <c r="D56" s="46">
        <v>0</v>
      </c>
      <c r="E56" s="62">
        <v>0</v>
      </c>
      <c r="F56" s="84">
        <f t="shared" si="3"/>
        <v>0</v>
      </c>
      <c r="G56" s="73">
        <v>0</v>
      </c>
      <c r="H56" s="46">
        <v>0</v>
      </c>
      <c r="I56" s="47">
        <v>0</v>
      </c>
      <c r="J56" s="84">
        <f t="shared" si="1"/>
        <v>0</v>
      </c>
      <c r="K56" s="95">
        <v>0</v>
      </c>
      <c r="L56" s="84">
        <f t="shared" si="2"/>
        <v>0</v>
      </c>
      <c r="M56" s="48">
        <f t="shared" si="0"/>
        <v>0</v>
      </c>
      <c r="O56"/>
    </row>
    <row r="57" spans="1:15" ht="19.5" thickBot="1">
      <c r="A57" s="1" t="s">
        <v>3</v>
      </c>
      <c r="B57" s="49" t="s">
        <v>67</v>
      </c>
      <c r="C57" s="50">
        <v>142875</v>
      </c>
      <c r="D57" s="51">
        <v>0</v>
      </c>
      <c r="E57" s="63">
        <v>0</v>
      </c>
      <c r="F57" s="85">
        <f t="shared" si="3"/>
        <v>142875</v>
      </c>
      <c r="G57" s="74">
        <v>67939</v>
      </c>
      <c r="H57" s="51">
        <v>63348</v>
      </c>
      <c r="I57" s="52">
        <v>342</v>
      </c>
      <c r="J57" s="85">
        <f t="shared" si="1"/>
        <v>131629</v>
      </c>
      <c r="K57" s="96">
        <v>52554</v>
      </c>
      <c r="L57" s="85">
        <f t="shared" si="2"/>
        <v>52554</v>
      </c>
      <c r="M57" s="53">
        <f t="shared" si="0"/>
        <v>327058</v>
      </c>
      <c r="O57"/>
    </row>
    <row r="58" spans="1:15">
      <c r="A58" s="1" t="s">
        <v>3</v>
      </c>
      <c r="B58" s="26" t="s">
        <v>68</v>
      </c>
      <c r="C58" s="36">
        <v>185340</v>
      </c>
      <c r="D58" s="37">
        <v>36400</v>
      </c>
      <c r="E58" s="60">
        <v>720</v>
      </c>
      <c r="F58" s="82">
        <f t="shared" si="3"/>
        <v>222460</v>
      </c>
      <c r="G58" s="71">
        <v>13040</v>
      </c>
      <c r="H58" s="37">
        <v>11780</v>
      </c>
      <c r="I58" s="38">
        <v>1420</v>
      </c>
      <c r="J58" s="82">
        <f t="shared" si="1"/>
        <v>26240</v>
      </c>
      <c r="K58" s="93">
        <v>8090</v>
      </c>
      <c r="L58" s="82">
        <f t="shared" si="2"/>
        <v>8090</v>
      </c>
      <c r="M58" s="39">
        <f t="shared" si="0"/>
        <v>256790</v>
      </c>
      <c r="O58"/>
    </row>
    <row r="59" spans="1:15">
      <c r="A59" s="1" t="s">
        <v>3</v>
      </c>
      <c r="B59" s="5" t="s">
        <v>69</v>
      </c>
      <c r="C59" s="20">
        <v>0</v>
      </c>
      <c r="D59" s="21">
        <v>0</v>
      </c>
      <c r="E59" s="61">
        <v>0</v>
      </c>
      <c r="F59" s="83">
        <f t="shared" si="3"/>
        <v>0</v>
      </c>
      <c r="G59" s="72">
        <v>0</v>
      </c>
      <c r="H59" s="21">
        <v>0</v>
      </c>
      <c r="I59" s="22">
        <v>0</v>
      </c>
      <c r="J59" s="83">
        <f t="shared" si="1"/>
        <v>0</v>
      </c>
      <c r="K59" s="94">
        <v>0</v>
      </c>
      <c r="L59" s="83">
        <f t="shared" si="2"/>
        <v>0</v>
      </c>
      <c r="M59" s="9">
        <f t="shared" si="0"/>
        <v>0</v>
      </c>
      <c r="O59"/>
    </row>
    <row r="60" spans="1:15">
      <c r="A60" s="1" t="s">
        <v>3</v>
      </c>
      <c r="B60" s="5" t="s">
        <v>70</v>
      </c>
      <c r="C60" s="20">
        <v>96300</v>
      </c>
      <c r="D60" s="21">
        <v>0</v>
      </c>
      <c r="E60" s="61">
        <v>900</v>
      </c>
      <c r="F60" s="83">
        <f t="shared" si="3"/>
        <v>97200</v>
      </c>
      <c r="G60" s="72">
        <v>19700</v>
      </c>
      <c r="H60" s="21">
        <v>18200</v>
      </c>
      <c r="I60" s="22">
        <v>2500</v>
      </c>
      <c r="J60" s="83">
        <f t="shared" si="1"/>
        <v>40400</v>
      </c>
      <c r="K60" s="94">
        <v>15600</v>
      </c>
      <c r="L60" s="83">
        <f t="shared" si="2"/>
        <v>15600</v>
      </c>
      <c r="M60" s="9">
        <f t="shared" si="0"/>
        <v>153200</v>
      </c>
      <c r="O60"/>
    </row>
    <row r="61" spans="1:15">
      <c r="A61" s="1" t="s">
        <v>3</v>
      </c>
      <c r="B61" s="5" t="s">
        <v>71</v>
      </c>
      <c r="C61" s="20">
        <v>32000</v>
      </c>
      <c r="D61" s="21">
        <v>0</v>
      </c>
      <c r="E61" s="61">
        <v>0</v>
      </c>
      <c r="F61" s="83">
        <f t="shared" si="3"/>
        <v>32000</v>
      </c>
      <c r="G61" s="72">
        <v>0</v>
      </c>
      <c r="H61" s="21">
        <v>0</v>
      </c>
      <c r="I61" s="22">
        <v>0</v>
      </c>
      <c r="J61" s="83">
        <f t="shared" si="1"/>
        <v>0</v>
      </c>
      <c r="K61" s="94">
        <v>0</v>
      </c>
      <c r="L61" s="83">
        <f t="shared" si="2"/>
        <v>0</v>
      </c>
      <c r="M61" s="9">
        <f t="shared" si="0"/>
        <v>32000</v>
      </c>
      <c r="O61"/>
    </row>
    <row r="62" spans="1:15" ht="19.5" thickBot="1">
      <c r="A62" s="1" t="s">
        <v>3</v>
      </c>
      <c r="B62" s="5" t="s">
        <v>72</v>
      </c>
      <c r="C62" s="20">
        <v>0</v>
      </c>
      <c r="D62" s="21">
        <v>0</v>
      </c>
      <c r="E62" s="61">
        <v>0</v>
      </c>
      <c r="F62" s="83">
        <f t="shared" si="3"/>
        <v>0</v>
      </c>
      <c r="G62" s="72">
        <v>0</v>
      </c>
      <c r="H62" s="21">
        <v>0</v>
      </c>
      <c r="I62" s="22">
        <v>0</v>
      </c>
      <c r="J62" s="83">
        <f t="shared" si="1"/>
        <v>0</v>
      </c>
      <c r="K62" s="94">
        <v>0</v>
      </c>
      <c r="L62" s="83">
        <f t="shared" si="2"/>
        <v>0</v>
      </c>
      <c r="M62" s="9">
        <f t="shared" si="0"/>
        <v>0</v>
      </c>
      <c r="O62"/>
    </row>
    <row r="63" spans="1:15" ht="19.5" thickBot="1">
      <c r="A63" s="1" t="s">
        <v>3</v>
      </c>
      <c r="B63" s="49" t="s">
        <v>73</v>
      </c>
      <c r="C63" s="50">
        <v>456515</v>
      </c>
      <c r="D63" s="51">
        <v>36400</v>
      </c>
      <c r="E63" s="63">
        <v>1620</v>
      </c>
      <c r="F63" s="85">
        <f t="shared" si="3"/>
        <v>494535</v>
      </c>
      <c r="G63" s="74">
        <v>100679</v>
      </c>
      <c r="H63" s="51">
        <v>93328</v>
      </c>
      <c r="I63" s="52">
        <v>4262</v>
      </c>
      <c r="J63" s="85">
        <f t="shared" si="1"/>
        <v>198269</v>
      </c>
      <c r="K63" s="96">
        <v>76244</v>
      </c>
      <c r="L63" s="85">
        <f t="shared" si="2"/>
        <v>76244</v>
      </c>
      <c r="M63" s="53">
        <f t="shared" si="0"/>
        <v>769048</v>
      </c>
      <c r="O63"/>
    </row>
    <row r="64" spans="1:15" ht="19.5" thickBot="1">
      <c r="A64" s="1" t="s">
        <v>3</v>
      </c>
      <c r="B64" s="49" t="s">
        <v>74</v>
      </c>
      <c r="C64" s="50">
        <v>1172125</v>
      </c>
      <c r="D64" s="51">
        <v>250000</v>
      </c>
      <c r="E64" s="63">
        <v>100000</v>
      </c>
      <c r="F64" s="85">
        <f t="shared" si="3"/>
        <v>1522125</v>
      </c>
      <c r="G64" s="74">
        <v>357061</v>
      </c>
      <c r="H64" s="51">
        <v>341652</v>
      </c>
      <c r="I64" s="52">
        <v>113658</v>
      </c>
      <c r="J64" s="85">
        <f t="shared" si="1"/>
        <v>812371</v>
      </c>
      <c r="K64" s="96">
        <v>293120</v>
      </c>
      <c r="L64" s="85">
        <f t="shared" si="2"/>
        <v>293120</v>
      </c>
      <c r="M64" s="53">
        <f t="shared" si="0"/>
        <v>2627616</v>
      </c>
      <c r="O64"/>
    </row>
    <row r="65" spans="1:15" ht="19.5" thickBot="1">
      <c r="A65" s="1" t="s">
        <v>3</v>
      </c>
      <c r="B65" s="49" t="s">
        <v>75</v>
      </c>
      <c r="C65" s="50">
        <v>858485</v>
      </c>
      <c r="D65" s="51">
        <v>213600</v>
      </c>
      <c r="E65" s="63">
        <v>98380</v>
      </c>
      <c r="F65" s="85">
        <f t="shared" si="3"/>
        <v>1170465</v>
      </c>
      <c r="G65" s="74">
        <v>325667</v>
      </c>
      <c r="H65" s="51">
        <v>317832</v>
      </c>
      <c r="I65" s="52">
        <v>109738</v>
      </c>
      <c r="J65" s="85">
        <f t="shared" si="1"/>
        <v>753237</v>
      </c>
      <c r="K65" s="96">
        <v>271867</v>
      </c>
      <c r="L65" s="85">
        <f t="shared" si="2"/>
        <v>271867</v>
      </c>
      <c r="M65" s="53">
        <f t="shared" si="0"/>
        <v>2195569</v>
      </c>
      <c r="O65"/>
    </row>
    <row r="66" spans="1:15">
      <c r="A66" s="1" t="s">
        <v>3</v>
      </c>
      <c r="B66" s="26" t="s">
        <v>76</v>
      </c>
      <c r="C66" s="36">
        <v>0</v>
      </c>
      <c r="D66" s="37">
        <v>0</v>
      </c>
      <c r="E66" s="60">
        <v>0</v>
      </c>
      <c r="F66" s="82">
        <f t="shared" si="3"/>
        <v>0</v>
      </c>
      <c r="G66" s="71">
        <v>0</v>
      </c>
      <c r="H66" s="37">
        <v>0</v>
      </c>
      <c r="I66" s="38">
        <v>0</v>
      </c>
      <c r="J66" s="82">
        <f t="shared" si="1"/>
        <v>0</v>
      </c>
      <c r="K66" s="93">
        <v>0</v>
      </c>
      <c r="L66" s="82">
        <f t="shared" si="2"/>
        <v>0</v>
      </c>
      <c r="M66" s="39">
        <f t="shared" si="0"/>
        <v>0</v>
      </c>
      <c r="O66"/>
    </row>
    <row r="67" spans="1:15">
      <c r="A67" s="1" t="s">
        <v>3</v>
      </c>
      <c r="B67" s="5" t="s">
        <v>77</v>
      </c>
      <c r="C67" s="20">
        <v>858485</v>
      </c>
      <c r="D67" s="21">
        <v>213600</v>
      </c>
      <c r="E67" s="61">
        <v>98380</v>
      </c>
      <c r="F67" s="83">
        <f t="shared" si="3"/>
        <v>1170465</v>
      </c>
      <c r="G67" s="72">
        <v>325667</v>
      </c>
      <c r="H67" s="21">
        <v>317832</v>
      </c>
      <c r="I67" s="22">
        <v>109738</v>
      </c>
      <c r="J67" s="83">
        <f t="shared" si="1"/>
        <v>753237</v>
      </c>
      <c r="K67" s="94">
        <v>271867</v>
      </c>
      <c r="L67" s="83">
        <f t="shared" si="2"/>
        <v>271867</v>
      </c>
      <c r="M67" s="9">
        <f t="shared" si="0"/>
        <v>2195569</v>
      </c>
      <c r="O67"/>
    </row>
    <row r="68" spans="1:15">
      <c r="A68" s="1" t="s">
        <v>3</v>
      </c>
      <c r="B68" s="5" t="s">
        <v>78</v>
      </c>
      <c r="C68" s="20">
        <v>1</v>
      </c>
      <c r="D68" s="21">
        <v>0</v>
      </c>
      <c r="E68" s="61">
        <v>0</v>
      </c>
      <c r="F68" s="83"/>
      <c r="G68" s="72">
        <v>0</v>
      </c>
      <c r="H68" s="21">
        <v>0</v>
      </c>
      <c r="I68" s="22">
        <v>0</v>
      </c>
      <c r="J68" s="83"/>
      <c r="K68" s="94">
        <v>0</v>
      </c>
      <c r="L68" s="83"/>
      <c r="M68" s="9"/>
      <c r="O68"/>
    </row>
    <row r="69" spans="1:15" ht="19.5" thickBot="1">
      <c r="A69" s="1" t="s">
        <v>3</v>
      </c>
      <c r="B69" s="6" t="s">
        <v>79</v>
      </c>
      <c r="C69" s="23" t="s">
        <v>80</v>
      </c>
      <c r="D69" s="24" t="s">
        <v>81</v>
      </c>
      <c r="E69" s="64" t="s">
        <v>80</v>
      </c>
      <c r="F69" s="86"/>
      <c r="G69" s="75" t="s">
        <v>80</v>
      </c>
      <c r="H69" s="24" t="s">
        <v>80</v>
      </c>
      <c r="I69" s="25" t="s">
        <v>80</v>
      </c>
      <c r="J69" s="86"/>
      <c r="K69" s="97" t="s">
        <v>80</v>
      </c>
      <c r="L69" s="86"/>
      <c r="M69" s="10"/>
      <c r="O69"/>
    </row>
  </sheetData>
  <phoneticPr fontId="3"/>
  <pageMargins left="0.31496062992125984" right="0.31496062992125984" top="0.15748031496062992" bottom="0.35433070866141736" header="0.31496062992125984" footer="0.31496062992125984"/>
  <pageSetup paperSize="9" scale="4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8月度給与 (2)</vt:lpstr>
      <vt:lpstr>'2021年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2021-09-13T06:46:43Z</cp:lastPrinted>
  <dcterms:created xsi:type="dcterms:W3CDTF">2021-09-09T01:29:05Z</dcterms:created>
  <dcterms:modified xsi:type="dcterms:W3CDTF">2021-09-13T07:13:54Z</dcterms:modified>
</cp:coreProperties>
</file>