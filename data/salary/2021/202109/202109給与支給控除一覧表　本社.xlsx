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09\"/>
    </mc:Choice>
  </mc:AlternateContent>
  <xr:revisionPtr revIDLastSave="0" documentId="13_ncr:1_{9E7E70FA-50AD-4FD3-A53A-64F1F4BFFC41}" xr6:coauthVersionLast="47" xr6:coauthVersionMax="47" xr10:uidLastSave="{00000000-0000-0000-0000-000000000000}"/>
  <bookViews>
    <workbookView xWindow="-120" yWindow="-120" windowWidth="20730" windowHeight="11160" xr2:uid="{34DFCD1B-3532-475E-A56F-1F7F823A2E1D}"/>
  </bookViews>
  <sheets>
    <sheet name="2021年10月度給与 (2)" sheetId="3" r:id="rId1"/>
  </sheets>
  <definedNames>
    <definedName name="_xlnm.Print_Area" localSheetId="0">'2021年10月度給与 (2)'!$A$1:$M$67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3" l="1"/>
  <c r="M9" i="3"/>
  <c r="M12" i="3"/>
  <c r="M13" i="3"/>
  <c r="M17" i="3"/>
  <c r="M18" i="3"/>
  <c r="M19" i="3"/>
  <c r="M22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25" i="3"/>
  <c r="L24" i="3"/>
  <c r="M24" i="3" s="1"/>
  <c r="L23" i="3"/>
  <c r="M23" i="3" s="1"/>
  <c r="L20" i="3"/>
  <c r="M20" i="3" s="1"/>
  <c r="L16" i="3"/>
  <c r="M16" i="3" s="1"/>
  <c r="L15" i="3"/>
  <c r="M15" i="3" s="1"/>
  <c r="L11" i="3"/>
  <c r="M11" i="3" s="1"/>
  <c r="L10" i="3"/>
  <c r="L7" i="3"/>
  <c r="M7" i="3" s="1"/>
  <c r="L6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25" i="3"/>
  <c r="J21" i="3"/>
  <c r="M21" i="3" s="1"/>
  <c r="J14" i="3"/>
  <c r="M14" i="3" s="1"/>
  <c r="J10" i="3"/>
  <c r="J6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31" i="3"/>
  <c r="F6" i="3"/>
  <c r="M25" i="3" l="1"/>
  <c r="M30" i="3"/>
  <c r="M29" i="3"/>
  <c r="M31" i="3"/>
  <c r="M62" i="3"/>
  <c r="M41" i="3"/>
  <c r="M60" i="3"/>
  <c r="M52" i="3"/>
  <c r="M45" i="3"/>
  <c r="M56" i="3"/>
  <c r="M48" i="3"/>
  <c r="M64" i="3"/>
  <c r="M58" i="3"/>
  <c r="M54" i="3"/>
  <c r="M50" i="3"/>
  <c r="M47" i="3"/>
  <c r="M43" i="3"/>
  <c r="M39" i="3"/>
  <c r="M36" i="3"/>
  <c r="M27" i="3"/>
  <c r="M28" i="3"/>
  <c r="M10" i="3"/>
  <c r="M65" i="3"/>
  <c r="M61" i="3"/>
  <c r="M59" i="3"/>
  <c r="M55" i="3"/>
  <c r="M51" i="3"/>
  <c r="M44" i="3"/>
  <c r="M40" i="3"/>
  <c r="M37" i="3"/>
  <c r="M35" i="3"/>
  <c r="M33" i="3"/>
  <c r="M26" i="3"/>
  <c r="M63" i="3"/>
  <c r="M57" i="3"/>
  <c r="M53" i="3"/>
  <c r="M49" i="3"/>
  <c r="M46" i="3"/>
  <c r="M42" i="3"/>
  <c r="M38" i="3"/>
  <c r="M34" i="3"/>
  <c r="M32" i="3"/>
  <c r="M6" i="3"/>
</calcChain>
</file>

<file path=xl/sharedStrings.xml><?xml version="1.0" encoding="utf-8"?>
<sst xmlns="http://schemas.openxmlformats.org/spreadsheetml/2006/main" count="157" uniqueCount="86">
  <si>
    <t>支給控除一覧表</t>
    <phoneticPr fontId="4"/>
  </si>
  <si>
    <t>若林運送株式会社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</si>
  <si>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</si>
  <si>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</si>
  <si>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</si>
  <si>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</si>
  <si>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</si>
  <si>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</si>
  <si>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</si>
  <si>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</si>
  <si>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</si>
  <si>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若林権太郎</t>
    <phoneticPr fontId="4"/>
  </si>
  <si>
    <t>若林孝次郎</t>
    <phoneticPr fontId="4"/>
  </si>
  <si>
    <t>若林裕子</t>
    <phoneticPr fontId="4"/>
  </si>
  <si>
    <t>深沢道夫</t>
    <phoneticPr fontId="4"/>
  </si>
  <si>
    <t>浅田恵美子</t>
    <phoneticPr fontId="4"/>
  </si>
  <si>
    <t>高田智幸</t>
    <phoneticPr fontId="4"/>
  </si>
  <si>
    <t>渋谷晶子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</si>
  <si>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</si>
  <si>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</si>
  <si>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</si>
  <si>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</si>
  <si>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</si>
  <si>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</si>
  <si>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</si>
  <si>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</si>
  <si>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</si>
  <si>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</si>
  <si>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</si>
  <si>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</si>
  <si>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</si>
  <si>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</si>
  <si>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</si>
  <si>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</si>
  <si>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</si>
  <si>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</si>
  <si>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</si>
  <si>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</si>
  <si>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</si>
  <si>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</si>
  <si>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</si>
  <si>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</si>
  <si>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</si>
  <si>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</si>
  <si>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</si>
  <si>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</si>
  <si>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有給休暇</t>
    <phoneticPr fontId="4"/>
  </si>
  <si>
    <t>特別休暇</t>
    <phoneticPr fontId="4"/>
  </si>
  <si>
    <t>過不足調整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</si>
  <si>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</si>
  <si>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</si>
  <si>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</si>
  <si>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</si>
  <si>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</si>
  <si>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</si>
  <si>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</si>
  <si>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</si>
  <si>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</si>
  <si>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</si>
  <si>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</si>
  <si>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</si>
  <si>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</si>
  <si>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</si>
  <si>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</si>
  <si>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</si>
  <si>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</si>
  <si>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</si>
  <si>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</si>
  <si>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</si>
  <si>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</si>
  <si>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</si>
  <si>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</si>
  <si>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</si>
  <si>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</si>
  <si>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</si>
  <si>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</si>
  <si>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</si>
  <si>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</si>
  <si>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</si>
  <si>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</si>
  <si>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2021年9月度給与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</si>
  <si>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</si>
  <si>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</si>
  <si>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1名</t>
    <rPh sb="1" eb="2">
      <t>メイ</t>
    </rPh>
    <phoneticPr fontId="3"/>
  </si>
  <si>
    <t>7名</t>
    <rPh sb="1" eb="2">
      <t>メイ</t>
    </rPh>
    <phoneticPr fontId="3"/>
  </si>
  <si>
    <t>小計</t>
    <rPh sb="0" eb="2">
      <t>ショウケイ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</si>
</sst>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2" fontId="2" fillId="0" borderId="8" xfId="1" applyNumberFormat="1" applyFont="1" applyBorder="1"/>
    <xf numFmtId="2" fontId="2" fillId="0" borderId="9" xfId="1" applyNumberFormat="1" applyFont="1" applyBorder="1"/>
    <xf numFmtId="2" fontId="2" fillId="0" borderId="10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176" fontId="2" fillId="0" borderId="10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left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49" fontId="2" fillId="0" borderId="1" xfId="1" applyNumberFormat="1" applyFont="1" applyBorder="1" applyAlignment="1">
      <alignment horizontal="left"/>
    </xf>
    <xf numFmtId="3" fontId="2" fillId="0" borderId="5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31" xfId="1" applyNumberFormat="1" applyFont="1" applyBorder="1"/>
    <xf numFmtId="3" fontId="2" fillId="0" borderId="27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29" xfId="1" applyNumberFormat="1" applyFont="1" applyBorder="1"/>
    <xf numFmtId="49" fontId="2" fillId="0" borderId="28" xfId="1" applyNumberFormat="1" applyFont="1" applyBorder="1"/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3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5" xfId="1" applyNumberFormat="1" applyFont="1" applyBorder="1"/>
    <xf numFmtId="49" fontId="2" fillId="0" borderId="34" xfId="1" applyNumberFormat="1" applyFont="1" applyBorder="1"/>
    <xf numFmtId="49" fontId="2" fillId="0" borderId="40" xfId="1" applyNumberFormat="1" applyFont="1" applyBorder="1" applyAlignment="1">
      <alignment horizontal="center"/>
    </xf>
    <xf numFmtId="49" fontId="2" fillId="0" borderId="41" xfId="1" applyNumberFormat="1" applyFont="1" applyBorder="1" applyAlignment="1">
      <alignment horizontal="center"/>
    </xf>
    <xf numFmtId="2" fontId="2" fillId="0" borderId="42" xfId="1" applyNumberFormat="1" applyFont="1" applyBorder="1"/>
    <xf numFmtId="2" fontId="2" fillId="0" borderId="43" xfId="1" applyNumberFormat="1" applyFont="1" applyBorder="1"/>
    <xf numFmtId="176" fontId="2" fillId="0" borderId="43" xfId="1" applyNumberFormat="1" applyFont="1" applyBorder="1"/>
    <xf numFmtId="2" fontId="2" fillId="0" borderId="44" xfId="1" applyNumberFormat="1" applyFont="1" applyBorder="1"/>
    <xf numFmtId="3" fontId="2" fillId="0" borderId="40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2" xfId="1" applyNumberFormat="1" applyFont="1" applyBorder="1"/>
    <xf numFmtId="49" fontId="2" fillId="0" borderId="41" xfId="1" applyNumberFormat="1" applyFont="1" applyBorder="1"/>
    <xf numFmtId="49" fontId="2" fillId="0" borderId="46" xfId="1" applyNumberFormat="1" applyFont="1" applyBorder="1" applyAlignment="1">
      <alignment horizontal="left"/>
    </xf>
    <xf numFmtId="49" fontId="2" fillId="0" borderId="47" xfId="1" applyNumberFormat="1" applyFont="1" applyBorder="1" applyAlignment="1">
      <alignment horizontal="right"/>
    </xf>
    <xf numFmtId="2" fontId="2" fillId="0" borderId="48" xfId="1" applyNumberFormat="1" applyFont="1" applyBorder="1"/>
    <xf numFmtId="2" fontId="2" fillId="0" borderId="49" xfId="1" applyNumberFormat="1" applyFont="1" applyBorder="1"/>
    <xf numFmtId="176" fontId="2" fillId="0" borderId="49" xfId="1" applyNumberFormat="1" applyFont="1" applyBorder="1"/>
    <xf numFmtId="2" fontId="2" fillId="0" borderId="50" xfId="1" applyNumberFormat="1" applyFont="1" applyBorder="1"/>
    <xf numFmtId="3" fontId="2" fillId="0" borderId="46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3" fontId="2" fillId="0" borderId="39" xfId="1" applyNumberFormat="1" applyFont="1" applyBorder="1"/>
    <xf numFmtId="3" fontId="2" fillId="0" borderId="48" xfId="1" applyNumberFormat="1" applyFont="1" applyBorder="1"/>
    <xf numFmtId="49" fontId="2" fillId="0" borderId="47" xfId="1" applyNumberFormat="1" applyFont="1" applyBorder="1"/>
    <xf numFmtId="0" fontId="2" fillId="0" borderId="51" xfId="1" applyFont="1" applyBorder="1"/>
  </cellXfs>
  <cellStyles count="2">
    <cellStyle name="標準" xfId="0" builtinId="0"/>
    <cellStyle name="標準 2" xfId="1" xr:uid="{B17D58AA-63EE-4DAB-B094-DD45A9DF9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7DA3-D413-49F2-B90C-1EFD173E962F}">
  <sheetPr>
    <pageSetUpPr fitToPage="1"/>
  </sheetPr>
  <dimension ref="A1:O67"/>
  <sheetViews>
    <sheetView showZeros="0" tabSelected="1" workbookViewId="0">
      <selection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3" width="10.75" style="2" customWidth="1"/>
    <col min="14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5" width="9" style="2"/>
    <col min="266" max="266" width="11.125" style="2" bestFit="1" customWidth="1"/>
    <col min="267" max="268" width="9" style="2"/>
    <col min="269" max="269" width="9.625" style="2" bestFit="1" customWidth="1"/>
    <col min="270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1" width="9" style="2"/>
    <col min="522" max="522" width="11.125" style="2" bestFit="1" customWidth="1"/>
    <col min="523" max="524" width="9" style="2"/>
    <col min="525" max="525" width="9.625" style="2" bestFit="1" customWidth="1"/>
    <col min="526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7" width="9" style="2"/>
    <col min="778" max="778" width="11.125" style="2" bestFit="1" customWidth="1"/>
    <col min="779" max="780" width="9" style="2"/>
    <col min="781" max="781" width="9.625" style="2" bestFit="1" customWidth="1"/>
    <col min="782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3" width="9" style="2"/>
    <col min="1034" max="1034" width="11.125" style="2" bestFit="1" customWidth="1"/>
    <col min="1035" max="1036" width="9" style="2"/>
    <col min="1037" max="1037" width="9.625" style="2" bestFit="1" customWidth="1"/>
    <col min="1038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9" width="9" style="2"/>
    <col min="1290" max="1290" width="11.125" style="2" bestFit="1" customWidth="1"/>
    <col min="1291" max="1292" width="9" style="2"/>
    <col min="1293" max="1293" width="9.625" style="2" bestFit="1" customWidth="1"/>
    <col min="1294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5" width="9" style="2"/>
    <col min="1546" max="1546" width="11.125" style="2" bestFit="1" customWidth="1"/>
    <col min="1547" max="1548" width="9" style="2"/>
    <col min="1549" max="1549" width="9.625" style="2" bestFit="1" customWidth="1"/>
    <col min="1550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1" width="9" style="2"/>
    <col min="1802" max="1802" width="11.125" style="2" bestFit="1" customWidth="1"/>
    <col min="1803" max="1804" width="9" style="2"/>
    <col min="1805" max="1805" width="9.625" style="2" bestFit="1" customWidth="1"/>
    <col min="1806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7" width="9" style="2"/>
    <col min="2058" max="2058" width="11.125" style="2" bestFit="1" customWidth="1"/>
    <col min="2059" max="2060" width="9" style="2"/>
    <col min="2061" max="2061" width="9.625" style="2" bestFit="1" customWidth="1"/>
    <col min="2062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3" width="9" style="2"/>
    <col min="2314" max="2314" width="11.125" style="2" bestFit="1" customWidth="1"/>
    <col min="2315" max="2316" width="9" style="2"/>
    <col min="2317" max="2317" width="9.625" style="2" bestFit="1" customWidth="1"/>
    <col min="2318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9" width="9" style="2"/>
    <col min="2570" max="2570" width="11.125" style="2" bestFit="1" customWidth="1"/>
    <col min="2571" max="2572" width="9" style="2"/>
    <col min="2573" max="2573" width="9.625" style="2" bestFit="1" customWidth="1"/>
    <col min="2574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5" width="9" style="2"/>
    <col min="2826" max="2826" width="11.125" style="2" bestFit="1" customWidth="1"/>
    <col min="2827" max="2828" width="9" style="2"/>
    <col min="2829" max="2829" width="9.625" style="2" bestFit="1" customWidth="1"/>
    <col min="2830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1" width="9" style="2"/>
    <col min="3082" max="3082" width="11.125" style="2" bestFit="1" customWidth="1"/>
    <col min="3083" max="3084" width="9" style="2"/>
    <col min="3085" max="3085" width="9.625" style="2" bestFit="1" customWidth="1"/>
    <col min="3086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7" width="9" style="2"/>
    <col min="3338" max="3338" width="11.125" style="2" bestFit="1" customWidth="1"/>
    <col min="3339" max="3340" width="9" style="2"/>
    <col min="3341" max="3341" width="9.625" style="2" bestFit="1" customWidth="1"/>
    <col min="3342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3" width="9" style="2"/>
    <col min="3594" max="3594" width="11.125" style="2" bestFit="1" customWidth="1"/>
    <col min="3595" max="3596" width="9" style="2"/>
    <col min="3597" max="3597" width="9.625" style="2" bestFit="1" customWidth="1"/>
    <col min="3598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9" width="9" style="2"/>
    <col min="3850" max="3850" width="11.125" style="2" bestFit="1" customWidth="1"/>
    <col min="3851" max="3852" width="9" style="2"/>
    <col min="3853" max="3853" width="9.625" style="2" bestFit="1" customWidth="1"/>
    <col min="3854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5" width="9" style="2"/>
    <col min="4106" max="4106" width="11.125" style="2" bestFit="1" customWidth="1"/>
    <col min="4107" max="4108" width="9" style="2"/>
    <col min="4109" max="4109" width="9.625" style="2" bestFit="1" customWidth="1"/>
    <col min="4110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1" width="9" style="2"/>
    <col min="4362" max="4362" width="11.125" style="2" bestFit="1" customWidth="1"/>
    <col min="4363" max="4364" width="9" style="2"/>
    <col min="4365" max="4365" width="9.625" style="2" bestFit="1" customWidth="1"/>
    <col min="4366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7" width="9" style="2"/>
    <col min="4618" max="4618" width="11.125" style="2" bestFit="1" customWidth="1"/>
    <col min="4619" max="4620" width="9" style="2"/>
    <col min="4621" max="4621" width="9.625" style="2" bestFit="1" customWidth="1"/>
    <col min="4622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3" width="9" style="2"/>
    <col min="4874" max="4874" width="11.125" style="2" bestFit="1" customWidth="1"/>
    <col min="4875" max="4876" width="9" style="2"/>
    <col min="4877" max="4877" width="9.625" style="2" bestFit="1" customWidth="1"/>
    <col min="4878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9" width="9" style="2"/>
    <col min="5130" max="5130" width="11.125" style="2" bestFit="1" customWidth="1"/>
    <col min="5131" max="5132" width="9" style="2"/>
    <col min="5133" max="5133" width="9.625" style="2" bestFit="1" customWidth="1"/>
    <col min="5134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5" width="9" style="2"/>
    <col min="5386" max="5386" width="11.125" style="2" bestFit="1" customWidth="1"/>
    <col min="5387" max="5388" width="9" style="2"/>
    <col min="5389" max="5389" width="9.625" style="2" bestFit="1" customWidth="1"/>
    <col min="5390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1" width="9" style="2"/>
    <col min="5642" max="5642" width="11.125" style="2" bestFit="1" customWidth="1"/>
    <col min="5643" max="5644" width="9" style="2"/>
    <col min="5645" max="5645" width="9.625" style="2" bestFit="1" customWidth="1"/>
    <col min="5646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7" width="9" style="2"/>
    <col min="5898" max="5898" width="11.125" style="2" bestFit="1" customWidth="1"/>
    <col min="5899" max="5900" width="9" style="2"/>
    <col min="5901" max="5901" width="9.625" style="2" bestFit="1" customWidth="1"/>
    <col min="5902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3" width="9" style="2"/>
    <col min="6154" max="6154" width="11.125" style="2" bestFit="1" customWidth="1"/>
    <col min="6155" max="6156" width="9" style="2"/>
    <col min="6157" max="6157" width="9.625" style="2" bestFit="1" customWidth="1"/>
    <col min="6158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9" width="9" style="2"/>
    <col min="6410" max="6410" width="11.125" style="2" bestFit="1" customWidth="1"/>
    <col min="6411" max="6412" width="9" style="2"/>
    <col min="6413" max="6413" width="9.625" style="2" bestFit="1" customWidth="1"/>
    <col min="6414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5" width="9" style="2"/>
    <col min="6666" max="6666" width="11.125" style="2" bestFit="1" customWidth="1"/>
    <col min="6667" max="6668" width="9" style="2"/>
    <col min="6669" max="6669" width="9.625" style="2" bestFit="1" customWidth="1"/>
    <col min="6670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1" width="9" style="2"/>
    <col min="6922" max="6922" width="11.125" style="2" bestFit="1" customWidth="1"/>
    <col min="6923" max="6924" width="9" style="2"/>
    <col min="6925" max="6925" width="9.625" style="2" bestFit="1" customWidth="1"/>
    <col min="6926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7" width="9" style="2"/>
    <col min="7178" max="7178" width="11.125" style="2" bestFit="1" customWidth="1"/>
    <col min="7179" max="7180" width="9" style="2"/>
    <col min="7181" max="7181" width="9.625" style="2" bestFit="1" customWidth="1"/>
    <col min="7182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3" width="9" style="2"/>
    <col min="7434" max="7434" width="11.125" style="2" bestFit="1" customWidth="1"/>
    <col min="7435" max="7436" width="9" style="2"/>
    <col min="7437" max="7437" width="9.625" style="2" bestFit="1" customWidth="1"/>
    <col min="7438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9" width="9" style="2"/>
    <col min="7690" max="7690" width="11.125" style="2" bestFit="1" customWidth="1"/>
    <col min="7691" max="7692" width="9" style="2"/>
    <col min="7693" max="7693" width="9.625" style="2" bestFit="1" customWidth="1"/>
    <col min="7694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5" width="9" style="2"/>
    <col min="7946" max="7946" width="11.125" style="2" bestFit="1" customWidth="1"/>
    <col min="7947" max="7948" width="9" style="2"/>
    <col min="7949" max="7949" width="9.625" style="2" bestFit="1" customWidth="1"/>
    <col min="7950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1" width="9" style="2"/>
    <col min="8202" max="8202" width="11.125" style="2" bestFit="1" customWidth="1"/>
    <col min="8203" max="8204" width="9" style="2"/>
    <col min="8205" max="8205" width="9.625" style="2" bestFit="1" customWidth="1"/>
    <col min="8206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7" width="9" style="2"/>
    <col min="8458" max="8458" width="11.125" style="2" bestFit="1" customWidth="1"/>
    <col min="8459" max="8460" width="9" style="2"/>
    <col min="8461" max="8461" width="9.625" style="2" bestFit="1" customWidth="1"/>
    <col min="8462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3" width="9" style="2"/>
    <col min="8714" max="8714" width="11.125" style="2" bestFit="1" customWidth="1"/>
    <col min="8715" max="8716" width="9" style="2"/>
    <col min="8717" max="8717" width="9.625" style="2" bestFit="1" customWidth="1"/>
    <col min="8718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9" width="9" style="2"/>
    <col min="8970" max="8970" width="11.125" style="2" bestFit="1" customWidth="1"/>
    <col min="8971" max="8972" width="9" style="2"/>
    <col min="8973" max="8973" width="9.625" style="2" bestFit="1" customWidth="1"/>
    <col min="8974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5" width="9" style="2"/>
    <col min="9226" max="9226" width="11.125" style="2" bestFit="1" customWidth="1"/>
    <col min="9227" max="9228" width="9" style="2"/>
    <col min="9229" max="9229" width="9.625" style="2" bestFit="1" customWidth="1"/>
    <col min="9230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1" width="9" style="2"/>
    <col min="9482" max="9482" width="11.125" style="2" bestFit="1" customWidth="1"/>
    <col min="9483" max="9484" width="9" style="2"/>
    <col min="9485" max="9485" width="9.625" style="2" bestFit="1" customWidth="1"/>
    <col min="9486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7" width="9" style="2"/>
    <col min="9738" max="9738" width="11.125" style="2" bestFit="1" customWidth="1"/>
    <col min="9739" max="9740" width="9" style="2"/>
    <col min="9741" max="9741" width="9.625" style="2" bestFit="1" customWidth="1"/>
    <col min="9742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3" width="9" style="2"/>
    <col min="9994" max="9994" width="11.125" style="2" bestFit="1" customWidth="1"/>
    <col min="9995" max="9996" width="9" style="2"/>
    <col min="9997" max="9997" width="9.625" style="2" bestFit="1" customWidth="1"/>
    <col min="9998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9" width="9" style="2"/>
    <col min="10250" max="10250" width="11.125" style="2" bestFit="1" customWidth="1"/>
    <col min="10251" max="10252" width="9" style="2"/>
    <col min="10253" max="10253" width="9.625" style="2" bestFit="1" customWidth="1"/>
    <col min="10254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5" width="9" style="2"/>
    <col min="10506" max="10506" width="11.125" style="2" bestFit="1" customWidth="1"/>
    <col min="10507" max="10508" width="9" style="2"/>
    <col min="10509" max="10509" width="9.625" style="2" bestFit="1" customWidth="1"/>
    <col min="10510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1" width="9" style="2"/>
    <col min="10762" max="10762" width="11.125" style="2" bestFit="1" customWidth="1"/>
    <col min="10763" max="10764" width="9" style="2"/>
    <col min="10765" max="10765" width="9.625" style="2" bestFit="1" customWidth="1"/>
    <col min="10766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7" width="9" style="2"/>
    <col min="11018" max="11018" width="11.125" style="2" bestFit="1" customWidth="1"/>
    <col min="11019" max="11020" width="9" style="2"/>
    <col min="11021" max="11021" width="9.625" style="2" bestFit="1" customWidth="1"/>
    <col min="11022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3" width="9" style="2"/>
    <col min="11274" max="11274" width="11.125" style="2" bestFit="1" customWidth="1"/>
    <col min="11275" max="11276" width="9" style="2"/>
    <col min="11277" max="11277" width="9.625" style="2" bestFit="1" customWidth="1"/>
    <col min="11278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9" width="9" style="2"/>
    <col min="11530" max="11530" width="11.125" style="2" bestFit="1" customWidth="1"/>
    <col min="11531" max="11532" width="9" style="2"/>
    <col min="11533" max="11533" width="9.625" style="2" bestFit="1" customWidth="1"/>
    <col min="11534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5" width="9" style="2"/>
    <col min="11786" max="11786" width="11.125" style="2" bestFit="1" customWidth="1"/>
    <col min="11787" max="11788" width="9" style="2"/>
    <col min="11789" max="11789" width="9.625" style="2" bestFit="1" customWidth="1"/>
    <col min="11790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1" width="9" style="2"/>
    <col min="12042" max="12042" width="11.125" style="2" bestFit="1" customWidth="1"/>
    <col min="12043" max="12044" width="9" style="2"/>
    <col min="12045" max="12045" width="9.625" style="2" bestFit="1" customWidth="1"/>
    <col min="12046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7" width="9" style="2"/>
    <col min="12298" max="12298" width="11.125" style="2" bestFit="1" customWidth="1"/>
    <col min="12299" max="12300" width="9" style="2"/>
    <col min="12301" max="12301" width="9.625" style="2" bestFit="1" customWidth="1"/>
    <col min="12302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3" width="9" style="2"/>
    <col min="12554" max="12554" width="11.125" style="2" bestFit="1" customWidth="1"/>
    <col min="12555" max="12556" width="9" style="2"/>
    <col min="12557" max="12557" width="9.625" style="2" bestFit="1" customWidth="1"/>
    <col min="12558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9" width="9" style="2"/>
    <col min="12810" max="12810" width="11.125" style="2" bestFit="1" customWidth="1"/>
    <col min="12811" max="12812" width="9" style="2"/>
    <col min="12813" max="12813" width="9.625" style="2" bestFit="1" customWidth="1"/>
    <col min="12814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5" width="9" style="2"/>
    <col min="13066" max="13066" width="11.125" style="2" bestFit="1" customWidth="1"/>
    <col min="13067" max="13068" width="9" style="2"/>
    <col min="13069" max="13069" width="9.625" style="2" bestFit="1" customWidth="1"/>
    <col min="13070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1" width="9" style="2"/>
    <col min="13322" max="13322" width="11.125" style="2" bestFit="1" customWidth="1"/>
    <col min="13323" max="13324" width="9" style="2"/>
    <col min="13325" max="13325" width="9.625" style="2" bestFit="1" customWidth="1"/>
    <col min="13326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7" width="9" style="2"/>
    <col min="13578" max="13578" width="11.125" style="2" bestFit="1" customWidth="1"/>
    <col min="13579" max="13580" width="9" style="2"/>
    <col min="13581" max="13581" width="9.625" style="2" bestFit="1" customWidth="1"/>
    <col min="13582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3" width="9" style="2"/>
    <col min="13834" max="13834" width="11.125" style="2" bestFit="1" customWidth="1"/>
    <col min="13835" max="13836" width="9" style="2"/>
    <col min="13837" max="13837" width="9.625" style="2" bestFit="1" customWidth="1"/>
    <col min="13838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9" width="9" style="2"/>
    <col min="14090" max="14090" width="11.125" style="2" bestFit="1" customWidth="1"/>
    <col min="14091" max="14092" width="9" style="2"/>
    <col min="14093" max="14093" width="9.625" style="2" bestFit="1" customWidth="1"/>
    <col min="14094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5" width="9" style="2"/>
    <col min="14346" max="14346" width="11.125" style="2" bestFit="1" customWidth="1"/>
    <col min="14347" max="14348" width="9" style="2"/>
    <col min="14349" max="14349" width="9.625" style="2" bestFit="1" customWidth="1"/>
    <col min="14350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1" width="9" style="2"/>
    <col min="14602" max="14602" width="11.125" style="2" bestFit="1" customWidth="1"/>
    <col min="14603" max="14604" width="9" style="2"/>
    <col min="14605" max="14605" width="9.625" style="2" bestFit="1" customWidth="1"/>
    <col min="14606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7" width="9" style="2"/>
    <col min="14858" max="14858" width="11.125" style="2" bestFit="1" customWidth="1"/>
    <col min="14859" max="14860" width="9" style="2"/>
    <col min="14861" max="14861" width="9.625" style="2" bestFit="1" customWidth="1"/>
    <col min="14862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3" width="9" style="2"/>
    <col min="15114" max="15114" width="11.125" style="2" bestFit="1" customWidth="1"/>
    <col min="15115" max="15116" width="9" style="2"/>
    <col min="15117" max="15117" width="9.625" style="2" bestFit="1" customWidth="1"/>
    <col min="15118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9" width="9" style="2"/>
    <col min="15370" max="15370" width="11.125" style="2" bestFit="1" customWidth="1"/>
    <col min="15371" max="15372" width="9" style="2"/>
    <col min="15373" max="15373" width="9.625" style="2" bestFit="1" customWidth="1"/>
    <col min="15374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5" width="9" style="2"/>
    <col min="15626" max="15626" width="11.125" style="2" bestFit="1" customWidth="1"/>
    <col min="15627" max="15628" width="9" style="2"/>
    <col min="15629" max="15629" width="9.625" style="2" bestFit="1" customWidth="1"/>
    <col min="15630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1" width="9" style="2"/>
    <col min="15882" max="15882" width="11.125" style="2" bestFit="1" customWidth="1"/>
    <col min="15883" max="15884" width="9" style="2"/>
    <col min="15885" max="15885" width="9.625" style="2" bestFit="1" customWidth="1"/>
    <col min="15886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7" width="9" style="2"/>
    <col min="16138" max="16138" width="11.125" style="2" bestFit="1" customWidth="1"/>
    <col min="16139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80</v>
      </c>
    </row>
    <row r="4" spans="1:15">
      <c r="B4" s="3"/>
      <c r="C4" s="7" t="s">
        <v>3</v>
      </c>
      <c r="D4" s="8" t="s">
        <v>4</v>
      </c>
      <c r="E4" s="49" t="s">
        <v>5</v>
      </c>
      <c r="F4" s="85" t="s">
        <v>81</v>
      </c>
      <c r="G4" s="73" t="s">
        <v>6</v>
      </c>
      <c r="H4" s="8" t="s">
        <v>7</v>
      </c>
      <c r="I4" s="9" t="s">
        <v>9</v>
      </c>
      <c r="J4" s="85" t="s">
        <v>81</v>
      </c>
      <c r="K4" s="61" t="s">
        <v>8</v>
      </c>
      <c r="L4" s="85" t="s">
        <v>85</v>
      </c>
      <c r="M4" s="4" t="s">
        <v>18</v>
      </c>
    </row>
    <row r="5" spans="1:15" ht="19.5" thickBot="1">
      <c r="A5" s="97"/>
      <c r="B5" s="27" t="s">
        <v>10</v>
      </c>
      <c r="C5" s="28" t="s">
        <v>11</v>
      </c>
      <c r="D5" s="29" t="s">
        <v>12</v>
      </c>
      <c r="E5" s="50" t="s">
        <v>13</v>
      </c>
      <c r="F5" s="86" t="s">
        <v>82</v>
      </c>
      <c r="G5" s="74" t="s">
        <v>14</v>
      </c>
      <c r="H5" s="29" t="s">
        <v>15</v>
      </c>
      <c r="I5" s="30" t="s">
        <v>17</v>
      </c>
      <c r="J5" s="86" t="s">
        <v>82</v>
      </c>
      <c r="K5" s="62" t="s">
        <v>16</v>
      </c>
      <c r="L5" s="86" t="s">
        <v>83</v>
      </c>
      <c r="M5" s="86" t="s">
        <v>84</v>
      </c>
    </row>
    <row r="6" spans="1:15">
      <c r="A6" s="1" t="s">
        <v>2</v>
      </c>
      <c r="B6" s="22" t="s">
        <v>19</v>
      </c>
      <c r="C6" s="23">
        <v>19</v>
      </c>
      <c r="D6" s="24">
        <v>0</v>
      </c>
      <c r="E6" s="51">
        <v>0</v>
      </c>
      <c r="F6" s="87">
        <f>SUM(C6:E6)</f>
        <v>19</v>
      </c>
      <c r="G6" s="75">
        <v>11</v>
      </c>
      <c r="H6" s="24">
        <v>20</v>
      </c>
      <c r="I6" s="25">
        <v>17</v>
      </c>
      <c r="J6" s="87">
        <f>SUM(G6:I6)</f>
        <v>48</v>
      </c>
      <c r="K6" s="63">
        <v>18</v>
      </c>
      <c r="L6" s="87">
        <f>SUM(K6)</f>
        <v>18</v>
      </c>
      <c r="M6" s="26">
        <f>F6+J6+L6</f>
        <v>85</v>
      </c>
      <c r="O6"/>
    </row>
    <row r="7" spans="1:15">
      <c r="A7" s="1" t="s">
        <v>2</v>
      </c>
      <c r="B7" s="5" t="s">
        <v>20</v>
      </c>
      <c r="C7" s="10">
        <v>0</v>
      </c>
      <c r="D7" s="11">
        <v>0</v>
      </c>
      <c r="E7" s="52">
        <v>0</v>
      </c>
      <c r="F7" s="88"/>
      <c r="G7" s="76">
        <v>0</v>
      </c>
      <c r="H7" s="11">
        <v>0</v>
      </c>
      <c r="I7" s="12">
        <v>0</v>
      </c>
      <c r="J7" s="88"/>
      <c r="K7" s="64">
        <v>2</v>
      </c>
      <c r="L7" s="88">
        <f>SUM(K7)</f>
        <v>2</v>
      </c>
      <c r="M7" s="88">
        <f t="shared" ref="M7:M56" si="0">F7+J7+L7</f>
        <v>2</v>
      </c>
      <c r="O7"/>
    </row>
    <row r="8" spans="1:15">
      <c r="A8" s="1" t="s">
        <v>2</v>
      </c>
      <c r="B8" s="5" t="s">
        <v>21</v>
      </c>
      <c r="C8" s="10">
        <v>0</v>
      </c>
      <c r="D8" s="11">
        <v>0</v>
      </c>
      <c r="E8" s="52">
        <v>0</v>
      </c>
      <c r="F8" s="88"/>
      <c r="G8" s="76">
        <v>0</v>
      </c>
      <c r="H8" s="11">
        <v>0</v>
      </c>
      <c r="I8" s="12">
        <v>0</v>
      </c>
      <c r="J8" s="88"/>
      <c r="K8" s="64">
        <v>0</v>
      </c>
      <c r="L8" s="88"/>
      <c r="M8" s="88">
        <f t="shared" si="0"/>
        <v>0</v>
      </c>
      <c r="O8"/>
    </row>
    <row r="9" spans="1:15">
      <c r="A9" s="1" t="s">
        <v>2</v>
      </c>
      <c r="B9" s="5" t="s">
        <v>22</v>
      </c>
      <c r="C9" s="10">
        <v>0</v>
      </c>
      <c r="D9" s="11">
        <v>0</v>
      </c>
      <c r="E9" s="52">
        <v>0</v>
      </c>
      <c r="F9" s="88"/>
      <c r="G9" s="76">
        <v>0</v>
      </c>
      <c r="H9" s="11">
        <v>0</v>
      </c>
      <c r="I9" s="12">
        <v>0</v>
      </c>
      <c r="J9" s="88"/>
      <c r="K9" s="64">
        <v>0</v>
      </c>
      <c r="L9" s="88"/>
      <c r="M9" s="88">
        <f t="shared" si="0"/>
        <v>0</v>
      </c>
      <c r="O9"/>
    </row>
    <row r="10" spans="1:15">
      <c r="A10" s="1" t="s">
        <v>2</v>
      </c>
      <c r="B10" s="5" t="s">
        <v>23</v>
      </c>
      <c r="C10" s="10">
        <v>0</v>
      </c>
      <c r="D10" s="11">
        <v>0</v>
      </c>
      <c r="E10" s="52">
        <v>0</v>
      </c>
      <c r="F10" s="88"/>
      <c r="G10" s="76">
        <v>9</v>
      </c>
      <c r="H10" s="11">
        <v>0</v>
      </c>
      <c r="I10" s="12">
        <v>1</v>
      </c>
      <c r="J10" s="88">
        <f>SUM(G10:I10)</f>
        <v>10</v>
      </c>
      <c r="K10" s="64">
        <v>1</v>
      </c>
      <c r="L10" s="88">
        <f>SUM(K10)</f>
        <v>1</v>
      </c>
      <c r="M10" s="88">
        <f t="shared" si="0"/>
        <v>11</v>
      </c>
      <c r="O10"/>
    </row>
    <row r="11" spans="1:15">
      <c r="A11" s="1" t="s">
        <v>2</v>
      </c>
      <c r="B11" s="5" t="s">
        <v>24</v>
      </c>
      <c r="C11" s="10">
        <v>0</v>
      </c>
      <c r="D11" s="11">
        <v>0</v>
      </c>
      <c r="E11" s="52">
        <v>0</v>
      </c>
      <c r="F11" s="88"/>
      <c r="G11" s="76">
        <v>0</v>
      </c>
      <c r="H11" s="11">
        <v>0</v>
      </c>
      <c r="I11" s="12">
        <v>0</v>
      </c>
      <c r="J11" s="88"/>
      <c r="K11" s="64">
        <v>1</v>
      </c>
      <c r="L11" s="88">
        <f>SUM(K11)</f>
        <v>1</v>
      </c>
      <c r="M11" s="88">
        <f t="shared" si="0"/>
        <v>1</v>
      </c>
      <c r="O11"/>
    </row>
    <row r="12" spans="1:15">
      <c r="A12" s="1" t="s">
        <v>2</v>
      </c>
      <c r="B12" s="5" t="s">
        <v>25</v>
      </c>
      <c r="C12" s="10">
        <v>0</v>
      </c>
      <c r="D12" s="11">
        <v>0</v>
      </c>
      <c r="E12" s="52">
        <v>0</v>
      </c>
      <c r="F12" s="88"/>
      <c r="G12" s="76">
        <v>0</v>
      </c>
      <c r="H12" s="11">
        <v>0</v>
      </c>
      <c r="I12" s="12">
        <v>0</v>
      </c>
      <c r="J12" s="88"/>
      <c r="K12" s="64">
        <v>0</v>
      </c>
      <c r="L12" s="88"/>
      <c r="M12" s="88">
        <f t="shared" si="0"/>
        <v>0</v>
      </c>
      <c r="O12"/>
    </row>
    <row r="13" spans="1:15">
      <c r="A13" s="1" t="s">
        <v>2</v>
      </c>
      <c r="B13" s="5" t="s">
        <v>26</v>
      </c>
      <c r="C13" s="10">
        <v>0</v>
      </c>
      <c r="D13" s="11">
        <v>0</v>
      </c>
      <c r="E13" s="52">
        <v>0</v>
      </c>
      <c r="F13" s="88"/>
      <c r="G13" s="76">
        <v>0</v>
      </c>
      <c r="H13" s="11">
        <v>0</v>
      </c>
      <c r="I13" s="12">
        <v>0</v>
      </c>
      <c r="J13" s="88"/>
      <c r="K13" s="64">
        <v>0</v>
      </c>
      <c r="L13" s="88"/>
      <c r="M13" s="88">
        <f t="shared" si="0"/>
        <v>0</v>
      </c>
      <c r="O13"/>
    </row>
    <row r="14" spans="1:15">
      <c r="A14" s="1" t="s">
        <v>2</v>
      </c>
      <c r="B14" s="5" t="s">
        <v>27</v>
      </c>
      <c r="C14" s="13">
        <v>0</v>
      </c>
      <c r="D14" s="14">
        <v>0</v>
      </c>
      <c r="E14" s="53">
        <v>0</v>
      </c>
      <c r="F14" s="89"/>
      <c r="G14" s="77">
        <v>0</v>
      </c>
      <c r="H14" s="14">
        <v>0</v>
      </c>
      <c r="I14" s="15">
        <v>3.625</v>
      </c>
      <c r="J14" s="89">
        <f>SUM(G14:I14)</f>
        <v>3.625</v>
      </c>
      <c r="K14" s="65">
        <v>0</v>
      </c>
      <c r="L14" s="89"/>
      <c r="M14" s="89">
        <f t="shared" si="0"/>
        <v>3.625</v>
      </c>
      <c r="O14"/>
    </row>
    <row r="15" spans="1:15">
      <c r="A15" s="1" t="s">
        <v>2</v>
      </c>
      <c r="B15" s="5" t="s">
        <v>28</v>
      </c>
      <c r="C15" s="13">
        <v>0</v>
      </c>
      <c r="D15" s="14">
        <v>0</v>
      </c>
      <c r="E15" s="53">
        <v>0</v>
      </c>
      <c r="F15" s="89"/>
      <c r="G15" s="77">
        <v>0</v>
      </c>
      <c r="H15" s="14">
        <v>0</v>
      </c>
      <c r="I15" s="15">
        <v>0</v>
      </c>
      <c r="J15" s="89"/>
      <c r="K15" s="65">
        <v>0.75</v>
      </c>
      <c r="L15" s="89">
        <f>SUM(K15)</f>
        <v>0.75</v>
      </c>
      <c r="M15" s="89">
        <f t="shared" si="0"/>
        <v>0.75</v>
      </c>
      <c r="O15"/>
    </row>
    <row r="16" spans="1:15">
      <c r="A16" s="1" t="s">
        <v>2</v>
      </c>
      <c r="B16" s="5" t="s">
        <v>29</v>
      </c>
      <c r="C16" s="13">
        <v>0</v>
      </c>
      <c r="D16" s="14">
        <v>0</v>
      </c>
      <c r="E16" s="53">
        <v>0</v>
      </c>
      <c r="F16" s="89"/>
      <c r="G16" s="77">
        <v>0</v>
      </c>
      <c r="H16" s="14">
        <v>0</v>
      </c>
      <c r="I16" s="15">
        <v>0</v>
      </c>
      <c r="J16" s="89"/>
      <c r="K16" s="65">
        <v>0.29166666666666669</v>
      </c>
      <c r="L16" s="89">
        <f>SUM(K16)</f>
        <v>0.29166666666666669</v>
      </c>
      <c r="M16" s="89">
        <f t="shared" si="0"/>
        <v>0.29166666666666669</v>
      </c>
      <c r="O16"/>
    </row>
    <row r="17" spans="1:15">
      <c r="A17" s="1" t="s">
        <v>2</v>
      </c>
      <c r="B17" s="5" t="s">
        <v>30</v>
      </c>
      <c r="C17" s="13">
        <v>0</v>
      </c>
      <c r="D17" s="14">
        <v>0</v>
      </c>
      <c r="E17" s="53">
        <v>0</v>
      </c>
      <c r="F17" s="89"/>
      <c r="G17" s="77">
        <v>0</v>
      </c>
      <c r="H17" s="14">
        <v>0</v>
      </c>
      <c r="I17" s="15">
        <v>0</v>
      </c>
      <c r="J17" s="89"/>
      <c r="K17" s="65">
        <v>0</v>
      </c>
      <c r="L17" s="89"/>
      <c r="M17" s="89">
        <f t="shared" si="0"/>
        <v>0</v>
      </c>
      <c r="O17"/>
    </row>
    <row r="18" spans="1:15">
      <c r="A18" s="1" t="s">
        <v>2</v>
      </c>
      <c r="B18" s="5" t="s">
        <v>31</v>
      </c>
      <c r="C18" s="13">
        <v>0</v>
      </c>
      <c r="D18" s="14">
        <v>0</v>
      </c>
      <c r="E18" s="53">
        <v>0</v>
      </c>
      <c r="F18" s="89"/>
      <c r="G18" s="77">
        <v>0</v>
      </c>
      <c r="H18" s="14">
        <v>0</v>
      </c>
      <c r="I18" s="15">
        <v>0</v>
      </c>
      <c r="J18" s="89"/>
      <c r="K18" s="65">
        <v>0</v>
      </c>
      <c r="L18" s="89"/>
      <c r="M18" s="89">
        <f t="shared" si="0"/>
        <v>0</v>
      </c>
      <c r="O18"/>
    </row>
    <row r="19" spans="1:15">
      <c r="A19" s="1" t="s">
        <v>2</v>
      </c>
      <c r="B19" s="5" t="s">
        <v>32</v>
      </c>
      <c r="C19" s="13">
        <v>0</v>
      </c>
      <c r="D19" s="14">
        <v>0</v>
      </c>
      <c r="E19" s="53">
        <v>0</v>
      </c>
      <c r="F19" s="89"/>
      <c r="G19" s="77">
        <v>0</v>
      </c>
      <c r="H19" s="14">
        <v>0</v>
      </c>
      <c r="I19" s="15">
        <v>0</v>
      </c>
      <c r="J19" s="89"/>
      <c r="K19" s="65">
        <v>0</v>
      </c>
      <c r="L19" s="89"/>
      <c r="M19" s="89">
        <f t="shared" si="0"/>
        <v>0</v>
      </c>
      <c r="O19"/>
    </row>
    <row r="20" spans="1:15">
      <c r="A20" s="1" t="s">
        <v>2</v>
      </c>
      <c r="B20" s="5" t="s">
        <v>33</v>
      </c>
      <c r="C20" s="13">
        <v>0</v>
      </c>
      <c r="D20" s="14">
        <v>0</v>
      </c>
      <c r="E20" s="53">
        <v>0</v>
      </c>
      <c r="F20" s="89"/>
      <c r="G20" s="77">
        <v>0</v>
      </c>
      <c r="H20" s="14">
        <v>0</v>
      </c>
      <c r="I20" s="15">
        <v>0</v>
      </c>
      <c r="J20" s="89"/>
      <c r="K20" s="65">
        <v>0.58333333333333337</v>
      </c>
      <c r="L20" s="89">
        <f>SUM(K20)</f>
        <v>0.58333333333333337</v>
      </c>
      <c r="M20" s="89">
        <f t="shared" si="0"/>
        <v>0.58333333333333337</v>
      </c>
      <c r="O20"/>
    </row>
    <row r="21" spans="1:15">
      <c r="A21" s="1" t="s">
        <v>2</v>
      </c>
      <c r="B21" s="5" t="s">
        <v>34</v>
      </c>
      <c r="C21" s="13">
        <v>0</v>
      </c>
      <c r="D21" s="14">
        <v>0</v>
      </c>
      <c r="E21" s="53">
        <v>0</v>
      </c>
      <c r="F21" s="89"/>
      <c r="G21" s="77">
        <v>0</v>
      </c>
      <c r="H21" s="14">
        <v>0</v>
      </c>
      <c r="I21" s="15">
        <v>0.20833333333333334</v>
      </c>
      <c r="J21" s="89">
        <f>SUM(G21:I21)</f>
        <v>0.20833333333333334</v>
      </c>
      <c r="K21" s="65">
        <v>0</v>
      </c>
      <c r="L21" s="89"/>
      <c r="M21" s="89">
        <f t="shared" si="0"/>
        <v>0.20833333333333334</v>
      </c>
      <c r="O21"/>
    </row>
    <row r="22" spans="1:15">
      <c r="A22" s="1" t="s">
        <v>2</v>
      </c>
      <c r="B22" s="5" t="s">
        <v>35</v>
      </c>
      <c r="C22" s="13">
        <v>0</v>
      </c>
      <c r="D22" s="14">
        <v>0</v>
      </c>
      <c r="E22" s="53">
        <v>0</v>
      </c>
      <c r="F22" s="89"/>
      <c r="G22" s="77">
        <v>0</v>
      </c>
      <c r="H22" s="14">
        <v>0</v>
      </c>
      <c r="I22" s="15">
        <v>0</v>
      </c>
      <c r="J22" s="89"/>
      <c r="K22" s="65">
        <v>0</v>
      </c>
      <c r="L22" s="89"/>
      <c r="M22" s="89">
        <f t="shared" si="0"/>
        <v>0</v>
      </c>
      <c r="O22"/>
    </row>
    <row r="23" spans="1:15">
      <c r="A23" s="1" t="s">
        <v>2</v>
      </c>
      <c r="B23" s="5" t="s">
        <v>36</v>
      </c>
      <c r="C23" s="13">
        <v>0</v>
      </c>
      <c r="D23" s="14">
        <v>0</v>
      </c>
      <c r="E23" s="53">
        <v>0</v>
      </c>
      <c r="F23" s="89"/>
      <c r="G23" s="77">
        <v>0</v>
      </c>
      <c r="H23" s="14">
        <v>0</v>
      </c>
      <c r="I23" s="15">
        <v>0</v>
      </c>
      <c r="J23" s="89"/>
      <c r="K23" s="65">
        <v>4.1666666666666664E-2</v>
      </c>
      <c r="L23" s="89">
        <f>SUM(K23)</f>
        <v>4.1666666666666664E-2</v>
      </c>
      <c r="M23" s="89">
        <f t="shared" si="0"/>
        <v>4.1666666666666664E-2</v>
      </c>
      <c r="O23"/>
    </row>
    <row r="24" spans="1:15" ht="19.5" thickBot="1">
      <c r="A24" s="1" t="s">
        <v>2</v>
      </c>
      <c r="B24" s="31" t="s">
        <v>37</v>
      </c>
      <c r="C24" s="32">
        <v>0</v>
      </c>
      <c r="D24" s="33">
        <v>0</v>
      </c>
      <c r="E24" s="54">
        <v>0</v>
      </c>
      <c r="F24" s="90"/>
      <c r="G24" s="78">
        <v>15</v>
      </c>
      <c r="H24" s="33">
        <v>32</v>
      </c>
      <c r="I24" s="34">
        <v>33</v>
      </c>
      <c r="J24" s="90"/>
      <c r="K24" s="66">
        <v>14.5</v>
      </c>
      <c r="L24" s="90">
        <f>SUM(K24)</f>
        <v>14.5</v>
      </c>
      <c r="M24" s="90">
        <f t="shared" si="0"/>
        <v>14.5</v>
      </c>
      <c r="O24"/>
    </row>
    <row r="25" spans="1:15">
      <c r="A25" s="1" t="s">
        <v>2</v>
      </c>
      <c r="B25" s="35" t="s">
        <v>38</v>
      </c>
      <c r="C25" s="36">
        <v>0</v>
      </c>
      <c r="D25" s="37">
        <v>0</v>
      </c>
      <c r="E25" s="55">
        <v>0</v>
      </c>
      <c r="F25" s="91"/>
      <c r="G25" s="79">
        <v>375000</v>
      </c>
      <c r="H25" s="37">
        <v>365000</v>
      </c>
      <c r="I25" s="38">
        <v>0</v>
      </c>
      <c r="J25" s="91">
        <f>SUM(G25:I25)</f>
        <v>740000</v>
      </c>
      <c r="K25" s="67">
        <v>220000</v>
      </c>
      <c r="L25" s="91">
        <f>SUM(K25)</f>
        <v>220000</v>
      </c>
      <c r="M25" s="91">
        <f t="shared" si="0"/>
        <v>960000</v>
      </c>
      <c r="O25"/>
    </row>
    <row r="26" spans="1:15">
      <c r="A26" s="1" t="s">
        <v>2</v>
      </c>
      <c r="B26" s="5" t="s">
        <v>39</v>
      </c>
      <c r="C26" s="16">
        <v>0</v>
      </c>
      <c r="D26" s="17">
        <v>0</v>
      </c>
      <c r="E26" s="56">
        <v>0</v>
      </c>
      <c r="F26" s="92"/>
      <c r="G26" s="80">
        <v>0</v>
      </c>
      <c r="H26" s="17">
        <v>0</v>
      </c>
      <c r="I26" s="18">
        <v>0</v>
      </c>
      <c r="J26" s="92">
        <f t="shared" ref="J26:J65" si="1">SUM(G26:I26)</f>
        <v>0</v>
      </c>
      <c r="K26" s="68">
        <v>5000</v>
      </c>
      <c r="L26" s="92">
        <f t="shared" ref="L26:L65" si="2">SUM(K26)</f>
        <v>5000</v>
      </c>
      <c r="M26" s="92">
        <f t="shared" si="0"/>
        <v>5000</v>
      </c>
      <c r="O26"/>
    </row>
    <row r="27" spans="1:15">
      <c r="A27" s="1" t="s">
        <v>2</v>
      </c>
      <c r="B27" s="5" t="s">
        <v>40</v>
      </c>
      <c r="C27" s="16">
        <v>0</v>
      </c>
      <c r="D27" s="17">
        <v>0</v>
      </c>
      <c r="E27" s="56">
        <v>0</v>
      </c>
      <c r="F27" s="92"/>
      <c r="G27" s="80">
        <v>0</v>
      </c>
      <c r="H27" s="17">
        <v>0</v>
      </c>
      <c r="I27" s="18">
        <v>0</v>
      </c>
      <c r="J27" s="92">
        <f t="shared" si="1"/>
        <v>0</v>
      </c>
      <c r="K27" s="68">
        <v>6000</v>
      </c>
      <c r="L27" s="92">
        <f t="shared" si="2"/>
        <v>6000</v>
      </c>
      <c r="M27" s="92">
        <f t="shared" si="0"/>
        <v>6000</v>
      </c>
      <c r="O27"/>
    </row>
    <row r="28" spans="1:15">
      <c r="A28" s="1" t="s">
        <v>2</v>
      </c>
      <c r="B28" s="5" t="s">
        <v>41</v>
      </c>
      <c r="C28" s="16">
        <v>0</v>
      </c>
      <c r="D28" s="17">
        <v>0</v>
      </c>
      <c r="E28" s="56">
        <v>0</v>
      </c>
      <c r="F28" s="92"/>
      <c r="G28" s="80">
        <v>50000</v>
      </c>
      <c r="H28" s="17">
        <v>50000</v>
      </c>
      <c r="I28" s="18">
        <v>0</v>
      </c>
      <c r="J28" s="92">
        <f t="shared" si="1"/>
        <v>100000</v>
      </c>
      <c r="K28" s="68">
        <v>50000</v>
      </c>
      <c r="L28" s="92">
        <f t="shared" si="2"/>
        <v>50000</v>
      </c>
      <c r="M28" s="92">
        <f t="shared" si="0"/>
        <v>150000</v>
      </c>
      <c r="O28"/>
    </row>
    <row r="29" spans="1:15">
      <c r="A29" s="1" t="s">
        <v>2</v>
      </c>
      <c r="B29" s="5" t="s">
        <v>42</v>
      </c>
      <c r="C29" s="16">
        <v>0</v>
      </c>
      <c r="D29" s="17">
        <v>0</v>
      </c>
      <c r="E29" s="56">
        <v>0</v>
      </c>
      <c r="F29" s="92"/>
      <c r="G29" s="80">
        <v>0</v>
      </c>
      <c r="H29" s="17">
        <v>0</v>
      </c>
      <c r="I29" s="18">
        <v>0</v>
      </c>
      <c r="J29" s="92">
        <f t="shared" si="1"/>
        <v>0</v>
      </c>
      <c r="K29" s="68">
        <v>0</v>
      </c>
      <c r="L29" s="92">
        <f t="shared" si="2"/>
        <v>0</v>
      </c>
      <c r="M29" s="92">
        <f t="shared" si="0"/>
        <v>0</v>
      </c>
      <c r="O29"/>
    </row>
    <row r="30" spans="1:15">
      <c r="A30" s="1" t="s">
        <v>2</v>
      </c>
      <c r="B30" s="5" t="s">
        <v>43</v>
      </c>
      <c r="C30" s="16">
        <v>0</v>
      </c>
      <c r="D30" s="17">
        <v>0</v>
      </c>
      <c r="E30" s="56">
        <v>0</v>
      </c>
      <c r="F30" s="92"/>
      <c r="G30" s="80">
        <v>0</v>
      </c>
      <c r="H30" s="17">
        <v>0</v>
      </c>
      <c r="I30" s="18">
        <v>102225</v>
      </c>
      <c r="J30" s="92">
        <f t="shared" si="1"/>
        <v>102225</v>
      </c>
      <c r="K30" s="68">
        <v>0</v>
      </c>
      <c r="L30" s="92">
        <f t="shared" si="2"/>
        <v>0</v>
      </c>
      <c r="M30" s="92">
        <f t="shared" si="0"/>
        <v>102225</v>
      </c>
      <c r="O30"/>
    </row>
    <row r="31" spans="1:15">
      <c r="A31" s="1" t="s">
        <v>2</v>
      </c>
      <c r="B31" s="5" t="s">
        <v>44</v>
      </c>
      <c r="C31" s="16">
        <v>1315000</v>
      </c>
      <c r="D31" s="17">
        <v>250000</v>
      </c>
      <c r="E31" s="56">
        <v>100000</v>
      </c>
      <c r="F31" s="92">
        <f>SUM(C31:E31)</f>
        <v>1665000</v>
      </c>
      <c r="G31" s="80">
        <v>0</v>
      </c>
      <c r="H31" s="17">
        <v>0</v>
      </c>
      <c r="I31" s="18">
        <v>0</v>
      </c>
      <c r="J31" s="92">
        <f t="shared" si="1"/>
        <v>0</v>
      </c>
      <c r="K31" s="68">
        <v>0</v>
      </c>
      <c r="L31" s="92">
        <f t="shared" si="2"/>
        <v>0</v>
      </c>
      <c r="M31" s="92">
        <f t="shared" si="0"/>
        <v>1665000</v>
      </c>
      <c r="O31"/>
    </row>
    <row r="32" spans="1:15">
      <c r="A32" s="1" t="s">
        <v>2</v>
      </c>
      <c r="B32" s="5" t="s">
        <v>45</v>
      </c>
      <c r="C32" s="16">
        <v>0</v>
      </c>
      <c r="D32" s="17">
        <v>0</v>
      </c>
      <c r="E32" s="56">
        <v>0</v>
      </c>
      <c r="F32" s="92">
        <f t="shared" ref="F32:F65" si="3">SUM(C32:E32)</f>
        <v>0</v>
      </c>
      <c r="G32" s="80">
        <v>0</v>
      </c>
      <c r="H32" s="17">
        <v>0</v>
      </c>
      <c r="I32" s="18">
        <v>0</v>
      </c>
      <c r="J32" s="92">
        <f t="shared" si="1"/>
        <v>0</v>
      </c>
      <c r="K32" s="68">
        <v>0</v>
      </c>
      <c r="L32" s="92">
        <f t="shared" si="2"/>
        <v>0</v>
      </c>
      <c r="M32" s="92">
        <f t="shared" si="0"/>
        <v>0</v>
      </c>
      <c r="O32"/>
    </row>
    <row r="33" spans="1:15">
      <c r="A33" s="1" t="s">
        <v>2</v>
      </c>
      <c r="B33" s="5" t="s">
        <v>46</v>
      </c>
      <c r="C33" s="16">
        <v>0</v>
      </c>
      <c r="D33" s="17">
        <v>0</v>
      </c>
      <c r="E33" s="56">
        <v>0</v>
      </c>
      <c r="F33" s="92">
        <f t="shared" si="3"/>
        <v>0</v>
      </c>
      <c r="G33" s="80">
        <v>0</v>
      </c>
      <c r="H33" s="17">
        <v>0</v>
      </c>
      <c r="I33" s="18">
        <v>5875</v>
      </c>
      <c r="J33" s="92">
        <f t="shared" si="1"/>
        <v>5875</v>
      </c>
      <c r="K33" s="68">
        <v>0</v>
      </c>
      <c r="L33" s="92">
        <f t="shared" si="2"/>
        <v>0</v>
      </c>
      <c r="M33" s="92">
        <f t="shared" si="0"/>
        <v>5875</v>
      </c>
      <c r="O33"/>
    </row>
    <row r="34" spans="1:15">
      <c r="A34" s="1" t="s">
        <v>2</v>
      </c>
      <c r="B34" s="5" t="s">
        <v>47</v>
      </c>
      <c r="C34" s="16">
        <v>0</v>
      </c>
      <c r="D34" s="17">
        <v>0</v>
      </c>
      <c r="E34" s="56">
        <v>0</v>
      </c>
      <c r="F34" s="92">
        <f t="shared" si="3"/>
        <v>0</v>
      </c>
      <c r="G34" s="80">
        <v>0</v>
      </c>
      <c r="H34" s="17">
        <v>0</v>
      </c>
      <c r="I34" s="18">
        <v>0</v>
      </c>
      <c r="J34" s="92">
        <f t="shared" si="1"/>
        <v>0</v>
      </c>
      <c r="K34" s="68">
        <v>0</v>
      </c>
      <c r="L34" s="92">
        <f t="shared" si="2"/>
        <v>0</v>
      </c>
      <c r="M34" s="92">
        <f t="shared" si="0"/>
        <v>0</v>
      </c>
      <c r="O34"/>
    </row>
    <row r="35" spans="1:15">
      <c r="A35" s="1" t="s">
        <v>2</v>
      </c>
      <c r="B35" s="5" t="s">
        <v>48</v>
      </c>
      <c r="C35" s="16">
        <v>0</v>
      </c>
      <c r="D35" s="17">
        <v>0</v>
      </c>
      <c r="E35" s="56">
        <v>0</v>
      </c>
      <c r="F35" s="92">
        <f t="shared" si="3"/>
        <v>0</v>
      </c>
      <c r="G35" s="80">
        <v>0</v>
      </c>
      <c r="H35" s="17">
        <v>0</v>
      </c>
      <c r="I35" s="18">
        <v>0</v>
      </c>
      <c r="J35" s="92">
        <f t="shared" si="1"/>
        <v>0</v>
      </c>
      <c r="K35" s="68">
        <v>0</v>
      </c>
      <c r="L35" s="92">
        <f t="shared" si="2"/>
        <v>0</v>
      </c>
      <c r="M35" s="92">
        <f t="shared" si="0"/>
        <v>0</v>
      </c>
      <c r="O35"/>
    </row>
    <row r="36" spans="1:15">
      <c r="A36" s="1" t="s">
        <v>2</v>
      </c>
      <c r="B36" s="5" t="s">
        <v>49</v>
      </c>
      <c r="C36" s="16">
        <v>0</v>
      </c>
      <c r="D36" s="17">
        <v>0</v>
      </c>
      <c r="E36" s="56">
        <v>0</v>
      </c>
      <c r="F36" s="92">
        <f t="shared" si="3"/>
        <v>0</v>
      </c>
      <c r="G36" s="80">
        <v>0</v>
      </c>
      <c r="H36" s="17">
        <v>0</v>
      </c>
      <c r="I36" s="18">
        <v>0</v>
      </c>
      <c r="J36" s="92">
        <f t="shared" si="1"/>
        <v>0</v>
      </c>
      <c r="K36" s="68">
        <v>0</v>
      </c>
      <c r="L36" s="92">
        <f t="shared" si="2"/>
        <v>0</v>
      </c>
      <c r="M36" s="92">
        <f t="shared" si="0"/>
        <v>0</v>
      </c>
      <c r="O36"/>
    </row>
    <row r="37" spans="1:15">
      <c r="A37" s="1" t="s">
        <v>2</v>
      </c>
      <c r="B37" s="5" t="s">
        <v>50</v>
      </c>
      <c r="C37" s="16">
        <v>0</v>
      </c>
      <c r="D37" s="17">
        <v>0</v>
      </c>
      <c r="E37" s="56">
        <v>0</v>
      </c>
      <c r="F37" s="92">
        <f t="shared" si="3"/>
        <v>0</v>
      </c>
      <c r="G37" s="80">
        <v>0</v>
      </c>
      <c r="H37" s="17">
        <v>0</v>
      </c>
      <c r="I37" s="18">
        <v>0</v>
      </c>
      <c r="J37" s="92">
        <f t="shared" si="1"/>
        <v>0</v>
      </c>
      <c r="K37" s="68">
        <v>0</v>
      </c>
      <c r="L37" s="92">
        <f t="shared" si="2"/>
        <v>0</v>
      </c>
      <c r="M37" s="92">
        <f t="shared" si="0"/>
        <v>0</v>
      </c>
      <c r="O37"/>
    </row>
    <row r="38" spans="1:15">
      <c r="A38" s="1" t="s">
        <v>2</v>
      </c>
      <c r="B38" s="5" t="s">
        <v>28</v>
      </c>
      <c r="C38" s="16">
        <v>0</v>
      </c>
      <c r="D38" s="17">
        <v>0</v>
      </c>
      <c r="E38" s="56">
        <v>0</v>
      </c>
      <c r="F38" s="92">
        <f t="shared" si="3"/>
        <v>0</v>
      </c>
      <c r="G38" s="80">
        <v>0</v>
      </c>
      <c r="H38" s="17">
        <v>0</v>
      </c>
      <c r="I38" s="18">
        <v>0</v>
      </c>
      <c r="J38" s="92">
        <f t="shared" si="1"/>
        <v>0</v>
      </c>
      <c r="K38" s="68">
        <v>44838</v>
      </c>
      <c r="L38" s="92">
        <f t="shared" si="2"/>
        <v>44838</v>
      </c>
      <c r="M38" s="92">
        <f t="shared" si="0"/>
        <v>44838</v>
      </c>
      <c r="O38"/>
    </row>
    <row r="39" spans="1:15">
      <c r="A39" s="1" t="s">
        <v>2</v>
      </c>
      <c r="B39" s="5" t="s">
        <v>51</v>
      </c>
      <c r="C39" s="16">
        <v>0</v>
      </c>
      <c r="D39" s="17">
        <v>0</v>
      </c>
      <c r="E39" s="56">
        <v>0</v>
      </c>
      <c r="F39" s="92">
        <f t="shared" si="3"/>
        <v>0</v>
      </c>
      <c r="G39" s="80">
        <v>0</v>
      </c>
      <c r="H39" s="17">
        <v>0</v>
      </c>
      <c r="I39" s="18">
        <v>0</v>
      </c>
      <c r="J39" s="92">
        <f t="shared" si="1"/>
        <v>0</v>
      </c>
      <c r="K39" s="68">
        <v>18837</v>
      </c>
      <c r="L39" s="92">
        <f t="shared" si="2"/>
        <v>18837</v>
      </c>
      <c r="M39" s="92">
        <f t="shared" si="0"/>
        <v>18837</v>
      </c>
      <c r="O39"/>
    </row>
    <row r="40" spans="1:15">
      <c r="A40" s="1" t="s">
        <v>2</v>
      </c>
      <c r="B40" s="5" t="s">
        <v>52</v>
      </c>
      <c r="C40" s="16">
        <v>0</v>
      </c>
      <c r="D40" s="17">
        <v>0</v>
      </c>
      <c r="E40" s="56">
        <v>0</v>
      </c>
      <c r="F40" s="92">
        <f t="shared" si="3"/>
        <v>0</v>
      </c>
      <c r="G40" s="80">
        <v>0</v>
      </c>
      <c r="H40" s="17">
        <v>0</v>
      </c>
      <c r="I40" s="18">
        <v>0</v>
      </c>
      <c r="J40" s="92">
        <f t="shared" si="1"/>
        <v>0</v>
      </c>
      <c r="K40" s="68">
        <v>0</v>
      </c>
      <c r="L40" s="92">
        <f t="shared" si="2"/>
        <v>0</v>
      </c>
      <c r="M40" s="92">
        <f t="shared" si="0"/>
        <v>0</v>
      </c>
      <c r="O40"/>
    </row>
    <row r="41" spans="1:15">
      <c r="A41" s="1" t="s">
        <v>2</v>
      </c>
      <c r="B41" s="5" t="s">
        <v>53</v>
      </c>
      <c r="C41" s="16">
        <v>0</v>
      </c>
      <c r="D41" s="17">
        <v>0</v>
      </c>
      <c r="E41" s="56">
        <v>0</v>
      </c>
      <c r="F41" s="92">
        <f t="shared" si="3"/>
        <v>0</v>
      </c>
      <c r="G41" s="80">
        <v>0</v>
      </c>
      <c r="H41" s="17">
        <v>0</v>
      </c>
      <c r="I41" s="18">
        <v>0</v>
      </c>
      <c r="J41" s="92">
        <f t="shared" si="1"/>
        <v>0</v>
      </c>
      <c r="K41" s="68">
        <v>0</v>
      </c>
      <c r="L41" s="92">
        <f t="shared" si="2"/>
        <v>0</v>
      </c>
      <c r="M41" s="92">
        <f t="shared" si="0"/>
        <v>0</v>
      </c>
      <c r="O41"/>
    </row>
    <row r="42" spans="1:15">
      <c r="A42" s="1" t="s">
        <v>2</v>
      </c>
      <c r="B42" s="5" t="s">
        <v>54</v>
      </c>
      <c r="C42" s="16">
        <v>0</v>
      </c>
      <c r="D42" s="17">
        <v>0</v>
      </c>
      <c r="E42" s="56">
        <v>0</v>
      </c>
      <c r="F42" s="92">
        <f t="shared" si="3"/>
        <v>0</v>
      </c>
      <c r="G42" s="80">
        <v>0</v>
      </c>
      <c r="H42" s="17">
        <v>0</v>
      </c>
      <c r="I42" s="18">
        <v>0</v>
      </c>
      <c r="J42" s="92">
        <f t="shared" si="1"/>
        <v>0</v>
      </c>
      <c r="K42" s="68">
        <v>0</v>
      </c>
      <c r="L42" s="92">
        <f t="shared" si="2"/>
        <v>0</v>
      </c>
      <c r="M42" s="92">
        <f t="shared" si="0"/>
        <v>0</v>
      </c>
      <c r="O42"/>
    </row>
    <row r="43" spans="1:15">
      <c r="A43" s="1" t="s">
        <v>2</v>
      </c>
      <c r="B43" s="5" t="s">
        <v>55</v>
      </c>
      <c r="C43" s="16">
        <v>0</v>
      </c>
      <c r="D43" s="17">
        <v>0</v>
      </c>
      <c r="E43" s="56">
        <v>0</v>
      </c>
      <c r="F43" s="92">
        <f t="shared" si="3"/>
        <v>0</v>
      </c>
      <c r="G43" s="80">
        <v>0</v>
      </c>
      <c r="H43" s="17">
        <v>0</v>
      </c>
      <c r="I43" s="18">
        <v>0</v>
      </c>
      <c r="J43" s="92">
        <f t="shared" si="1"/>
        <v>0</v>
      </c>
      <c r="K43" s="68">
        <v>0</v>
      </c>
      <c r="L43" s="92">
        <f t="shared" si="2"/>
        <v>0</v>
      </c>
      <c r="M43" s="92">
        <f t="shared" si="0"/>
        <v>0</v>
      </c>
      <c r="O43"/>
    </row>
    <row r="44" spans="1:15">
      <c r="A44" s="1" t="s">
        <v>2</v>
      </c>
      <c r="B44" s="5" t="s">
        <v>33</v>
      </c>
      <c r="C44" s="16">
        <v>0</v>
      </c>
      <c r="D44" s="17">
        <v>0</v>
      </c>
      <c r="E44" s="56">
        <v>0</v>
      </c>
      <c r="F44" s="92">
        <f t="shared" si="3"/>
        <v>0</v>
      </c>
      <c r="G44" s="80">
        <v>0</v>
      </c>
      <c r="H44" s="17">
        <v>0</v>
      </c>
      <c r="I44" s="18">
        <v>0</v>
      </c>
      <c r="J44" s="92">
        <f t="shared" si="1"/>
        <v>0</v>
      </c>
      <c r="K44" s="68">
        <v>27902</v>
      </c>
      <c r="L44" s="92">
        <f t="shared" si="2"/>
        <v>27902</v>
      </c>
      <c r="M44" s="92">
        <f t="shared" si="0"/>
        <v>27902</v>
      </c>
      <c r="O44"/>
    </row>
    <row r="45" spans="1:15" ht="19.5" thickBot="1">
      <c r="A45" s="1" t="s">
        <v>2</v>
      </c>
      <c r="B45" s="31" t="s">
        <v>36</v>
      </c>
      <c r="C45" s="39">
        <v>0</v>
      </c>
      <c r="D45" s="40">
        <v>0</v>
      </c>
      <c r="E45" s="57">
        <v>0</v>
      </c>
      <c r="F45" s="93">
        <f t="shared" si="3"/>
        <v>0</v>
      </c>
      <c r="G45" s="81">
        <v>0</v>
      </c>
      <c r="H45" s="40">
        <v>0</v>
      </c>
      <c r="I45" s="41">
        <v>0</v>
      </c>
      <c r="J45" s="93">
        <f t="shared" si="1"/>
        <v>0</v>
      </c>
      <c r="K45" s="69">
        <v>498</v>
      </c>
      <c r="L45" s="93">
        <f t="shared" si="2"/>
        <v>498</v>
      </c>
      <c r="M45" s="93">
        <f t="shared" si="0"/>
        <v>498</v>
      </c>
      <c r="O45"/>
    </row>
    <row r="46" spans="1:15" ht="19.5" thickBot="1">
      <c r="A46" s="1" t="s">
        <v>2</v>
      </c>
      <c r="B46" s="45" t="s">
        <v>56</v>
      </c>
      <c r="C46" s="46">
        <v>1315000</v>
      </c>
      <c r="D46" s="47">
        <v>250000</v>
      </c>
      <c r="E46" s="58">
        <v>100000</v>
      </c>
      <c r="F46" s="94">
        <f t="shared" si="3"/>
        <v>1665000</v>
      </c>
      <c r="G46" s="82">
        <v>425000</v>
      </c>
      <c r="H46" s="47">
        <v>415000</v>
      </c>
      <c r="I46" s="48">
        <v>108100</v>
      </c>
      <c r="J46" s="94">
        <f t="shared" si="1"/>
        <v>948100</v>
      </c>
      <c r="K46" s="70">
        <v>373075</v>
      </c>
      <c r="L46" s="94">
        <f t="shared" si="2"/>
        <v>373075</v>
      </c>
      <c r="M46" s="94">
        <f t="shared" si="0"/>
        <v>2986175</v>
      </c>
      <c r="O46"/>
    </row>
    <row r="47" spans="1:15" ht="19.5" thickBot="1">
      <c r="A47" s="1" t="s">
        <v>2</v>
      </c>
      <c r="B47" s="22" t="s">
        <v>57</v>
      </c>
      <c r="C47" s="42">
        <v>0</v>
      </c>
      <c r="D47" s="43">
        <v>0</v>
      </c>
      <c r="E47" s="59">
        <v>0</v>
      </c>
      <c r="F47" s="95">
        <f t="shared" si="3"/>
        <v>0</v>
      </c>
      <c r="G47" s="83">
        <v>898</v>
      </c>
      <c r="H47" s="43">
        <v>7040</v>
      </c>
      <c r="I47" s="44">
        <v>0</v>
      </c>
      <c r="J47" s="95">
        <f t="shared" si="1"/>
        <v>7938</v>
      </c>
      <c r="K47" s="71">
        <v>4685</v>
      </c>
      <c r="L47" s="95">
        <f t="shared" si="2"/>
        <v>4685</v>
      </c>
      <c r="M47" s="95">
        <f t="shared" si="0"/>
        <v>12623</v>
      </c>
      <c r="O47"/>
    </row>
    <row r="48" spans="1:15" ht="19.5" thickBot="1">
      <c r="A48" s="1" t="s">
        <v>2</v>
      </c>
      <c r="B48" s="45" t="s">
        <v>58</v>
      </c>
      <c r="C48" s="46">
        <v>0</v>
      </c>
      <c r="D48" s="47">
        <v>0</v>
      </c>
      <c r="E48" s="58">
        <v>0</v>
      </c>
      <c r="F48" s="94">
        <f t="shared" si="3"/>
        <v>0</v>
      </c>
      <c r="G48" s="82">
        <v>898</v>
      </c>
      <c r="H48" s="47">
        <v>7040</v>
      </c>
      <c r="I48" s="48">
        <v>0</v>
      </c>
      <c r="J48" s="94">
        <f t="shared" si="1"/>
        <v>7938</v>
      </c>
      <c r="K48" s="70">
        <v>4685</v>
      </c>
      <c r="L48" s="94">
        <f t="shared" si="2"/>
        <v>4685</v>
      </c>
      <c r="M48" s="94">
        <f t="shared" si="0"/>
        <v>12623</v>
      </c>
      <c r="O48"/>
    </row>
    <row r="49" spans="1:15" ht="19.5" thickBot="1">
      <c r="A49" s="1" t="s">
        <v>2</v>
      </c>
      <c r="B49" s="45" t="s">
        <v>59</v>
      </c>
      <c r="C49" s="46">
        <v>1315000</v>
      </c>
      <c r="D49" s="47">
        <v>250000</v>
      </c>
      <c r="E49" s="58">
        <v>100000</v>
      </c>
      <c r="F49" s="94">
        <f t="shared" si="3"/>
        <v>1665000</v>
      </c>
      <c r="G49" s="82">
        <v>425898</v>
      </c>
      <c r="H49" s="47">
        <v>422040</v>
      </c>
      <c r="I49" s="48">
        <v>108100</v>
      </c>
      <c r="J49" s="94">
        <f t="shared" si="1"/>
        <v>956038</v>
      </c>
      <c r="K49" s="70">
        <v>377760</v>
      </c>
      <c r="L49" s="94">
        <f t="shared" si="2"/>
        <v>377760</v>
      </c>
      <c r="M49" s="94">
        <f t="shared" si="0"/>
        <v>2998798</v>
      </c>
      <c r="O49"/>
    </row>
    <row r="50" spans="1:15">
      <c r="A50" s="1" t="s">
        <v>2</v>
      </c>
      <c r="B50" s="22" t="s">
        <v>60</v>
      </c>
      <c r="C50" s="42">
        <v>64770</v>
      </c>
      <c r="D50" s="43">
        <v>0</v>
      </c>
      <c r="E50" s="59">
        <v>0</v>
      </c>
      <c r="F50" s="95">
        <f t="shared" si="3"/>
        <v>64770</v>
      </c>
      <c r="G50" s="83">
        <v>22440</v>
      </c>
      <c r="H50" s="43">
        <v>20910</v>
      </c>
      <c r="I50" s="44">
        <v>0</v>
      </c>
      <c r="J50" s="95">
        <f t="shared" si="1"/>
        <v>43350</v>
      </c>
      <c r="K50" s="71">
        <v>17340</v>
      </c>
      <c r="L50" s="95">
        <f t="shared" si="2"/>
        <v>17340</v>
      </c>
      <c r="M50" s="95">
        <f t="shared" si="0"/>
        <v>125460</v>
      </c>
      <c r="O50"/>
    </row>
    <row r="51" spans="1:15">
      <c r="A51" s="1" t="s">
        <v>2</v>
      </c>
      <c r="B51" s="5" t="s">
        <v>61</v>
      </c>
      <c r="C51" s="16">
        <v>11430</v>
      </c>
      <c r="D51" s="17">
        <v>0</v>
      </c>
      <c r="E51" s="56">
        <v>0</v>
      </c>
      <c r="F51" s="92">
        <f t="shared" si="3"/>
        <v>11430</v>
      </c>
      <c r="G51" s="80">
        <v>3960</v>
      </c>
      <c r="H51" s="17">
        <v>3690</v>
      </c>
      <c r="I51" s="18">
        <v>0</v>
      </c>
      <c r="J51" s="92">
        <f t="shared" si="1"/>
        <v>7650</v>
      </c>
      <c r="K51" s="68">
        <v>3060</v>
      </c>
      <c r="L51" s="92">
        <f t="shared" si="2"/>
        <v>3060</v>
      </c>
      <c r="M51" s="92">
        <f t="shared" si="0"/>
        <v>22140</v>
      </c>
      <c r="O51"/>
    </row>
    <row r="52" spans="1:15">
      <c r="A52" s="1" t="s">
        <v>2</v>
      </c>
      <c r="B52" s="5" t="s">
        <v>62</v>
      </c>
      <c r="C52" s="16">
        <v>59475</v>
      </c>
      <c r="D52" s="17">
        <v>0</v>
      </c>
      <c r="E52" s="56">
        <v>0</v>
      </c>
      <c r="F52" s="92">
        <f t="shared" si="3"/>
        <v>59475</v>
      </c>
      <c r="G52" s="80">
        <v>40260</v>
      </c>
      <c r="H52" s="17">
        <v>37515</v>
      </c>
      <c r="I52" s="18">
        <v>0</v>
      </c>
      <c r="J52" s="92">
        <f t="shared" si="1"/>
        <v>77775</v>
      </c>
      <c r="K52" s="68">
        <v>31110</v>
      </c>
      <c r="L52" s="92">
        <f t="shared" si="2"/>
        <v>31110</v>
      </c>
      <c r="M52" s="92">
        <f t="shared" si="0"/>
        <v>168360</v>
      </c>
      <c r="O52"/>
    </row>
    <row r="53" spans="1:15">
      <c r="A53" s="1" t="s">
        <v>2</v>
      </c>
      <c r="B53" s="5" t="s">
        <v>63</v>
      </c>
      <c r="C53" s="16">
        <v>0</v>
      </c>
      <c r="D53" s="17">
        <v>0</v>
      </c>
      <c r="E53" s="56">
        <v>0</v>
      </c>
      <c r="F53" s="92">
        <f t="shared" si="3"/>
        <v>0</v>
      </c>
      <c r="G53" s="80">
        <v>1278</v>
      </c>
      <c r="H53" s="17">
        <v>1266</v>
      </c>
      <c r="I53" s="18">
        <v>324</v>
      </c>
      <c r="J53" s="92">
        <f t="shared" si="1"/>
        <v>2868</v>
      </c>
      <c r="K53" s="68">
        <v>1133</v>
      </c>
      <c r="L53" s="92">
        <f t="shared" si="2"/>
        <v>1133</v>
      </c>
      <c r="M53" s="92">
        <f t="shared" si="0"/>
        <v>4001</v>
      </c>
      <c r="O53"/>
    </row>
    <row r="54" spans="1:15" ht="19.5" thickBot="1">
      <c r="A54" s="1" t="s">
        <v>2</v>
      </c>
      <c r="B54" s="31" t="s">
        <v>64</v>
      </c>
      <c r="C54" s="39">
        <v>0</v>
      </c>
      <c r="D54" s="40">
        <v>0</v>
      </c>
      <c r="E54" s="57">
        <v>0</v>
      </c>
      <c r="F54" s="93">
        <f t="shared" si="3"/>
        <v>0</v>
      </c>
      <c r="G54" s="81">
        <v>0</v>
      </c>
      <c r="H54" s="40">
        <v>0</v>
      </c>
      <c r="I54" s="41">
        <v>0</v>
      </c>
      <c r="J54" s="93">
        <f t="shared" si="1"/>
        <v>0</v>
      </c>
      <c r="K54" s="69">
        <v>0</v>
      </c>
      <c r="L54" s="93">
        <f t="shared" si="2"/>
        <v>0</v>
      </c>
      <c r="M54" s="93">
        <f t="shared" si="0"/>
        <v>0</v>
      </c>
      <c r="O54"/>
    </row>
    <row r="55" spans="1:15" ht="19.5" thickBot="1">
      <c r="A55" s="1" t="s">
        <v>2</v>
      </c>
      <c r="B55" s="45" t="s">
        <v>65</v>
      </c>
      <c r="C55" s="46">
        <v>135675</v>
      </c>
      <c r="D55" s="47">
        <v>0</v>
      </c>
      <c r="E55" s="58">
        <v>0</v>
      </c>
      <c r="F55" s="94">
        <f t="shared" si="3"/>
        <v>135675</v>
      </c>
      <c r="G55" s="82">
        <v>67938</v>
      </c>
      <c r="H55" s="47">
        <v>63381</v>
      </c>
      <c r="I55" s="48">
        <v>324</v>
      </c>
      <c r="J55" s="94">
        <f t="shared" si="1"/>
        <v>131643</v>
      </c>
      <c r="K55" s="70">
        <v>52643</v>
      </c>
      <c r="L55" s="94">
        <f t="shared" si="2"/>
        <v>52643</v>
      </c>
      <c r="M55" s="94">
        <f t="shared" si="0"/>
        <v>319961</v>
      </c>
      <c r="O55"/>
    </row>
    <row r="56" spans="1:15">
      <c r="A56" s="1" t="s">
        <v>2</v>
      </c>
      <c r="B56" s="22" t="s">
        <v>66</v>
      </c>
      <c r="C56" s="42">
        <v>187760</v>
      </c>
      <c r="D56" s="43">
        <v>36400</v>
      </c>
      <c r="E56" s="59">
        <v>720</v>
      </c>
      <c r="F56" s="95">
        <f t="shared" si="3"/>
        <v>224880</v>
      </c>
      <c r="G56" s="83">
        <v>13040</v>
      </c>
      <c r="H56" s="43">
        <v>12600</v>
      </c>
      <c r="I56" s="44">
        <v>1120</v>
      </c>
      <c r="J56" s="95">
        <f t="shared" si="1"/>
        <v>26760</v>
      </c>
      <c r="K56" s="71">
        <v>10050</v>
      </c>
      <c r="L56" s="95">
        <f t="shared" si="2"/>
        <v>10050</v>
      </c>
      <c r="M56" s="95">
        <f t="shared" si="0"/>
        <v>261690</v>
      </c>
      <c r="O56"/>
    </row>
    <row r="57" spans="1:15">
      <c r="A57" s="1" t="s">
        <v>2</v>
      </c>
      <c r="B57" s="5" t="s">
        <v>67</v>
      </c>
      <c r="C57" s="16">
        <v>0</v>
      </c>
      <c r="D57" s="17">
        <v>0</v>
      </c>
      <c r="E57" s="56">
        <v>0</v>
      </c>
      <c r="F57" s="92">
        <f t="shared" si="3"/>
        <v>0</v>
      </c>
      <c r="G57" s="80">
        <v>0</v>
      </c>
      <c r="H57" s="17">
        <v>0</v>
      </c>
      <c r="I57" s="18">
        <v>0</v>
      </c>
      <c r="J57" s="92">
        <f t="shared" si="1"/>
        <v>0</v>
      </c>
      <c r="K57" s="68">
        <v>0</v>
      </c>
      <c r="L57" s="92">
        <f t="shared" si="2"/>
        <v>0</v>
      </c>
      <c r="M57" s="92">
        <f t="shared" ref="M57:M65" si="4">F57+J57+L57</f>
        <v>0</v>
      </c>
      <c r="O57"/>
    </row>
    <row r="58" spans="1:15">
      <c r="A58" s="1" t="s">
        <v>2</v>
      </c>
      <c r="B58" s="5" t="s">
        <v>68</v>
      </c>
      <c r="C58" s="16">
        <v>96300</v>
      </c>
      <c r="D58" s="17">
        <v>0</v>
      </c>
      <c r="E58" s="56">
        <v>900</v>
      </c>
      <c r="F58" s="92">
        <f t="shared" si="3"/>
        <v>97200</v>
      </c>
      <c r="G58" s="80">
        <v>19700</v>
      </c>
      <c r="H58" s="17">
        <v>18200</v>
      </c>
      <c r="I58" s="18">
        <v>2500</v>
      </c>
      <c r="J58" s="92">
        <f t="shared" si="1"/>
        <v>40400</v>
      </c>
      <c r="K58" s="68">
        <v>15600</v>
      </c>
      <c r="L58" s="92">
        <f t="shared" si="2"/>
        <v>15600</v>
      </c>
      <c r="M58" s="92">
        <f t="shared" si="4"/>
        <v>153200</v>
      </c>
      <c r="O58"/>
    </row>
    <row r="59" spans="1:15">
      <c r="A59" s="1" t="s">
        <v>2</v>
      </c>
      <c r="B59" s="5" t="s">
        <v>69</v>
      </c>
      <c r="C59" s="16">
        <v>32000</v>
      </c>
      <c r="D59" s="17">
        <v>0</v>
      </c>
      <c r="E59" s="56">
        <v>0</v>
      </c>
      <c r="F59" s="92">
        <f t="shared" si="3"/>
        <v>32000</v>
      </c>
      <c r="G59" s="80">
        <v>0</v>
      </c>
      <c r="H59" s="17">
        <v>0</v>
      </c>
      <c r="I59" s="18">
        <v>0</v>
      </c>
      <c r="J59" s="92">
        <f t="shared" si="1"/>
        <v>0</v>
      </c>
      <c r="K59" s="68">
        <v>0</v>
      </c>
      <c r="L59" s="92">
        <f t="shared" si="2"/>
        <v>0</v>
      </c>
      <c r="M59" s="92">
        <f t="shared" si="4"/>
        <v>32000</v>
      </c>
      <c r="O59"/>
    </row>
    <row r="60" spans="1:15" ht="19.5" thickBot="1">
      <c r="A60" s="1" t="s">
        <v>2</v>
      </c>
      <c r="B60" s="5" t="s">
        <v>70</v>
      </c>
      <c r="C60" s="16">
        <v>0</v>
      </c>
      <c r="D60" s="17">
        <v>0</v>
      </c>
      <c r="E60" s="56">
        <v>0</v>
      </c>
      <c r="F60" s="92">
        <f t="shared" si="3"/>
        <v>0</v>
      </c>
      <c r="G60" s="80">
        <v>0</v>
      </c>
      <c r="H60" s="17">
        <v>0</v>
      </c>
      <c r="I60" s="18">
        <v>0</v>
      </c>
      <c r="J60" s="92">
        <f t="shared" si="1"/>
        <v>0</v>
      </c>
      <c r="K60" s="68">
        <v>0</v>
      </c>
      <c r="L60" s="92">
        <f t="shared" si="2"/>
        <v>0</v>
      </c>
      <c r="M60" s="92">
        <f t="shared" si="4"/>
        <v>0</v>
      </c>
      <c r="O60"/>
    </row>
    <row r="61" spans="1:15" ht="19.5" thickBot="1">
      <c r="A61" s="1" t="s">
        <v>2</v>
      </c>
      <c r="B61" s="45" t="s">
        <v>71</v>
      </c>
      <c r="C61" s="46">
        <v>451735</v>
      </c>
      <c r="D61" s="47">
        <v>36400</v>
      </c>
      <c r="E61" s="58">
        <v>1620</v>
      </c>
      <c r="F61" s="94">
        <f t="shared" si="3"/>
        <v>489755</v>
      </c>
      <c r="G61" s="82">
        <v>100678</v>
      </c>
      <c r="H61" s="47">
        <v>94181</v>
      </c>
      <c r="I61" s="48">
        <v>3944</v>
      </c>
      <c r="J61" s="94">
        <f t="shared" si="1"/>
        <v>198803</v>
      </c>
      <c r="K61" s="70">
        <v>78293</v>
      </c>
      <c r="L61" s="94">
        <f t="shared" si="2"/>
        <v>78293</v>
      </c>
      <c r="M61" s="94">
        <f t="shared" si="4"/>
        <v>766851</v>
      </c>
      <c r="O61"/>
    </row>
    <row r="62" spans="1:15" ht="19.5" thickBot="1">
      <c r="A62" s="1" t="s">
        <v>2</v>
      </c>
      <c r="B62" s="45" t="s">
        <v>72</v>
      </c>
      <c r="C62" s="46">
        <v>1179325</v>
      </c>
      <c r="D62" s="47">
        <v>250000</v>
      </c>
      <c r="E62" s="58">
        <v>100000</v>
      </c>
      <c r="F62" s="94">
        <f t="shared" si="3"/>
        <v>1529325</v>
      </c>
      <c r="G62" s="82">
        <v>357062</v>
      </c>
      <c r="H62" s="47">
        <v>351619</v>
      </c>
      <c r="I62" s="48">
        <v>107776</v>
      </c>
      <c r="J62" s="94">
        <f t="shared" si="1"/>
        <v>816457</v>
      </c>
      <c r="K62" s="70">
        <v>320432</v>
      </c>
      <c r="L62" s="94">
        <f t="shared" si="2"/>
        <v>320432</v>
      </c>
      <c r="M62" s="94">
        <f t="shared" si="4"/>
        <v>2666214</v>
      </c>
      <c r="O62"/>
    </row>
    <row r="63" spans="1:15" ht="19.5" thickBot="1">
      <c r="A63" s="1" t="s">
        <v>2</v>
      </c>
      <c r="B63" s="45" t="s">
        <v>73</v>
      </c>
      <c r="C63" s="46">
        <v>863265</v>
      </c>
      <c r="D63" s="47">
        <v>213600</v>
      </c>
      <c r="E63" s="58">
        <v>98380</v>
      </c>
      <c r="F63" s="94">
        <f t="shared" si="3"/>
        <v>1175245</v>
      </c>
      <c r="G63" s="82">
        <v>325220</v>
      </c>
      <c r="H63" s="47">
        <v>327859</v>
      </c>
      <c r="I63" s="48">
        <v>104156</v>
      </c>
      <c r="J63" s="94">
        <f t="shared" si="1"/>
        <v>757235</v>
      </c>
      <c r="K63" s="70">
        <v>299467</v>
      </c>
      <c r="L63" s="94">
        <f t="shared" si="2"/>
        <v>299467</v>
      </c>
      <c r="M63" s="94">
        <f t="shared" si="4"/>
        <v>2231947</v>
      </c>
      <c r="O63"/>
    </row>
    <row r="64" spans="1:15">
      <c r="A64" s="1" t="s">
        <v>2</v>
      </c>
      <c r="B64" s="22" t="s">
        <v>74</v>
      </c>
      <c r="C64" s="42">
        <v>0</v>
      </c>
      <c r="D64" s="43">
        <v>0</v>
      </c>
      <c r="E64" s="59">
        <v>0</v>
      </c>
      <c r="F64" s="95">
        <f t="shared" si="3"/>
        <v>0</v>
      </c>
      <c r="G64" s="83">
        <v>0</v>
      </c>
      <c r="H64" s="43">
        <v>0</v>
      </c>
      <c r="I64" s="44">
        <v>0</v>
      </c>
      <c r="J64" s="95">
        <f t="shared" si="1"/>
        <v>0</v>
      </c>
      <c r="K64" s="71">
        <v>0</v>
      </c>
      <c r="L64" s="95">
        <f t="shared" si="2"/>
        <v>0</v>
      </c>
      <c r="M64" s="95">
        <f t="shared" si="4"/>
        <v>0</v>
      </c>
      <c r="O64"/>
    </row>
    <row r="65" spans="1:15">
      <c r="A65" s="1" t="s">
        <v>2</v>
      </c>
      <c r="B65" s="5" t="s">
        <v>75</v>
      </c>
      <c r="C65" s="16">
        <v>863265</v>
      </c>
      <c r="D65" s="17">
        <v>213600</v>
      </c>
      <c r="E65" s="56">
        <v>98380</v>
      </c>
      <c r="F65" s="92">
        <f t="shared" si="3"/>
        <v>1175245</v>
      </c>
      <c r="G65" s="80">
        <v>325220</v>
      </c>
      <c r="H65" s="17">
        <v>327859</v>
      </c>
      <c r="I65" s="18">
        <v>104156</v>
      </c>
      <c r="J65" s="92">
        <f t="shared" si="1"/>
        <v>757235</v>
      </c>
      <c r="K65" s="68">
        <v>299467</v>
      </c>
      <c r="L65" s="92">
        <f t="shared" si="2"/>
        <v>299467</v>
      </c>
      <c r="M65" s="92">
        <f t="shared" si="4"/>
        <v>2231947</v>
      </c>
      <c r="O65"/>
    </row>
    <row r="66" spans="1:15">
      <c r="A66" s="1" t="s">
        <v>2</v>
      </c>
      <c r="B66" s="5" t="s">
        <v>76</v>
      </c>
      <c r="C66" s="16">
        <v>1</v>
      </c>
      <c r="D66" s="17">
        <v>0</v>
      </c>
      <c r="E66" s="56">
        <v>0</v>
      </c>
      <c r="F66" s="92"/>
      <c r="G66" s="80">
        <v>0</v>
      </c>
      <c r="H66" s="17">
        <v>0</v>
      </c>
      <c r="I66" s="18">
        <v>0</v>
      </c>
      <c r="J66" s="92"/>
      <c r="K66" s="68">
        <v>0</v>
      </c>
      <c r="L66" s="92"/>
      <c r="M66" s="92"/>
      <c r="O66"/>
    </row>
    <row r="67" spans="1:15" ht="19.5" thickBot="1">
      <c r="A67" s="1" t="s">
        <v>2</v>
      </c>
      <c r="B67" s="6" t="s">
        <v>77</v>
      </c>
      <c r="C67" s="19" t="s">
        <v>78</v>
      </c>
      <c r="D67" s="20" t="s">
        <v>79</v>
      </c>
      <c r="E67" s="60" t="s">
        <v>78</v>
      </c>
      <c r="F67" s="96"/>
      <c r="G67" s="84" t="s">
        <v>78</v>
      </c>
      <c r="H67" s="20" t="s">
        <v>78</v>
      </c>
      <c r="I67" s="21" t="s">
        <v>78</v>
      </c>
      <c r="J67" s="96"/>
      <c r="K67" s="72" t="s">
        <v>78</v>
      </c>
      <c r="L67" s="96"/>
      <c r="M67" s="96"/>
      <c r="O67"/>
    </row>
  </sheetData>
  <phoneticPr fontId="4"/>
  <pageMargins left="0.31496062992125984" right="0.31496062992125984" top="0.15748031496062992" bottom="0.15748031496062992" header="0" footer="0"/>
  <pageSetup paperSize="9" scale="4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2021年10月度給与 (2)</vt:lpstr>
      <vt:lpstr>'2021年10月度給与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2021-10-12T05:23:42Z</cp:lastPrinted>
  <dcterms:created xsi:type="dcterms:W3CDTF">2021-10-06T06:36:44Z</dcterms:created>
  <dcterms:modified xsi:type="dcterms:W3CDTF">2021-10-12T06:21:52Z</dcterms:modified>
</cp:coreProperties>
</file>