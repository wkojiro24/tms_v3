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09\"/>
    </mc:Choice>
  </mc:AlternateContent>
  <xr:revisionPtr revIDLastSave="0" documentId="13_ncr:1_{5247005B-784B-47AA-AFE4-923731134F3A}" xr6:coauthVersionLast="47" xr6:coauthVersionMax="47" xr10:uidLastSave="{00000000-0000-0000-0000-000000000000}"/>
  <bookViews>
    <workbookView xWindow="-120" yWindow="-120" windowWidth="20730" windowHeight="11160" xr2:uid="{9FFC3114-9B23-49DD-B3DE-26744EC40C69}"/>
  </bookViews>
  <sheets>
    <sheet name="2021年10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3" l="1"/>
  <c r="M12" i="3"/>
  <c r="M13" i="3"/>
  <c r="M18" i="3"/>
  <c r="M19" i="3"/>
  <c r="M20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23" i="3"/>
  <c r="L22" i="3"/>
  <c r="L21" i="3"/>
  <c r="M21" i="3" s="1"/>
  <c r="L17" i="3"/>
  <c r="M17" i="3" s="1"/>
  <c r="L16" i="3"/>
  <c r="M16" i="3" s="1"/>
  <c r="L15" i="3"/>
  <c r="M15" i="3" s="1"/>
  <c r="L11" i="3"/>
  <c r="M11" i="3" s="1"/>
  <c r="L10" i="3"/>
  <c r="M10" i="3" s="1"/>
  <c r="L8" i="3"/>
  <c r="M8" i="3" s="1"/>
  <c r="L7" i="3"/>
  <c r="M7" i="3" s="1"/>
  <c r="L6" i="3"/>
  <c r="E24" i="3"/>
  <c r="M24" i="3" s="1"/>
  <c r="E25" i="3"/>
  <c r="E26" i="3"/>
  <c r="M26" i="3" s="1"/>
  <c r="E27" i="3"/>
  <c r="M27" i="3" s="1"/>
  <c r="E28" i="3"/>
  <c r="M28" i="3" s="1"/>
  <c r="E29" i="3"/>
  <c r="E30" i="3"/>
  <c r="M30" i="3" s="1"/>
  <c r="E31" i="3"/>
  <c r="M31" i="3" s="1"/>
  <c r="E32" i="3"/>
  <c r="E33" i="3"/>
  <c r="E34" i="3"/>
  <c r="E35" i="3"/>
  <c r="M35" i="3" s="1"/>
  <c r="E36" i="3"/>
  <c r="E37" i="3"/>
  <c r="E38" i="3"/>
  <c r="M38" i="3" s="1"/>
  <c r="E39" i="3"/>
  <c r="M39" i="3" s="1"/>
  <c r="E40" i="3"/>
  <c r="E41" i="3"/>
  <c r="E42" i="3"/>
  <c r="M42" i="3" s="1"/>
  <c r="E43" i="3"/>
  <c r="M43" i="3" s="1"/>
  <c r="E44" i="3"/>
  <c r="E45" i="3"/>
  <c r="E46" i="3"/>
  <c r="M46" i="3" s="1"/>
  <c r="E47" i="3"/>
  <c r="E48" i="3"/>
  <c r="E49" i="3"/>
  <c r="E50" i="3"/>
  <c r="E51" i="3"/>
  <c r="E52" i="3"/>
  <c r="E53" i="3"/>
  <c r="E54" i="3"/>
  <c r="E55" i="3"/>
  <c r="E56" i="3"/>
  <c r="E57" i="3"/>
  <c r="M57" i="3" s="1"/>
  <c r="E58" i="3"/>
  <c r="E59" i="3"/>
  <c r="E60" i="3"/>
  <c r="E23" i="3"/>
  <c r="M23" i="3" s="1"/>
  <c r="E22" i="3"/>
  <c r="E14" i="3"/>
  <c r="M14" i="3" s="1"/>
  <c r="E6" i="3"/>
  <c r="M53" i="3" l="1"/>
  <c r="M49" i="3"/>
  <c r="M45" i="3"/>
  <c r="M60" i="3"/>
  <c r="M56" i="3"/>
  <c r="M55" i="3"/>
  <c r="M52" i="3"/>
  <c r="M48" i="3"/>
  <c r="M41" i="3"/>
  <c r="M37" i="3"/>
  <c r="M34" i="3"/>
  <c r="M59" i="3"/>
  <c r="M54" i="3"/>
  <c r="M51" i="3"/>
  <c r="M47" i="3"/>
  <c r="M44" i="3"/>
  <c r="M40" i="3"/>
  <c r="M36" i="3"/>
  <c r="M33" i="3"/>
  <c r="M32" i="3"/>
  <c r="M29" i="3"/>
  <c r="M25" i="3"/>
  <c r="M22" i="3"/>
  <c r="M58" i="3"/>
  <c r="M50" i="3"/>
  <c r="M6" i="3"/>
</calcChain>
</file>

<file path=xl/sharedStrings.xml><?xml version="1.0" encoding="utf-8"?>
<sst xmlns="http://schemas.openxmlformats.org/spreadsheetml/2006/main" count="148" uniqueCount="81">
  <si>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</si>
  <si>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</si>
  <si>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</si>
  <si>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</si>
  <si>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</si>
  <si>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</si>
  <si>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</si>
  <si>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</si>
  <si>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</si>
  <si>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</si>
  <si>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1063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</si>
  <si>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</si>
  <si>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</si>
  <si>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</si>
  <si>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</si>
  <si>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</si>
  <si>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</si>
  <si>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</si>
  <si>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</si>
  <si>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木下知美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</si>
  <si>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</si>
  <si>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</si>
  <si>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</si>
  <si>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</si>
  <si>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</si>
  <si>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</si>
  <si>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</si>
  <si>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</si>
  <si>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</si>
  <si>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</si>
  <si>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</si>
  <si>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</si>
  <si>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</si>
  <si>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</si>
  <si>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</si>
  <si>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</si>
  <si>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</si>
  <si>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</si>
  <si>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</si>
  <si>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</si>
  <si>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</si>
  <si>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</si>
  <si>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</si>
  <si>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</si>
  <si>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</si>
  <si>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</si>
  <si>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</si>
  <si>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</si>
  <si>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</si>
  <si>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</si>
  <si>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</si>
  <si>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</si>
  <si>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</si>
  <si>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</si>
  <si>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</si>
  <si>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</si>
  <si>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</si>
  <si>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</si>
  <si>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</si>
  <si>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</si>
  <si>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</si>
  <si>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</si>
  <si>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</si>
  <si>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</si>
  <si>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</si>
  <si>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</si>
  <si>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</si>
  <si>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</si>
  <si>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</si>
  <si>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</si>
  <si>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</si>
  <si>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</si>
  <si>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</si>
  <si>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</si>
  <si>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</si>
  <si>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</si>
  <si>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2021年9月度給与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</si>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</sst>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5" xfId="1" applyNumberFormat="1" applyFont="1" applyBorder="1"/>
    <xf numFmtId="49" fontId="2" fillId="0" borderId="27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0" fontId="2" fillId="0" borderId="26" xfId="1" applyFont="1" applyBorder="1"/>
    <xf numFmtId="0" fontId="2" fillId="0" borderId="27" xfId="1" applyFont="1" applyBorder="1" applyAlignment="1">
      <alignment horizontal="right"/>
    </xf>
    <xf numFmtId="0" fontId="2" fillId="0" borderId="37" xfId="1" applyFont="1" applyBorder="1"/>
  </cellXfs>
  <cellStyles count="2">
    <cellStyle name="標準" xfId="0" builtinId="0"/>
    <cellStyle name="標準 2" xfId="1" xr:uid="{8925A209-91A0-4F6B-97FD-0F3979400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719D-E450-4FDC-8E0F-B3B61EC552AE}">
  <sheetPr>
    <pageSetUpPr fitToPage="1"/>
  </sheetPr>
  <dimension ref="A1:O62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76</v>
      </c>
    </row>
    <row r="4" spans="1:15">
      <c r="B4" s="3"/>
      <c r="C4" s="7" t="s">
        <v>4</v>
      </c>
      <c r="D4" s="8" t="s">
        <v>10</v>
      </c>
      <c r="E4" s="43" t="s">
        <v>77</v>
      </c>
      <c r="F4" s="6" t="s">
        <v>3</v>
      </c>
      <c r="G4" s="7" t="s">
        <v>5</v>
      </c>
      <c r="H4" s="7" t="s">
        <v>6</v>
      </c>
      <c r="I4" s="7" t="s">
        <v>7</v>
      </c>
      <c r="J4" s="7" t="s">
        <v>8</v>
      </c>
      <c r="K4" s="54" t="s">
        <v>9</v>
      </c>
      <c r="L4" s="43" t="s">
        <v>77</v>
      </c>
      <c r="M4" s="65" t="s">
        <v>20</v>
      </c>
    </row>
    <row r="5" spans="1:15" ht="19.5" thickBot="1">
      <c r="A5" s="67"/>
      <c r="B5" s="25" t="s">
        <v>11</v>
      </c>
      <c r="C5" s="27" t="s">
        <v>13</v>
      </c>
      <c r="D5" s="28" t="s">
        <v>19</v>
      </c>
      <c r="E5" s="44" t="s">
        <v>78</v>
      </c>
      <c r="F5" s="26" t="s">
        <v>12</v>
      </c>
      <c r="G5" s="27" t="s">
        <v>14</v>
      </c>
      <c r="H5" s="27" t="s">
        <v>15</v>
      </c>
      <c r="I5" s="27" t="s">
        <v>16</v>
      </c>
      <c r="J5" s="27" t="s">
        <v>17</v>
      </c>
      <c r="K5" s="55" t="s">
        <v>18</v>
      </c>
      <c r="L5" s="44" t="s">
        <v>79</v>
      </c>
      <c r="M5" s="66" t="s">
        <v>80</v>
      </c>
    </row>
    <row r="6" spans="1:15">
      <c r="A6" s="1" t="s">
        <v>2</v>
      </c>
      <c r="B6" s="21" t="s">
        <v>21</v>
      </c>
      <c r="C6" s="23">
        <v>22</v>
      </c>
      <c r="D6" s="24">
        <v>18</v>
      </c>
      <c r="E6" s="45">
        <f>SUM(C6:D6)</f>
        <v>40</v>
      </c>
      <c r="F6" s="22">
        <v>19</v>
      </c>
      <c r="G6" s="23">
        <v>21</v>
      </c>
      <c r="H6" s="23">
        <v>21</v>
      </c>
      <c r="I6" s="23">
        <v>21</v>
      </c>
      <c r="J6" s="23">
        <v>22</v>
      </c>
      <c r="K6" s="56">
        <v>22</v>
      </c>
      <c r="L6" s="45">
        <f>SUM(F6:K6)</f>
        <v>126</v>
      </c>
      <c r="M6" s="45">
        <f>E6+L6</f>
        <v>166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6"/>
      <c r="F7" s="9">
        <v>1</v>
      </c>
      <c r="G7" s="10">
        <v>2</v>
      </c>
      <c r="H7" s="10">
        <v>1</v>
      </c>
      <c r="I7" s="10">
        <v>0</v>
      </c>
      <c r="J7" s="10">
        <v>1</v>
      </c>
      <c r="K7" s="57">
        <v>1</v>
      </c>
      <c r="L7" s="46">
        <f>SUM(F7:K7)</f>
        <v>6</v>
      </c>
      <c r="M7" s="46">
        <f t="shared" ref="M7:M53" si="0">E7+L7</f>
        <v>6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6"/>
      <c r="F8" s="9">
        <v>0</v>
      </c>
      <c r="G8" s="10">
        <v>0</v>
      </c>
      <c r="H8" s="10">
        <v>1</v>
      </c>
      <c r="I8" s="10">
        <v>1</v>
      </c>
      <c r="J8" s="10">
        <v>0</v>
      </c>
      <c r="K8" s="57">
        <v>0</v>
      </c>
      <c r="L8" s="46">
        <f>SUM(F8:K8)</f>
        <v>2</v>
      </c>
      <c r="M8" s="46">
        <f t="shared" si="0"/>
        <v>2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6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7">
        <v>0</v>
      </c>
      <c r="L9" s="46"/>
      <c r="M9" s="46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0</v>
      </c>
      <c r="E10" s="46"/>
      <c r="F10" s="9">
        <v>2</v>
      </c>
      <c r="G10" s="10">
        <v>1</v>
      </c>
      <c r="H10" s="10">
        <v>1</v>
      </c>
      <c r="I10" s="10">
        <v>0</v>
      </c>
      <c r="J10" s="10">
        <v>0</v>
      </c>
      <c r="K10" s="57">
        <v>0</v>
      </c>
      <c r="L10" s="46">
        <f>SUM(F10:K10)</f>
        <v>4</v>
      </c>
      <c r="M10" s="46">
        <f t="shared" si="0"/>
        <v>4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6"/>
      <c r="F11" s="9">
        <v>1</v>
      </c>
      <c r="G11" s="10">
        <v>0</v>
      </c>
      <c r="H11" s="10">
        <v>0</v>
      </c>
      <c r="I11" s="10">
        <v>1</v>
      </c>
      <c r="J11" s="10">
        <v>0</v>
      </c>
      <c r="K11" s="57">
        <v>0</v>
      </c>
      <c r="L11" s="46">
        <f>SUM(F11:K11)</f>
        <v>2</v>
      </c>
      <c r="M11" s="46">
        <f t="shared" si="0"/>
        <v>2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6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7">
        <v>0</v>
      </c>
      <c r="L12" s="46"/>
      <c r="M12" s="46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6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7">
        <v>0</v>
      </c>
      <c r="L13" s="46"/>
      <c r="M13" s="46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3.75</v>
      </c>
      <c r="E14" s="47">
        <f>SUM(C14:D14)</f>
        <v>3.75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8">
        <v>0</v>
      </c>
      <c r="L14" s="47"/>
      <c r="M14" s="47">
        <f t="shared" si="0"/>
        <v>3.75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7"/>
      <c r="F15" s="12">
        <v>0.875</v>
      </c>
      <c r="G15" s="13">
        <v>1.3333333333333333</v>
      </c>
      <c r="H15" s="13">
        <v>1.2916666666666667</v>
      </c>
      <c r="I15" s="13">
        <v>0.75</v>
      </c>
      <c r="J15" s="13">
        <v>0.45833333333333331</v>
      </c>
      <c r="K15" s="58">
        <v>1.1666666666666667</v>
      </c>
      <c r="L15" s="47">
        <f>SUM(F15:K15)</f>
        <v>5.875</v>
      </c>
      <c r="M15" s="47">
        <f t="shared" si="0"/>
        <v>5.875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7"/>
      <c r="F16" s="12">
        <v>0.41666666666666669</v>
      </c>
      <c r="G16" s="13">
        <v>0.79166666666666663</v>
      </c>
      <c r="H16" s="13">
        <v>0.5</v>
      </c>
      <c r="I16" s="13">
        <v>0</v>
      </c>
      <c r="J16" s="13">
        <v>0.54166666666666663</v>
      </c>
      <c r="K16" s="58">
        <v>0.33333333333333331</v>
      </c>
      <c r="L16" s="47">
        <f>SUM(F16:K16)</f>
        <v>2.5833333333333335</v>
      </c>
      <c r="M16" s="47">
        <f t="shared" si="0"/>
        <v>2.5833333333333335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7"/>
      <c r="F17" s="12">
        <v>0</v>
      </c>
      <c r="G17" s="13">
        <v>0</v>
      </c>
      <c r="H17" s="13">
        <v>0.5</v>
      </c>
      <c r="I17" s="13">
        <v>0.375</v>
      </c>
      <c r="J17" s="13">
        <v>0</v>
      </c>
      <c r="K17" s="58">
        <v>0</v>
      </c>
      <c r="L17" s="47">
        <f>SUM(F17:K17)</f>
        <v>0.875</v>
      </c>
      <c r="M17" s="47">
        <f t="shared" si="0"/>
        <v>0.875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7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8">
        <v>0</v>
      </c>
      <c r="L18" s="47"/>
      <c r="M18" s="47">
        <f t="shared" si="0"/>
        <v>0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7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8">
        <v>0</v>
      </c>
      <c r="L19" s="47"/>
      <c r="M19" s="47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</v>
      </c>
      <c r="E20" s="47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8">
        <v>0</v>
      </c>
      <c r="L20" s="47"/>
      <c r="M20" s="47">
        <f t="shared" si="0"/>
        <v>0</v>
      </c>
      <c r="O20"/>
    </row>
    <row r="21" spans="1:15">
      <c r="A21" s="1" t="s">
        <v>2</v>
      </c>
      <c r="B21" s="4" t="s">
        <v>36</v>
      </c>
      <c r="C21" s="13">
        <v>0</v>
      </c>
      <c r="D21" s="14">
        <v>0</v>
      </c>
      <c r="E21" s="47"/>
      <c r="F21" s="12">
        <v>0.125</v>
      </c>
      <c r="G21" s="13">
        <v>0.16666666666666666</v>
      </c>
      <c r="H21" s="13">
        <v>4.1666666666666664E-2</v>
      </c>
      <c r="I21" s="13">
        <v>8.3333333333333329E-2</v>
      </c>
      <c r="J21" s="13">
        <v>0</v>
      </c>
      <c r="K21" s="58">
        <v>8.3333333333333329E-2</v>
      </c>
      <c r="L21" s="47">
        <f>SUM(F21:K21)</f>
        <v>0.49999999999999994</v>
      </c>
      <c r="M21" s="47">
        <f t="shared" si="0"/>
        <v>0.49999999999999994</v>
      </c>
      <c r="O21"/>
    </row>
    <row r="22" spans="1:15" ht="19.5" thickBot="1">
      <c r="A22" s="1" t="s">
        <v>2</v>
      </c>
      <c r="B22" s="5" t="s">
        <v>37</v>
      </c>
      <c r="C22" s="33">
        <v>25</v>
      </c>
      <c r="D22" s="34">
        <v>17</v>
      </c>
      <c r="E22" s="48">
        <f>SUM(C22:D22)</f>
        <v>42</v>
      </c>
      <c r="F22" s="32">
        <v>9</v>
      </c>
      <c r="G22" s="33">
        <v>9</v>
      </c>
      <c r="H22" s="33">
        <v>18</v>
      </c>
      <c r="I22" s="33">
        <v>20</v>
      </c>
      <c r="J22" s="33">
        <v>13</v>
      </c>
      <c r="K22" s="59">
        <v>10</v>
      </c>
      <c r="L22" s="48">
        <f>SUM(F22:K22)</f>
        <v>79</v>
      </c>
      <c r="M22" s="48">
        <f t="shared" si="0"/>
        <v>121</v>
      </c>
      <c r="O22"/>
    </row>
    <row r="23" spans="1:15">
      <c r="A23" s="1" t="s">
        <v>2</v>
      </c>
      <c r="B23" s="21" t="s">
        <v>38</v>
      </c>
      <c r="C23" s="30">
        <v>365000</v>
      </c>
      <c r="D23" s="31">
        <v>0</v>
      </c>
      <c r="E23" s="49">
        <f>SUM(C23:D23)</f>
        <v>365000</v>
      </c>
      <c r="F23" s="29">
        <v>187000</v>
      </c>
      <c r="G23" s="30">
        <v>187000</v>
      </c>
      <c r="H23" s="30">
        <v>182000</v>
      </c>
      <c r="I23" s="30">
        <v>187000</v>
      </c>
      <c r="J23" s="30">
        <v>170000</v>
      </c>
      <c r="K23" s="60">
        <v>170000</v>
      </c>
      <c r="L23" s="49">
        <f>SUM(F23:K23)</f>
        <v>1083000</v>
      </c>
      <c r="M23" s="49">
        <f t="shared" si="0"/>
        <v>1448000</v>
      </c>
      <c r="O23"/>
    </row>
    <row r="24" spans="1:15">
      <c r="A24" s="1" t="s">
        <v>2</v>
      </c>
      <c r="B24" s="4" t="s">
        <v>39</v>
      </c>
      <c r="C24" s="16">
        <v>0</v>
      </c>
      <c r="D24" s="17">
        <v>0</v>
      </c>
      <c r="E24" s="50">
        <f t="shared" ref="E24:E60" si="1">SUM(C24:D24)</f>
        <v>0</v>
      </c>
      <c r="F24" s="15">
        <v>0</v>
      </c>
      <c r="G24" s="16">
        <v>0</v>
      </c>
      <c r="H24" s="16">
        <v>0</v>
      </c>
      <c r="I24" s="16">
        <v>0</v>
      </c>
      <c r="J24" s="16">
        <v>0</v>
      </c>
      <c r="K24" s="61">
        <v>0</v>
      </c>
      <c r="L24" s="50">
        <f t="shared" ref="L24:L60" si="2">SUM(F24:K24)</f>
        <v>0</v>
      </c>
      <c r="M24" s="50">
        <f t="shared" si="0"/>
        <v>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50">
        <f t="shared" si="1"/>
        <v>0</v>
      </c>
      <c r="F25" s="15">
        <v>0</v>
      </c>
      <c r="G25" s="16">
        <v>0</v>
      </c>
      <c r="H25" s="16">
        <v>6000</v>
      </c>
      <c r="I25" s="16">
        <v>0</v>
      </c>
      <c r="J25" s="16">
        <v>0</v>
      </c>
      <c r="K25" s="61">
        <v>0</v>
      </c>
      <c r="L25" s="50">
        <f t="shared" si="2"/>
        <v>6000</v>
      </c>
      <c r="M25" s="50">
        <f t="shared" si="0"/>
        <v>6000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50">
        <f t="shared" si="1"/>
        <v>0</v>
      </c>
      <c r="F26" s="15">
        <v>0</v>
      </c>
      <c r="G26" s="16">
        <v>0</v>
      </c>
      <c r="H26" s="16">
        <v>0</v>
      </c>
      <c r="I26" s="16">
        <v>0</v>
      </c>
      <c r="J26" s="16">
        <v>0</v>
      </c>
      <c r="K26" s="61">
        <v>0</v>
      </c>
      <c r="L26" s="50">
        <f t="shared" si="2"/>
        <v>0</v>
      </c>
      <c r="M26" s="50">
        <f t="shared" si="0"/>
        <v>0</v>
      </c>
      <c r="O26"/>
    </row>
    <row r="27" spans="1:15">
      <c r="A27" s="1" t="s">
        <v>2</v>
      </c>
      <c r="B27" s="4" t="s">
        <v>42</v>
      </c>
      <c r="C27" s="16">
        <v>0</v>
      </c>
      <c r="D27" s="17">
        <v>83250</v>
      </c>
      <c r="E27" s="50">
        <f t="shared" si="1"/>
        <v>83250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61">
        <v>0</v>
      </c>
      <c r="L27" s="50">
        <f t="shared" si="2"/>
        <v>0</v>
      </c>
      <c r="M27" s="50">
        <f t="shared" si="0"/>
        <v>83250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0</v>
      </c>
      <c r="E28" s="50">
        <f t="shared" si="1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61">
        <v>0</v>
      </c>
      <c r="L28" s="50">
        <f t="shared" si="2"/>
        <v>0</v>
      </c>
      <c r="M28" s="50">
        <f t="shared" si="0"/>
        <v>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50">
        <f t="shared" si="1"/>
        <v>0</v>
      </c>
      <c r="F29" s="15">
        <v>1000</v>
      </c>
      <c r="G29" s="16">
        <v>1000</v>
      </c>
      <c r="H29" s="16">
        <v>0</v>
      </c>
      <c r="I29" s="16">
        <v>1000</v>
      </c>
      <c r="J29" s="16">
        <v>1000</v>
      </c>
      <c r="K29" s="61">
        <v>0</v>
      </c>
      <c r="L29" s="50">
        <f t="shared" si="2"/>
        <v>4000</v>
      </c>
      <c r="M29" s="50">
        <f t="shared" si="0"/>
        <v>4000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50">
        <f t="shared" si="1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61">
        <v>0</v>
      </c>
      <c r="L30" s="50">
        <f t="shared" si="2"/>
        <v>0</v>
      </c>
      <c r="M30" s="50">
        <f t="shared" si="0"/>
        <v>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50">
        <f t="shared" si="1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61">
        <v>0</v>
      </c>
      <c r="L31" s="50">
        <f t="shared" si="2"/>
        <v>0</v>
      </c>
      <c r="M31" s="50">
        <f t="shared" si="0"/>
        <v>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50">
        <f t="shared" si="1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61">
        <v>0</v>
      </c>
      <c r="L32" s="50">
        <f t="shared" si="2"/>
        <v>0</v>
      </c>
      <c r="M32" s="50">
        <f t="shared" si="0"/>
        <v>0</v>
      </c>
      <c r="O32"/>
    </row>
    <row r="33" spans="1:15">
      <c r="A33" s="1" t="s">
        <v>2</v>
      </c>
      <c r="B33" s="4" t="s">
        <v>48</v>
      </c>
      <c r="C33" s="16">
        <v>0</v>
      </c>
      <c r="D33" s="17">
        <v>0</v>
      </c>
      <c r="E33" s="50">
        <f t="shared" si="1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61">
        <v>0</v>
      </c>
      <c r="L33" s="50">
        <f t="shared" si="2"/>
        <v>0</v>
      </c>
      <c r="M33" s="50">
        <f t="shared" si="0"/>
        <v>0</v>
      </c>
      <c r="O33"/>
    </row>
    <row r="34" spans="1:15">
      <c r="A34" s="1" t="s">
        <v>2</v>
      </c>
      <c r="B34" s="4" t="s">
        <v>49</v>
      </c>
      <c r="C34" s="16">
        <v>0</v>
      </c>
      <c r="D34" s="17">
        <v>0</v>
      </c>
      <c r="E34" s="50">
        <f t="shared" si="1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61">
        <v>0</v>
      </c>
      <c r="L34" s="50">
        <f t="shared" si="2"/>
        <v>0</v>
      </c>
      <c r="M34" s="50">
        <f t="shared" si="0"/>
        <v>0</v>
      </c>
      <c r="O34"/>
    </row>
    <row r="35" spans="1:15">
      <c r="A35" s="1" t="s">
        <v>2</v>
      </c>
      <c r="B35" s="4" t="s">
        <v>30</v>
      </c>
      <c r="C35" s="16">
        <v>0</v>
      </c>
      <c r="D35" s="17">
        <v>0</v>
      </c>
      <c r="E35" s="50">
        <f t="shared" si="1"/>
        <v>0</v>
      </c>
      <c r="F35" s="15">
        <v>29568</v>
      </c>
      <c r="G35" s="16">
        <v>45056</v>
      </c>
      <c r="H35" s="16">
        <v>43648</v>
      </c>
      <c r="I35" s="16">
        <v>25344</v>
      </c>
      <c r="J35" s="16">
        <v>14080</v>
      </c>
      <c r="K35" s="61">
        <v>35644</v>
      </c>
      <c r="L35" s="50">
        <f t="shared" si="2"/>
        <v>193340</v>
      </c>
      <c r="M35" s="50">
        <f t="shared" si="0"/>
        <v>193340</v>
      </c>
      <c r="O35"/>
    </row>
    <row r="36" spans="1:15">
      <c r="A36" s="1" t="s">
        <v>2</v>
      </c>
      <c r="B36" s="4" t="s">
        <v>50</v>
      </c>
      <c r="C36" s="16">
        <v>0</v>
      </c>
      <c r="D36" s="17">
        <v>0</v>
      </c>
      <c r="E36" s="50">
        <f t="shared" si="1"/>
        <v>0</v>
      </c>
      <c r="F36" s="15">
        <v>15200</v>
      </c>
      <c r="G36" s="16">
        <v>28880</v>
      </c>
      <c r="H36" s="16">
        <v>18240</v>
      </c>
      <c r="I36" s="16">
        <v>0</v>
      </c>
      <c r="J36" s="16">
        <v>17966</v>
      </c>
      <c r="K36" s="61">
        <v>10992</v>
      </c>
      <c r="L36" s="50">
        <f t="shared" si="2"/>
        <v>91278</v>
      </c>
      <c r="M36" s="50">
        <f t="shared" si="0"/>
        <v>91278</v>
      </c>
      <c r="O36"/>
    </row>
    <row r="37" spans="1:15">
      <c r="A37" s="1" t="s">
        <v>2</v>
      </c>
      <c r="B37" s="4" t="s">
        <v>51</v>
      </c>
      <c r="C37" s="16">
        <v>0</v>
      </c>
      <c r="D37" s="17">
        <v>0</v>
      </c>
      <c r="E37" s="50">
        <f t="shared" si="1"/>
        <v>0</v>
      </c>
      <c r="F37" s="15">
        <v>0</v>
      </c>
      <c r="G37" s="16">
        <v>0</v>
      </c>
      <c r="H37" s="16">
        <v>18240</v>
      </c>
      <c r="I37" s="16">
        <v>13680</v>
      </c>
      <c r="J37" s="16">
        <v>0</v>
      </c>
      <c r="K37" s="61">
        <v>0</v>
      </c>
      <c r="L37" s="50">
        <f t="shared" si="2"/>
        <v>31920</v>
      </c>
      <c r="M37" s="50">
        <f t="shared" si="0"/>
        <v>31920</v>
      </c>
      <c r="O37"/>
    </row>
    <row r="38" spans="1:15">
      <c r="A38" s="1" t="s">
        <v>2</v>
      </c>
      <c r="B38" s="4" t="s">
        <v>52</v>
      </c>
      <c r="C38" s="16">
        <v>0</v>
      </c>
      <c r="D38" s="17">
        <v>0</v>
      </c>
      <c r="E38" s="50">
        <f t="shared" si="1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61">
        <v>0</v>
      </c>
      <c r="L38" s="50">
        <f t="shared" si="2"/>
        <v>0</v>
      </c>
      <c r="M38" s="50">
        <f t="shared" si="0"/>
        <v>0</v>
      </c>
      <c r="O38"/>
    </row>
    <row r="39" spans="1:15">
      <c r="A39" s="1" t="s">
        <v>2</v>
      </c>
      <c r="B39" s="4" t="s">
        <v>53</v>
      </c>
      <c r="C39" s="16">
        <v>0</v>
      </c>
      <c r="D39" s="17">
        <v>0</v>
      </c>
      <c r="E39" s="50">
        <f t="shared" si="1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61">
        <v>0</v>
      </c>
      <c r="L39" s="50">
        <f t="shared" si="2"/>
        <v>0</v>
      </c>
      <c r="M39" s="50">
        <f t="shared" si="0"/>
        <v>0</v>
      </c>
      <c r="O39"/>
    </row>
    <row r="40" spans="1:15">
      <c r="A40" s="1" t="s">
        <v>2</v>
      </c>
      <c r="B40" s="4" t="s">
        <v>54</v>
      </c>
      <c r="C40" s="16">
        <v>0</v>
      </c>
      <c r="D40" s="17">
        <v>0</v>
      </c>
      <c r="E40" s="50">
        <f t="shared" si="1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61">
        <v>0</v>
      </c>
      <c r="L40" s="50">
        <f t="shared" si="2"/>
        <v>0</v>
      </c>
      <c r="M40" s="50">
        <f t="shared" si="0"/>
        <v>0</v>
      </c>
      <c r="O40"/>
    </row>
    <row r="41" spans="1:15">
      <c r="A41" s="1" t="s">
        <v>2</v>
      </c>
      <c r="B41" s="4" t="s">
        <v>35</v>
      </c>
      <c r="C41" s="16">
        <v>0</v>
      </c>
      <c r="D41" s="17">
        <v>0</v>
      </c>
      <c r="E41" s="50">
        <f t="shared" si="1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61">
        <v>0</v>
      </c>
      <c r="L41" s="50">
        <f t="shared" si="2"/>
        <v>0</v>
      </c>
      <c r="M41" s="50">
        <f t="shared" si="0"/>
        <v>0</v>
      </c>
      <c r="O41"/>
    </row>
    <row r="42" spans="1:15" ht="19.5" thickBot="1">
      <c r="A42" s="1" t="s">
        <v>2</v>
      </c>
      <c r="B42" s="35" t="s">
        <v>36</v>
      </c>
      <c r="C42" s="37">
        <v>0</v>
      </c>
      <c r="D42" s="38">
        <v>0</v>
      </c>
      <c r="E42" s="51">
        <f t="shared" si="1"/>
        <v>0</v>
      </c>
      <c r="F42" s="36">
        <v>846</v>
      </c>
      <c r="G42" s="37">
        <v>1128</v>
      </c>
      <c r="H42" s="37">
        <v>282</v>
      </c>
      <c r="I42" s="37">
        <v>564</v>
      </c>
      <c r="J42" s="37">
        <v>0</v>
      </c>
      <c r="K42" s="62">
        <v>510</v>
      </c>
      <c r="L42" s="51">
        <f t="shared" si="2"/>
        <v>3330</v>
      </c>
      <c r="M42" s="51">
        <f t="shared" si="0"/>
        <v>3330</v>
      </c>
      <c r="O42"/>
    </row>
    <row r="43" spans="1:15" ht="19.5" thickBot="1">
      <c r="A43" s="1" t="s">
        <v>2</v>
      </c>
      <c r="B43" s="39" t="s">
        <v>55</v>
      </c>
      <c r="C43" s="41">
        <v>365000</v>
      </c>
      <c r="D43" s="42">
        <v>83250</v>
      </c>
      <c r="E43" s="52">
        <f t="shared" si="1"/>
        <v>448250</v>
      </c>
      <c r="F43" s="40">
        <v>300646</v>
      </c>
      <c r="G43" s="41">
        <v>314608</v>
      </c>
      <c r="H43" s="41">
        <v>324730</v>
      </c>
      <c r="I43" s="41">
        <v>298844</v>
      </c>
      <c r="J43" s="41">
        <v>265346</v>
      </c>
      <c r="K43" s="63">
        <v>257882</v>
      </c>
      <c r="L43" s="52">
        <f t="shared" si="2"/>
        <v>1762056</v>
      </c>
      <c r="M43" s="52">
        <f t="shared" si="0"/>
        <v>2210306</v>
      </c>
      <c r="O43"/>
    </row>
    <row r="44" spans="1:15" ht="19.5" thickBot="1">
      <c r="A44" s="1" t="s">
        <v>2</v>
      </c>
      <c r="B44" s="21" t="s">
        <v>56</v>
      </c>
      <c r="C44" s="30">
        <v>4316</v>
      </c>
      <c r="D44" s="31">
        <v>2833</v>
      </c>
      <c r="E44" s="49">
        <f t="shared" si="1"/>
        <v>7149</v>
      </c>
      <c r="F44" s="29">
        <v>5395</v>
      </c>
      <c r="G44" s="30">
        <v>4653</v>
      </c>
      <c r="H44" s="30">
        <v>8789</v>
      </c>
      <c r="I44" s="30">
        <v>1484</v>
      </c>
      <c r="J44" s="30">
        <v>12408</v>
      </c>
      <c r="K44" s="60">
        <v>6204</v>
      </c>
      <c r="L44" s="49">
        <f t="shared" si="2"/>
        <v>38933</v>
      </c>
      <c r="M44" s="49">
        <f t="shared" si="0"/>
        <v>46082</v>
      </c>
      <c r="O44"/>
    </row>
    <row r="45" spans="1:15" ht="19.5" thickBot="1">
      <c r="A45" s="1" t="s">
        <v>2</v>
      </c>
      <c r="B45" s="39" t="s">
        <v>57</v>
      </c>
      <c r="C45" s="41">
        <v>4316</v>
      </c>
      <c r="D45" s="42">
        <v>2833</v>
      </c>
      <c r="E45" s="52">
        <f t="shared" si="1"/>
        <v>7149</v>
      </c>
      <c r="F45" s="40">
        <v>5395</v>
      </c>
      <c r="G45" s="41">
        <v>4653</v>
      </c>
      <c r="H45" s="41">
        <v>8789</v>
      </c>
      <c r="I45" s="41">
        <v>1484</v>
      </c>
      <c r="J45" s="41">
        <v>12408</v>
      </c>
      <c r="K45" s="63">
        <v>6204</v>
      </c>
      <c r="L45" s="52">
        <f t="shared" si="2"/>
        <v>38933</v>
      </c>
      <c r="M45" s="52">
        <f t="shared" si="0"/>
        <v>46082</v>
      </c>
      <c r="O45"/>
    </row>
    <row r="46" spans="1:15" ht="19.5" thickBot="1">
      <c r="A46" s="1" t="s">
        <v>2</v>
      </c>
      <c r="B46" s="39" t="s">
        <v>58</v>
      </c>
      <c r="C46" s="41">
        <v>369316</v>
      </c>
      <c r="D46" s="42">
        <v>86083</v>
      </c>
      <c r="E46" s="52">
        <f t="shared" si="1"/>
        <v>455399</v>
      </c>
      <c r="F46" s="40">
        <v>306041</v>
      </c>
      <c r="G46" s="41">
        <v>319261</v>
      </c>
      <c r="H46" s="41">
        <v>333519</v>
      </c>
      <c r="I46" s="41">
        <v>300328</v>
      </c>
      <c r="J46" s="41">
        <v>277754</v>
      </c>
      <c r="K46" s="63">
        <v>264086</v>
      </c>
      <c r="L46" s="52">
        <f t="shared" si="2"/>
        <v>1800989</v>
      </c>
      <c r="M46" s="52">
        <f t="shared" si="0"/>
        <v>2256388</v>
      </c>
      <c r="O46"/>
    </row>
    <row r="47" spans="1:15">
      <c r="A47" s="1" t="s">
        <v>2</v>
      </c>
      <c r="B47" s="21" t="s">
        <v>59</v>
      </c>
      <c r="C47" s="30">
        <v>18360</v>
      </c>
      <c r="D47" s="31">
        <v>0</v>
      </c>
      <c r="E47" s="49">
        <f t="shared" si="1"/>
        <v>18360</v>
      </c>
      <c r="F47" s="29">
        <v>16320</v>
      </c>
      <c r="G47" s="30">
        <v>17340</v>
      </c>
      <c r="H47" s="30">
        <v>16320</v>
      </c>
      <c r="I47" s="30">
        <v>16320</v>
      </c>
      <c r="J47" s="30">
        <v>14280</v>
      </c>
      <c r="K47" s="60">
        <v>13260</v>
      </c>
      <c r="L47" s="49">
        <f t="shared" si="2"/>
        <v>93840</v>
      </c>
      <c r="M47" s="49">
        <f t="shared" si="0"/>
        <v>112200</v>
      </c>
      <c r="O47"/>
    </row>
    <row r="48" spans="1:15">
      <c r="A48" s="1" t="s">
        <v>2</v>
      </c>
      <c r="B48" s="4" t="s">
        <v>60</v>
      </c>
      <c r="C48" s="16">
        <v>3240</v>
      </c>
      <c r="D48" s="17">
        <v>0</v>
      </c>
      <c r="E48" s="50">
        <f t="shared" si="1"/>
        <v>3240</v>
      </c>
      <c r="F48" s="15">
        <v>0</v>
      </c>
      <c r="G48" s="16">
        <v>3060</v>
      </c>
      <c r="H48" s="16">
        <v>2880</v>
      </c>
      <c r="I48" s="16">
        <v>2880</v>
      </c>
      <c r="J48" s="16">
        <v>2520</v>
      </c>
      <c r="K48" s="61">
        <v>2340</v>
      </c>
      <c r="L48" s="50">
        <f t="shared" si="2"/>
        <v>13680</v>
      </c>
      <c r="M48" s="50">
        <f t="shared" si="0"/>
        <v>16920</v>
      </c>
      <c r="O48"/>
    </row>
    <row r="49" spans="1:15">
      <c r="A49" s="1" t="s">
        <v>2</v>
      </c>
      <c r="B49" s="4" t="s">
        <v>61</v>
      </c>
      <c r="C49" s="16">
        <v>32940</v>
      </c>
      <c r="D49" s="17">
        <v>0</v>
      </c>
      <c r="E49" s="50">
        <f t="shared" si="1"/>
        <v>32940</v>
      </c>
      <c r="F49" s="15">
        <v>29280</v>
      </c>
      <c r="G49" s="16">
        <v>31110</v>
      </c>
      <c r="H49" s="16">
        <v>29280</v>
      </c>
      <c r="I49" s="16">
        <v>29280</v>
      </c>
      <c r="J49" s="16">
        <v>25620</v>
      </c>
      <c r="K49" s="61">
        <v>23790</v>
      </c>
      <c r="L49" s="50">
        <f t="shared" si="2"/>
        <v>168360</v>
      </c>
      <c r="M49" s="50">
        <f t="shared" si="0"/>
        <v>201300</v>
      </c>
      <c r="O49"/>
    </row>
    <row r="50" spans="1:15">
      <c r="A50" s="1" t="s">
        <v>2</v>
      </c>
      <c r="B50" s="4" t="s">
        <v>62</v>
      </c>
      <c r="C50" s="16">
        <v>1108</v>
      </c>
      <c r="D50" s="17">
        <v>258</v>
      </c>
      <c r="E50" s="50">
        <f t="shared" si="1"/>
        <v>1366</v>
      </c>
      <c r="F50" s="15">
        <v>918</v>
      </c>
      <c r="G50" s="16">
        <v>958</v>
      </c>
      <c r="H50" s="16">
        <v>1001</v>
      </c>
      <c r="I50" s="16">
        <v>901</v>
      </c>
      <c r="J50" s="16">
        <v>833</v>
      </c>
      <c r="K50" s="61">
        <v>792</v>
      </c>
      <c r="L50" s="50">
        <f t="shared" si="2"/>
        <v>5403</v>
      </c>
      <c r="M50" s="50">
        <f t="shared" si="0"/>
        <v>6769</v>
      </c>
      <c r="O50"/>
    </row>
    <row r="51" spans="1:15" ht="19.5" thickBot="1">
      <c r="A51" s="1" t="s">
        <v>2</v>
      </c>
      <c r="B51" s="35" t="s">
        <v>63</v>
      </c>
      <c r="C51" s="37">
        <v>0</v>
      </c>
      <c r="D51" s="38">
        <v>0</v>
      </c>
      <c r="E51" s="51">
        <f t="shared" si="1"/>
        <v>0</v>
      </c>
      <c r="F51" s="36">
        <v>0</v>
      </c>
      <c r="G51" s="37">
        <v>0</v>
      </c>
      <c r="H51" s="37">
        <v>0</v>
      </c>
      <c r="I51" s="37">
        <v>0</v>
      </c>
      <c r="J51" s="37">
        <v>0</v>
      </c>
      <c r="K51" s="62">
        <v>0</v>
      </c>
      <c r="L51" s="51">
        <f t="shared" si="2"/>
        <v>0</v>
      </c>
      <c r="M51" s="51">
        <f t="shared" si="0"/>
        <v>0</v>
      </c>
      <c r="O51"/>
    </row>
    <row r="52" spans="1:15" ht="19.5" thickBot="1">
      <c r="A52" s="1" t="s">
        <v>2</v>
      </c>
      <c r="B52" s="39" t="s">
        <v>64</v>
      </c>
      <c r="C52" s="41">
        <v>55648</v>
      </c>
      <c r="D52" s="42">
        <v>258</v>
      </c>
      <c r="E52" s="52">
        <f t="shared" si="1"/>
        <v>55906</v>
      </c>
      <c r="F52" s="40">
        <v>46518</v>
      </c>
      <c r="G52" s="41">
        <v>52468</v>
      </c>
      <c r="H52" s="41">
        <v>49481</v>
      </c>
      <c r="I52" s="41">
        <v>49381</v>
      </c>
      <c r="J52" s="41">
        <v>43253</v>
      </c>
      <c r="K52" s="63">
        <v>40182</v>
      </c>
      <c r="L52" s="52">
        <f t="shared" si="2"/>
        <v>281283</v>
      </c>
      <c r="M52" s="52">
        <f t="shared" si="0"/>
        <v>337189</v>
      </c>
      <c r="O52"/>
    </row>
    <row r="53" spans="1:15">
      <c r="A53" s="1" t="s">
        <v>2</v>
      </c>
      <c r="B53" s="21" t="s">
        <v>65</v>
      </c>
      <c r="C53" s="30">
        <v>9140</v>
      </c>
      <c r="D53" s="31">
        <v>0</v>
      </c>
      <c r="E53" s="49">
        <f t="shared" si="1"/>
        <v>9140</v>
      </c>
      <c r="F53" s="29">
        <v>6700</v>
      </c>
      <c r="G53" s="30">
        <v>5370</v>
      </c>
      <c r="H53" s="30">
        <v>7450</v>
      </c>
      <c r="I53" s="30">
        <v>4920</v>
      </c>
      <c r="J53" s="30">
        <v>3940</v>
      </c>
      <c r="K53" s="60">
        <v>5400</v>
      </c>
      <c r="L53" s="49">
        <f t="shared" si="2"/>
        <v>33780</v>
      </c>
      <c r="M53" s="49">
        <f t="shared" si="0"/>
        <v>42920</v>
      </c>
      <c r="O53"/>
    </row>
    <row r="54" spans="1:15">
      <c r="A54" s="1" t="s">
        <v>2</v>
      </c>
      <c r="B54" s="4" t="s">
        <v>66</v>
      </c>
      <c r="C54" s="16">
        <v>18800</v>
      </c>
      <c r="D54" s="17">
        <v>500</v>
      </c>
      <c r="E54" s="50">
        <f t="shared" si="1"/>
        <v>19300</v>
      </c>
      <c r="F54" s="15">
        <v>11900</v>
      </c>
      <c r="G54" s="16">
        <v>6100</v>
      </c>
      <c r="H54" s="16">
        <v>6800</v>
      </c>
      <c r="I54" s="16">
        <v>10800</v>
      </c>
      <c r="J54" s="16">
        <v>2000</v>
      </c>
      <c r="K54" s="61">
        <v>10400</v>
      </c>
      <c r="L54" s="50">
        <f t="shared" si="2"/>
        <v>48000</v>
      </c>
      <c r="M54" s="50">
        <f t="shared" ref="M54:M60" si="3">E54+L54</f>
        <v>67300</v>
      </c>
      <c r="O54"/>
    </row>
    <row r="55" spans="1:15" ht="19.5" thickBot="1">
      <c r="A55" s="1" t="s">
        <v>2</v>
      </c>
      <c r="B55" s="4" t="s">
        <v>67</v>
      </c>
      <c r="C55" s="16">
        <v>0</v>
      </c>
      <c r="D55" s="17">
        <v>0</v>
      </c>
      <c r="E55" s="50">
        <f t="shared" si="1"/>
        <v>0</v>
      </c>
      <c r="F55" s="15">
        <v>0</v>
      </c>
      <c r="G55" s="16">
        <v>5000</v>
      </c>
      <c r="H55" s="16">
        <v>0</v>
      </c>
      <c r="I55" s="16">
        <v>0</v>
      </c>
      <c r="J55" s="16">
        <v>0</v>
      </c>
      <c r="K55" s="61">
        <v>0</v>
      </c>
      <c r="L55" s="50">
        <f t="shared" si="2"/>
        <v>5000</v>
      </c>
      <c r="M55" s="50">
        <f t="shared" si="3"/>
        <v>5000</v>
      </c>
      <c r="O55"/>
    </row>
    <row r="56" spans="1:15" ht="19.5" thickBot="1">
      <c r="A56" s="1" t="s">
        <v>2</v>
      </c>
      <c r="B56" s="39" t="s">
        <v>68</v>
      </c>
      <c r="C56" s="41">
        <v>83588</v>
      </c>
      <c r="D56" s="42">
        <v>758</v>
      </c>
      <c r="E56" s="52">
        <f t="shared" si="1"/>
        <v>84346</v>
      </c>
      <c r="F56" s="40">
        <v>65118</v>
      </c>
      <c r="G56" s="41">
        <v>68938</v>
      </c>
      <c r="H56" s="41">
        <v>63731</v>
      </c>
      <c r="I56" s="41">
        <v>65101</v>
      </c>
      <c r="J56" s="41">
        <v>49193</v>
      </c>
      <c r="K56" s="63">
        <v>55982</v>
      </c>
      <c r="L56" s="52">
        <f t="shared" si="2"/>
        <v>368063</v>
      </c>
      <c r="M56" s="52">
        <f t="shared" si="3"/>
        <v>452409</v>
      </c>
      <c r="O56"/>
    </row>
    <row r="57" spans="1:15" ht="19.5" thickBot="1">
      <c r="A57" s="1" t="s">
        <v>2</v>
      </c>
      <c r="B57" s="39" t="s">
        <v>69</v>
      </c>
      <c r="C57" s="41">
        <v>309352</v>
      </c>
      <c r="D57" s="42">
        <v>82992</v>
      </c>
      <c r="E57" s="52">
        <f t="shared" si="1"/>
        <v>392344</v>
      </c>
      <c r="F57" s="40">
        <v>254128</v>
      </c>
      <c r="G57" s="41">
        <v>262140</v>
      </c>
      <c r="H57" s="41">
        <v>275249</v>
      </c>
      <c r="I57" s="41">
        <v>249463</v>
      </c>
      <c r="J57" s="41">
        <v>222093</v>
      </c>
      <c r="K57" s="63">
        <v>217700</v>
      </c>
      <c r="L57" s="52">
        <f t="shared" si="2"/>
        <v>1480773</v>
      </c>
      <c r="M57" s="52">
        <f t="shared" si="3"/>
        <v>1873117</v>
      </c>
      <c r="O57"/>
    </row>
    <row r="58" spans="1:15" ht="19.5" thickBot="1">
      <c r="A58" s="1" t="s">
        <v>2</v>
      </c>
      <c r="B58" s="39" t="s">
        <v>70</v>
      </c>
      <c r="C58" s="41">
        <v>285728</v>
      </c>
      <c r="D58" s="42">
        <v>85325</v>
      </c>
      <c r="E58" s="52">
        <f t="shared" si="1"/>
        <v>371053</v>
      </c>
      <c r="F58" s="40">
        <v>240923</v>
      </c>
      <c r="G58" s="41">
        <v>250323</v>
      </c>
      <c r="H58" s="41">
        <v>269788</v>
      </c>
      <c r="I58" s="41">
        <v>235227</v>
      </c>
      <c r="J58" s="41">
        <v>228561</v>
      </c>
      <c r="K58" s="63">
        <v>208104</v>
      </c>
      <c r="L58" s="52">
        <f t="shared" si="2"/>
        <v>1432926</v>
      </c>
      <c r="M58" s="52">
        <f t="shared" si="3"/>
        <v>1803979</v>
      </c>
      <c r="O58"/>
    </row>
    <row r="59" spans="1:15">
      <c r="A59" s="1" t="s">
        <v>2</v>
      </c>
      <c r="B59" s="21" t="s">
        <v>71</v>
      </c>
      <c r="C59" s="30">
        <v>0</v>
      </c>
      <c r="D59" s="31">
        <v>0</v>
      </c>
      <c r="E59" s="49">
        <f t="shared" si="1"/>
        <v>0</v>
      </c>
      <c r="F59" s="29">
        <v>0</v>
      </c>
      <c r="G59" s="30">
        <v>0</v>
      </c>
      <c r="H59" s="30">
        <v>0</v>
      </c>
      <c r="I59" s="30">
        <v>0</v>
      </c>
      <c r="J59" s="30">
        <v>0</v>
      </c>
      <c r="K59" s="60">
        <v>0</v>
      </c>
      <c r="L59" s="49">
        <f t="shared" si="2"/>
        <v>0</v>
      </c>
      <c r="M59" s="49">
        <f t="shared" si="3"/>
        <v>0</v>
      </c>
      <c r="O59"/>
    </row>
    <row r="60" spans="1:15">
      <c r="A60" s="1" t="s">
        <v>2</v>
      </c>
      <c r="B60" s="4" t="s">
        <v>72</v>
      </c>
      <c r="C60" s="16">
        <v>285728</v>
      </c>
      <c r="D60" s="17">
        <v>85325</v>
      </c>
      <c r="E60" s="50">
        <f t="shared" si="1"/>
        <v>371053</v>
      </c>
      <c r="F60" s="15">
        <v>240923</v>
      </c>
      <c r="G60" s="16">
        <v>250323</v>
      </c>
      <c r="H60" s="16">
        <v>269788</v>
      </c>
      <c r="I60" s="16">
        <v>235227</v>
      </c>
      <c r="J60" s="16">
        <v>228561</v>
      </c>
      <c r="K60" s="61">
        <v>208104</v>
      </c>
      <c r="L60" s="50">
        <f t="shared" si="2"/>
        <v>1432926</v>
      </c>
      <c r="M60" s="50">
        <f t="shared" si="3"/>
        <v>1803979</v>
      </c>
      <c r="O60"/>
    </row>
    <row r="61" spans="1:15">
      <c r="A61" s="1" t="s">
        <v>2</v>
      </c>
      <c r="B61" s="4" t="s">
        <v>73</v>
      </c>
      <c r="C61" s="16">
        <v>0</v>
      </c>
      <c r="D61" s="17">
        <v>0</v>
      </c>
      <c r="E61" s="50"/>
      <c r="F61" s="15">
        <v>0</v>
      </c>
      <c r="G61" s="16">
        <v>1</v>
      </c>
      <c r="H61" s="16">
        <v>0</v>
      </c>
      <c r="I61" s="16">
        <v>1</v>
      </c>
      <c r="J61" s="16">
        <v>1</v>
      </c>
      <c r="K61" s="61">
        <v>0</v>
      </c>
      <c r="L61" s="50"/>
      <c r="M61" s="50"/>
    </row>
    <row r="62" spans="1:15" ht="19.5" thickBot="1">
      <c r="A62" s="1" t="s">
        <v>2</v>
      </c>
      <c r="B62" s="5" t="s">
        <v>74</v>
      </c>
      <c r="C62" s="19" t="s">
        <v>75</v>
      </c>
      <c r="D62" s="20" t="s">
        <v>75</v>
      </c>
      <c r="E62" s="53"/>
      <c r="F62" s="18" t="s">
        <v>75</v>
      </c>
      <c r="G62" s="19" t="s">
        <v>75</v>
      </c>
      <c r="H62" s="19" t="s">
        <v>75</v>
      </c>
      <c r="I62" s="19" t="s">
        <v>75</v>
      </c>
      <c r="J62" s="19" t="s">
        <v>75</v>
      </c>
      <c r="K62" s="64" t="s">
        <v>75</v>
      </c>
      <c r="L62" s="53"/>
      <c r="M62" s="53"/>
    </row>
  </sheetData>
  <phoneticPr fontId="4"/>
  <pageMargins left="0.31496062992125984" right="0.31496062992125984" top="0.15748031496062992" bottom="0.15748031496062992" header="0" footer="0"/>
  <pageSetup paperSize="9" scale="4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2021年10月度給与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2021-10-12T05:27:24Z</cp:lastPrinted>
  <dcterms:created xsi:type="dcterms:W3CDTF">2021-10-06T06:57:10Z</dcterms:created>
  <dcterms:modified xsi:type="dcterms:W3CDTF">2021-10-12T06:29:33Z</dcterms:modified>
</cp:coreProperties>
</file>