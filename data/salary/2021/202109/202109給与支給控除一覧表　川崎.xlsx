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09\"/>
    </mc:Choice>
  </mc:AlternateContent>
  <xr:revisionPtr revIDLastSave="0" documentId="13_ncr:1_{440E0946-2D1C-4C24-8511-D4DFC57F8739}" xr6:coauthVersionLast="47" xr6:coauthVersionMax="47" xr10:uidLastSave="{00000000-0000-0000-0000-000000000000}"/>
  <bookViews>
    <workbookView xWindow="-120" yWindow="-120" windowWidth="20730" windowHeight="11160" xr2:uid="{FDE0EFEC-4E8A-441A-99A1-F7F8D4E4BD88}"/>
  </bookViews>
  <sheets>
    <sheet name="2021年10月度給与 (2)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" l="1"/>
  <c r="K9" i="4"/>
  <c r="K11" i="4"/>
  <c r="K17" i="4"/>
  <c r="K18" i="4"/>
  <c r="K19" i="4"/>
  <c r="K20" i="4"/>
  <c r="K21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24" i="4"/>
  <c r="J23" i="4"/>
  <c r="J22" i="4"/>
  <c r="K22" i="4" s="1"/>
  <c r="J16" i="4"/>
  <c r="K16" i="4" s="1"/>
  <c r="J15" i="4"/>
  <c r="K15" i="4" s="1"/>
  <c r="J13" i="4"/>
  <c r="K13" i="4" s="1"/>
  <c r="J12" i="4"/>
  <c r="K12" i="4" s="1"/>
  <c r="J10" i="4"/>
  <c r="K10" i="4" s="1"/>
  <c r="J7" i="4"/>
  <c r="K7" i="4" s="1"/>
  <c r="J6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24" i="4"/>
  <c r="E23" i="4"/>
  <c r="E14" i="4"/>
  <c r="K14" i="4" s="1"/>
  <c r="E6" i="4"/>
  <c r="K57" i="4" l="1"/>
  <c r="K50" i="4"/>
  <c r="K43" i="4"/>
  <c r="K36" i="4"/>
  <c r="K32" i="4"/>
  <c r="K25" i="4"/>
  <c r="K62" i="4"/>
  <c r="K58" i="4"/>
  <c r="K54" i="4"/>
  <c r="K39" i="4"/>
  <c r="K29" i="4"/>
  <c r="K23" i="4"/>
  <c r="K60" i="4"/>
  <c r="K52" i="4"/>
  <c r="K48" i="4"/>
  <c r="K45" i="4"/>
  <c r="K41" i="4"/>
  <c r="K37" i="4"/>
  <c r="K33" i="4"/>
  <c r="K30" i="4"/>
  <c r="K27" i="4"/>
  <c r="K24" i="4"/>
  <c r="K59" i="4"/>
  <c r="K55" i="4"/>
  <c r="K51" i="4"/>
  <c r="K47" i="4"/>
  <c r="K44" i="4"/>
  <c r="K40" i="4"/>
  <c r="K34" i="4"/>
  <c r="K26" i="4"/>
  <c r="K6" i="4"/>
  <c r="K61" i="4"/>
  <c r="K56" i="4"/>
  <c r="K53" i="4"/>
  <c r="K49" i="4"/>
  <c r="K46" i="4"/>
  <c r="K42" i="4"/>
  <c r="K38" i="4"/>
  <c r="K35" i="4"/>
  <c r="K31" i="4"/>
  <c r="K28" i="4"/>
</calcChain>
</file>

<file path=xl/sharedStrings.xml><?xml version="1.0" encoding="utf-8"?>
<sst xmlns="http://schemas.openxmlformats.org/spreadsheetml/2006/main" count="146" uniqueCount="79">
  <si>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</si>
  <si>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</si>
  <si>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</si>
  <si>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</si>
  <si>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</si>
  <si>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</si>
  <si>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</si>
  <si>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</si>
  <si>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</si>
  <si>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</si>
  <si>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菅原幸志</t>
    <phoneticPr fontId="4"/>
  </si>
  <si>
    <t>伊藤正典</t>
    <phoneticPr fontId="4"/>
  </si>
  <si>
    <t>上野誠也</t>
    <phoneticPr fontId="4"/>
  </si>
  <si>
    <t>伊藤尚</t>
    <phoneticPr fontId="4"/>
  </si>
  <si>
    <t>橋本淳志</t>
    <phoneticPr fontId="4"/>
  </si>
  <si>
    <t>秋田愛美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</si>
  <si>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</si>
  <si>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</si>
  <si>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</si>
  <si>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</si>
  <si>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</si>
  <si>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</si>
  <si>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</si>
  <si>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</si>
  <si>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</si>
  <si>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</si>
  <si>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</si>
  <si>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</si>
  <si>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</si>
  <si>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</si>
  <si>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</si>
  <si>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</si>
  <si>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</si>
  <si>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</si>
  <si>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</si>
  <si>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</si>
  <si>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</si>
  <si>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</si>
  <si>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</si>
  <si>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</si>
  <si>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基本給3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</si>
  <si>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</si>
  <si>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</si>
  <si>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</si>
  <si>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</si>
  <si>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</si>
  <si>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</si>
  <si>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</si>
  <si>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</si>
  <si>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</si>
  <si>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</si>
  <si>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</si>
  <si>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</si>
  <si>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</si>
  <si>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</si>
  <si>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</si>
  <si>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</si>
  <si>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</si>
  <si>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</si>
  <si>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</si>
  <si>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</si>
  <si>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</si>
  <si>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</si>
  <si>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</si>
  <si>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</si>
  <si>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</si>
  <si>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</si>
  <si>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</si>
  <si>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</si>
  <si>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</si>
  <si>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</si>
  <si>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</si>
  <si>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</si>
  <si>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</si>
  <si>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2021年9月度給与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</si>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</sst>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4" xfId="1" applyNumberFormat="1" applyFont="1" applyBorder="1"/>
    <xf numFmtId="49" fontId="2" fillId="0" borderId="32" xfId="1" applyNumberFormat="1" applyFont="1" applyBorder="1"/>
    <xf numFmtId="49" fontId="2" fillId="0" borderId="31" xfId="1" applyNumberFormat="1" applyFont="1" applyBorder="1" applyAlignment="1">
      <alignment horizontal="left"/>
    </xf>
    <xf numFmtId="49" fontId="2" fillId="0" borderId="32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7" xfId="1" applyNumberFormat="1" applyFont="1" applyBorder="1"/>
    <xf numFmtId="49" fontId="2" fillId="0" borderId="42" xfId="1" applyNumberFormat="1" applyFont="1" applyBorder="1" applyAlignment="1">
      <alignment horizontal="left"/>
    </xf>
    <xf numFmtId="49" fontId="2" fillId="0" borderId="43" xfId="1" applyNumberFormat="1" applyFont="1" applyBorder="1" applyAlignment="1">
      <alignment horizontal="right"/>
    </xf>
    <xf numFmtId="2" fontId="2" fillId="0" borderId="44" xfId="1" applyNumberFormat="1" applyFont="1" applyBorder="1"/>
    <xf numFmtId="2" fontId="2" fillId="0" borderId="45" xfId="1" applyNumberFormat="1" applyFont="1" applyBorder="1"/>
    <xf numFmtId="176" fontId="2" fillId="0" borderId="45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35" xfId="1" applyNumberFormat="1" applyFont="1" applyBorder="1"/>
    <xf numFmtId="49" fontId="2" fillId="0" borderId="43" xfId="1" applyNumberFormat="1" applyFont="1" applyBorder="1"/>
    <xf numFmtId="0" fontId="2" fillId="0" borderId="47" xfId="1" applyFont="1" applyBorder="1"/>
    <xf numFmtId="177" fontId="2" fillId="0" borderId="10" xfId="1" applyNumberFormat="1" applyFont="1" applyBorder="1"/>
    <xf numFmtId="177" fontId="2" fillId="0" borderId="11" xfId="1" applyNumberFormat="1" applyFont="1" applyBorder="1"/>
    <xf numFmtId="177" fontId="2" fillId="0" borderId="39" xfId="1" applyNumberFormat="1" applyFont="1" applyBorder="1"/>
    <xf numFmtId="177" fontId="2" fillId="0" borderId="45" xfId="1" applyNumberFormat="1" applyFont="1" applyBorder="1"/>
    <xf numFmtId="177" fontId="2" fillId="0" borderId="5" xfId="1" applyNumberFormat="1" applyFont="1" applyBorder="1"/>
  </cellXfs>
  <cellStyles count="2">
    <cellStyle name="標準" xfId="0" builtinId="0"/>
    <cellStyle name="標準 2" xfId="1" xr:uid="{166E49A0-725A-4319-9A9D-74943D974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D3EA-269C-4C71-9711-92C259117A42}">
  <sheetPr>
    <pageSetUpPr fitToPage="1"/>
  </sheetPr>
  <dimension ref="A1:K64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1" width="12.125" style="2" customWidth="1"/>
    <col min="12" max="257" width="9" style="2"/>
    <col min="258" max="258" width="2.375" style="2" customWidth="1"/>
    <col min="259" max="259" width="13.25" style="2" bestFit="1" customWidth="1"/>
    <col min="260" max="262" width="9" style="2"/>
    <col min="263" max="263" width="8" style="2" bestFit="1" customWidth="1"/>
    <col min="264" max="265" width="9" style="2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9" style="2"/>
    <col min="519" max="519" width="8" style="2" bestFit="1" customWidth="1"/>
    <col min="520" max="521" width="9" style="2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9" style="2"/>
    <col min="775" max="775" width="8" style="2" bestFit="1" customWidth="1"/>
    <col min="776" max="777" width="9" style="2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9" style="2"/>
    <col min="1031" max="1031" width="8" style="2" bestFit="1" customWidth="1"/>
    <col min="1032" max="1033" width="9" style="2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9" style="2"/>
    <col min="1287" max="1287" width="8" style="2" bestFit="1" customWidth="1"/>
    <col min="1288" max="1289" width="9" style="2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9" style="2"/>
    <col min="1543" max="1543" width="8" style="2" bestFit="1" customWidth="1"/>
    <col min="1544" max="1545" width="9" style="2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9" style="2"/>
    <col min="1799" max="1799" width="8" style="2" bestFit="1" customWidth="1"/>
    <col min="1800" max="1801" width="9" style="2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9" style="2"/>
    <col min="2055" max="2055" width="8" style="2" bestFit="1" customWidth="1"/>
    <col min="2056" max="2057" width="9" style="2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9" style="2"/>
    <col min="2311" max="2311" width="8" style="2" bestFit="1" customWidth="1"/>
    <col min="2312" max="2313" width="9" style="2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9" style="2"/>
    <col min="2567" max="2567" width="8" style="2" bestFit="1" customWidth="1"/>
    <col min="2568" max="2569" width="9" style="2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9" style="2"/>
    <col min="2823" max="2823" width="8" style="2" bestFit="1" customWidth="1"/>
    <col min="2824" max="2825" width="9" style="2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9" style="2"/>
    <col min="3079" max="3079" width="8" style="2" bestFit="1" customWidth="1"/>
    <col min="3080" max="3081" width="9" style="2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9" style="2"/>
    <col min="3335" max="3335" width="8" style="2" bestFit="1" customWidth="1"/>
    <col min="3336" max="3337" width="9" style="2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9" style="2"/>
    <col min="3591" max="3591" width="8" style="2" bestFit="1" customWidth="1"/>
    <col min="3592" max="3593" width="9" style="2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9" style="2"/>
    <col min="3847" max="3847" width="8" style="2" bestFit="1" customWidth="1"/>
    <col min="3848" max="3849" width="9" style="2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9" style="2"/>
    <col min="4103" max="4103" width="8" style="2" bestFit="1" customWidth="1"/>
    <col min="4104" max="4105" width="9" style="2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9" style="2"/>
    <col min="4359" max="4359" width="8" style="2" bestFit="1" customWidth="1"/>
    <col min="4360" max="4361" width="9" style="2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9" style="2"/>
    <col min="4615" max="4615" width="8" style="2" bestFit="1" customWidth="1"/>
    <col min="4616" max="4617" width="9" style="2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9" style="2"/>
    <col min="4871" max="4871" width="8" style="2" bestFit="1" customWidth="1"/>
    <col min="4872" max="4873" width="9" style="2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9" style="2"/>
    <col min="5127" max="5127" width="8" style="2" bestFit="1" customWidth="1"/>
    <col min="5128" max="5129" width="9" style="2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9" style="2"/>
    <col min="5383" max="5383" width="8" style="2" bestFit="1" customWidth="1"/>
    <col min="5384" max="5385" width="9" style="2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9" style="2"/>
    <col min="5639" max="5639" width="8" style="2" bestFit="1" customWidth="1"/>
    <col min="5640" max="5641" width="9" style="2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9" style="2"/>
    <col min="5895" max="5895" width="8" style="2" bestFit="1" customWidth="1"/>
    <col min="5896" max="5897" width="9" style="2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9" style="2"/>
    <col min="6151" max="6151" width="8" style="2" bestFit="1" customWidth="1"/>
    <col min="6152" max="6153" width="9" style="2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9" style="2"/>
    <col min="6407" max="6407" width="8" style="2" bestFit="1" customWidth="1"/>
    <col min="6408" max="6409" width="9" style="2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9" style="2"/>
    <col min="6663" max="6663" width="8" style="2" bestFit="1" customWidth="1"/>
    <col min="6664" max="6665" width="9" style="2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9" style="2"/>
    <col min="6919" max="6919" width="8" style="2" bestFit="1" customWidth="1"/>
    <col min="6920" max="6921" width="9" style="2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9" style="2"/>
    <col min="7175" max="7175" width="8" style="2" bestFit="1" customWidth="1"/>
    <col min="7176" max="7177" width="9" style="2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9" style="2"/>
    <col min="7431" max="7431" width="8" style="2" bestFit="1" customWidth="1"/>
    <col min="7432" max="7433" width="9" style="2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9" style="2"/>
    <col min="7687" max="7687" width="8" style="2" bestFit="1" customWidth="1"/>
    <col min="7688" max="7689" width="9" style="2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9" style="2"/>
    <col min="7943" max="7943" width="8" style="2" bestFit="1" customWidth="1"/>
    <col min="7944" max="7945" width="9" style="2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9" style="2"/>
    <col min="8199" max="8199" width="8" style="2" bestFit="1" customWidth="1"/>
    <col min="8200" max="8201" width="9" style="2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9" style="2"/>
    <col min="8455" max="8455" width="8" style="2" bestFit="1" customWidth="1"/>
    <col min="8456" max="8457" width="9" style="2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9" style="2"/>
    <col min="8711" max="8711" width="8" style="2" bestFit="1" customWidth="1"/>
    <col min="8712" max="8713" width="9" style="2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9" style="2"/>
    <col min="8967" max="8967" width="8" style="2" bestFit="1" customWidth="1"/>
    <col min="8968" max="8969" width="9" style="2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9" style="2"/>
    <col min="9223" max="9223" width="8" style="2" bestFit="1" customWidth="1"/>
    <col min="9224" max="9225" width="9" style="2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9" style="2"/>
    <col min="9479" max="9479" width="8" style="2" bestFit="1" customWidth="1"/>
    <col min="9480" max="9481" width="9" style="2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9" style="2"/>
    <col min="9735" max="9735" width="8" style="2" bestFit="1" customWidth="1"/>
    <col min="9736" max="9737" width="9" style="2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9" style="2"/>
    <col min="9991" max="9991" width="8" style="2" bestFit="1" customWidth="1"/>
    <col min="9992" max="9993" width="9" style="2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9" style="2"/>
    <col min="10247" max="10247" width="8" style="2" bestFit="1" customWidth="1"/>
    <col min="10248" max="10249" width="9" style="2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9" style="2"/>
    <col min="10503" max="10503" width="8" style="2" bestFit="1" customWidth="1"/>
    <col min="10504" max="10505" width="9" style="2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9" style="2"/>
    <col min="10759" max="10759" width="8" style="2" bestFit="1" customWidth="1"/>
    <col min="10760" max="10761" width="9" style="2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9" style="2"/>
    <col min="11015" max="11015" width="8" style="2" bestFit="1" customWidth="1"/>
    <col min="11016" max="11017" width="9" style="2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9" style="2"/>
    <col min="11271" max="11271" width="8" style="2" bestFit="1" customWidth="1"/>
    <col min="11272" max="11273" width="9" style="2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9" style="2"/>
    <col min="11527" max="11527" width="8" style="2" bestFit="1" customWidth="1"/>
    <col min="11528" max="11529" width="9" style="2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9" style="2"/>
    <col min="11783" max="11783" width="8" style="2" bestFit="1" customWidth="1"/>
    <col min="11784" max="11785" width="9" style="2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9" style="2"/>
    <col min="12039" max="12039" width="8" style="2" bestFit="1" customWidth="1"/>
    <col min="12040" max="12041" width="9" style="2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9" style="2"/>
    <col min="12295" max="12295" width="8" style="2" bestFit="1" customWidth="1"/>
    <col min="12296" max="12297" width="9" style="2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9" style="2"/>
    <col min="12551" max="12551" width="8" style="2" bestFit="1" customWidth="1"/>
    <col min="12552" max="12553" width="9" style="2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9" style="2"/>
    <col min="12807" max="12807" width="8" style="2" bestFit="1" customWidth="1"/>
    <col min="12808" max="12809" width="9" style="2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9" style="2"/>
    <col min="13063" max="13063" width="8" style="2" bestFit="1" customWidth="1"/>
    <col min="13064" max="13065" width="9" style="2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9" style="2"/>
    <col min="13319" max="13319" width="8" style="2" bestFit="1" customWidth="1"/>
    <col min="13320" max="13321" width="9" style="2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9" style="2"/>
    <col min="13575" max="13575" width="8" style="2" bestFit="1" customWidth="1"/>
    <col min="13576" max="13577" width="9" style="2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9" style="2"/>
    <col min="13831" max="13831" width="8" style="2" bestFit="1" customWidth="1"/>
    <col min="13832" max="13833" width="9" style="2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9" style="2"/>
    <col min="14087" max="14087" width="8" style="2" bestFit="1" customWidth="1"/>
    <col min="14088" max="14089" width="9" style="2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9" style="2"/>
    <col min="14343" max="14343" width="8" style="2" bestFit="1" customWidth="1"/>
    <col min="14344" max="14345" width="9" style="2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9" style="2"/>
    <col min="14599" max="14599" width="8" style="2" bestFit="1" customWidth="1"/>
    <col min="14600" max="14601" width="9" style="2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9" style="2"/>
    <col min="14855" max="14855" width="8" style="2" bestFit="1" customWidth="1"/>
    <col min="14856" max="14857" width="9" style="2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9" style="2"/>
    <col min="15111" max="15111" width="8" style="2" bestFit="1" customWidth="1"/>
    <col min="15112" max="15113" width="9" style="2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9" style="2"/>
    <col min="15367" max="15367" width="8" style="2" bestFit="1" customWidth="1"/>
    <col min="15368" max="15369" width="9" style="2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9" style="2"/>
    <col min="15623" max="15623" width="8" style="2" bestFit="1" customWidth="1"/>
    <col min="15624" max="15625" width="9" style="2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9" style="2"/>
    <col min="15879" max="15879" width="8" style="2" bestFit="1" customWidth="1"/>
    <col min="15880" max="15881" width="9" style="2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9" style="2"/>
    <col min="16135" max="16135" width="8" style="2" bestFit="1" customWidth="1"/>
    <col min="16136" max="16137" width="9" style="2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>
      <c r="A2" s="1" t="s">
        <v>1</v>
      </c>
    </row>
    <row r="3" spans="1:11" ht="19.5" thickBot="1">
      <c r="A3" s="1" t="s">
        <v>74</v>
      </c>
    </row>
    <row r="4" spans="1:11">
      <c r="B4" s="3"/>
      <c r="C4" s="12" t="s">
        <v>6</v>
      </c>
      <c r="D4" s="13" t="s">
        <v>8</v>
      </c>
      <c r="E4" s="59" t="s">
        <v>75</v>
      </c>
      <c r="F4" s="11" t="s">
        <v>3</v>
      </c>
      <c r="G4" s="12" t="s">
        <v>4</v>
      </c>
      <c r="H4" s="12" t="s">
        <v>5</v>
      </c>
      <c r="I4" s="62" t="s">
        <v>7</v>
      </c>
      <c r="J4" s="73" t="s">
        <v>75</v>
      </c>
      <c r="K4" s="4" t="s">
        <v>16</v>
      </c>
    </row>
    <row r="5" spans="1:11" ht="19.5" thickBot="1">
      <c r="A5" s="84"/>
      <c r="B5" s="31" t="s">
        <v>9</v>
      </c>
      <c r="C5" s="33" t="s">
        <v>13</v>
      </c>
      <c r="D5" s="34" t="s">
        <v>15</v>
      </c>
      <c r="E5" s="60" t="s">
        <v>76</v>
      </c>
      <c r="F5" s="32" t="s">
        <v>10</v>
      </c>
      <c r="G5" s="33" t="s">
        <v>11</v>
      </c>
      <c r="H5" s="33" t="s">
        <v>12</v>
      </c>
      <c r="I5" s="63" t="s">
        <v>14</v>
      </c>
      <c r="J5" s="74" t="s">
        <v>77</v>
      </c>
      <c r="K5" s="61" t="s">
        <v>78</v>
      </c>
    </row>
    <row r="6" spans="1:11">
      <c r="A6" s="1" t="s">
        <v>2</v>
      </c>
      <c r="B6" s="26" t="s">
        <v>17</v>
      </c>
      <c r="C6" s="28">
        <v>22</v>
      </c>
      <c r="D6" s="29">
        <v>20</v>
      </c>
      <c r="E6" s="53">
        <f>SUM(C6:D6)</f>
        <v>42</v>
      </c>
      <c r="F6" s="27">
        <v>21</v>
      </c>
      <c r="G6" s="28">
        <v>20</v>
      </c>
      <c r="H6" s="28">
        <v>20</v>
      </c>
      <c r="I6" s="64">
        <v>19</v>
      </c>
      <c r="J6" s="75">
        <f>SUM(F6:I6)</f>
        <v>80</v>
      </c>
      <c r="K6" s="30">
        <f>E6+J6</f>
        <v>122</v>
      </c>
    </row>
    <row r="7" spans="1:11">
      <c r="A7" s="1" t="s">
        <v>2</v>
      </c>
      <c r="B7" s="5" t="s">
        <v>18</v>
      </c>
      <c r="C7" s="15">
        <v>0</v>
      </c>
      <c r="D7" s="16">
        <v>0</v>
      </c>
      <c r="E7" s="54"/>
      <c r="F7" s="14">
        <v>0</v>
      </c>
      <c r="G7" s="15">
        <v>1</v>
      </c>
      <c r="H7" s="15">
        <v>1</v>
      </c>
      <c r="I7" s="65">
        <v>0</v>
      </c>
      <c r="J7" s="76">
        <f>SUM(F7:I7)</f>
        <v>2</v>
      </c>
      <c r="K7" s="7">
        <f t="shared" ref="K7:K23" si="0">E7+J7</f>
        <v>2</v>
      </c>
    </row>
    <row r="8" spans="1:11">
      <c r="A8" s="1" t="s">
        <v>2</v>
      </c>
      <c r="B8" s="5" t="s">
        <v>19</v>
      </c>
      <c r="C8" s="15">
        <v>0</v>
      </c>
      <c r="D8" s="16">
        <v>0</v>
      </c>
      <c r="E8" s="54"/>
      <c r="F8" s="14">
        <v>0</v>
      </c>
      <c r="G8" s="15">
        <v>0</v>
      </c>
      <c r="H8" s="15">
        <v>0</v>
      </c>
      <c r="I8" s="65">
        <v>0</v>
      </c>
      <c r="J8" s="76"/>
      <c r="K8" s="7">
        <f t="shared" si="0"/>
        <v>0</v>
      </c>
    </row>
    <row r="9" spans="1:11">
      <c r="A9" s="1" t="s">
        <v>2</v>
      </c>
      <c r="B9" s="5" t="s">
        <v>20</v>
      </c>
      <c r="C9" s="15">
        <v>0</v>
      </c>
      <c r="D9" s="16">
        <v>0</v>
      </c>
      <c r="E9" s="54"/>
      <c r="F9" s="14">
        <v>0</v>
      </c>
      <c r="G9" s="15">
        <v>0</v>
      </c>
      <c r="H9" s="15">
        <v>0</v>
      </c>
      <c r="I9" s="65">
        <v>0</v>
      </c>
      <c r="J9" s="76"/>
      <c r="K9" s="7">
        <f t="shared" si="0"/>
        <v>0</v>
      </c>
    </row>
    <row r="10" spans="1:11">
      <c r="A10" s="1" t="s">
        <v>2</v>
      </c>
      <c r="B10" s="5" t="s">
        <v>21</v>
      </c>
      <c r="C10" s="15">
        <v>0</v>
      </c>
      <c r="D10" s="16">
        <v>0</v>
      </c>
      <c r="E10" s="54"/>
      <c r="F10" s="14">
        <v>1</v>
      </c>
      <c r="G10" s="15">
        <v>1</v>
      </c>
      <c r="H10" s="15">
        <v>1</v>
      </c>
      <c r="I10" s="65">
        <v>2</v>
      </c>
      <c r="J10" s="76">
        <f>SUM(F10:I10)</f>
        <v>5</v>
      </c>
      <c r="K10" s="7">
        <f t="shared" si="0"/>
        <v>5</v>
      </c>
    </row>
    <row r="11" spans="1:11">
      <c r="A11" s="1" t="s">
        <v>2</v>
      </c>
      <c r="B11" s="5" t="s">
        <v>22</v>
      </c>
      <c r="C11" s="15">
        <v>0</v>
      </c>
      <c r="D11" s="16">
        <v>0</v>
      </c>
      <c r="E11" s="54"/>
      <c r="F11" s="14">
        <v>0</v>
      </c>
      <c r="G11" s="15">
        <v>0</v>
      </c>
      <c r="H11" s="15">
        <v>0</v>
      </c>
      <c r="I11" s="65">
        <v>0</v>
      </c>
      <c r="J11" s="76"/>
      <c r="K11" s="7">
        <f t="shared" si="0"/>
        <v>0</v>
      </c>
    </row>
    <row r="12" spans="1:11">
      <c r="A12" s="1" t="s">
        <v>2</v>
      </c>
      <c r="B12" s="5" t="s">
        <v>23</v>
      </c>
      <c r="C12" s="15">
        <v>0</v>
      </c>
      <c r="D12" s="16">
        <v>0</v>
      </c>
      <c r="E12" s="54"/>
      <c r="F12" s="14">
        <v>0</v>
      </c>
      <c r="G12" s="15">
        <v>1</v>
      </c>
      <c r="H12" s="15">
        <v>1</v>
      </c>
      <c r="I12" s="65">
        <v>1</v>
      </c>
      <c r="J12" s="76">
        <f>SUM(F12:I12)</f>
        <v>3</v>
      </c>
      <c r="K12" s="7">
        <f t="shared" si="0"/>
        <v>3</v>
      </c>
    </row>
    <row r="13" spans="1:11">
      <c r="A13" s="1" t="s">
        <v>2</v>
      </c>
      <c r="B13" s="5" t="s">
        <v>24</v>
      </c>
      <c r="C13" s="15">
        <v>0</v>
      </c>
      <c r="D13" s="16">
        <v>0</v>
      </c>
      <c r="E13" s="54"/>
      <c r="F13" s="14">
        <v>0</v>
      </c>
      <c r="G13" s="15">
        <v>1</v>
      </c>
      <c r="H13" s="15">
        <v>1</v>
      </c>
      <c r="I13" s="65">
        <v>1</v>
      </c>
      <c r="J13" s="76">
        <f>SUM(F13:I13)</f>
        <v>3</v>
      </c>
      <c r="K13" s="7">
        <f t="shared" si="0"/>
        <v>3</v>
      </c>
    </row>
    <row r="14" spans="1:11">
      <c r="A14" s="1" t="s">
        <v>2</v>
      </c>
      <c r="B14" s="5" t="s">
        <v>25</v>
      </c>
      <c r="C14" s="18">
        <v>0</v>
      </c>
      <c r="D14" s="19">
        <v>2.625</v>
      </c>
      <c r="E14" s="55">
        <f>SUM(C14:D14)</f>
        <v>2.625</v>
      </c>
      <c r="F14" s="17">
        <v>0</v>
      </c>
      <c r="G14" s="18">
        <v>0</v>
      </c>
      <c r="H14" s="18">
        <v>0</v>
      </c>
      <c r="I14" s="66">
        <v>0</v>
      </c>
      <c r="J14" s="77"/>
      <c r="K14" s="8">
        <f t="shared" si="0"/>
        <v>2.625</v>
      </c>
    </row>
    <row r="15" spans="1:11">
      <c r="A15" s="1" t="s">
        <v>2</v>
      </c>
      <c r="B15" s="5" t="s">
        <v>26</v>
      </c>
      <c r="C15" s="18">
        <v>0</v>
      </c>
      <c r="D15" s="19">
        <v>0</v>
      </c>
      <c r="E15" s="55"/>
      <c r="F15" s="17">
        <v>2.1666666666666665</v>
      </c>
      <c r="G15" s="18">
        <v>2.375</v>
      </c>
      <c r="H15" s="18">
        <v>2.2916666666666665</v>
      </c>
      <c r="I15" s="66">
        <v>1.875</v>
      </c>
      <c r="J15" s="77">
        <f>SUM(F15:I15)</f>
        <v>8.7083333333333321</v>
      </c>
      <c r="K15" s="8">
        <f t="shared" si="0"/>
        <v>8.7083333333333321</v>
      </c>
    </row>
    <row r="16" spans="1:11">
      <c r="A16" s="1" t="s">
        <v>2</v>
      </c>
      <c r="B16" s="5" t="s">
        <v>27</v>
      </c>
      <c r="C16" s="18">
        <v>0</v>
      </c>
      <c r="D16" s="19">
        <v>0</v>
      </c>
      <c r="E16" s="55"/>
      <c r="F16" s="17">
        <v>0</v>
      </c>
      <c r="G16" s="18">
        <v>0.20833333333333334</v>
      </c>
      <c r="H16" s="18">
        <v>0.33333333333333331</v>
      </c>
      <c r="I16" s="66">
        <v>0</v>
      </c>
      <c r="J16" s="77">
        <f>SUM(F16:I16)</f>
        <v>0.54166666666666663</v>
      </c>
      <c r="K16" s="8">
        <f t="shared" si="0"/>
        <v>0.54166666666666663</v>
      </c>
    </row>
    <row r="17" spans="1:11">
      <c r="A17" s="1" t="s">
        <v>2</v>
      </c>
      <c r="B17" s="5" t="s">
        <v>28</v>
      </c>
      <c r="C17" s="18">
        <v>0</v>
      </c>
      <c r="D17" s="19">
        <v>0</v>
      </c>
      <c r="E17" s="55"/>
      <c r="F17" s="17">
        <v>0</v>
      </c>
      <c r="G17" s="18">
        <v>0</v>
      </c>
      <c r="H17" s="18">
        <v>0</v>
      </c>
      <c r="I17" s="66">
        <v>0</v>
      </c>
      <c r="J17" s="77"/>
      <c r="K17" s="8">
        <f t="shared" si="0"/>
        <v>0</v>
      </c>
    </row>
    <row r="18" spans="1:11">
      <c r="A18" s="1" t="s">
        <v>2</v>
      </c>
      <c r="B18" s="5" t="s">
        <v>29</v>
      </c>
      <c r="C18" s="18">
        <v>0</v>
      </c>
      <c r="D18" s="19">
        <v>0</v>
      </c>
      <c r="E18" s="55"/>
      <c r="F18" s="17">
        <v>0</v>
      </c>
      <c r="G18" s="18">
        <v>0</v>
      </c>
      <c r="H18" s="18">
        <v>0</v>
      </c>
      <c r="I18" s="66">
        <v>0</v>
      </c>
      <c r="J18" s="77"/>
      <c r="K18" s="8">
        <f t="shared" si="0"/>
        <v>0</v>
      </c>
    </row>
    <row r="19" spans="1:11">
      <c r="A19" s="1" t="s">
        <v>2</v>
      </c>
      <c r="B19" s="5" t="s">
        <v>30</v>
      </c>
      <c r="C19" s="18">
        <v>0</v>
      </c>
      <c r="D19" s="19">
        <v>0</v>
      </c>
      <c r="E19" s="55"/>
      <c r="F19" s="17">
        <v>0</v>
      </c>
      <c r="G19" s="18">
        <v>0</v>
      </c>
      <c r="H19" s="18">
        <v>0</v>
      </c>
      <c r="I19" s="66">
        <v>0</v>
      </c>
      <c r="J19" s="77"/>
      <c r="K19" s="8">
        <f t="shared" si="0"/>
        <v>0</v>
      </c>
    </row>
    <row r="20" spans="1:11">
      <c r="A20" s="1" t="s">
        <v>2</v>
      </c>
      <c r="B20" s="5" t="s">
        <v>31</v>
      </c>
      <c r="C20" s="18">
        <v>0</v>
      </c>
      <c r="D20" s="19">
        <v>0</v>
      </c>
      <c r="E20" s="55"/>
      <c r="F20" s="17">
        <v>0</v>
      </c>
      <c r="G20" s="18">
        <v>0</v>
      </c>
      <c r="H20" s="18">
        <v>0</v>
      </c>
      <c r="I20" s="66">
        <v>0</v>
      </c>
      <c r="J20" s="77"/>
      <c r="K20" s="8">
        <f t="shared" si="0"/>
        <v>0</v>
      </c>
    </row>
    <row r="21" spans="1:11">
      <c r="A21" s="1" t="s">
        <v>2</v>
      </c>
      <c r="B21" s="5" t="s">
        <v>32</v>
      </c>
      <c r="C21" s="18">
        <v>0</v>
      </c>
      <c r="D21" s="19">
        <v>0</v>
      </c>
      <c r="E21" s="55"/>
      <c r="F21" s="17">
        <v>0</v>
      </c>
      <c r="G21" s="18">
        <v>0</v>
      </c>
      <c r="H21" s="18">
        <v>0</v>
      </c>
      <c r="I21" s="66">
        <v>0</v>
      </c>
      <c r="J21" s="77"/>
      <c r="K21" s="8">
        <f t="shared" si="0"/>
        <v>0</v>
      </c>
    </row>
    <row r="22" spans="1:11">
      <c r="A22" s="1" t="s">
        <v>2</v>
      </c>
      <c r="B22" s="5" t="s">
        <v>33</v>
      </c>
      <c r="C22" s="18">
        <v>0</v>
      </c>
      <c r="D22" s="19">
        <v>0</v>
      </c>
      <c r="E22" s="55"/>
      <c r="F22" s="17">
        <v>0.29166666666666669</v>
      </c>
      <c r="G22" s="18">
        <v>0.5</v>
      </c>
      <c r="H22" s="18">
        <v>0.41666666666666669</v>
      </c>
      <c r="I22" s="66">
        <v>0.41666666666666669</v>
      </c>
      <c r="J22" s="77">
        <f>SUM(F22:I22)</f>
        <v>1.6250000000000002</v>
      </c>
      <c r="K22" s="8">
        <f t="shared" si="0"/>
        <v>1.6250000000000002</v>
      </c>
    </row>
    <row r="23" spans="1:11" ht="19.5" thickBot="1">
      <c r="A23" s="1" t="s">
        <v>2</v>
      </c>
      <c r="B23" s="6" t="s">
        <v>34</v>
      </c>
      <c r="C23" s="40">
        <v>23</v>
      </c>
      <c r="D23" s="41">
        <v>7</v>
      </c>
      <c r="E23" s="56">
        <f>SUM(C23:D23)</f>
        <v>30</v>
      </c>
      <c r="F23" s="39">
        <v>23</v>
      </c>
      <c r="G23" s="40">
        <v>30</v>
      </c>
      <c r="H23" s="40">
        <v>28</v>
      </c>
      <c r="I23" s="67">
        <v>11</v>
      </c>
      <c r="J23" s="78">
        <f>SUM(F23:I23)</f>
        <v>92</v>
      </c>
      <c r="K23" s="42">
        <f t="shared" si="0"/>
        <v>122</v>
      </c>
    </row>
    <row r="24" spans="1:11">
      <c r="A24" s="1" t="s">
        <v>2</v>
      </c>
      <c r="B24" s="26" t="s">
        <v>35</v>
      </c>
      <c r="C24" s="36">
        <v>355000</v>
      </c>
      <c r="D24" s="37">
        <v>0</v>
      </c>
      <c r="E24" s="37">
        <f>SUM(C24:D24)</f>
        <v>355000</v>
      </c>
      <c r="F24" s="35">
        <v>182000</v>
      </c>
      <c r="G24" s="36">
        <v>192000</v>
      </c>
      <c r="H24" s="36">
        <v>177000</v>
      </c>
      <c r="I24" s="68">
        <v>182000</v>
      </c>
      <c r="J24" s="79">
        <f>SUM(F24:I24)</f>
        <v>733000</v>
      </c>
      <c r="K24" s="38">
        <f>E24+J24</f>
        <v>1088000</v>
      </c>
    </row>
    <row r="25" spans="1:11">
      <c r="A25" s="1" t="s">
        <v>2</v>
      </c>
      <c r="B25" s="5" t="s">
        <v>36</v>
      </c>
      <c r="C25" s="21">
        <v>0</v>
      </c>
      <c r="D25" s="22">
        <v>0</v>
      </c>
      <c r="E25" s="22">
        <f t="shared" ref="E25:E62" si="1">SUM(C25:D25)</f>
        <v>0</v>
      </c>
      <c r="F25" s="20">
        <v>5000</v>
      </c>
      <c r="G25" s="21">
        <v>0</v>
      </c>
      <c r="H25" s="21">
        <v>0</v>
      </c>
      <c r="I25" s="69">
        <v>0</v>
      </c>
      <c r="J25" s="80">
        <f t="shared" ref="J25:J62" si="2">SUM(F25:I25)</f>
        <v>5000</v>
      </c>
      <c r="K25" s="9">
        <f t="shared" ref="K25:K62" si="3">E25+J25</f>
        <v>5000</v>
      </c>
    </row>
    <row r="26" spans="1:11">
      <c r="A26" s="1" t="s">
        <v>2</v>
      </c>
      <c r="B26" s="5" t="s">
        <v>37</v>
      </c>
      <c r="C26" s="21">
        <v>0</v>
      </c>
      <c r="D26" s="22">
        <v>0</v>
      </c>
      <c r="E26" s="22">
        <f t="shared" si="1"/>
        <v>0</v>
      </c>
      <c r="F26" s="20">
        <v>3000</v>
      </c>
      <c r="G26" s="21">
        <v>3000</v>
      </c>
      <c r="H26" s="21">
        <v>0</v>
      </c>
      <c r="I26" s="69">
        <v>0</v>
      </c>
      <c r="J26" s="80">
        <f t="shared" si="2"/>
        <v>6000</v>
      </c>
      <c r="K26" s="9">
        <f t="shared" si="3"/>
        <v>6000</v>
      </c>
    </row>
    <row r="27" spans="1:11">
      <c r="A27" s="1" t="s">
        <v>2</v>
      </c>
      <c r="B27" s="5" t="s">
        <v>38</v>
      </c>
      <c r="C27" s="21">
        <v>50000</v>
      </c>
      <c r="D27" s="22">
        <v>0</v>
      </c>
      <c r="E27" s="22">
        <f t="shared" si="1"/>
        <v>50000</v>
      </c>
      <c r="F27" s="20">
        <v>50000</v>
      </c>
      <c r="G27" s="21">
        <v>50000</v>
      </c>
      <c r="H27" s="21">
        <v>50000</v>
      </c>
      <c r="I27" s="69">
        <v>50000</v>
      </c>
      <c r="J27" s="80">
        <f t="shared" si="2"/>
        <v>200000</v>
      </c>
      <c r="K27" s="9">
        <f t="shared" si="3"/>
        <v>250000</v>
      </c>
    </row>
    <row r="28" spans="1:11">
      <c r="A28" s="1" t="s">
        <v>2</v>
      </c>
      <c r="B28" s="5" t="s">
        <v>39</v>
      </c>
      <c r="C28" s="21">
        <v>0</v>
      </c>
      <c r="D28" s="22">
        <v>68040</v>
      </c>
      <c r="E28" s="22">
        <f t="shared" si="1"/>
        <v>68040</v>
      </c>
      <c r="F28" s="20">
        <v>0</v>
      </c>
      <c r="G28" s="21">
        <v>0</v>
      </c>
      <c r="H28" s="21">
        <v>0</v>
      </c>
      <c r="I28" s="69">
        <v>0</v>
      </c>
      <c r="J28" s="80">
        <f t="shared" si="2"/>
        <v>0</v>
      </c>
      <c r="K28" s="9">
        <f t="shared" si="3"/>
        <v>68040</v>
      </c>
    </row>
    <row r="29" spans="1:11">
      <c r="A29" s="1" t="s">
        <v>2</v>
      </c>
      <c r="B29" s="5" t="s">
        <v>40</v>
      </c>
      <c r="C29" s="21">
        <v>0</v>
      </c>
      <c r="D29" s="22">
        <v>0</v>
      </c>
      <c r="E29" s="22">
        <f t="shared" si="1"/>
        <v>0</v>
      </c>
      <c r="F29" s="20">
        <v>0</v>
      </c>
      <c r="G29" s="21">
        <v>0</v>
      </c>
      <c r="H29" s="21">
        <v>0</v>
      </c>
      <c r="I29" s="69">
        <v>0</v>
      </c>
      <c r="J29" s="80">
        <f t="shared" si="2"/>
        <v>0</v>
      </c>
      <c r="K29" s="9">
        <f t="shared" si="3"/>
        <v>0</v>
      </c>
    </row>
    <row r="30" spans="1:11">
      <c r="A30" s="1" t="s">
        <v>2</v>
      </c>
      <c r="B30" s="5" t="s">
        <v>41</v>
      </c>
      <c r="C30" s="21">
        <v>0</v>
      </c>
      <c r="D30" s="22">
        <v>0</v>
      </c>
      <c r="E30" s="22">
        <f t="shared" si="1"/>
        <v>0</v>
      </c>
      <c r="F30" s="20">
        <v>0</v>
      </c>
      <c r="G30" s="21">
        <v>0</v>
      </c>
      <c r="H30" s="21">
        <v>0</v>
      </c>
      <c r="I30" s="69">
        <v>0</v>
      </c>
      <c r="J30" s="80">
        <f t="shared" si="2"/>
        <v>0</v>
      </c>
      <c r="K30" s="9">
        <f t="shared" si="3"/>
        <v>0</v>
      </c>
    </row>
    <row r="31" spans="1:11">
      <c r="A31" s="1" t="s">
        <v>2</v>
      </c>
      <c r="B31" s="5" t="s">
        <v>42</v>
      </c>
      <c r="C31" s="21">
        <v>0</v>
      </c>
      <c r="D31" s="22">
        <v>0</v>
      </c>
      <c r="E31" s="22">
        <f t="shared" si="1"/>
        <v>0</v>
      </c>
      <c r="F31" s="20">
        <v>1000</v>
      </c>
      <c r="G31" s="21">
        <v>1000</v>
      </c>
      <c r="H31" s="21">
        <v>0</v>
      </c>
      <c r="I31" s="69">
        <v>0</v>
      </c>
      <c r="J31" s="80">
        <f t="shared" si="2"/>
        <v>2000</v>
      </c>
      <c r="K31" s="9">
        <f t="shared" si="3"/>
        <v>2000</v>
      </c>
    </row>
    <row r="32" spans="1:11">
      <c r="A32" s="1" t="s">
        <v>2</v>
      </c>
      <c r="B32" s="5" t="s">
        <v>43</v>
      </c>
      <c r="C32" s="21">
        <v>0</v>
      </c>
      <c r="D32" s="22">
        <v>0</v>
      </c>
      <c r="E32" s="22">
        <f t="shared" si="1"/>
        <v>0</v>
      </c>
      <c r="F32" s="20">
        <v>0</v>
      </c>
      <c r="G32" s="21">
        <v>0</v>
      </c>
      <c r="H32" s="21">
        <v>0</v>
      </c>
      <c r="I32" s="69">
        <v>0</v>
      </c>
      <c r="J32" s="80">
        <f t="shared" si="2"/>
        <v>0</v>
      </c>
      <c r="K32" s="9">
        <f t="shared" si="3"/>
        <v>0</v>
      </c>
    </row>
    <row r="33" spans="1:11">
      <c r="A33" s="1" t="s">
        <v>2</v>
      </c>
      <c r="B33" s="5" t="s">
        <v>44</v>
      </c>
      <c r="C33" s="21">
        <v>0</v>
      </c>
      <c r="D33" s="22">
        <v>0</v>
      </c>
      <c r="E33" s="22">
        <f t="shared" si="1"/>
        <v>0</v>
      </c>
      <c r="F33" s="20">
        <v>0</v>
      </c>
      <c r="G33" s="21">
        <v>0</v>
      </c>
      <c r="H33" s="21">
        <v>0</v>
      </c>
      <c r="I33" s="69">
        <v>0</v>
      </c>
      <c r="J33" s="80">
        <f t="shared" si="2"/>
        <v>0</v>
      </c>
      <c r="K33" s="9">
        <f t="shared" si="3"/>
        <v>0</v>
      </c>
    </row>
    <row r="34" spans="1:11">
      <c r="A34" s="1" t="s">
        <v>2</v>
      </c>
      <c r="B34" s="5" t="s">
        <v>45</v>
      </c>
      <c r="C34" s="21">
        <v>0</v>
      </c>
      <c r="D34" s="22">
        <v>0</v>
      </c>
      <c r="E34" s="22">
        <f t="shared" si="1"/>
        <v>0</v>
      </c>
      <c r="F34" s="20">
        <v>0</v>
      </c>
      <c r="G34" s="21">
        <v>13000</v>
      </c>
      <c r="H34" s="21">
        <v>0</v>
      </c>
      <c r="I34" s="69">
        <v>13000</v>
      </c>
      <c r="J34" s="80">
        <f t="shared" si="2"/>
        <v>26000</v>
      </c>
      <c r="K34" s="9">
        <f t="shared" si="3"/>
        <v>26000</v>
      </c>
    </row>
    <row r="35" spans="1:11">
      <c r="A35" s="1" t="s">
        <v>2</v>
      </c>
      <c r="B35" s="5" t="s">
        <v>46</v>
      </c>
      <c r="C35" s="21">
        <v>0</v>
      </c>
      <c r="D35" s="22">
        <v>0</v>
      </c>
      <c r="E35" s="22">
        <f t="shared" si="1"/>
        <v>0</v>
      </c>
      <c r="F35" s="20">
        <v>0</v>
      </c>
      <c r="G35" s="21">
        <v>0</v>
      </c>
      <c r="H35" s="21">
        <v>0</v>
      </c>
      <c r="I35" s="69">
        <v>0</v>
      </c>
      <c r="J35" s="80">
        <f t="shared" si="2"/>
        <v>0</v>
      </c>
      <c r="K35" s="9">
        <f t="shared" si="3"/>
        <v>0</v>
      </c>
    </row>
    <row r="36" spans="1:11">
      <c r="A36" s="1" t="s">
        <v>2</v>
      </c>
      <c r="B36" s="5" t="s">
        <v>47</v>
      </c>
      <c r="C36" s="21">
        <v>0</v>
      </c>
      <c r="D36" s="22">
        <v>0</v>
      </c>
      <c r="E36" s="22">
        <f t="shared" si="1"/>
        <v>0</v>
      </c>
      <c r="F36" s="85">
        <v>0</v>
      </c>
      <c r="G36" s="86">
        <v>-12392</v>
      </c>
      <c r="H36" s="86">
        <v>-10861</v>
      </c>
      <c r="I36" s="87">
        <v>-11722</v>
      </c>
      <c r="J36" s="88">
        <f t="shared" si="2"/>
        <v>-34975</v>
      </c>
      <c r="K36" s="89">
        <f t="shared" si="3"/>
        <v>-34975</v>
      </c>
    </row>
    <row r="37" spans="1:11">
      <c r="A37" s="1" t="s">
        <v>2</v>
      </c>
      <c r="B37" s="5" t="s">
        <v>26</v>
      </c>
      <c r="C37" s="21">
        <v>0</v>
      </c>
      <c r="D37" s="22">
        <v>0</v>
      </c>
      <c r="E37" s="22">
        <f t="shared" si="1"/>
        <v>0</v>
      </c>
      <c r="F37" s="20">
        <v>93808</v>
      </c>
      <c r="G37" s="21">
        <v>110523</v>
      </c>
      <c r="H37" s="21">
        <v>93445</v>
      </c>
      <c r="I37" s="69">
        <v>82530</v>
      </c>
      <c r="J37" s="80">
        <f t="shared" si="2"/>
        <v>380306</v>
      </c>
      <c r="K37" s="9">
        <f t="shared" si="3"/>
        <v>380306</v>
      </c>
    </row>
    <row r="38" spans="1:11">
      <c r="A38" s="1" t="s">
        <v>2</v>
      </c>
      <c r="B38" s="5" t="s">
        <v>48</v>
      </c>
      <c r="C38" s="21">
        <v>0</v>
      </c>
      <c r="D38" s="22">
        <v>0</v>
      </c>
      <c r="E38" s="22">
        <f t="shared" si="1"/>
        <v>0</v>
      </c>
      <c r="F38" s="20">
        <v>0</v>
      </c>
      <c r="G38" s="21">
        <v>10470</v>
      </c>
      <c r="H38" s="21">
        <v>14680</v>
      </c>
      <c r="I38" s="69">
        <v>0</v>
      </c>
      <c r="J38" s="80">
        <f t="shared" si="2"/>
        <v>25150</v>
      </c>
      <c r="K38" s="9">
        <f t="shared" si="3"/>
        <v>25150</v>
      </c>
    </row>
    <row r="39" spans="1:11">
      <c r="A39" s="1" t="s">
        <v>2</v>
      </c>
      <c r="B39" s="5" t="s">
        <v>49</v>
      </c>
      <c r="C39" s="21">
        <v>0</v>
      </c>
      <c r="D39" s="22">
        <v>0</v>
      </c>
      <c r="E39" s="22">
        <f t="shared" si="1"/>
        <v>0</v>
      </c>
      <c r="F39" s="20">
        <v>0</v>
      </c>
      <c r="G39" s="21">
        <v>0</v>
      </c>
      <c r="H39" s="21">
        <v>0</v>
      </c>
      <c r="I39" s="69">
        <v>0</v>
      </c>
      <c r="J39" s="80">
        <f t="shared" si="2"/>
        <v>0</v>
      </c>
      <c r="K39" s="9">
        <f t="shared" si="3"/>
        <v>0</v>
      </c>
    </row>
    <row r="40" spans="1:11">
      <c r="A40" s="1" t="s">
        <v>2</v>
      </c>
      <c r="B40" s="5" t="s">
        <v>50</v>
      </c>
      <c r="C40" s="21">
        <v>0</v>
      </c>
      <c r="D40" s="22">
        <v>0</v>
      </c>
      <c r="E40" s="22">
        <f t="shared" si="1"/>
        <v>0</v>
      </c>
      <c r="F40" s="20">
        <v>0</v>
      </c>
      <c r="G40" s="21">
        <v>0</v>
      </c>
      <c r="H40" s="21">
        <v>0</v>
      </c>
      <c r="I40" s="69">
        <v>0</v>
      </c>
      <c r="J40" s="80">
        <f t="shared" si="2"/>
        <v>0</v>
      </c>
      <c r="K40" s="9">
        <f t="shared" si="3"/>
        <v>0</v>
      </c>
    </row>
    <row r="41" spans="1:11">
      <c r="A41" s="1" t="s">
        <v>2</v>
      </c>
      <c r="B41" s="5" t="s">
        <v>51</v>
      </c>
      <c r="C41" s="21">
        <v>0</v>
      </c>
      <c r="D41" s="22">
        <v>0</v>
      </c>
      <c r="E41" s="22">
        <f t="shared" si="1"/>
        <v>0</v>
      </c>
      <c r="F41" s="20">
        <v>0</v>
      </c>
      <c r="G41" s="21">
        <v>0</v>
      </c>
      <c r="H41" s="21">
        <v>0</v>
      </c>
      <c r="I41" s="69">
        <v>0</v>
      </c>
      <c r="J41" s="80">
        <f t="shared" si="2"/>
        <v>0</v>
      </c>
      <c r="K41" s="9">
        <f t="shared" si="3"/>
        <v>0</v>
      </c>
    </row>
    <row r="42" spans="1:11">
      <c r="A42" s="1" t="s">
        <v>2</v>
      </c>
      <c r="B42" s="5" t="s">
        <v>52</v>
      </c>
      <c r="C42" s="21">
        <v>0</v>
      </c>
      <c r="D42" s="22">
        <v>0</v>
      </c>
      <c r="E42" s="22">
        <f t="shared" si="1"/>
        <v>0</v>
      </c>
      <c r="F42" s="20">
        <v>0</v>
      </c>
      <c r="G42" s="21">
        <v>12392</v>
      </c>
      <c r="H42" s="21">
        <v>10861</v>
      </c>
      <c r="I42" s="69">
        <v>11722</v>
      </c>
      <c r="J42" s="80">
        <f t="shared" si="2"/>
        <v>34975</v>
      </c>
      <c r="K42" s="9">
        <f t="shared" si="3"/>
        <v>34975</v>
      </c>
    </row>
    <row r="43" spans="1:11">
      <c r="A43" s="1" t="s">
        <v>2</v>
      </c>
      <c r="B43" s="5" t="s">
        <v>31</v>
      </c>
      <c r="C43" s="21">
        <v>0</v>
      </c>
      <c r="D43" s="22">
        <v>0</v>
      </c>
      <c r="E43" s="22">
        <f t="shared" si="1"/>
        <v>0</v>
      </c>
      <c r="F43" s="20">
        <v>0</v>
      </c>
      <c r="G43" s="21">
        <v>0</v>
      </c>
      <c r="H43" s="21">
        <v>0</v>
      </c>
      <c r="I43" s="69">
        <v>0</v>
      </c>
      <c r="J43" s="80">
        <f t="shared" si="2"/>
        <v>0</v>
      </c>
      <c r="K43" s="9">
        <f t="shared" si="3"/>
        <v>0</v>
      </c>
    </row>
    <row r="44" spans="1:11" ht="19.5" thickBot="1">
      <c r="A44" s="1" t="s">
        <v>2</v>
      </c>
      <c r="B44" s="43" t="s">
        <v>33</v>
      </c>
      <c r="C44" s="45">
        <v>0</v>
      </c>
      <c r="D44" s="46">
        <v>0</v>
      </c>
      <c r="E44" s="46">
        <f t="shared" si="1"/>
        <v>0</v>
      </c>
      <c r="F44" s="44">
        <v>2527</v>
      </c>
      <c r="G44" s="45">
        <v>4656</v>
      </c>
      <c r="H44" s="45">
        <v>3400</v>
      </c>
      <c r="I44" s="70">
        <v>3670</v>
      </c>
      <c r="J44" s="81">
        <f t="shared" si="2"/>
        <v>14253</v>
      </c>
      <c r="K44" s="47">
        <f t="shared" si="3"/>
        <v>14253</v>
      </c>
    </row>
    <row r="45" spans="1:11" ht="19.5" thickBot="1">
      <c r="A45" s="1" t="s">
        <v>2</v>
      </c>
      <c r="B45" s="48" t="s">
        <v>53</v>
      </c>
      <c r="C45" s="50">
        <v>405000</v>
      </c>
      <c r="D45" s="51">
        <v>68040</v>
      </c>
      <c r="E45" s="51">
        <f t="shared" si="1"/>
        <v>473040</v>
      </c>
      <c r="F45" s="49">
        <v>337335</v>
      </c>
      <c r="G45" s="50">
        <v>384649</v>
      </c>
      <c r="H45" s="50">
        <v>338525</v>
      </c>
      <c r="I45" s="71">
        <v>331200</v>
      </c>
      <c r="J45" s="82">
        <f t="shared" si="2"/>
        <v>1391709</v>
      </c>
      <c r="K45" s="52">
        <f t="shared" si="3"/>
        <v>1864749</v>
      </c>
    </row>
    <row r="46" spans="1:11" ht="19.5" thickBot="1">
      <c r="A46" s="1" t="s">
        <v>2</v>
      </c>
      <c r="B46" s="26" t="s">
        <v>54</v>
      </c>
      <c r="C46" s="36">
        <v>8120</v>
      </c>
      <c r="D46" s="37">
        <v>0</v>
      </c>
      <c r="E46" s="37">
        <f t="shared" si="1"/>
        <v>8120</v>
      </c>
      <c r="F46" s="35">
        <v>5653</v>
      </c>
      <c r="G46" s="36">
        <v>1418</v>
      </c>
      <c r="H46" s="36">
        <v>14690</v>
      </c>
      <c r="I46" s="68">
        <v>0</v>
      </c>
      <c r="J46" s="79">
        <f t="shared" si="2"/>
        <v>21761</v>
      </c>
      <c r="K46" s="38">
        <f t="shared" si="3"/>
        <v>29881</v>
      </c>
    </row>
    <row r="47" spans="1:11" ht="19.5" thickBot="1">
      <c r="A47" s="1" t="s">
        <v>2</v>
      </c>
      <c r="B47" s="48" t="s">
        <v>55</v>
      </c>
      <c r="C47" s="50">
        <v>8120</v>
      </c>
      <c r="D47" s="51">
        <v>0</v>
      </c>
      <c r="E47" s="51">
        <f t="shared" si="1"/>
        <v>8120</v>
      </c>
      <c r="F47" s="49">
        <v>5653</v>
      </c>
      <c r="G47" s="50">
        <v>1418</v>
      </c>
      <c r="H47" s="50">
        <v>14690</v>
      </c>
      <c r="I47" s="71">
        <v>0</v>
      </c>
      <c r="J47" s="82">
        <f t="shared" si="2"/>
        <v>21761</v>
      </c>
      <c r="K47" s="52">
        <f t="shared" si="3"/>
        <v>29881</v>
      </c>
    </row>
    <row r="48" spans="1:11" ht="19.5" thickBot="1">
      <c r="A48" s="1" t="s">
        <v>2</v>
      </c>
      <c r="B48" s="48" t="s">
        <v>56</v>
      </c>
      <c r="C48" s="50">
        <v>413120</v>
      </c>
      <c r="D48" s="51">
        <v>68040</v>
      </c>
      <c r="E48" s="51">
        <f t="shared" si="1"/>
        <v>481160</v>
      </c>
      <c r="F48" s="49">
        <v>342988</v>
      </c>
      <c r="G48" s="50">
        <v>386067</v>
      </c>
      <c r="H48" s="50">
        <v>353215</v>
      </c>
      <c r="I48" s="71">
        <v>331200</v>
      </c>
      <c r="J48" s="82">
        <f t="shared" si="2"/>
        <v>1413470</v>
      </c>
      <c r="K48" s="52">
        <f t="shared" si="3"/>
        <v>1894630</v>
      </c>
    </row>
    <row r="49" spans="1:11">
      <c r="A49" s="1" t="s">
        <v>2</v>
      </c>
      <c r="B49" s="26" t="s">
        <v>57</v>
      </c>
      <c r="C49" s="36">
        <v>20910</v>
      </c>
      <c r="D49" s="37">
        <v>0</v>
      </c>
      <c r="E49" s="37">
        <f t="shared" si="1"/>
        <v>20910</v>
      </c>
      <c r="F49" s="35">
        <v>17340</v>
      </c>
      <c r="G49" s="36">
        <v>19380</v>
      </c>
      <c r="H49" s="36">
        <v>18360</v>
      </c>
      <c r="I49" s="68">
        <v>18360</v>
      </c>
      <c r="J49" s="79">
        <f t="shared" si="2"/>
        <v>73440</v>
      </c>
      <c r="K49" s="38">
        <f t="shared" si="3"/>
        <v>94350</v>
      </c>
    </row>
    <row r="50" spans="1:11">
      <c r="A50" s="1" t="s">
        <v>2</v>
      </c>
      <c r="B50" s="5" t="s">
        <v>58</v>
      </c>
      <c r="C50" s="21">
        <v>3690</v>
      </c>
      <c r="D50" s="22">
        <v>0</v>
      </c>
      <c r="E50" s="22">
        <f t="shared" si="1"/>
        <v>3690</v>
      </c>
      <c r="F50" s="20">
        <v>3060</v>
      </c>
      <c r="G50" s="21">
        <v>3420</v>
      </c>
      <c r="H50" s="21">
        <v>3240</v>
      </c>
      <c r="I50" s="69">
        <v>3240</v>
      </c>
      <c r="J50" s="80">
        <f t="shared" si="2"/>
        <v>12960</v>
      </c>
      <c r="K50" s="9">
        <f t="shared" si="3"/>
        <v>16650</v>
      </c>
    </row>
    <row r="51" spans="1:11">
      <c r="A51" s="1" t="s">
        <v>2</v>
      </c>
      <c r="B51" s="5" t="s">
        <v>59</v>
      </c>
      <c r="C51" s="21">
        <v>37515</v>
      </c>
      <c r="D51" s="22">
        <v>0</v>
      </c>
      <c r="E51" s="22">
        <f t="shared" si="1"/>
        <v>37515</v>
      </c>
      <c r="F51" s="20">
        <v>31110</v>
      </c>
      <c r="G51" s="21">
        <v>34770</v>
      </c>
      <c r="H51" s="21">
        <v>32940</v>
      </c>
      <c r="I51" s="69">
        <v>32940</v>
      </c>
      <c r="J51" s="80">
        <f t="shared" si="2"/>
        <v>131760</v>
      </c>
      <c r="K51" s="9">
        <f t="shared" si="3"/>
        <v>169275</v>
      </c>
    </row>
    <row r="52" spans="1:11">
      <c r="A52" s="1" t="s">
        <v>2</v>
      </c>
      <c r="B52" s="5" t="s">
        <v>60</v>
      </c>
      <c r="C52" s="21">
        <v>1239</v>
      </c>
      <c r="D52" s="22">
        <v>0</v>
      </c>
      <c r="E52" s="22">
        <f t="shared" si="1"/>
        <v>1239</v>
      </c>
      <c r="F52" s="20">
        <v>1029</v>
      </c>
      <c r="G52" s="21">
        <v>1158</v>
      </c>
      <c r="H52" s="21">
        <v>1060</v>
      </c>
      <c r="I52" s="69">
        <v>994</v>
      </c>
      <c r="J52" s="80">
        <f t="shared" si="2"/>
        <v>4241</v>
      </c>
      <c r="K52" s="9">
        <f t="shared" si="3"/>
        <v>5480</v>
      </c>
    </row>
    <row r="53" spans="1:11" ht="19.5" thickBot="1">
      <c r="A53" s="1" t="s">
        <v>2</v>
      </c>
      <c r="B53" s="43" t="s">
        <v>61</v>
      </c>
      <c r="C53" s="45">
        <v>0</v>
      </c>
      <c r="D53" s="46">
        <v>0</v>
      </c>
      <c r="E53" s="46">
        <f t="shared" si="1"/>
        <v>0</v>
      </c>
      <c r="F53" s="44">
        <v>0</v>
      </c>
      <c r="G53" s="45">
        <v>0</v>
      </c>
      <c r="H53" s="45">
        <v>0</v>
      </c>
      <c r="I53" s="70">
        <v>0</v>
      </c>
      <c r="J53" s="81">
        <f t="shared" si="2"/>
        <v>0</v>
      </c>
      <c r="K53" s="47">
        <f t="shared" si="3"/>
        <v>0</v>
      </c>
    </row>
    <row r="54" spans="1:11" ht="19.5" thickBot="1">
      <c r="A54" s="1" t="s">
        <v>2</v>
      </c>
      <c r="B54" s="48" t="s">
        <v>62</v>
      </c>
      <c r="C54" s="50">
        <v>63354</v>
      </c>
      <c r="D54" s="51">
        <v>0</v>
      </c>
      <c r="E54" s="51">
        <f t="shared" si="1"/>
        <v>63354</v>
      </c>
      <c r="F54" s="49">
        <v>52539</v>
      </c>
      <c r="G54" s="50">
        <v>58728</v>
      </c>
      <c r="H54" s="50">
        <v>55600</v>
      </c>
      <c r="I54" s="71">
        <v>55534</v>
      </c>
      <c r="J54" s="82">
        <f t="shared" si="2"/>
        <v>222401</v>
      </c>
      <c r="K54" s="52">
        <f t="shared" si="3"/>
        <v>285755</v>
      </c>
    </row>
    <row r="55" spans="1:11">
      <c r="A55" s="1" t="s">
        <v>2</v>
      </c>
      <c r="B55" s="26" t="s">
        <v>63</v>
      </c>
      <c r="C55" s="36">
        <v>8550</v>
      </c>
      <c r="D55" s="37">
        <v>0</v>
      </c>
      <c r="E55" s="37">
        <f t="shared" si="1"/>
        <v>8550</v>
      </c>
      <c r="F55" s="35">
        <v>7790</v>
      </c>
      <c r="G55" s="36">
        <v>10500</v>
      </c>
      <c r="H55" s="36">
        <v>7730</v>
      </c>
      <c r="I55" s="68">
        <v>4240</v>
      </c>
      <c r="J55" s="79">
        <f t="shared" si="2"/>
        <v>30260</v>
      </c>
      <c r="K55" s="38">
        <f t="shared" si="3"/>
        <v>38810</v>
      </c>
    </row>
    <row r="56" spans="1:11">
      <c r="A56" s="1" t="s">
        <v>2</v>
      </c>
      <c r="B56" s="5" t="s">
        <v>64</v>
      </c>
      <c r="C56" s="21">
        <v>16300</v>
      </c>
      <c r="D56" s="22">
        <v>0</v>
      </c>
      <c r="E56" s="22">
        <f t="shared" si="1"/>
        <v>16300</v>
      </c>
      <c r="F56" s="20">
        <v>14800</v>
      </c>
      <c r="G56" s="21">
        <v>17000</v>
      </c>
      <c r="H56" s="21">
        <v>12100</v>
      </c>
      <c r="I56" s="69">
        <v>5000</v>
      </c>
      <c r="J56" s="80">
        <f t="shared" si="2"/>
        <v>48900</v>
      </c>
      <c r="K56" s="9">
        <f t="shared" si="3"/>
        <v>65200</v>
      </c>
    </row>
    <row r="57" spans="1:11" ht="19.5" thickBot="1">
      <c r="A57" s="1" t="s">
        <v>2</v>
      </c>
      <c r="B57" s="5" t="s">
        <v>65</v>
      </c>
      <c r="C57" s="21">
        <v>0</v>
      </c>
      <c r="D57" s="22">
        <v>0</v>
      </c>
      <c r="E57" s="22">
        <f t="shared" si="1"/>
        <v>0</v>
      </c>
      <c r="F57" s="20">
        <v>0</v>
      </c>
      <c r="G57" s="21">
        <v>0</v>
      </c>
      <c r="H57" s="21">
        <v>0</v>
      </c>
      <c r="I57" s="69">
        <v>0</v>
      </c>
      <c r="J57" s="80">
        <f t="shared" si="2"/>
        <v>0</v>
      </c>
      <c r="K57" s="9">
        <f t="shared" si="3"/>
        <v>0</v>
      </c>
    </row>
    <row r="58" spans="1:11" ht="19.5" thickBot="1">
      <c r="A58" s="1" t="s">
        <v>2</v>
      </c>
      <c r="B58" s="48" t="s">
        <v>66</v>
      </c>
      <c r="C58" s="50">
        <v>88204</v>
      </c>
      <c r="D58" s="51">
        <v>0</v>
      </c>
      <c r="E58" s="51">
        <f t="shared" si="1"/>
        <v>88204</v>
      </c>
      <c r="F58" s="49">
        <v>75129</v>
      </c>
      <c r="G58" s="50">
        <v>86228</v>
      </c>
      <c r="H58" s="50">
        <v>75430</v>
      </c>
      <c r="I58" s="71">
        <v>64774</v>
      </c>
      <c r="J58" s="82">
        <f t="shared" si="2"/>
        <v>301561</v>
      </c>
      <c r="K58" s="52">
        <f t="shared" si="3"/>
        <v>389765</v>
      </c>
    </row>
    <row r="59" spans="1:11" ht="19.5" thickBot="1">
      <c r="A59" s="1" t="s">
        <v>2</v>
      </c>
      <c r="B59" s="48" t="s">
        <v>67</v>
      </c>
      <c r="C59" s="50">
        <v>341646</v>
      </c>
      <c r="D59" s="51">
        <v>68040</v>
      </c>
      <c r="E59" s="51">
        <f t="shared" si="1"/>
        <v>409686</v>
      </c>
      <c r="F59" s="49">
        <v>284796</v>
      </c>
      <c r="G59" s="50">
        <v>325921</v>
      </c>
      <c r="H59" s="50">
        <v>282925</v>
      </c>
      <c r="I59" s="71">
        <v>275666</v>
      </c>
      <c r="J59" s="82">
        <f t="shared" si="2"/>
        <v>1169308</v>
      </c>
      <c r="K59" s="52">
        <f t="shared" si="3"/>
        <v>1578994</v>
      </c>
    </row>
    <row r="60" spans="1:11" ht="19.5" thickBot="1">
      <c r="A60" s="1" t="s">
        <v>2</v>
      </c>
      <c r="B60" s="48" t="s">
        <v>68</v>
      </c>
      <c r="C60" s="50">
        <v>324916</v>
      </c>
      <c r="D60" s="51">
        <v>68040</v>
      </c>
      <c r="E60" s="51">
        <f t="shared" si="1"/>
        <v>392956</v>
      </c>
      <c r="F60" s="49">
        <v>267859</v>
      </c>
      <c r="G60" s="50">
        <v>299839</v>
      </c>
      <c r="H60" s="50">
        <v>277785</v>
      </c>
      <c r="I60" s="71">
        <v>266426</v>
      </c>
      <c r="J60" s="82">
        <f t="shared" si="2"/>
        <v>1111909</v>
      </c>
      <c r="K60" s="52">
        <f t="shared" si="3"/>
        <v>1504865</v>
      </c>
    </row>
    <row r="61" spans="1:11">
      <c r="A61" s="1" t="s">
        <v>2</v>
      </c>
      <c r="B61" s="26" t="s">
        <v>69</v>
      </c>
      <c r="C61" s="36">
        <v>0</v>
      </c>
      <c r="D61" s="37">
        <v>0</v>
      </c>
      <c r="E61" s="37">
        <f t="shared" si="1"/>
        <v>0</v>
      </c>
      <c r="F61" s="35">
        <v>0</v>
      </c>
      <c r="G61" s="36">
        <v>0</v>
      </c>
      <c r="H61" s="36">
        <v>0</v>
      </c>
      <c r="I61" s="68">
        <v>0</v>
      </c>
      <c r="J61" s="79">
        <f t="shared" si="2"/>
        <v>0</v>
      </c>
      <c r="K61" s="38">
        <f t="shared" si="3"/>
        <v>0</v>
      </c>
    </row>
    <row r="62" spans="1:11">
      <c r="A62" s="1" t="s">
        <v>2</v>
      </c>
      <c r="B62" s="5" t="s">
        <v>70</v>
      </c>
      <c r="C62" s="21">
        <v>324916</v>
      </c>
      <c r="D62" s="22">
        <v>68040</v>
      </c>
      <c r="E62" s="22">
        <f t="shared" si="1"/>
        <v>392956</v>
      </c>
      <c r="F62" s="20">
        <v>267859</v>
      </c>
      <c r="G62" s="21">
        <v>299839</v>
      </c>
      <c r="H62" s="21">
        <v>277785</v>
      </c>
      <c r="I62" s="69">
        <v>266426</v>
      </c>
      <c r="J62" s="80">
        <f t="shared" si="2"/>
        <v>1111909</v>
      </c>
      <c r="K62" s="9">
        <f t="shared" si="3"/>
        <v>1504865</v>
      </c>
    </row>
    <row r="63" spans="1:11">
      <c r="A63" s="1" t="s">
        <v>2</v>
      </c>
      <c r="B63" s="5" t="s">
        <v>71</v>
      </c>
      <c r="C63" s="21">
        <v>1</v>
      </c>
      <c r="D63" s="22">
        <v>0</v>
      </c>
      <c r="E63" s="57"/>
      <c r="F63" s="20">
        <v>0</v>
      </c>
      <c r="G63" s="21">
        <v>0</v>
      </c>
      <c r="H63" s="21">
        <v>0</v>
      </c>
      <c r="I63" s="69">
        <v>2</v>
      </c>
      <c r="J63" s="80"/>
      <c r="K63" s="9"/>
    </row>
    <row r="64" spans="1:11" ht="19.5" thickBot="1">
      <c r="A64" s="1" t="s">
        <v>2</v>
      </c>
      <c r="B64" s="6" t="s">
        <v>72</v>
      </c>
      <c r="C64" s="24" t="s">
        <v>73</v>
      </c>
      <c r="D64" s="25" t="s">
        <v>73</v>
      </c>
      <c r="E64" s="58"/>
      <c r="F64" s="23" t="s">
        <v>73</v>
      </c>
      <c r="G64" s="24" t="s">
        <v>73</v>
      </c>
      <c r="H64" s="24" t="s">
        <v>73</v>
      </c>
      <c r="I64" s="72" t="s">
        <v>73</v>
      </c>
      <c r="J64" s="83"/>
      <c r="K64" s="10"/>
    </row>
  </sheetData>
  <phoneticPr fontId="4"/>
  <pageMargins left="0.70866141732283472" right="0.70866141732283472" top="0.15748031496062992" bottom="0.15748031496062992" header="0" footer="0"/>
  <pageSetup paperSize="9" scale="4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2021年10月度給与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2021-10-12T05:26:31Z</cp:lastPrinted>
  <dcterms:created xsi:type="dcterms:W3CDTF">2021-10-06T06:53:40Z</dcterms:created>
  <dcterms:modified xsi:type="dcterms:W3CDTF">2021-10-12T06:24:12Z</dcterms:modified>
</cp:coreProperties>
</file>