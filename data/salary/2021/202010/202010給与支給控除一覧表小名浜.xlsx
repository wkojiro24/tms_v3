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010\"/>
    </mc:Choice>
  </mc:AlternateContent>
  <xr:revisionPtr revIDLastSave="0" documentId="13_ncr:1_{36AAB9AF-D943-4B08-8980-21806117510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頁 (3)" sheetId="3" r:id="rId1"/>
    <sheet name="1頁 (4)" sheetId="4" r:id="rId2"/>
  </sheets>
  <definedNames>
    <definedName name="_xlnm.Print_Area" localSheetId="0">'1頁 (3)'!$A$1:$N$75</definedName>
    <definedName name="_xlnm.Print_Area" localSheetId="1">'1頁 (4)'!$A$1:$S$75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72" i="4" l="1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17" i="4"/>
  <c r="S16" i="4"/>
  <c r="S15" i="4"/>
  <c r="S14" i="4"/>
  <c r="S10" i="4"/>
  <c r="S9" i="4"/>
  <c r="S8" i="4"/>
  <c r="S7" i="4"/>
  <c r="S6" i="4"/>
  <c r="K73" i="3"/>
  <c r="M72" i="3"/>
  <c r="K72" i="3"/>
  <c r="M71" i="3"/>
  <c r="K71" i="3"/>
  <c r="M70" i="3"/>
  <c r="K70" i="3"/>
  <c r="M69" i="3"/>
  <c r="K69" i="3"/>
  <c r="M68" i="3"/>
  <c r="K68" i="3"/>
  <c r="M67" i="3"/>
  <c r="K67" i="3"/>
  <c r="M66" i="3"/>
  <c r="K66" i="3"/>
  <c r="M65" i="3"/>
  <c r="K65" i="3"/>
  <c r="M64" i="3"/>
  <c r="K64" i="3"/>
  <c r="M63" i="3"/>
  <c r="K63" i="3"/>
  <c r="M62" i="3"/>
  <c r="K62" i="3"/>
  <c r="M61" i="3"/>
  <c r="K61" i="3"/>
  <c r="M60" i="3"/>
  <c r="K60" i="3"/>
  <c r="M59" i="3"/>
  <c r="K59" i="3"/>
  <c r="M58" i="3"/>
  <c r="K58" i="3"/>
  <c r="M57" i="3"/>
  <c r="K57" i="3"/>
  <c r="M56" i="3"/>
  <c r="K56" i="3"/>
  <c r="M55" i="3"/>
  <c r="K55" i="3"/>
  <c r="M54" i="3"/>
  <c r="K54" i="3"/>
  <c r="M53" i="3"/>
  <c r="K53" i="3"/>
  <c r="M52" i="3"/>
  <c r="K52" i="3"/>
  <c r="M51" i="3"/>
  <c r="K51" i="3"/>
  <c r="M50" i="3"/>
  <c r="K50" i="3"/>
  <c r="M49" i="3"/>
  <c r="K49" i="3"/>
  <c r="M48" i="3"/>
  <c r="M47" i="3"/>
  <c r="M46" i="3"/>
  <c r="M45" i="3"/>
  <c r="M44" i="3"/>
  <c r="K44" i="3"/>
  <c r="M43" i="3"/>
  <c r="K43" i="3"/>
  <c r="M42" i="3"/>
  <c r="M41" i="3"/>
  <c r="M40" i="3"/>
  <c r="M39" i="3"/>
  <c r="M38" i="3"/>
  <c r="M37" i="3"/>
  <c r="M36" i="3"/>
  <c r="M35" i="3"/>
  <c r="M34" i="3"/>
  <c r="K34" i="3"/>
  <c r="M33" i="3"/>
  <c r="M32" i="3"/>
  <c r="M31" i="3"/>
  <c r="K31" i="3"/>
  <c r="M30" i="3"/>
  <c r="M29" i="3"/>
  <c r="M28" i="3"/>
  <c r="M27" i="3"/>
  <c r="M26" i="3"/>
  <c r="M25" i="3"/>
  <c r="K25" i="3"/>
  <c r="M24" i="3"/>
  <c r="M23" i="3"/>
  <c r="K23" i="3"/>
  <c r="K22" i="3"/>
  <c r="K21" i="3"/>
  <c r="K15" i="3"/>
  <c r="K14" i="3"/>
  <c r="K13" i="3"/>
  <c r="M10" i="3"/>
  <c r="K10" i="3"/>
  <c r="K7" i="3"/>
  <c r="M6" i="3"/>
  <c r="K6" i="3"/>
</calcChain>
</file>

<file path=xl/sharedStrings.xml><?xml version="1.0" encoding="utf-8"?>
<sst xmlns="http://schemas.openxmlformats.org/spreadsheetml/2006/main" count="240" uniqueCount="108">
  <si>
    <t>所　属</t>
  </si>
  <si>
    <t>社　員</t>
  </si>
  <si>
    <t>２０20年10月分</t>
  </si>
  <si>
    <t>若林運送株式会社</t>
  </si>
  <si>
    <t>小名浜営業所</t>
  </si>
  <si>
    <t>渡邊　浩司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</si>
  <si>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</si>
  <si>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</si>
  <si>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</si>
  <si>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</si>
  <si>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</si>
  <si>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</si>
  <si>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</si>
  <si>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</si>
  <si>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</si>
  <si>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</si>
  <si>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</si>
  <si>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</si>
  <si>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</si>
  <si>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</si>
  <si>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</si>
  <si>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</si>
  <si>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</si>
  <si>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松本　誠治</t>
  </si>
  <si>
    <t>小名浜営業所/ドライバー</t>
  </si>
  <si>
    <t>小林　啓一</t>
  </si>
  <si>
    <t>鈴木　富雄</t>
  </si>
  <si>
    <t>雲藤　順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</si>
  <si>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</si>
  <si>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</si>
  <si>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</si>
  <si>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</si>
  <si>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</si>
  <si>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</si>
  <si>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</si>
  <si>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</si>
  <si>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</si>
  <si>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</si>
  <si>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</si>
  <si>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</si>
  <si>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</si>
  <si>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</si>
  <si>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</si>
  <si>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</si>
  <si>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</si>
  <si>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</si>
  <si>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</si>
  <si>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</si>
  <si>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</si>
  <si>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</si>
  <si>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</si>
  <si>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</si>
  <si>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</si>
  <si>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</si>
  <si>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</si>
  <si>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</si>
  <si>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</si>
  <si>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</si>
  <si>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</si>
  <si>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</si>
  <si>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</si>
  <si>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</si>
  <si>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</si>
  <si>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</si>
  <si>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</si>
  <si>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</si>
  <si>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</si>
  <si>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</si>
  <si>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</si>
  <si>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</si>
  <si>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</si>
  <si>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</si>
  <si>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</si>
  <si>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</si>
  <si>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</si>
  <si>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</si>
  <si>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</si>
  <si>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鈴木　浩明</t>
  </si>
  <si>
    <t>青田　正一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</si>
  <si>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</si>
  <si>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</si>
  <si>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</si>
  <si>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</si>
  <si>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</si>
  <si>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</si>
  <si>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</si>
  <si>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</si>
  <si>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</si>
  <si>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</si>
  <si>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小名浜営業所/事務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</si>
  <si>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</si>
  <si>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</si>
  <si>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</si>
  <si>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</si>
  <si>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</si>
  <si>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</si>
  <si>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</si>
  <si>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</si>
  <si>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</si>
  <si>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</si>
  <si>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小名浜営業所/整備</t>
  </si>
  <si>
    <t>下山田　英治</t>
  </si>
  <si>
    <t>全社計</t>
  </si>
  <si>
    <t>27名</t>
  </si>
  <si>
    <t>小計</t>
    <rPh sb="0" eb="2">
      <t>ショウケイ</t>
    </rPh>
    <phoneticPr fontId="1"/>
  </si>
  <si>
    <t>９名</t>
    <rPh sb="1" eb="2">
      <t>メイ</t>
    </rPh>
    <phoneticPr fontId="1"/>
  </si>
  <si>
    <t>1名</t>
    <rPh sb="1" eb="2">
      <t>メイ</t>
    </rPh>
    <phoneticPr fontId="1"/>
  </si>
  <si>
    <t>１7名</t>
    <rPh sb="2" eb="3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</si>
</sst>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9" fontId="2" fillId="0" borderId="21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6" xfId="0" applyFont="1" applyFill="1" applyBorder="1" applyAlignment="1">
      <alignment horizontal="right" vertical="center"/>
    </xf>
    <xf numFmtId="176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9" fontId="2" fillId="0" borderId="38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44F0-59BA-46F7-9D32-64F5FFE1B8AF}">
  <sheetPr>
    <pageSetUpPr fitToPage="1"/>
  </sheetPr>
  <dimension ref="A1:AN75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70" sqref="E70"/>
    </sheetView>
  </sheetViews>
  <sheetFormatPr defaultColWidth="9" defaultRowHeight="13.5" x14ac:dyDescent="0.15"/>
  <cols>
    <col min="1" max="1" width="17.625" style="2" customWidth="1"/>
    <col min="2" max="14" width="11.875" style="2" customWidth="1"/>
    <col min="15" max="21" width="10.5" style="2" customWidth="1"/>
    <col min="22" max="16384" width="9" style="2"/>
  </cols>
  <sheetData>
    <row r="1" spans="1:40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8" t="s">
        <v>0</v>
      </c>
      <c r="B3" s="35" t="s">
        <v>89</v>
      </c>
      <c r="C3" s="19" t="s">
        <v>100</v>
      </c>
      <c r="D3" s="19" t="s">
        <v>89</v>
      </c>
      <c r="E3" s="35" t="s">
        <v>89</v>
      </c>
      <c r="F3" s="19" t="s">
        <v>89</v>
      </c>
      <c r="G3" s="19" t="s">
        <v>89</v>
      </c>
      <c r="H3" s="19" t="s">
        <v>89</v>
      </c>
      <c r="I3" s="19" t="s">
        <v>89</v>
      </c>
      <c r="J3" s="19" t="s">
        <v>89</v>
      </c>
      <c r="K3" s="52" t="s">
        <v>104</v>
      </c>
      <c r="L3" s="52" t="s">
        <v>89</v>
      </c>
      <c r="M3" s="70" t="s">
        <v>104</v>
      </c>
      <c r="N3" s="87" t="s">
        <v>102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0"/>
      <c r="B4" s="36">
        <v>1009</v>
      </c>
      <c r="C4" s="21">
        <v>1013</v>
      </c>
      <c r="D4" s="21">
        <v>1026</v>
      </c>
      <c r="E4" s="36">
        <v>1027</v>
      </c>
      <c r="F4" s="21">
        <v>1001</v>
      </c>
      <c r="G4" s="21">
        <v>1002</v>
      </c>
      <c r="H4" s="21">
        <v>1003</v>
      </c>
      <c r="I4" s="21">
        <v>1005</v>
      </c>
      <c r="J4" s="21">
        <v>1085</v>
      </c>
      <c r="K4" s="53"/>
      <c r="L4" s="53">
        <v>1014</v>
      </c>
      <c r="M4" s="71"/>
      <c r="N4" s="8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0" t="s">
        <v>1</v>
      </c>
      <c r="B5" s="36" t="s">
        <v>90</v>
      </c>
      <c r="C5" s="21" t="s">
        <v>101</v>
      </c>
      <c r="D5" s="21" t="s">
        <v>96</v>
      </c>
      <c r="E5" s="36" t="s">
        <v>98</v>
      </c>
      <c r="F5" s="21" t="s">
        <v>92</v>
      </c>
      <c r="G5" s="21" t="s">
        <v>93</v>
      </c>
      <c r="H5" s="21" t="s">
        <v>94</v>
      </c>
      <c r="I5" s="21" t="s">
        <v>95</v>
      </c>
      <c r="J5" s="21" t="s">
        <v>99</v>
      </c>
      <c r="K5" s="67" t="s">
        <v>105</v>
      </c>
      <c r="L5" s="53" t="s">
        <v>91</v>
      </c>
      <c r="M5" s="72" t="s">
        <v>106</v>
      </c>
      <c r="N5" s="89" t="s">
        <v>103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2" t="s">
        <v>6</v>
      </c>
      <c r="B6" s="37">
        <v>22</v>
      </c>
      <c r="C6" s="23">
        <v>21</v>
      </c>
      <c r="D6" s="23">
        <v>14</v>
      </c>
      <c r="E6" s="37">
        <v>15</v>
      </c>
      <c r="F6" s="23">
        <v>22</v>
      </c>
      <c r="G6" s="23">
        <v>11</v>
      </c>
      <c r="H6" s="23">
        <v>10</v>
      </c>
      <c r="I6" s="23">
        <v>10</v>
      </c>
      <c r="J6" s="23">
        <v>4</v>
      </c>
      <c r="K6" s="54">
        <f>SUM(B6:J6)</f>
        <v>129</v>
      </c>
      <c r="L6" s="54">
        <v>21</v>
      </c>
      <c r="M6" s="73">
        <f>SUM(L6)</f>
        <v>21</v>
      </c>
      <c r="N6" s="90">
        <v>495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4" t="s">
        <v>7</v>
      </c>
      <c r="B7" s="39">
        <v>3</v>
      </c>
      <c r="C7" s="8">
        <v>4</v>
      </c>
      <c r="D7" s="9"/>
      <c r="E7" s="38"/>
      <c r="F7" s="9"/>
      <c r="G7" s="9"/>
      <c r="H7" s="9"/>
      <c r="I7" s="9"/>
      <c r="J7" s="9"/>
      <c r="K7" s="8">
        <f>SUM(B7:J7)</f>
        <v>7</v>
      </c>
      <c r="L7" s="55"/>
      <c r="M7" s="75"/>
      <c r="N7" s="91">
        <v>51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4" t="s">
        <v>8</v>
      </c>
      <c r="B8" s="38"/>
      <c r="C8" s="9"/>
      <c r="D8" s="9"/>
      <c r="E8" s="38"/>
      <c r="F8" s="9"/>
      <c r="G8" s="9"/>
      <c r="H8" s="9"/>
      <c r="I8" s="9"/>
      <c r="J8" s="9"/>
      <c r="K8" s="55"/>
      <c r="L8" s="55"/>
      <c r="M8" s="75"/>
      <c r="N8" s="91">
        <v>24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4" t="s">
        <v>9</v>
      </c>
      <c r="B9" s="38"/>
      <c r="C9" s="9"/>
      <c r="D9" s="9"/>
      <c r="E9" s="38"/>
      <c r="F9" s="9"/>
      <c r="G9" s="9"/>
      <c r="H9" s="9"/>
      <c r="I9" s="9"/>
      <c r="J9" s="9"/>
      <c r="K9" s="55"/>
      <c r="L9" s="55"/>
      <c r="M9" s="75"/>
      <c r="N9" s="91">
        <v>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4" t="s">
        <v>10</v>
      </c>
      <c r="B10" s="38"/>
      <c r="C10" s="8">
        <v>1</v>
      </c>
      <c r="D10" s="8">
        <v>1</v>
      </c>
      <c r="E10" s="38"/>
      <c r="F10" s="9"/>
      <c r="G10" s="8">
        <v>1</v>
      </c>
      <c r="H10" s="8">
        <v>2</v>
      </c>
      <c r="I10" s="8">
        <v>1</v>
      </c>
      <c r="J10" s="9"/>
      <c r="K10" s="8">
        <f>SUM(B10:J10)</f>
        <v>6</v>
      </c>
      <c r="L10" s="68">
        <v>1</v>
      </c>
      <c r="M10" s="74">
        <f>SUM(L10)</f>
        <v>1</v>
      </c>
      <c r="N10" s="91">
        <v>34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4" t="s">
        <v>11</v>
      </c>
      <c r="B11" s="38"/>
      <c r="C11" s="9"/>
      <c r="D11" s="9"/>
      <c r="E11" s="38"/>
      <c r="F11" s="9"/>
      <c r="G11" s="9"/>
      <c r="H11" s="9"/>
      <c r="I11" s="9"/>
      <c r="J11" s="9"/>
      <c r="K11" s="55"/>
      <c r="L11" s="55"/>
      <c r="M11" s="75"/>
      <c r="N11" s="9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4" t="s">
        <v>12</v>
      </c>
      <c r="B12" s="38"/>
      <c r="C12" s="9"/>
      <c r="D12" s="9"/>
      <c r="E12" s="38"/>
      <c r="F12" s="9"/>
      <c r="G12" s="9"/>
      <c r="H12" s="9"/>
      <c r="I12" s="9"/>
      <c r="J12" s="9"/>
      <c r="K12" s="55"/>
      <c r="L12" s="55"/>
      <c r="M12" s="75"/>
      <c r="N12" s="9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4" t="s">
        <v>13</v>
      </c>
      <c r="B13" s="38"/>
      <c r="C13" s="9"/>
      <c r="D13" s="10">
        <v>4.041666666666667</v>
      </c>
      <c r="E13" s="40">
        <v>4.083333333333333</v>
      </c>
      <c r="F13" s="10">
        <v>3.0416666666666665</v>
      </c>
      <c r="G13" s="10">
        <v>3.25</v>
      </c>
      <c r="H13" s="10">
        <v>2.9583333333333335</v>
      </c>
      <c r="I13" s="10">
        <v>2.9166666666666665</v>
      </c>
      <c r="J13" s="10">
        <v>1.3333333333333333</v>
      </c>
      <c r="K13" s="56">
        <f>SUM(B13:J13)</f>
        <v>21.625</v>
      </c>
      <c r="L13" s="55"/>
      <c r="M13" s="76"/>
      <c r="N13" s="93">
        <v>21.625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4" t="s">
        <v>14</v>
      </c>
      <c r="B14" s="38"/>
      <c r="C14" s="10">
        <v>1.3333333333333333</v>
      </c>
      <c r="D14" s="9"/>
      <c r="E14" s="38"/>
      <c r="F14" s="9"/>
      <c r="G14" s="9"/>
      <c r="H14" s="9"/>
      <c r="I14" s="9"/>
      <c r="J14" s="10">
        <v>4.1666666666666664E-2</v>
      </c>
      <c r="K14" s="56">
        <f>SUM(B14:J14)</f>
        <v>1.375</v>
      </c>
      <c r="L14" s="55"/>
      <c r="M14" s="76"/>
      <c r="N14" s="93">
        <v>37.625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4" t="s">
        <v>15</v>
      </c>
      <c r="B15" s="38"/>
      <c r="C15" s="10">
        <v>1.0416666666666667</v>
      </c>
      <c r="D15" s="9"/>
      <c r="E15" s="38"/>
      <c r="F15" s="9"/>
      <c r="G15" s="9"/>
      <c r="H15" s="9"/>
      <c r="I15" s="9"/>
      <c r="J15" s="9"/>
      <c r="K15" s="56">
        <f>SUM(B15:J15)</f>
        <v>1.0416666666666667</v>
      </c>
      <c r="L15" s="55"/>
      <c r="M15" s="75"/>
      <c r="N15" s="93">
        <v>16.333333333333332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4" t="s">
        <v>16</v>
      </c>
      <c r="B16" s="38"/>
      <c r="C16" s="9"/>
      <c r="D16" s="9"/>
      <c r="E16" s="38"/>
      <c r="F16" s="9"/>
      <c r="G16" s="9"/>
      <c r="H16" s="9"/>
      <c r="I16" s="9"/>
      <c r="J16" s="9"/>
      <c r="K16" s="55"/>
      <c r="L16" s="55"/>
      <c r="M16" s="75"/>
      <c r="N16" s="93">
        <v>8.125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4" t="s">
        <v>17</v>
      </c>
      <c r="B17" s="38"/>
      <c r="C17" s="9"/>
      <c r="D17" s="9"/>
      <c r="E17" s="38"/>
      <c r="F17" s="9"/>
      <c r="G17" s="9"/>
      <c r="H17" s="9"/>
      <c r="I17" s="9"/>
      <c r="J17" s="9"/>
      <c r="K17" s="55"/>
      <c r="L17" s="55"/>
      <c r="M17" s="75"/>
      <c r="N17" s="93">
        <v>0.79166666666666663</v>
      </c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4" t="s">
        <v>18</v>
      </c>
      <c r="B18" s="38"/>
      <c r="C18" s="9"/>
      <c r="D18" s="9"/>
      <c r="E18" s="38"/>
      <c r="F18" s="9"/>
      <c r="G18" s="9"/>
      <c r="H18" s="9"/>
      <c r="I18" s="9"/>
      <c r="J18" s="9"/>
      <c r="K18" s="55"/>
      <c r="L18" s="55"/>
      <c r="M18" s="75"/>
      <c r="N18" s="92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4" t="s">
        <v>19</v>
      </c>
      <c r="B19" s="38"/>
      <c r="C19" s="9"/>
      <c r="D19" s="9"/>
      <c r="E19" s="38"/>
      <c r="F19" s="9"/>
      <c r="G19" s="9"/>
      <c r="H19" s="9"/>
      <c r="I19" s="9"/>
      <c r="J19" s="9"/>
      <c r="K19" s="55"/>
      <c r="L19" s="55"/>
      <c r="M19" s="75"/>
      <c r="N19" s="92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4" t="s">
        <v>20</v>
      </c>
      <c r="B20" s="38"/>
      <c r="C20" s="9"/>
      <c r="D20" s="9"/>
      <c r="E20" s="38"/>
      <c r="F20" s="9"/>
      <c r="G20" s="9"/>
      <c r="H20" s="9"/>
      <c r="I20" s="9"/>
      <c r="J20" s="9"/>
      <c r="K20" s="55"/>
      <c r="L20" s="55"/>
      <c r="M20" s="75"/>
      <c r="N20" s="92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4" t="s">
        <v>21</v>
      </c>
      <c r="B21" s="38"/>
      <c r="C21" s="9"/>
      <c r="D21" s="10">
        <v>0.29166666666666669</v>
      </c>
      <c r="E21" s="38"/>
      <c r="F21" s="9"/>
      <c r="G21" s="10">
        <v>0.29166666666666669</v>
      </c>
      <c r="H21" s="10">
        <v>0.58333333333333337</v>
      </c>
      <c r="I21" s="10">
        <v>0.29166666666666669</v>
      </c>
      <c r="J21" s="9"/>
      <c r="K21" s="56">
        <f t="shared" ref="K21:K22" si="0">SUM(B21:J21)</f>
        <v>1.4583333333333335</v>
      </c>
      <c r="L21" s="55"/>
      <c r="M21" s="75"/>
      <c r="N21" s="93">
        <v>1.4583333333333333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4" t="s">
        <v>22</v>
      </c>
      <c r="B22" s="51"/>
      <c r="C22" s="34"/>
      <c r="D22" s="34"/>
      <c r="E22" s="51"/>
      <c r="F22" s="34"/>
      <c r="G22" s="25">
        <v>2.2916666666666665</v>
      </c>
      <c r="H22" s="25">
        <v>2.0833333333333335</v>
      </c>
      <c r="I22" s="25">
        <v>2.0833333333333335</v>
      </c>
      <c r="J22" s="34"/>
      <c r="K22" s="56">
        <f t="shared" si="0"/>
        <v>6.4583333333333339</v>
      </c>
      <c r="L22" s="57"/>
      <c r="M22" s="104"/>
      <c r="N22" s="94">
        <v>20.666666666666668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2" t="s">
        <v>28</v>
      </c>
      <c r="B23" s="42">
        <v>485000</v>
      </c>
      <c r="C23" s="26">
        <v>270000</v>
      </c>
      <c r="D23" s="26">
        <v>0</v>
      </c>
      <c r="E23" s="42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58">
        <f>SUM(B23:J23)</f>
        <v>755000</v>
      </c>
      <c r="L23" s="58">
        <v>375000</v>
      </c>
      <c r="M23" s="78">
        <f>SUM(L23)</f>
        <v>375000</v>
      </c>
      <c r="N23" s="95">
        <v>4172000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4" t="s">
        <v>29</v>
      </c>
      <c r="B24" s="38">
        <v>0</v>
      </c>
      <c r="C24" s="9">
        <v>0</v>
      </c>
      <c r="D24" s="9">
        <v>0</v>
      </c>
      <c r="E24" s="38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55"/>
      <c r="L24" s="55">
        <v>0</v>
      </c>
      <c r="M24" s="75">
        <f t="shared" ref="M24:M72" si="1">SUM(L24)</f>
        <v>0</v>
      </c>
      <c r="N24" s="92">
        <v>50000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4" t="s">
        <v>30</v>
      </c>
      <c r="B25" s="38">
        <v>0</v>
      </c>
      <c r="C25" s="9">
        <v>3000</v>
      </c>
      <c r="D25" s="9">
        <v>0</v>
      </c>
      <c r="E25" s="38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55">
        <f>SUM(B25:J25)</f>
        <v>3000</v>
      </c>
      <c r="L25" s="55">
        <v>0</v>
      </c>
      <c r="M25" s="75">
        <f t="shared" si="1"/>
        <v>0</v>
      </c>
      <c r="N25" s="92">
        <v>6000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4" t="s">
        <v>31</v>
      </c>
      <c r="B26" s="38">
        <v>0</v>
      </c>
      <c r="C26" s="9">
        <v>0</v>
      </c>
      <c r="D26" s="9">
        <v>0</v>
      </c>
      <c r="E26" s="38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55"/>
      <c r="L26" s="55">
        <v>0</v>
      </c>
      <c r="M26" s="75">
        <f t="shared" si="1"/>
        <v>0</v>
      </c>
      <c r="N26" s="92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4" t="s">
        <v>32</v>
      </c>
      <c r="B27" s="38">
        <v>0</v>
      </c>
      <c r="C27" s="9">
        <v>0</v>
      </c>
      <c r="D27" s="9">
        <v>0</v>
      </c>
      <c r="E27" s="38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55"/>
      <c r="L27" s="55">
        <v>0</v>
      </c>
      <c r="M27" s="75">
        <f t="shared" si="1"/>
        <v>0</v>
      </c>
      <c r="N27" s="92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4" t="s">
        <v>33</v>
      </c>
      <c r="B28" s="38">
        <v>0</v>
      </c>
      <c r="C28" s="9">
        <v>0</v>
      </c>
      <c r="D28" s="9">
        <v>0</v>
      </c>
      <c r="E28" s="38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55"/>
      <c r="L28" s="55">
        <v>0</v>
      </c>
      <c r="M28" s="75">
        <f t="shared" si="1"/>
        <v>0</v>
      </c>
      <c r="N28" s="92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4" t="s">
        <v>34</v>
      </c>
      <c r="B29" s="38">
        <v>0</v>
      </c>
      <c r="C29" s="9">
        <v>0</v>
      </c>
      <c r="D29" s="9">
        <v>0</v>
      </c>
      <c r="E29" s="38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55"/>
      <c r="L29" s="55">
        <v>0</v>
      </c>
      <c r="M29" s="75">
        <f t="shared" si="1"/>
        <v>0</v>
      </c>
      <c r="N29" s="92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4" t="s">
        <v>35</v>
      </c>
      <c r="B30" s="38">
        <v>0</v>
      </c>
      <c r="C30" s="9">
        <v>0</v>
      </c>
      <c r="D30" s="9">
        <v>0</v>
      </c>
      <c r="E30" s="38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55"/>
      <c r="L30" s="55">
        <v>0</v>
      </c>
      <c r="M30" s="75">
        <f t="shared" si="1"/>
        <v>0</v>
      </c>
      <c r="N30" s="92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4" t="s">
        <v>36</v>
      </c>
      <c r="B31" s="38">
        <v>0</v>
      </c>
      <c r="C31" s="9">
        <v>0</v>
      </c>
      <c r="D31" s="9">
        <v>85845</v>
      </c>
      <c r="E31" s="38">
        <v>86730</v>
      </c>
      <c r="F31" s="9">
        <v>61320</v>
      </c>
      <c r="G31" s="9">
        <v>65520</v>
      </c>
      <c r="H31" s="9">
        <v>59640</v>
      </c>
      <c r="I31" s="9">
        <v>58800</v>
      </c>
      <c r="J31" s="9">
        <v>26560</v>
      </c>
      <c r="K31" s="55">
        <f>SUM(B31:J31)</f>
        <v>444415</v>
      </c>
      <c r="L31" s="55">
        <v>0</v>
      </c>
      <c r="M31" s="75">
        <f t="shared" si="1"/>
        <v>0</v>
      </c>
      <c r="N31" s="92">
        <v>444415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4" t="s">
        <v>37</v>
      </c>
      <c r="B32" s="38">
        <v>0</v>
      </c>
      <c r="C32" s="9">
        <v>0</v>
      </c>
      <c r="D32" s="9">
        <v>0</v>
      </c>
      <c r="E32" s="38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55"/>
      <c r="L32" s="55">
        <v>0</v>
      </c>
      <c r="M32" s="75">
        <f t="shared" si="1"/>
        <v>0</v>
      </c>
      <c r="N32" s="92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4" t="s">
        <v>38</v>
      </c>
      <c r="B33" s="38">
        <v>0</v>
      </c>
      <c r="C33" s="9">
        <v>0</v>
      </c>
      <c r="D33" s="9">
        <v>0</v>
      </c>
      <c r="E33" s="38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55"/>
      <c r="L33" s="55">
        <v>0</v>
      </c>
      <c r="M33" s="75">
        <f t="shared" si="1"/>
        <v>0</v>
      </c>
      <c r="N33" s="92">
        <v>460000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4" t="s">
        <v>39</v>
      </c>
      <c r="B34" s="38">
        <v>0</v>
      </c>
      <c r="C34" s="9">
        <v>0</v>
      </c>
      <c r="D34" s="9">
        <v>6195</v>
      </c>
      <c r="E34" s="38">
        <v>0</v>
      </c>
      <c r="F34" s="9">
        <v>0</v>
      </c>
      <c r="G34" s="9">
        <v>5880</v>
      </c>
      <c r="H34" s="9">
        <v>11760</v>
      </c>
      <c r="I34" s="9">
        <v>5880</v>
      </c>
      <c r="J34" s="9">
        <v>0</v>
      </c>
      <c r="K34" s="55">
        <f>SUM(B34:J34)</f>
        <v>29715</v>
      </c>
      <c r="L34" s="55">
        <v>0</v>
      </c>
      <c r="M34" s="75">
        <f t="shared" si="1"/>
        <v>0</v>
      </c>
      <c r="N34" s="92">
        <v>29715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4" t="s">
        <v>40</v>
      </c>
      <c r="B35" s="38">
        <v>0</v>
      </c>
      <c r="C35" s="9">
        <v>0</v>
      </c>
      <c r="D35" s="9">
        <v>0</v>
      </c>
      <c r="E35" s="38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55"/>
      <c r="L35" s="55">
        <v>0</v>
      </c>
      <c r="M35" s="75">
        <f t="shared" si="1"/>
        <v>0</v>
      </c>
      <c r="N35" s="92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4" t="s">
        <v>41</v>
      </c>
      <c r="B36" s="38">
        <v>0</v>
      </c>
      <c r="C36" s="9">
        <v>0</v>
      </c>
      <c r="D36" s="9">
        <v>0</v>
      </c>
      <c r="E36" s="38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55"/>
      <c r="L36" s="55">
        <v>0</v>
      </c>
      <c r="M36" s="75">
        <f t="shared" si="1"/>
        <v>0</v>
      </c>
      <c r="N36" s="92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4" t="s">
        <v>42</v>
      </c>
      <c r="B37" s="38">
        <v>0</v>
      </c>
      <c r="C37" s="9">
        <v>0</v>
      </c>
      <c r="D37" s="9">
        <v>0</v>
      </c>
      <c r="E37" s="38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55"/>
      <c r="L37" s="55">
        <v>0</v>
      </c>
      <c r="M37" s="75">
        <f t="shared" si="1"/>
        <v>0</v>
      </c>
      <c r="N37" s="92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4" t="s">
        <v>43</v>
      </c>
      <c r="B38" s="38">
        <v>0</v>
      </c>
      <c r="C38" s="9">
        <v>0</v>
      </c>
      <c r="D38" s="9">
        <v>0</v>
      </c>
      <c r="E38" s="38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55"/>
      <c r="L38" s="55">
        <v>0</v>
      </c>
      <c r="M38" s="75">
        <f t="shared" si="1"/>
        <v>0</v>
      </c>
      <c r="N38" s="92">
        <v>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4" t="s">
        <v>44</v>
      </c>
      <c r="B39" s="38">
        <v>0</v>
      </c>
      <c r="C39" s="9">
        <v>0</v>
      </c>
      <c r="D39" s="9">
        <v>0</v>
      </c>
      <c r="E39" s="38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55"/>
      <c r="L39" s="55">
        <v>0</v>
      </c>
      <c r="M39" s="75">
        <f t="shared" si="1"/>
        <v>0</v>
      </c>
      <c r="N39" s="92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4" t="s">
        <v>45</v>
      </c>
      <c r="B40" s="38">
        <v>0</v>
      </c>
      <c r="C40" s="9">
        <v>0</v>
      </c>
      <c r="D40" s="9">
        <v>0</v>
      </c>
      <c r="E40" s="38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55"/>
      <c r="L40" s="55">
        <v>0</v>
      </c>
      <c r="M40" s="75">
        <f t="shared" si="1"/>
        <v>0</v>
      </c>
      <c r="N40" s="92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4" t="s">
        <v>46</v>
      </c>
      <c r="B41" s="38">
        <v>0</v>
      </c>
      <c r="C41" s="9">
        <v>0</v>
      </c>
      <c r="D41" s="9">
        <v>0</v>
      </c>
      <c r="E41" s="38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55"/>
      <c r="L41" s="55">
        <v>0</v>
      </c>
      <c r="M41" s="75">
        <f t="shared" si="1"/>
        <v>0</v>
      </c>
      <c r="N41" s="92">
        <v>0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4" t="s">
        <v>47</v>
      </c>
      <c r="B42" s="38">
        <v>0</v>
      </c>
      <c r="C42" s="9">
        <v>0</v>
      </c>
      <c r="D42" s="9">
        <v>0</v>
      </c>
      <c r="E42" s="38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55"/>
      <c r="L42" s="55">
        <v>0</v>
      </c>
      <c r="M42" s="75">
        <f t="shared" si="1"/>
        <v>0</v>
      </c>
      <c r="N42" s="92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4" t="s">
        <v>14</v>
      </c>
      <c r="B43" s="38">
        <v>0</v>
      </c>
      <c r="C43" s="9">
        <v>65408</v>
      </c>
      <c r="D43" s="9">
        <v>0</v>
      </c>
      <c r="E43" s="38">
        <v>0</v>
      </c>
      <c r="F43" s="9">
        <v>0</v>
      </c>
      <c r="G43" s="9">
        <v>0</v>
      </c>
      <c r="H43" s="9">
        <v>0</v>
      </c>
      <c r="I43" s="9">
        <v>0</v>
      </c>
      <c r="J43" s="9">
        <v>1038</v>
      </c>
      <c r="K43" s="55">
        <f t="shared" ref="K43:K44" si="2">SUM(B43:J43)</f>
        <v>66446</v>
      </c>
      <c r="L43" s="55">
        <v>0</v>
      </c>
      <c r="M43" s="75">
        <f t="shared" si="1"/>
        <v>0</v>
      </c>
      <c r="N43" s="92">
        <v>1435298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4" t="s">
        <v>7</v>
      </c>
      <c r="B44" s="38">
        <v>0</v>
      </c>
      <c r="C44" s="9">
        <v>55175</v>
      </c>
      <c r="D44" s="9">
        <v>0</v>
      </c>
      <c r="E44" s="38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55">
        <f t="shared" si="2"/>
        <v>55175</v>
      </c>
      <c r="L44" s="55">
        <v>0</v>
      </c>
      <c r="M44" s="75">
        <f t="shared" si="1"/>
        <v>0</v>
      </c>
      <c r="N44" s="92">
        <v>661055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4" t="s">
        <v>8</v>
      </c>
      <c r="B45" s="38">
        <v>0</v>
      </c>
      <c r="C45" s="9">
        <v>0</v>
      </c>
      <c r="D45" s="9">
        <v>0</v>
      </c>
      <c r="E45" s="38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55"/>
      <c r="L45" s="55">
        <v>0</v>
      </c>
      <c r="M45" s="75">
        <f t="shared" si="1"/>
        <v>0</v>
      </c>
      <c r="N45" s="92">
        <v>340099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4" t="s">
        <v>48</v>
      </c>
      <c r="B46" s="38">
        <v>0</v>
      </c>
      <c r="C46" s="9">
        <v>0</v>
      </c>
      <c r="D46" s="9">
        <v>0</v>
      </c>
      <c r="E46" s="38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55"/>
      <c r="L46" s="55">
        <v>0</v>
      </c>
      <c r="M46" s="75">
        <f t="shared" si="1"/>
        <v>0</v>
      </c>
      <c r="N46" s="92">
        <v>7961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4" t="s">
        <v>18</v>
      </c>
      <c r="B47" s="38">
        <v>0</v>
      </c>
      <c r="C47" s="9">
        <v>0</v>
      </c>
      <c r="D47" s="9">
        <v>0</v>
      </c>
      <c r="E47" s="38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55"/>
      <c r="L47" s="55">
        <v>0</v>
      </c>
      <c r="M47" s="75">
        <f t="shared" si="1"/>
        <v>0</v>
      </c>
      <c r="N47" s="92">
        <v>0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4" t="s">
        <v>49</v>
      </c>
      <c r="B48" s="38">
        <v>0</v>
      </c>
      <c r="C48" s="9">
        <v>0</v>
      </c>
      <c r="D48" s="9">
        <v>0</v>
      </c>
      <c r="E48" s="38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55"/>
      <c r="L48" s="55">
        <v>0</v>
      </c>
      <c r="M48" s="75">
        <f t="shared" si="1"/>
        <v>0</v>
      </c>
      <c r="N48" s="92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5" t="s">
        <v>22</v>
      </c>
      <c r="B49" s="43">
        <v>0</v>
      </c>
      <c r="C49" s="11">
        <v>0</v>
      </c>
      <c r="D49" s="11">
        <v>0</v>
      </c>
      <c r="E49" s="43">
        <v>0</v>
      </c>
      <c r="F49" s="11">
        <v>0</v>
      </c>
      <c r="G49" s="11">
        <v>11550</v>
      </c>
      <c r="H49" s="11">
        <v>10500</v>
      </c>
      <c r="I49" s="11">
        <v>10500</v>
      </c>
      <c r="J49" s="11">
        <v>0</v>
      </c>
      <c r="K49" s="55">
        <f t="shared" ref="K49:K73" si="3">SUM(B49:J49)</f>
        <v>32550</v>
      </c>
      <c r="L49" s="59">
        <v>0</v>
      </c>
      <c r="M49" s="79">
        <f t="shared" si="1"/>
        <v>0</v>
      </c>
      <c r="N49" s="96">
        <v>140463</v>
      </c>
      <c r="O49" s="6"/>
      <c r="P49" s="6"/>
      <c r="Q49" s="6"/>
      <c r="R49" s="6"/>
      <c r="S49" s="6"/>
      <c r="T49" s="6"/>
      <c r="U49" s="6"/>
    </row>
    <row r="50" spans="1:21" ht="14.25" thickBot="1" x14ac:dyDescent="0.2">
      <c r="A50" s="16" t="s">
        <v>50</v>
      </c>
      <c r="B50" s="44">
        <v>485000</v>
      </c>
      <c r="C50" s="29">
        <v>393583</v>
      </c>
      <c r="D50" s="29">
        <v>92040</v>
      </c>
      <c r="E50" s="44">
        <v>86730</v>
      </c>
      <c r="F50" s="29">
        <v>61320</v>
      </c>
      <c r="G50" s="29">
        <v>82950</v>
      </c>
      <c r="H50" s="29">
        <v>81900</v>
      </c>
      <c r="I50" s="29">
        <v>75180</v>
      </c>
      <c r="J50" s="29">
        <v>27598</v>
      </c>
      <c r="K50" s="29">
        <f t="shared" si="3"/>
        <v>1386301</v>
      </c>
      <c r="L50" s="60">
        <v>375000</v>
      </c>
      <c r="M50" s="80">
        <f t="shared" si="1"/>
        <v>375000</v>
      </c>
      <c r="N50" s="97">
        <v>7747006</v>
      </c>
      <c r="O50" s="6"/>
      <c r="P50" s="6"/>
      <c r="Q50" s="6"/>
      <c r="R50" s="6"/>
      <c r="S50" s="6"/>
      <c r="T50" s="6"/>
      <c r="U50" s="6"/>
    </row>
    <row r="51" spans="1:21" x14ac:dyDescent="0.15">
      <c r="A51" s="27" t="s">
        <v>51</v>
      </c>
      <c r="B51" s="45">
        <v>7702</v>
      </c>
      <c r="C51" s="28">
        <v>4622</v>
      </c>
      <c r="D51" s="28">
        <v>2301</v>
      </c>
      <c r="E51" s="45">
        <v>1541</v>
      </c>
      <c r="F51" s="28">
        <v>6326</v>
      </c>
      <c r="G51" s="28">
        <v>2712</v>
      </c>
      <c r="H51" s="28">
        <v>3081</v>
      </c>
      <c r="I51" s="28">
        <v>3287</v>
      </c>
      <c r="J51" s="28">
        <v>1068</v>
      </c>
      <c r="K51" s="28">
        <f t="shared" si="3"/>
        <v>32640</v>
      </c>
      <c r="L51" s="61">
        <v>5607</v>
      </c>
      <c r="M51" s="81">
        <f t="shared" si="1"/>
        <v>5607</v>
      </c>
      <c r="N51" s="98">
        <v>108863</v>
      </c>
      <c r="O51" s="6"/>
      <c r="P51" s="6"/>
      <c r="Q51" s="6"/>
      <c r="R51" s="6"/>
      <c r="S51" s="6"/>
      <c r="T51" s="6"/>
      <c r="U51" s="6"/>
    </row>
    <row r="52" spans="1:21" ht="14.25" thickBot="1" x14ac:dyDescent="0.2">
      <c r="A52" s="30" t="s">
        <v>52</v>
      </c>
      <c r="B52" s="46">
        <v>7702</v>
      </c>
      <c r="C52" s="31">
        <v>4622</v>
      </c>
      <c r="D52" s="31">
        <v>2301</v>
      </c>
      <c r="E52" s="46">
        <v>1541</v>
      </c>
      <c r="F52" s="31">
        <v>6326</v>
      </c>
      <c r="G52" s="31">
        <v>2712</v>
      </c>
      <c r="H52" s="31">
        <v>3081</v>
      </c>
      <c r="I52" s="31">
        <v>3287</v>
      </c>
      <c r="J52" s="31">
        <v>1068</v>
      </c>
      <c r="K52" s="31">
        <f t="shared" si="3"/>
        <v>32640</v>
      </c>
      <c r="L52" s="62">
        <v>5607</v>
      </c>
      <c r="M52" s="82">
        <f t="shared" si="1"/>
        <v>5607</v>
      </c>
      <c r="N52" s="99">
        <v>108863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2" t="s">
        <v>53</v>
      </c>
      <c r="B53" s="47">
        <v>492702</v>
      </c>
      <c r="C53" s="33">
        <v>398205</v>
      </c>
      <c r="D53" s="33">
        <v>94341</v>
      </c>
      <c r="E53" s="47">
        <v>88271</v>
      </c>
      <c r="F53" s="33">
        <v>67646</v>
      </c>
      <c r="G53" s="33">
        <v>85662</v>
      </c>
      <c r="H53" s="33">
        <v>84981</v>
      </c>
      <c r="I53" s="33">
        <v>78467</v>
      </c>
      <c r="J53" s="33">
        <v>28666</v>
      </c>
      <c r="K53" s="33">
        <f t="shared" si="3"/>
        <v>1418941</v>
      </c>
      <c r="L53" s="63">
        <v>380607</v>
      </c>
      <c r="M53" s="83">
        <f t="shared" si="1"/>
        <v>380607</v>
      </c>
      <c r="N53" s="100">
        <v>7855869</v>
      </c>
    </row>
    <row r="54" spans="1:21" x14ac:dyDescent="0.15">
      <c r="A54" s="27" t="s">
        <v>54</v>
      </c>
      <c r="B54" s="45">
        <v>25500</v>
      </c>
      <c r="C54" s="28">
        <v>18360</v>
      </c>
      <c r="D54" s="28">
        <v>0</v>
      </c>
      <c r="E54" s="45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f t="shared" si="3"/>
        <v>43860</v>
      </c>
      <c r="L54" s="61">
        <v>18360</v>
      </c>
      <c r="M54" s="81">
        <f t="shared" si="1"/>
        <v>18360</v>
      </c>
      <c r="N54" s="98">
        <v>336600</v>
      </c>
    </row>
    <row r="55" spans="1:21" x14ac:dyDescent="0.15">
      <c r="A55" s="15" t="s">
        <v>55</v>
      </c>
      <c r="B55" s="43">
        <v>4500</v>
      </c>
      <c r="C55" s="11">
        <v>3240</v>
      </c>
      <c r="D55" s="11">
        <v>0</v>
      </c>
      <c r="E55" s="43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f t="shared" si="3"/>
        <v>7740</v>
      </c>
      <c r="L55" s="59">
        <v>3240</v>
      </c>
      <c r="M55" s="79">
        <f t="shared" si="1"/>
        <v>3240</v>
      </c>
      <c r="N55" s="96">
        <v>56520</v>
      </c>
    </row>
    <row r="56" spans="1:21" x14ac:dyDescent="0.15">
      <c r="A56" s="15" t="s">
        <v>56</v>
      </c>
      <c r="B56" s="43">
        <v>45750</v>
      </c>
      <c r="C56" s="11">
        <v>32940</v>
      </c>
      <c r="D56" s="11">
        <v>0</v>
      </c>
      <c r="E56" s="43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f t="shared" si="3"/>
        <v>78690</v>
      </c>
      <c r="L56" s="59">
        <v>32940</v>
      </c>
      <c r="M56" s="79">
        <f t="shared" si="1"/>
        <v>32940</v>
      </c>
      <c r="N56" s="96">
        <v>603900</v>
      </c>
    </row>
    <row r="57" spans="1:21" x14ac:dyDescent="0.15">
      <c r="A57" s="15" t="s">
        <v>57</v>
      </c>
      <c r="B57" s="43">
        <v>0</v>
      </c>
      <c r="C57" s="11">
        <v>0</v>
      </c>
      <c r="D57" s="11">
        <v>0</v>
      </c>
      <c r="E57" s="43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f t="shared" si="3"/>
        <v>0</v>
      </c>
      <c r="L57" s="59">
        <v>0</v>
      </c>
      <c r="M57" s="79">
        <f t="shared" si="1"/>
        <v>0</v>
      </c>
      <c r="N57" s="96">
        <v>0</v>
      </c>
    </row>
    <row r="58" spans="1:21" x14ac:dyDescent="0.15">
      <c r="A58" s="15" t="s">
        <v>58</v>
      </c>
      <c r="B58" s="43">
        <v>1478</v>
      </c>
      <c r="C58" s="11">
        <v>1195</v>
      </c>
      <c r="D58" s="11">
        <v>283</v>
      </c>
      <c r="E58" s="43">
        <v>265</v>
      </c>
      <c r="F58" s="13" t="s">
        <v>97</v>
      </c>
      <c r="G58" s="13" t="s">
        <v>97</v>
      </c>
      <c r="H58" s="13" t="s">
        <v>97</v>
      </c>
      <c r="I58" s="13" t="s">
        <v>97</v>
      </c>
      <c r="J58" s="13" t="s">
        <v>97</v>
      </c>
      <c r="K58" s="11">
        <f t="shared" si="3"/>
        <v>3221</v>
      </c>
      <c r="L58" s="59">
        <v>1142</v>
      </c>
      <c r="M58" s="79">
        <f t="shared" si="1"/>
        <v>1142</v>
      </c>
      <c r="N58" s="96">
        <v>22530</v>
      </c>
    </row>
    <row r="59" spans="1:21" x14ac:dyDescent="0.15">
      <c r="A59" s="15" t="s">
        <v>59</v>
      </c>
      <c r="B59" s="43">
        <v>0</v>
      </c>
      <c r="C59" s="11">
        <v>0</v>
      </c>
      <c r="D59" s="11">
        <v>0</v>
      </c>
      <c r="E59" s="43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f t="shared" si="3"/>
        <v>0</v>
      </c>
      <c r="L59" s="59">
        <v>0</v>
      </c>
      <c r="M59" s="79">
        <f t="shared" si="1"/>
        <v>0</v>
      </c>
      <c r="N59" s="96">
        <v>0</v>
      </c>
    </row>
    <row r="60" spans="1:21" ht="14.25" thickBot="1" x14ac:dyDescent="0.2">
      <c r="A60" s="30" t="s">
        <v>60</v>
      </c>
      <c r="B60" s="46">
        <v>77228</v>
      </c>
      <c r="C60" s="31">
        <v>55735</v>
      </c>
      <c r="D60" s="31">
        <v>283</v>
      </c>
      <c r="E60" s="46">
        <v>265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f t="shared" si="3"/>
        <v>133511</v>
      </c>
      <c r="L60" s="62">
        <v>55682</v>
      </c>
      <c r="M60" s="82">
        <f t="shared" si="1"/>
        <v>55682</v>
      </c>
      <c r="N60" s="99">
        <v>1019550</v>
      </c>
    </row>
    <row r="61" spans="1:21" ht="14.25" thickBot="1" x14ac:dyDescent="0.2">
      <c r="A61" s="32" t="s">
        <v>61</v>
      </c>
      <c r="B61" s="47">
        <v>407772</v>
      </c>
      <c r="C61" s="33">
        <v>337848</v>
      </c>
      <c r="D61" s="33">
        <v>91757</v>
      </c>
      <c r="E61" s="47">
        <v>86465</v>
      </c>
      <c r="F61" s="33">
        <v>61320</v>
      </c>
      <c r="G61" s="33">
        <v>82950</v>
      </c>
      <c r="H61" s="33">
        <v>81900</v>
      </c>
      <c r="I61" s="33">
        <v>75180</v>
      </c>
      <c r="J61" s="33">
        <v>27598</v>
      </c>
      <c r="K61" s="33">
        <f t="shared" si="3"/>
        <v>1252790</v>
      </c>
      <c r="L61" s="63">
        <v>319318</v>
      </c>
      <c r="M61" s="83">
        <f t="shared" si="1"/>
        <v>319318</v>
      </c>
      <c r="N61" s="100">
        <v>6727456</v>
      </c>
    </row>
    <row r="62" spans="1:21" x14ac:dyDescent="0.15">
      <c r="A62" s="27" t="s">
        <v>62</v>
      </c>
      <c r="B62" s="45">
        <v>13950</v>
      </c>
      <c r="C62" s="28">
        <v>8270</v>
      </c>
      <c r="D62" s="28">
        <v>300</v>
      </c>
      <c r="E62" s="45">
        <v>30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f t="shared" si="3"/>
        <v>22550</v>
      </c>
      <c r="L62" s="61">
        <v>9960</v>
      </c>
      <c r="M62" s="81">
        <f t="shared" si="1"/>
        <v>9960</v>
      </c>
      <c r="N62" s="98">
        <v>175210</v>
      </c>
    </row>
    <row r="63" spans="1:21" x14ac:dyDescent="0.15">
      <c r="A63" s="15" t="s">
        <v>63</v>
      </c>
      <c r="B63" s="43">
        <v>0</v>
      </c>
      <c r="C63" s="11">
        <v>0</v>
      </c>
      <c r="D63" s="11">
        <v>0</v>
      </c>
      <c r="E63" s="43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f t="shared" si="3"/>
        <v>0</v>
      </c>
      <c r="L63" s="59">
        <v>0</v>
      </c>
      <c r="M63" s="79">
        <f t="shared" si="1"/>
        <v>0</v>
      </c>
      <c r="N63" s="96">
        <v>16900</v>
      </c>
    </row>
    <row r="64" spans="1:21" x14ac:dyDescent="0.15">
      <c r="A64" s="15" t="s">
        <v>64</v>
      </c>
      <c r="B64" s="43">
        <v>27000</v>
      </c>
      <c r="C64" s="11">
        <v>15000</v>
      </c>
      <c r="D64" s="11">
        <v>600</v>
      </c>
      <c r="E64" s="43">
        <v>0</v>
      </c>
      <c r="F64" s="11">
        <v>1100</v>
      </c>
      <c r="G64" s="11">
        <v>0</v>
      </c>
      <c r="H64" s="11">
        <v>3500</v>
      </c>
      <c r="I64" s="11">
        <v>0</v>
      </c>
      <c r="J64" s="11">
        <v>0</v>
      </c>
      <c r="K64" s="11">
        <f t="shared" si="3"/>
        <v>47200</v>
      </c>
      <c r="L64" s="59">
        <v>15600</v>
      </c>
      <c r="M64" s="79">
        <f t="shared" si="1"/>
        <v>15600</v>
      </c>
      <c r="N64" s="96">
        <v>248000</v>
      </c>
    </row>
    <row r="65" spans="1:14" x14ac:dyDescent="0.15">
      <c r="A65" s="15" t="s">
        <v>65</v>
      </c>
      <c r="B65" s="43">
        <v>0</v>
      </c>
      <c r="C65" s="11">
        <v>0</v>
      </c>
      <c r="D65" s="11">
        <v>0</v>
      </c>
      <c r="E65" s="43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f t="shared" si="3"/>
        <v>0</v>
      </c>
      <c r="L65" s="59">
        <v>0</v>
      </c>
      <c r="M65" s="79">
        <f t="shared" si="1"/>
        <v>0</v>
      </c>
      <c r="N65" s="96">
        <v>470000</v>
      </c>
    </row>
    <row r="66" spans="1:14" x14ac:dyDescent="0.15">
      <c r="A66" s="15" t="s">
        <v>66</v>
      </c>
      <c r="B66" s="43">
        <v>0</v>
      </c>
      <c r="C66" s="11">
        <v>0</v>
      </c>
      <c r="D66" s="11">
        <v>0</v>
      </c>
      <c r="E66" s="43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f t="shared" si="3"/>
        <v>0</v>
      </c>
      <c r="L66" s="59">
        <v>0</v>
      </c>
      <c r="M66" s="79">
        <f t="shared" si="1"/>
        <v>0</v>
      </c>
      <c r="N66" s="96">
        <v>0</v>
      </c>
    </row>
    <row r="67" spans="1:14" x14ac:dyDescent="0.15">
      <c r="A67" s="15" t="s">
        <v>67</v>
      </c>
      <c r="B67" s="43">
        <v>0</v>
      </c>
      <c r="C67" s="11">
        <v>0</v>
      </c>
      <c r="D67" s="11">
        <v>0</v>
      </c>
      <c r="E67" s="43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f t="shared" si="3"/>
        <v>0</v>
      </c>
      <c r="L67" s="59">
        <v>0</v>
      </c>
      <c r="M67" s="79">
        <f t="shared" si="1"/>
        <v>0</v>
      </c>
      <c r="N67" s="96">
        <v>0</v>
      </c>
    </row>
    <row r="68" spans="1:14" ht="14.25" thickBot="1" x14ac:dyDescent="0.2">
      <c r="A68" s="30" t="s">
        <v>68</v>
      </c>
      <c r="B68" s="46">
        <v>40950</v>
      </c>
      <c r="C68" s="31">
        <v>23270</v>
      </c>
      <c r="D68" s="31">
        <v>900</v>
      </c>
      <c r="E68" s="46">
        <v>30</v>
      </c>
      <c r="F68" s="31">
        <v>1100</v>
      </c>
      <c r="G68" s="31">
        <v>0</v>
      </c>
      <c r="H68" s="31">
        <v>3500</v>
      </c>
      <c r="I68" s="31">
        <v>0</v>
      </c>
      <c r="J68" s="31">
        <v>0</v>
      </c>
      <c r="K68" s="31">
        <f t="shared" si="3"/>
        <v>69750</v>
      </c>
      <c r="L68" s="62">
        <v>25560</v>
      </c>
      <c r="M68" s="82">
        <f t="shared" si="1"/>
        <v>25560</v>
      </c>
      <c r="N68" s="99">
        <v>910110</v>
      </c>
    </row>
    <row r="69" spans="1:14" ht="14.25" thickBot="1" x14ac:dyDescent="0.2">
      <c r="A69" s="32" t="s">
        <v>69</v>
      </c>
      <c r="B69" s="47">
        <v>118178</v>
      </c>
      <c r="C69" s="33">
        <v>79005</v>
      </c>
      <c r="D69" s="33">
        <v>1183</v>
      </c>
      <c r="E69" s="47">
        <v>295</v>
      </c>
      <c r="F69" s="33">
        <v>1100</v>
      </c>
      <c r="G69" s="33">
        <v>0</v>
      </c>
      <c r="H69" s="33">
        <v>3500</v>
      </c>
      <c r="I69" s="33">
        <v>0</v>
      </c>
      <c r="J69" s="33">
        <v>0</v>
      </c>
      <c r="K69" s="33">
        <f t="shared" si="3"/>
        <v>203261</v>
      </c>
      <c r="L69" s="63">
        <v>81242</v>
      </c>
      <c r="M69" s="83">
        <f t="shared" si="1"/>
        <v>81242</v>
      </c>
      <c r="N69" s="100">
        <v>1929660</v>
      </c>
    </row>
    <row r="70" spans="1:14" ht="14.25" thickBot="1" x14ac:dyDescent="0.2">
      <c r="A70" s="32" t="s">
        <v>70</v>
      </c>
      <c r="B70" s="47">
        <v>374524</v>
      </c>
      <c r="C70" s="33">
        <v>319200</v>
      </c>
      <c r="D70" s="33">
        <v>93158</v>
      </c>
      <c r="E70" s="47">
        <v>87976</v>
      </c>
      <c r="F70" s="33">
        <v>66546</v>
      </c>
      <c r="G70" s="33">
        <v>85662</v>
      </c>
      <c r="H70" s="33">
        <v>81481</v>
      </c>
      <c r="I70" s="33">
        <v>78467</v>
      </c>
      <c r="J70" s="33">
        <v>28666</v>
      </c>
      <c r="K70" s="33">
        <f t="shared" si="3"/>
        <v>1215680</v>
      </c>
      <c r="L70" s="63">
        <v>299365</v>
      </c>
      <c r="M70" s="83">
        <f t="shared" si="1"/>
        <v>299365</v>
      </c>
      <c r="N70" s="100">
        <v>5926209</v>
      </c>
    </row>
    <row r="71" spans="1:14" x14ac:dyDescent="0.15">
      <c r="A71" s="27" t="s">
        <v>71</v>
      </c>
      <c r="B71" s="45">
        <v>0</v>
      </c>
      <c r="C71" s="28">
        <v>0</v>
      </c>
      <c r="D71" s="28">
        <v>0</v>
      </c>
      <c r="E71" s="45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f t="shared" si="3"/>
        <v>0</v>
      </c>
      <c r="L71" s="61">
        <v>0</v>
      </c>
      <c r="M71" s="81">
        <f t="shared" si="1"/>
        <v>0</v>
      </c>
      <c r="N71" s="98">
        <v>0</v>
      </c>
    </row>
    <row r="72" spans="1:14" x14ac:dyDescent="0.15">
      <c r="A72" s="15" t="s">
        <v>72</v>
      </c>
      <c r="B72" s="43">
        <v>374524</v>
      </c>
      <c r="C72" s="11">
        <v>319200</v>
      </c>
      <c r="D72" s="11">
        <v>93158</v>
      </c>
      <c r="E72" s="43">
        <v>87976</v>
      </c>
      <c r="F72" s="11">
        <v>66546</v>
      </c>
      <c r="G72" s="11">
        <v>85662</v>
      </c>
      <c r="H72" s="11">
        <v>81481</v>
      </c>
      <c r="I72" s="11">
        <v>78467</v>
      </c>
      <c r="J72" s="11">
        <v>28666</v>
      </c>
      <c r="K72" s="11">
        <f t="shared" si="3"/>
        <v>1215680</v>
      </c>
      <c r="L72" s="59">
        <v>299365</v>
      </c>
      <c r="M72" s="79">
        <f t="shared" si="1"/>
        <v>299365</v>
      </c>
      <c r="N72" s="96">
        <v>5926209</v>
      </c>
    </row>
    <row r="73" spans="1:14" x14ac:dyDescent="0.15">
      <c r="A73" s="15" t="s">
        <v>73</v>
      </c>
      <c r="B73" s="48">
        <v>37</v>
      </c>
      <c r="C73" s="12">
        <v>37</v>
      </c>
      <c r="D73" s="12">
        <v>16</v>
      </c>
      <c r="E73" s="48">
        <v>18</v>
      </c>
      <c r="F73" s="12">
        <v>22</v>
      </c>
      <c r="G73" s="12">
        <v>14</v>
      </c>
      <c r="H73" s="12">
        <v>11</v>
      </c>
      <c r="I73" s="12">
        <v>3</v>
      </c>
      <c r="J73" s="12">
        <v>3</v>
      </c>
      <c r="K73" s="12">
        <f t="shared" si="3"/>
        <v>161</v>
      </c>
      <c r="L73" s="65">
        <v>31</v>
      </c>
      <c r="M73" s="84"/>
      <c r="N73" s="101">
        <v>625</v>
      </c>
    </row>
    <row r="74" spans="1:14" x14ac:dyDescent="0.15">
      <c r="A74" s="15" t="s">
        <v>74</v>
      </c>
      <c r="B74" s="49">
        <v>1</v>
      </c>
      <c r="C74" s="13">
        <v>1</v>
      </c>
      <c r="D74" s="13"/>
      <c r="E74" s="49"/>
      <c r="F74" s="13"/>
      <c r="G74" s="13">
        <v>1</v>
      </c>
      <c r="H74" s="13">
        <v>1</v>
      </c>
      <c r="I74" s="13">
        <v>1</v>
      </c>
      <c r="J74" s="13">
        <v>1</v>
      </c>
      <c r="K74" s="13"/>
      <c r="L74" s="64"/>
      <c r="M74" s="85"/>
      <c r="N74" s="102"/>
    </row>
    <row r="75" spans="1:14" ht="14.25" thickBot="1" x14ac:dyDescent="0.2">
      <c r="A75" s="16" t="s">
        <v>75</v>
      </c>
      <c r="B75" s="50" t="s">
        <v>76</v>
      </c>
      <c r="C75" s="17"/>
      <c r="D75" s="17" t="s">
        <v>76</v>
      </c>
      <c r="E75" s="50" t="s">
        <v>76</v>
      </c>
      <c r="F75" s="17" t="s">
        <v>76</v>
      </c>
      <c r="G75" s="17" t="s">
        <v>76</v>
      </c>
      <c r="H75" s="17" t="s">
        <v>76</v>
      </c>
      <c r="I75" s="17" t="s">
        <v>76</v>
      </c>
      <c r="J75" s="17" t="s">
        <v>76</v>
      </c>
      <c r="K75" s="17"/>
      <c r="L75" s="66" t="s">
        <v>76</v>
      </c>
      <c r="M75" s="86"/>
      <c r="N75" s="103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B20C-BD23-45DD-8C30-CC3B5062FFAE}">
  <sheetPr>
    <pageSetUpPr fitToPage="1"/>
  </sheetPr>
  <dimension ref="A1:AS75"/>
  <sheetViews>
    <sheetView tabSelected="1" zoomScale="80" zoomScaleNormal="8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R6" sqref="R6"/>
    </sheetView>
  </sheetViews>
  <sheetFormatPr defaultColWidth="9" defaultRowHeight="13.5" x14ac:dyDescent="0.15"/>
  <cols>
    <col min="1" max="1" width="17.625" style="2" customWidth="1"/>
    <col min="2" max="19" width="10.75" style="2" customWidth="1"/>
    <col min="20" max="26" width="10.5" style="2" customWidth="1"/>
    <col min="27" max="16384" width="9" style="2"/>
  </cols>
  <sheetData>
    <row r="1" spans="1:45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8" t="s">
        <v>0</v>
      </c>
      <c r="B3" s="19" t="s">
        <v>4</v>
      </c>
      <c r="C3" s="19" t="s">
        <v>4</v>
      </c>
      <c r="D3" s="19" t="s">
        <v>24</v>
      </c>
      <c r="E3" s="19" t="s">
        <v>24</v>
      </c>
      <c r="F3" s="19" t="s">
        <v>24</v>
      </c>
      <c r="G3" s="35" t="s">
        <v>24</v>
      </c>
      <c r="H3" s="19" t="s">
        <v>24</v>
      </c>
      <c r="I3" s="19" t="s">
        <v>24</v>
      </c>
      <c r="J3" s="19" t="s">
        <v>24</v>
      </c>
      <c r="K3" s="19" t="s">
        <v>24</v>
      </c>
      <c r="L3" s="35" t="s">
        <v>24</v>
      </c>
      <c r="M3" s="19" t="s">
        <v>24</v>
      </c>
      <c r="N3" s="19" t="s">
        <v>24</v>
      </c>
      <c r="O3" s="19" t="s">
        <v>24</v>
      </c>
      <c r="P3" s="19" t="s">
        <v>24</v>
      </c>
      <c r="Q3" s="35" t="s">
        <v>24</v>
      </c>
      <c r="R3" s="52" t="s">
        <v>24</v>
      </c>
      <c r="S3" s="70" t="s">
        <v>104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20"/>
      <c r="B4" s="21">
        <v>1087</v>
      </c>
      <c r="C4" s="21">
        <v>1088</v>
      </c>
      <c r="D4" s="21">
        <v>1006</v>
      </c>
      <c r="E4" s="21">
        <v>1007</v>
      </c>
      <c r="F4" s="21">
        <v>1015</v>
      </c>
      <c r="G4" s="36">
        <v>1017</v>
      </c>
      <c r="H4" s="21">
        <v>1018</v>
      </c>
      <c r="I4" s="21">
        <v>1021</v>
      </c>
      <c r="J4" s="21">
        <v>1022</v>
      </c>
      <c r="K4" s="21">
        <v>1034</v>
      </c>
      <c r="L4" s="36">
        <v>1035</v>
      </c>
      <c r="M4" s="21">
        <v>1039</v>
      </c>
      <c r="N4" s="21">
        <v>1047</v>
      </c>
      <c r="O4" s="21">
        <v>1058</v>
      </c>
      <c r="P4" s="21">
        <v>1065</v>
      </c>
      <c r="Q4" s="36">
        <v>1077</v>
      </c>
      <c r="R4" s="53">
        <v>1080</v>
      </c>
      <c r="S4" s="7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20" t="s">
        <v>1</v>
      </c>
      <c r="B5" s="21" t="s">
        <v>5</v>
      </c>
      <c r="C5" s="21" t="s">
        <v>23</v>
      </c>
      <c r="D5" s="21" t="s">
        <v>25</v>
      </c>
      <c r="E5" s="21" t="s">
        <v>26</v>
      </c>
      <c r="F5" s="21" t="s">
        <v>27</v>
      </c>
      <c r="G5" s="36" t="s">
        <v>77</v>
      </c>
      <c r="H5" s="21" t="s">
        <v>78</v>
      </c>
      <c r="I5" s="21" t="s">
        <v>79</v>
      </c>
      <c r="J5" s="21" t="s">
        <v>80</v>
      </c>
      <c r="K5" s="21" t="s">
        <v>81</v>
      </c>
      <c r="L5" s="36" t="s">
        <v>82</v>
      </c>
      <c r="M5" s="21" t="s">
        <v>83</v>
      </c>
      <c r="N5" s="21" t="s">
        <v>84</v>
      </c>
      <c r="O5" s="21" t="s">
        <v>85</v>
      </c>
      <c r="P5" s="21" t="s">
        <v>86</v>
      </c>
      <c r="Q5" s="36" t="s">
        <v>87</v>
      </c>
      <c r="R5" s="53" t="s">
        <v>88</v>
      </c>
      <c r="S5" s="72" t="s">
        <v>107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2" t="s">
        <v>6</v>
      </c>
      <c r="B6" s="23">
        <v>22</v>
      </c>
      <c r="C6" s="23">
        <v>20</v>
      </c>
      <c r="D6" s="23">
        <v>22</v>
      </c>
      <c r="E6" s="23">
        <v>22</v>
      </c>
      <c r="F6" s="23">
        <v>22</v>
      </c>
      <c r="G6" s="37">
        <v>20</v>
      </c>
      <c r="H6" s="23">
        <v>7</v>
      </c>
      <c r="I6" s="23">
        <v>21</v>
      </c>
      <c r="J6" s="23">
        <v>22</v>
      </c>
      <c r="K6" s="23">
        <v>22</v>
      </c>
      <c r="L6" s="37">
        <v>22</v>
      </c>
      <c r="M6" s="23">
        <v>20</v>
      </c>
      <c r="N6" s="23">
        <v>22</v>
      </c>
      <c r="O6" s="23">
        <v>20</v>
      </c>
      <c r="P6" s="23">
        <v>20</v>
      </c>
      <c r="Q6" s="37">
        <v>19</v>
      </c>
      <c r="R6" s="54">
        <v>22</v>
      </c>
      <c r="S6" s="73">
        <f>SUM(B6:R6)</f>
        <v>345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4" t="s">
        <v>7</v>
      </c>
      <c r="B7" s="8">
        <v>3</v>
      </c>
      <c r="C7" s="8">
        <v>2</v>
      </c>
      <c r="D7" s="8">
        <v>2</v>
      </c>
      <c r="E7" s="8">
        <v>4</v>
      </c>
      <c r="F7" s="8">
        <v>1</v>
      </c>
      <c r="G7" s="38"/>
      <c r="H7" s="8">
        <v>1</v>
      </c>
      <c r="I7" s="8">
        <v>1</v>
      </c>
      <c r="J7" s="8">
        <v>3</v>
      </c>
      <c r="K7" s="8">
        <v>5</v>
      </c>
      <c r="L7" s="39">
        <v>4</v>
      </c>
      <c r="M7" s="8">
        <v>1</v>
      </c>
      <c r="N7" s="8">
        <v>4</v>
      </c>
      <c r="O7" s="8">
        <v>4</v>
      </c>
      <c r="P7" s="8">
        <v>5</v>
      </c>
      <c r="Q7" s="39">
        <v>4</v>
      </c>
      <c r="R7" s="55"/>
      <c r="S7" s="74">
        <f>SUM(B7:R7)</f>
        <v>44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4" t="s">
        <v>8</v>
      </c>
      <c r="B8" s="9"/>
      <c r="C8" s="8">
        <v>2</v>
      </c>
      <c r="D8" s="8">
        <v>2</v>
      </c>
      <c r="E8" s="9"/>
      <c r="F8" s="8">
        <v>3</v>
      </c>
      <c r="G8" s="39">
        <v>3</v>
      </c>
      <c r="H8" s="9"/>
      <c r="I8" s="8">
        <v>3</v>
      </c>
      <c r="J8" s="9"/>
      <c r="K8" s="9"/>
      <c r="L8" s="38"/>
      <c r="M8" s="8">
        <v>4</v>
      </c>
      <c r="N8" s="9"/>
      <c r="O8" s="8">
        <v>1</v>
      </c>
      <c r="P8" s="8">
        <v>2</v>
      </c>
      <c r="Q8" s="39">
        <v>1</v>
      </c>
      <c r="R8" s="68">
        <v>3</v>
      </c>
      <c r="S8" s="74">
        <f>SUM(B8:R8)</f>
        <v>24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4" t="s">
        <v>9</v>
      </c>
      <c r="B9" s="9"/>
      <c r="C9" s="8">
        <v>2</v>
      </c>
      <c r="D9" s="9"/>
      <c r="E9" s="9"/>
      <c r="F9" s="9"/>
      <c r="G9" s="38"/>
      <c r="H9" s="9"/>
      <c r="I9" s="9"/>
      <c r="J9" s="9"/>
      <c r="K9" s="9"/>
      <c r="L9" s="38"/>
      <c r="M9" s="9"/>
      <c r="N9" s="9"/>
      <c r="O9" s="9"/>
      <c r="P9" s="9"/>
      <c r="Q9" s="38"/>
      <c r="R9" s="55"/>
      <c r="S9" s="74">
        <f t="shared" ref="S9:S10" si="0">SUM(B9:R9)</f>
        <v>2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4" t="s">
        <v>10</v>
      </c>
      <c r="B10" s="9"/>
      <c r="C10" s="9"/>
      <c r="D10" s="9"/>
      <c r="E10" s="9"/>
      <c r="F10" s="9"/>
      <c r="G10" s="39">
        <v>2</v>
      </c>
      <c r="H10" s="8">
        <v>15</v>
      </c>
      <c r="I10" s="8">
        <v>1</v>
      </c>
      <c r="J10" s="9"/>
      <c r="K10" s="9"/>
      <c r="L10" s="38"/>
      <c r="M10" s="8">
        <v>2</v>
      </c>
      <c r="N10" s="9"/>
      <c r="O10" s="8">
        <v>2</v>
      </c>
      <c r="P10" s="8">
        <v>2</v>
      </c>
      <c r="Q10" s="39">
        <v>3</v>
      </c>
      <c r="R10" s="55"/>
      <c r="S10" s="74">
        <f t="shared" si="0"/>
        <v>27</v>
      </c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4" t="s">
        <v>11</v>
      </c>
      <c r="B11" s="9"/>
      <c r="C11" s="9"/>
      <c r="D11" s="9"/>
      <c r="E11" s="9"/>
      <c r="F11" s="9"/>
      <c r="G11" s="38"/>
      <c r="H11" s="9"/>
      <c r="I11" s="9"/>
      <c r="J11" s="9"/>
      <c r="K11" s="9"/>
      <c r="L11" s="38"/>
      <c r="M11" s="9"/>
      <c r="N11" s="9"/>
      <c r="O11" s="9"/>
      <c r="P11" s="9"/>
      <c r="Q11" s="38"/>
      <c r="R11" s="55"/>
      <c r="S11" s="75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4" t="s">
        <v>12</v>
      </c>
      <c r="B12" s="9"/>
      <c r="C12" s="9"/>
      <c r="D12" s="9"/>
      <c r="E12" s="9"/>
      <c r="F12" s="9"/>
      <c r="G12" s="38"/>
      <c r="H12" s="9"/>
      <c r="I12" s="9"/>
      <c r="J12" s="9"/>
      <c r="K12" s="9"/>
      <c r="L12" s="38"/>
      <c r="M12" s="9"/>
      <c r="N12" s="9"/>
      <c r="O12" s="9"/>
      <c r="P12" s="9"/>
      <c r="Q12" s="38"/>
      <c r="R12" s="55"/>
      <c r="S12" s="75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4" t="s">
        <v>13</v>
      </c>
      <c r="B13" s="9"/>
      <c r="C13" s="9"/>
      <c r="D13" s="9"/>
      <c r="E13" s="9"/>
      <c r="F13" s="9"/>
      <c r="G13" s="38"/>
      <c r="H13" s="9"/>
      <c r="I13" s="9"/>
      <c r="J13" s="9"/>
      <c r="K13" s="9"/>
      <c r="L13" s="38"/>
      <c r="M13" s="9"/>
      <c r="N13" s="9"/>
      <c r="O13" s="9"/>
      <c r="P13" s="9"/>
      <c r="Q13" s="38"/>
      <c r="R13" s="55"/>
      <c r="S13" s="75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4" t="s">
        <v>14</v>
      </c>
      <c r="B14" s="10">
        <v>2.6666666666666665</v>
      </c>
      <c r="C14" s="10">
        <v>1.75</v>
      </c>
      <c r="D14" s="10">
        <v>1.25</v>
      </c>
      <c r="E14" s="10">
        <v>2.375</v>
      </c>
      <c r="F14" s="10">
        <v>2.4166666666666665</v>
      </c>
      <c r="G14" s="40">
        <v>2.875</v>
      </c>
      <c r="H14" s="10">
        <v>0.66666666666666663</v>
      </c>
      <c r="I14" s="10">
        <v>2.3333333333333335</v>
      </c>
      <c r="J14" s="10">
        <v>3.2083333333333335</v>
      </c>
      <c r="K14" s="10">
        <v>2.2916666666666665</v>
      </c>
      <c r="L14" s="40">
        <v>2.4166666666666665</v>
      </c>
      <c r="M14" s="10">
        <v>1.5833333333333333</v>
      </c>
      <c r="N14" s="10">
        <v>2.25</v>
      </c>
      <c r="O14" s="10">
        <v>1.75</v>
      </c>
      <c r="P14" s="10">
        <v>2.0416666666666665</v>
      </c>
      <c r="Q14" s="40">
        <v>1.1666666666666667</v>
      </c>
      <c r="R14" s="56">
        <v>3.2083333333333335</v>
      </c>
      <c r="S14" s="76">
        <f>SUM(B14:R14)</f>
        <v>36.25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4" t="s">
        <v>15</v>
      </c>
      <c r="B15" s="10">
        <v>1.375</v>
      </c>
      <c r="C15" s="9"/>
      <c r="D15" s="10">
        <v>0.91666666666666663</v>
      </c>
      <c r="E15" s="10">
        <v>1.375</v>
      </c>
      <c r="F15" s="10">
        <v>0.45833333333333331</v>
      </c>
      <c r="G15" s="38"/>
      <c r="H15" s="10">
        <v>0.5</v>
      </c>
      <c r="I15" s="10">
        <v>0.20833333333333334</v>
      </c>
      <c r="J15" s="10">
        <v>0.875</v>
      </c>
      <c r="K15" s="10">
        <v>1.8333333333333333</v>
      </c>
      <c r="L15" s="40">
        <v>1.2916666666666667</v>
      </c>
      <c r="M15" s="10">
        <v>0.375</v>
      </c>
      <c r="N15" s="10">
        <v>1.5416666666666667</v>
      </c>
      <c r="O15" s="10">
        <v>1.1666666666666667</v>
      </c>
      <c r="P15" s="10">
        <v>2.1666666666666665</v>
      </c>
      <c r="Q15" s="40">
        <v>1.2083333333333333</v>
      </c>
      <c r="R15" s="55"/>
      <c r="S15" s="76">
        <f t="shared" ref="S15:S17" si="1">SUM(B15:R15)</f>
        <v>15.291666666666664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4" t="s">
        <v>16</v>
      </c>
      <c r="B16" s="9"/>
      <c r="C16" s="10">
        <v>0.29166666666666669</v>
      </c>
      <c r="D16" s="10">
        <v>0.54166666666666663</v>
      </c>
      <c r="E16" s="9"/>
      <c r="F16" s="10">
        <v>0.875</v>
      </c>
      <c r="G16" s="40">
        <v>1.0833333333333333</v>
      </c>
      <c r="H16" s="9"/>
      <c r="I16" s="10">
        <v>1.1666666666666667</v>
      </c>
      <c r="J16" s="9"/>
      <c r="K16" s="9"/>
      <c r="L16" s="38"/>
      <c r="M16" s="10">
        <v>1.4166666666666667</v>
      </c>
      <c r="N16" s="9"/>
      <c r="O16" s="10">
        <v>0.5</v>
      </c>
      <c r="P16" s="10">
        <v>0.79166666666666663</v>
      </c>
      <c r="Q16" s="40">
        <v>0.375</v>
      </c>
      <c r="R16" s="56">
        <v>1.0833333333333333</v>
      </c>
      <c r="S16" s="76">
        <f t="shared" si="1"/>
        <v>8.125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4" t="s">
        <v>17</v>
      </c>
      <c r="B17" s="9"/>
      <c r="C17" s="10">
        <v>0.79166666666666663</v>
      </c>
      <c r="D17" s="9"/>
      <c r="E17" s="9"/>
      <c r="F17" s="9"/>
      <c r="G17" s="38"/>
      <c r="H17" s="9"/>
      <c r="I17" s="9"/>
      <c r="J17" s="9"/>
      <c r="K17" s="9"/>
      <c r="L17" s="38"/>
      <c r="M17" s="9"/>
      <c r="N17" s="9"/>
      <c r="O17" s="9"/>
      <c r="P17" s="9"/>
      <c r="Q17" s="38"/>
      <c r="R17" s="55"/>
      <c r="S17" s="76">
        <f t="shared" si="1"/>
        <v>0.79166666666666663</v>
      </c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4" t="s">
        <v>18</v>
      </c>
      <c r="B18" s="9"/>
      <c r="C18" s="9"/>
      <c r="D18" s="9"/>
      <c r="E18" s="9"/>
      <c r="F18" s="9"/>
      <c r="G18" s="38"/>
      <c r="H18" s="9"/>
      <c r="I18" s="9"/>
      <c r="J18" s="9"/>
      <c r="K18" s="9"/>
      <c r="L18" s="38"/>
      <c r="M18" s="9"/>
      <c r="N18" s="9"/>
      <c r="O18" s="9"/>
      <c r="P18" s="9"/>
      <c r="Q18" s="38"/>
      <c r="R18" s="55"/>
      <c r="S18" s="75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4" t="s">
        <v>19</v>
      </c>
      <c r="B19" s="9"/>
      <c r="C19" s="9"/>
      <c r="D19" s="9"/>
      <c r="E19" s="9"/>
      <c r="F19" s="9"/>
      <c r="G19" s="38"/>
      <c r="H19" s="9"/>
      <c r="I19" s="9"/>
      <c r="J19" s="9"/>
      <c r="K19" s="9"/>
      <c r="L19" s="38"/>
      <c r="M19" s="9"/>
      <c r="N19" s="9"/>
      <c r="O19" s="9"/>
      <c r="P19" s="9"/>
      <c r="Q19" s="38"/>
      <c r="R19" s="55"/>
      <c r="S19" s="75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4" t="s">
        <v>20</v>
      </c>
      <c r="B20" s="9"/>
      <c r="C20" s="9"/>
      <c r="D20" s="9"/>
      <c r="E20" s="9"/>
      <c r="F20" s="9"/>
      <c r="G20" s="38"/>
      <c r="H20" s="9"/>
      <c r="I20" s="9"/>
      <c r="J20" s="9"/>
      <c r="K20" s="9"/>
      <c r="L20" s="38"/>
      <c r="M20" s="9"/>
      <c r="N20" s="9"/>
      <c r="O20" s="9"/>
      <c r="P20" s="9"/>
      <c r="Q20" s="38"/>
      <c r="R20" s="55"/>
      <c r="S20" s="75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4" t="s">
        <v>21</v>
      </c>
      <c r="B21" s="9"/>
      <c r="C21" s="9"/>
      <c r="D21" s="9"/>
      <c r="E21" s="9"/>
      <c r="F21" s="9"/>
      <c r="G21" s="38"/>
      <c r="H21" s="9"/>
      <c r="I21" s="9"/>
      <c r="J21" s="9"/>
      <c r="K21" s="9"/>
      <c r="L21" s="38"/>
      <c r="M21" s="9"/>
      <c r="N21" s="9"/>
      <c r="O21" s="9"/>
      <c r="P21" s="9"/>
      <c r="Q21" s="38"/>
      <c r="R21" s="55"/>
      <c r="S21" s="75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4" t="s">
        <v>22</v>
      </c>
      <c r="B22" s="25">
        <v>1.2916666666666667</v>
      </c>
      <c r="C22" s="25">
        <v>1</v>
      </c>
      <c r="D22" s="25">
        <v>0.625</v>
      </c>
      <c r="E22" s="25">
        <v>0.375</v>
      </c>
      <c r="F22" s="25">
        <v>0.125</v>
      </c>
      <c r="G22" s="41">
        <v>1.2916666666666667</v>
      </c>
      <c r="H22" s="25">
        <v>0.58333333333333337</v>
      </c>
      <c r="I22" s="25">
        <v>1.6666666666666667</v>
      </c>
      <c r="J22" s="25">
        <v>1.4166666666666667</v>
      </c>
      <c r="K22" s="25">
        <v>0.16666666666666666</v>
      </c>
      <c r="L22" s="41">
        <v>0.375</v>
      </c>
      <c r="M22" s="25">
        <v>0.20833333333333334</v>
      </c>
      <c r="N22" s="25">
        <v>0.83333333333333337</v>
      </c>
      <c r="O22" s="25">
        <v>0.25</v>
      </c>
      <c r="P22" s="25">
        <v>1.25</v>
      </c>
      <c r="Q22" s="41">
        <v>0.58333333333333337</v>
      </c>
      <c r="R22" s="69">
        <v>2.1666666666666665</v>
      </c>
      <c r="S22" s="77">
        <f>SUM(B22:R22)</f>
        <v>14.208333333333334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2" t="s">
        <v>28</v>
      </c>
      <c r="B23" s="26">
        <v>170000</v>
      </c>
      <c r="C23" s="26">
        <v>175000</v>
      </c>
      <c r="D23" s="26">
        <v>182000</v>
      </c>
      <c r="E23" s="26">
        <v>187000</v>
      </c>
      <c r="F23" s="26">
        <v>192000</v>
      </c>
      <c r="G23" s="42">
        <v>192000</v>
      </c>
      <c r="H23" s="26">
        <v>182000</v>
      </c>
      <c r="I23" s="26">
        <v>192000</v>
      </c>
      <c r="J23" s="26">
        <v>187000</v>
      </c>
      <c r="K23" s="26">
        <v>172000</v>
      </c>
      <c r="L23" s="42">
        <v>172000</v>
      </c>
      <c r="M23" s="26">
        <v>172000</v>
      </c>
      <c r="N23" s="26">
        <v>177000</v>
      </c>
      <c r="O23" s="26">
        <v>170000</v>
      </c>
      <c r="P23" s="26">
        <v>175000</v>
      </c>
      <c r="Q23" s="42">
        <v>170000</v>
      </c>
      <c r="R23" s="58">
        <v>175000</v>
      </c>
      <c r="S23" s="78">
        <f>SUM(B23:R23)</f>
        <v>3042000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4" t="s">
        <v>29</v>
      </c>
      <c r="B24" s="9">
        <v>0</v>
      </c>
      <c r="C24" s="9">
        <v>0</v>
      </c>
      <c r="D24" s="9">
        <v>0</v>
      </c>
      <c r="E24" s="9">
        <v>0</v>
      </c>
      <c r="F24" s="9">
        <v>20000</v>
      </c>
      <c r="G24" s="38">
        <v>5000</v>
      </c>
      <c r="H24" s="9">
        <v>0</v>
      </c>
      <c r="I24" s="9">
        <v>20000</v>
      </c>
      <c r="J24" s="9">
        <v>5000</v>
      </c>
      <c r="K24" s="9">
        <v>0</v>
      </c>
      <c r="L24" s="38">
        <v>0</v>
      </c>
      <c r="M24" s="9">
        <v>0</v>
      </c>
      <c r="N24" s="9">
        <v>0</v>
      </c>
      <c r="O24" s="9">
        <v>0</v>
      </c>
      <c r="P24" s="9">
        <v>0</v>
      </c>
      <c r="Q24" s="38">
        <v>0</v>
      </c>
      <c r="R24" s="55">
        <v>0</v>
      </c>
      <c r="S24" s="75">
        <f t="shared" ref="S24:S72" si="2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4" t="s">
        <v>30</v>
      </c>
      <c r="B25" s="9">
        <v>0</v>
      </c>
      <c r="C25" s="9">
        <v>0</v>
      </c>
      <c r="D25" s="9">
        <v>0</v>
      </c>
      <c r="E25" s="9">
        <v>0</v>
      </c>
      <c r="F25" s="9">
        <v>3000</v>
      </c>
      <c r="G25" s="38">
        <v>0</v>
      </c>
      <c r="H25" s="9">
        <v>0</v>
      </c>
      <c r="I25" s="9">
        <v>0</v>
      </c>
      <c r="J25" s="9">
        <v>0</v>
      </c>
      <c r="K25" s="9">
        <v>0</v>
      </c>
      <c r="L25" s="38">
        <v>0</v>
      </c>
      <c r="M25" s="9">
        <v>0</v>
      </c>
      <c r="N25" s="9">
        <v>0</v>
      </c>
      <c r="O25" s="9">
        <v>0</v>
      </c>
      <c r="P25" s="9">
        <v>0</v>
      </c>
      <c r="Q25" s="38">
        <v>0</v>
      </c>
      <c r="R25" s="55">
        <v>0</v>
      </c>
      <c r="S25" s="75">
        <f t="shared" si="2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4" t="s">
        <v>31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38">
        <v>0</v>
      </c>
      <c r="H26" s="9">
        <v>0</v>
      </c>
      <c r="I26" s="9">
        <v>0</v>
      </c>
      <c r="J26" s="9">
        <v>0</v>
      </c>
      <c r="K26" s="9">
        <v>0</v>
      </c>
      <c r="L26" s="38">
        <v>0</v>
      </c>
      <c r="M26" s="9">
        <v>0</v>
      </c>
      <c r="N26" s="9">
        <v>0</v>
      </c>
      <c r="O26" s="9">
        <v>0</v>
      </c>
      <c r="P26" s="9">
        <v>0</v>
      </c>
      <c r="Q26" s="38">
        <v>0</v>
      </c>
      <c r="R26" s="55">
        <v>0</v>
      </c>
      <c r="S26" s="75">
        <f t="shared" si="2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4" t="s">
        <v>32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38">
        <v>0</v>
      </c>
      <c r="H27" s="9">
        <v>0</v>
      </c>
      <c r="I27" s="9">
        <v>0</v>
      </c>
      <c r="J27" s="9">
        <v>0</v>
      </c>
      <c r="K27" s="9">
        <v>0</v>
      </c>
      <c r="L27" s="38">
        <v>0</v>
      </c>
      <c r="M27" s="9">
        <v>0</v>
      </c>
      <c r="N27" s="9">
        <v>0</v>
      </c>
      <c r="O27" s="9">
        <v>0</v>
      </c>
      <c r="P27" s="9">
        <v>0</v>
      </c>
      <c r="Q27" s="38">
        <v>0</v>
      </c>
      <c r="R27" s="55">
        <v>0</v>
      </c>
      <c r="S27" s="75">
        <f t="shared" si="2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4" t="s">
        <v>33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38">
        <v>0</v>
      </c>
      <c r="H28" s="9">
        <v>0</v>
      </c>
      <c r="I28" s="9">
        <v>0</v>
      </c>
      <c r="J28" s="9">
        <v>0</v>
      </c>
      <c r="K28" s="9">
        <v>0</v>
      </c>
      <c r="L28" s="38">
        <v>0</v>
      </c>
      <c r="M28" s="9">
        <v>0</v>
      </c>
      <c r="N28" s="9">
        <v>0</v>
      </c>
      <c r="O28" s="9">
        <v>0</v>
      </c>
      <c r="P28" s="9">
        <v>0</v>
      </c>
      <c r="Q28" s="38">
        <v>0</v>
      </c>
      <c r="R28" s="55">
        <v>0</v>
      </c>
      <c r="S28" s="75">
        <f t="shared" si="2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4" t="s">
        <v>34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38">
        <v>0</v>
      </c>
      <c r="H29" s="9">
        <v>0</v>
      </c>
      <c r="I29" s="9">
        <v>0</v>
      </c>
      <c r="J29" s="9">
        <v>0</v>
      </c>
      <c r="K29" s="9">
        <v>0</v>
      </c>
      <c r="L29" s="38">
        <v>0</v>
      </c>
      <c r="M29" s="9">
        <v>0</v>
      </c>
      <c r="N29" s="9">
        <v>0</v>
      </c>
      <c r="O29" s="9">
        <v>0</v>
      </c>
      <c r="P29" s="9">
        <v>0</v>
      </c>
      <c r="Q29" s="38">
        <v>0</v>
      </c>
      <c r="R29" s="55">
        <v>0</v>
      </c>
      <c r="S29" s="75">
        <f t="shared" si="2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4" t="s">
        <v>35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38">
        <v>0</v>
      </c>
      <c r="H30" s="9">
        <v>0</v>
      </c>
      <c r="I30" s="9">
        <v>0</v>
      </c>
      <c r="J30" s="9">
        <v>0</v>
      </c>
      <c r="K30" s="9">
        <v>0</v>
      </c>
      <c r="L30" s="38">
        <v>0</v>
      </c>
      <c r="M30" s="9">
        <v>0</v>
      </c>
      <c r="N30" s="9">
        <v>0</v>
      </c>
      <c r="O30" s="9">
        <v>0</v>
      </c>
      <c r="P30" s="9">
        <v>0</v>
      </c>
      <c r="Q30" s="38">
        <v>0</v>
      </c>
      <c r="R30" s="55">
        <v>0</v>
      </c>
      <c r="S30" s="75">
        <f t="shared" si="2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4" t="s">
        <v>36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38">
        <v>0</v>
      </c>
      <c r="H31" s="9">
        <v>0</v>
      </c>
      <c r="I31" s="9">
        <v>0</v>
      </c>
      <c r="J31" s="9">
        <v>0</v>
      </c>
      <c r="K31" s="9">
        <v>0</v>
      </c>
      <c r="L31" s="38">
        <v>0</v>
      </c>
      <c r="M31" s="9">
        <v>0</v>
      </c>
      <c r="N31" s="9">
        <v>0</v>
      </c>
      <c r="O31" s="9">
        <v>0</v>
      </c>
      <c r="P31" s="9">
        <v>0</v>
      </c>
      <c r="Q31" s="38">
        <v>0</v>
      </c>
      <c r="R31" s="55">
        <v>0</v>
      </c>
      <c r="S31" s="75">
        <f t="shared" si="2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4" t="s">
        <v>37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38">
        <v>0</v>
      </c>
      <c r="H32" s="9">
        <v>0</v>
      </c>
      <c r="I32" s="9">
        <v>0</v>
      </c>
      <c r="J32" s="9">
        <v>0</v>
      </c>
      <c r="K32" s="9">
        <v>0</v>
      </c>
      <c r="L32" s="38">
        <v>0</v>
      </c>
      <c r="M32" s="9">
        <v>0</v>
      </c>
      <c r="N32" s="9">
        <v>0</v>
      </c>
      <c r="O32" s="9">
        <v>0</v>
      </c>
      <c r="P32" s="9">
        <v>0</v>
      </c>
      <c r="Q32" s="38">
        <v>0</v>
      </c>
      <c r="R32" s="55">
        <v>0</v>
      </c>
      <c r="S32" s="75">
        <f t="shared" si="2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4" t="s">
        <v>38</v>
      </c>
      <c r="B33" s="9">
        <v>28800</v>
      </c>
      <c r="C33" s="9">
        <v>24800</v>
      </c>
      <c r="D33" s="9">
        <v>29000</v>
      </c>
      <c r="E33" s="9">
        <v>0</v>
      </c>
      <c r="F33" s="9">
        <v>28800</v>
      </c>
      <c r="G33" s="38">
        <v>29200</v>
      </c>
      <c r="H33" s="9">
        <v>28600</v>
      </c>
      <c r="I33" s="9">
        <v>26600</v>
      </c>
      <c r="J33" s="9">
        <v>28400</v>
      </c>
      <c r="K33" s="9">
        <v>29800</v>
      </c>
      <c r="L33" s="38">
        <v>29200</v>
      </c>
      <c r="M33" s="9">
        <v>29400</v>
      </c>
      <c r="N33" s="9">
        <v>29200</v>
      </c>
      <c r="O33" s="9">
        <v>29000</v>
      </c>
      <c r="P33" s="9">
        <v>29200</v>
      </c>
      <c r="Q33" s="38">
        <v>29800</v>
      </c>
      <c r="R33" s="55">
        <v>30200</v>
      </c>
      <c r="S33" s="75">
        <f t="shared" si="2"/>
        <v>460000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4" t="s">
        <v>39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38">
        <v>0</v>
      </c>
      <c r="H34" s="9">
        <v>0</v>
      </c>
      <c r="I34" s="9">
        <v>0</v>
      </c>
      <c r="J34" s="9">
        <v>0</v>
      </c>
      <c r="K34" s="9">
        <v>0</v>
      </c>
      <c r="L34" s="38">
        <v>0</v>
      </c>
      <c r="M34" s="9">
        <v>0</v>
      </c>
      <c r="N34" s="9">
        <v>0</v>
      </c>
      <c r="O34" s="9">
        <v>0</v>
      </c>
      <c r="P34" s="9">
        <v>0</v>
      </c>
      <c r="Q34" s="38">
        <v>0</v>
      </c>
      <c r="R34" s="55">
        <v>0</v>
      </c>
      <c r="S34" s="75">
        <f t="shared" si="2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4" t="s">
        <v>40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38">
        <v>0</v>
      </c>
      <c r="H35" s="9">
        <v>0</v>
      </c>
      <c r="I35" s="9">
        <v>0</v>
      </c>
      <c r="J35" s="9">
        <v>0</v>
      </c>
      <c r="K35" s="9">
        <v>0</v>
      </c>
      <c r="L35" s="38">
        <v>0</v>
      </c>
      <c r="M35" s="9">
        <v>0</v>
      </c>
      <c r="N35" s="9">
        <v>0</v>
      </c>
      <c r="O35" s="9">
        <v>0</v>
      </c>
      <c r="P35" s="9">
        <v>0</v>
      </c>
      <c r="Q35" s="38">
        <v>0</v>
      </c>
      <c r="R35" s="55">
        <v>0</v>
      </c>
      <c r="S35" s="75">
        <f t="shared" si="2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4" t="s">
        <v>41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38">
        <v>0</v>
      </c>
      <c r="H36" s="9">
        <v>0</v>
      </c>
      <c r="I36" s="9">
        <v>0</v>
      </c>
      <c r="J36" s="9">
        <v>0</v>
      </c>
      <c r="K36" s="9">
        <v>0</v>
      </c>
      <c r="L36" s="38">
        <v>0</v>
      </c>
      <c r="M36" s="9">
        <v>0</v>
      </c>
      <c r="N36" s="9">
        <v>0</v>
      </c>
      <c r="O36" s="9">
        <v>0</v>
      </c>
      <c r="P36" s="9">
        <v>0</v>
      </c>
      <c r="Q36" s="38">
        <v>0</v>
      </c>
      <c r="R36" s="55">
        <v>0</v>
      </c>
      <c r="S36" s="75">
        <f t="shared" si="2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4" t="s">
        <v>42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38">
        <v>0</v>
      </c>
      <c r="H37" s="9">
        <v>0</v>
      </c>
      <c r="I37" s="9">
        <v>0</v>
      </c>
      <c r="J37" s="9">
        <v>0</v>
      </c>
      <c r="K37" s="9">
        <v>0</v>
      </c>
      <c r="L37" s="38">
        <v>0</v>
      </c>
      <c r="M37" s="9">
        <v>0</v>
      </c>
      <c r="N37" s="9">
        <v>0</v>
      </c>
      <c r="O37" s="9">
        <v>0</v>
      </c>
      <c r="P37" s="9">
        <v>0</v>
      </c>
      <c r="Q37" s="38">
        <v>0</v>
      </c>
      <c r="R37" s="55">
        <v>0</v>
      </c>
      <c r="S37" s="75">
        <f t="shared" si="2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4" t="s">
        <v>43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38">
        <v>0</v>
      </c>
      <c r="H38" s="9">
        <v>0</v>
      </c>
      <c r="I38" s="9">
        <v>0</v>
      </c>
      <c r="J38" s="9">
        <v>0</v>
      </c>
      <c r="K38" s="9">
        <v>0</v>
      </c>
      <c r="L38" s="38">
        <v>0</v>
      </c>
      <c r="M38" s="9">
        <v>0</v>
      </c>
      <c r="N38" s="9">
        <v>0</v>
      </c>
      <c r="O38" s="9">
        <v>0</v>
      </c>
      <c r="P38" s="9">
        <v>0</v>
      </c>
      <c r="Q38" s="38">
        <v>0</v>
      </c>
      <c r="R38" s="55">
        <v>0</v>
      </c>
      <c r="S38" s="75">
        <f t="shared" si="2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4" t="s">
        <v>44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38">
        <v>0</v>
      </c>
      <c r="H39" s="9">
        <v>0</v>
      </c>
      <c r="I39" s="9">
        <v>0</v>
      </c>
      <c r="J39" s="9">
        <v>0</v>
      </c>
      <c r="K39" s="9">
        <v>0</v>
      </c>
      <c r="L39" s="38">
        <v>0</v>
      </c>
      <c r="M39" s="9">
        <v>0</v>
      </c>
      <c r="N39" s="9">
        <v>0</v>
      </c>
      <c r="O39" s="9">
        <v>0</v>
      </c>
      <c r="P39" s="9">
        <v>0</v>
      </c>
      <c r="Q39" s="38">
        <v>0</v>
      </c>
      <c r="R39" s="55">
        <v>0</v>
      </c>
      <c r="S39" s="75">
        <f t="shared" si="2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4" t="s">
        <v>45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38">
        <v>0</v>
      </c>
      <c r="H40" s="9">
        <v>0</v>
      </c>
      <c r="I40" s="9">
        <v>0</v>
      </c>
      <c r="J40" s="9">
        <v>0</v>
      </c>
      <c r="K40" s="9">
        <v>0</v>
      </c>
      <c r="L40" s="38">
        <v>0</v>
      </c>
      <c r="M40" s="9">
        <v>0</v>
      </c>
      <c r="N40" s="9">
        <v>0</v>
      </c>
      <c r="O40" s="9">
        <v>0</v>
      </c>
      <c r="P40" s="9">
        <v>0</v>
      </c>
      <c r="Q40" s="38">
        <v>0</v>
      </c>
      <c r="R40" s="55">
        <v>0</v>
      </c>
      <c r="S40" s="75">
        <f t="shared" si="2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4" t="s">
        <v>46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38">
        <v>0</v>
      </c>
      <c r="H41" s="9">
        <v>0</v>
      </c>
      <c r="I41" s="9">
        <v>0</v>
      </c>
      <c r="J41" s="9">
        <v>0</v>
      </c>
      <c r="K41" s="9">
        <v>0</v>
      </c>
      <c r="L41" s="38">
        <v>0</v>
      </c>
      <c r="M41" s="9">
        <v>0</v>
      </c>
      <c r="N41" s="9">
        <v>0</v>
      </c>
      <c r="O41" s="9">
        <v>0</v>
      </c>
      <c r="P41" s="9">
        <v>0</v>
      </c>
      <c r="Q41" s="38">
        <v>0</v>
      </c>
      <c r="R41" s="55">
        <v>0</v>
      </c>
      <c r="S41" s="75">
        <f t="shared" si="2"/>
        <v>0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4" t="s">
        <v>47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38">
        <v>0</v>
      </c>
      <c r="H42" s="9">
        <v>0</v>
      </c>
      <c r="I42" s="9">
        <v>0</v>
      </c>
      <c r="J42" s="9">
        <v>0</v>
      </c>
      <c r="K42" s="9">
        <v>0</v>
      </c>
      <c r="L42" s="38">
        <v>0</v>
      </c>
      <c r="M42" s="9">
        <v>0</v>
      </c>
      <c r="N42" s="9">
        <v>0</v>
      </c>
      <c r="O42" s="9">
        <v>0</v>
      </c>
      <c r="P42" s="9">
        <v>0</v>
      </c>
      <c r="Q42" s="38">
        <v>0</v>
      </c>
      <c r="R42" s="55">
        <v>0</v>
      </c>
      <c r="S42" s="75">
        <f t="shared" si="2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4" t="s">
        <v>14</v>
      </c>
      <c r="B43" s="9">
        <v>95232</v>
      </c>
      <c r="C43" s="9">
        <v>62790</v>
      </c>
      <c r="D43" s="9">
        <v>47370</v>
      </c>
      <c r="E43" s="9">
        <v>79800</v>
      </c>
      <c r="F43" s="9">
        <v>105850</v>
      </c>
      <c r="G43" s="38">
        <v>116817</v>
      </c>
      <c r="H43" s="9">
        <v>25216</v>
      </c>
      <c r="I43" s="9">
        <v>100016</v>
      </c>
      <c r="J43" s="9">
        <v>127050</v>
      </c>
      <c r="K43" s="9">
        <v>83050</v>
      </c>
      <c r="L43" s="38">
        <v>87348</v>
      </c>
      <c r="M43" s="9">
        <v>57304</v>
      </c>
      <c r="N43" s="9">
        <v>83376</v>
      </c>
      <c r="O43" s="9">
        <v>62580</v>
      </c>
      <c r="P43" s="9">
        <v>74921</v>
      </c>
      <c r="Q43" s="38">
        <v>41860</v>
      </c>
      <c r="R43" s="55">
        <v>118272</v>
      </c>
      <c r="S43" s="75">
        <f t="shared" si="2"/>
        <v>1368852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4" t="s">
        <v>7</v>
      </c>
      <c r="B44" s="9">
        <v>53031</v>
      </c>
      <c r="C44" s="9">
        <v>0</v>
      </c>
      <c r="D44" s="9">
        <v>37510</v>
      </c>
      <c r="E44" s="9">
        <v>49896</v>
      </c>
      <c r="F44" s="9">
        <v>21681</v>
      </c>
      <c r="G44" s="38">
        <v>0</v>
      </c>
      <c r="H44" s="9">
        <v>20424</v>
      </c>
      <c r="I44" s="9">
        <v>9645</v>
      </c>
      <c r="J44" s="9">
        <v>37422</v>
      </c>
      <c r="K44" s="9">
        <v>71764</v>
      </c>
      <c r="L44" s="38">
        <v>50437</v>
      </c>
      <c r="M44" s="9">
        <v>14652</v>
      </c>
      <c r="N44" s="9">
        <v>61679</v>
      </c>
      <c r="O44" s="9">
        <v>45052</v>
      </c>
      <c r="P44" s="9">
        <v>85852</v>
      </c>
      <c r="Q44" s="38">
        <v>46835</v>
      </c>
      <c r="R44" s="55">
        <v>0</v>
      </c>
      <c r="S44" s="75">
        <f t="shared" si="2"/>
        <v>605880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4" t="s">
        <v>8</v>
      </c>
      <c r="B45" s="9">
        <v>0</v>
      </c>
      <c r="C45" s="9">
        <v>11305</v>
      </c>
      <c r="D45" s="9">
        <v>22165</v>
      </c>
      <c r="E45" s="9">
        <v>0</v>
      </c>
      <c r="F45" s="9">
        <v>41391</v>
      </c>
      <c r="G45" s="38">
        <v>47528</v>
      </c>
      <c r="H45" s="9">
        <v>0</v>
      </c>
      <c r="I45" s="9">
        <v>54012</v>
      </c>
      <c r="J45" s="9">
        <v>0</v>
      </c>
      <c r="K45" s="9">
        <v>0</v>
      </c>
      <c r="L45" s="38">
        <v>0</v>
      </c>
      <c r="M45" s="9">
        <v>55352</v>
      </c>
      <c r="N45" s="9">
        <v>0</v>
      </c>
      <c r="O45" s="9">
        <v>19308</v>
      </c>
      <c r="P45" s="9">
        <v>31369</v>
      </c>
      <c r="Q45" s="38">
        <v>14535</v>
      </c>
      <c r="R45" s="55">
        <v>43134</v>
      </c>
      <c r="S45" s="75">
        <f t="shared" si="2"/>
        <v>340099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4" t="s">
        <v>48</v>
      </c>
      <c r="B46" s="9">
        <v>0</v>
      </c>
      <c r="C46" s="9">
        <v>7961</v>
      </c>
      <c r="D46" s="9">
        <v>0</v>
      </c>
      <c r="E46" s="9">
        <v>0</v>
      </c>
      <c r="F46" s="9">
        <v>0</v>
      </c>
      <c r="G46" s="38">
        <v>0</v>
      </c>
      <c r="H46" s="9">
        <v>0</v>
      </c>
      <c r="I46" s="9">
        <v>0</v>
      </c>
      <c r="J46" s="9">
        <v>0</v>
      </c>
      <c r="K46" s="9">
        <v>0</v>
      </c>
      <c r="L46" s="38">
        <v>0</v>
      </c>
      <c r="M46" s="9">
        <v>0</v>
      </c>
      <c r="N46" s="9">
        <v>0</v>
      </c>
      <c r="O46" s="9">
        <v>0</v>
      </c>
      <c r="P46" s="9">
        <v>0</v>
      </c>
      <c r="Q46" s="38">
        <v>0</v>
      </c>
      <c r="R46" s="55">
        <v>0</v>
      </c>
      <c r="S46" s="75">
        <f t="shared" si="2"/>
        <v>7961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4" t="s">
        <v>18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38">
        <v>0</v>
      </c>
      <c r="H47" s="9">
        <v>0</v>
      </c>
      <c r="I47" s="9">
        <v>0</v>
      </c>
      <c r="J47" s="9">
        <v>0</v>
      </c>
      <c r="K47" s="9">
        <v>0</v>
      </c>
      <c r="L47" s="38">
        <v>0</v>
      </c>
      <c r="M47" s="9">
        <v>0</v>
      </c>
      <c r="N47" s="9">
        <v>0</v>
      </c>
      <c r="O47" s="9">
        <v>0</v>
      </c>
      <c r="P47" s="9">
        <v>0</v>
      </c>
      <c r="Q47" s="38">
        <v>0</v>
      </c>
      <c r="R47" s="55">
        <v>0</v>
      </c>
      <c r="S47" s="75">
        <f t="shared" si="2"/>
        <v>0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4" t="s">
        <v>49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38">
        <v>0</v>
      </c>
      <c r="H48" s="9">
        <v>0</v>
      </c>
      <c r="I48" s="9">
        <v>0</v>
      </c>
      <c r="J48" s="9">
        <v>0</v>
      </c>
      <c r="K48" s="9">
        <v>0</v>
      </c>
      <c r="L48" s="38">
        <v>0</v>
      </c>
      <c r="M48" s="9">
        <v>0</v>
      </c>
      <c r="N48" s="9">
        <v>0</v>
      </c>
      <c r="O48" s="9">
        <v>0</v>
      </c>
      <c r="P48" s="9">
        <v>0</v>
      </c>
      <c r="Q48" s="38">
        <v>0</v>
      </c>
      <c r="R48" s="55">
        <v>0</v>
      </c>
      <c r="S48" s="75">
        <f t="shared" si="2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5" t="s">
        <v>22</v>
      </c>
      <c r="B49" s="11">
        <v>9238</v>
      </c>
      <c r="C49" s="11">
        <v>7176</v>
      </c>
      <c r="D49" s="11">
        <v>4740</v>
      </c>
      <c r="E49" s="11">
        <v>2520</v>
      </c>
      <c r="F49" s="11">
        <v>1095</v>
      </c>
      <c r="G49" s="43">
        <v>10509</v>
      </c>
      <c r="H49" s="11">
        <v>4410</v>
      </c>
      <c r="I49" s="11">
        <v>14280</v>
      </c>
      <c r="J49" s="11">
        <v>11220</v>
      </c>
      <c r="K49" s="11">
        <v>1208</v>
      </c>
      <c r="L49" s="43">
        <v>2709</v>
      </c>
      <c r="M49" s="11">
        <v>1510</v>
      </c>
      <c r="N49" s="11">
        <v>6180</v>
      </c>
      <c r="O49" s="11">
        <v>1788</v>
      </c>
      <c r="P49" s="11">
        <v>9180</v>
      </c>
      <c r="Q49" s="43">
        <v>4186</v>
      </c>
      <c r="R49" s="59">
        <v>15964</v>
      </c>
      <c r="S49" s="79">
        <f t="shared" si="2"/>
        <v>107913</v>
      </c>
      <c r="T49" s="6"/>
      <c r="U49" s="6"/>
      <c r="V49" s="6"/>
      <c r="W49" s="6"/>
      <c r="X49" s="6"/>
      <c r="Y49" s="6"/>
      <c r="Z49" s="6"/>
    </row>
    <row r="50" spans="1:26" ht="14.25" thickBot="1" x14ac:dyDescent="0.2">
      <c r="A50" s="16" t="s">
        <v>50</v>
      </c>
      <c r="B50" s="29">
        <v>356301</v>
      </c>
      <c r="C50" s="29">
        <v>289032</v>
      </c>
      <c r="D50" s="29">
        <v>322785</v>
      </c>
      <c r="E50" s="29">
        <v>319216</v>
      </c>
      <c r="F50" s="29">
        <v>413817</v>
      </c>
      <c r="G50" s="44">
        <v>401054</v>
      </c>
      <c r="H50" s="29">
        <v>260650</v>
      </c>
      <c r="I50" s="29">
        <v>416553</v>
      </c>
      <c r="J50" s="29">
        <v>396092</v>
      </c>
      <c r="K50" s="29">
        <v>357822</v>
      </c>
      <c r="L50" s="44">
        <v>341694</v>
      </c>
      <c r="M50" s="29">
        <v>330218</v>
      </c>
      <c r="N50" s="29">
        <v>357435</v>
      </c>
      <c r="O50" s="29">
        <v>327728</v>
      </c>
      <c r="P50" s="29">
        <v>405522</v>
      </c>
      <c r="Q50" s="44">
        <v>307216</v>
      </c>
      <c r="R50" s="60">
        <v>382570</v>
      </c>
      <c r="S50" s="80">
        <f t="shared" si="2"/>
        <v>5985705</v>
      </c>
      <c r="T50" s="6"/>
      <c r="U50" s="6"/>
      <c r="V50" s="6"/>
      <c r="W50" s="6"/>
      <c r="X50" s="6"/>
      <c r="Y50" s="6"/>
      <c r="Z50" s="6"/>
    </row>
    <row r="51" spans="1:26" x14ac:dyDescent="0.15">
      <c r="A51" s="27" t="s">
        <v>51</v>
      </c>
      <c r="B51" s="28">
        <v>5135</v>
      </c>
      <c r="C51" s="28">
        <v>1972</v>
      </c>
      <c r="D51" s="28">
        <v>10680</v>
      </c>
      <c r="E51" s="28">
        <v>2670</v>
      </c>
      <c r="F51" s="28">
        <v>4806</v>
      </c>
      <c r="G51" s="45">
        <v>2362</v>
      </c>
      <c r="H51" s="28">
        <v>986</v>
      </c>
      <c r="I51" s="28">
        <v>11810</v>
      </c>
      <c r="J51" s="28">
        <v>2054</v>
      </c>
      <c r="K51" s="28">
        <v>2219</v>
      </c>
      <c r="L51" s="45">
        <v>1068</v>
      </c>
      <c r="M51" s="28">
        <v>2568</v>
      </c>
      <c r="N51" s="28">
        <v>4272</v>
      </c>
      <c r="O51" s="28">
        <v>5135</v>
      </c>
      <c r="P51" s="28">
        <v>3882</v>
      </c>
      <c r="Q51" s="45">
        <v>5916</v>
      </c>
      <c r="R51" s="61">
        <v>3081</v>
      </c>
      <c r="S51" s="81">
        <f t="shared" si="2"/>
        <v>70616</v>
      </c>
      <c r="T51" s="6"/>
      <c r="U51" s="6"/>
      <c r="V51" s="6"/>
      <c r="W51" s="6"/>
      <c r="X51" s="6"/>
      <c r="Y51" s="6"/>
      <c r="Z51" s="6"/>
    </row>
    <row r="52" spans="1:26" ht="14.25" thickBot="1" x14ac:dyDescent="0.2">
      <c r="A52" s="30" t="s">
        <v>52</v>
      </c>
      <c r="B52" s="31">
        <v>5135</v>
      </c>
      <c r="C52" s="31">
        <v>1972</v>
      </c>
      <c r="D52" s="31">
        <v>10680</v>
      </c>
      <c r="E52" s="31">
        <v>2670</v>
      </c>
      <c r="F52" s="31">
        <v>4806</v>
      </c>
      <c r="G52" s="46">
        <v>2362</v>
      </c>
      <c r="H52" s="31">
        <v>986</v>
      </c>
      <c r="I52" s="31">
        <v>11810</v>
      </c>
      <c r="J52" s="31">
        <v>2054</v>
      </c>
      <c r="K52" s="31">
        <v>2219</v>
      </c>
      <c r="L52" s="46">
        <v>1068</v>
      </c>
      <c r="M52" s="31">
        <v>2568</v>
      </c>
      <c r="N52" s="31">
        <v>4272</v>
      </c>
      <c r="O52" s="31">
        <v>5135</v>
      </c>
      <c r="P52" s="31">
        <v>3882</v>
      </c>
      <c r="Q52" s="46">
        <v>5916</v>
      </c>
      <c r="R52" s="62">
        <v>3081</v>
      </c>
      <c r="S52" s="82">
        <f t="shared" si="2"/>
        <v>70616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2" t="s">
        <v>53</v>
      </c>
      <c r="B53" s="33">
        <v>361436</v>
      </c>
      <c r="C53" s="33">
        <v>291004</v>
      </c>
      <c r="D53" s="33">
        <v>333465</v>
      </c>
      <c r="E53" s="33">
        <v>321886</v>
      </c>
      <c r="F53" s="33">
        <v>418623</v>
      </c>
      <c r="G53" s="47">
        <v>403416</v>
      </c>
      <c r="H53" s="33">
        <v>261636</v>
      </c>
      <c r="I53" s="33">
        <v>428363</v>
      </c>
      <c r="J53" s="33">
        <v>398146</v>
      </c>
      <c r="K53" s="33">
        <v>360041</v>
      </c>
      <c r="L53" s="47">
        <v>342762</v>
      </c>
      <c r="M53" s="33">
        <v>332786</v>
      </c>
      <c r="N53" s="33">
        <v>361707</v>
      </c>
      <c r="O53" s="33">
        <v>332863</v>
      </c>
      <c r="P53" s="33">
        <v>409404</v>
      </c>
      <c r="Q53" s="47">
        <v>313132</v>
      </c>
      <c r="R53" s="63">
        <v>385651</v>
      </c>
      <c r="S53" s="83">
        <f t="shared" si="2"/>
        <v>6056321</v>
      </c>
    </row>
    <row r="54" spans="1:26" x14ac:dyDescent="0.15">
      <c r="A54" s="27" t="s">
        <v>54</v>
      </c>
      <c r="B54" s="28">
        <v>16320</v>
      </c>
      <c r="C54" s="28">
        <v>12240</v>
      </c>
      <c r="D54" s="28">
        <v>15300</v>
      </c>
      <c r="E54" s="28">
        <v>16320</v>
      </c>
      <c r="F54" s="28">
        <v>17340</v>
      </c>
      <c r="G54" s="45">
        <v>17340</v>
      </c>
      <c r="H54" s="28">
        <v>18360</v>
      </c>
      <c r="I54" s="28">
        <v>17340</v>
      </c>
      <c r="J54" s="28">
        <v>19380</v>
      </c>
      <c r="K54" s="28">
        <v>16320</v>
      </c>
      <c r="L54" s="45">
        <v>15300</v>
      </c>
      <c r="M54" s="28">
        <v>15300</v>
      </c>
      <c r="N54" s="28">
        <v>16320</v>
      </c>
      <c r="O54" s="28">
        <v>14280</v>
      </c>
      <c r="P54" s="28">
        <v>16320</v>
      </c>
      <c r="Q54" s="45">
        <v>15300</v>
      </c>
      <c r="R54" s="61">
        <v>15300</v>
      </c>
      <c r="S54" s="81">
        <f t="shared" si="2"/>
        <v>274380</v>
      </c>
    </row>
    <row r="55" spans="1:26" x14ac:dyDescent="0.15">
      <c r="A55" s="15" t="s">
        <v>55</v>
      </c>
      <c r="B55" s="11">
        <v>2880</v>
      </c>
      <c r="C55" s="11">
        <v>2160</v>
      </c>
      <c r="D55" s="11">
        <v>2700</v>
      </c>
      <c r="E55" s="11">
        <v>2880</v>
      </c>
      <c r="F55" s="11">
        <v>3060</v>
      </c>
      <c r="G55" s="43">
        <v>3060</v>
      </c>
      <c r="H55" s="11">
        <v>3240</v>
      </c>
      <c r="I55" s="11">
        <v>3060</v>
      </c>
      <c r="J55" s="11">
        <v>3420</v>
      </c>
      <c r="K55" s="11">
        <v>2880</v>
      </c>
      <c r="L55" s="43">
        <v>2700</v>
      </c>
      <c r="M55" s="11">
        <v>2700</v>
      </c>
      <c r="N55" s="11">
        <v>2880</v>
      </c>
      <c r="O55" s="11">
        <v>2520</v>
      </c>
      <c r="P55" s="11">
        <v>0</v>
      </c>
      <c r="Q55" s="43">
        <v>2700</v>
      </c>
      <c r="R55" s="59">
        <v>2700</v>
      </c>
      <c r="S55" s="79">
        <f t="shared" si="2"/>
        <v>45540</v>
      </c>
    </row>
    <row r="56" spans="1:26" x14ac:dyDescent="0.15">
      <c r="A56" s="15" t="s">
        <v>56</v>
      </c>
      <c r="B56" s="11">
        <v>29280</v>
      </c>
      <c r="C56" s="11">
        <v>21960</v>
      </c>
      <c r="D56" s="11">
        <v>27450</v>
      </c>
      <c r="E56" s="11">
        <v>29280</v>
      </c>
      <c r="F56" s="11">
        <v>31110</v>
      </c>
      <c r="G56" s="43">
        <v>31110</v>
      </c>
      <c r="H56" s="11">
        <v>32940</v>
      </c>
      <c r="I56" s="11">
        <v>31110</v>
      </c>
      <c r="J56" s="11">
        <v>34770</v>
      </c>
      <c r="K56" s="11">
        <v>29280</v>
      </c>
      <c r="L56" s="43">
        <v>27450</v>
      </c>
      <c r="M56" s="11">
        <v>27450</v>
      </c>
      <c r="N56" s="11">
        <v>29280</v>
      </c>
      <c r="O56" s="11">
        <v>25620</v>
      </c>
      <c r="P56" s="11">
        <v>29280</v>
      </c>
      <c r="Q56" s="43">
        <v>27450</v>
      </c>
      <c r="R56" s="59">
        <v>27450</v>
      </c>
      <c r="S56" s="79">
        <f t="shared" si="2"/>
        <v>492270</v>
      </c>
    </row>
    <row r="57" spans="1:26" x14ac:dyDescent="0.15">
      <c r="A57" s="15" t="s">
        <v>57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43">
        <v>0</v>
      </c>
      <c r="H57" s="11">
        <v>0</v>
      </c>
      <c r="I57" s="11">
        <v>0</v>
      </c>
      <c r="J57" s="11">
        <v>0</v>
      </c>
      <c r="K57" s="11">
        <v>0</v>
      </c>
      <c r="L57" s="43">
        <v>0</v>
      </c>
      <c r="M57" s="11">
        <v>0</v>
      </c>
      <c r="N57" s="11">
        <v>0</v>
      </c>
      <c r="O57" s="11">
        <v>0</v>
      </c>
      <c r="P57" s="11">
        <v>0</v>
      </c>
      <c r="Q57" s="43">
        <v>0</v>
      </c>
      <c r="R57" s="59">
        <v>0</v>
      </c>
      <c r="S57" s="79">
        <f t="shared" si="2"/>
        <v>0</v>
      </c>
    </row>
    <row r="58" spans="1:26" x14ac:dyDescent="0.15">
      <c r="A58" s="15" t="s">
        <v>58</v>
      </c>
      <c r="B58" s="11">
        <v>1084</v>
      </c>
      <c r="C58" s="11">
        <v>873</v>
      </c>
      <c r="D58" s="11">
        <v>1000</v>
      </c>
      <c r="E58" s="11">
        <v>966</v>
      </c>
      <c r="F58" s="11">
        <v>1256</v>
      </c>
      <c r="G58" s="43">
        <v>1210</v>
      </c>
      <c r="H58" s="11">
        <v>785</v>
      </c>
      <c r="I58" s="11">
        <v>1285</v>
      </c>
      <c r="J58" s="11">
        <v>1194</v>
      </c>
      <c r="K58" s="11">
        <v>1080</v>
      </c>
      <c r="L58" s="43">
        <v>1028</v>
      </c>
      <c r="M58" s="11">
        <v>998</v>
      </c>
      <c r="N58" s="11">
        <v>1085</v>
      </c>
      <c r="O58" s="11">
        <v>999</v>
      </c>
      <c r="P58" s="11">
        <v>1228</v>
      </c>
      <c r="Q58" s="43">
        <v>939</v>
      </c>
      <c r="R58" s="59">
        <v>1157</v>
      </c>
      <c r="S58" s="79">
        <f t="shared" si="2"/>
        <v>18167</v>
      </c>
    </row>
    <row r="59" spans="1:26" x14ac:dyDescent="0.15">
      <c r="A59" s="15" t="s">
        <v>59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43">
        <v>0</v>
      </c>
      <c r="H59" s="11">
        <v>0</v>
      </c>
      <c r="I59" s="11">
        <v>0</v>
      </c>
      <c r="J59" s="11">
        <v>0</v>
      </c>
      <c r="K59" s="11">
        <v>0</v>
      </c>
      <c r="L59" s="43">
        <v>0</v>
      </c>
      <c r="M59" s="11">
        <v>0</v>
      </c>
      <c r="N59" s="11">
        <v>0</v>
      </c>
      <c r="O59" s="11">
        <v>0</v>
      </c>
      <c r="P59" s="11">
        <v>0</v>
      </c>
      <c r="Q59" s="43">
        <v>0</v>
      </c>
      <c r="R59" s="59">
        <v>0</v>
      </c>
      <c r="S59" s="79">
        <f t="shared" si="2"/>
        <v>0</v>
      </c>
    </row>
    <row r="60" spans="1:26" ht="14.25" thickBot="1" x14ac:dyDescent="0.2">
      <c r="A60" s="30" t="s">
        <v>60</v>
      </c>
      <c r="B60" s="31">
        <v>49564</v>
      </c>
      <c r="C60" s="31">
        <v>37233</v>
      </c>
      <c r="D60" s="31">
        <v>46450</v>
      </c>
      <c r="E60" s="31">
        <v>49446</v>
      </c>
      <c r="F60" s="31">
        <v>52766</v>
      </c>
      <c r="G60" s="46">
        <v>52720</v>
      </c>
      <c r="H60" s="31">
        <v>55325</v>
      </c>
      <c r="I60" s="31">
        <v>52795</v>
      </c>
      <c r="J60" s="31">
        <v>58764</v>
      </c>
      <c r="K60" s="31">
        <v>49560</v>
      </c>
      <c r="L60" s="46">
        <v>46478</v>
      </c>
      <c r="M60" s="31">
        <v>46448</v>
      </c>
      <c r="N60" s="31">
        <v>49565</v>
      </c>
      <c r="O60" s="31">
        <v>43419</v>
      </c>
      <c r="P60" s="31">
        <v>46828</v>
      </c>
      <c r="Q60" s="46">
        <v>46389</v>
      </c>
      <c r="R60" s="62">
        <v>46607</v>
      </c>
      <c r="S60" s="82">
        <f t="shared" si="2"/>
        <v>830357</v>
      </c>
    </row>
    <row r="61" spans="1:26" ht="14.25" thickBot="1" x14ac:dyDescent="0.2">
      <c r="A61" s="32" t="s">
        <v>61</v>
      </c>
      <c r="B61" s="33">
        <v>306737</v>
      </c>
      <c r="C61" s="33">
        <v>251799</v>
      </c>
      <c r="D61" s="33">
        <v>276335</v>
      </c>
      <c r="E61" s="33">
        <v>269770</v>
      </c>
      <c r="F61" s="33">
        <v>361051</v>
      </c>
      <c r="G61" s="47">
        <v>348334</v>
      </c>
      <c r="H61" s="33">
        <v>205325</v>
      </c>
      <c r="I61" s="33">
        <v>363758</v>
      </c>
      <c r="J61" s="33">
        <v>337328</v>
      </c>
      <c r="K61" s="33">
        <v>308262</v>
      </c>
      <c r="L61" s="47">
        <v>295216</v>
      </c>
      <c r="M61" s="33">
        <v>283770</v>
      </c>
      <c r="N61" s="33">
        <v>307870</v>
      </c>
      <c r="O61" s="33">
        <v>284309</v>
      </c>
      <c r="P61" s="33">
        <v>358694</v>
      </c>
      <c r="Q61" s="47">
        <v>260827</v>
      </c>
      <c r="R61" s="63">
        <v>335963</v>
      </c>
      <c r="S61" s="83">
        <f t="shared" si="2"/>
        <v>5155348</v>
      </c>
    </row>
    <row r="62" spans="1:26" x14ac:dyDescent="0.15">
      <c r="A62" s="27" t="s">
        <v>62</v>
      </c>
      <c r="B62" s="28">
        <v>3760</v>
      </c>
      <c r="C62" s="28">
        <v>6620</v>
      </c>
      <c r="D62" s="28">
        <v>5880</v>
      </c>
      <c r="E62" s="28">
        <v>7260</v>
      </c>
      <c r="F62" s="28">
        <v>10130</v>
      </c>
      <c r="G62" s="45">
        <v>12330</v>
      </c>
      <c r="H62" s="28">
        <v>3340</v>
      </c>
      <c r="I62" s="28">
        <v>10350</v>
      </c>
      <c r="J62" s="28">
        <v>11430</v>
      </c>
      <c r="K62" s="28">
        <v>9060</v>
      </c>
      <c r="L62" s="45">
        <v>6550</v>
      </c>
      <c r="M62" s="28">
        <v>7760</v>
      </c>
      <c r="N62" s="28">
        <v>9020</v>
      </c>
      <c r="O62" s="28">
        <v>7780</v>
      </c>
      <c r="P62" s="28">
        <v>13170</v>
      </c>
      <c r="Q62" s="45">
        <v>6940</v>
      </c>
      <c r="R62" s="61">
        <v>11320</v>
      </c>
      <c r="S62" s="81">
        <f t="shared" si="2"/>
        <v>142700</v>
      </c>
    </row>
    <row r="63" spans="1:26" x14ac:dyDescent="0.15">
      <c r="A63" s="15" t="s">
        <v>63</v>
      </c>
      <c r="B63" s="11">
        <v>1300</v>
      </c>
      <c r="C63" s="11">
        <v>0</v>
      </c>
      <c r="D63" s="11">
        <v>1300</v>
      </c>
      <c r="E63" s="11">
        <v>1300</v>
      </c>
      <c r="F63" s="11">
        <v>1300</v>
      </c>
      <c r="G63" s="43">
        <v>0</v>
      </c>
      <c r="H63" s="11">
        <v>1300</v>
      </c>
      <c r="I63" s="11">
        <v>1300</v>
      </c>
      <c r="J63" s="11">
        <v>1300</v>
      </c>
      <c r="K63" s="11">
        <v>1300</v>
      </c>
      <c r="L63" s="43">
        <v>1300</v>
      </c>
      <c r="M63" s="11">
        <v>1300</v>
      </c>
      <c r="N63" s="11">
        <v>1300</v>
      </c>
      <c r="O63" s="11">
        <v>0</v>
      </c>
      <c r="P63" s="11">
        <v>0</v>
      </c>
      <c r="Q63" s="43">
        <v>1300</v>
      </c>
      <c r="R63" s="59">
        <v>1300</v>
      </c>
      <c r="S63" s="79">
        <f t="shared" si="2"/>
        <v>16900</v>
      </c>
    </row>
    <row r="64" spans="1:26" x14ac:dyDescent="0.15">
      <c r="A64" s="15" t="s">
        <v>64</v>
      </c>
      <c r="B64" s="11">
        <v>2400</v>
      </c>
      <c r="C64" s="11">
        <v>0</v>
      </c>
      <c r="D64" s="11">
        <v>8100</v>
      </c>
      <c r="E64" s="11">
        <v>14700</v>
      </c>
      <c r="F64" s="11">
        <v>13700</v>
      </c>
      <c r="G64" s="43">
        <v>16600</v>
      </c>
      <c r="H64" s="11">
        <v>8000</v>
      </c>
      <c r="I64" s="11">
        <v>13400</v>
      </c>
      <c r="J64" s="11">
        <v>17300</v>
      </c>
      <c r="K64" s="11">
        <v>13600</v>
      </c>
      <c r="L64" s="43">
        <v>8100</v>
      </c>
      <c r="M64" s="11">
        <v>13300</v>
      </c>
      <c r="N64" s="11">
        <v>9200</v>
      </c>
      <c r="O64" s="11">
        <v>9600</v>
      </c>
      <c r="P64" s="11">
        <v>13700</v>
      </c>
      <c r="Q64" s="43">
        <v>12300</v>
      </c>
      <c r="R64" s="59">
        <v>11200</v>
      </c>
      <c r="S64" s="79">
        <f t="shared" si="2"/>
        <v>185200</v>
      </c>
    </row>
    <row r="65" spans="1:19" x14ac:dyDescent="0.15">
      <c r="A65" s="15" t="s">
        <v>65</v>
      </c>
      <c r="B65" s="11">
        <v>28800</v>
      </c>
      <c r="C65" s="11">
        <v>24800</v>
      </c>
      <c r="D65" s="11">
        <v>29000</v>
      </c>
      <c r="E65" s="11">
        <v>0</v>
      </c>
      <c r="F65" s="11">
        <v>28800</v>
      </c>
      <c r="G65" s="43">
        <v>39200</v>
      </c>
      <c r="H65" s="11">
        <v>28600</v>
      </c>
      <c r="I65" s="11">
        <v>26600</v>
      </c>
      <c r="J65" s="11">
        <v>28400</v>
      </c>
      <c r="K65" s="11">
        <v>29800</v>
      </c>
      <c r="L65" s="43">
        <v>29200</v>
      </c>
      <c r="M65" s="11">
        <v>29400</v>
      </c>
      <c r="N65" s="11">
        <v>29200</v>
      </c>
      <c r="O65" s="11">
        <v>29000</v>
      </c>
      <c r="P65" s="11">
        <v>29200</v>
      </c>
      <c r="Q65" s="43">
        <v>29800</v>
      </c>
      <c r="R65" s="59">
        <v>30200</v>
      </c>
      <c r="S65" s="79">
        <f t="shared" si="2"/>
        <v>470000</v>
      </c>
    </row>
    <row r="66" spans="1:19" x14ac:dyDescent="0.15">
      <c r="A66" s="15" t="s">
        <v>66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43">
        <v>0</v>
      </c>
      <c r="H66" s="11">
        <v>0</v>
      </c>
      <c r="I66" s="11">
        <v>0</v>
      </c>
      <c r="J66" s="11">
        <v>0</v>
      </c>
      <c r="K66" s="11">
        <v>0</v>
      </c>
      <c r="L66" s="43">
        <v>0</v>
      </c>
      <c r="M66" s="11">
        <v>0</v>
      </c>
      <c r="N66" s="11">
        <v>0</v>
      </c>
      <c r="O66" s="11">
        <v>0</v>
      </c>
      <c r="P66" s="11">
        <v>0</v>
      </c>
      <c r="Q66" s="43">
        <v>0</v>
      </c>
      <c r="R66" s="59">
        <v>0</v>
      </c>
      <c r="S66" s="79">
        <f t="shared" si="2"/>
        <v>0</v>
      </c>
    </row>
    <row r="67" spans="1:19" x14ac:dyDescent="0.15">
      <c r="A67" s="15" t="s">
        <v>67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43">
        <v>0</v>
      </c>
      <c r="H67" s="11">
        <v>0</v>
      </c>
      <c r="I67" s="11">
        <v>0</v>
      </c>
      <c r="J67" s="11">
        <v>0</v>
      </c>
      <c r="K67" s="11">
        <v>0</v>
      </c>
      <c r="L67" s="43">
        <v>0</v>
      </c>
      <c r="M67" s="11">
        <v>0</v>
      </c>
      <c r="N67" s="11">
        <v>0</v>
      </c>
      <c r="O67" s="11">
        <v>0</v>
      </c>
      <c r="P67" s="11">
        <v>0</v>
      </c>
      <c r="Q67" s="43">
        <v>0</v>
      </c>
      <c r="R67" s="59">
        <v>0</v>
      </c>
      <c r="S67" s="79">
        <f t="shared" si="2"/>
        <v>0</v>
      </c>
    </row>
    <row r="68" spans="1:19" ht="14.25" thickBot="1" x14ac:dyDescent="0.2">
      <c r="A68" s="30" t="s">
        <v>68</v>
      </c>
      <c r="B68" s="31">
        <v>36260</v>
      </c>
      <c r="C68" s="31">
        <v>31420</v>
      </c>
      <c r="D68" s="31">
        <v>44280</v>
      </c>
      <c r="E68" s="31">
        <v>23260</v>
      </c>
      <c r="F68" s="31">
        <v>53930</v>
      </c>
      <c r="G68" s="46">
        <v>68130</v>
      </c>
      <c r="H68" s="31">
        <v>41240</v>
      </c>
      <c r="I68" s="31">
        <v>51650</v>
      </c>
      <c r="J68" s="31">
        <v>58430</v>
      </c>
      <c r="K68" s="31">
        <v>53760</v>
      </c>
      <c r="L68" s="46">
        <v>45150</v>
      </c>
      <c r="M68" s="31">
        <v>51760</v>
      </c>
      <c r="N68" s="31">
        <v>48720</v>
      </c>
      <c r="O68" s="31">
        <v>46380</v>
      </c>
      <c r="P68" s="31">
        <v>56070</v>
      </c>
      <c r="Q68" s="46">
        <v>50340</v>
      </c>
      <c r="R68" s="62">
        <v>54020</v>
      </c>
      <c r="S68" s="82">
        <f t="shared" si="2"/>
        <v>814800</v>
      </c>
    </row>
    <row r="69" spans="1:19" ht="14.25" thickBot="1" x14ac:dyDescent="0.2">
      <c r="A69" s="32" t="s">
        <v>69</v>
      </c>
      <c r="B69" s="33">
        <v>85824</v>
      </c>
      <c r="C69" s="33">
        <v>68653</v>
      </c>
      <c r="D69" s="33">
        <v>90730</v>
      </c>
      <c r="E69" s="33">
        <v>72706</v>
      </c>
      <c r="F69" s="33">
        <v>106696</v>
      </c>
      <c r="G69" s="47">
        <v>120850</v>
      </c>
      <c r="H69" s="33">
        <v>96565</v>
      </c>
      <c r="I69" s="33">
        <v>104445</v>
      </c>
      <c r="J69" s="33">
        <v>117194</v>
      </c>
      <c r="K69" s="33">
        <v>103320</v>
      </c>
      <c r="L69" s="47">
        <v>91628</v>
      </c>
      <c r="M69" s="33">
        <v>98208</v>
      </c>
      <c r="N69" s="33">
        <v>98285</v>
      </c>
      <c r="O69" s="33">
        <v>89799</v>
      </c>
      <c r="P69" s="33">
        <v>102898</v>
      </c>
      <c r="Q69" s="47">
        <v>96729</v>
      </c>
      <c r="R69" s="63">
        <v>100627</v>
      </c>
      <c r="S69" s="83">
        <f t="shared" si="2"/>
        <v>1645157</v>
      </c>
    </row>
    <row r="70" spans="1:19" ht="14.25" thickBot="1" x14ac:dyDescent="0.2">
      <c r="A70" s="32" t="s">
        <v>70</v>
      </c>
      <c r="B70" s="33">
        <v>275612</v>
      </c>
      <c r="C70" s="33">
        <v>222351</v>
      </c>
      <c r="D70" s="33">
        <v>242735</v>
      </c>
      <c r="E70" s="33">
        <v>249180</v>
      </c>
      <c r="F70" s="33">
        <v>311927</v>
      </c>
      <c r="G70" s="47">
        <v>282566</v>
      </c>
      <c r="H70" s="33">
        <v>165071</v>
      </c>
      <c r="I70" s="33">
        <v>323918</v>
      </c>
      <c r="J70" s="33">
        <v>280952</v>
      </c>
      <c r="K70" s="33">
        <v>256721</v>
      </c>
      <c r="L70" s="47">
        <v>251134</v>
      </c>
      <c r="M70" s="33">
        <v>234578</v>
      </c>
      <c r="N70" s="33">
        <v>263422</v>
      </c>
      <c r="O70" s="33">
        <v>243064</v>
      </c>
      <c r="P70" s="33">
        <v>306506</v>
      </c>
      <c r="Q70" s="47">
        <v>216403</v>
      </c>
      <c r="R70" s="63">
        <v>285024</v>
      </c>
      <c r="S70" s="83">
        <f t="shared" si="2"/>
        <v>4411164</v>
      </c>
    </row>
    <row r="71" spans="1:19" x14ac:dyDescent="0.15">
      <c r="A71" s="27" t="s">
        <v>71</v>
      </c>
      <c r="B71" s="28">
        <v>0</v>
      </c>
      <c r="C71" s="28">
        <v>0</v>
      </c>
      <c r="D71" s="28">
        <v>0</v>
      </c>
      <c r="E71" s="28">
        <v>0</v>
      </c>
      <c r="F71" s="28">
        <v>0</v>
      </c>
      <c r="G71" s="45">
        <v>0</v>
      </c>
      <c r="H71" s="28">
        <v>0</v>
      </c>
      <c r="I71" s="28">
        <v>0</v>
      </c>
      <c r="J71" s="28">
        <v>0</v>
      </c>
      <c r="K71" s="28">
        <v>0</v>
      </c>
      <c r="L71" s="45">
        <v>0</v>
      </c>
      <c r="M71" s="28">
        <v>0</v>
      </c>
      <c r="N71" s="28">
        <v>0</v>
      </c>
      <c r="O71" s="28">
        <v>0</v>
      </c>
      <c r="P71" s="28">
        <v>0</v>
      </c>
      <c r="Q71" s="45">
        <v>0</v>
      </c>
      <c r="R71" s="61">
        <v>0</v>
      </c>
      <c r="S71" s="81">
        <f t="shared" si="2"/>
        <v>0</v>
      </c>
    </row>
    <row r="72" spans="1:19" x14ac:dyDescent="0.15">
      <c r="A72" s="15" t="s">
        <v>72</v>
      </c>
      <c r="B72" s="11">
        <v>275612</v>
      </c>
      <c r="C72" s="11">
        <v>222351</v>
      </c>
      <c r="D72" s="11">
        <v>242735</v>
      </c>
      <c r="E72" s="11">
        <v>249180</v>
      </c>
      <c r="F72" s="11">
        <v>311927</v>
      </c>
      <c r="G72" s="43">
        <v>282566</v>
      </c>
      <c r="H72" s="11">
        <v>165071</v>
      </c>
      <c r="I72" s="11">
        <v>323918</v>
      </c>
      <c r="J72" s="11">
        <v>280952</v>
      </c>
      <c r="K72" s="11">
        <v>256721</v>
      </c>
      <c r="L72" s="43">
        <v>251134</v>
      </c>
      <c r="M72" s="11">
        <v>234578</v>
      </c>
      <c r="N72" s="11">
        <v>263422</v>
      </c>
      <c r="O72" s="11">
        <v>243064</v>
      </c>
      <c r="P72" s="11">
        <v>306506</v>
      </c>
      <c r="Q72" s="43">
        <v>216403</v>
      </c>
      <c r="R72" s="59">
        <v>285024</v>
      </c>
      <c r="S72" s="79">
        <f t="shared" si="2"/>
        <v>4411164</v>
      </c>
    </row>
    <row r="73" spans="1:19" x14ac:dyDescent="0.15">
      <c r="A73" s="15" t="s">
        <v>73</v>
      </c>
      <c r="B73" s="12">
        <v>16</v>
      </c>
      <c r="C73" s="12">
        <v>13</v>
      </c>
      <c r="D73" s="12">
        <v>33</v>
      </c>
      <c r="E73" s="12">
        <v>34</v>
      </c>
      <c r="F73" s="12">
        <v>39</v>
      </c>
      <c r="G73" s="48">
        <v>37</v>
      </c>
      <c r="H73" s="12">
        <v>15</v>
      </c>
      <c r="I73" s="12">
        <v>29</v>
      </c>
      <c r="J73" s="12">
        <v>35</v>
      </c>
      <c r="K73" s="12">
        <v>38</v>
      </c>
      <c r="L73" s="48">
        <v>39</v>
      </c>
      <c r="M73" s="12">
        <v>20</v>
      </c>
      <c r="N73" s="12">
        <v>31</v>
      </c>
      <c r="O73" s="12">
        <v>9</v>
      </c>
      <c r="P73" s="12">
        <v>14</v>
      </c>
      <c r="Q73" s="48">
        <v>19</v>
      </c>
      <c r="R73" s="65">
        <v>12</v>
      </c>
      <c r="S73" s="84"/>
    </row>
    <row r="74" spans="1:19" x14ac:dyDescent="0.15">
      <c r="A74" s="15" t="s">
        <v>74</v>
      </c>
      <c r="B74" s="13">
        <v>3</v>
      </c>
      <c r="C74" s="13"/>
      <c r="D74" s="13">
        <v>1</v>
      </c>
      <c r="E74" s="13"/>
      <c r="F74" s="13">
        <v>1</v>
      </c>
      <c r="G74" s="49"/>
      <c r="H74" s="13">
        <v>1</v>
      </c>
      <c r="I74" s="13">
        <v>1</v>
      </c>
      <c r="J74" s="13"/>
      <c r="K74" s="13"/>
      <c r="L74" s="49">
        <v>1</v>
      </c>
      <c r="M74" s="13"/>
      <c r="N74" s="13"/>
      <c r="O74" s="13"/>
      <c r="P74" s="13"/>
      <c r="Q74" s="49"/>
      <c r="R74" s="64"/>
      <c r="S74" s="85"/>
    </row>
    <row r="75" spans="1:19" ht="14.25" thickBot="1" x14ac:dyDescent="0.2">
      <c r="A75" s="16" t="s">
        <v>75</v>
      </c>
      <c r="B75" s="17" t="s">
        <v>76</v>
      </c>
      <c r="C75" s="17" t="s">
        <v>76</v>
      </c>
      <c r="D75" s="17" t="s">
        <v>76</v>
      </c>
      <c r="E75" s="17" t="s">
        <v>76</v>
      </c>
      <c r="F75" s="17" t="s">
        <v>76</v>
      </c>
      <c r="G75" s="50" t="s">
        <v>76</v>
      </c>
      <c r="H75" s="17" t="s">
        <v>76</v>
      </c>
      <c r="I75" s="17" t="s">
        <v>76</v>
      </c>
      <c r="J75" s="17" t="s">
        <v>76</v>
      </c>
      <c r="K75" s="17" t="s">
        <v>76</v>
      </c>
      <c r="L75" s="50" t="s">
        <v>76</v>
      </c>
      <c r="M75" s="17" t="s">
        <v>76</v>
      </c>
      <c r="N75" s="17" t="s">
        <v>76</v>
      </c>
      <c r="O75" s="17" t="s">
        <v>76</v>
      </c>
      <c r="P75" s="17" t="s">
        <v>76</v>
      </c>
      <c r="Q75" s="50" t="s">
        <v>76</v>
      </c>
      <c r="R75" s="66" t="s">
        <v>76</v>
      </c>
      <c r="S75" s="86"/>
    </row>
  </sheetData>
  <phoneticPr fontId="1"/>
  <pageMargins left="0.43307086614173229" right="0.35433070866141736" top="0.51181102362204722" bottom="0.35433070866141736" header="0.19685039370078741" footer="0.27559055118110237"/>
  <pageSetup paperSize="12" scale="72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(3)</vt:lpstr>
      <vt:lpstr>1頁 (4)</vt:lpstr>
      <vt:lpstr>'1頁 (3)'!Print_Area</vt:lpstr>
      <vt:lpstr>'1頁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2022-07-11T08:57:12Z</cp:lastPrinted>
  <dcterms:created xsi:type="dcterms:W3CDTF">2011-10-11T01:59:58Z</dcterms:created>
  <dcterms:modified xsi:type="dcterms:W3CDTF">2022-07-11T08:58:45Z</dcterms:modified>
</cp:coreProperties>
</file>