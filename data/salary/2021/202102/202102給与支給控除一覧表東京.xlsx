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DD028809-2C96-46ED-936F-849F33FCCC29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D22" i="3"/>
  <c r="D21" i="3"/>
  <c r="K16" i="3"/>
  <c r="K15" i="3"/>
  <c r="K14" i="3"/>
  <c r="D13" i="3"/>
  <c r="K10" i="3"/>
  <c r="D10" i="3"/>
  <c r="K8" i="3"/>
  <c r="K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21" i="2"/>
  <c r="D13" i="2"/>
  <c r="D10" i="2"/>
  <c r="D6" i="2"/>
</calcChain>
</file>

<file path=xl/sharedStrings.xml><?xml version="1.0" encoding="utf-8"?>
<sst xmlns="http://schemas.openxmlformats.org/spreadsheetml/2006/main" count="216" uniqueCount="88">
  <si>
    <t>所　属</t>
  </si>
  <si>
    <t>社　員</t>
  </si>
  <si>
    <t>2021年2月分</t>
  </si>
  <si>
    <t>若林運送株式会社</t>
  </si>
  <si>
    <t>締日:02/28</t>
  </si>
  <si>
    <t>支給日:03/15</t>
  </si>
  <si>
    <t>東京営業所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</si>
  <si>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</si>
  <si>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</si>
  <si>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</si>
  <si>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</si>
  <si>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</si>
  <si>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</si>
  <si>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</si>
  <si>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</si>
  <si>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</si>
  <si>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</si>
  <si>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</si>
  <si>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</si>
  <si>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</si>
  <si>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</si>
  <si>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</si>
  <si>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</si>
  <si>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</si>
  <si>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</si>
  <si>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</si>
  <si>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</si>
  <si>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</si>
  <si>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</si>
  <si>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</si>
  <si>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</si>
  <si>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</si>
  <si>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</si>
  <si>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</si>
  <si>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</si>
  <si>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</si>
  <si>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</si>
  <si>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</si>
  <si>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</si>
  <si>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</si>
  <si>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</si>
  <si>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</si>
  <si>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</si>
  <si>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</si>
  <si>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</si>
  <si>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</si>
  <si>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</si>
  <si>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</si>
  <si>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</si>
  <si>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</si>
  <si>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</si>
  <si>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</si>
  <si>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</si>
  <si>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</si>
  <si>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</si>
  <si>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</si>
  <si>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</si>
  <si>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</si>
  <si>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</si>
  <si>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</si>
  <si>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</si>
  <si>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</si>
  <si>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</si>
  <si>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</si>
  <si>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</si>
  <si>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</si>
  <si>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</si>
  <si>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</si>
  <si>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</si>
  <si>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</si>
  <si>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</si>
  <si>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</si>
  <si>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</si>
  <si>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</si>
  <si>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</si>
  <si>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</si>
  <si>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</si>
  <si>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</si>
  <si>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</si>
  <si>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</si>
  <si>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</si>
  <si>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</si>
  <si>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新治　泰子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</si>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</sst>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40" xfId="0" applyNumberFormat="1" applyFont="1" applyFill="1" applyBorder="1">
      <alignment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6364-6D34-412B-9201-6244FBC5E40C}">
  <sheetPr>
    <pageSetUpPr fitToPage="1"/>
  </sheetPr>
  <dimension ref="A1:AL77"/>
  <sheetViews>
    <sheetView zoomScale="80" zoomScaleNormal="80" workbookViewId="0"/>
  </sheetViews>
  <sheetFormatPr defaultRowHeight="13.5" x14ac:dyDescent="0.15"/>
  <cols>
    <col min="1" max="1" width="17.625" style="2" customWidth="1"/>
    <col min="2" max="12" width="12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1" t="s">
        <v>6</v>
      </c>
      <c r="D3" s="68" t="s">
        <v>85</v>
      </c>
      <c r="E3" s="35" t="s">
        <v>6</v>
      </c>
      <c r="F3" s="20" t="s">
        <v>6</v>
      </c>
      <c r="G3" s="20" t="s">
        <v>6</v>
      </c>
      <c r="H3" s="20" t="s">
        <v>6</v>
      </c>
      <c r="I3" s="35" t="s">
        <v>6</v>
      </c>
      <c r="J3" s="51" t="s">
        <v>6</v>
      </c>
      <c r="K3" s="68" t="s">
        <v>85</v>
      </c>
      <c r="L3" s="85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69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69"/>
      <c r="L4" s="8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2" t="s">
        <v>82</v>
      </c>
      <c r="D5" s="70" t="s">
        <v>86</v>
      </c>
      <c r="E5" s="36" t="s">
        <v>7</v>
      </c>
      <c r="F5" s="22" t="s">
        <v>25</v>
      </c>
      <c r="G5" s="22" t="s">
        <v>27</v>
      </c>
      <c r="H5" s="22" t="s">
        <v>28</v>
      </c>
      <c r="I5" s="36" t="s">
        <v>80</v>
      </c>
      <c r="J5" s="52" t="s">
        <v>81</v>
      </c>
      <c r="K5" s="70" t="s">
        <v>87</v>
      </c>
      <c r="L5" s="87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18</v>
      </c>
      <c r="C6" s="53">
        <v>10</v>
      </c>
      <c r="D6" s="71">
        <f>SUM(B6:C6)</f>
        <v>28</v>
      </c>
      <c r="E6" s="37">
        <v>18</v>
      </c>
      <c r="F6" s="24">
        <v>18</v>
      </c>
      <c r="G6" s="24">
        <v>17</v>
      </c>
      <c r="H6" s="24">
        <v>18</v>
      </c>
      <c r="I6" s="37">
        <v>18</v>
      </c>
      <c r="J6" s="53">
        <v>18</v>
      </c>
      <c r="K6" s="71">
        <f>SUM(E6:J6)</f>
        <v>107</v>
      </c>
      <c r="L6" s="88">
        <v>135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10"/>
      <c r="C7" s="55"/>
      <c r="D7" s="72"/>
      <c r="E7" s="38">
        <v>3</v>
      </c>
      <c r="F7" s="9">
        <v>3</v>
      </c>
      <c r="G7" s="10"/>
      <c r="H7" s="9">
        <v>2</v>
      </c>
      <c r="I7" s="38">
        <v>4</v>
      </c>
      <c r="J7" s="54">
        <v>4</v>
      </c>
      <c r="K7" s="73">
        <f>SUM(E7:J7)</f>
        <v>16</v>
      </c>
      <c r="L7" s="89">
        <v>16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10"/>
      <c r="C8" s="55"/>
      <c r="D8" s="72"/>
      <c r="E8" s="39"/>
      <c r="F8" s="10"/>
      <c r="G8" s="10"/>
      <c r="H8" s="9">
        <v>1</v>
      </c>
      <c r="I8" s="38">
        <v>1</v>
      </c>
      <c r="J8" s="55"/>
      <c r="K8" s="73">
        <f>SUM(E8:J8)</f>
        <v>2</v>
      </c>
      <c r="L8" s="89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5"/>
      <c r="D9" s="72"/>
      <c r="E9" s="39"/>
      <c r="F9" s="10"/>
      <c r="G9" s="10"/>
      <c r="H9" s="10"/>
      <c r="I9" s="39"/>
      <c r="J9" s="55"/>
      <c r="K9" s="76"/>
      <c r="L9" s="9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10"/>
      <c r="C10" s="54">
        <v>1</v>
      </c>
      <c r="D10" s="73">
        <f>SUM(B10:C10)</f>
        <v>1</v>
      </c>
      <c r="E10" s="39"/>
      <c r="F10" s="10"/>
      <c r="G10" s="9">
        <v>1</v>
      </c>
      <c r="H10" s="10"/>
      <c r="I10" s="39"/>
      <c r="J10" s="55"/>
      <c r="K10" s="73">
        <f>SUM(E10:J10)</f>
        <v>1</v>
      </c>
      <c r="L10" s="89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5"/>
      <c r="D11" s="72"/>
      <c r="E11" s="39"/>
      <c r="F11" s="10"/>
      <c r="G11" s="10"/>
      <c r="H11" s="10"/>
      <c r="I11" s="39"/>
      <c r="J11" s="55"/>
      <c r="K11" s="76"/>
      <c r="L11" s="9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5"/>
      <c r="D12" s="72"/>
      <c r="E12" s="39"/>
      <c r="F12" s="10"/>
      <c r="G12" s="10"/>
      <c r="H12" s="10"/>
      <c r="I12" s="39"/>
      <c r="J12" s="55"/>
      <c r="K12" s="76"/>
      <c r="L12" s="9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6">
        <v>2.7083333333333335</v>
      </c>
      <c r="D13" s="74">
        <f>SUM(B13:C13)</f>
        <v>2.7083333333333335</v>
      </c>
      <c r="E13" s="39"/>
      <c r="F13" s="10"/>
      <c r="G13" s="10"/>
      <c r="H13" s="10"/>
      <c r="I13" s="39"/>
      <c r="J13" s="55"/>
      <c r="K13" s="76"/>
      <c r="L13" s="91">
        <v>2.7083333333333335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5"/>
      <c r="D14" s="72"/>
      <c r="E14" s="40">
        <v>1.8333333333333333</v>
      </c>
      <c r="F14" s="11">
        <v>1.6666666666666667</v>
      </c>
      <c r="G14" s="11">
        <v>0.16666666666666666</v>
      </c>
      <c r="H14" s="11">
        <v>1.7916666666666667</v>
      </c>
      <c r="I14" s="40">
        <v>1.3333333333333333</v>
      </c>
      <c r="J14" s="56">
        <v>1.125</v>
      </c>
      <c r="K14" s="74">
        <f>SUM(E14:J14)</f>
        <v>7.9166666666666661</v>
      </c>
      <c r="L14" s="91">
        <v>7.916666666666667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5"/>
      <c r="D15" s="72"/>
      <c r="E15" s="40">
        <v>0.5</v>
      </c>
      <c r="F15" s="11">
        <v>0.95833333333333337</v>
      </c>
      <c r="G15" s="10"/>
      <c r="H15" s="11">
        <v>0.41666666666666669</v>
      </c>
      <c r="I15" s="40">
        <v>1.25</v>
      </c>
      <c r="J15" s="56">
        <v>1.1666666666666667</v>
      </c>
      <c r="K15" s="74">
        <f t="shared" ref="K15:K16" si="0">SUM(E15:J15)</f>
        <v>4.291666666666667</v>
      </c>
      <c r="L15" s="91">
        <v>4.291666666666667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5"/>
      <c r="D16" s="72"/>
      <c r="E16" s="39"/>
      <c r="F16" s="10"/>
      <c r="G16" s="10"/>
      <c r="H16" s="11">
        <v>0.33333333333333331</v>
      </c>
      <c r="I16" s="40">
        <v>0.25</v>
      </c>
      <c r="J16" s="55"/>
      <c r="K16" s="74">
        <f t="shared" si="0"/>
        <v>0.58333333333333326</v>
      </c>
      <c r="L16" s="91">
        <v>0.58333333333333337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5"/>
      <c r="D17" s="72"/>
      <c r="E17" s="39"/>
      <c r="F17" s="10"/>
      <c r="G17" s="10"/>
      <c r="H17" s="10"/>
      <c r="I17" s="39"/>
      <c r="J17" s="55"/>
      <c r="K17" s="76"/>
      <c r="L17" s="90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5"/>
      <c r="D18" s="72"/>
      <c r="E18" s="39"/>
      <c r="F18" s="10"/>
      <c r="G18" s="10"/>
      <c r="H18" s="10"/>
      <c r="I18" s="39"/>
      <c r="J18" s="55"/>
      <c r="K18" s="76"/>
      <c r="L18" s="90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5"/>
      <c r="D19" s="72"/>
      <c r="E19" s="39"/>
      <c r="F19" s="10"/>
      <c r="G19" s="10"/>
      <c r="H19" s="10"/>
      <c r="I19" s="39"/>
      <c r="J19" s="55"/>
      <c r="K19" s="76"/>
      <c r="L19" s="90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5"/>
      <c r="D20" s="72"/>
      <c r="E20" s="39"/>
      <c r="F20" s="10"/>
      <c r="G20" s="10"/>
      <c r="H20" s="10"/>
      <c r="I20" s="39"/>
      <c r="J20" s="55"/>
      <c r="K20" s="76"/>
      <c r="L20" s="90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6">
        <v>0.29166666666666669</v>
      </c>
      <c r="D21" s="74">
        <f>SUM(B21:C21)</f>
        <v>0.29166666666666669</v>
      </c>
      <c r="E21" s="39"/>
      <c r="F21" s="10"/>
      <c r="G21" s="10"/>
      <c r="H21" s="10"/>
      <c r="I21" s="39"/>
      <c r="J21" s="55"/>
      <c r="K21" s="76"/>
      <c r="L21" s="91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6">
        <v>4.1666666666666664E-2</v>
      </c>
      <c r="C22" s="67"/>
      <c r="D22" s="74">
        <f>SUM(B22:C22)</f>
        <v>4.1666666666666664E-2</v>
      </c>
      <c r="E22" s="41">
        <v>0.58333333333333337</v>
      </c>
      <c r="F22" s="26">
        <v>0.91666666666666663</v>
      </c>
      <c r="G22" s="26">
        <v>8.3333333333333329E-2</v>
      </c>
      <c r="H22" s="26">
        <v>0.70833333333333337</v>
      </c>
      <c r="I22" s="41">
        <v>0.20833333333333334</v>
      </c>
      <c r="J22" s="57">
        <v>0.16666666666666666</v>
      </c>
      <c r="K22" s="102">
        <f>SUM(E22:J22)</f>
        <v>2.6666666666666665</v>
      </c>
      <c r="L22" s="92">
        <v>2.7083333333333335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7">
        <v>355000</v>
      </c>
      <c r="C23" s="58">
        <v>0</v>
      </c>
      <c r="D23" s="75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75">
        <f>SUM(E23:J23)</f>
        <v>1063000</v>
      </c>
      <c r="L23" s="93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5">
        <v>0</v>
      </c>
      <c r="D24" s="76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76">
        <f t="shared" ref="K24:K74" si="2">SUM(E24:J24)</f>
        <v>5000</v>
      </c>
      <c r="L24" s="90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5">
        <v>0</v>
      </c>
      <c r="D25" s="76">
        <f t="shared" si="1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76">
        <f t="shared" si="2"/>
        <v>9000</v>
      </c>
      <c r="L25" s="90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50000</v>
      </c>
      <c r="C26" s="55">
        <v>0</v>
      </c>
      <c r="D26" s="76">
        <f t="shared" si="1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76">
        <f t="shared" si="2"/>
        <v>300000</v>
      </c>
      <c r="L26" s="90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5">
        <v>0</v>
      </c>
      <c r="D27" s="76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76">
        <f t="shared" si="2"/>
        <v>0</v>
      </c>
      <c r="L27" s="90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5">
        <v>0</v>
      </c>
      <c r="D28" s="76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76">
        <f t="shared" si="2"/>
        <v>0</v>
      </c>
      <c r="L28" s="90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5">
        <v>0</v>
      </c>
      <c r="D29" s="76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76">
        <f t="shared" si="2"/>
        <v>0</v>
      </c>
      <c r="L29" s="90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5">
        <v>0</v>
      </c>
      <c r="D30" s="76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76">
        <f t="shared" si="2"/>
        <v>0</v>
      </c>
      <c r="L30" s="90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5">
        <v>71825</v>
      </c>
      <c r="D31" s="76">
        <f t="shared" si="1"/>
        <v>71825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76">
        <f t="shared" si="2"/>
        <v>0</v>
      </c>
      <c r="L31" s="90">
        <v>71825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5">
        <v>0</v>
      </c>
      <c r="D32" s="76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76">
        <f t="shared" si="2"/>
        <v>0</v>
      </c>
      <c r="L32" s="90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5">
        <v>0</v>
      </c>
      <c r="D33" s="76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76">
        <f t="shared" si="2"/>
        <v>0</v>
      </c>
      <c r="L33" s="90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5">
        <v>7735</v>
      </c>
      <c r="D34" s="76">
        <f t="shared" si="1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76">
        <f t="shared" si="2"/>
        <v>0</v>
      </c>
      <c r="L34" s="90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5">
        <v>0</v>
      </c>
      <c r="D35" s="76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76">
        <f t="shared" si="2"/>
        <v>0</v>
      </c>
      <c r="L35" s="90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5">
        <v>0</v>
      </c>
      <c r="D36" s="76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76">
        <f t="shared" si="2"/>
        <v>0</v>
      </c>
      <c r="L36" s="90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5">
        <v>0</v>
      </c>
      <c r="D37" s="76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76">
        <f t="shared" si="2"/>
        <v>0</v>
      </c>
      <c r="L37" s="90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5">
        <v>0</v>
      </c>
      <c r="D38" s="76">
        <f t="shared" si="1"/>
        <v>0</v>
      </c>
      <c r="E38" s="39">
        <v>33900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76">
        <f t="shared" si="2"/>
        <v>100900</v>
      </c>
      <c r="L38" s="90">
        <v>100900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5">
        <v>0</v>
      </c>
      <c r="D39" s="76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0</v>
      </c>
      <c r="K39" s="76">
        <f t="shared" si="2"/>
        <v>0</v>
      </c>
      <c r="L39" s="90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5">
        <v>0</v>
      </c>
      <c r="D40" s="76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76">
        <f t="shared" si="2"/>
        <v>0</v>
      </c>
      <c r="L40" s="90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5">
        <v>0</v>
      </c>
      <c r="D41" s="76">
        <f t="shared" si="1"/>
        <v>0</v>
      </c>
      <c r="E41" s="39">
        <v>0</v>
      </c>
      <c r="F41" s="10">
        <v>0</v>
      </c>
      <c r="G41" s="10">
        <v>0</v>
      </c>
      <c r="H41" s="10">
        <v>0</v>
      </c>
      <c r="I41" s="39">
        <v>0</v>
      </c>
      <c r="J41" s="55">
        <v>0</v>
      </c>
      <c r="K41" s="76">
        <f t="shared" si="2"/>
        <v>0</v>
      </c>
      <c r="L41" s="90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5">
        <v>0</v>
      </c>
      <c r="D42" s="76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76">
        <f t="shared" si="2"/>
        <v>0</v>
      </c>
      <c r="L42" s="90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5">
        <v>0</v>
      </c>
      <c r="D43" s="76">
        <f t="shared" si="1"/>
        <v>0</v>
      </c>
      <c r="E43" s="39">
        <v>87912</v>
      </c>
      <c r="F43" s="10">
        <v>77120</v>
      </c>
      <c r="G43" s="10">
        <v>7292</v>
      </c>
      <c r="H43" s="10">
        <v>77228</v>
      </c>
      <c r="I43" s="39">
        <v>57472</v>
      </c>
      <c r="J43" s="55">
        <v>46467</v>
      </c>
      <c r="K43" s="76">
        <f t="shared" si="2"/>
        <v>353491</v>
      </c>
      <c r="L43" s="90">
        <v>353491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5">
        <v>0</v>
      </c>
      <c r="D44" s="76">
        <f t="shared" si="1"/>
        <v>0</v>
      </c>
      <c r="E44" s="39">
        <v>25884</v>
      </c>
      <c r="F44" s="10">
        <v>47886</v>
      </c>
      <c r="G44" s="10">
        <v>0</v>
      </c>
      <c r="H44" s="10">
        <v>19400</v>
      </c>
      <c r="I44" s="39">
        <v>58200</v>
      </c>
      <c r="J44" s="55">
        <v>52052</v>
      </c>
      <c r="K44" s="76">
        <f t="shared" si="2"/>
        <v>203422</v>
      </c>
      <c r="L44" s="90">
        <v>203422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5">
        <v>0</v>
      </c>
      <c r="D45" s="76">
        <f t="shared" si="1"/>
        <v>0</v>
      </c>
      <c r="E45" s="39">
        <v>0</v>
      </c>
      <c r="F45" s="10">
        <v>0</v>
      </c>
      <c r="G45" s="10">
        <v>0</v>
      </c>
      <c r="H45" s="10">
        <v>15520</v>
      </c>
      <c r="I45" s="39">
        <v>11640</v>
      </c>
      <c r="J45" s="55">
        <v>0</v>
      </c>
      <c r="K45" s="76">
        <f t="shared" si="2"/>
        <v>27160</v>
      </c>
      <c r="L45" s="90">
        <v>27160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5">
        <v>0</v>
      </c>
      <c r="D46" s="76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76">
        <f t="shared" si="2"/>
        <v>0</v>
      </c>
      <c r="L46" s="90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50</v>
      </c>
      <c r="B47" s="10">
        <v>0</v>
      </c>
      <c r="C47" s="55">
        <v>0</v>
      </c>
      <c r="D47" s="76">
        <f t="shared" si="1"/>
        <v>0</v>
      </c>
      <c r="E47" s="39">
        <v>0</v>
      </c>
      <c r="F47" s="10">
        <v>0</v>
      </c>
      <c r="G47" s="10">
        <v>0</v>
      </c>
      <c r="H47" s="10">
        <v>0</v>
      </c>
      <c r="I47" s="39">
        <v>0</v>
      </c>
      <c r="J47" s="55">
        <v>0</v>
      </c>
      <c r="K47" s="76">
        <f t="shared" si="2"/>
        <v>0</v>
      </c>
      <c r="L47" s="90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5">
        <v>0</v>
      </c>
      <c r="D48" s="76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76">
        <f t="shared" si="2"/>
        <v>0</v>
      </c>
      <c r="L48" s="90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59">
        <v>0</v>
      </c>
      <c r="D49" s="77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77">
        <f t="shared" si="2"/>
        <v>0</v>
      </c>
      <c r="L49" s="94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606</v>
      </c>
      <c r="C50" s="59">
        <v>0</v>
      </c>
      <c r="D50" s="77">
        <f t="shared" si="1"/>
        <v>606</v>
      </c>
      <c r="E50" s="43">
        <v>5600</v>
      </c>
      <c r="F50" s="12">
        <v>8492</v>
      </c>
      <c r="G50" s="12">
        <v>730</v>
      </c>
      <c r="H50" s="12">
        <v>6103</v>
      </c>
      <c r="I50" s="43">
        <v>1795</v>
      </c>
      <c r="J50" s="59">
        <v>1376</v>
      </c>
      <c r="K50" s="77">
        <f t="shared" si="2"/>
        <v>24096</v>
      </c>
      <c r="L50" s="94">
        <v>24702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0">
        <v>405606</v>
      </c>
      <c r="C51" s="60">
        <v>79560</v>
      </c>
      <c r="D51" s="78">
        <f t="shared" si="1"/>
        <v>485166</v>
      </c>
      <c r="E51" s="44">
        <v>386296</v>
      </c>
      <c r="F51" s="30">
        <v>390998</v>
      </c>
      <c r="G51" s="30">
        <v>251522</v>
      </c>
      <c r="H51" s="30">
        <v>358251</v>
      </c>
      <c r="I51" s="44">
        <v>369107</v>
      </c>
      <c r="J51" s="60">
        <v>329895</v>
      </c>
      <c r="K51" s="78">
        <f t="shared" si="2"/>
        <v>2086069</v>
      </c>
      <c r="L51" s="95">
        <v>2571235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53</v>
      </c>
      <c r="B52" s="29">
        <v>8434</v>
      </c>
      <c r="C52" s="61">
        <v>2880</v>
      </c>
      <c r="D52" s="79">
        <f t="shared" si="1"/>
        <v>11314</v>
      </c>
      <c r="E52" s="45">
        <v>4510</v>
      </c>
      <c r="F52" s="29">
        <v>4100</v>
      </c>
      <c r="G52" s="29">
        <v>5377</v>
      </c>
      <c r="H52" s="29">
        <v>3737</v>
      </c>
      <c r="I52" s="45">
        <v>3144</v>
      </c>
      <c r="J52" s="61">
        <v>4296</v>
      </c>
      <c r="K52" s="79">
        <f t="shared" si="2"/>
        <v>25164</v>
      </c>
      <c r="L52" s="96">
        <v>36478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54</v>
      </c>
      <c r="B53" s="32">
        <v>8434</v>
      </c>
      <c r="C53" s="62">
        <v>2880</v>
      </c>
      <c r="D53" s="80">
        <f t="shared" si="1"/>
        <v>11314</v>
      </c>
      <c r="E53" s="46">
        <v>4510</v>
      </c>
      <c r="F53" s="32">
        <v>4100</v>
      </c>
      <c r="G53" s="32">
        <v>5377</v>
      </c>
      <c r="H53" s="32">
        <v>3737</v>
      </c>
      <c r="I53" s="46">
        <v>3144</v>
      </c>
      <c r="J53" s="62">
        <v>4296</v>
      </c>
      <c r="K53" s="80">
        <f t="shared" si="2"/>
        <v>25164</v>
      </c>
      <c r="L53" s="97">
        <v>36478</v>
      </c>
    </row>
    <row r="54" spans="1:19" ht="14.25" thickBot="1" x14ac:dyDescent="0.2">
      <c r="A54" s="33" t="s">
        <v>55</v>
      </c>
      <c r="B54" s="34">
        <v>414040</v>
      </c>
      <c r="C54" s="63">
        <v>82440</v>
      </c>
      <c r="D54" s="81">
        <f t="shared" si="1"/>
        <v>496480</v>
      </c>
      <c r="E54" s="47">
        <v>390806</v>
      </c>
      <c r="F54" s="34">
        <v>395098</v>
      </c>
      <c r="G54" s="34">
        <v>256899</v>
      </c>
      <c r="H54" s="34">
        <v>361988</v>
      </c>
      <c r="I54" s="47">
        <v>372251</v>
      </c>
      <c r="J54" s="63">
        <v>334191</v>
      </c>
      <c r="K54" s="81">
        <f t="shared" si="2"/>
        <v>2111233</v>
      </c>
      <c r="L54" s="98">
        <v>2607713</v>
      </c>
    </row>
    <row r="55" spans="1:19" x14ac:dyDescent="0.15">
      <c r="A55" s="28" t="s">
        <v>56</v>
      </c>
      <c r="B55" s="29">
        <v>20910</v>
      </c>
      <c r="C55" s="61">
        <v>0</v>
      </c>
      <c r="D55" s="79">
        <f t="shared" si="1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79">
        <f t="shared" si="2"/>
        <v>115770</v>
      </c>
      <c r="L55" s="96">
        <v>136680</v>
      </c>
    </row>
    <row r="56" spans="1:19" x14ac:dyDescent="0.15">
      <c r="A56" s="16" t="s">
        <v>57</v>
      </c>
      <c r="B56" s="12">
        <v>3690</v>
      </c>
      <c r="C56" s="59">
        <v>0</v>
      </c>
      <c r="D56" s="77">
        <f t="shared" si="1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77">
        <f t="shared" si="2"/>
        <v>20430</v>
      </c>
      <c r="L56" s="94">
        <v>24120</v>
      </c>
    </row>
    <row r="57" spans="1:19" x14ac:dyDescent="0.15">
      <c r="A57" s="16" t="s">
        <v>58</v>
      </c>
      <c r="B57" s="12">
        <v>37515</v>
      </c>
      <c r="C57" s="59">
        <v>0</v>
      </c>
      <c r="D57" s="77">
        <f t="shared" si="1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77">
        <f t="shared" si="2"/>
        <v>207705</v>
      </c>
      <c r="L57" s="94">
        <v>245220</v>
      </c>
    </row>
    <row r="58" spans="1:19" x14ac:dyDescent="0.15">
      <c r="A58" s="16" t="s">
        <v>59</v>
      </c>
      <c r="B58" s="12">
        <v>0</v>
      </c>
      <c r="C58" s="59">
        <v>0</v>
      </c>
      <c r="D58" s="77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77">
        <f t="shared" si="2"/>
        <v>0</v>
      </c>
      <c r="L58" s="94">
        <v>0</v>
      </c>
    </row>
    <row r="59" spans="1:19" x14ac:dyDescent="0.15">
      <c r="A59" s="16" t="s">
        <v>60</v>
      </c>
      <c r="B59" s="12">
        <v>1242</v>
      </c>
      <c r="C59" s="59">
        <v>247</v>
      </c>
      <c r="D59" s="77">
        <f t="shared" si="1"/>
        <v>1489</v>
      </c>
      <c r="E59" s="43">
        <v>1172</v>
      </c>
      <c r="F59" s="12">
        <v>1185</v>
      </c>
      <c r="G59" s="12">
        <v>771</v>
      </c>
      <c r="H59" s="12">
        <v>1086</v>
      </c>
      <c r="I59" s="43">
        <v>1117</v>
      </c>
      <c r="J59" s="59">
        <v>1003</v>
      </c>
      <c r="K59" s="77">
        <f t="shared" si="2"/>
        <v>6334</v>
      </c>
      <c r="L59" s="94">
        <v>7823</v>
      </c>
    </row>
    <row r="60" spans="1:19" x14ac:dyDescent="0.15">
      <c r="A60" s="16" t="s">
        <v>61</v>
      </c>
      <c r="B60" s="12">
        <v>0</v>
      </c>
      <c r="C60" s="59">
        <v>0</v>
      </c>
      <c r="D60" s="77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77">
        <f t="shared" si="2"/>
        <v>0</v>
      </c>
      <c r="L60" s="94">
        <v>0</v>
      </c>
    </row>
    <row r="61" spans="1:19" ht="14.25" thickBot="1" x14ac:dyDescent="0.2">
      <c r="A61" s="31" t="s">
        <v>62</v>
      </c>
      <c r="B61" s="32">
        <v>63357</v>
      </c>
      <c r="C61" s="62">
        <v>247</v>
      </c>
      <c r="D61" s="80">
        <f t="shared" si="1"/>
        <v>63604</v>
      </c>
      <c r="E61" s="46">
        <v>63287</v>
      </c>
      <c r="F61" s="32">
        <v>58755</v>
      </c>
      <c r="G61" s="32">
        <v>55311</v>
      </c>
      <c r="H61" s="32">
        <v>55626</v>
      </c>
      <c r="I61" s="46">
        <v>58687</v>
      </c>
      <c r="J61" s="62">
        <v>58573</v>
      </c>
      <c r="K61" s="80">
        <f t="shared" si="2"/>
        <v>350239</v>
      </c>
      <c r="L61" s="97">
        <v>413843</v>
      </c>
    </row>
    <row r="62" spans="1:19" ht="14.25" thickBot="1" x14ac:dyDescent="0.2">
      <c r="A62" s="33" t="s">
        <v>63</v>
      </c>
      <c r="B62" s="34">
        <v>342249</v>
      </c>
      <c r="C62" s="63">
        <v>79313</v>
      </c>
      <c r="D62" s="81">
        <f t="shared" si="1"/>
        <v>421562</v>
      </c>
      <c r="E62" s="47">
        <v>323009</v>
      </c>
      <c r="F62" s="34">
        <v>332243</v>
      </c>
      <c r="G62" s="34">
        <v>196211</v>
      </c>
      <c r="H62" s="34">
        <v>302625</v>
      </c>
      <c r="I62" s="47">
        <v>310420</v>
      </c>
      <c r="J62" s="63">
        <v>271322</v>
      </c>
      <c r="K62" s="81">
        <f t="shared" si="2"/>
        <v>1735830</v>
      </c>
      <c r="L62" s="98">
        <v>2157392</v>
      </c>
    </row>
    <row r="63" spans="1:19" x14ac:dyDescent="0.15">
      <c r="A63" s="28" t="s">
        <v>64</v>
      </c>
      <c r="B63" s="29">
        <v>8600</v>
      </c>
      <c r="C63" s="61">
        <v>0</v>
      </c>
      <c r="D63" s="79">
        <f t="shared" si="1"/>
        <v>8600</v>
      </c>
      <c r="E63" s="45">
        <v>7660</v>
      </c>
      <c r="F63" s="29">
        <v>11010</v>
      </c>
      <c r="G63" s="29">
        <v>3010</v>
      </c>
      <c r="H63" s="29">
        <v>6830</v>
      </c>
      <c r="I63" s="45">
        <v>9230</v>
      </c>
      <c r="J63" s="61">
        <v>4080</v>
      </c>
      <c r="K63" s="79">
        <f t="shared" si="2"/>
        <v>41820</v>
      </c>
      <c r="L63" s="96">
        <v>50420</v>
      </c>
    </row>
    <row r="64" spans="1:19" x14ac:dyDescent="0.15">
      <c r="A64" s="16" t="s">
        <v>65</v>
      </c>
      <c r="B64" s="12">
        <v>0</v>
      </c>
      <c r="C64" s="59">
        <v>0</v>
      </c>
      <c r="D64" s="77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77">
        <f t="shared" si="2"/>
        <v>0</v>
      </c>
      <c r="L64" s="94">
        <v>0</v>
      </c>
    </row>
    <row r="65" spans="1:12" x14ac:dyDescent="0.15">
      <c r="A65" s="16" t="s">
        <v>66</v>
      </c>
      <c r="B65" s="12">
        <v>26000</v>
      </c>
      <c r="C65" s="59">
        <v>1000</v>
      </c>
      <c r="D65" s="77">
        <f t="shared" si="1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77">
        <f t="shared" si="2"/>
        <v>94700</v>
      </c>
      <c r="L65" s="94">
        <v>121700</v>
      </c>
    </row>
    <row r="66" spans="1:12" x14ac:dyDescent="0.15">
      <c r="A66" s="16" t="s">
        <v>67</v>
      </c>
      <c r="B66" s="12">
        <v>0</v>
      </c>
      <c r="C66" s="59">
        <v>0</v>
      </c>
      <c r="D66" s="77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59">
        <v>0</v>
      </c>
      <c r="K66" s="77">
        <f t="shared" si="2"/>
        <v>0</v>
      </c>
      <c r="L66" s="94">
        <v>0</v>
      </c>
    </row>
    <row r="67" spans="1:12" x14ac:dyDescent="0.15">
      <c r="A67" s="16" t="s">
        <v>68</v>
      </c>
      <c r="B67" s="12">
        <v>0</v>
      </c>
      <c r="C67" s="59">
        <v>0</v>
      </c>
      <c r="D67" s="77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77">
        <f t="shared" si="2"/>
        <v>0</v>
      </c>
      <c r="L67" s="94">
        <v>0</v>
      </c>
    </row>
    <row r="68" spans="1:12" x14ac:dyDescent="0.15">
      <c r="A68" s="16" t="s">
        <v>69</v>
      </c>
      <c r="B68" s="12">
        <v>0</v>
      </c>
      <c r="C68" s="59">
        <v>0</v>
      </c>
      <c r="D68" s="77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77">
        <f t="shared" si="2"/>
        <v>0</v>
      </c>
      <c r="L68" s="94">
        <v>0</v>
      </c>
    </row>
    <row r="69" spans="1:12" x14ac:dyDescent="0.15">
      <c r="A69" s="16" t="s">
        <v>70</v>
      </c>
      <c r="B69" s="12">
        <v>0</v>
      </c>
      <c r="C69" s="59">
        <v>0</v>
      </c>
      <c r="D69" s="77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77">
        <f t="shared" si="2"/>
        <v>0</v>
      </c>
      <c r="L69" s="94">
        <v>0</v>
      </c>
    </row>
    <row r="70" spans="1:12" ht="14.25" thickBot="1" x14ac:dyDescent="0.2">
      <c r="A70" s="31" t="s">
        <v>71</v>
      </c>
      <c r="B70" s="32">
        <v>34600</v>
      </c>
      <c r="C70" s="62">
        <v>1000</v>
      </c>
      <c r="D70" s="80">
        <f t="shared" si="1"/>
        <v>35600</v>
      </c>
      <c r="E70" s="46">
        <v>23960</v>
      </c>
      <c r="F70" s="32">
        <v>28410</v>
      </c>
      <c r="G70" s="32">
        <v>16510</v>
      </c>
      <c r="H70" s="32">
        <v>16330</v>
      </c>
      <c r="I70" s="46">
        <v>25030</v>
      </c>
      <c r="J70" s="62">
        <v>26280</v>
      </c>
      <c r="K70" s="80">
        <f t="shared" si="2"/>
        <v>136520</v>
      </c>
      <c r="L70" s="97">
        <v>172120</v>
      </c>
    </row>
    <row r="71" spans="1:12" ht="14.25" thickBot="1" x14ac:dyDescent="0.2">
      <c r="A71" s="33" t="s">
        <v>72</v>
      </c>
      <c r="B71" s="34">
        <v>97957</v>
      </c>
      <c r="C71" s="63">
        <v>1247</v>
      </c>
      <c r="D71" s="81">
        <f t="shared" si="1"/>
        <v>99204</v>
      </c>
      <c r="E71" s="47">
        <v>87247</v>
      </c>
      <c r="F71" s="34">
        <v>87165</v>
      </c>
      <c r="G71" s="34">
        <v>71821</v>
      </c>
      <c r="H71" s="34">
        <v>71956</v>
      </c>
      <c r="I71" s="47">
        <v>83717</v>
      </c>
      <c r="J71" s="63">
        <v>84853</v>
      </c>
      <c r="K71" s="81">
        <f t="shared" si="2"/>
        <v>486759</v>
      </c>
      <c r="L71" s="98">
        <v>585963</v>
      </c>
    </row>
    <row r="72" spans="1:12" ht="14.25" thickBot="1" x14ac:dyDescent="0.2">
      <c r="A72" s="33" t="s">
        <v>73</v>
      </c>
      <c r="B72" s="34">
        <v>316083</v>
      </c>
      <c r="C72" s="63">
        <v>81193</v>
      </c>
      <c r="D72" s="81">
        <f t="shared" si="1"/>
        <v>397276</v>
      </c>
      <c r="E72" s="47">
        <v>303559</v>
      </c>
      <c r="F72" s="34">
        <v>307933</v>
      </c>
      <c r="G72" s="34">
        <v>185078</v>
      </c>
      <c r="H72" s="34">
        <v>290032</v>
      </c>
      <c r="I72" s="47">
        <v>288534</v>
      </c>
      <c r="J72" s="63">
        <v>249338</v>
      </c>
      <c r="K72" s="81">
        <f t="shared" si="2"/>
        <v>1624474</v>
      </c>
      <c r="L72" s="98">
        <v>2021750</v>
      </c>
    </row>
    <row r="73" spans="1:12" x14ac:dyDescent="0.15">
      <c r="A73" s="28" t="s">
        <v>74</v>
      </c>
      <c r="B73" s="29">
        <v>0</v>
      </c>
      <c r="C73" s="61">
        <v>0</v>
      </c>
      <c r="D73" s="79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79">
        <f t="shared" si="2"/>
        <v>0</v>
      </c>
      <c r="L73" s="96">
        <v>0</v>
      </c>
    </row>
    <row r="74" spans="1:12" x14ac:dyDescent="0.15">
      <c r="A74" s="16" t="s">
        <v>75</v>
      </c>
      <c r="B74" s="12">
        <v>316083</v>
      </c>
      <c r="C74" s="59">
        <v>81193</v>
      </c>
      <c r="D74" s="77">
        <f t="shared" si="1"/>
        <v>397276</v>
      </c>
      <c r="E74" s="43">
        <v>303559</v>
      </c>
      <c r="F74" s="12">
        <v>307933</v>
      </c>
      <c r="G74" s="12">
        <v>185078</v>
      </c>
      <c r="H74" s="12">
        <v>290032</v>
      </c>
      <c r="I74" s="43">
        <v>288534</v>
      </c>
      <c r="J74" s="59">
        <v>249338</v>
      </c>
      <c r="K74" s="77">
        <f t="shared" si="2"/>
        <v>1624474</v>
      </c>
      <c r="L74" s="94">
        <v>2021750</v>
      </c>
    </row>
    <row r="75" spans="1:12" x14ac:dyDescent="0.15">
      <c r="A75" s="16" t="s">
        <v>76</v>
      </c>
      <c r="B75" s="13">
        <v>33</v>
      </c>
      <c r="C75" s="64">
        <v>11</v>
      </c>
      <c r="D75" s="82"/>
      <c r="E75" s="48">
        <v>32</v>
      </c>
      <c r="F75" s="13">
        <v>32</v>
      </c>
      <c r="G75" s="13">
        <v>39</v>
      </c>
      <c r="H75" s="13">
        <v>16</v>
      </c>
      <c r="I75" s="48">
        <v>23</v>
      </c>
      <c r="J75" s="64">
        <v>22</v>
      </c>
      <c r="K75" s="82"/>
      <c r="L75" s="99">
        <v>208</v>
      </c>
    </row>
    <row r="76" spans="1:12" x14ac:dyDescent="0.15">
      <c r="A76" s="16" t="s">
        <v>77</v>
      </c>
      <c r="B76" s="14">
        <v>1</v>
      </c>
      <c r="C76" s="65"/>
      <c r="D76" s="83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83"/>
      <c r="L76" s="100"/>
    </row>
    <row r="77" spans="1:12" ht="14.25" thickBot="1" x14ac:dyDescent="0.2">
      <c r="A77" s="17" t="s">
        <v>78</v>
      </c>
      <c r="B77" s="18" t="s">
        <v>79</v>
      </c>
      <c r="C77" s="66" t="s">
        <v>79</v>
      </c>
      <c r="D77" s="84"/>
      <c r="E77" s="50" t="s">
        <v>79</v>
      </c>
      <c r="F77" s="18" t="s">
        <v>79</v>
      </c>
      <c r="G77" s="18" t="s">
        <v>79</v>
      </c>
      <c r="H77" s="18" t="s">
        <v>79</v>
      </c>
      <c r="I77" s="50" t="s">
        <v>79</v>
      </c>
      <c r="J77" s="66" t="s">
        <v>79</v>
      </c>
      <c r="K77" s="84"/>
      <c r="L77" s="10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AA18-738F-4AF5-A58A-73231FB8DE63}">
  <sheetPr>
    <pageSetUpPr fitToPage="1"/>
  </sheetPr>
  <dimension ref="A1:AL77"/>
  <sheetViews>
    <sheetView tabSelected="1" zoomScale="80" zoomScaleNormal="80" workbookViewId="0">
      <selection activeCell="C41" sqref="C41"/>
    </sheetView>
  </sheetViews>
  <sheetFormatPr defaultRowHeight="13.5" x14ac:dyDescent="0.15"/>
  <cols>
    <col min="1" max="1" width="17.625" style="2" customWidth="1"/>
    <col min="2" max="12" width="12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1" t="s">
        <v>6</v>
      </c>
      <c r="D3" s="68" t="s">
        <v>85</v>
      </c>
      <c r="E3" s="35" t="s">
        <v>6</v>
      </c>
      <c r="F3" s="20" t="s">
        <v>6</v>
      </c>
      <c r="G3" s="20" t="s">
        <v>6</v>
      </c>
      <c r="H3" s="20" t="s">
        <v>6</v>
      </c>
      <c r="I3" s="35" t="s">
        <v>6</v>
      </c>
      <c r="J3" s="51" t="s">
        <v>6</v>
      </c>
      <c r="K3" s="68" t="s">
        <v>85</v>
      </c>
      <c r="L3" s="85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69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69"/>
      <c r="L4" s="8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2" t="s">
        <v>82</v>
      </c>
      <c r="D5" s="70" t="s">
        <v>86</v>
      </c>
      <c r="E5" s="36" t="s">
        <v>7</v>
      </c>
      <c r="F5" s="22" t="s">
        <v>25</v>
      </c>
      <c r="G5" s="22" t="s">
        <v>27</v>
      </c>
      <c r="H5" s="22" t="s">
        <v>28</v>
      </c>
      <c r="I5" s="36" t="s">
        <v>80</v>
      </c>
      <c r="J5" s="52" t="s">
        <v>81</v>
      </c>
      <c r="K5" s="70" t="s">
        <v>87</v>
      </c>
      <c r="L5" s="87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18</v>
      </c>
      <c r="C6" s="53">
        <v>10</v>
      </c>
      <c r="D6" s="71">
        <f>SUM(B6:C6)</f>
        <v>28</v>
      </c>
      <c r="E6" s="37">
        <v>18</v>
      </c>
      <c r="F6" s="24">
        <v>18</v>
      </c>
      <c r="G6" s="24">
        <v>17</v>
      </c>
      <c r="H6" s="24">
        <v>18</v>
      </c>
      <c r="I6" s="37">
        <v>18</v>
      </c>
      <c r="J6" s="53">
        <v>18</v>
      </c>
      <c r="K6" s="71">
        <f>SUM(E6:J6)</f>
        <v>107</v>
      </c>
      <c r="L6" s="88">
        <v>135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10"/>
      <c r="C7" s="55"/>
      <c r="D7" s="72"/>
      <c r="E7" s="38">
        <v>3</v>
      </c>
      <c r="F7" s="9">
        <v>3</v>
      </c>
      <c r="G7" s="10"/>
      <c r="H7" s="9">
        <v>2</v>
      </c>
      <c r="I7" s="38">
        <v>4</v>
      </c>
      <c r="J7" s="54">
        <v>4</v>
      </c>
      <c r="K7" s="73">
        <f>SUM(E7:J7)</f>
        <v>16</v>
      </c>
      <c r="L7" s="89">
        <v>16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10"/>
      <c r="C8" s="55"/>
      <c r="D8" s="72"/>
      <c r="E8" s="39"/>
      <c r="F8" s="10"/>
      <c r="G8" s="10"/>
      <c r="H8" s="9">
        <v>1</v>
      </c>
      <c r="I8" s="38">
        <v>1</v>
      </c>
      <c r="J8" s="55"/>
      <c r="K8" s="73">
        <f>SUM(E8:J8)</f>
        <v>2</v>
      </c>
      <c r="L8" s="89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5"/>
      <c r="D9" s="72"/>
      <c r="E9" s="39"/>
      <c r="F9" s="10"/>
      <c r="G9" s="10"/>
      <c r="H9" s="10"/>
      <c r="I9" s="39"/>
      <c r="J9" s="55"/>
      <c r="K9" s="76"/>
      <c r="L9" s="9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10"/>
      <c r="C10" s="54">
        <v>1</v>
      </c>
      <c r="D10" s="73">
        <f>SUM(B10:C10)</f>
        <v>1</v>
      </c>
      <c r="E10" s="39"/>
      <c r="F10" s="10"/>
      <c r="G10" s="9">
        <v>1</v>
      </c>
      <c r="H10" s="10"/>
      <c r="I10" s="39"/>
      <c r="J10" s="55"/>
      <c r="K10" s="73">
        <f>SUM(E10:J10)</f>
        <v>1</v>
      </c>
      <c r="L10" s="89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5"/>
      <c r="D11" s="72"/>
      <c r="E11" s="39"/>
      <c r="F11" s="10"/>
      <c r="G11" s="10"/>
      <c r="H11" s="10"/>
      <c r="I11" s="39"/>
      <c r="J11" s="55"/>
      <c r="K11" s="76"/>
      <c r="L11" s="9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5"/>
      <c r="D12" s="72"/>
      <c r="E12" s="39"/>
      <c r="F12" s="10"/>
      <c r="G12" s="10"/>
      <c r="H12" s="10"/>
      <c r="I12" s="39"/>
      <c r="J12" s="55"/>
      <c r="K12" s="76"/>
      <c r="L12" s="9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6">
        <v>2.7083333333333335</v>
      </c>
      <c r="D13" s="74">
        <f>SUM(B13:C13)</f>
        <v>2.7083333333333335</v>
      </c>
      <c r="E13" s="39"/>
      <c r="F13" s="10"/>
      <c r="G13" s="10"/>
      <c r="H13" s="10"/>
      <c r="I13" s="39"/>
      <c r="J13" s="55"/>
      <c r="K13" s="76"/>
      <c r="L13" s="91">
        <v>2.7083333333333335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5"/>
      <c r="D14" s="72"/>
      <c r="E14" s="40">
        <v>1.8333333333333333</v>
      </c>
      <c r="F14" s="11">
        <v>1.6666666666666667</v>
      </c>
      <c r="G14" s="11">
        <v>0.16666666666666666</v>
      </c>
      <c r="H14" s="11">
        <v>1.7916666666666667</v>
      </c>
      <c r="I14" s="40">
        <v>1.3333333333333333</v>
      </c>
      <c r="J14" s="56">
        <v>1.125</v>
      </c>
      <c r="K14" s="74">
        <f>SUM(E14:J14)</f>
        <v>7.9166666666666661</v>
      </c>
      <c r="L14" s="91">
        <v>7.916666666666667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5"/>
      <c r="D15" s="72"/>
      <c r="E15" s="40">
        <v>0.5</v>
      </c>
      <c r="F15" s="11">
        <v>0.95833333333333337</v>
      </c>
      <c r="G15" s="10"/>
      <c r="H15" s="11">
        <v>0.41666666666666669</v>
      </c>
      <c r="I15" s="40">
        <v>1.25</v>
      </c>
      <c r="J15" s="56">
        <v>1.1666666666666667</v>
      </c>
      <c r="K15" s="74">
        <f t="shared" ref="K15:K16" si="0">SUM(E15:J15)</f>
        <v>4.291666666666667</v>
      </c>
      <c r="L15" s="91">
        <v>4.291666666666667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5"/>
      <c r="D16" s="72"/>
      <c r="E16" s="39"/>
      <c r="F16" s="10"/>
      <c r="G16" s="10"/>
      <c r="H16" s="11">
        <v>0.33333333333333331</v>
      </c>
      <c r="I16" s="40">
        <v>0.25</v>
      </c>
      <c r="J16" s="55"/>
      <c r="K16" s="74">
        <f t="shared" si="0"/>
        <v>0.58333333333333326</v>
      </c>
      <c r="L16" s="91">
        <v>0.58333333333333337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5"/>
      <c r="D17" s="72"/>
      <c r="E17" s="39"/>
      <c r="F17" s="10"/>
      <c r="G17" s="10"/>
      <c r="H17" s="10"/>
      <c r="I17" s="39"/>
      <c r="J17" s="55"/>
      <c r="K17" s="76"/>
      <c r="L17" s="90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5"/>
      <c r="D18" s="72"/>
      <c r="E18" s="39"/>
      <c r="F18" s="10"/>
      <c r="G18" s="10"/>
      <c r="H18" s="10"/>
      <c r="I18" s="39"/>
      <c r="J18" s="55"/>
      <c r="K18" s="76"/>
      <c r="L18" s="90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5"/>
      <c r="D19" s="72"/>
      <c r="E19" s="39"/>
      <c r="F19" s="10"/>
      <c r="G19" s="10"/>
      <c r="H19" s="10"/>
      <c r="I19" s="39"/>
      <c r="J19" s="55"/>
      <c r="K19" s="76"/>
      <c r="L19" s="90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5"/>
      <c r="D20" s="72"/>
      <c r="E20" s="39"/>
      <c r="F20" s="10"/>
      <c r="G20" s="10"/>
      <c r="H20" s="10"/>
      <c r="I20" s="39"/>
      <c r="J20" s="55"/>
      <c r="K20" s="76"/>
      <c r="L20" s="90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6">
        <v>0.29166666666666669</v>
      </c>
      <c r="D21" s="74">
        <f>SUM(B21:C21)</f>
        <v>0.29166666666666669</v>
      </c>
      <c r="E21" s="39"/>
      <c r="F21" s="10"/>
      <c r="G21" s="10"/>
      <c r="H21" s="10"/>
      <c r="I21" s="39"/>
      <c r="J21" s="55"/>
      <c r="K21" s="76"/>
      <c r="L21" s="91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6">
        <v>4.1666666666666664E-2</v>
      </c>
      <c r="C22" s="67"/>
      <c r="D22" s="74">
        <f>SUM(B22:C22)</f>
        <v>4.1666666666666664E-2</v>
      </c>
      <c r="E22" s="41">
        <v>0.58333333333333337</v>
      </c>
      <c r="F22" s="26">
        <v>0.91666666666666663</v>
      </c>
      <c r="G22" s="26">
        <v>8.3333333333333329E-2</v>
      </c>
      <c r="H22" s="26">
        <v>0.70833333333333337</v>
      </c>
      <c r="I22" s="41">
        <v>0.20833333333333334</v>
      </c>
      <c r="J22" s="57">
        <v>0.16666666666666666</v>
      </c>
      <c r="K22" s="102">
        <f>SUM(E22:J22)</f>
        <v>2.6666666666666665</v>
      </c>
      <c r="L22" s="92">
        <v>2.7083333333333335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7">
        <v>355000</v>
      </c>
      <c r="C23" s="58">
        <v>0</v>
      </c>
      <c r="D23" s="75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75">
        <f>SUM(E23:J23)</f>
        <v>1063000</v>
      </c>
      <c r="L23" s="93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5">
        <v>0</v>
      </c>
      <c r="D24" s="76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76">
        <f t="shared" ref="K24:K74" si="2">SUM(E24:J24)</f>
        <v>5000</v>
      </c>
      <c r="L24" s="90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5">
        <v>0</v>
      </c>
      <c r="D25" s="76">
        <f t="shared" si="1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76">
        <f t="shared" si="2"/>
        <v>9000</v>
      </c>
      <c r="L25" s="90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50000</v>
      </c>
      <c r="C26" s="55">
        <v>0</v>
      </c>
      <c r="D26" s="76">
        <f t="shared" si="1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76">
        <f t="shared" si="2"/>
        <v>300000</v>
      </c>
      <c r="L26" s="90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5">
        <v>0</v>
      </c>
      <c r="D27" s="76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76">
        <f t="shared" si="2"/>
        <v>0</v>
      </c>
      <c r="L27" s="90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5">
        <v>0</v>
      </c>
      <c r="D28" s="76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76">
        <f t="shared" si="2"/>
        <v>0</v>
      </c>
      <c r="L28" s="90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5">
        <v>0</v>
      </c>
      <c r="D29" s="76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76">
        <f t="shared" si="2"/>
        <v>0</v>
      </c>
      <c r="L29" s="90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5">
        <v>0</v>
      </c>
      <c r="D30" s="76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76">
        <f t="shared" si="2"/>
        <v>0</v>
      </c>
      <c r="L30" s="90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5">
        <v>71825</v>
      </c>
      <c r="D31" s="76">
        <f t="shared" si="1"/>
        <v>71825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76">
        <f t="shared" si="2"/>
        <v>0</v>
      </c>
      <c r="L31" s="90">
        <v>71825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5">
        <v>0</v>
      </c>
      <c r="D32" s="76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76">
        <f t="shared" si="2"/>
        <v>0</v>
      </c>
      <c r="L32" s="90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5">
        <v>0</v>
      </c>
      <c r="D33" s="76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76">
        <f t="shared" si="2"/>
        <v>0</v>
      </c>
      <c r="L33" s="90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5">
        <v>7735</v>
      </c>
      <c r="D34" s="76">
        <f t="shared" si="1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76">
        <f t="shared" si="2"/>
        <v>0</v>
      </c>
      <c r="L34" s="90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5">
        <v>0</v>
      </c>
      <c r="D35" s="76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76">
        <f t="shared" si="2"/>
        <v>0</v>
      </c>
      <c r="L35" s="90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5">
        <v>0</v>
      </c>
      <c r="D36" s="76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76">
        <f t="shared" si="2"/>
        <v>0</v>
      </c>
      <c r="L36" s="90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5">
        <v>0</v>
      </c>
      <c r="D37" s="76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76">
        <f t="shared" si="2"/>
        <v>0</v>
      </c>
      <c r="L37" s="90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5">
        <v>0</v>
      </c>
      <c r="D38" s="76">
        <f t="shared" si="1"/>
        <v>0</v>
      </c>
      <c r="E38" s="39">
        <v>33900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76">
        <f t="shared" si="2"/>
        <v>100900</v>
      </c>
      <c r="L38" s="90">
        <v>100900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5">
        <v>0</v>
      </c>
      <c r="D39" s="76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0</v>
      </c>
      <c r="K39" s="76">
        <f t="shared" si="2"/>
        <v>0</v>
      </c>
      <c r="L39" s="90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5">
        <v>0</v>
      </c>
      <c r="D40" s="76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76">
        <f t="shared" si="2"/>
        <v>0</v>
      </c>
      <c r="L40" s="90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5">
        <v>0</v>
      </c>
      <c r="D41" s="76">
        <f t="shared" si="1"/>
        <v>0</v>
      </c>
      <c r="E41" s="39">
        <v>0</v>
      </c>
      <c r="F41" s="10">
        <v>0</v>
      </c>
      <c r="G41" s="10">
        <v>0</v>
      </c>
      <c r="H41" s="10">
        <v>0</v>
      </c>
      <c r="I41" s="39">
        <v>0</v>
      </c>
      <c r="J41" s="55">
        <v>0</v>
      </c>
      <c r="K41" s="76">
        <f t="shared" si="2"/>
        <v>0</v>
      </c>
      <c r="L41" s="90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5">
        <v>0</v>
      </c>
      <c r="D42" s="76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76">
        <f t="shared" si="2"/>
        <v>0</v>
      </c>
      <c r="L42" s="90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5">
        <v>0</v>
      </c>
      <c r="D43" s="76">
        <f t="shared" si="1"/>
        <v>0</v>
      </c>
      <c r="E43" s="39">
        <v>87912</v>
      </c>
      <c r="F43" s="10">
        <v>77120</v>
      </c>
      <c r="G43" s="10">
        <v>7292</v>
      </c>
      <c r="H43" s="10">
        <v>77228</v>
      </c>
      <c r="I43" s="39">
        <v>57472</v>
      </c>
      <c r="J43" s="55">
        <v>46467</v>
      </c>
      <c r="K43" s="76">
        <f t="shared" si="2"/>
        <v>353491</v>
      </c>
      <c r="L43" s="90">
        <v>353491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5">
        <v>0</v>
      </c>
      <c r="D44" s="76">
        <f t="shared" si="1"/>
        <v>0</v>
      </c>
      <c r="E44" s="39">
        <v>25884</v>
      </c>
      <c r="F44" s="10">
        <v>47886</v>
      </c>
      <c r="G44" s="10">
        <v>0</v>
      </c>
      <c r="H44" s="10">
        <v>19400</v>
      </c>
      <c r="I44" s="39">
        <v>58200</v>
      </c>
      <c r="J44" s="55">
        <v>52052</v>
      </c>
      <c r="K44" s="76">
        <f t="shared" si="2"/>
        <v>203422</v>
      </c>
      <c r="L44" s="90">
        <v>203422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5">
        <v>0</v>
      </c>
      <c r="D45" s="76">
        <f t="shared" si="1"/>
        <v>0</v>
      </c>
      <c r="E45" s="39">
        <v>0</v>
      </c>
      <c r="F45" s="10">
        <v>0</v>
      </c>
      <c r="G45" s="10">
        <v>0</v>
      </c>
      <c r="H45" s="10">
        <v>15520</v>
      </c>
      <c r="I45" s="39">
        <v>11640</v>
      </c>
      <c r="J45" s="55">
        <v>0</v>
      </c>
      <c r="K45" s="76">
        <f t="shared" si="2"/>
        <v>27160</v>
      </c>
      <c r="L45" s="90">
        <v>27160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5">
        <v>0</v>
      </c>
      <c r="D46" s="76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76">
        <f t="shared" si="2"/>
        <v>0</v>
      </c>
      <c r="L46" s="90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03" t="s">
        <v>50</v>
      </c>
      <c r="B47" s="104">
        <v>0</v>
      </c>
      <c r="C47" s="105">
        <v>0</v>
      </c>
      <c r="D47" s="106">
        <f t="shared" si="1"/>
        <v>0</v>
      </c>
      <c r="E47" s="107">
        <v>0</v>
      </c>
      <c r="F47" s="104">
        <v>0</v>
      </c>
      <c r="G47" s="104">
        <v>0</v>
      </c>
      <c r="H47" s="104">
        <v>0</v>
      </c>
      <c r="I47" s="107">
        <v>0</v>
      </c>
      <c r="J47" s="105">
        <v>0</v>
      </c>
      <c r="K47" s="106">
        <f t="shared" si="2"/>
        <v>0</v>
      </c>
      <c r="L47" s="108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20</v>
      </c>
      <c r="B48" s="10">
        <v>0</v>
      </c>
      <c r="C48" s="55">
        <v>0</v>
      </c>
      <c r="D48" s="76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76">
        <f t="shared" si="2"/>
        <v>0</v>
      </c>
      <c r="L48" s="90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59">
        <v>0</v>
      </c>
      <c r="D49" s="77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77">
        <f t="shared" si="2"/>
        <v>0</v>
      </c>
      <c r="L49" s="94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24</v>
      </c>
      <c r="B50" s="12">
        <v>606</v>
      </c>
      <c r="C50" s="59">
        <v>0</v>
      </c>
      <c r="D50" s="77">
        <f t="shared" si="1"/>
        <v>606</v>
      </c>
      <c r="E50" s="43">
        <v>5600</v>
      </c>
      <c r="F50" s="12">
        <v>8492</v>
      </c>
      <c r="G50" s="12">
        <v>730</v>
      </c>
      <c r="H50" s="12">
        <v>6103</v>
      </c>
      <c r="I50" s="43">
        <v>1795</v>
      </c>
      <c r="J50" s="59">
        <v>1376</v>
      </c>
      <c r="K50" s="77">
        <f t="shared" si="2"/>
        <v>24096</v>
      </c>
      <c r="L50" s="94">
        <v>24702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52</v>
      </c>
      <c r="B51" s="30">
        <v>405606</v>
      </c>
      <c r="C51" s="60">
        <v>79560</v>
      </c>
      <c r="D51" s="78">
        <f t="shared" si="1"/>
        <v>485166</v>
      </c>
      <c r="E51" s="44">
        <v>386296</v>
      </c>
      <c r="F51" s="30">
        <v>390998</v>
      </c>
      <c r="G51" s="30">
        <v>251522</v>
      </c>
      <c r="H51" s="30">
        <v>358251</v>
      </c>
      <c r="I51" s="44">
        <v>369107</v>
      </c>
      <c r="J51" s="60">
        <v>329895</v>
      </c>
      <c r="K51" s="78">
        <f t="shared" si="2"/>
        <v>2086069</v>
      </c>
      <c r="L51" s="95">
        <v>2571235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53</v>
      </c>
      <c r="B52" s="29">
        <v>8434</v>
      </c>
      <c r="C52" s="61">
        <v>2880</v>
      </c>
      <c r="D52" s="79">
        <f t="shared" si="1"/>
        <v>11314</v>
      </c>
      <c r="E52" s="45">
        <v>4510</v>
      </c>
      <c r="F52" s="29">
        <v>4100</v>
      </c>
      <c r="G52" s="29">
        <v>5377</v>
      </c>
      <c r="H52" s="29">
        <v>3737</v>
      </c>
      <c r="I52" s="45">
        <v>3144</v>
      </c>
      <c r="J52" s="61">
        <v>4296</v>
      </c>
      <c r="K52" s="79">
        <f t="shared" si="2"/>
        <v>25164</v>
      </c>
      <c r="L52" s="96">
        <v>36478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54</v>
      </c>
      <c r="B53" s="32">
        <v>8434</v>
      </c>
      <c r="C53" s="62">
        <v>2880</v>
      </c>
      <c r="D53" s="80">
        <f t="shared" si="1"/>
        <v>11314</v>
      </c>
      <c r="E53" s="46">
        <v>4510</v>
      </c>
      <c r="F53" s="32">
        <v>4100</v>
      </c>
      <c r="G53" s="32">
        <v>5377</v>
      </c>
      <c r="H53" s="32">
        <v>3737</v>
      </c>
      <c r="I53" s="46">
        <v>3144</v>
      </c>
      <c r="J53" s="62">
        <v>4296</v>
      </c>
      <c r="K53" s="80">
        <f t="shared" si="2"/>
        <v>25164</v>
      </c>
      <c r="L53" s="97">
        <v>36478</v>
      </c>
    </row>
    <row r="54" spans="1:19" ht="14.25" thickBot="1" x14ac:dyDescent="0.2">
      <c r="A54" s="33" t="s">
        <v>55</v>
      </c>
      <c r="B54" s="34">
        <v>414040</v>
      </c>
      <c r="C54" s="63">
        <v>82440</v>
      </c>
      <c r="D54" s="81">
        <f t="shared" si="1"/>
        <v>496480</v>
      </c>
      <c r="E54" s="47">
        <v>390806</v>
      </c>
      <c r="F54" s="34">
        <v>395098</v>
      </c>
      <c r="G54" s="34">
        <v>256899</v>
      </c>
      <c r="H54" s="34">
        <v>361988</v>
      </c>
      <c r="I54" s="47">
        <v>372251</v>
      </c>
      <c r="J54" s="63">
        <v>334191</v>
      </c>
      <c r="K54" s="81">
        <f t="shared" si="2"/>
        <v>2111233</v>
      </c>
      <c r="L54" s="98">
        <v>2607713</v>
      </c>
    </row>
    <row r="55" spans="1:19" x14ac:dyDescent="0.15">
      <c r="A55" s="28" t="s">
        <v>56</v>
      </c>
      <c r="B55" s="29">
        <v>20910</v>
      </c>
      <c r="C55" s="61">
        <v>0</v>
      </c>
      <c r="D55" s="79">
        <f t="shared" si="1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79">
        <f t="shared" si="2"/>
        <v>115770</v>
      </c>
      <c r="L55" s="96">
        <v>136680</v>
      </c>
    </row>
    <row r="56" spans="1:19" x14ac:dyDescent="0.15">
      <c r="A56" s="16" t="s">
        <v>57</v>
      </c>
      <c r="B56" s="12">
        <v>3690</v>
      </c>
      <c r="C56" s="59">
        <v>0</v>
      </c>
      <c r="D56" s="77">
        <f t="shared" si="1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77">
        <f t="shared" si="2"/>
        <v>20430</v>
      </c>
      <c r="L56" s="94">
        <v>24120</v>
      </c>
    </row>
    <row r="57" spans="1:19" x14ac:dyDescent="0.15">
      <c r="A57" s="16" t="s">
        <v>58</v>
      </c>
      <c r="B57" s="12">
        <v>37515</v>
      </c>
      <c r="C57" s="59">
        <v>0</v>
      </c>
      <c r="D57" s="77">
        <f t="shared" si="1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77">
        <f t="shared" si="2"/>
        <v>207705</v>
      </c>
      <c r="L57" s="94">
        <v>245220</v>
      </c>
    </row>
    <row r="58" spans="1:19" x14ac:dyDescent="0.15">
      <c r="A58" s="16" t="s">
        <v>59</v>
      </c>
      <c r="B58" s="12">
        <v>0</v>
      </c>
      <c r="C58" s="59">
        <v>0</v>
      </c>
      <c r="D58" s="77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77">
        <f t="shared" si="2"/>
        <v>0</v>
      </c>
      <c r="L58" s="94">
        <v>0</v>
      </c>
    </row>
    <row r="59" spans="1:19" x14ac:dyDescent="0.15">
      <c r="A59" s="16" t="s">
        <v>60</v>
      </c>
      <c r="B59" s="12">
        <v>1242</v>
      </c>
      <c r="C59" s="59">
        <v>247</v>
      </c>
      <c r="D59" s="77">
        <f t="shared" si="1"/>
        <v>1489</v>
      </c>
      <c r="E59" s="43">
        <v>1172</v>
      </c>
      <c r="F59" s="12">
        <v>1185</v>
      </c>
      <c r="G59" s="12">
        <v>771</v>
      </c>
      <c r="H59" s="12">
        <v>1086</v>
      </c>
      <c r="I59" s="43">
        <v>1117</v>
      </c>
      <c r="J59" s="59">
        <v>1003</v>
      </c>
      <c r="K59" s="77">
        <f t="shared" si="2"/>
        <v>6334</v>
      </c>
      <c r="L59" s="94">
        <v>7823</v>
      </c>
    </row>
    <row r="60" spans="1:19" x14ac:dyDescent="0.15">
      <c r="A60" s="16" t="s">
        <v>61</v>
      </c>
      <c r="B60" s="12">
        <v>0</v>
      </c>
      <c r="C60" s="59">
        <v>0</v>
      </c>
      <c r="D60" s="77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77">
        <f t="shared" si="2"/>
        <v>0</v>
      </c>
      <c r="L60" s="94">
        <v>0</v>
      </c>
    </row>
    <row r="61" spans="1:19" ht="14.25" thickBot="1" x14ac:dyDescent="0.2">
      <c r="A61" s="31" t="s">
        <v>62</v>
      </c>
      <c r="B61" s="32">
        <v>63357</v>
      </c>
      <c r="C61" s="62">
        <v>247</v>
      </c>
      <c r="D61" s="80">
        <f t="shared" si="1"/>
        <v>63604</v>
      </c>
      <c r="E61" s="46">
        <v>63287</v>
      </c>
      <c r="F61" s="32">
        <v>58755</v>
      </c>
      <c r="G61" s="32">
        <v>55311</v>
      </c>
      <c r="H61" s="32">
        <v>55626</v>
      </c>
      <c r="I61" s="46">
        <v>58687</v>
      </c>
      <c r="J61" s="62">
        <v>58573</v>
      </c>
      <c r="K61" s="80">
        <f t="shared" si="2"/>
        <v>350239</v>
      </c>
      <c r="L61" s="97">
        <v>413843</v>
      </c>
    </row>
    <row r="62" spans="1:19" ht="14.25" thickBot="1" x14ac:dyDescent="0.2">
      <c r="A62" s="33" t="s">
        <v>63</v>
      </c>
      <c r="B62" s="34">
        <v>342249</v>
      </c>
      <c r="C62" s="63">
        <v>79313</v>
      </c>
      <c r="D62" s="81">
        <f t="shared" si="1"/>
        <v>421562</v>
      </c>
      <c r="E62" s="47">
        <v>323009</v>
      </c>
      <c r="F62" s="34">
        <v>332243</v>
      </c>
      <c r="G62" s="34">
        <v>196211</v>
      </c>
      <c r="H62" s="34">
        <v>302625</v>
      </c>
      <c r="I62" s="47">
        <v>310420</v>
      </c>
      <c r="J62" s="63">
        <v>271322</v>
      </c>
      <c r="K62" s="81">
        <f t="shared" si="2"/>
        <v>1735830</v>
      </c>
      <c r="L62" s="98">
        <v>2157392</v>
      </c>
    </row>
    <row r="63" spans="1:19" x14ac:dyDescent="0.15">
      <c r="A63" s="28" t="s">
        <v>64</v>
      </c>
      <c r="B63" s="29">
        <v>8600</v>
      </c>
      <c r="C63" s="61">
        <v>0</v>
      </c>
      <c r="D63" s="79">
        <f t="shared" si="1"/>
        <v>8600</v>
      </c>
      <c r="E63" s="45">
        <v>7660</v>
      </c>
      <c r="F63" s="29">
        <v>11010</v>
      </c>
      <c r="G63" s="29">
        <v>3010</v>
      </c>
      <c r="H63" s="29">
        <v>6830</v>
      </c>
      <c r="I63" s="45">
        <v>9230</v>
      </c>
      <c r="J63" s="61">
        <v>4080</v>
      </c>
      <c r="K63" s="79">
        <f t="shared" si="2"/>
        <v>41820</v>
      </c>
      <c r="L63" s="96">
        <v>50420</v>
      </c>
    </row>
    <row r="64" spans="1:19" x14ac:dyDescent="0.15">
      <c r="A64" s="16" t="s">
        <v>65</v>
      </c>
      <c r="B64" s="12">
        <v>0</v>
      </c>
      <c r="C64" s="59">
        <v>0</v>
      </c>
      <c r="D64" s="77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77">
        <f t="shared" si="2"/>
        <v>0</v>
      </c>
      <c r="L64" s="94">
        <v>0</v>
      </c>
    </row>
    <row r="65" spans="1:12" x14ac:dyDescent="0.15">
      <c r="A65" s="16" t="s">
        <v>66</v>
      </c>
      <c r="B65" s="12">
        <v>26000</v>
      </c>
      <c r="C65" s="59">
        <v>1000</v>
      </c>
      <c r="D65" s="77">
        <f t="shared" si="1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77">
        <f t="shared" si="2"/>
        <v>94700</v>
      </c>
      <c r="L65" s="94">
        <v>121700</v>
      </c>
    </row>
    <row r="66" spans="1:12" x14ac:dyDescent="0.15">
      <c r="A66" s="16" t="s">
        <v>67</v>
      </c>
      <c r="B66" s="12">
        <v>0</v>
      </c>
      <c r="C66" s="59">
        <v>0</v>
      </c>
      <c r="D66" s="77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59">
        <v>0</v>
      </c>
      <c r="K66" s="77">
        <f t="shared" si="2"/>
        <v>0</v>
      </c>
      <c r="L66" s="94">
        <v>0</v>
      </c>
    </row>
    <row r="67" spans="1:12" x14ac:dyDescent="0.15">
      <c r="A67" s="16" t="s">
        <v>68</v>
      </c>
      <c r="B67" s="12">
        <v>0</v>
      </c>
      <c r="C67" s="59">
        <v>0</v>
      </c>
      <c r="D67" s="77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77">
        <f t="shared" si="2"/>
        <v>0</v>
      </c>
      <c r="L67" s="94">
        <v>0</v>
      </c>
    </row>
    <row r="68" spans="1:12" x14ac:dyDescent="0.15">
      <c r="A68" s="16" t="s">
        <v>69</v>
      </c>
      <c r="B68" s="12">
        <v>0</v>
      </c>
      <c r="C68" s="59">
        <v>0</v>
      </c>
      <c r="D68" s="77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77">
        <f t="shared" si="2"/>
        <v>0</v>
      </c>
      <c r="L68" s="94">
        <v>0</v>
      </c>
    </row>
    <row r="69" spans="1:12" x14ac:dyDescent="0.15">
      <c r="A69" s="16" t="s">
        <v>70</v>
      </c>
      <c r="B69" s="12">
        <v>0</v>
      </c>
      <c r="C69" s="59">
        <v>0</v>
      </c>
      <c r="D69" s="77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77">
        <f t="shared" si="2"/>
        <v>0</v>
      </c>
      <c r="L69" s="94">
        <v>0</v>
      </c>
    </row>
    <row r="70" spans="1:12" ht="14.25" thickBot="1" x14ac:dyDescent="0.2">
      <c r="A70" s="31" t="s">
        <v>71</v>
      </c>
      <c r="B70" s="32">
        <v>34600</v>
      </c>
      <c r="C70" s="62">
        <v>1000</v>
      </c>
      <c r="D70" s="80">
        <f t="shared" si="1"/>
        <v>35600</v>
      </c>
      <c r="E70" s="46">
        <v>23960</v>
      </c>
      <c r="F70" s="32">
        <v>28410</v>
      </c>
      <c r="G70" s="32">
        <v>16510</v>
      </c>
      <c r="H70" s="32">
        <v>16330</v>
      </c>
      <c r="I70" s="46">
        <v>25030</v>
      </c>
      <c r="J70" s="62">
        <v>26280</v>
      </c>
      <c r="K70" s="80">
        <f t="shared" si="2"/>
        <v>136520</v>
      </c>
      <c r="L70" s="97">
        <v>172120</v>
      </c>
    </row>
    <row r="71" spans="1:12" ht="14.25" thickBot="1" x14ac:dyDescent="0.2">
      <c r="A71" s="33" t="s">
        <v>72</v>
      </c>
      <c r="B71" s="34">
        <v>97957</v>
      </c>
      <c r="C71" s="63">
        <v>1247</v>
      </c>
      <c r="D71" s="81">
        <f t="shared" si="1"/>
        <v>99204</v>
      </c>
      <c r="E71" s="47">
        <v>87247</v>
      </c>
      <c r="F71" s="34">
        <v>87165</v>
      </c>
      <c r="G71" s="34">
        <v>71821</v>
      </c>
      <c r="H71" s="34">
        <v>71956</v>
      </c>
      <c r="I71" s="47">
        <v>83717</v>
      </c>
      <c r="J71" s="63">
        <v>84853</v>
      </c>
      <c r="K71" s="81">
        <f t="shared" si="2"/>
        <v>486759</v>
      </c>
      <c r="L71" s="98">
        <v>585963</v>
      </c>
    </row>
    <row r="72" spans="1:12" ht="14.25" thickBot="1" x14ac:dyDescent="0.2">
      <c r="A72" s="33" t="s">
        <v>73</v>
      </c>
      <c r="B72" s="34">
        <v>316083</v>
      </c>
      <c r="C72" s="63">
        <v>81193</v>
      </c>
      <c r="D72" s="81">
        <f t="shared" si="1"/>
        <v>397276</v>
      </c>
      <c r="E72" s="47">
        <v>303559</v>
      </c>
      <c r="F72" s="34">
        <v>307933</v>
      </c>
      <c r="G72" s="34">
        <v>185078</v>
      </c>
      <c r="H72" s="34">
        <v>290032</v>
      </c>
      <c r="I72" s="47">
        <v>288534</v>
      </c>
      <c r="J72" s="63">
        <v>249338</v>
      </c>
      <c r="K72" s="81">
        <f t="shared" si="2"/>
        <v>1624474</v>
      </c>
      <c r="L72" s="98">
        <v>2021750</v>
      </c>
    </row>
    <row r="73" spans="1:12" x14ac:dyDescent="0.15">
      <c r="A73" s="28" t="s">
        <v>74</v>
      </c>
      <c r="B73" s="29">
        <v>0</v>
      </c>
      <c r="C73" s="61">
        <v>0</v>
      </c>
      <c r="D73" s="79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79">
        <f t="shared" si="2"/>
        <v>0</v>
      </c>
      <c r="L73" s="96">
        <v>0</v>
      </c>
    </row>
    <row r="74" spans="1:12" x14ac:dyDescent="0.15">
      <c r="A74" s="16" t="s">
        <v>75</v>
      </c>
      <c r="B74" s="12">
        <v>316083</v>
      </c>
      <c r="C74" s="59">
        <v>81193</v>
      </c>
      <c r="D74" s="77">
        <f t="shared" si="1"/>
        <v>397276</v>
      </c>
      <c r="E74" s="43">
        <v>303559</v>
      </c>
      <c r="F74" s="12">
        <v>307933</v>
      </c>
      <c r="G74" s="12">
        <v>185078</v>
      </c>
      <c r="H74" s="12">
        <v>290032</v>
      </c>
      <c r="I74" s="43">
        <v>288534</v>
      </c>
      <c r="J74" s="59">
        <v>249338</v>
      </c>
      <c r="K74" s="77">
        <f t="shared" si="2"/>
        <v>1624474</v>
      </c>
      <c r="L74" s="94">
        <v>2021750</v>
      </c>
    </row>
    <row r="75" spans="1:12" x14ac:dyDescent="0.15">
      <c r="A75" s="16" t="s">
        <v>76</v>
      </c>
      <c r="B75" s="13">
        <v>33</v>
      </c>
      <c r="C75" s="64">
        <v>11</v>
      </c>
      <c r="D75" s="82"/>
      <c r="E75" s="48">
        <v>32</v>
      </c>
      <c r="F75" s="13">
        <v>32</v>
      </c>
      <c r="G75" s="13">
        <v>39</v>
      </c>
      <c r="H75" s="13">
        <v>16</v>
      </c>
      <c r="I75" s="48">
        <v>23</v>
      </c>
      <c r="J75" s="64">
        <v>22</v>
      </c>
      <c r="K75" s="82"/>
      <c r="L75" s="99">
        <v>208</v>
      </c>
    </row>
    <row r="76" spans="1:12" x14ac:dyDescent="0.15">
      <c r="A76" s="16" t="s">
        <v>77</v>
      </c>
      <c r="B76" s="14">
        <v>1</v>
      </c>
      <c r="C76" s="65"/>
      <c r="D76" s="83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83"/>
      <c r="L76" s="100"/>
    </row>
    <row r="77" spans="1:12" ht="14.25" thickBot="1" x14ac:dyDescent="0.2">
      <c r="A77" s="17" t="s">
        <v>78</v>
      </c>
      <c r="B77" s="18" t="s">
        <v>79</v>
      </c>
      <c r="C77" s="66" t="s">
        <v>79</v>
      </c>
      <c r="D77" s="84"/>
      <c r="E77" s="50" t="s">
        <v>79</v>
      </c>
      <c r="F77" s="18" t="s">
        <v>79</v>
      </c>
      <c r="G77" s="18" t="s">
        <v>79</v>
      </c>
      <c r="H77" s="18" t="s">
        <v>79</v>
      </c>
      <c r="I77" s="50" t="s">
        <v>79</v>
      </c>
      <c r="J77" s="66" t="s">
        <v>79</v>
      </c>
      <c r="K77" s="84"/>
      <c r="L77" s="10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2021-03-12T02:15:33Z</cp:lastPrinted>
  <dcterms:created xsi:type="dcterms:W3CDTF">2011-10-11T01:59:58Z</dcterms:created>
  <dcterms:modified xsi:type="dcterms:W3CDTF">2021-03-12T06:00:13Z</dcterms:modified>
</cp:coreProperties>
</file>