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2\"/>
    </mc:Choice>
  </mc:AlternateContent>
  <xr:revisionPtr revIDLastSave="0" documentId="13_ncr:1_{94A5E389-AEC7-4911-9BFB-0FAEC5D6E7F3}" xr6:coauthVersionLast="46" xr6:coauthVersionMax="46" xr10:uidLastSave="{00000000-0000-0000-0000-000000000000}"/>
  <bookViews>
    <workbookView xWindow="-120" yWindow="-120" windowWidth="20730" windowHeight="11160" activeTab="2" xr2:uid="{00000000-000D-0000-FFFF-FFFF00000000}"/>
  </bookViews>
  <sheets>
    <sheet name="1頁 (3)" sheetId="3" r:id="rId1"/>
    <sheet name="1頁 (4)" sheetId="4" r:id="rId2"/>
    <sheet name="助成金" sheetId="5" r:id="rId3"/>
  </sheets>
  <definedNames>
    <definedName name="_xlnm.Print_Area" localSheetId="0">'1頁 (3)'!$A$1:$N$76</definedName>
    <definedName name="_xlnm.Print_Area" localSheetId="1">'1頁 (4)'!$A$1:$S$76</definedName>
    <definedName name="_xlnm.Print_Area" localSheetId="2">助成金!$A$1:$S$76</definedName>
  </definedNames>
  <calcPr calcId="191029"/>
</workbook>
</file>

<file path=xl/calcChain.xml><?xml version="1.0" encoding="utf-8"?>
<calcChain xmlns="http://schemas.openxmlformats.org/spreadsheetml/2006/main">
  <c r="S73" i="5" l="1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16" i="5"/>
  <c r="S15" i="5"/>
  <c r="S14" i="5"/>
  <c r="S12" i="5"/>
  <c r="S8" i="5"/>
  <c r="S7" i="5"/>
  <c r="S6" i="5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16" i="4"/>
  <c r="S15" i="4"/>
  <c r="S14" i="4"/>
  <c r="S12" i="4"/>
  <c r="S8" i="4"/>
  <c r="S7" i="4"/>
  <c r="S6" i="4"/>
  <c r="M73" i="3"/>
  <c r="K73" i="3"/>
  <c r="M72" i="3"/>
  <c r="K72" i="3"/>
  <c r="M71" i="3"/>
  <c r="K71" i="3"/>
  <c r="M70" i="3"/>
  <c r="K70" i="3"/>
  <c r="M69" i="3"/>
  <c r="K69" i="3"/>
  <c r="M68" i="3"/>
  <c r="K68" i="3"/>
  <c r="M67" i="3"/>
  <c r="K67" i="3"/>
  <c r="M66" i="3"/>
  <c r="K66" i="3"/>
  <c r="M65" i="3"/>
  <c r="K65" i="3"/>
  <c r="M64" i="3"/>
  <c r="K64" i="3"/>
  <c r="M63" i="3"/>
  <c r="K63" i="3"/>
  <c r="M62" i="3"/>
  <c r="K62" i="3"/>
  <c r="M61" i="3"/>
  <c r="K61" i="3"/>
  <c r="M60" i="3"/>
  <c r="K60" i="3"/>
  <c r="M59" i="3"/>
  <c r="K59" i="3"/>
  <c r="M58" i="3"/>
  <c r="K58" i="3"/>
  <c r="M57" i="3"/>
  <c r="K57" i="3"/>
  <c r="M56" i="3"/>
  <c r="K56" i="3"/>
  <c r="M55" i="3"/>
  <c r="K55" i="3"/>
  <c r="M54" i="3"/>
  <c r="K54" i="3"/>
  <c r="M53" i="3"/>
  <c r="K53" i="3"/>
  <c r="M52" i="3"/>
  <c r="K52" i="3"/>
  <c r="M51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M23" i="3"/>
  <c r="K23" i="3"/>
  <c r="K16" i="3"/>
  <c r="K15" i="3"/>
  <c r="K14" i="3"/>
  <c r="K13" i="3"/>
  <c r="K10" i="3"/>
  <c r="K8" i="3"/>
  <c r="K7" i="3"/>
  <c r="M6" i="3"/>
  <c r="K6" i="3"/>
</calcChain>
</file>

<file path=xl/sharedStrings.xml><?xml version="1.0" encoding="utf-8"?>
<sst xmlns="http://schemas.openxmlformats.org/spreadsheetml/2006/main" count="373" uniqueCount="108">
  <si>
    <t>所　属</t>
  </si>
  <si>
    <t>社　員</t>
  </si>
  <si>
    <t>2021年2月分</t>
  </si>
  <si>
    <t>若林運送株式会社</t>
  </si>
  <si>
    <t>締日:02/28</t>
  </si>
  <si>
    <t>支給日:03/15</t>
  </si>
  <si>
    <t>小名浜営業所</t>
  </si>
  <si>
    <t>渡邊　浩司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</si>
  <si>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</si>
  <si>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</si>
  <si>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</si>
  <si>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</si>
  <si>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</si>
  <si>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</si>
  <si>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</si>
  <si>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</si>
  <si>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</si>
  <si>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</si>
  <si>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</si>
  <si>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</si>
  <si>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</si>
  <si>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</si>
  <si>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</si>
  <si>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</si>
  <si>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</si>
  <si>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松本　誠治</t>
  </si>
  <si>
    <t>江尻　海斗</t>
  </si>
  <si>
    <t>小林　啓一</t>
  </si>
  <si>
    <t>鈴木　富雄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</si>
  <si>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</si>
  <si>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</si>
  <si>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</si>
  <si>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</si>
  <si>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</si>
  <si>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</si>
  <si>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</si>
  <si>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</si>
  <si>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</si>
  <si>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</si>
  <si>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</si>
  <si>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</si>
  <si>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</si>
  <si>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</si>
  <si>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</si>
  <si>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</si>
  <si>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</si>
  <si>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</si>
  <si>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</si>
  <si>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</si>
  <si>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</si>
  <si>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</si>
  <si>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</si>
  <si>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</si>
  <si>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</si>
  <si>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</si>
  <si>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</si>
  <si>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</si>
  <si>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</si>
  <si>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</si>
  <si>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</si>
  <si>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</si>
  <si>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</si>
  <si>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</si>
  <si>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</si>
  <si>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</si>
  <si>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</si>
  <si>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</si>
  <si>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</si>
  <si>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</si>
  <si>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</si>
  <si>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</si>
  <si>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</si>
  <si>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</si>
  <si>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</si>
  <si>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</si>
  <si>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</si>
  <si>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</si>
  <si>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</si>
  <si>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</si>
  <si>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雲藤　順</t>
  </si>
  <si>
    <t>鈴木　浩明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</si>
  <si>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</si>
  <si>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</si>
  <si>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</si>
  <si>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</si>
  <si>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</si>
  <si>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</si>
  <si>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</si>
  <si>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</si>
  <si>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</si>
  <si>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</si>
  <si>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小野　宏美</t>
  </si>
  <si>
    <t>金山　岳夫</t>
  </si>
  <si>
    <t>三澤　秀雄</t>
  </si>
  <si>
    <t>瀬野尾　勉</t>
  </si>
  <si>
    <t>鈴木　重夫</t>
  </si>
  <si>
    <t>渡辺　敏男</t>
  </si>
  <si>
    <t>蛭田　孝子</t>
  </si>
  <si>
    <t>非加入</t>
  </si>
  <si>
    <t>鈴木　紀子</t>
  </si>
  <si>
    <t>佐原　三夫</t>
  </si>
  <si>
    <t>下山田　英治</t>
  </si>
  <si>
    <t>27名</t>
  </si>
  <si>
    <t>全社計</t>
  </si>
  <si>
    <t>小計</t>
    <rPh sb="0" eb="2">
      <t>ショウケイ</t>
    </rPh>
    <phoneticPr fontId="1"/>
  </si>
  <si>
    <t>17名</t>
    <rPh sb="2" eb="3">
      <t>メイ</t>
    </rPh>
    <phoneticPr fontId="1"/>
  </si>
  <si>
    <t>9名</t>
    <rPh sb="1" eb="2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</si>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</sst>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>
      <alignment vertical="center"/>
    </xf>
    <xf numFmtId="0" fontId="2" fillId="0" borderId="10" xfId="0" applyFont="1" applyFill="1" applyBorder="1">
      <alignment vertical="center"/>
    </xf>
    <xf numFmtId="176" fontId="2" fillId="0" borderId="11" xfId="0" applyNumberFormat="1" applyFont="1" applyFill="1" applyBorder="1">
      <alignment vertical="center"/>
    </xf>
    <xf numFmtId="0" fontId="2" fillId="0" borderId="12" xfId="0" applyFont="1" applyFill="1" applyBorder="1">
      <alignment vertical="center"/>
    </xf>
    <xf numFmtId="177" fontId="2" fillId="0" borderId="13" xfId="0" applyNumberFormat="1" applyFont="1" applyFill="1" applyBorder="1">
      <alignment vertical="center"/>
    </xf>
    <xf numFmtId="179" fontId="2" fillId="0" borderId="11" xfId="0" applyNumberFormat="1" applyFont="1" applyFill="1" applyBorder="1">
      <alignment vertical="center"/>
    </xf>
    <xf numFmtId="0" fontId="2" fillId="0" borderId="14" xfId="0" applyFont="1" applyBorder="1">
      <alignment vertical="center"/>
    </xf>
    <xf numFmtId="179" fontId="2" fillId="0" borderId="15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2" xfId="0" applyFont="1" applyBorder="1">
      <alignment vertical="center"/>
    </xf>
    <xf numFmtId="179" fontId="2" fillId="0" borderId="13" xfId="0" applyNumberFormat="1" applyFont="1" applyBorder="1">
      <alignment vertical="center"/>
    </xf>
    <xf numFmtId="0" fontId="2" fillId="0" borderId="16" xfId="0" applyFont="1" applyBorder="1">
      <alignment vertical="center"/>
    </xf>
    <xf numFmtId="179" fontId="2" fillId="0" borderId="17" xfId="0" applyNumberFormat="1" applyFont="1" applyBorder="1">
      <alignment vertical="center"/>
    </xf>
    <xf numFmtId="179" fontId="2" fillId="0" borderId="13" xfId="0" applyNumberFormat="1" applyFont="1" applyFill="1" applyBorder="1">
      <alignment vertical="center"/>
    </xf>
    <xf numFmtId="0" fontId="2" fillId="0" borderId="18" xfId="0" applyFont="1" applyFill="1" applyBorder="1">
      <alignment vertical="center"/>
    </xf>
    <xf numFmtId="0" fontId="2" fillId="0" borderId="19" xfId="0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6" fontId="2" fillId="0" borderId="21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7" fontId="2" fillId="0" borderId="22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5" xfId="0" applyNumberFormat="1" applyFont="1" applyBorder="1">
      <alignment vertical="center"/>
    </xf>
    <xf numFmtId="0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9" fontId="2" fillId="0" borderId="22" xfId="0" applyNumberFormat="1" applyFont="1" applyFill="1" applyBorder="1">
      <alignment vertical="center"/>
    </xf>
    <xf numFmtId="0" fontId="2" fillId="0" borderId="26" xfId="0" applyFont="1" applyFill="1" applyBorder="1">
      <alignment vertical="center"/>
    </xf>
    <xf numFmtId="0" fontId="2" fillId="0" borderId="27" xfId="0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30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29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6" fontId="2" fillId="0" borderId="29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7" fontId="2" fillId="0" borderId="30" xfId="0" applyNumberFormat="1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6" xfId="0" applyFont="1" applyFill="1" applyBorder="1">
      <alignment vertical="center"/>
    </xf>
    <xf numFmtId="0" fontId="2" fillId="0" borderId="36" xfId="0" applyFont="1" applyFill="1" applyBorder="1" applyAlignment="1">
      <alignment horizontal="right" vertical="center"/>
    </xf>
    <xf numFmtId="176" fontId="2" fillId="0" borderId="37" xfId="0" applyNumberFormat="1" applyFont="1" applyFill="1" applyBorder="1">
      <alignment vertical="center"/>
    </xf>
    <xf numFmtId="176" fontId="2" fillId="0" borderId="38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7" fontId="2" fillId="0" borderId="39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4" xfId="0" applyNumberFormat="1" applyFont="1" applyBorder="1">
      <alignment vertical="center"/>
    </xf>
    <xf numFmtId="0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79" fontId="2" fillId="0" borderId="39" xfId="0" applyNumberFormat="1" applyFont="1" applyFill="1" applyBorder="1">
      <alignment vertical="center"/>
    </xf>
    <xf numFmtId="0" fontId="2" fillId="0" borderId="42" xfId="0" applyFont="1" applyFill="1" applyBorder="1">
      <alignment vertical="center"/>
    </xf>
    <xf numFmtId="176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9" xfId="0" applyFont="1" applyFill="1" applyBorder="1">
      <alignment vertical="center"/>
    </xf>
    <xf numFmtId="0" fontId="2" fillId="0" borderId="50" xfId="0" applyFont="1" applyFill="1" applyBorder="1">
      <alignment vertical="center"/>
    </xf>
    <xf numFmtId="0" fontId="2" fillId="0" borderId="50" xfId="0" applyFont="1" applyFill="1" applyBorder="1" applyAlignment="1">
      <alignment horizontal="right" vertical="center"/>
    </xf>
    <xf numFmtId="176" fontId="2" fillId="0" borderId="51" xfId="0" applyNumberFormat="1" applyFont="1" applyFill="1" applyBorder="1">
      <alignment vertical="center"/>
    </xf>
    <xf numFmtId="176" fontId="2" fillId="0" borderId="52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7" fontId="2" fillId="0" borderId="52" xfId="0" applyNumberFormat="1" applyFont="1" applyFill="1" applyBorder="1">
      <alignment vertical="center"/>
    </xf>
    <xf numFmtId="177" fontId="2" fillId="0" borderId="53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6" xfId="0" applyNumberFormat="1" applyFont="1" applyBorder="1">
      <alignment vertical="center"/>
    </xf>
    <xf numFmtId="0" fontId="2" fillId="0" borderId="52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1" xfId="0" applyNumberFormat="1" applyFont="1" applyFill="1" applyBorder="1">
      <alignment vertical="center"/>
    </xf>
    <xf numFmtId="179" fontId="2" fillId="2" borderId="29" xfId="0" applyNumberFormat="1" applyFont="1" applyFill="1" applyBorder="1">
      <alignment vertical="center"/>
    </xf>
    <xf numFmtId="179" fontId="2" fillId="2" borderId="38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C347-4F53-44E9-8B25-A5FCD7C7EFC3}">
  <sheetPr>
    <pageSetUpPr fitToPage="1"/>
  </sheetPr>
  <dimension ref="A1:AN76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3" sqref="A3"/>
    </sheetView>
  </sheetViews>
  <sheetFormatPr defaultRowHeight="13.5" x14ac:dyDescent="0.15"/>
  <cols>
    <col min="1" max="1" width="17.625" style="2" customWidth="1"/>
    <col min="2" max="14" width="11.25" style="2" customWidth="1"/>
    <col min="15" max="21" width="10.5" style="2" customWidth="1"/>
    <col min="22" max="16384" width="9" style="2"/>
  </cols>
  <sheetData>
    <row r="1" spans="1:40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5</v>
      </c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8" t="s">
        <v>0</v>
      </c>
      <c r="B3" s="35" t="s">
        <v>6</v>
      </c>
      <c r="C3" s="19" t="s">
        <v>6</v>
      </c>
      <c r="D3" s="19" t="s">
        <v>6</v>
      </c>
      <c r="E3" s="35" t="s">
        <v>6</v>
      </c>
      <c r="F3" s="19" t="s">
        <v>6</v>
      </c>
      <c r="G3" s="19" t="s">
        <v>6</v>
      </c>
      <c r="H3" s="19" t="s">
        <v>6</v>
      </c>
      <c r="I3" s="19" t="s">
        <v>6</v>
      </c>
      <c r="J3" s="52" t="s">
        <v>6</v>
      </c>
      <c r="K3" s="69" t="s">
        <v>104</v>
      </c>
      <c r="L3" s="87" t="s">
        <v>6</v>
      </c>
      <c r="M3" s="69" t="s">
        <v>104</v>
      </c>
      <c r="N3" s="99" t="s">
        <v>103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0"/>
      <c r="B4" s="36">
        <v>1009</v>
      </c>
      <c r="C4" s="21">
        <v>1013</v>
      </c>
      <c r="D4" s="21">
        <v>1026</v>
      </c>
      <c r="E4" s="36">
        <v>1027</v>
      </c>
      <c r="F4" s="21">
        <v>1001</v>
      </c>
      <c r="G4" s="21">
        <v>1002</v>
      </c>
      <c r="H4" s="21">
        <v>1003</v>
      </c>
      <c r="I4" s="21">
        <v>1005</v>
      </c>
      <c r="J4" s="53">
        <v>1085</v>
      </c>
      <c r="K4" s="70"/>
      <c r="L4" s="1">
        <v>1014</v>
      </c>
      <c r="M4" s="70"/>
      <c r="N4" s="100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0" t="s">
        <v>1</v>
      </c>
      <c r="B5" s="36" t="s">
        <v>91</v>
      </c>
      <c r="C5" s="21" t="s">
        <v>101</v>
      </c>
      <c r="D5" s="21" t="s">
        <v>97</v>
      </c>
      <c r="E5" s="36" t="s">
        <v>99</v>
      </c>
      <c r="F5" s="21" t="s">
        <v>93</v>
      </c>
      <c r="G5" s="21" t="s">
        <v>94</v>
      </c>
      <c r="H5" s="21" t="s">
        <v>95</v>
      </c>
      <c r="I5" s="21" t="s">
        <v>96</v>
      </c>
      <c r="J5" s="53" t="s">
        <v>100</v>
      </c>
      <c r="K5" s="71" t="s">
        <v>106</v>
      </c>
      <c r="L5" s="1" t="s">
        <v>92</v>
      </c>
      <c r="M5" s="71" t="s">
        <v>107</v>
      </c>
      <c r="N5" s="101" t="s">
        <v>102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2" t="s">
        <v>8</v>
      </c>
      <c r="B6" s="37">
        <v>18</v>
      </c>
      <c r="C6" s="23">
        <v>18</v>
      </c>
      <c r="D6" s="23">
        <v>13</v>
      </c>
      <c r="E6" s="37">
        <v>12</v>
      </c>
      <c r="F6" s="23">
        <v>18</v>
      </c>
      <c r="G6" s="23">
        <v>10</v>
      </c>
      <c r="H6" s="23">
        <v>9</v>
      </c>
      <c r="I6" s="23">
        <v>9</v>
      </c>
      <c r="J6" s="54">
        <v>4</v>
      </c>
      <c r="K6" s="72">
        <f>SUM(B6:J6)</f>
        <v>111</v>
      </c>
      <c r="L6" s="88">
        <v>18</v>
      </c>
      <c r="M6" s="72">
        <f>SUM(L6)</f>
        <v>18</v>
      </c>
      <c r="N6" s="102">
        <v>421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3" t="s">
        <v>9</v>
      </c>
      <c r="B7" s="39"/>
      <c r="C7" s="7">
        <v>3</v>
      </c>
      <c r="D7" s="8"/>
      <c r="E7" s="39"/>
      <c r="F7" s="8"/>
      <c r="G7" s="8"/>
      <c r="H7" s="8"/>
      <c r="I7" s="8"/>
      <c r="J7" s="55"/>
      <c r="K7" s="73">
        <f>SUM(B7:J7)</f>
        <v>3</v>
      </c>
      <c r="L7" s="89"/>
      <c r="M7" s="74"/>
      <c r="N7" s="103">
        <v>54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3" t="s">
        <v>10</v>
      </c>
      <c r="B8" s="38">
        <v>2</v>
      </c>
      <c r="C8" s="7">
        <v>2</v>
      </c>
      <c r="D8" s="8"/>
      <c r="E8" s="39"/>
      <c r="F8" s="8"/>
      <c r="G8" s="8"/>
      <c r="H8" s="8"/>
      <c r="I8" s="8"/>
      <c r="J8" s="55"/>
      <c r="K8" s="73">
        <f>SUM(B8:J8)</f>
        <v>4</v>
      </c>
      <c r="L8" s="89"/>
      <c r="M8" s="74"/>
      <c r="N8" s="103">
        <v>50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3" t="s">
        <v>11</v>
      </c>
      <c r="B9" s="39"/>
      <c r="C9" s="8"/>
      <c r="D9" s="8"/>
      <c r="E9" s="39"/>
      <c r="F9" s="8"/>
      <c r="G9" s="8"/>
      <c r="H9" s="8"/>
      <c r="I9" s="8"/>
      <c r="J9" s="55"/>
      <c r="K9" s="74"/>
      <c r="L9" s="89"/>
      <c r="M9" s="74"/>
      <c r="N9" s="10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3" t="s">
        <v>12</v>
      </c>
      <c r="B10" s="39"/>
      <c r="C10" s="8"/>
      <c r="D10" s="8"/>
      <c r="E10" s="38">
        <v>1</v>
      </c>
      <c r="F10" s="8"/>
      <c r="G10" s="7">
        <v>2</v>
      </c>
      <c r="H10" s="7">
        <v>2</v>
      </c>
      <c r="I10" s="8"/>
      <c r="J10" s="55"/>
      <c r="K10" s="73">
        <f>SUM(B10:J10)</f>
        <v>5</v>
      </c>
      <c r="L10" s="89"/>
      <c r="M10" s="74"/>
      <c r="N10" s="103">
        <v>5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3" t="s">
        <v>13</v>
      </c>
      <c r="B11" s="39"/>
      <c r="C11" s="8"/>
      <c r="D11" s="8"/>
      <c r="E11" s="39"/>
      <c r="F11" s="8"/>
      <c r="G11" s="8"/>
      <c r="H11" s="8"/>
      <c r="I11" s="8"/>
      <c r="J11" s="55"/>
      <c r="K11" s="74"/>
      <c r="L11" s="89"/>
      <c r="M11" s="74"/>
      <c r="N11" s="10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3" t="s">
        <v>14</v>
      </c>
      <c r="B12" s="39"/>
      <c r="C12" s="8"/>
      <c r="D12" s="8"/>
      <c r="E12" s="39"/>
      <c r="F12" s="8"/>
      <c r="G12" s="8"/>
      <c r="H12" s="8"/>
      <c r="I12" s="8"/>
      <c r="J12" s="55"/>
      <c r="K12" s="74"/>
      <c r="L12" s="89"/>
      <c r="M12" s="74"/>
      <c r="N12" s="103">
        <v>14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3" t="s">
        <v>15</v>
      </c>
      <c r="B13" s="39"/>
      <c r="C13" s="8"/>
      <c r="D13" s="9">
        <v>3.6666666666666665</v>
      </c>
      <c r="E13" s="40">
        <v>3.375</v>
      </c>
      <c r="F13" s="9">
        <v>2.75</v>
      </c>
      <c r="G13" s="9">
        <v>2.9583333333333335</v>
      </c>
      <c r="H13" s="9">
        <v>2.6666666666666665</v>
      </c>
      <c r="I13" s="9">
        <v>2.625</v>
      </c>
      <c r="J13" s="67">
        <v>1.3333333333333333</v>
      </c>
      <c r="K13" s="75">
        <f>SUM(B13:J13)</f>
        <v>19.374999999999996</v>
      </c>
      <c r="L13" s="89"/>
      <c r="M13" s="74"/>
      <c r="N13" s="105">
        <v>19.375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3" t="s">
        <v>16</v>
      </c>
      <c r="B14" s="39"/>
      <c r="C14" s="9">
        <v>1.2916666666666667</v>
      </c>
      <c r="D14" s="8"/>
      <c r="E14" s="39"/>
      <c r="F14" s="8"/>
      <c r="G14" s="8"/>
      <c r="H14" s="8"/>
      <c r="I14" s="8"/>
      <c r="J14" s="67">
        <v>0.125</v>
      </c>
      <c r="K14" s="75">
        <f t="shared" ref="K14:K16" si="0">SUM(B14:J14)</f>
        <v>1.4166666666666667</v>
      </c>
      <c r="L14" s="89"/>
      <c r="M14" s="74"/>
      <c r="N14" s="105">
        <v>37.833333333333336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3" t="s">
        <v>17</v>
      </c>
      <c r="B15" s="39"/>
      <c r="C15" s="9">
        <v>0.58333333333333337</v>
      </c>
      <c r="D15" s="8"/>
      <c r="E15" s="39"/>
      <c r="F15" s="8"/>
      <c r="G15" s="8"/>
      <c r="H15" s="8"/>
      <c r="I15" s="8"/>
      <c r="J15" s="55"/>
      <c r="K15" s="75">
        <f t="shared" si="0"/>
        <v>0.58333333333333337</v>
      </c>
      <c r="L15" s="89"/>
      <c r="M15" s="74"/>
      <c r="N15" s="105">
        <v>20.583333333333332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3" t="s">
        <v>18</v>
      </c>
      <c r="B16" s="39"/>
      <c r="C16" s="9">
        <v>0.33333333333333331</v>
      </c>
      <c r="D16" s="8"/>
      <c r="E16" s="39"/>
      <c r="F16" s="8"/>
      <c r="G16" s="8"/>
      <c r="H16" s="8"/>
      <c r="I16" s="8"/>
      <c r="J16" s="55"/>
      <c r="K16" s="75">
        <f t="shared" si="0"/>
        <v>0.33333333333333331</v>
      </c>
      <c r="L16" s="89"/>
      <c r="M16" s="74"/>
      <c r="N16" s="105">
        <v>18.458333333333332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3" t="s">
        <v>19</v>
      </c>
      <c r="B17" s="39"/>
      <c r="C17" s="8"/>
      <c r="D17" s="8"/>
      <c r="E17" s="39"/>
      <c r="F17" s="8"/>
      <c r="G17" s="8"/>
      <c r="H17" s="8"/>
      <c r="I17" s="8"/>
      <c r="J17" s="55"/>
      <c r="K17" s="74"/>
      <c r="L17" s="89"/>
      <c r="M17" s="74"/>
      <c r="N17" s="104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3" t="s">
        <v>20</v>
      </c>
      <c r="B18" s="39"/>
      <c r="C18" s="8"/>
      <c r="D18" s="8"/>
      <c r="E18" s="39"/>
      <c r="F18" s="8"/>
      <c r="G18" s="8"/>
      <c r="H18" s="8"/>
      <c r="I18" s="8"/>
      <c r="J18" s="55"/>
      <c r="K18" s="74"/>
      <c r="L18" s="89"/>
      <c r="M18" s="74"/>
      <c r="N18" s="104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3" t="s">
        <v>21</v>
      </c>
      <c r="B19" s="39"/>
      <c r="C19" s="8"/>
      <c r="D19" s="8"/>
      <c r="E19" s="39"/>
      <c r="F19" s="8"/>
      <c r="G19" s="8"/>
      <c r="H19" s="8"/>
      <c r="I19" s="8"/>
      <c r="J19" s="55"/>
      <c r="K19" s="74"/>
      <c r="L19" s="89"/>
      <c r="M19" s="74"/>
      <c r="N19" s="104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3" t="s">
        <v>22</v>
      </c>
      <c r="B20" s="39"/>
      <c r="C20" s="8"/>
      <c r="D20" s="8"/>
      <c r="E20" s="39"/>
      <c r="F20" s="8"/>
      <c r="G20" s="8"/>
      <c r="H20" s="8"/>
      <c r="I20" s="8"/>
      <c r="J20" s="55"/>
      <c r="K20" s="74"/>
      <c r="L20" s="89"/>
      <c r="M20" s="74"/>
      <c r="N20" s="104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3" t="s">
        <v>23</v>
      </c>
      <c r="B21" s="39"/>
      <c r="C21" s="8"/>
      <c r="D21" s="8"/>
      <c r="E21" s="40">
        <v>0.29166666666666669</v>
      </c>
      <c r="F21" s="8"/>
      <c r="G21" s="9">
        <v>0.58333333333333337</v>
      </c>
      <c r="H21" s="9">
        <v>0.58333333333333337</v>
      </c>
      <c r="I21" s="8"/>
      <c r="J21" s="55"/>
      <c r="K21" s="74"/>
      <c r="L21" s="89"/>
      <c r="M21" s="74"/>
      <c r="N21" s="105">
        <v>1.4583333333333333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4" t="s">
        <v>24</v>
      </c>
      <c r="B22" s="51"/>
      <c r="C22" s="34"/>
      <c r="D22" s="34"/>
      <c r="E22" s="51"/>
      <c r="F22" s="34"/>
      <c r="G22" s="25">
        <v>2.0833333333333335</v>
      </c>
      <c r="H22" s="25">
        <v>1.875</v>
      </c>
      <c r="I22" s="25">
        <v>1.875</v>
      </c>
      <c r="J22" s="56"/>
      <c r="K22" s="86"/>
      <c r="L22" s="90"/>
      <c r="M22" s="86"/>
      <c r="N22" s="106">
        <v>21.416666666666668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2" t="s">
        <v>29</v>
      </c>
      <c r="B23" s="42">
        <v>485000</v>
      </c>
      <c r="C23" s="26">
        <v>270000</v>
      </c>
      <c r="D23" s="26">
        <v>0</v>
      </c>
      <c r="E23" s="42">
        <v>0</v>
      </c>
      <c r="F23" s="26">
        <v>0</v>
      </c>
      <c r="G23" s="26">
        <v>0</v>
      </c>
      <c r="H23" s="26">
        <v>0</v>
      </c>
      <c r="I23" s="26">
        <v>0</v>
      </c>
      <c r="J23" s="57">
        <v>0</v>
      </c>
      <c r="K23" s="77">
        <f>SUM(B23:J23)</f>
        <v>755000</v>
      </c>
      <c r="L23" s="91">
        <v>375000</v>
      </c>
      <c r="M23" s="77">
        <f>SUM(L23)</f>
        <v>375000</v>
      </c>
      <c r="N23" s="107">
        <v>4160000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3" t="s">
        <v>30</v>
      </c>
      <c r="B24" s="39">
        <v>0</v>
      </c>
      <c r="C24" s="8">
        <v>0</v>
      </c>
      <c r="D24" s="8">
        <v>0</v>
      </c>
      <c r="E24" s="39">
        <v>0</v>
      </c>
      <c r="F24" s="8">
        <v>0</v>
      </c>
      <c r="G24" s="8">
        <v>0</v>
      </c>
      <c r="H24" s="8">
        <v>0</v>
      </c>
      <c r="I24" s="8">
        <v>0</v>
      </c>
      <c r="J24" s="55">
        <v>0</v>
      </c>
      <c r="K24" s="74">
        <f t="shared" ref="K24:K73" si="1">SUM(B24:J24)</f>
        <v>0</v>
      </c>
      <c r="L24" s="89">
        <v>0</v>
      </c>
      <c r="M24" s="74"/>
      <c r="N24" s="104">
        <v>50000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3" t="s">
        <v>31</v>
      </c>
      <c r="B25" s="39">
        <v>0</v>
      </c>
      <c r="C25" s="8">
        <v>3000</v>
      </c>
      <c r="D25" s="8">
        <v>0</v>
      </c>
      <c r="E25" s="39">
        <v>0</v>
      </c>
      <c r="F25" s="8">
        <v>0</v>
      </c>
      <c r="G25" s="8">
        <v>0</v>
      </c>
      <c r="H25" s="8">
        <v>0</v>
      </c>
      <c r="I25" s="8">
        <v>0</v>
      </c>
      <c r="J25" s="55">
        <v>0</v>
      </c>
      <c r="K25" s="74">
        <f t="shared" si="1"/>
        <v>3000</v>
      </c>
      <c r="L25" s="89">
        <v>0</v>
      </c>
      <c r="M25" s="74"/>
      <c r="N25" s="104">
        <v>6000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3" t="s">
        <v>32</v>
      </c>
      <c r="B26" s="39">
        <v>0</v>
      </c>
      <c r="C26" s="8">
        <v>0</v>
      </c>
      <c r="D26" s="8">
        <v>0</v>
      </c>
      <c r="E26" s="39">
        <v>0</v>
      </c>
      <c r="F26" s="8">
        <v>0</v>
      </c>
      <c r="G26" s="8">
        <v>0</v>
      </c>
      <c r="H26" s="8">
        <v>0</v>
      </c>
      <c r="I26" s="8">
        <v>0</v>
      </c>
      <c r="J26" s="55">
        <v>0</v>
      </c>
      <c r="K26" s="74">
        <f t="shared" si="1"/>
        <v>0</v>
      </c>
      <c r="L26" s="89">
        <v>0</v>
      </c>
      <c r="M26" s="74"/>
      <c r="N26" s="104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3" t="s">
        <v>33</v>
      </c>
      <c r="B27" s="39">
        <v>0</v>
      </c>
      <c r="C27" s="8">
        <v>0</v>
      </c>
      <c r="D27" s="8">
        <v>0</v>
      </c>
      <c r="E27" s="39">
        <v>0</v>
      </c>
      <c r="F27" s="8">
        <v>0</v>
      </c>
      <c r="G27" s="8">
        <v>0</v>
      </c>
      <c r="H27" s="8">
        <v>0</v>
      </c>
      <c r="I27" s="8">
        <v>0</v>
      </c>
      <c r="J27" s="55">
        <v>0</v>
      </c>
      <c r="K27" s="74">
        <f t="shared" si="1"/>
        <v>0</v>
      </c>
      <c r="L27" s="89">
        <v>0</v>
      </c>
      <c r="M27" s="74"/>
      <c r="N27" s="104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3" t="s">
        <v>34</v>
      </c>
      <c r="B28" s="39">
        <v>0</v>
      </c>
      <c r="C28" s="8">
        <v>0</v>
      </c>
      <c r="D28" s="8">
        <v>0</v>
      </c>
      <c r="E28" s="39">
        <v>0</v>
      </c>
      <c r="F28" s="8">
        <v>0</v>
      </c>
      <c r="G28" s="8">
        <v>0</v>
      </c>
      <c r="H28" s="8">
        <v>0</v>
      </c>
      <c r="I28" s="8">
        <v>0</v>
      </c>
      <c r="J28" s="55">
        <v>0</v>
      </c>
      <c r="K28" s="74">
        <f t="shared" si="1"/>
        <v>0</v>
      </c>
      <c r="L28" s="89">
        <v>0</v>
      </c>
      <c r="M28" s="74"/>
      <c r="N28" s="104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3" t="s">
        <v>35</v>
      </c>
      <c r="B29" s="39">
        <v>0</v>
      </c>
      <c r="C29" s="8">
        <v>0</v>
      </c>
      <c r="D29" s="8">
        <v>0</v>
      </c>
      <c r="E29" s="39">
        <v>0</v>
      </c>
      <c r="F29" s="8">
        <v>0</v>
      </c>
      <c r="G29" s="8">
        <v>0</v>
      </c>
      <c r="H29" s="8">
        <v>0</v>
      </c>
      <c r="I29" s="8">
        <v>0</v>
      </c>
      <c r="J29" s="55">
        <v>0</v>
      </c>
      <c r="K29" s="74">
        <f t="shared" si="1"/>
        <v>0</v>
      </c>
      <c r="L29" s="89">
        <v>0</v>
      </c>
      <c r="M29" s="74"/>
      <c r="N29" s="104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3" t="s">
        <v>36</v>
      </c>
      <c r="B30" s="39">
        <v>0</v>
      </c>
      <c r="C30" s="8">
        <v>0</v>
      </c>
      <c r="D30" s="8">
        <v>0</v>
      </c>
      <c r="E30" s="39">
        <v>0</v>
      </c>
      <c r="F30" s="8">
        <v>0</v>
      </c>
      <c r="G30" s="8">
        <v>0</v>
      </c>
      <c r="H30" s="8">
        <v>0</v>
      </c>
      <c r="I30" s="8">
        <v>0</v>
      </c>
      <c r="J30" s="55">
        <v>0</v>
      </c>
      <c r="K30" s="74">
        <f t="shared" si="1"/>
        <v>0</v>
      </c>
      <c r="L30" s="89">
        <v>0</v>
      </c>
      <c r="M30" s="74"/>
      <c r="N30" s="104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3" t="s">
        <v>37</v>
      </c>
      <c r="B31" s="39">
        <v>0</v>
      </c>
      <c r="C31" s="8">
        <v>0</v>
      </c>
      <c r="D31" s="8">
        <v>77880</v>
      </c>
      <c r="E31" s="39">
        <v>71685</v>
      </c>
      <c r="F31" s="8">
        <v>55440</v>
      </c>
      <c r="G31" s="8">
        <v>59640</v>
      </c>
      <c r="H31" s="8">
        <v>53760</v>
      </c>
      <c r="I31" s="8">
        <v>52920</v>
      </c>
      <c r="J31" s="55">
        <v>26560</v>
      </c>
      <c r="K31" s="74">
        <f t="shared" si="1"/>
        <v>397885</v>
      </c>
      <c r="L31" s="89">
        <v>0</v>
      </c>
      <c r="M31" s="74"/>
      <c r="N31" s="104">
        <v>397885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3" t="s">
        <v>38</v>
      </c>
      <c r="B32" s="39">
        <v>0</v>
      </c>
      <c r="C32" s="8">
        <v>0</v>
      </c>
      <c r="D32" s="8">
        <v>0</v>
      </c>
      <c r="E32" s="39">
        <v>0</v>
      </c>
      <c r="F32" s="8">
        <v>0</v>
      </c>
      <c r="G32" s="8">
        <v>0</v>
      </c>
      <c r="H32" s="8">
        <v>0</v>
      </c>
      <c r="I32" s="8">
        <v>0</v>
      </c>
      <c r="J32" s="55">
        <v>0</v>
      </c>
      <c r="K32" s="74">
        <f t="shared" si="1"/>
        <v>0</v>
      </c>
      <c r="L32" s="89">
        <v>0</v>
      </c>
      <c r="M32" s="74"/>
      <c r="N32" s="104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3" t="s">
        <v>39</v>
      </c>
      <c r="B33" s="39">
        <v>0</v>
      </c>
      <c r="C33" s="8">
        <v>0</v>
      </c>
      <c r="D33" s="8">
        <v>0</v>
      </c>
      <c r="E33" s="39">
        <v>0</v>
      </c>
      <c r="F33" s="8">
        <v>0</v>
      </c>
      <c r="G33" s="8">
        <v>0</v>
      </c>
      <c r="H33" s="8">
        <v>0</v>
      </c>
      <c r="I33" s="8">
        <v>0</v>
      </c>
      <c r="J33" s="55">
        <v>0</v>
      </c>
      <c r="K33" s="74">
        <f t="shared" si="1"/>
        <v>0</v>
      </c>
      <c r="L33" s="89">
        <v>0</v>
      </c>
      <c r="M33" s="74"/>
      <c r="N33" s="104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3" t="s">
        <v>40</v>
      </c>
      <c r="B34" s="39">
        <v>0</v>
      </c>
      <c r="C34" s="8">
        <v>0</v>
      </c>
      <c r="D34" s="8">
        <v>0</v>
      </c>
      <c r="E34" s="39">
        <v>6195</v>
      </c>
      <c r="F34" s="8">
        <v>0</v>
      </c>
      <c r="G34" s="8">
        <v>11760</v>
      </c>
      <c r="H34" s="8">
        <v>11760</v>
      </c>
      <c r="I34" s="8">
        <v>0</v>
      </c>
      <c r="J34" s="55">
        <v>0</v>
      </c>
      <c r="K34" s="74">
        <f t="shared" si="1"/>
        <v>29715</v>
      </c>
      <c r="L34" s="89">
        <v>0</v>
      </c>
      <c r="M34" s="74"/>
      <c r="N34" s="104">
        <v>29715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3" t="s">
        <v>41</v>
      </c>
      <c r="B35" s="39">
        <v>0</v>
      </c>
      <c r="C35" s="8">
        <v>0</v>
      </c>
      <c r="D35" s="8">
        <v>0</v>
      </c>
      <c r="E35" s="39">
        <v>0</v>
      </c>
      <c r="F35" s="8">
        <v>0</v>
      </c>
      <c r="G35" s="8">
        <v>0</v>
      </c>
      <c r="H35" s="8">
        <v>0</v>
      </c>
      <c r="I35" s="8">
        <v>0</v>
      </c>
      <c r="J35" s="55">
        <v>0</v>
      </c>
      <c r="K35" s="74">
        <f t="shared" si="1"/>
        <v>0</v>
      </c>
      <c r="L35" s="89">
        <v>0</v>
      </c>
      <c r="M35" s="74"/>
      <c r="N35" s="104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3" t="s">
        <v>42</v>
      </c>
      <c r="B36" s="39">
        <v>0</v>
      </c>
      <c r="C36" s="8">
        <v>0</v>
      </c>
      <c r="D36" s="8">
        <v>0</v>
      </c>
      <c r="E36" s="39">
        <v>0</v>
      </c>
      <c r="F36" s="8">
        <v>0</v>
      </c>
      <c r="G36" s="8">
        <v>0</v>
      </c>
      <c r="H36" s="8">
        <v>0</v>
      </c>
      <c r="I36" s="8">
        <v>0</v>
      </c>
      <c r="J36" s="55">
        <v>0</v>
      </c>
      <c r="K36" s="74">
        <f t="shared" si="1"/>
        <v>0</v>
      </c>
      <c r="L36" s="89">
        <v>0</v>
      </c>
      <c r="M36" s="74"/>
      <c r="N36" s="104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3" t="s">
        <v>43</v>
      </c>
      <c r="B37" s="39">
        <v>0</v>
      </c>
      <c r="C37" s="8">
        <v>0</v>
      </c>
      <c r="D37" s="8">
        <v>0</v>
      </c>
      <c r="E37" s="39">
        <v>0</v>
      </c>
      <c r="F37" s="8">
        <v>0</v>
      </c>
      <c r="G37" s="8">
        <v>0</v>
      </c>
      <c r="H37" s="8">
        <v>0</v>
      </c>
      <c r="I37" s="8">
        <v>0</v>
      </c>
      <c r="J37" s="55">
        <v>0</v>
      </c>
      <c r="K37" s="74">
        <f t="shared" si="1"/>
        <v>0</v>
      </c>
      <c r="L37" s="89">
        <v>0</v>
      </c>
      <c r="M37" s="74"/>
      <c r="N37" s="104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3" t="s">
        <v>44</v>
      </c>
      <c r="B38" s="39">
        <v>0</v>
      </c>
      <c r="C38" s="8">
        <v>0</v>
      </c>
      <c r="D38" s="8">
        <v>0</v>
      </c>
      <c r="E38" s="39">
        <v>0</v>
      </c>
      <c r="F38" s="8">
        <v>0</v>
      </c>
      <c r="G38" s="8">
        <v>0</v>
      </c>
      <c r="H38" s="8">
        <v>0</v>
      </c>
      <c r="I38" s="8">
        <v>0</v>
      </c>
      <c r="J38" s="55">
        <v>0</v>
      </c>
      <c r="K38" s="74">
        <f t="shared" si="1"/>
        <v>0</v>
      </c>
      <c r="L38" s="89">
        <v>0</v>
      </c>
      <c r="M38" s="74"/>
      <c r="N38" s="104">
        <v>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3" t="s">
        <v>45</v>
      </c>
      <c r="B39" s="39">
        <v>0</v>
      </c>
      <c r="C39" s="8">
        <v>0</v>
      </c>
      <c r="D39" s="8">
        <v>0</v>
      </c>
      <c r="E39" s="39">
        <v>0</v>
      </c>
      <c r="F39" s="8">
        <v>0</v>
      </c>
      <c r="G39" s="8">
        <v>0</v>
      </c>
      <c r="H39" s="8">
        <v>0</v>
      </c>
      <c r="I39" s="8">
        <v>0</v>
      </c>
      <c r="J39" s="55">
        <v>0</v>
      </c>
      <c r="K39" s="74">
        <f t="shared" si="1"/>
        <v>0</v>
      </c>
      <c r="L39" s="89">
        <v>0</v>
      </c>
      <c r="M39" s="74"/>
      <c r="N39" s="104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3" t="s">
        <v>46</v>
      </c>
      <c r="B40" s="39">
        <v>0</v>
      </c>
      <c r="C40" s="8">
        <v>0</v>
      </c>
      <c r="D40" s="8">
        <v>0</v>
      </c>
      <c r="E40" s="39">
        <v>0</v>
      </c>
      <c r="F40" s="8">
        <v>0</v>
      </c>
      <c r="G40" s="8">
        <v>0</v>
      </c>
      <c r="H40" s="8">
        <v>0</v>
      </c>
      <c r="I40" s="8">
        <v>0</v>
      </c>
      <c r="J40" s="55">
        <v>0</v>
      </c>
      <c r="K40" s="74">
        <f t="shared" si="1"/>
        <v>0</v>
      </c>
      <c r="L40" s="89">
        <v>0</v>
      </c>
      <c r="M40" s="74"/>
      <c r="N40" s="104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3" t="s">
        <v>47</v>
      </c>
      <c r="B41" s="39">
        <v>0</v>
      </c>
      <c r="C41" s="8">
        <v>0</v>
      </c>
      <c r="D41" s="8">
        <v>0</v>
      </c>
      <c r="E41" s="39">
        <v>0</v>
      </c>
      <c r="F41" s="8">
        <v>0</v>
      </c>
      <c r="G41" s="8">
        <v>0</v>
      </c>
      <c r="H41" s="8">
        <v>0</v>
      </c>
      <c r="I41" s="8">
        <v>0</v>
      </c>
      <c r="J41" s="55">
        <v>0</v>
      </c>
      <c r="K41" s="74">
        <f t="shared" si="1"/>
        <v>0</v>
      </c>
      <c r="L41" s="89">
        <v>0</v>
      </c>
      <c r="M41" s="74"/>
      <c r="N41" s="104">
        <v>-119418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3" t="s">
        <v>48</v>
      </c>
      <c r="B42" s="39">
        <v>0</v>
      </c>
      <c r="C42" s="8">
        <v>0</v>
      </c>
      <c r="D42" s="8">
        <v>0</v>
      </c>
      <c r="E42" s="39">
        <v>0</v>
      </c>
      <c r="F42" s="8">
        <v>0</v>
      </c>
      <c r="G42" s="8">
        <v>0</v>
      </c>
      <c r="H42" s="8">
        <v>0</v>
      </c>
      <c r="I42" s="8">
        <v>0</v>
      </c>
      <c r="J42" s="55">
        <v>0</v>
      </c>
      <c r="K42" s="74">
        <f t="shared" si="1"/>
        <v>0</v>
      </c>
      <c r="L42" s="89">
        <v>0</v>
      </c>
      <c r="M42" s="74"/>
      <c r="N42" s="104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3" t="s">
        <v>16</v>
      </c>
      <c r="B43" s="39">
        <v>0</v>
      </c>
      <c r="C43" s="8">
        <v>63364</v>
      </c>
      <c r="D43" s="8">
        <v>0</v>
      </c>
      <c r="E43" s="39">
        <v>0</v>
      </c>
      <c r="F43" s="8">
        <v>0</v>
      </c>
      <c r="G43" s="8">
        <v>0</v>
      </c>
      <c r="H43" s="8">
        <v>0</v>
      </c>
      <c r="I43" s="8">
        <v>0</v>
      </c>
      <c r="J43" s="55">
        <v>3114</v>
      </c>
      <c r="K43" s="74">
        <f t="shared" si="1"/>
        <v>66478</v>
      </c>
      <c r="L43" s="89">
        <v>0</v>
      </c>
      <c r="M43" s="74"/>
      <c r="N43" s="104">
        <v>1253915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3" t="s">
        <v>9</v>
      </c>
      <c r="B44" s="39">
        <v>0</v>
      </c>
      <c r="C44" s="8">
        <v>30898</v>
      </c>
      <c r="D44" s="8">
        <v>0</v>
      </c>
      <c r="E44" s="39">
        <v>0</v>
      </c>
      <c r="F44" s="8">
        <v>0</v>
      </c>
      <c r="G44" s="8">
        <v>0</v>
      </c>
      <c r="H44" s="8">
        <v>0</v>
      </c>
      <c r="I44" s="8">
        <v>0</v>
      </c>
      <c r="J44" s="55">
        <v>0</v>
      </c>
      <c r="K44" s="74">
        <f t="shared" si="1"/>
        <v>30898</v>
      </c>
      <c r="L44" s="89">
        <v>0</v>
      </c>
      <c r="M44" s="74"/>
      <c r="N44" s="104">
        <v>736261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3" t="s">
        <v>10</v>
      </c>
      <c r="B45" s="39">
        <v>0</v>
      </c>
      <c r="C45" s="8">
        <v>17656</v>
      </c>
      <c r="D45" s="8">
        <v>0</v>
      </c>
      <c r="E45" s="39">
        <v>0</v>
      </c>
      <c r="F45" s="8">
        <v>0</v>
      </c>
      <c r="G45" s="8">
        <v>0</v>
      </c>
      <c r="H45" s="8">
        <v>0</v>
      </c>
      <c r="I45" s="8">
        <v>0</v>
      </c>
      <c r="J45" s="55">
        <v>0</v>
      </c>
      <c r="K45" s="74">
        <f t="shared" si="1"/>
        <v>17656</v>
      </c>
      <c r="L45" s="89">
        <v>0</v>
      </c>
      <c r="M45" s="74"/>
      <c r="N45" s="104">
        <v>655024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3" t="s">
        <v>49</v>
      </c>
      <c r="B46" s="39">
        <v>0</v>
      </c>
      <c r="C46" s="8">
        <v>0</v>
      </c>
      <c r="D46" s="8">
        <v>0</v>
      </c>
      <c r="E46" s="39">
        <v>0</v>
      </c>
      <c r="F46" s="8">
        <v>0</v>
      </c>
      <c r="G46" s="8">
        <v>0</v>
      </c>
      <c r="H46" s="8">
        <v>0</v>
      </c>
      <c r="I46" s="8">
        <v>0</v>
      </c>
      <c r="J46" s="55">
        <v>0</v>
      </c>
      <c r="K46" s="74">
        <f t="shared" si="1"/>
        <v>0</v>
      </c>
      <c r="L46" s="89">
        <v>0</v>
      </c>
      <c r="M46" s="74"/>
      <c r="N46" s="104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3" t="s">
        <v>50</v>
      </c>
      <c r="B47" s="39">
        <v>0</v>
      </c>
      <c r="C47" s="8">
        <v>0</v>
      </c>
      <c r="D47" s="8">
        <v>0</v>
      </c>
      <c r="E47" s="39">
        <v>0</v>
      </c>
      <c r="F47" s="8">
        <v>0</v>
      </c>
      <c r="G47" s="8">
        <v>0</v>
      </c>
      <c r="H47" s="8">
        <v>0</v>
      </c>
      <c r="I47" s="8">
        <v>0</v>
      </c>
      <c r="J47" s="55">
        <v>0</v>
      </c>
      <c r="K47" s="74">
        <f t="shared" si="1"/>
        <v>0</v>
      </c>
      <c r="L47" s="89">
        <v>0</v>
      </c>
      <c r="M47" s="74"/>
      <c r="N47" s="104">
        <v>119418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3" t="s">
        <v>20</v>
      </c>
      <c r="B48" s="39">
        <v>0</v>
      </c>
      <c r="C48" s="8">
        <v>0</v>
      </c>
      <c r="D48" s="8">
        <v>0</v>
      </c>
      <c r="E48" s="39">
        <v>0</v>
      </c>
      <c r="F48" s="8">
        <v>0</v>
      </c>
      <c r="G48" s="8">
        <v>0</v>
      </c>
      <c r="H48" s="8">
        <v>0</v>
      </c>
      <c r="I48" s="8">
        <v>0</v>
      </c>
      <c r="J48" s="55">
        <v>0</v>
      </c>
      <c r="K48" s="74">
        <f t="shared" si="1"/>
        <v>0</v>
      </c>
      <c r="L48" s="89">
        <v>0</v>
      </c>
      <c r="M48" s="74"/>
      <c r="N48" s="104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4" t="s">
        <v>51</v>
      </c>
      <c r="B49" s="43">
        <v>0</v>
      </c>
      <c r="C49" s="10">
        <v>0</v>
      </c>
      <c r="D49" s="10">
        <v>0</v>
      </c>
      <c r="E49" s="43">
        <v>0</v>
      </c>
      <c r="F49" s="10">
        <v>0</v>
      </c>
      <c r="G49" s="10">
        <v>0</v>
      </c>
      <c r="H49" s="10">
        <v>0</v>
      </c>
      <c r="I49" s="10">
        <v>0</v>
      </c>
      <c r="J49" s="58">
        <v>0</v>
      </c>
      <c r="K49" s="78">
        <f t="shared" si="1"/>
        <v>0</v>
      </c>
      <c r="L49" s="92">
        <v>0</v>
      </c>
      <c r="M49" s="78"/>
      <c r="N49" s="108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4" t="s">
        <v>24</v>
      </c>
      <c r="B50" s="43">
        <v>0</v>
      </c>
      <c r="C50" s="10">
        <v>0</v>
      </c>
      <c r="D50" s="10">
        <v>0</v>
      </c>
      <c r="E50" s="43">
        <v>0</v>
      </c>
      <c r="F50" s="10">
        <v>0</v>
      </c>
      <c r="G50" s="10">
        <v>10500</v>
      </c>
      <c r="H50" s="10">
        <v>9450</v>
      </c>
      <c r="I50" s="10">
        <v>9450</v>
      </c>
      <c r="J50" s="58">
        <v>0</v>
      </c>
      <c r="K50" s="78">
        <f t="shared" si="1"/>
        <v>29400</v>
      </c>
      <c r="L50" s="92">
        <v>0</v>
      </c>
      <c r="M50" s="78"/>
      <c r="N50" s="108">
        <v>132398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5" t="s">
        <v>52</v>
      </c>
      <c r="B51" s="44">
        <v>485000</v>
      </c>
      <c r="C51" s="29">
        <v>384918</v>
      </c>
      <c r="D51" s="29">
        <v>77880</v>
      </c>
      <c r="E51" s="44">
        <v>77880</v>
      </c>
      <c r="F51" s="29">
        <v>55440</v>
      </c>
      <c r="G51" s="29">
        <v>81900</v>
      </c>
      <c r="H51" s="29">
        <v>74970</v>
      </c>
      <c r="I51" s="29">
        <v>62370</v>
      </c>
      <c r="J51" s="59">
        <v>29674</v>
      </c>
      <c r="K51" s="79">
        <f t="shared" si="1"/>
        <v>1330032</v>
      </c>
      <c r="L51" s="93">
        <v>375000</v>
      </c>
      <c r="M51" s="79">
        <f>SUM(L51)</f>
        <v>375000</v>
      </c>
      <c r="N51" s="109">
        <v>7421198</v>
      </c>
      <c r="O51" s="6"/>
      <c r="P51" s="6"/>
      <c r="Q51" s="6"/>
      <c r="R51" s="6"/>
      <c r="S51" s="6"/>
      <c r="T51" s="6"/>
      <c r="U51" s="6"/>
    </row>
    <row r="52" spans="1:21" x14ac:dyDescent="0.15">
      <c r="A52" s="27" t="s">
        <v>53</v>
      </c>
      <c r="B52" s="45">
        <v>6162</v>
      </c>
      <c r="C52" s="28">
        <v>4252</v>
      </c>
      <c r="D52" s="28">
        <v>2136</v>
      </c>
      <c r="E52" s="45">
        <v>1233</v>
      </c>
      <c r="F52" s="28">
        <v>5176</v>
      </c>
      <c r="G52" s="28">
        <v>2465</v>
      </c>
      <c r="H52" s="28">
        <v>2773</v>
      </c>
      <c r="I52" s="28">
        <v>2958</v>
      </c>
      <c r="J52" s="60">
        <v>1068</v>
      </c>
      <c r="K52" s="80">
        <f t="shared" si="1"/>
        <v>28223</v>
      </c>
      <c r="L52" s="94">
        <v>4806</v>
      </c>
      <c r="M52" s="80">
        <f t="shared" ref="M52:M73" si="2">SUM(L52)</f>
        <v>4806</v>
      </c>
      <c r="N52" s="110">
        <v>129158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0" t="s">
        <v>54</v>
      </c>
      <c r="B53" s="46">
        <v>6162</v>
      </c>
      <c r="C53" s="31">
        <v>4252</v>
      </c>
      <c r="D53" s="31">
        <v>2136</v>
      </c>
      <c r="E53" s="46">
        <v>1233</v>
      </c>
      <c r="F53" s="31">
        <v>5176</v>
      </c>
      <c r="G53" s="31">
        <v>2465</v>
      </c>
      <c r="H53" s="31">
        <v>2773</v>
      </c>
      <c r="I53" s="31">
        <v>2958</v>
      </c>
      <c r="J53" s="61">
        <v>1068</v>
      </c>
      <c r="K53" s="81">
        <f t="shared" si="1"/>
        <v>28223</v>
      </c>
      <c r="L53" s="95">
        <v>4806</v>
      </c>
      <c r="M53" s="81">
        <f t="shared" si="2"/>
        <v>4806</v>
      </c>
      <c r="N53" s="111">
        <v>129158</v>
      </c>
    </row>
    <row r="54" spans="1:21" ht="14.25" thickBot="1" x14ac:dyDescent="0.2">
      <c r="A54" s="32" t="s">
        <v>55</v>
      </c>
      <c r="B54" s="47">
        <v>491162</v>
      </c>
      <c r="C54" s="33">
        <v>389170</v>
      </c>
      <c r="D54" s="33">
        <v>80016</v>
      </c>
      <c r="E54" s="47">
        <v>79113</v>
      </c>
      <c r="F54" s="33">
        <v>60616</v>
      </c>
      <c r="G54" s="33">
        <v>84365</v>
      </c>
      <c r="H54" s="33">
        <v>77743</v>
      </c>
      <c r="I54" s="33">
        <v>65328</v>
      </c>
      <c r="J54" s="62">
        <v>30742</v>
      </c>
      <c r="K54" s="82">
        <f t="shared" si="1"/>
        <v>1358255</v>
      </c>
      <c r="L54" s="96">
        <v>379806</v>
      </c>
      <c r="M54" s="82">
        <f t="shared" si="2"/>
        <v>379806</v>
      </c>
      <c r="N54" s="112">
        <v>7550356</v>
      </c>
    </row>
    <row r="55" spans="1:21" x14ac:dyDescent="0.15">
      <c r="A55" s="27" t="s">
        <v>56</v>
      </c>
      <c r="B55" s="45">
        <v>25500</v>
      </c>
      <c r="C55" s="28">
        <v>18360</v>
      </c>
      <c r="D55" s="28">
        <v>0</v>
      </c>
      <c r="E55" s="45">
        <v>0</v>
      </c>
      <c r="F55" s="28">
        <v>0</v>
      </c>
      <c r="G55" s="28">
        <v>0</v>
      </c>
      <c r="H55" s="28">
        <v>0</v>
      </c>
      <c r="I55" s="28">
        <v>0</v>
      </c>
      <c r="J55" s="60">
        <v>0</v>
      </c>
      <c r="K55" s="80">
        <f t="shared" si="1"/>
        <v>43860</v>
      </c>
      <c r="L55" s="94">
        <v>18360</v>
      </c>
      <c r="M55" s="80">
        <f t="shared" si="2"/>
        <v>18360</v>
      </c>
      <c r="N55" s="110">
        <v>333540</v>
      </c>
    </row>
    <row r="56" spans="1:21" x14ac:dyDescent="0.15">
      <c r="A56" s="14" t="s">
        <v>57</v>
      </c>
      <c r="B56" s="43">
        <v>0</v>
      </c>
      <c r="C56" s="10">
        <v>3240</v>
      </c>
      <c r="D56" s="10">
        <v>0</v>
      </c>
      <c r="E56" s="43">
        <v>0</v>
      </c>
      <c r="F56" s="10">
        <v>0</v>
      </c>
      <c r="G56" s="10">
        <v>0</v>
      </c>
      <c r="H56" s="10">
        <v>0</v>
      </c>
      <c r="I56" s="10">
        <v>0</v>
      </c>
      <c r="J56" s="58">
        <v>0</v>
      </c>
      <c r="K56" s="78">
        <f t="shared" si="1"/>
        <v>3240</v>
      </c>
      <c r="L56" s="92">
        <v>3240</v>
      </c>
      <c r="M56" s="78">
        <f t="shared" si="2"/>
        <v>3240</v>
      </c>
      <c r="N56" s="108">
        <v>49140</v>
      </c>
    </row>
    <row r="57" spans="1:21" x14ac:dyDescent="0.15">
      <c r="A57" s="14" t="s">
        <v>58</v>
      </c>
      <c r="B57" s="43">
        <v>45750</v>
      </c>
      <c r="C57" s="10">
        <v>32940</v>
      </c>
      <c r="D57" s="10">
        <v>0</v>
      </c>
      <c r="E57" s="43">
        <v>0</v>
      </c>
      <c r="F57" s="10">
        <v>0</v>
      </c>
      <c r="G57" s="10">
        <v>0</v>
      </c>
      <c r="H57" s="10">
        <v>0</v>
      </c>
      <c r="I57" s="10">
        <v>0</v>
      </c>
      <c r="J57" s="58">
        <v>0</v>
      </c>
      <c r="K57" s="78">
        <f t="shared" si="1"/>
        <v>78690</v>
      </c>
      <c r="L57" s="92">
        <v>32940</v>
      </c>
      <c r="M57" s="78">
        <f t="shared" si="2"/>
        <v>32940</v>
      </c>
      <c r="N57" s="108">
        <v>598410</v>
      </c>
    </row>
    <row r="58" spans="1:21" x14ac:dyDescent="0.15">
      <c r="A58" s="14" t="s">
        <v>59</v>
      </c>
      <c r="B58" s="43">
        <v>0</v>
      </c>
      <c r="C58" s="10">
        <v>0</v>
      </c>
      <c r="D58" s="10">
        <v>0</v>
      </c>
      <c r="E58" s="43">
        <v>0</v>
      </c>
      <c r="F58" s="10">
        <v>0</v>
      </c>
      <c r="G58" s="10">
        <v>0</v>
      </c>
      <c r="H58" s="10">
        <v>0</v>
      </c>
      <c r="I58" s="10">
        <v>0</v>
      </c>
      <c r="J58" s="58">
        <v>0</v>
      </c>
      <c r="K58" s="78">
        <f t="shared" si="1"/>
        <v>0</v>
      </c>
      <c r="L58" s="92">
        <v>0</v>
      </c>
      <c r="M58" s="78">
        <f t="shared" si="2"/>
        <v>0</v>
      </c>
      <c r="N58" s="108">
        <v>0</v>
      </c>
    </row>
    <row r="59" spans="1:21" x14ac:dyDescent="0.15">
      <c r="A59" s="14" t="s">
        <v>60</v>
      </c>
      <c r="B59" s="43">
        <v>1473</v>
      </c>
      <c r="C59" s="10">
        <v>1168</v>
      </c>
      <c r="D59" s="10">
        <v>240</v>
      </c>
      <c r="E59" s="43">
        <v>237</v>
      </c>
      <c r="F59" s="12" t="s">
        <v>98</v>
      </c>
      <c r="G59" s="12" t="s">
        <v>98</v>
      </c>
      <c r="H59" s="12" t="s">
        <v>98</v>
      </c>
      <c r="I59" s="12" t="s">
        <v>98</v>
      </c>
      <c r="J59" s="64" t="s">
        <v>98</v>
      </c>
      <c r="K59" s="78">
        <f t="shared" si="1"/>
        <v>3118</v>
      </c>
      <c r="L59" s="92">
        <v>1139</v>
      </c>
      <c r="M59" s="78">
        <f t="shared" si="2"/>
        <v>1139</v>
      </c>
      <c r="N59" s="108">
        <v>21694</v>
      </c>
    </row>
    <row r="60" spans="1:21" x14ac:dyDescent="0.15">
      <c r="A60" s="14" t="s">
        <v>61</v>
      </c>
      <c r="B60" s="43">
        <v>0</v>
      </c>
      <c r="C60" s="10">
        <v>0</v>
      </c>
      <c r="D60" s="10">
        <v>0</v>
      </c>
      <c r="E60" s="43">
        <v>0</v>
      </c>
      <c r="F60" s="10">
        <v>0</v>
      </c>
      <c r="G60" s="10">
        <v>0</v>
      </c>
      <c r="H60" s="10">
        <v>0</v>
      </c>
      <c r="I60" s="10">
        <v>0</v>
      </c>
      <c r="J60" s="58">
        <v>0</v>
      </c>
      <c r="K60" s="78">
        <f t="shared" si="1"/>
        <v>0</v>
      </c>
      <c r="L60" s="92">
        <v>0</v>
      </c>
      <c r="M60" s="78">
        <f t="shared" si="2"/>
        <v>0</v>
      </c>
      <c r="N60" s="108">
        <v>0</v>
      </c>
    </row>
    <row r="61" spans="1:21" ht="14.25" thickBot="1" x14ac:dyDescent="0.2">
      <c r="A61" s="30" t="s">
        <v>62</v>
      </c>
      <c r="B61" s="46">
        <v>72723</v>
      </c>
      <c r="C61" s="31">
        <v>55708</v>
      </c>
      <c r="D61" s="31">
        <v>240</v>
      </c>
      <c r="E61" s="46">
        <v>237</v>
      </c>
      <c r="F61" s="31">
        <v>0</v>
      </c>
      <c r="G61" s="31">
        <v>0</v>
      </c>
      <c r="H61" s="31">
        <v>0</v>
      </c>
      <c r="I61" s="31">
        <v>0</v>
      </c>
      <c r="J61" s="61">
        <v>0</v>
      </c>
      <c r="K61" s="81">
        <f t="shared" si="1"/>
        <v>128908</v>
      </c>
      <c r="L61" s="95">
        <v>55679</v>
      </c>
      <c r="M61" s="81">
        <f t="shared" si="2"/>
        <v>55679</v>
      </c>
      <c r="N61" s="111">
        <v>1002784</v>
      </c>
    </row>
    <row r="62" spans="1:21" ht="14.25" thickBot="1" x14ac:dyDescent="0.2">
      <c r="A62" s="32" t="s">
        <v>63</v>
      </c>
      <c r="B62" s="47">
        <v>412277</v>
      </c>
      <c r="C62" s="33">
        <v>329210</v>
      </c>
      <c r="D62" s="33">
        <v>77640</v>
      </c>
      <c r="E62" s="47">
        <v>77643</v>
      </c>
      <c r="F62" s="33">
        <v>55440</v>
      </c>
      <c r="G62" s="33">
        <v>81900</v>
      </c>
      <c r="H62" s="33">
        <v>74970</v>
      </c>
      <c r="I62" s="33">
        <v>62370</v>
      </c>
      <c r="J62" s="62">
        <v>29674</v>
      </c>
      <c r="K62" s="82">
        <f t="shared" si="1"/>
        <v>1201124</v>
      </c>
      <c r="L62" s="96">
        <v>319321</v>
      </c>
      <c r="M62" s="82">
        <f t="shared" si="2"/>
        <v>319321</v>
      </c>
      <c r="N62" s="112">
        <v>6418414</v>
      </c>
    </row>
    <row r="63" spans="1:21" x14ac:dyDescent="0.15">
      <c r="A63" s="27" t="s">
        <v>64</v>
      </c>
      <c r="B63" s="45">
        <v>14320</v>
      </c>
      <c r="C63" s="28">
        <v>7910</v>
      </c>
      <c r="D63" s="28">
        <v>0</v>
      </c>
      <c r="E63" s="45">
        <v>0</v>
      </c>
      <c r="F63" s="28">
        <v>0</v>
      </c>
      <c r="G63" s="28">
        <v>0</v>
      </c>
      <c r="H63" s="28">
        <v>0</v>
      </c>
      <c r="I63" s="28">
        <v>0</v>
      </c>
      <c r="J63" s="60">
        <v>0</v>
      </c>
      <c r="K63" s="80">
        <f t="shared" si="1"/>
        <v>22230</v>
      </c>
      <c r="L63" s="94">
        <v>9960</v>
      </c>
      <c r="M63" s="80">
        <f t="shared" si="2"/>
        <v>9960</v>
      </c>
      <c r="N63" s="110">
        <v>159470</v>
      </c>
    </row>
    <row r="64" spans="1:21" x14ac:dyDescent="0.15">
      <c r="A64" s="14" t="s">
        <v>65</v>
      </c>
      <c r="B64" s="43">
        <v>0</v>
      </c>
      <c r="C64" s="10">
        <v>0</v>
      </c>
      <c r="D64" s="10">
        <v>0</v>
      </c>
      <c r="E64" s="43">
        <v>0</v>
      </c>
      <c r="F64" s="10">
        <v>0</v>
      </c>
      <c r="G64" s="10">
        <v>0</v>
      </c>
      <c r="H64" s="10">
        <v>0</v>
      </c>
      <c r="I64" s="10">
        <v>0</v>
      </c>
      <c r="J64" s="58">
        <v>0</v>
      </c>
      <c r="K64" s="78">
        <f t="shared" si="1"/>
        <v>0</v>
      </c>
      <c r="L64" s="92">
        <v>0</v>
      </c>
      <c r="M64" s="78">
        <f t="shared" si="2"/>
        <v>0</v>
      </c>
      <c r="N64" s="108">
        <v>15600</v>
      </c>
    </row>
    <row r="65" spans="1:14" x14ac:dyDescent="0.15">
      <c r="A65" s="14" t="s">
        <v>66</v>
      </c>
      <c r="B65" s="43">
        <v>26900</v>
      </c>
      <c r="C65" s="10">
        <v>15000</v>
      </c>
      <c r="D65" s="10">
        <v>600</v>
      </c>
      <c r="E65" s="43">
        <v>0</v>
      </c>
      <c r="F65" s="10">
        <v>1100</v>
      </c>
      <c r="G65" s="10">
        <v>0</v>
      </c>
      <c r="H65" s="10">
        <v>3500</v>
      </c>
      <c r="I65" s="10">
        <v>0</v>
      </c>
      <c r="J65" s="58">
        <v>0</v>
      </c>
      <c r="K65" s="78">
        <f t="shared" si="1"/>
        <v>47100</v>
      </c>
      <c r="L65" s="92">
        <v>15600</v>
      </c>
      <c r="M65" s="78">
        <f t="shared" si="2"/>
        <v>15600</v>
      </c>
      <c r="N65" s="108">
        <v>239900</v>
      </c>
    </row>
    <row r="66" spans="1:14" x14ac:dyDescent="0.15">
      <c r="A66" s="14" t="s">
        <v>67</v>
      </c>
      <c r="B66" s="43">
        <v>0</v>
      </c>
      <c r="C66" s="10">
        <v>0</v>
      </c>
      <c r="D66" s="10">
        <v>0</v>
      </c>
      <c r="E66" s="43">
        <v>0</v>
      </c>
      <c r="F66" s="10">
        <v>0</v>
      </c>
      <c r="G66" s="10">
        <v>0</v>
      </c>
      <c r="H66" s="10">
        <v>0</v>
      </c>
      <c r="I66" s="10">
        <v>0</v>
      </c>
      <c r="J66" s="58">
        <v>0</v>
      </c>
      <c r="K66" s="78">
        <f t="shared" si="1"/>
        <v>0</v>
      </c>
      <c r="L66" s="92">
        <v>0</v>
      </c>
      <c r="M66" s="78">
        <f t="shared" si="2"/>
        <v>0</v>
      </c>
      <c r="N66" s="108">
        <v>10000</v>
      </c>
    </row>
    <row r="67" spans="1:14" x14ac:dyDescent="0.15">
      <c r="A67" s="14" t="s">
        <v>68</v>
      </c>
      <c r="B67" s="43">
        <v>0</v>
      </c>
      <c r="C67" s="10">
        <v>0</v>
      </c>
      <c r="D67" s="10">
        <v>0</v>
      </c>
      <c r="E67" s="43">
        <v>0</v>
      </c>
      <c r="F67" s="10">
        <v>0</v>
      </c>
      <c r="G67" s="10">
        <v>0</v>
      </c>
      <c r="H67" s="10">
        <v>0</v>
      </c>
      <c r="I67" s="10">
        <v>0</v>
      </c>
      <c r="J67" s="58">
        <v>0</v>
      </c>
      <c r="K67" s="78">
        <f t="shared" si="1"/>
        <v>0</v>
      </c>
      <c r="L67" s="92">
        <v>0</v>
      </c>
      <c r="M67" s="78">
        <f t="shared" si="2"/>
        <v>0</v>
      </c>
      <c r="N67" s="108">
        <v>0</v>
      </c>
    </row>
    <row r="68" spans="1:14" x14ac:dyDescent="0.15">
      <c r="A68" s="14" t="s">
        <v>69</v>
      </c>
      <c r="B68" s="43">
        <v>0</v>
      </c>
      <c r="C68" s="10">
        <v>0</v>
      </c>
      <c r="D68" s="10">
        <v>0</v>
      </c>
      <c r="E68" s="43">
        <v>0</v>
      </c>
      <c r="F68" s="10">
        <v>0</v>
      </c>
      <c r="G68" s="10">
        <v>0</v>
      </c>
      <c r="H68" s="10">
        <v>0</v>
      </c>
      <c r="I68" s="10">
        <v>0</v>
      </c>
      <c r="J68" s="58">
        <v>0</v>
      </c>
      <c r="K68" s="78">
        <f t="shared" si="1"/>
        <v>0</v>
      </c>
      <c r="L68" s="92">
        <v>0</v>
      </c>
      <c r="M68" s="78">
        <f t="shared" si="2"/>
        <v>0</v>
      </c>
      <c r="N68" s="108">
        <v>0</v>
      </c>
    </row>
    <row r="69" spans="1:14" ht="14.25" thickBot="1" x14ac:dyDescent="0.2">
      <c r="A69" s="30" t="s">
        <v>70</v>
      </c>
      <c r="B69" s="46">
        <v>41220</v>
      </c>
      <c r="C69" s="31">
        <v>22910</v>
      </c>
      <c r="D69" s="31">
        <v>600</v>
      </c>
      <c r="E69" s="46">
        <v>0</v>
      </c>
      <c r="F69" s="31">
        <v>1100</v>
      </c>
      <c r="G69" s="31">
        <v>0</v>
      </c>
      <c r="H69" s="31">
        <v>3500</v>
      </c>
      <c r="I69" s="31">
        <v>0</v>
      </c>
      <c r="J69" s="61">
        <v>0</v>
      </c>
      <c r="K69" s="81">
        <f t="shared" si="1"/>
        <v>69330</v>
      </c>
      <c r="L69" s="95">
        <v>25560</v>
      </c>
      <c r="M69" s="81">
        <f t="shared" si="2"/>
        <v>25560</v>
      </c>
      <c r="N69" s="111">
        <v>424970</v>
      </c>
    </row>
    <row r="70" spans="1:14" ht="14.25" thickBot="1" x14ac:dyDescent="0.2">
      <c r="A70" s="32" t="s">
        <v>71</v>
      </c>
      <c r="B70" s="47">
        <v>113943</v>
      </c>
      <c r="C70" s="33">
        <v>78618</v>
      </c>
      <c r="D70" s="33">
        <v>840</v>
      </c>
      <c r="E70" s="47">
        <v>237</v>
      </c>
      <c r="F70" s="33">
        <v>1100</v>
      </c>
      <c r="G70" s="33">
        <v>0</v>
      </c>
      <c r="H70" s="33">
        <v>3500</v>
      </c>
      <c r="I70" s="33">
        <v>0</v>
      </c>
      <c r="J70" s="62">
        <v>0</v>
      </c>
      <c r="K70" s="82">
        <f t="shared" si="1"/>
        <v>198238</v>
      </c>
      <c r="L70" s="96">
        <v>81239</v>
      </c>
      <c r="M70" s="82">
        <f t="shared" si="2"/>
        <v>81239</v>
      </c>
      <c r="N70" s="112">
        <v>1427754</v>
      </c>
    </row>
    <row r="71" spans="1:14" ht="14.25" thickBot="1" x14ac:dyDescent="0.2">
      <c r="A71" s="32" t="s">
        <v>72</v>
      </c>
      <c r="B71" s="47">
        <v>377219</v>
      </c>
      <c r="C71" s="33">
        <v>310552</v>
      </c>
      <c r="D71" s="33">
        <v>79176</v>
      </c>
      <c r="E71" s="47">
        <v>78876</v>
      </c>
      <c r="F71" s="33">
        <v>59516</v>
      </c>
      <c r="G71" s="33">
        <v>84365</v>
      </c>
      <c r="H71" s="33">
        <v>74243</v>
      </c>
      <c r="I71" s="33">
        <v>65328</v>
      </c>
      <c r="J71" s="62">
        <v>30742</v>
      </c>
      <c r="K71" s="82">
        <f t="shared" si="1"/>
        <v>1160017</v>
      </c>
      <c r="L71" s="96">
        <v>298567</v>
      </c>
      <c r="M71" s="82">
        <f t="shared" si="2"/>
        <v>298567</v>
      </c>
      <c r="N71" s="112">
        <v>6122602</v>
      </c>
    </row>
    <row r="72" spans="1:14" x14ac:dyDescent="0.15">
      <c r="A72" s="27" t="s">
        <v>73</v>
      </c>
      <c r="B72" s="45">
        <v>0</v>
      </c>
      <c r="C72" s="28">
        <v>0</v>
      </c>
      <c r="D72" s="28">
        <v>0</v>
      </c>
      <c r="E72" s="45">
        <v>0</v>
      </c>
      <c r="F72" s="28">
        <v>0</v>
      </c>
      <c r="G72" s="28">
        <v>0</v>
      </c>
      <c r="H72" s="28">
        <v>0</v>
      </c>
      <c r="I72" s="28">
        <v>0</v>
      </c>
      <c r="J72" s="60">
        <v>0</v>
      </c>
      <c r="K72" s="80">
        <f t="shared" si="1"/>
        <v>0</v>
      </c>
      <c r="L72" s="94">
        <v>0</v>
      </c>
      <c r="M72" s="80">
        <f t="shared" si="2"/>
        <v>0</v>
      </c>
      <c r="N72" s="110">
        <v>0</v>
      </c>
    </row>
    <row r="73" spans="1:14" x14ac:dyDescent="0.15">
      <c r="A73" s="14" t="s">
        <v>74</v>
      </c>
      <c r="B73" s="43">
        <v>377219</v>
      </c>
      <c r="C73" s="10">
        <v>310552</v>
      </c>
      <c r="D73" s="10">
        <v>79176</v>
      </c>
      <c r="E73" s="43">
        <v>78876</v>
      </c>
      <c r="F73" s="10">
        <v>59516</v>
      </c>
      <c r="G73" s="10">
        <v>84365</v>
      </c>
      <c r="H73" s="10">
        <v>74243</v>
      </c>
      <c r="I73" s="10">
        <v>65328</v>
      </c>
      <c r="J73" s="58">
        <v>30742</v>
      </c>
      <c r="K73" s="78">
        <f t="shared" si="1"/>
        <v>1160017</v>
      </c>
      <c r="L73" s="92">
        <v>298567</v>
      </c>
      <c r="M73" s="78">
        <f t="shared" si="2"/>
        <v>298567</v>
      </c>
      <c r="N73" s="108">
        <v>6122602</v>
      </c>
    </row>
    <row r="74" spans="1:14" x14ac:dyDescent="0.15">
      <c r="A74" s="14" t="s">
        <v>75</v>
      </c>
      <c r="B74" s="48">
        <v>35</v>
      </c>
      <c r="C74" s="11">
        <v>35</v>
      </c>
      <c r="D74" s="11">
        <v>14</v>
      </c>
      <c r="E74" s="48">
        <v>15</v>
      </c>
      <c r="F74" s="11">
        <v>22</v>
      </c>
      <c r="G74" s="11">
        <v>7</v>
      </c>
      <c r="H74" s="11">
        <v>3</v>
      </c>
      <c r="I74" s="11">
        <v>0</v>
      </c>
      <c r="J74" s="63">
        <v>3</v>
      </c>
      <c r="K74" s="83"/>
      <c r="L74" s="97">
        <v>31</v>
      </c>
      <c r="M74" s="83"/>
      <c r="N74" s="113">
        <v>513</v>
      </c>
    </row>
    <row r="75" spans="1:14" x14ac:dyDescent="0.15">
      <c r="A75" s="14" t="s">
        <v>76</v>
      </c>
      <c r="B75" s="49">
        <v>1</v>
      </c>
      <c r="C75" s="12">
        <v>1</v>
      </c>
      <c r="D75" s="12"/>
      <c r="E75" s="49"/>
      <c r="F75" s="12"/>
      <c r="G75" s="12">
        <v>1</v>
      </c>
      <c r="H75" s="12">
        <v>1</v>
      </c>
      <c r="I75" s="12">
        <v>1</v>
      </c>
      <c r="J75" s="64">
        <v>1</v>
      </c>
      <c r="K75" s="84"/>
      <c r="L75" s="98"/>
      <c r="M75" s="84"/>
      <c r="N75" s="114"/>
    </row>
    <row r="76" spans="1:14" ht="14.25" thickBot="1" x14ac:dyDescent="0.2">
      <c r="A76" s="15" t="s">
        <v>77</v>
      </c>
      <c r="B76" s="50" t="s">
        <v>78</v>
      </c>
      <c r="C76" s="16" t="s">
        <v>78</v>
      </c>
      <c r="D76" s="16" t="s">
        <v>78</v>
      </c>
      <c r="E76" s="50" t="s">
        <v>78</v>
      </c>
      <c r="F76" s="16" t="s">
        <v>78</v>
      </c>
      <c r="G76" s="16" t="s">
        <v>78</v>
      </c>
      <c r="H76" s="16" t="s">
        <v>78</v>
      </c>
      <c r="I76" s="16" t="s">
        <v>78</v>
      </c>
      <c r="J76" s="65" t="s">
        <v>78</v>
      </c>
      <c r="K76" s="85"/>
      <c r="L76" s="50" t="s">
        <v>78</v>
      </c>
      <c r="M76" s="65"/>
      <c r="N76" s="17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91ED-D82C-408B-9EA9-A792772825F3}">
  <sheetPr>
    <pageSetUpPr fitToPage="1"/>
  </sheetPr>
  <dimension ref="A1:AS76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RowHeight="13.5" x14ac:dyDescent="0.15"/>
  <cols>
    <col min="1" max="1" width="17.625" style="2" customWidth="1"/>
    <col min="2" max="3" width="10.625" style="2" customWidth="1"/>
    <col min="4" max="19" width="11.125" style="2" customWidth="1"/>
    <col min="20" max="26" width="10.5" style="2" customWidth="1"/>
    <col min="27" max="16384" width="9" style="2"/>
  </cols>
  <sheetData>
    <row r="1" spans="1:45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15">
      <c r="A3" s="18" t="s">
        <v>0</v>
      </c>
      <c r="B3" s="19" t="s">
        <v>6</v>
      </c>
      <c r="C3" s="19" t="s">
        <v>6</v>
      </c>
      <c r="D3" s="19" t="s">
        <v>6</v>
      </c>
      <c r="E3" s="19" t="s">
        <v>6</v>
      </c>
      <c r="F3" s="19" t="s">
        <v>6</v>
      </c>
      <c r="G3" s="35" t="s">
        <v>6</v>
      </c>
      <c r="H3" s="19" t="s">
        <v>6</v>
      </c>
      <c r="I3" s="19" t="s">
        <v>6</v>
      </c>
      <c r="J3" s="19" t="s">
        <v>6</v>
      </c>
      <c r="K3" s="19" t="s">
        <v>6</v>
      </c>
      <c r="L3" s="35" t="s">
        <v>6</v>
      </c>
      <c r="M3" s="19" t="s">
        <v>6</v>
      </c>
      <c r="N3" s="19" t="s">
        <v>6</v>
      </c>
      <c r="O3" s="19" t="s">
        <v>6</v>
      </c>
      <c r="P3" s="19" t="s">
        <v>6</v>
      </c>
      <c r="Q3" s="35" t="s">
        <v>6</v>
      </c>
      <c r="R3" s="52" t="s">
        <v>6</v>
      </c>
      <c r="S3" s="69" t="s">
        <v>104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15">
      <c r="A4" s="20"/>
      <c r="B4" s="21">
        <v>1087</v>
      </c>
      <c r="C4" s="21">
        <v>1088</v>
      </c>
      <c r="D4" s="21">
        <v>1095</v>
      </c>
      <c r="E4" s="21">
        <v>1006</v>
      </c>
      <c r="F4" s="21">
        <v>1007</v>
      </c>
      <c r="G4" s="36">
        <v>1015</v>
      </c>
      <c r="H4" s="21">
        <v>1017</v>
      </c>
      <c r="I4" s="21">
        <v>1021</v>
      </c>
      <c r="J4" s="21">
        <v>1022</v>
      </c>
      <c r="K4" s="21">
        <v>1034</v>
      </c>
      <c r="L4" s="36">
        <v>1035</v>
      </c>
      <c r="M4" s="21">
        <v>1039</v>
      </c>
      <c r="N4" s="21">
        <v>1047</v>
      </c>
      <c r="O4" s="21">
        <v>1058</v>
      </c>
      <c r="P4" s="21">
        <v>1065</v>
      </c>
      <c r="Q4" s="36">
        <v>1077</v>
      </c>
      <c r="R4" s="53">
        <v>1080</v>
      </c>
      <c r="S4" s="7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4.25" thickBot="1" x14ac:dyDescent="0.2">
      <c r="A5" s="20" t="s">
        <v>1</v>
      </c>
      <c r="B5" s="21" t="s">
        <v>7</v>
      </c>
      <c r="C5" s="21" t="s">
        <v>25</v>
      </c>
      <c r="D5" s="21" t="s">
        <v>26</v>
      </c>
      <c r="E5" s="21" t="s">
        <v>27</v>
      </c>
      <c r="F5" s="21" t="s">
        <v>28</v>
      </c>
      <c r="G5" s="36" t="s">
        <v>79</v>
      </c>
      <c r="H5" s="21" t="s">
        <v>80</v>
      </c>
      <c r="I5" s="21" t="s">
        <v>81</v>
      </c>
      <c r="J5" s="21" t="s">
        <v>82</v>
      </c>
      <c r="K5" s="21" t="s">
        <v>83</v>
      </c>
      <c r="L5" s="36" t="s">
        <v>84</v>
      </c>
      <c r="M5" s="21" t="s">
        <v>85</v>
      </c>
      <c r="N5" s="21" t="s">
        <v>86</v>
      </c>
      <c r="O5" s="21" t="s">
        <v>87</v>
      </c>
      <c r="P5" s="21" t="s">
        <v>88</v>
      </c>
      <c r="Q5" s="36" t="s">
        <v>89</v>
      </c>
      <c r="R5" s="53" t="s">
        <v>90</v>
      </c>
      <c r="S5" s="71" t="s">
        <v>105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15">
      <c r="A6" s="22" t="s">
        <v>8</v>
      </c>
      <c r="B6" s="23">
        <v>18</v>
      </c>
      <c r="C6" s="23">
        <v>17</v>
      </c>
      <c r="D6" s="23">
        <v>14</v>
      </c>
      <c r="E6" s="23">
        <v>18</v>
      </c>
      <c r="F6" s="23">
        <v>18</v>
      </c>
      <c r="G6" s="37">
        <v>17</v>
      </c>
      <c r="H6" s="23">
        <v>18</v>
      </c>
      <c r="I6" s="23">
        <v>17</v>
      </c>
      <c r="J6" s="23">
        <v>18</v>
      </c>
      <c r="K6" s="23">
        <v>18</v>
      </c>
      <c r="L6" s="37">
        <v>16</v>
      </c>
      <c r="M6" s="23">
        <v>18</v>
      </c>
      <c r="N6" s="23">
        <v>18</v>
      </c>
      <c r="O6" s="23">
        <v>17</v>
      </c>
      <c r="P6" s="23">
        <v>15</v>
      </c>
      <c r="Q6" s="37">
        <v>18</v>
      </c>
      <c r="R6" s="54">
        <v>17</v>
      </c>
      <c r="S6" s="72">
        <f>SUM(B6:R6)</f>
        <v>292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15">
      <c r="A7" s="13" t="s">
        <v>9</v>
      </c>
      <c r="B7" s="7">
        <v>3</v>
      </c>
      <c r="C7" s="7">
        <v>2</v>
      </c>
      <c r="D7" s="7">
        <v>1</v>
      </c>
      <c r="E7" s="7">
        <v>1</v>
      </c>
      <c r="F7" s="7">
        <v>4</v>
      </c>
      <c r="G7" s="38">
        <v>3</v>
      </c>
      <c r="H7" s="7">
        <v>2</v>
      </c>
      <c r="I7" s="7">
        <v>3</v>
      </c>
      <c r="J7" s="7">
        <v>4</v>
      </c>
      <c r="K7" s="7">
        <v>4</v>
      </c>
      <c r="L7" s="38">
        <v>4</v>
      </c>
      <c r="M7" s="7">
        <v>3</v>
      </c>
      <c r="N7" s="7">
        <v>3</v>
      </c>
      <c r="O7" s="7">
        <v>3</v>
      </c>
      <c r="P7" s="7">
        <v>4</v>
      </c>
      <c r="Q7" s="38">
        <v>4</v>
      </c>
      <c r="R7" s="66">
        <v>3</v>
      </c>
      <c r="S7" s="73">
        <f>SUM(B7:R7)</f>
        <v>51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15">
      <c r="A8" s="13" t="s">
        <v>10</v>
      </c>
      <c r="B8" s="7">
        <v>3</v>
      </c>
      <c r="C8" s="7">
        <v>2</v>
      </c>
      <c r="D8" s="8"/>
      <c r="E8" s="7">
        <v>5</v>
      </c>
      <c r="F8" s="7">
        <v>2</v>
      </c>
      <c r="G8" s="38">
        <v>2</v>
      </c>
      <c r="H8" s="7">
        <v>4</v>
      </c>
      <c r="I8" s="7">
        <v>3</v>
      </c>
      <c r="J8" s="7">
        <v>1</v>
      </c>
      <c r="K8" s="7">
        <v>2</v>
      </c>
      <c r="L8" s="38">
        <v>2</v>
      </c>
      <c r="M8" s="7">
        <v>3</v>
      </c>
      <c r="N8" s="7">
        <v>3</v>
      </c>
      <c r="O8" s="7">
        <v>4</v>
      </c>
      <c r="P8" s="7">
        <v>5</v>
      </c>
      <c r="Q8" s="38">
        <v>2</v>
      </c>
      <c r="R8" s="66">
        <v>3</v>
      </c>
      <c r="S8" s="73">
        <f>SUM(B8:R8)</f>
        <v>46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15">
      <c r="A9" s="13" t="s">
        <v>11</v>
      </c>
      <c r="B9" s="8"/>
      <c r="C9" s="8"/>
      <c r="D9" s="8"/>
      <c r="E9" s="8"/>
      <c r="F9" s="8"/>
      <c r="G9" s="39"/>
      <c r="H9" s="8"/>
      <c r="I9" s="8"/>
      <c r="J9" s="8"/>
      <c r="K9" s="8"/>
      <c r="L9" s="39"/>
      <c r="M9" s="8"/>
      <c r="N9" s="8"/>
      <c r="O9" s="8"/>
      <c r="P9" s="8"/>
      <c r="Q9" s="39"/>
      <c r="R9" s="55"/>
      <c r="S9" s="74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15">
      <c r="A10" s="13" t="s">
        <v>12</v>
      </c>
      <c r="B10" s="8"/>
      <c r="C10" s="8"/>
      <c r="D10" s="8"/>
      <c r="E10" s="8"/>
      <c r="F10" s="8"/>
      <c r="G10" s="39"/>
      <c r="H10" s="8"/>
      <c r="I10" s="8"/>
      <c r="J10" s="8"/>
      <c r="K10" s="8"/>
      <c r="L10" s="39"/>
      <c r="M10" s="8"/>
      <c r="N10" s="8"/>
      <c r="O10" s="8"/>
      <c r="P10" s="8"/>
      <c r="Q10" s="39"/>
      <c r="R10" s="55"/>
      <c r="S10" s="74"/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15">
      <c r="A11" s="13" t="s">
        <v>13</v>
      </c>
      <c r="B11" s="8"/>
      <c r="C11" s="8"/>
      <c r="D11" s="8"/>
      <c r="E11" s="8"/>
      <c r="F11" s="8"/>
      <c r="G11" s="39"/>
      <c r="H11" s="8"/>
      <c r="I11" s="8"/>
      <c r="J11" s="8"/>
      <c r="K11" s="8"/>
      <c r="L11" s="39"/>
      <c r="M11" s="8"/>
      <c r="N11" s="8"/>
      <c r="O11" s="8"/>
      <c r="P11" s="8"/>
      <c r="Q11" s="39"/>
      <c r="R11" s="55"/>
      <c r="S11" s="74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15">
      <c r="A12" s="13" t="s">
        <v>14</v>
      </c>
      <c r="B12" s="8"/>
      <c r="C12" s="7">
        <v>1</v>
      </c>
      <c r="D12" s="7">
        <v>4</v>
      </c>
      <c r="E12" s="8"/>
      <c r="F12" s="8"/>
      <c r="G12" s="38">
        <v>1</v>
      </c>
      <c r="H12" s="8"/>
      <c r="I12" s="7">
        <v>1</v>
      </c>
      <c r="J12" s="8"/>
      <c r="K12" s="8"/>
      <c r="L12" s="38">
        <v>2</v>
      </c>
      <c r="M12" s="8"/>
      <c r="N12" s="8"/>
      <c r="O12" s="7">
        <v>1</v>
      </c>
      <c r="P12" s="7">
        <v>3</v>
      </c>
      <c r="Q12" s="39"/>
      <c r="R12" s="66">
        <v>1</v>
      </c>
      <c r="S12" s="73">
        <f>SUM(B12:R12)</f>
        <v>14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15">
      <c r="A13" s="13" t="s">
        <v>15</v>
      </c>
      <c r="B13" s="8"/>
      <c r="C13" s="8"/>
      <c r="D13" s="8"/>
      <c r="E13" s="8"/>
      <c r="F13" s="8"/>
      <c r="G13" s="39"/>
      <c r="H13" s="8"/>
      <c r="I13" s="8"/>
      <c r="J13" s="8"/>
      <c r="K13" s="8"/>
      <c r="L13" s="39"/>
      <c r="M13" s="8"/>
      <c r="N13" s="8"/>
      <c r="O13" s="8"/>
      <c r="P13" s="8"/>
      <c r="Q13" s="39"/>
      <c r="R13" s="55"/>
      <c r="S13" s="74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15">
      <c r="A14" s="13" t="s">
        <v>16</v>
      </c>
      <c r="B14" s="9">
        <v>3.375</v>
      </c>
      <c r="C14" s="9">
        <v>1.9166666666666667</v>
      </c>
      <c r="D14" s="9">
        <v>1.5</v>
      </c>
      <c r="E14" s="9">
        <v>1.2916666666666667</v>
      </c>
      <c r="F14" s="9">
        <v>1.7916666666666667</v>
      </c>
      <c r="G14" s="40">
        <v>1.875</v>
      </c>
      <c r="H14" s="9">
        <v>2.7083333333333335</v>
      </c>
      <c r="I14" s="9">
        <v>1.9166666666666667</v>
      </c>
      <c r="J14" s="9">
        <v>3.3333333333333335</v>
      </c>
      <c r="K14" s="9">
        <v>2.5833333333333335</v>
      </c>
      <c r="L14" s="40">
        <v>1.9583333333333333</v>
      </c>
      <c r="M14" s="9">
        <v>1.9166666666666667</v>
      </c>
      <c r="N14" s="9">
        <v>2.5</v>
      </c>
      <c r="O14" s="9">
        <v>1.8333333333333333</v>
      </c>
      <c r="P14" s="9">
        <v>1.9583333333333333</v>
      </c>
      <c r="Q14" s="40">
        <v>1.875</v>
      </c>
      <c r="R14" s="67">
        <v>2.0833333333333335</v>
      </c>
      <c r="S14" s="75">
        <f>SUM(B14:R14)</f>
        <v>36.416666666666664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15">
      <c r="A15" s="13" t="s">
        <v>17</v>
      </c>
      <c r="B15" s="9">
        <v>1.3333333333333333</v>
      </c>
      <c r="C15" s="9">
        <v>0.875</v>
      </c>
      <c r="D15" s="9">
        <v>0.45833333333333331</v>
      </c>
      <c r="E15" s="9">
        <v>0.25</v>
      </c>
      <c r="F15" s="9">
        <v>1.3333333333333333</v>
      </c>
      <c r="G15" s="40">
        <v>1.125</v>
      </c>
      <c r="H15" s="9">
        <v>0.91666666666666663</v>
      </c>
      <c r="I15" s="9">
        <v>1.5</v>
      </c>
      <c r="J15" s="9">
        <v>1.625</v>
      </c>
      <c r="K15" s="9">
        <v>1.5416666666666667</v>
      </c>
      <c r="L15" s="40">
        <v>1.5416666666666667</v>
      </c>
      <c r="M15" s="9">
        <v>1.125</v>
      </c>
      <c r="N15" s="9">
        <v>1.25</v>
      </c>
      <c r="O15" s="9">
        <v>1.1666666666666667</v>
      </c>
      <c r="P15" s="9">
        <v>1.4583333333333333</v>
      </c>
      <c r="Q15" s="40">
        <v>1.1666666666666667</v>
      </c>
      <c r="R15" s="67">
        <v>1.3333333333333333</v>
      </c>
      <c r="S15" s="75">
        <f t="shared" ref="S15:S16" si="0">SUM(B15:R15)</f>
        <v>20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15">
      <c r="A16" s="13" t="s">
        <v>18</v>
      </c>
      <c r="B16" s="9">
        <v>1.1666666666666667</v>
      </c>
      <c r="C16" s="9">
        <v>0.625</v>
      </c>
      <c r="D16" s="8"/>
      <c r="E16" s="9">
        <v>1.7916666666666667</v>
      </c>
      <c r="F16" s="9">
        <v>0.79166666666666663</v>
      </c>
      <c r="G16" s="40">
        <v>0.75</v>
      </c>
      <c r="H16" s="9">
        <v>1.7083333333333333</v>
      </c>
      <c r="I16" s="9">
        <v>1.0833333333333333</v>
      </c>
      <c r="J16" s="9">
        <v>0.5</v>
      </c>
      <c r="K16" s="9">
        <v>0.70833333333333337</v>
      </c>
      <c r="L16" s="40">
        <v>0.83333333333333337</v>
      </c>
      <c r="M16" s="9">
        <v>1.2083333333333333</v>
      </c>
      <c r="N16" s="9">
        <v>1.1666666666666667</v>
      </c>
      <c r="O16" s="9">
        <v>1.9166666666666667</v>
      </c>
      <c r="P16" s="9">
        <v>1.75</v>
      </c>
      <c r="Q16" s="40">
        <v>0.79166666666666663</v>
      </c>
      <c r="R16" s="67">
        <v>1.3333333333333333</v>
      </c>
      <c r="S16" s="75">
        <f t="shared" si="0"/>
        <v>18.125</v>
      </c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15">
      <c r="A17" s="13" t="s">
        <v>19</v>
      </c>
      <c r="B17" s="8"/>
      <c r="C17" s="8"/>
      <c r="D17" s="8"/>
      <c r="E17" s="8"/>
      <c r="F17" s="8"/>
      <c r="G17" s="39"/>
      <c r="H17" s="8"/>
      <c r="I17" s="8"/>
      <c r="J17" s="8"/>
      <c r="K17" s="8"/>
      <c r="L17" s="39"/>
      <c r="M17" s="8"/>
      <c r="N17" s="8"/>
      <c r="O17" s="8"/>
      <c r="P17" s="8"/>
      <c r="Q17" s="39"/>
      <c r="R17" s="55"/>
      <c r="S17" s="74"/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15">
      <c r="A18" s="13" t="s">
        <v>20</v>
      </c>
      <c r="B18" s="8"/>
      <c r="C18" s="8"/>
      <c r="D18" s="8"/>
      <c r="E18" s="8"/>
      <c r="F18" s="8"/>
      <c r="G18" s="39"/>
      <c r="H18" s="8"/>
      <c r="I18" s="8"/>
      <c r="J18" s="8"/>
      <c r="K18" s="8"/>
      <c r="L18" s="39"/>
      <c r="M18" s="8"/>
      <c r="N18" s="8"/>
      <c r="O18" s="8"/>
      <c r="P18" s="8"/>
      <c r="Q18" s="39"/>
      <c r="R18" s="55"/>
      <c r="S18" s="74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15">
      <c r="A19" s="13" t="s">
        <v>21</v>
      </c>
      <c r="B19" s="8"/>
      <c r="C19" s="8"/>
      <c r="D19" s="8"/>
      <c r="E19" s="8"/>
      <c r="F19" s="8"/>
      <c r="G19" s="39"/>
      <c r="H19" s="8"/>
      <c r="I19" s="8"/>
      <c r="J19" s="8"/>
      <c r="K19" s="8"/>
      <c r="L19" s="39"/>
      <c r="M19" s="8"/>
      <c r="N19" s="8"/>
      <c r="O19" s="8"/>
      <c r="P19" s="8"/>
      <c r="Q19" s="39"/>
      <c r="R19" s="55"/>
      <c r="S19" s="74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15">
      <c r="A20" s="13" t="s">
        <v>22</v>
      </c>
      <c r="B20" s="8"/>
      <c r="C20" s="8"/>
      <c r="D20" s="8"/>
      <c r="E20" s="8"/>
      <c r="F20" s="8"/>
      <c r="G20" s="39"/>
      <c r="H20" s="8"/>
      <c r="I20" s="8"/>
      <c r="J20" s="8"/>
      <c r="K20" s="8"/>
      <c r="L20" s="39"/>
      <c r="M20" s="8"/>
      <c r="N20" s="8"/>
      <c r="O20" s="8"/>
      <c r="P20" s="8"/>
      <c r="Q20" s="39"/>
      <c r="R20" s="55"/>
      <c r="S20" s="74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15">
      <c r="A21" s="13" t="s">
        <v>23</v>
      </c>
      <c r="B21" s="8"/>
      <c r="C21" s="8"/>
      <c r="D21" s="8"/>
      <c r="E21" s="8"/>
      <c r="F21" s="8"/>
      <c r="G21" s="39"/>
      <c r="H21" s="8"/>
      <c r="I21" s="8"/>
      <c r="J21" s="8"/>
      <c r="K21" s="8"/>
      <c r="L21" s="39"/>
      <c r="M21" s="8"/>
      <c r="N21" s="8"/>
      <c r="O21" s="8"/>
      <c r="P21" s="8"/>
      <c r="Q21" s="39"/>
      <c r="R21" s="55"/>
      <c r="S21" s="74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4.25" thickBot="1" x14ac:dyDescent="0.2">
      <c r="A22" s="24" t="s">
        <v>24</v>
      </c>
      <c r="B22" s="25">
        <v>1.625</v>
      </c>
      <c r="C22" s="25">
        <v>1.4166666666666667</v>
      </c>
      <c r="D22" s="25">
        <v>2.375</v>
      </c>
      <c r="E22" s="25">
        <v>0.29166666666666669</v>
      </c>
      <c r="F22" s="25">
        <v>0.20833333333333334</v>
      </c>
      <c r="G22" s="41">
        <v>8.3333333333333329E-2</v>
      </c>
      <c r="H22" s="25">
        <v>1.125</v>
      </c>
      <c r="I22" s="25">
        <v>2.7083333333333335</v>
      </c>
      <c r="J22" s="25">
        <v>1.7083333333333333</v>
      </c>
      <c r="K22" s="25">
        <v>0.33333333333333331</v>
      </c>
      <c r="L22" s="41">
        <v>0.20833333333333334</v>
      </c>
      <c r="M22" s="25">
        <v>0.125</v>
      </c>
      <c r="N22" s="25">
        <v>0.25</v>
      </c>
      <c r="O22" s="25">
        <v>0.41666666666666669</v>
      </c>
      <c r="P22" s="25">
        <v>1.9583333333333333</v>
      </c>
      <c r="Q22" s="41">
        <v>0.125</v>
      </c>
      <c r="R22" s="68">
        <v>0.625</v>
      </c>
      <c r="S22" s="76">
        <f>SUM(B22:R22)</f>
        <v>15.583333333333336</v>
      </c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15">
      <c r="A23" s="22" t="s">
        <v>29</v>
      </c>
      <c r="B23" s="26">
        <v>170000</v>
      </c>
      <c r="C23" s="26">
        <v>175000</v>
      </c>
      <c r="D23" s="26">
        <v>170000</v>
      </c>
      <c r="E23" s="26">
        <v>182000</v>
      </c>
      <c r="F23" s="26">
        <v>187000</v>
      </c>
      <c r="G23" s="42">
        <v>192000</v>
      </c>
      <c r="H23" s="26">
        <v>192000</v>
      </c>
      <c r="I23" s="26">
        <v>192000</v>
      </c>
      <c r="J23" s="26">
        <v>187000</v>
      </c>
      <c r="K23" s="26">
        <v>172000</v>
      </c>
      <c r="L23" s="42">
        <v>172000</v>
      </c>
      <c r="M23" s="26">
        <v>172000</v>
      </c>
      <c r="N23" s="26">
        <v>177000</v>
      </c>
      <c r="O23" s="26">
        <v>170000</v>
      </c>
      <c r="P23" s="26">
        <v>175000</v>
      </c>
      <c r="Q23" s="42">
        <v>170000</v>
      </c>
      <c r="R23" s="57">
        <v>175000</v>
      </c>
      <c r="S23" s="77">
        <f>SUM(B23:R23)</f>
        <v>3030000</v>
      </c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15">
      <c r="A24" s="13" t="s">
        <v>30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39">
        <v>20000</v>
      </c>
      <c r="H24" s="8">
        <v>5000</v>
      </c>
      <c r="I24" s="8">
        <v>20000</v>
      </c>
      <c r="J24" s="8">
        <v>5000</v>
      </c>
      <c r="K24" s="8">
        <v>0</v>
      </c>
      <c r="L24" s="39">
        <v>0</v>
      </c>
      <c r="M24" s="8">
        <v>0</v>
      </c>
      <c r="N24" s="8">
        <v>0</v>
      </c>
      <c r="O24" s="8">
        <v>0</v>
      </c>
      <c r="P24" s="8">
        <v>0</v>
      </c>
      <c r="Q24" s="39">
        <v>0</v>
      </c>
      <c r="R24" s="55">
        <v>0</v>
      </c>
      <c r="S24" s="74">
        <f t="shared" ref="S24:S73" si="1">SUM(B24:R24)</f>
        <v>50000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15">
      <c r="A25" s="13" t="s">
        <v>31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39">
        <v>3000</v>
      </c>
      <c r="H25" s="8">
        <v>0</v>
      </c>
      <c r="I25" s="8">
        <v>0</v>
      </c>
      <c r="J25" s="8">
        <v>0</v>
      </c>
      <c r="K25" s="8">
        <v>0</v>
      </c>
      <c r="L25" s="39">
        <v>0</v>
      </c>
      <c r="M25" s="8">
        <v>0</v>
      </c>
      <c r="N25" s="8">
        <v>0</v>
      </c>
      <c r="O25" s="8">
        <v>0</v>
      </c>
      <c r="P25" s="8">
        <v>0</v>
      </c>
      <c r="Q25" s="39">
        <v>0</v>
      </c>
      <c r="R25" s="55">
        <v>0</v>
      </c>
      <c r="S25" s="74">
        <f t="shared" si="1"/>
        <v>3000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15">
      <c r="A26" s="13" t="s">
        <v>32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39">
        <v>0</v>
      </c>
      <c r="H26" s="8">
        <v>0</v>
      </c>
      <c r="I26" s="8">
        <v>0</v>
      </c>
      <c r="J26" s="8">
        <v>0</v>
      </c>
      <c r="K26" s="8">
        <v>0</v>
      </c>
      <c r="L26" s="39">
        <v>0</v>
      </c>
      <c r="M26" s="8">
        <v>0</v>
      </c>
      <c r="N26" s="8">
        <v>0</v>
      </c>
      <c r="O26" s="8">
        <v>0</v>
      </c>
      <c r="P26" s="8">
        <v>0</v>
      </c>
      <c r="Q26" s="39">
        <v>0</v>
      </c>
      <c r="R26" s="55">
        <v>0</v>
      </c>
      <c r="S26" s="74">
        <f t="shared" si="1"/>
        <v>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15">
      <c r="A27" s="13" t="s">
        <v>33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39">
        <v>0</v>
      </c>
      <c r="H27" s="8">
        <v>0</v>
      </c>
      <c r="I27" s="8">
        <v>0</v>
      </c>
      <c r="J27" s="8">
        <v>0</v>
      </c>
      <c r="K27" s="8">
        <v>0</v>
      </c>
      <c r="L27" s="39">
        <v>0</v>
      </c>
      <c r="M27" s="8">
        <v>0</v>
      </c>
      <c r="N27" s="8">
        <v>0</v>
      </c>
      <c r="O27" s="8">
        <v>0</v>
      </c>
      <c r="P27" s="8">
        <v>0</v>
      </c>
      <c r="Q27" s="39">
        <v>0</v>
      </c>
      <c r="R27" s="55">
        <v>0</v>
      </c>
      <c r="S27" s="74">
        <f t="shared" si="1"/>
        <v>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15">
      <c r="A28" s="13" t="s">
        <v>34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39">
        <v>0</v>
      </c>
      <c r="H28" s="8">
        <v>0</v>
      </c>
      <c r="I28" s="8">
        <v>0</v>
      </c>
      <c r="J28" s="8">
        <v>0</v>
      </c>
      <c r="K28" s="8">
        <v>0</v>
      </c>
      <c r="L28" s="39">
        <v>0</v>
      </c>
      <c r="M28" s="8">
        <v>0</v>
      </c>
      <c r="N28" s="8">
        <v>0</v>
      </c>
      <c r="O28" s="8">
        <v>0</v>
      </c>
      <c r="P28" s="8">
        <v>0</v>
      </c>
      <c r="Q28" s="39">
        <v>0</v>
      </c>
      <c r="R28" s="55">
        <v>0</v>
      </c>
      <c r="S28" s="74">
        <f t="shared" si="1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15">
      <c r="A29" s="13" t="s">
        <v>35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39">
        <v>0</v>
      </c>
      <c r="H29" s="8">
        <v>0</v>
      </c>
      <c r="I29" s="8">
        <v>0</v>
      </c>
      <c r="J29" s="8">
        <v>0</v>
      </c>
      <c r="K29" s="8">
        <v>0</v>
      </c>
      <c r="L29" s="39">
        <v>0</v>
      </c>
      <c r="M29" s="8">
        <v>0</v>
      </c>
      <c r="N29" s="8">
        <v>0</v>
      </c>
      <c r="O29" s="8">
        <v>0</v>
      </c>
      <c r="P29" s="8">
        <v>0</v>
      </c>
      <c r="Q29" s="39">
        <v>0</v>
      </c>
      <c r="R29" s="55">
        <v>0</v>
      </c>
      <c r="S29" s="74">
        <f t="shared" si="1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15">
      <c r="A30" s="13" t="s">
        <v>36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39">
        <v>0</v>
      </c>
      <c r="H30" s="8">
        <v>0</v>
      </c>
      <c r="I30" s="8">
        <v>0</v>
      </c>
      <c r="J30" s="8">
        <v>0</v>
      </c>
      <c r="K30" s="8">
        <v>0</v>
      </c>
      <c r="L30" s="39">
        <v>0</v>
      </c>
      <c r="M30" s="8">
        <v>0</v>
      </c>
      <c r="N30" s="8">
        <v>0</v>
      </c>
      <c r="O30" s="8">
        <v>0</v>
      </c>
      <c r="P30" s="8">
        <v>0</v>
      </c>
      <c r="Q30" s="39">
        <v>0</v>
      </c>
      <c r="R30" s="55">
        <v>0</v>
      </c>
      <c r="S30" s="74">
        <f t="shared" si="1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15">
      <c r="A31" s="13" t="s">
        <v>37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39">
        <v>0</v>
      </c>
      <c r="H31" s="8">
        <v>0</v>
      </c>
      <c r="I31" s="8">
        <v>0</v>
      </c>
      <c r="J31" s="8">
        <v>0</v>
      </c>
      <c r="K31" s="8">
        <v>0</v>
      </c>
      <c r="L31" s="39">
        <v>0</v>
      </c>
      <c r="M31" s="8">
        <v>0</v>
      </c>
      <c r="N31" s="8">
        <v>0</v>
      </c>
      <c r="O31" s="8">
        <v>0</v>
      </c>
      <c r="P31" s="8">
        <v>0</v>
      </c>
      <c r="Q31" s="39">
        <v>0</v>
      </c>
      <c r="R31" s="55">
        <v>0</v>
      </c>
      <c r="S31" s="74">
        <f t="shared" si="1"/>
        <v>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15">
      <c r="A32" s="13" t="s">
        <v>38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39">
        <v>0</v>
      </c>
      <c r="H32" s="8">
        <v>0</v>
      </c>
      <c r="I32" s="8">
        <v>0</v>
      </c>
      <c r="J32" s="8">
        <v>0</v>
      </c>
      <c r="K32" s="8">
        <v>0</v>
      </c>
      <c r="L32" s="39">
        <v>0</v>
      </c>
      <c r="M32" s="8">
        <v>0</v>
      </c>
      <c r="N32" s="8">
        <v>0</v>
      </c>
      <c r="O32" s="8">
        <v>0</v>
      </c>
      <c r="P32" s="8">
        <v>0</v>
      </c>
      <c r="Q32" s="39">
        <v>0</v>
      </c>
      <c r="R32" s="55">
        <v>0</v>
      </c>
      <c r="S32" s="74">
        <f t="shared" si="1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15">
      <c r="A33" s="13" t="s">
        <v>39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39">
        <v>0</v>
      </c>
      <c r="H33" s="8">
        <v>0</v>
      </c>
      <c r="I33" s="8">
        <v>0</v>
      </c>
      <c r="J33" s="8">
        <v>0</v>
      </c>
      <c r="K33" s="8">
        <v>0</v>
      </c>
      <c r="L33" s="39">
        <v>0</v>
      </c>
      <c r="M33" s="8">
        <v>0</v>
      </c>
      <c r="N33" s="8">
        <v>0</v>
      </c>
      <c r="O33" s="8">
        <v>0</v>
      </c>
      <c r="P33" s="8">
        <v>0</v>
      </c>
      <c r="Q33" s="39">
        <v>0</v>
      </c>
      <c r="R33" s="55">
        <v>0</v>
      </c>
      <c r="S33" s="74">
        <f t="shared" si="1"/>
        <v>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15">
      <c r="A34" s="13" t="s">
        <v>40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39">
        <v>0</v>
      </c>
      <c r="H34" s="8">
        <v>0</v>
      </c>
      <c r="I34" s="8">
        <v>0</v>
      </c>
      <c r="J34" s="8">
        <v>0</v>
      </c>
      <c r="K34" s="8">
        <v>0</v>
      </c>
      <c r="L34" s="39">
        <v>0</v>
      </c>
      <c r="M34" s="8">
        <v>0</v>
      </c>
      <c r="N34" s="8">
        <v>0</v>
      </c>
      <c r="O34" s="8">
        <v>0</v>
      </c>
      <c r="P34" s="8">
        <v>0</v>
      </c>
      <c r="Q34" s="39">
        <v>0</v>
      </c>
      <c r="R34" s="55">
        <v>0</v>
      </c>
      <c r="S34" s="74">
        <f t="shared" si="1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15">
      <c r="A35" s="13" t="s">
        <v>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39">
        <v>0</v>
      </c>
      <c r="H35" s="8">
        <v>0</v>
      </c>
      <c r="I35" s="8">
        <v>0</v>
      </c>
      <c r="J35" s="8">
        <v>0</v>
      </c>
      <c r="K35" s="8">
        <v>0</v>
      </c>
      <c r="L35" s="39">
        <v>0</v>
      </c>
      <c r="M35" s="8">
        <v>0</v>
      </c>
      <c r="N35" s="8">
        <v>0</v>
      </c>
      <c r="O35" s="8">
        <v>0</v>
      </c>
      <c r="P35" s="8">
        <v>0</v>
      </c>
      <c r="Q35" s="39">
        <v>0</v>
      </c>
      <c r="R35" s="55">
        <v>0</v>
      </c>
      <c r="S35" s="74">
        <f t="shared" si="1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15">
      <c r="A36" s="13" t="s">
        <v>42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39">
        <v>0</v>
      </c>
      <c r="H36" s="8">
        <v>0</v>
      </c>
      <c r="I36" s="8">
        <v>0</v>
      </c>
      <c r="J36" s="8">
        <v>0</v>
      </c>
      <c r="K36" s="8">
        <v>0</v>
      </c>
      <c r="L36" s="39">
        <v>0</v>
      </c>
      <c r="M36" s="8">
        <v>0</v>
      </c>
      <c r="N36" s="8">
        <v>0</v>
      </c>
      <c r="O36" s="8">
        <v>0</v>
      </c>
      <c r="P36" s="8">
        <v>0</v>
      </c>
      <c r="Q36" s="39">
        <v>0</v>
      </c>
      <c r="R36" s="55">
        <v>0</v>
      </c>
      <c r="S36" s="74">
        <f t="shared" si="1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15">
      <c r="A37" s="13" t="s">
        <v>43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39">
        <v>0</v>
      </c>
      <c r="H37" s="8">
        <v>0</v>
      </c>
      <c r="I37" s="8">
        <v>0</v>
      </c>
      <c r="J37" s="8">
        <v>0</v>
      </c>
      <c r="K37" s="8">
        <v>0</v>
      </c>
      <c r="L37" s="39">
        <v>0</v>
      </c>
      <c r="M37" s="8">
        <v>0</v>
      </c>
      <c r="N37" s="8">
        <v>0</v>
      </c>
      <c r="O37" s="8">
        <v>0</v>
      </c>
      <c r="P37" s="8">
        <v>0</v>
      </c>
      <c r="Q37" s="39">
        <v>0</v>
      </c>
      <c r="R37" s="55">
        <v>0</v>
      </c>
      <c r="S37" s="74">
        <f t="shared" si="1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15">
      <c r="A38" s="13" t="s">
        <v>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39">
        <v>0</v>
      </c>
      <c r="H38" s="8">
        <v>0</v>
      </c>
      <c r="I38" s="8">
        <v>0</v>
      </c>
      <c r="J38" s="8">
        <v>0</v>
      </c>
      <c r="K38" s="8">
        <v>0</v>
      </c>
      <c r="L38" s="39">
        <v>0</v>
      </c>
      <c r="M38" s="8">
        <v>0</v>
      </c>
      <c r="N38" s="8">
        <v>0</v>
      </c>
      <c r="O38" s="8">
        <v>0</v>
      </c>
      <c r="P38" s="8">
        <v>0</v>
      </c>
      <c r="Q38" s="39">
        <v>0</v>
      </c>
      <c r="R38" s="55">
        <v>0</v>
      </c>
      <c r="S38" s="74">
        <f t="shared" si="1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15">
      <c r="A39" s="13" t="s">
        <v>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39">
        <v>0</v>
      </c>
      <c r="H39" s="8">
        <v>0</v>
      </c>
      <c r="I39" s="8">
        <v>0</v>
      </c>
      <c r="J39" s="8">
        <v>0</v>
      </c>
      <c r="K39" s="8">
        <v>0</v>
      </c>
      <c r="L39" s="39">
        <v>0</v>
      </c>
      <c r="M39" s="8">
        <v>0</v>
      </c>
      <c r="N39" s="8">
        <v>0</v>
      </c>
      <c r="O39" s="8">
        <v>0</v>
      </c>
      <c r="P39" s="8">
        <v>0</v>
      </c>
      <c r="Q39" s="39">
        <v>0</v>
      </c>
      <c r="R39" s="55">
        <v>0</v>
      </c>
      <c r="S39" s="74">
        <f t="shared" si="1"/>
        <v>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15">
      <c r="A40" s="13" t="s">
        <v>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39">
        <v>0</v>
      </c>
      <c r="H40" s="8">
        <v>0</v>
      </c>
      <c r="I40" s="8">
        <v>0</v>
      </c>
      <c r="J40" s="8">
        <v>0</v>
      </c>
      <c r="K40" s="8">
        <v>0</v>
      </c>
      <c r="L40" s="39">
        <v>0</v>
      </c>
      <c r="M40" s="8">
        <v>0</v>
      </c>
      <c r="N40" s="8">
        <v>0</v>
      </c>
      <c r="O40" s="8">
        <v>0</v>
      </c>
      <c r="P40" s="8">
        <v>0</v>
      </c>
      <c r="Q40" s="39">
        <v>0</v>
      </c>
      <c r="R40" s="55">
        <v>0</v>
      </c>
      <c r="S40" s="74">
        <f t="shared" si="1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15">
      <c r="A41" s="13" t="s">
        <v>47</v>
      </c>
      <c r="B41" s="8">
        <v>0</v>
      </c>
      <c r="C41" s="8">
        <v>-8373</v>
      </c>
      <c r="D41" s="8">
        <v>-32532</v>
      </c>
      <c r="E41" s="8">
        <v>0</v>
      </c>
      <c r="F41" s="8">
        <v>0</v>
      </c>
      <c r="G41" s="39">
        <v>-10287</v>
      </c>
      <c r="H41" s="8">
        <v>0</v>
      </c>
      <c r="I41" s="8">
        <v>-10143</v>
      </c>
      <c r="J41" s="8">
        <v>0</v>
      </c>
      <c r="K41" s="8">
        <v>0</v>
      </c>
      <c r="L41" s="39">
        <v>-16458</v>
      </c>
      <c r="M41" s="8">
        <v>0</v>
      </c>
      <c r="N41" s="8">
        <v>0</v>
      </c>
      <c r="O41" s="8">
        <v>-8133</v>
      </c>
      <c r="P41" s="8">
        <v>-25119</v>
      </c>
      <c r="Q41" s="39">
        <v>0</v>
      </c>
      <c r="R41" s="55">
        <v>-8373</v>
      </c>
      <c r="S41" s="74">
        <f t="shared" si="1"/>
        <v>-119418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15">
      <c r="A42" s="13" t="s">
        <v>48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39">
        <v>0</v>
      </c>
      <c r="H42" s="8">
        <v>0</v>
      </c>
      <c r="I42" s="8">
        <v>0</v>
      </c>
      <c r="J42" s="8">
        <v>0</v>
      </c>
      <c r="K42" s="8">
        <v>0</v>
      </c>
      <c r="L42" s="39">
        <v>0</v>
      </c>
      <c r="M42" s="8">
        <v>0</v>
      </c>
      <c r="N42" s="8">
        <v>0</v>
      </c>
      <c r="O42" s="8">
        <v>0</v>
      </c>
      <c r="P42" s="8">
        <v>0</v>
      </c>
      <c r="Q42" s="39">
        <v>0</v>
      </c>
      <c r="R42" s="55">
        <v>0</v>
      </c>
      <c r="S42" s="74">
        <f t="shared" si="1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15">
      <c r="A43" s="13" t="s">
        <v>16</v>
      </c>
      <c r="B43" s="8">
        <v>103113</v>
      </c>
      <c r="C43" s="8">
        <v>60260</v>
      </c>
      <c r="D43" s="8">
        <v>45828</v>
      </c>
      <c r="E43" s="8">
        <v>42253</v>
      </c>
      <c r="F43" s="8">
        <v>60200</v>
      </c>
      <c r="G43" s="39">
        <v>72405</v>
      </c>
      <c r="H43" s="8">
        <v>95875</v>
      </c>
      <c r="I43" s="8">
        <v>72956</v>
      </c>
      <c r="J43" s="8">
        <v>115040</v>
      </c>
      <c r="K43" s="8">
        <v>79856</v>
      </c>
      <c r="L43" s="39">
        <v>60536</v>
      </c>
      <c r="M43" s="8">
        <v>59248</v>
      </c>
      <c r="N43" s="8">
        <v>79500</v>
      </c>
      <c r="O43" s="8">
        <v>56012</v>
      </c>
      <c r="P43" s="8">
        <v>61570</v>
      </c>
      <c r="Q43" s="39">
        <v>57285</v>
      </c>
      <c r="R43" s="55">
        <v>65500</v>
      </c>
      <c r="S43" s="74">
        <f t="shared" si="1"/>
        <v>1187437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15">
      <c r="A44" s="13" t="s">
        <v>9</v>
      </c>
      <c r="B44" s="8">
        <v>43968</v>
      </c>
      <c r="C44" s="8">
        <v>29715</v>
      </c>
      <c r="D44" s="8">
        <v>15114</v>
      </c>
      <c r="E44" s="8">
        <v>8832</v>
      </c>
      <c r="F44" s="8">
        <v>48384</v>
      </c>
      <c r="G44" s="39">
        <v>46899</v>
      </c>
      <c r="H44" s="8">
        <v>35046</v>
      </c>
      <c r="I44" s="8">
        <v>61668</v>
      </c>
      <c r="J44" s="8">
        <v>60567</v>
      </c>
      <c r="K44" s="8">
        <v>51467</v>
      </c>
      <c r="L44" s="39">
        <v>51467</v>
      </c>
      <c r="M44" s="8">
        <v>37557</v>
      </c>
      <c r="N44" s="8">
        <v>42930</v>
      </c>
      <c r="O44" s="8">
        <v>38472</v>
      </c>
      <c r="P44" s="8">
        <v>49525</v>
      </c>
      <c r="Q44" s="39">
        <v>38472</v>
      </c>
      <c r="R44" s="55">
        <v>45280</v>
      </c>
      <c r="S44" s="74">
        <f t="shared" si="1"/>
        <v>705363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15">
      <c r="A45" s="13" t="s">
        <v>10</v>
      </c>
      <c r="B45" s="8">
        <v>38472</v>
      </c>
      <c r="C45" s="8">
        <v>21225</v>
      </c>
      <c r="D45" s="8">
        <v>0</v>
      </c>
      <c r="E45" s="8">
        <v>63296</v>
      </c>
      <c r="F45" s="8">
        <v>28728</v>
      </c>
      <c r="G45" s="39">
        <v>31266</v>
      </c>
      <c r="H45" s="8">
        <v>65313</v>
      </c>
      <c r="I45" s="8">
        <v>44538</v>
      </c>
      <c r="J45" s="8">
        <v>18636</v>
      </c>
      <c r="K45" s="8">
        <v>23647</v>
      </c>
      <c r="L45" s="39">
        <v>27820</v>
      </c>
      <c r="M45" s="8">
        <v>40339</v>
      </c>
      <c r="N45" s="8">
        <v>40068</v>
      </c>
      <c r="O45" s="8">
        <v>63204</v>
      </c>
      <c r="P45" s="8">
        <v>59430</v>
      </c>
      <c r="Q45" s="39">
        <v>26106</v>
      </c>
      <c r="R45" s="55">
        <v>45280</v>
      </c>
      <c r="S45" s="74">
        <f t="shared" si="1"/>
        <v>637368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15">
      <c r="A46" s="13" t="s">
        <v>49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39">
        <v>0</v>
      </c>
      <c r="H46" s="8">
        <v>0</v>
      </c>
      <c r="I46" s="8">
        <v>0</v>
      </c>
      <c r="J46" s="8">
        <v>0</v>
      </c>
      <c r="K46" s="8">
        <v>0</v>
      </c>
      <c r="L46" s="39">
        <v>0</v>
      </c>
      <c r="M46" s="8">
        <v>0</v>
      </c>
      <c r="N46" s="8">
        <v>0</v>
      </c>
      <c r="O46" s="8">
        <v>0</v>
      </c>
      <c r="P46" s="8">
        <v>0</v>
      </c>
      <c r="Q46" s="39">
        <v>0</v>
      </c>
      <c r="R46" s="55">
        <v>0</v>
      </c>
      <c r="S46" s="74">
        <f t="shared" si="1"/>
        <v>0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15">
      <c r="A47" s="13" t="s">
        <v>50</v>
      </c>
      <c r="B47" s="8">
        <v>0</v>
      </c>
      <c r="C47" s="8">
        <v>8373</v>
      </c>
      <c r="D47" s="8">
        <v>32532</v>
      </c>
      <c r="E47" s="8">
        <v>0</v>
      </c>
      <c r="F47" s="8">
        <v>0</v>
      </c>
      <c r="G47" s="39">
        <v>10287</v>
      </c>
      <c r="H47" s="8">
        <v>0</v>
      </c>
      <c r="I47" s="8">
        <v>10143</v>
      </c>
      <c r="J47" s="8">
        <v>0</v>
      </c>
      <c r="K47" s="8">
        <v>0</v>
      </c>
      <c r="L47" s="39">
        <v>16458</v>
      </c>
      <c r="M47" s="8">
        <v>0</v>
      </c>
      <c r="N47" s="8">
        <v>0</v>
      </c>
      <c r="O47" s="8">
        <v>8133</v>
      </c>
      <c r="P47" s="8">
        <v>25119</v>
      </c>
      <c r="Q47" s="39">
        <v>0</v>
      </c>
      <c r="R47" s="55">
        <v>8373</v>
      </c>
      <c r="S47" s="74">
        <f t="shared" si="1"/>
        <v>119418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15">
      <c r="A48" s="13" t="s">
        <v>20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39">
        <v>0</v>
      </c>
      <c r="H48" s="8">
        <v>0</v>
      </c>
      <c r="I48" s="8">
        <v>0</v>
      </c>
      <c r="J48" s="8">
        <v>0</v>
      </c>
      <c r="K48" s="8">
        <v>0</v>
      </c>
      <c r="L48" s="39">
        <v>0</v>
      </c>
      <c r="M48" s="8">
        <v>0</v>
      </c>
      <c r="N48" s="8">
        <v>0</v>
      </c>
      <c r="O48" s="8">
        <v>0</v>
      </c>
      <c r="P48" s="8">
        <v>0</v>
      </c>
      <c r="Q48" s="39">
        <v>0</v>
      </c>
      <c r="R48" s="55">
        <v>0</v>
      </c>
      <c r="S48" s="74">
        <f t="shared" si="1"/>
        <v>0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 x14ac:dyDescent="0.15">
      <c r="A49" s="14" t="s">
        <v>51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43">
        <v>0</v>
      </c>
      <c r="H49" s="10">
        <v>0</v>
      </c>
      <c r="I49" s="10">
        <v>0</v>
      </c>
      <c r="J49" s="10">
        <v>0</v>
      </c>
      <c r="K49" s="10">
        <v>0</v>
      </c>
      <c r="L49" s="43">
        <v>0</v>
      </c>
      <c r="M49" s="10">
        <v>0</v>
      </c>
      <c r="N49" s="10">
        <v>0</v>
      </c>
      <c r="O49" s="10">
        <v>0</v>
      </c>
      <c r="P49" s="10">
        <v>0</v>
      </c>
      <c r="Q49" s="43">
        <v>0</v>
      </c>
      <c r="R49" s="58">
        <v>0</v>
      </c>
      <c r="S49" s="78">
        <f t="shared" si="1"/>
        <v>0</v>
      </c>
      <c r="T49" s="6"/>
      <c r="U49" s="6"/>
      <c r="V49" s="6"/>
      <c r="W49" s="6"/>
      <c r="X49" s="6"/>
      <c r="Y49" s="6"/>
      <c r="Z49" s="6"/>
    </row>
    <row r="50" spans="1:26" x14ac:dyDescent="0.15">
      <c r="A50" s="14" t="s">
        <v>24</v>
      </c>
      <c r="B50" s="10">
        <v>9945</v>
      </c>
      <c r="C50" s="10">
        <v>8908</v>
      </c>
      <c r="D50" s="10">
        <v>14535</v>
      </c>
      <c r="E50" s="10">
        <v>1911</v>
      </c>
      <c r="F50" s="10">
        <v>1400</v>
      </c>
      <c r="G50" s="43">
        <v>644</v>
      </c>
      <c r="H50" s="10">
        <v>7965</v>
      </c>
      <c r="I50" s="10">
        <v>20605</v>
      </c>
      <c r="J50" s="10">
        <v>11808</v>
      </c>
      <c r="K50" s="10">
        <v>2064</v>
      </c>
      <c r="L50" s="43">
        <v>1290</v>
      </c>
      <c r="M50" s="10">
        <v>774</v>
      </c>
      <c r="N50" s="10">
        <v>1590</v>
      </c>
      <c r="O50" s="10">
        <v>2550</v>
      </c>
      <c r="P50" s="10">
        <v>12314</v>
      </c>
      <c r="Q50" s="43">
        <v>765</v>
      </c>
      <c r="R50" s="58">
        <v>3930</v>
      </c>
      <c r="S50" s="78">
        <f t="shared" si="1"/>
        <v>102998</v>
      </c>
      <c r="T50" s="6"/>
      <c r="U50" s="6"/>
      <c r="V50" s="6"/>
      <c r="W50" s="6"/>
      <c r="X50" s="6"/>
      <c r="Y50" s="6"/>
      <c r="Z50" s="6"/>
    </row>
    <row r="51" spans="1:26" ht="14.25" thickBot="1" x14ac:dyDescent="0.2">
      <c r="A51" s="15" t="s">
        <v>52</v>
      </c>
      <c r="B51" s="29">
        <v>365498</v>
      </c>
      <c r="C51" s="29">
        <v>295108</v>
      </c>
      <c r="D51" s="29">
        <v>245477</v>
      </c>
      <c r="E51" s="29">
        <v>298292</v>
      </c>
      <c r="F51" s="29">
        <v>325712</v>
      </c>
      <c r="G51" s="44">
        <v>366214</v>
      </c>
      <c r="H51" s="29">
        <v>401199</v>
      </c>
      <c r="I51" s="29">
        <v>411767</v>
      </c>
      <c r="J51" s="29">
        <v>398051</v>
      </c>
      <c r="K51" s="29">
        <v>329034</v>
      </c>
      <c r="L51" s="44">
        <v>313113</v>
      </c>
      <c r="M51" s="29">
        <v>309918</v>
      </c>
      <c r="N51" s="29">
        <v>341088</v>
      </c>
      <c r="O51" s="29">
        <v>330238</v>
      </c>
      <c r="P51" s="29">
        <v>357839</v>
      </c>
      <c r="Q51" s="44">
        <v>292628</v>
      </c>
      <c r="R51" s="59">
        <v>334990</v>
      </c>
      <c r="S51" s="79">
        <f t="shared" si="1"/>
        <v>5716166</v>
      </c>
      <c r="T51" s="6"/>
      <c r="U51" s="6"/>
      <c r="V51" s="6"/>
      <c r="W51" s="6"/>
      <c r="X51" s="6"/>
      <c r="Y51" s="6"/>
      <c r="Z51" s="6"/>
    </row>
    <row r="52" spans="1:26" x14ac:dyDescent="0.15">
      <c r="A52" s="27" t="s">
        <v>53</v>
      </c>
      <c r="B52" s="28">
        <v>4930</v>
      </c>
      <c r="C52" s="28">
        <v>31630</v>
      </c>
      <c r="D52" s="28">
        <v>1541</v>
      </c>
      <c r="E52" s="28">
        <v>9859</v>
      </c>
      <c r="F52" s="28">
        <v>2465</v>
      </c>
      <c r="G52" s="45">
        <v>4067</v>
      </c>
      <c r="H52" s="28">
        <v>2465</v>
      </c>
      <c r="I52" s="28">
        <v>10865</v>
      </c>
      <c r="J52" s="28">
        <v>1890</v>
      </c>
      <c r="K52" s="28">
        <v>1972</v>
      </c>
      <c r="L52" s="45">
        <v>904</v>
      </c>
      <c r="M52" s="28">
        <v>2465</v>
      </c>
      <c r="N52" s="28">
        <v>3944</v>
      </c>
      <c r="O52" s="28">
        <v>4930</v>
      </c>
      <c r="P52" s="28">
        <v>3451</v>
      </c>
      <c r="Q52" s="45">
        <v>5916</v>
      </c>
      <c r="R52" s="60">
        <v>2835</v>
      </c>
      <c r="S52" s="80">
        <f t="shared" si="1"/>
        <v>96129</v>
      </c>
      <c r="T52" s="6"/>
      <c r="U52" s="6"/>
      <c r="V52" s="6"/>
      <c r="W52" s="6"/>
      <c r="X52" s="6"/>
      <c r="Y52" s="6"/>
      <c r="Z52" s="6"/>
    </row>
    <row r="53" spans="1:26" ht="14.25" thickBot="1" x14ac:dyDescent="0.2">
      <c r="A53" s="30" t="s">
        <v>54</v>
      </c>
      <c r="B53" s="31">
        <v>4930</v>
      </c>
      <c r="C53" s="31">
        <v>31630</v>
      </c>
      <c r="D53" s="31">
        <v>1541</v>
      </c>
      <c r="E53" s="31">
        <v>9859</v>
      </c>
      <c r="F53" s="31">
        <v>2465</v>
      </c>
      <c r="G53" s="46">
        <v>4067</v>
      </c>
      <c r="H53" s="31">
        <v>2465</v>
      </c>
      <c r="I53" s="31">
        <v>10865</v>
      </c>
      <c r="J53" s="31">
        <v>1890</v>
      </c>
      <c r="K53" s="31">
        <v>1972</v>
      </c>
      <c r="L53" s="46">
        <v>904</v>
      </c>
      <c r="M53" s="31">
        <v>2465</v>
      </c>
      <c r="N53" s="31">
        <v>3944</v>
      </c>
      <c r="O53" s="31">
        <v>4930</v>
      </c>
      <c r="P53" s="31">
        <v>3451</v>
      </c>
      <c r="Q53" s="46">
        <v>5916</v>
      </c>
      <c r="R53" s="61">
        <v>2835</v>
      </c>
      <c r="S53" s="81">
        <f t="shared" si="1"/>
        <v>96129</v>
      </c>
    </row>
    <row r="54" spans="1:26" ht="14.25" thickBot="1" x14ac:dyDescent="0.2">
      <c r="A54" s="32" t="s">
        <v>55</v>
      </c>
      <c r="B54" s="33">
        <v>370428</v>
      </c>
      <c r="C54" s="33">
        <v>326738</v>
      </c>
      <c r="D54" s="33">
        <v>247018</v>
      </c>
      <c r="E54" s="33">
        <v>308151</v>
      </c>
      <c r="F54" s="33">
        <v>328177</v>
      </c>
      <c r="G54" s="47">
        <v>370281</v>
      </c>
      <c r="H54" s="33">
        <v>403664</v>
      </c>
      <c r="I54" s="33">
        <v>422632</v>
      </c>
      <c r="J54" s="33">
        <v>399941</v>
      </c>
      <c r="K54" s="33">
        <v>331006</v>
      </c>
      <c r="L54" s="47">
        <v>314017</v>
      </c>
      <c r="M54" s="33">
        <v>312383</v>
      </c>
      <c r="N54" s="33">
        <v>345032</v>
      </c>
      <c r="O54" s="33">
        <v>335168</v>
      </c>
      <c r="P54" s="33">
        <v>361290</v>
      </c>
      <c r="Q54" s="47">
        <v>298544</v>
      </c>
      <c r="R54" s="62">
        <v>337825</v>
      </c>
      <c r="S54" s="82">
        <f t="shared" si="1"/>
        <v>5812295</v>
      </c>
    </row>
    <row r="55" spans="1:26" x14ac:dyDescent="0.15">
      <c r="A55" s="27" t="s">
        <v>56</v>
      </c>
      <c r="B55" s="28">
        <v>16320</v>
      </c>
      <c r="C55" s="28">
        <v>12240</v>
      </c>
      <c r="D55" s="28">
        <v>13260</v>
      </c>
      <c r="E55" s="28">
        <v>15300</v>
      </c>
      <c r="F55" s="28">
        <v>16320</v>
      </c>
      <c r="G55" s="45">
        <v>17340</v>
      </c>
      <c r="H55" s="28">
        <v>19380</v>
      </c>
      <c r="I55" s="28">
        <v>17340</v>
      </c>
      <c r="J55" s="28">
        <v>19380</v>
      </c>
      <c r="K55" s="28">
        <v>16320</v>
      </c>
      <c r="L55" s="45">
        <v>15300</v>
      </c>
      <c r="M55" s="28">
        <v>15300</v>
      </c>
      <c r="N55" s="28">
        <v>16320</v>
      </c>
      <c r="O55" s="28">
        <v>14280</v>
      </c>
      <c r="P55" s="28">
        <v>16320</v>
      </c>
      <c r="Q55" s="45">
        <v>15300</v>
      </c>
      <c r="R55" s="60">
        <v>15300</v>
      </c>
      <c r="S55" s="80">
        <f t="shared" si="1"/>
        <v>271320</v>
      </c>
    </row>
    <row r="56" spans="1:26" x14ac:dyDescent="0.15">
      <c r="A56" s="14" t="s">
        <v>57</v>
      </c>
      <c r="B56" s="10">
        <v>2880</v>
      </c>
      <c r="C56" s="10">
        <v>2160</v>
      </c>
      <c r="D56" s="10">
        <v>0</v>
      </c>
      <c r="E56" s="10">
        <v>2700</v>
      </c>
      <c r="F56" s="10">
        <v>2880</v>
      </c>
      <c r="G56" s="43">
        <v>3060</v>
      </c>
      <c r="H56" s="10">
        <v>3420</v>
      </c>
      <c r="I56" s="10">
        <v>3060</v>
      </c>
      <c r="J56" s="10">
        <v>3420</v>
      </c>
      <c r="K56" s="10">
        <v>2880</v>
      </c>
      <c r="L56" s="43">
        <v>2700</v>
      </c>
      <c r="M56" s="10">
        <v>2700</v>
      </c>
      <c r="N56" s="10">
        <v>2880</v>
      </c>
      <c r="O56" s="10">
        <v>2520</v>
      </c>
      <c r="P56" s="10">
        <v>0</v>
      </c>
      <c r="Q56" s="43">
        <v>2700</v>
      </c>
      <c r="R56" s="58">
        <v>2700</v>
      </c>
      <c r="S56" s="78">
        <f t="shared" si="1"/>
        <v>42660</v>
      </c>
    </row>
    <row r="57" spans="1:26" x14ac:dyDescent="0.15">
      <c r="A57" s="14" t="s">
        <v>58</v>
      </c>
      <c r="B57" s="10">
        <v>29280</v>
      </c>
      <c r="C57" s="10">
        <v>21960</v>
      </c>
      <c r="D57" s="10">
        <v>23790</v>
      </c>
      <c r="E57" s="10">
        <v>27450</v>
      </c>
      <c r="F57" s="10">
        <v>29280</v>
      </c>
      <c r="G57" s="43">
        <v>31110</v>
      </c>
      <c r="H57" s="10">
        <v>34770</v>
      </c>
      <c r="I57" s="10">
        <v>31110</v>
      </c>
      <c r="J57" s="10">
        <v>34770</v>
      </c>
      <c r="K57" s="10">
        <v>29280</v>
      </c>
      <c r="L57" s="43">
        <v>27450</v>
      </c>
      <c r="M57" s="10">
        <v>27450</v>
      </c>
      <c r="N57" s="10">
        <v>29280</v>
      </c>
      <c r="O57" s="10">
        <v>25620</v>
      </c>
      <c r="P57" s="10">
        <v>29280</v>
      </c>
      <c r="Q57" s="43">
        <v>27450</v>
      </c>
      <c r="R57" s="58">
        <v>27450</v>
      </c>
      <c r="S57" s="78">
        <f t="shared" si="1"/>
        <v>486780</v>
      </c>
    </row>
    <row r="58" spans="1:26" x14ac:dyDescent="0.15">
      <c r="A58" s="14" t="s">
        <v>59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43">
        <v>0</v>
      </c>
      <c r="H58" s="10">
        <v>0</v>
      </c>
      <c r="I58" s="10">
        <v>0</v>
      </c>
      <c r="J58" s="10">
        <v>0</v>
      </c>
      <c r="K58" s="10">
        <v>0</v>
      </c>
      <c r="L58" s="43">
        <v>0</v>
      </c>
      <c r="M58" s="10">
        <v>0</v>
      </c>
      <c r="N58" s="10">
        <v>0</v>
      </c>
      <c r="O58" s="10">
        <v>0</v>
      </c>
      <c r="P58" s="10">
        <v>0</v>
      </c>
      <c r="Q58" s="43">
        <v>0</v>
      </c>
      <c r="R58" s="58">
        <v>0</v>
      </c>
      <c r="S58" s="78">
        <f t="shared" si="1"/>
        <v>0</v>
      </c>
    </row>
    <row r="59" spans="1:26" x14ac:dyDescent="0.15">
      <c r="A59" s="14" t="s">
        <v>60</v>
      </c>
      <c r="B59" s="10">
        <v>1111</v>
      </c>
      <c r="C59" s="10">
        <v>980</v>
      </c>
      <c r="D59" s="10">
        <v>741</v>
      </c>
      <c r="E59" s="10">
        <v>924</v>
      </c>
      <c r="F59" s="10">
        <v>985</v>
      </c>
      <c r="G59" s="43">
        <v>1111</v>
      </c>
      <c r="H59" s="10">
        <v>1211</v>
      </c>
      <c r="I59" s="10">
        <v>1268</v>
      </c>
      <c r="J59" s="10">
        <v>1200</v>
      </c>
      <c r="K59" s="10">
        <v>993</v>
      </c>
      <c r="L59" s="43">
        <v>942</v>
      </c>
      <c r="M59" s="10">
        <v>937</v>
      </c>
      <c r="N59" s="10">
        <v>1035</v>
      </c>
      <c r="O59" s="10">
        <v>1006</v>
      </c>
      <c r="P59" s="10">
        <v>1084</v>
      </c>
      <c r="Q59" s="43">
        <v>896</v>
      </c>
      <c r="R59" s="58">
        <v>1013</v>
      </c>
      <c r="S59" s="78">
        <f t="shared" si="1"/>
        <v>17437</v>
      </c>
    </row>
    <row r="60" spans="1:26" x14ac:dyDescent="0.15">
      <c r="A60" s="14" t="s">
        <v>61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43">
        <v>0</v>
      </c>
      <c r="H60" s="10">
        <v>0</v>
      </c>
      <c r="I60" s="10">
        <v>0</v>
      </c>
      <c r="J60" s="10">
        <v>0</v>
      </c>
      <c r="K60" s="10">
        <v>0</v>
      </c>
      <c r="L60" s="43">
        <v>0</v>
      </c>
      <c r="M60" s="10">
        <v>0</v>
      </c>
      <c r="N60" s="10">
        <v>0</v>
      </c>
      <c r="O60" s="10">
        <v>0</v>
      </c>
      <c r="P60" s="10">
        <v>0</v>
      </c>
      <c r="Q60" s="43">
        <v>0</v>
      </c>
      <c r="R60" s="58">
        <v>0</v>
      </c>
      <c r="S60" s="78">
        <f t="shared" si="1"/>
        <v>0</v>
      </c>
    </row>
    <row r="61" spans="1:26" ht="14.25" thickBot="1" x14ac:dyDescent="0.2">
      <c r="A61" s="30" t="s">
        <v>62</v>
      </c>
      <c r="B61" s="31">
        <v>49591</v>
      </c>
      <c r="C61" s="31">
        <v>37340</v>
      </c>
      <c r="D61" s="31">
        <v>37791</v>
      </c>
      <c r="E61" s="31">
        <v>46374</v>
      </c>
      <c r="F61" s="31">
        <v>49465</v>
      </c>
      <c r="G61" s="46">
        <v>52621</v>
      </c>
      <c r="H61" s="31">
        <v>58781</v>
      </c>
      <c r="I61" s="31">
        <v>52778</v>
      </c>
      <c r="J61" s="31">
        <v>58770</v>
      </c>
      <c r="K61" s="31">
        <v>49473</v>
      </c>
      <c r="L61" s="46">
        <v>46392</v>
      </c>
      <c r="M61" s="31">
        <v>46387</v>
      </c>
      <c r="N61" s="31">
        <v>49515</v>
      </c>
      <c r="O61" s="31">
        <v>43426</v>
      </c>
      <c r="P61" s="31">
        <v>46684</v>
      </c>
      <c r="Q61" s="46">
        <v>46346</v>
      </c>
      <c r="R61" s="61">
        <v>46463</v>
      </c>
      <c r="S61" s="81">
        <f t="shared" si="1"/>
        <v>818197</v>
      </c>
    </row>
    <row r="62" spans="1:26" ht="14.25" thickBot="1" x14ac:dyDescent="0.2">
      <c r="A62" s="32" t="s">
        <v>63</v>
      </c>
      <c r="B62" s="33">
        <v>315907</v>
      </c>
      <c r="C62" s="33">
        <v>257768</v>
      </c>
      <c r="D62" s="33">
        <v>207686</v>
      </c>
      <c r="E62" s="33">
        <v>251918</v>
      </c>
      <c r="F62" s="33">
        <v>276247</v>
      </c>
      <c r="G62" s="47">
        <v>313593</v>
      </c>
      <c r="H62" s="33">
        <v>342418</v>
      </c>
      <c r="I62" s="33">
        <v>358989</v>
      </c>
      <c r="J62" s="33">
        <v>339281</v>
      </c>
      <c r="K62" s="33">
        <v>279561</v>
      </c>
      <c r="L62" s="47">
        <v>266721</v>
      </c>
      <c r="M62" s="33">
        <v>263531</v>
      </c>
      <c r="N62" s="33">
        <v>291573</v>
      </c>
      <c r="O62" s="33">
        <v>286812</v>
      </c>
      <c r="P62" s="33">
        <v>311155</v>
      </c>
      <c r="Q62" s="47">
        <v>246282</v>
      </c>
      <c r="R62" s="62">
        <v>288527</v>
      </c>
      <c r="S62" s="82">
        <f t="shared" si="1"/>
        <v>4897969</v>
      </c>
    </row>
    <row r="63" spans="1:26" x14ac:dyDescent="0.15">
      <c r="A63" s="27" t="s">
        <v>64</v>
      </c>
      <c r="B63" s="28">
        <v>4140</v>
      </c>
      <c r="C63" s="28">
        <v>6830</v>
      </c>
      <c r="D63" s="28">
        <v>3420</v>
      </c>
      <c r="E63" s="28">
        <v>5000</v>
      </c>
      <c r="F63" s="28">
        <v>7490</v>
      </c>
      <c r="G63" s="45">
        <v>7280</v>
      </c>
      <c r="H63" s="28">
        <v>11840</v>
      </c>
      <c r="I63" s="28">
        <v>9970</v>
      </c>
      <c r="J63" s="28">
        <v>11590</v>
      </c>
      <c r="K63" s="28">
        <v>7610</v>
      </c>
      <c r="L63" s="45">
        <v>5530</v>
      </c>
      <c r="M63" s="28">
        <v>7030</v>
      </c>
      <c r="N63" s="28">
        <v>8040</v>
      </c>
      <c r="O63" s="28">
        <v>7870</v>
      </c>
      <c r="P63" s="28">
        <v>9290</v>
      </c>
      <c r="Q63" s="45">
        <v>6420</v>
      </c>
      <c r="R63" s="60">
        <v>7930</v>
      </c>
      <c r="S63" s="80">
        <f t="shared" si="1"/>
        <v>127280</v>
      </c>
    </row>
    <row r="64" spans="1:26" x14ac:dyDescent="0.15">
      <c r="A64" s="14" t="s">
        <v>65</v>
      </c>
      <c r="B64" s="10">
        <v>1300</v>
      </c>
      <c r="C64" s="10">
        <v>0</v>
      </c>
      <c r="D64" s="10">
        <v>0</v>
      </c>
      <c r="E64" s="10">
        <v>1300</v>
      </c>
      <c r="F64" s="10">
        <v>1300</v>
      </c>
      <c r="G64" s="43">
        <v>1300</v>
      </c>
      <c r="H64" s="10">
        <v>0</v>
      </c>
      <c r="I64" s="10">
        <v>1300</v>
      </c>
      <c r="J64" s="10">
        <v>1300</v>
      </c>
      <c r="K64" s="10">
        <v>1300</v>
      </c>
      <c r="L64" s="43">
        <v>1300</v>
      </c>
      <c r="M64" s="10">
        <v>1300</v>
      </c>
      <c r="N64" s="10">
        <v>1300</v>
      </c>
      <c r="O64" s="10">
        <v>0</v>
      </c>
      <c r="P64" s="10">
        <v>0</v>
      </c>
      <c r="Q64" s="43">
        <v>1300</v>
      </c>
      <c r="R64" s="58">
        <v>1300</v>
      </c>
      <c r="S64" s="78">
        <f t="shared" si="1"/>
        <v>15600</v>
      </c>
    </row>
    <row r="65" spans="1:19" x14ac:dyDescent="0.15">
      <c r="A65" s="14" t="s">
        <v>66</v>
      </c>
      <c r="B65" s="10">
        <v>2400</v>
      </c>
      <c r="C65" s="10">
        <v>0</v>
      </c>
      <c r="D65" s="10">
        <v>0</v>
      </c>
      <c r="E65" s="10">
        <v>8100</v>
      </c>
      <c r="F65" s="10">
        <v>14700</v>
      </c>
      <c r="G65" s="43">
        <v>13700</v>
      </c>
      <c r="H65" s="10">
        <v>16600</v>
      </c>
      <c r="I65" s="10">
        <v>13400</v>
      </c>
      <c r="J65" s="10">
        <v>17300</v>
      </c>
      <c r="K65" s="10">
        <v>13600</v>
      </c>
      <c r="L65" s="43">
        <v>8100</v>
      </c>
      <c r="M65" s="10">
        <v>13300</v>
      </c>
      <c r="N65" s="10">
        <v>9200</v>
      </c>
      <c r="O65" s="10">
        <v>9600</v>
      </c>
      <c r="P65" s="10">
        <v>13700</v>
      </c>
      <c r="Q65" s="43">
        <v>12300</v>
      </c>
      <c r="R65" s="58">
        <v>11200</v>
      </c>
      <c r="S65" s="78">
        <f t="shared" si="1"/>
        <v>177200</v>
      </c>
    </row>
    <row r="66" spans="1:19" x14ac:dyDescent="0.15">
      <c r="A66" s="14" t="s">
        <v>67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43">
        <v>0</v>
      </c>
      <c r="H66" s="10">
        <v>10000</v>
      </c>
      <c r="I66" s="10">
        <v>0</v>
      </c>
      <c r="J66" s="10">
        <v>0</v>
      </c>
      <c r="K66" s="10">
        <v>0</v>
      </c>
      <c r="L66" s="43">
        <v>0</v>
      </c>
      <c r="M66" s="10">
        <v>0</v>
      </c>
      <c r="N66" s="10">
        <v>0</v>
      </c>
      <c r="O66" s="10">
        <v>0</v>
      </c>
      <c r="P66" s="10">
        <v>0</v>
      </c>
      <c r="Q66" s="43">
        <v>0</v>
      </c>
      <c r="R66" s="58">
        <v>0</v>
      </c>
      <c r="S66" s="78">
        <f t="shared" si="1"/>
        <v>10000</v>
      </c>
    </row>
    <row r="67" spans="1:19" x14ac:dyDescent="0.15">
      <c r="A67" s="14" t="s">
        <v>68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43">
        <v>0</v>
      </c>
      <c r="H67" s="10">
        <v>0</v>
      </c>
      <c r="I67" s="10">
        <v>0</v>
      </c>
      <c r="J67" s="10">
        <v>0</v>
      </c>
      <c r="K67" s="10">
        <v>0</v>
      </c>
      <c r="L67" s="43">
        <v>0</v>
      </c>
      <c r="M67" s="10">
        <v>0</v>
      </c>
      <c r="N67" s="10">
        <v>0</v>
      </c>
      <c r="O67" s="10">
        <v>0</v>
      </c>
      <c r="P67" s="10">
        <v>0</v>
      </c>
      <c r="Q67" s="43">
        <v>0</v>
      </c>
      <c r="R67" s="58">
        <v>0</v>
      </c>
      <c r="S67" s="78">
        <f t="shared" si="1"/>
        <v>0</v>
      </c>
    </row>
    <row r="68" spans="1:19" x14ac:dyDescent="0.15">
      <c r="A68" s="14" t="s">
        <v>69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43">
        <v>0</v>
      </c>
      <c r="H68" s="10">
        <v>0</v>
      </c>
      <c r="I68" s="10">
        <v>0</v>
      </c>
      <c r="J68" s="10">
        <v>0</v>
      </c>
      <c r="K68" s="10">
        <v>0</v>
      </c>
      <c r="L68" s="43">
        <v>0</v>
      </c>
      <c r="M68" s="10">
        <v>0</v>
      </c>
      <c r="N68" s="10">
        <v>0</v>
      </c>
      <c r="O68" s="10">
        <v>0</v>
      </c>
      <c r="P68" s="10">
        <v>0</v>
      </c>
      <c r="Q68" s="43">
        <v>0</v>
      </c>
      <c r="R68" s="58">
        <v>0</v>
      </c>
      <c r="S68" s="78">
        <f t="shared" si="1"/>
        <v>0</v>
      </c>
    </row>
    <row r="69" spans="1:19" ht="14.25" thickBot="1" x14ac:dyDescent="0.2">
      <c r="A69" s="30" t="s">
        <v>70</v>
      </c>
      <c r="B69" s="31">
        <v>7840</v>
      </c>
      <c r="C69" s="31">
        <v>6830</v>
      </c>
      <c r="D69" s="31">
        <v>3420</v>
      </c>
      <c r="E69" s="31">
        <v>14400</v>
      </c>
      <c r="F69" s="31">
        <v>23490</v>
      </c>
      <c r="G69" s="46">
        <v>22280</v>
      </c>
      <c r="H69" s="31">
        <v>38440</v>
      </c>
      <c r="I69" s="31">
        <v>24670</v>
      </c>
      <c r="J69" s="31">
        <v>30190</v>
      </c>
      <c r="K69" s="31">
        <v>22510</v>
      </c>
      <c r="L69" s="46">
        <v>14930</v>
      </c>
      <c r="M69" s="31">
        <v>21630</v>
      </c>
      <c r="N69" s="31">
        <v>18540</v>
      </c>
      <c r="O69" s="31">
        <v>17470</v>
      </c>
      <c r="P69" s="31">
        <v>22990</v>
      </c>
      <c r="Q69" s="46">
        <v>20020</v>
      </c>
      <c r="R69" s="61">
        <v>20430</v>
      </c>
      <c r="S69" s="81">
        <f t="shared" si="1"/>
        <v>330080</v>
      </c>
    </row>
    <row r="70" spans="1:19" ht="14.25" thickBot="1" x14ac:dyDescent="0.2">
      <c r="A70" s="32" t="s">
        <v>71</v>
      </c>
      <c r="B70" s="33">
        <v>57431</v>
      </c>
      <c r="C70" s="33">
        <v>44170</v>
      </c>
      <c r="D70" s="33">
        <v>41211</v>
      </c>
      <c r="E70" s="33">
        <v>60774</v>
      </c>
      <c r="F70" s="33">
        <v>72955</v>
      </c>
      <c r="G70" s="47">
        <v>74901</v>
      </c>
      <c r="H70" s="33">
        <v>97221</v>
      </c>
      <c r="I70" s="33">
        <v>77448</v>
      </c>
      <c r="J70" s="33">
        <v>88960</v>
      </c>
      <c r="K70" s="33">
        <v>71983</v>
      </c>
      <c r="L70" s="47">
        <v>61322</v>
      </c>
      <c r="M70" s="33">
        <v>68017</v>
      </c>
      <c r="N70" s="33">
        <v>68055</v>
      </c>
      <c r="O70" s="33">
        <v>60896</v>
      </c>
      <c r="P70" s="33">
        <v>69674</v>
      </c>
      <c r="Q70" s="47">
        <v>66366</v>
      </c>
      <c r="R70" s="62">
        <v>66893</v>
      </c>
      <c r="S70" s="82">
        <f t="shared" si="1"/>
        <v>1148277</v>
      </c>
    </row>
    <row r="71" spans="1:19" ht="14.25" thickBot="1" x14ac:dyDescent="0.2">
      <c r="A71" s="32" t="s">
        <v>72</v>
      </c>
      <c r="B71" s="33">
        <v>312997</v>
      </c>
      <c r="C71" s="33">
        <v>282568</v>
      </c>
      <c r="D71" s="33">
        <v>205807</v>
      </c>
      <c r="E71" s="33">
        <v>247377</v>
      </c>
      <c r="F71" s="33">
        <v>255222</v>
      </c>
      <c r="G71" s="47">
        <v>295380</v>
      </c>
      <c r="H71" s="33">
        <v>306443</v>
      </c>
      <c r="I71" s="33">
        <v>345184</v>
      </c>
      <c r="J71" s="33">
        <v>310981</v>
      </c>
      <c r="K71" s="33">
        <v>259023</v>
      </c>
      <c r="L71" s="47">
        <v>252695</v>
      </c>
      <c r="M71" s="33">
        <v>244366</v>
      </c>
      <c r="N71" s="33">
        <v>276977</v>
      </c>
      <c r="O71" s="33">
        <v>274272</v>
      </c>
      <c r="P71" s="33">
        <v>291616</v>
      </c>
      <c r="Q71" s="47">
        <v>232178</v>
      </c>
      <c r="R71" s="62">
        <v>270932</v>
      </c>
      <c r="S71" s="82">
        <f t="shared" si="1"/>
        <v>4664018</v>
      </c>
    </row>
    <row r="72" spans="1:19" x14ac:dyDescent="0.15">
      <c r="A72" s="27" t="s">
        <v>73</v>
      </c>
      <c r="B72" s="28">
        <v>0</v>
      </c>
      <c r="C72" s="28">
        <v>0</v>
      </c>
      <c r="D72" s="28">
        <v>0</v>
      </c>
      <c r="E72" s="28">
        <v>0</v>
      </c>
      <c r="F72" s="28">
        <v>0</v>
      </c>
      <c r="G72" s="45">
        <v>0</v>
      </c>
      <c r="H72" s="28">
        <v>0</v>
      </c>
      <c r="I72" s="28">
        <v>0</v>
      </c>
      <c r="J72" s="28">
        <v>0</v>
      </c>
      <c r="K72" s="28">
        <v>0</v>
      </c>
      <c r="L72" s="45">
        <v>0</v>
      </c>
      <c r="M72" s="28">
        <v>0</v>
      </c>
      <c r="N72" s="28">
        <v>0</v>
      </c>
      <c r="O72" s="28">
        <v>0</v>
      </c>
      <c r="P72" s="28">
        <v>0</v>
      </c>
      <c r="Q72" s="45">
        <v>0</v>
      </c>
      <c r="R72" s="60">
        <v>0</v>
      </c>
      <c r="S72" s="80">
        <f t="shared" si="1"/>
        <v>0</v>
      </c>
    </row>
    <row r="73" spans="1:19" x14ac:dyDescent="0.15">
      <c r="A73" s="14" t="s">
        <v>74</v>
      </c>
      <c r="B73" s="10">
        <v>312997</v>
      </c>
      <c r="C73" s="10">
        <v>282568</v>
      </c>
      <c r="D73" s="10">
        <v>205807</v>
      </c>
      <c r="E73" s="10">
        <v>247377</v>
      </c>
      <c r="F73" s="10">
        <v>255222</v>
      </c>
      <c r="G73" s="43">
        <v>295380</v>
      </c>
      <c r="H73" s="10">
        <v>306443</v>
      </c>
      <c r="I73" s="10">
        <v>345184</v>
      </c>
      <c r="J73" s="10">
        <v>310981</v>
      </c>
      <c r="K73" s="10">
        <v>259023</v>
      </c>
      <c r="L73" s="43">
        <v>252695</v>
      </c>
      <c r="M73" s="10">
        <v>244366</v>
      </c>
      <c r="N73" s="10">
        <v>276977</v>
      </c>
      <c r="O73" s="10">
        <v>274272</v>
      </c>
      <c r="P73" s="10">
        <v>291616</v>
      </c>
      <c r="Q73" s="43">
        <v>232178</v>
      </c>
      <c r="R73" s="58">
        <v>270932</v>
      </c>
      <c r="S73" s="78">
        <f t="shared" si="1"/>
        <v>4664018</v>
      </c>
    </row>
    <row r="74" spans="1:19" x14ac:dyDescent="0.15">
      <c r="A74" s="14" t="s">
        <v>75</v>
      </c>
      <c r="B74" s="11">
        <v>11</v>
      </c>
      <c r="C74" s="11">
        <v>8</v>
      </c>
      <c r="D74" s="11"/>
      <c r="E74" s="11">
        <v>30</v>
      </c>
      <c r="F74" s="11">
        <v>29</v>
      </c>
      <c r="G74" s="48">
        <v>35</v>
      </c>
      <c r="H74" s="11">
        <v>33</v>
      </c>
      <c r="I74" s="11">
        <v>24</v>
      </c>
      <c r="J74" s="11">
        <v>29</v>
      </c>
      <c r="K74" s="11">
        <v>32</v>
      </c>
      <c r="L74" s="48">
        <v>33</v>
      </c>
      <c r="M74" s="11">
        <v>14</v>
      </c>
      <c r="N74" s="11">
        <v>29</v>
      </c>
      <c r="O74" s="11">
        <v>5</v>
      </c>
      <c r="P74" s="11">
        <v>11</v>
      </c>
      <c r="Q74" s="48">
        <v>17</v>
      </c>
      <c r="R74" s="63">
        <v>8</v>
      </c>
      <c r="S74" s="83"/>
    </row>
    <row r="75" spans="1:19" x14ac:dyDescent="0.15">
      <c r="A75" s="14" t="s">
        <v>76</v>
      </c>
      <c r="B75" s="12">
        <v>3</v>
      </c>
      <c r="C75" s="12"/>
      <c r="D75" s="12">
        <v>1</v>
      </c>
      <c r="E75" s="12">
        <v>1</v>
      </c>
      <c r="F75" s="12"/>
      <c r="G75" s="49">
        <v>1</v>
      </c>
      <c r="H75" s="12"/>
      <c r="I75" s="12">
        <v>1</v>
      </c>
      <c r="J75" s="12"/>
      <c r="K75" s="12"/>
      <c r="L75" s="49">
        <v>1</v>
      </c>
      <c r="M75" s="12"/>
      <c r="N75" s="12"/>
      <c r="O75" s="12"/>
      <c r="P75" s="12"/>
      <c r="Q75" s="49"/>
      <c r="R75" s="64"/>
      <c r="S75" s="84"/>
    </row>
    <row r="76" spans="1:19" ht="14.25" thickBot="1" x14ac:dyDescent="0.2">
      <c r="A76" s="15" t="s">
        <v>77</v>
      </c>
      <c r="B76" s="16" t="s">
        <v>78</v>
      </c>
      <c r="C76" s="16" t="s">
        <v>78</v>
      </c>
      <c r="D76" s="16" t="s">
        <v>78</v>
      </c>
      <c r="E76" s="16" t="s">
        <v>78</v>
      </c>
      <c r="F76" s="16" t="s">
        <v>78</v>
      </c>
      <c r="G76" s="50" t="s">
        <v>78</v>
      </c>
      <c r="H76" s="16" t="s">
        <v>78</v>
      </c>
      <c r="I76" s="16" t="s">
        <v>78</v>
      </c>
      <c r="J76" s="16" t="s">
        <v>78</v>
      </c>
      <c r="K76" s="16" t="s">
        <v>78</v>
      </c>
      <c r="L76" s="50" t="s">
        <v>78</v>
      </c>
      <c r="M76" s="16" t="s">
        <v>78</v>
      </c>
      <c r="N76" s="16" t="s">
        <v>78</v>
      </c>
      <c r="O76" s="16" t="s">
        <v>78</v>
      </c>
      <c r="P76" s="16" t="s">
        <v>78</v>
      </c>
      <c r="Q76" s="50" t="s">
        <v>78</v>
      </c>
      <c r="R76" s="65" t="s">
        <v>78</v>
      </c>
      <c r="S76" s="85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0F87-FA83-4433-AADE-2FC098444A99}">
  <sheetPr>
    <pageSetUpPr fitToPage="1"/>
  </sheetPr>
  <dimension ref="A1:AS76"/>
  <sheetViews>
    <sheetView tabSelected="1" zoomScale="80" zoomScaleNormal="8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F36" sqref="F36"/>
    </sheetView>
  </sheetViews>
  <sheetFormatPr defaultRowHeight="13.5" x14ac:dyDescent="0.15"/>
  <cols>
    <col min="1" max="1" width="17.625" style="2" customWidth="1"/>
    <col min="2" max="3" width="10.625" style="2" customWidth="1"/>
    <col min="4" max="19" width="11.125" style="2" customWidth="1"/>
    <col min="20" max="26" width="10.5" style="2" customWidth="1"/>
    <col min="27" max="16384" width="9" style="2"/>
  </cols>
  <sheetData>
    <row r="1" spans="1:45" x14ac:dyDescent="0.1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15">
      <c r="A3" s="18" t="s">
        <v>0</v>
      </c>
      <c r="B3" s="19" t="s">
        <v>6</v>
      </c>
      <c r="C3" s="19" t="s">
        <v>6</v>
      </c>
      <c r="D3" s="19" t="s">
        <v>6</v>
      </c>
      <c r="E3" s="19" t="s">
        <v>6</v>
      </c>
      <c r="F3" s="19" t="s">
        <v>6</v>
      </c>
      <c r="G3" s="35" t="s">
        <v>6</v>
      </c>
      <c r="H3" s="19" t="s">
        <v>6</v>
      </c>
      <c r="I3" s="19" t="s">
        <v>6</v>
      </c>
      <c r="J3" s="19" t="s">
        <v>6</v>
      </c>
      <c r="K3" s="19" t="s">
        <v>6</v>
      </c>
      <c r="L3" s="35" t="s">
        <v>6</v>
      </c>
      <c r="M3" s="19" t="s">
        <v>6</v>
      </c>
      <c r="N3" s="19" t="s">
        <v>6</v>
      </c>
      <c r="O3" s="19" t="s">
        <v>6</v>
      </c>
      <c r="P3" s="19" t="s">
        <v>6</v>
      </c>
      <c r="Q3" s="35" t="s">
        <v>6</v>
      </c>
      <c r="R3" s="52" t="s">
        <v>6</v>
      </c>
      <c r="S3" s="69" t="s">
        <v>104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15">
      <c r="A4" s="20"/>
      <c r="B4" s="21">
        <v>1087</v>
      </c>
      <c r="C4" s="21">
        <v>1088</v>
      </c>
      <c r="D4" s="21">
        <v>1095</v>
      </c>
      <c r="E4" s="21">
        <v>1006</v>
      </c>
      <c r="F4" s="21">
        <v>1007</v>
      </c>
      <c r="G4" s="36">
        <v>1015</v>
      </c>
      <c r="H4" s="21">
        <v>1017</v>
      </c>
      <c r="I4" s="21">
        <v>1021</v>
      </c>
      <c r="J4" s="21">
        <v>1022</v>
      </c>
      <c r="K4" s="21">
        <v>1034</v>
      </c>
      <c r="L4" s="36">
        <v>1035</v>
      </c>
      <c r="M4" s="21">
        <v>1039</v>
      </c>
      <c r="N4" s="21">
        <v>1047</v>
      </c>
      <c r="O4" s="21">
        <v>1058</v>
      </c>
      <c r="P4" s="21">
        <v>1065</v>
      </c>
      <c r="Q4" s="36">
        <v>1077</v>
      </c>
      <c r="R4" s="53">
        <v>1080</v>
      </c>
      <c r="S4" s="7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4.25" thickBot="1" x14ac:dyDescent="0.2">
      <c r="A5" s="20" t="s">
        <v>1</v>
      </c>
      <c r="B5" s="21" t="s">
        <v>7</v>
      </c>
      <c r="C5" s="21" t="s">
        <v>25</v>
      </c>
      <c r="D5" s="21" t="s">
        <v>26</v>
      </c>
      <c r="E5" s="21" t="s">
        <v>27</v>
      </c>
      <c r="F5" s="21" t="s">
        <v>28</v>
      </c>
      <c r="G5" s="36" t="s">
        <v>79</v>
      </c>
      <c r="H5" s="21" t="s">
        <v>80</v>
      </c>
      <c r="I5" s="21" t="s">
        <v>81</v>
      </c>
      <c r="J5" s="21" t="s">
        <v>82</v>
      </c>
      <c r="K5" s="21" t="s">
        <v>83</v>
      </c>
      <c r="L5" s="36" t="s">
        <v>84</v>
      </c>
      <c r="M5" s="21" t="s">
        <v>85</v>
      </c>
      <c r="N5" s="21" t="s">
        <v>86</v>
      </c>
      <c r="O5" s="21" t="s">
        <v>87</v>
      </c>
      <c r="P5" s="21" t="s">
        <v>88</v>
      </c>
      <c r="Q5" s="36" t="s">
        <v>89</v>
      </c>
      <c r="R5" s="53" t="s">
        <v>90</v>
      </c>
      <c r="S5" s="71" t="s">
        <v>105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15">
      <c r="A6" s="22" t="s">
        <v>8</v>
      </c>
      <c r="B6" s="23">
        <v>18</v>
      </c>
      <c r="C6" s="23">
        <v>17</v>
      </c>
      <c r="D6" s="23">
        <v>14</v>
      </c>
      <c r="E6" s="23">
        <v>18</v>
      </c>
      <c r="F6" s="23">
        <v>18</v>
      </c>
      <c r="G6" s="37">
        <v>17</v>
      </c>
      <c r="H6" s="23">
        <v>18</v>
      </c>
      <c r="I6" s="23">
        <v>17</v>
      </c>
      <c r="J6" s="23">
        <v>18</v>
      </c>
      <c r="K6" s="23">
        <v>18</v>
      </c>
      <c r="L6" s="37">
        <v>16</v>
      </c>
      <c r="M6" s="23">
        <v>18</v>
      </c>
      <c r="N6" s="23">
        <v>18</v>
      </c>
      <c r="O6" s="23">
        <v>17</v>
      </c>
      <c r="P6" s="23">
        <v>15</v>
      </c>
      <c r="Q6" s="37">
        <v>18</v>
      </c>
      <c r="R6" s="54">
        <v>17</v>
      </c>
      <c r="S6" s="72">
        <f>SUM(B6:R6)</f>
        <v>292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15">
      <c r="A7" s="13" t="s">
        <v>9</v>
      </c>
      <c r="B7" s="7">
        <v>3</v>
      </c>
      <c r="C7" s="7">
        <v>2</v>
      </c>
      <c r="D7" s="7">
        <v>1</v>
      </c>
      <c r="E7" s="7">
        <v>1</v>
      </c>
      <c r="F7" s="7">
        <v>4</v>
      </c>
      <c r="G7" s="38">
        <v>3</v>
      </c>
      <c r="H7" s="7">
        <v>2</v>
      </c>
      <c r="I7" s="7">
        <v>3</v>
      </c>
      <c r="J7" s="7">
        <v>4</v>
      </c>
      <c r="K7" s="7">
        <v>4</v>
      </c>
      <c r="L7" s="38">
        <v>4</v>
      </c>
      <c r="M7" s="7">
        <v>3</v>
      </c>
      <c r="N7" s="7">
        <v>3</v>
      </c>
      <c r="O7" s="7">
        <v>3</v>
      </c>
      <c r="P7" s="7">
        <v>4</v>
      </c>
      <c r="Q7" s="38">
        <v>4</v>
      </c>
      <c r="R7" s="66">
        <v>3</v>
      </c>
      <c r="S7" s="73">
        <f>SUM(B7:R7)</f>
        <v>51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15">
      <c r="A8" s="13" t="s">
        <v>10</v>
      </c>
      <c r="B8" s="7">
        <v>3</v>
      </c>
      <c r="C8" s="7">
        <v>2</v>
      </c>
      <c r="D8" s="8"/>
      <c r="E8" s="7">
        <v>5</v>
      </c>
      <c r="F8" s="7">
        <v>2</v>
      </c>
      <c r="G8" s="38">
        <v>2</v>
      </c>
      <c r="H8" s="7">
        <v>4</v>
      </c>
      <c r="I8" s="7">
        <v>3</v>
      </c>
      <c r="J8" s="7">
        <v>1</v>
      </c>
      <c r="K8" s="7">
        <v>2</v>
      </c>
      <c r="L8" s="38">
        <v>2</v>
      </c>
      <c r="M8" s="7">
        <v>3</v>
      </c>
      <c r="N8" s="7">
        <v>3</v>
      </c>
      <c r="O8" s="7">
        <v>4</v>
      </c>
      <c r="P8" s="7">
        <v>5</v>
      </c>
      <c r="Q8" s="38">
        <v>2</v>
      </c>
      <c r="R8" s="66">
        <v>3</v>
      </c>
      <c r="S8" s="73">
        <f>SUM(B8:R8)</f>
        <v>46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15">
      <c r="A9" s="13" t="s">
        <v>11</v>
      </c>
      <c r="B9" s="8"/>
      <c r="C9" s="8"/>
      <c r="D9" s="8"/>
      <c r="E9" s="8"/>
      <c r="F9" s="8"/>
      <c r="G9" s="39"/>
      <c r="H9" s="8"/>
      <c r="I9" s="8"/>
      <c r="J9" s="8"/>
      <c r="K9" s="8"/>
      <c r="L9" s="39"/>
      <c r="M9" s="8"/>
      <c r="N9" s="8"/>
      <c r="O9" s="8"/>
      <c r="P9" s="8"/>
      <c r="Q9" s="39"/>
      <c r="R9" s="55"/>
      <c r="S9" s="74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15">
      <c r="A10" s="13" t="s">
        <v>12</v>
      </c>
      <c r="B10" s="8"/>
      <c r="C10" s="8"/>
      <c r="D10" s="8"/>
      <c r="E10" s="8"/>
      <c r="F10" s="8"/>
      <c r="G10" s="39"/>
      <c r="H10" s="8"/>
      <c r="I10" s="8"/>
      <c r="J10" s="8"/>
      <c r="K10" s="8"/>
      <c r="L10" s="39"/>
      <c r="M10" s="8"/>
      <c r="N10" s="8"/>
      <c r="O10" s="8"/>
      <c r="P10" s="8"/>
      <c r="Q10" s="39"/>
      <c r="R10" s="55"/>
      <c r="S10" s="74"/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15">
      <c r="A11" s="13" t="s">
        <v>13</v>
      </c>
      <c r="B11" s="8"/>
      <c r="C11" s="8"/>
      <c r="D11" s="8"/>
      <c r="E11" s="8"/>
      <c r="F11" s="8"/>
      <c r="G11" s="39"/>
      <c r="H11" s="8"/>
      <c r="I11" s="8"/>
      <c r="J11" s="8"/>
      <c r="K11" s="8"/>
      <c r="L11" s="39"/>
      <c r="M11" s="8"/>
      <c r="N11" s="8"/>
      <c r="O11" s="8"/>
      <c r="P11" s="8"/>
      <c r="Q11" s="39"/>
      <c r="R11" s="55"/>
      <c r="S11" s="74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15">
      <c r="A12" s="13" t="s">
        <v>14</v>
      </c>
      <c r="B12" s="8"/>
      <c r="C12" s="7">
        <v>1</v>
      </c>
      <c r="D12" s="7">
        <v>4</v>
      </c>
      <c r="E12" s="8"/>
      <c r="F12" s="8"/>
      <c r="G12" s="38">
        <v>1</v>
      </c>
      <c r="H12" s="8"/>
      <c r="I12" s="7">
        <v>1</v>
      </c>
      <c r="J12" s="8"/>
      <c r="K12" s="8"/>
      <c r="L12" s="38">
        <v>2</v>
      </c>
      <c r="M12" s="8"/>
      <c r="N12" s="8"/>
      <c r="O12" s="7">
        <v>1</v>
      </c>
      <c r="P12" s="7">
        <v>3</v>
      </c>
      <c r="Q12" s="39"/>
      <c r="R12" s="66">
        <v>1</v>
      </c>
      <c r="S12" s="73">
        <f>SUM(B12:R12)</f>
        <v>14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15">
      <c r="A13" s="13" t="s">
        <v>15</v>
      </c>
      <c r="B13" s="8"/>
      <c r="C13" s="8"/>
      <c r="D13" s="8"/>
      <c r="E13" s="8"/>
      <c r="F13" s="8"/>
      <c r="G13" s="39"/>
      <c r="H13" s="8"/>
      <c r="I13" s="8"/>
      <c r="J13" s="8"/>
      <c r="K13" s="8"/>
      <c r="L13" s="39"/>
      <c r="M13" s="8"/>
      <c r="N13" s="8"/>
      <c r="O13" s="8"/>
      <c r="P13" s="8"/>
      <c r="Q13" s="39"/>
      <c r="R13" s="55"/>
      <c r="S13" s="74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15">
      <c r="A14" s="13" t="s">
        <v>16</v>
      </c>
      <c r="B14" s="9">
        <v>3.375</v>
      </c>
      <c r="C14" s="9">
        <v>1.9166666666666667</v>
      </c>
      <c r="D14" s="9">
        <v>1.5</v>
      </c>
      <c r="E14" s="9">
        <v>1.2916666666666667</v>
      </c>
      <c r="F14" s="9">
        <v>1.7916666666666667</v>
      </c>
      <c r="G14" s="40">
        <v>1.875</v>
      </c>
      <c r="H14" s="9">
        <v>2.7083333333333335</v>
      </c>
      <c r="I14" s="9">
        <v>1.9166666666666667</v>
      </c>
      <c r="J14" s="9">
        <v>3.3333333333333335</v>
      </c>
      <c r="K14" s="9">
        <v>2.5833333333333335</v>
      </c>
      <c r="L14" s="40">
        <v>1.9583333333333333</v>
      </c>
      <c r="M14" s="9">
        <v>1.9166666666666667</v>
      </c>
      <c r="N14" s="9">
        <v>2.5</v>
      </c>
      <c r="O14" s="9">
        <v>1.8333333333333333</v>
      </c>
      <c r="P14" s="9">
        <v>1.9583333333333333</v>
      </c>
      <c r="Q14" s="40">
        <v>1.875</v>
      </c>
      <c r="R14" s="67">
        <v>2.0833333333333335</v>
      </c>
      <c r="S14" s="75">
        <f>SUM(B14:R14)</f>
        <v>36.416666666666664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15">
      <c r="A15" s="13" t="s">
        <v>17</v>
      </c>
      <c r="B15" s="9">
        <v>1.3333333333333333</v>
      </c>
      <c r="C15" s="9">
        <v>0.875</v>
      </c>
      <c r="D15" s="9">
        <v>0.45833333333333331</v>
      </c>
      <c r="E15" s="9">
        <v>0.25</v>
      </c>
      <c r="F15" s="9">
        <v>1.3333333333333333</v>
      </c>
      <c r="G15" s="40">
        <v>1.125</v>
      </c>
      <c r="H15" s="9">
        <v>0.91666666666666663</v>
      </c>
      <c r="I15" s="9">
        <v>1.5</v>
      </c>
      <c r="J15" s="9">
        <v>1.625</v>
      </c>
      <c r="K15" s="9">
        <v>1.5416666666666667</v>
      </c>
      <c r="L15" s="40">
        <v>1.5416666666666667</v>
      </c>
      <c r="M15" s="9">
        <v>1.125</v>
      </c>
      <c r="N15" s="9">
        <v>1.25</v>
      </c>
      <c r="O15" s="9">
        <v>1.1666666666666667</v>
      </c>
      <c r="P15" s="9">
        <v>1.4583333333333333</v>
      </c>
      <c r="Q15" s="40">
        <v>1.1666666666666667</v>
      </c>
      <c r="R15" s="67">
        <v>1.3333333333333333</v>
      </c>
      <c r="S15" s="75">
        <f t="shared" ref="S15:S16" si="0">SUM(B15:R15)</f>
        <v>20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15">
      <c r="A16" s="13" t="s">
        <v>18</v>
      </c>
      <c r="B16" s="9">
        <v>1.1666666666666667</v>
      </c>
      <c r="C16" s="9">
        <v>0.625</v>
      </c>
      <c r="D16" s="8"/>
      <c r="E16" s="9">
        <v>1.7916666666666667</v>
      </c>
      <c r="F16" s="9">
        <v>0.79166666666666663</v>
      </c>
      <c r="G16" s="40">
        <v>0.75</v>
      </c>
      <c r="H16" s="9">
        <v>1.7083333333333333</v>
      </c>
      <c r="I16" s="9">
        <v>1.0833333333333333</v>
      </c>
      <c r="J16" s="9">
        <v>0.5</v>
      </c>
      <c r="K16" s="9">
        <v>0.70833333333333337</v>
      </c>
      <c r="L16" s="40">
        <v>0.83333333333333337</v>
      </c>
      <c r="M16" s="9">
        <v>1.2083333333333333</v>
      </c>
      <c r="N16" s="9">
        <v>1.1666666666666667</v>
      </c>
      <c r="O16" s="9">
        <v>1.9166666666666667</v>
      </c>
      <c r="P16" s="9">
        <v>1.75</v>
      </c>
      <c r="Q16" s="40">
        <v>0.79166666666666663</v>
      </c>
      <c r="R16" s="67">
        <v>1.3333333333333333</v>
      </c>
      <c r="S16" s="75">
        <f t="shared" si="0"/>
        <v>18.125</v>
      </c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15">
      <c r="A17" s="13" t="s">
        <v>19</v>
      </c>
      <c r="B17" s="8"/>
      <c r="C17" s="8"/>
      <c r="D17" s="8"/>
      <c r="E17" s="8"/>
      <c r="F17" s="8"/>
      <c r="G17" s="39"/>
      <c r="H17" s="8"/>
      <c r="I17" s="8"/>
      <c r="J17" s="8"/>
      <c r="K17" s="8"/>
      <c r="L17" s="39"/>
      <c r="M17" s="8"/>
      <c r="N17" s="8"/>
      <c r="O17" s="8"/>
      <c r="P17" s="8"/>
      <c r="Q17" s="39"/>
      <c r="R17" s="55"/>
      <c r="S17" s="74"/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15">
      <c r="A18" s="13" t="s">
        <v>20</v>
      </c>
      <c r="B18" s="8"/>
      <c r="C18" s="8"/>
      <c r="D18" s="8"/>
      <c r="E18" s="8"/>
      <c r="F18" s="8"/>
      <c r="G18" s="39"/>
      <c r="H18" s="8"/>
      <c r="I18" s="8"/>
      <c r="J18" s="8"/>
      <c r="K18" s="8"/>
      <c r="L18" s="39"/>
      <c r="M18" s="8"/>
      <c r="N18" s="8"/>
      <c r="O18" s="8"/>
      <c r="P18" s="8"/>
      <c r="Q18" s="39"/>
      <c r="R18" s="55"/>
      <c r="S18" s="74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15">
      <c r="A19" s="13" t="s">
        <v>21</v>
      </c>
      <c r="B19" s="8"/>
      <c r="C19" s="8"/>
      <c r="D19" s="8"/>
      <c r="E19" s="8"/>
      <c r="F19" s="8"/>
      <c r="G19" s="39"/>
      <c r="H19" s="8"/>
      <c r="I19" s="8"/>
      <c r="J19" s="8"/>
      <c r="K19" s="8"/>
      <c r="L19" s="39"/>
      <c r="M19" s="8"/>
      <c r="N19" s="8"/>
      <c r="O19" s="8"/>
      <c r="P19" s="8"/>
      <c r="Q19" s="39"/>
      <c r="R19" s="55"/>
      <c r="S19" s="74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15">
      <c r="A20" s="13" t="s">
        <v>22</v>
      </c>
      <c r="B20" s="8"/>
      <c r="C20" s="8"/>
      <c r="D20" s="8"/>
      <c r="E20" s="8"/>
      <c r="F20" s="8"/>
      <c r="G20" s="39"/>
      <c r="H20" s="8"/>
      <c r="I20" s="8"/>
      <c r="J20" s="8"/>
      <c r="K20" s="8"/>
      <c r="L20" s="39"/>
      <c r="M20" s="8"/>
      <c r="N20" s="8"/>
      <c r="O20" s="8"/>
      <c r="P20" s="8"/>
      <c r="Q20" s="39"/>
      <c r="R20" s="55"/>
      <c r="S20" s="74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15">
      <c r="A21" s="13" t="s">
        <v>23</v>
      </c>
      <c r="B21" s="8"/>
      <c r="C21" s="8"/>
      <c r="D21" s="8"/>
      <c r="E21" s="8"/>
      <c r="F21" s="8"/>
      <c r="G21" s="39"/>
      <c r="H21" s="8"/>
      <c r="I21" s="8"/>
      <c r="J21" s="8"/>
      <c r="K21" s="8"/>
      <c r="L21" s="39"/>
      <c r="M21" s="8"/>
      <c r="N21" s="8"/>
      <c r="O21" s="8"/>
      <c r="P21" s="8"/>
      <c r="Q21" s="39"/>
      <c r="R21" s="55"/>
      <c r="S21" s="74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4.25" thickBot="1" x14ac:dyDescent="0.2">
      <c r="A22" s="24" t="s">
        <v>24</v>
      </c>
      <c r="B22" s="25">
        <v>1.625</v>
      </c>
      <c r="C22" s="25">
        <v>1.4166666666666667</v>
      </c>
      <c r="D22" s="25">
        <v>2.375</v>
      </c>
      <c r="E22" s="25">
        <v>0.29166666666666669</v>
      </c>
      <c r="F22" s="25">
        <v>0.20833333333333334</v>
      </c>
      <c r="G22" s="41">
        <v>8.3333333333333329E-2</v>
      </c>
      <c r="H22" s="25">
        <v>1.125</v>
      </c>
      <c r="I22" s="25">
        <v>2.7083333333333335</v>
      </c>
      <c r="J22" s="25">
        <v>1.7083333333333333</v>
      </c>
      <c r="K22" s="25">
        <v>0.33333333333333331</v>
      </c>
      <c r="L22" s="41">
        <v>0.20833333333333334</v>
      </c>
      <c r="M22" s="25">
        <v>0.125</v>
      </c>
      <c r="N22" s="25">
        <v>0.25</v>
      </c>
      <c r="O22" s="25">
        <v>0.41666666666666669</v>
      </c>
      <c r="P22" s="25">
        <v>1.9583333333333333</v>
      </c>
      <c r="Q22" s="41">
        <v>0.125</v>
      </c>
      <c r="R22" s="68">
        <v>0.625</v>
      </c>
      <c r="S22" s="76">
        <f>SUM(B22:R22)</f>
        <v>15.583333333333336</v>
      </c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15">
      <c r="A23" s="22" t="s">
        <v>29</v>
      </c>
      <c r="B23" s="26">
        <v>170000</v>
      </c>
      <c r="C23" s="26">
        <v>175000</v>
      </c>
      <c r="D23" s="26">
        <v>170000</v>
      </c>
      <c r="E23" s="26">
        <v>182000</v>
      </c>
      <c r="F23" s="26">
        <v>187000</v>
      </c>
      <c r="G23" s="42">
        <v>192000</v>
      </c>
      <c r="H23" s="26">
        <v>192000</v>
      </c>
      <c r="I23" s="26">
        <v>192000</v>
      </c>
      <c r="J23" s="26">
        <v>187000</v>
      </c>
      <c r="K23" s="26">
        <v>172000</v>
      </c>
      <c r="L23" s="42">
        <v>172000</v>
      </c>
      <c r="M23" s="26">
        <v>172000</v>
      </c>
      <c r="N23" s="26">
        <v>177000</v>
      </c>
      <c r="O23" s="26">
        <v>170000</v>
      </c>
      <c r="P23" s="26">
        <v>175000</v>
      </c>
      <c r="Q23" s="42">
        <v>170000</v>
      </c>
      <c r="R23" s="57">
        <v>175000</v>
      </c>
      <c r="S23" s="77">
        <f>SUM(B23:R23)</f>
        <v>3030000</v>
      </c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15">
      <c r="A24" s="13" t="s">
        <v>30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39">
        <v>20000</v>
      </c>
      <c r="H24" s="8">
        <v>5000</v>
      </c>
      <c r="I24" s="8">
        <v>20000</v>
      </c>
      <c r="J24" s="8">
        <v>5000</v>
      </c>
      <c r="K24" s="8">
        <v>0</v>
      </c>
      <c r="L24" s="39">
        <v>0</v>
      </c>
      <c r="M24" s="8">
        <v>0</v>
      </c>
      <c r="N24" s="8">
        <v>0</v>
      </c>
      <c r="O24" s="8">
        <v>0</v>
      </c>
      <c r="P24" s="8">
        <v>0</v>
      </c>
      <c r="Q24" s="39">
        <v>0</v>
      </c>
      <c r="R24" s="55">
        <v>0</v>
      </c>
      <c r="S24" s="74">
        <f t="shared" ref="S24:S73" si="1">SUM(B24:R24)</f>
        <v>50000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15">
      <c r="A25" s="13" t="s">
        <v>31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39">
        <v>3000</v>
      </c>
      <c r="H25" s="8">
        <v>0</v>
      </c>
      <c r="I25" s="8">
        <v>0</v>
      </c>
      <c r="J25" s="8">
        <v>0</v>
      </c>
      <c r="K25" s="8">
        <v>0</v>
      </c>
      <c r="L25" s="39">
        <v>0</v>
      </c>
      <c r="M25" s="8">
        <v>0</v>
      </c>
      <c r="N25" s="8">
        <v>0</v>
      </c>
      <c r="O25" s="8">
        <v>0</v>
      </c>
      <c r="P25" s="8">
        <v>0</v>
      </c>
      <c r="Q25" s="39">
        <v>0</v>
      </c>
      <c r="R25" s="55">
        <v>0</v>
      </c>
      <c r="S25" s="74">
        <f t="shared" si="1"/>
        <v>3000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15">
      <c r="A26" s="13" t="s">
        <v>32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39">
        <v>0</v>
      </c>
      <c r="H26" s="8">
        <v>0</v>
      </c>
      <c r="I26" s="8">
        <v>0</v>
      </c>
      <c r="J26" s="8">
        <v>0</v>
      </c>
      <c r="K26" s="8">
        <v>0</v>
      </c>
      <c r="L26" s="39">
        <v>0</v>
      </c>
      <c r="M26" s="8">
        <v>0</v>
      </c>
      <c r="N26" s="8">
        <v>0</v>
      </c>
      <c r="O26" s="8">
        <v>0</v>
      </c>
      <c r="P26" s="8">
        <v>0</v>
      </c>
      <c r="Q26" s="39">
        <v>0</v>
      </c>
      <c r="R26" s="55">
        <v>0</v>
      </c>
      <c r="S26" s="74">
        <f t="shared" si="1"/>
        <v>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15">
      <c r="A27" s="13" t="s">
        <v>33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39">
        <v>0</v>
      </c>
      <c r="H27" s="8">
        <v>0</v>
      </c>
      <c r="I27" s="8">
        <v>0</v>
      </c>
      <c r="J27" s="8">
        <v>0</v>
      </c>
      <c r="K27" s="8">
        <v>0</v>
      </c>
      <c r="L27" s="39">
        <v>0</v>
      </c>
      <c r="M27" s="8">
        <v>0</v>
      </c>
      <c r="N27" s="8">
        <v>0</v>
      </c>
      <c r="O27" s="8">
        <v>0</v>
      </c>
      <c r="P27" s="8">
        <v>0</v>
      </c>
      <c r="Q27" s="39">
        <v>0</v>
      </c>
      <c r="R27" s="55">
        <v>0</v>
      </c>
      <c r="S27" s="74">
        <f t="shared" si="1"/>
        <v>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15">
      <c r="A28" s="13" t="s">
        <v>34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39">
        <v>0</v>
      </c>
      <c r="H28" s="8">
        <v>0</v>
      </c>
      <c r="I28" s="8">
        <v>0</v>
      </c>
      <c r="J28" s="8">
        <v>0</v>
      </c>
      <c r="K28" s="8">
        <v>0</v>
      </c>
      <c r="L28" s="39">
        <v>0</v>
      </c>
      <c r="M28" s="8">
        <v>0</v>
      </c>
      <c r="N28" s="8">
        <v>0</v>
      </c>
      <c r="O28" s="8">
        <v>0</v>
      </c>
      <c r="P28" s="8">
        <v>0</v>
      </c>
      <c r="Q28" s="39">
        <v>0</v>
      </c>
      <c r="R28" s="55">
        <v>0</v>
      </c>
      <c r="S28" s="74">
        <f t="shared" si="1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15">
      <c r="A29" s="13" t="s">
        <v>35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39">
        <v>0</v>
      </c>
      <c r="H29" s="8">
        <v>0</v>
      </c>
      <c r="I29" s="8">
        <v>0</v>
      </c>
      <c r="J29" s="8">
        <v>0</v>
      </c>
      <c r="K29" s="8">
        <v>0</v>
      </c>
      <c r="L29" s="39">
        <v>0</v>
      </c>
      <c r="M29" s="8">
        <v>0</v>
      </c>
      <c r="N29" s="8">
        <v>0</v>
      </c>
      <c r="O29" s="8">
        <v>0</v>
      </c>
      <c r="P29" s="8">
        <v>0</v>
      </c>
      <c r="Q29" s="39">
        <v>0</v>
      </c>
      <c r="R29" s="55">
        <v>0</v>
      </c>
      <c r="S29" s="74">
        <f t="shared" si="1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15">
      <c r="A30" s="13" t="s">
        <v>36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39">
        <v>0</v>
      </c>
      <c r="H30" s="8">
        <v>0</v>
      </c>
      <c r="I30" s="8">
        <v>0</v>
      </c>
      <c r="J30" s="8">
        <v>0</v>
      </c>
      <c r="K30" s="8">
        <v>0</v>
      </c>
      <c r="L30" s="39">
        <v>0</v>
      </c>
      <c r="M30" s="8">
        <v>0</v>
      </c>
      <c r="N30" s="8">
        <v>0</v>
      </c>
      <c r="O30" s="8">
        <v>0</v>
      </c>
      <c r="P30" s="8">
        <v>0</v>
      </c>
      <c r="Q30" s="39">
        <v>0</v>
      </c>
      <c r="R30" s="55">
        <v>0</v>
      </c>
      <c r="S30" s="74">
        <f t="shared" si="1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15">
      <c r="A31" s="13" t="s">
        <v>37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39">
        <v>0</v>
      </c>
      <c r="H31" s="8">
        <v>0</v>
      </c>
      <c r="I31" s="8">
        <v>0</v>
      </c>
      <c r="J31" s="8">
        <v>0</v>
      </c>
      <c r="K31" s="8">
        <v>0</v>
      </c>
      <c r="L31" s="39">
        <v>0</v>
      </c>
      <c r="M31" s="8">
        <v>0</v>
      </c>
      <c r="N31" s="8">
        <v>0</v>
      </c>
      <c r="O31" s="8">
        <v>0</v>
      </c>
      <c r="P31" s="8">
        <v>0</v>
      </c>
      <c r="Q31" s="39">
        <v>0</v>
      </c>
      <c r="R31" s="55">
        <v>0</v>
      </c>
      <c r="S31" s="74">
        <f t="shared" si="1"/>
        <v>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15">
      <c r="A32" s="13" t="s">
        <v>38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39">
        <v>0</v>
      </c>
      <c r="H32" s="8">
        <v>0</v>
      </c>
      <c r="I32" s="8">
        <v>0</v>
      </c>
      <c r="J32" s="8">
        <v>0</v>
      </c>
      <c r="K32" s="8">
        <v>0</v>
      </c>
      <c r="L32" s="39">
        <v>0</v>
      </c>
      <c r="M32" s="8">
        <v>0</v>
      </c>
      <c r="N32" s="8">
        <v>0</v>
      </c>
      <c r="O32" s="8">
        <v>0</v>
      </c>
      <c r="P32" s="8">
        <v>0</v>
      </c>
      <c r="Q32" s="39">
        <v>0</v>
      </c>
      <c r="R32" s="55">
        <v>0</v>
      </c>
      <c r="S32" s="74">
        <f t="shared" si="1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15">
      <c r="A33" s="13" t="s">
        <v>39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39">
        <v>0</v>
      </c>
      <c r="H33" s="8">
        <v>0</v>
      </c>
      <c r="I33" s="8">
        <v>0</v>
      </c>
      <c r="J33" s="8">
        <v>0</v>
      </c>
      <c r="K33" s="8">
        <v>0</v>
      </c>
      <c r="L33" s="39">
        <v>0</v>
      </c>
      <c r="M33" s="8">
        <v>0</v>
      </c>
      <c r="N33" s="8">
        <v>0</v>
      </c>
      <c r="O33" s="8">
        <v>0</v>
      </c>
      <c r="P33" s="8">
        <v>0</v>
      </c>
      <c r="Q33" s="39">
        <v>0</v>
      </c>
      <c r="R33" s="55">
        <v>0</v>
      </c>
      <c r="S33" s="74">
        <f t="shared" si="1"/>
        <v>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15">
      <c r="A34" s="13" t="s">
        <v>40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39">
        <v>0</v>
      </c>
      <c r="H34" s="8">
        <v>0</v>
      </c>
      <c r="I34" s="8">
        <v>0</v>
      </c>
      <c r="J34" s="8">
        <v>0</v>
      </c>
      <c r="K34" s="8">
        <v>0</v>
      </c>
      <c r="L34" s="39">
        <v>0</v>
      </c>
      <c r="M34" s="8">
        <v>0</v>
      </c>
      <c r="N34" s="8">
        <v>0</v>
      </c>
      <c r="O34" s="8">
        <v>0</v>
      </c>
      <c r="P34" s="8">
        <v>0</v>
      </c>
      <c r="Q34" s="39">
        <v>0</v>
      </c>
      <c r="R34" s="55">
        <v>0</v>
      </c>
      <c r="S34" s="74">
        <f t="shared" si="1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15">
      <c r="A35" s="13" t="s">
        <v>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39">
        <v>0</v>
      </c>
      <c r="H35" s="8">
        <v>0</v>
      </c>
      <c r="I35" s="8">
        <v>0</v>
      </c>
      <c r="J35" s="8">
        <v>0</v>
      </c>
      <c r="K35" s="8">
        <v>0</v>
      </c>
      <c r="L35" s="39">
        <v>0</v>
      </c>
      <c r="M35" s="8">
        <v>0</v>
      </c>
      <c r="N35" s="8">
        <v>0</v>
      </c>
      <c r="O35" s="8">
        <v>0</v>
      </c>
      <c r="P35" s="8">
        <v>0</v>
      </c>
      <c r="Q35" s="39">
        <v>0</v>
      </c>
      <c r="R35" s="55">
        <v>0</v>
      </c>
      <c r="S35" s="74">
        <f t="shared" si="1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15">
      <c r="A36" s="13" t="s">
        <v>42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39">
        <v>0</v>
      </c>
      <c r="H36" s="8">
        <v>0</v>
      </c>
      <c r="I36" s="8">
        <v>0</v>
      </c>
      <c r="J36" s="8">
        <v>0</v>
      </c>
      <c r="K36" s="8">
        <v>0</v>
      </c>
      <c r="L36" s="39">
        <v>0</v>
      </c>
      <c r="M36" s="8">
        <v>0</v>
      </c>
      <c r="N36" s="8">
        <v>0</v>
      </c>
      <c r="O36" s="8">
        <v>0</v>
      </c>
      <c r="P36" s="8">
        <v>0</v>
      </c>
      <c r="Q36" s="39">
        <v>0</v>
      </c>
      <c r="R36" s="55">
        <v>0</v>
      </c>
      <c r="S36" s="74">
        <f t="shared" si="1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15">
      <c r="A37" s="13" t="s">
        <v>43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39">
        <v>0</v>
      </c>
      <c r="H37" s="8">
        <v>0</v>
      </c>
      <c r="I37" s="8">
        <v>0</v>
      </c>
      <c r="J37" s="8">
        <v>0</v>
      </c>
      <c r="K37" s="8">
        <v>0</v>
      </c>
      <c r="L37" s="39">
        <v>0</v>
      </c>
      <c r="M37" s="8">
        <v>0</v>
      </c>
      <c r="N37" s="8">
        <v>0</v>
      </c>
      <c r="O37" s="8">
        <v>0</v>
      </c>
      <c r="P37" s="8">
        <v>0</v>
      </c>
      <c r="Q37" s="39">
        <v>0</v>
      </c>
      <c r="R37" s="55">
        <v>0</v>
      </c>
      <c r="S37" s="74">
        <f t="shared" si="1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15">
      <c r="A38" s="13" t="s">
        <v>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39">
        <v>0</v>
      </c>
      <c r="H38" s="8">
        <v>0</v>
      </c>
      <c r="I38" s="8">
        <v>0</v>
      </c>
      <c r="J38" s="8">
        <v>0</v>
      </c>
      <c r="K38" s="8">
        <v>0</v>
      </c>
      <c r="L38" s="39">
        <v>0</v>
      </c>
      <c r="M38" s="8">
        <v>0</v>
      </c>
      <c r="N38" s="8">
        <v>0</v>
      </c>
      <c r="O38" s="8">
        <v>0</v>
      </c>
      <c r="P38" s="8">
        <v>0</v>
      </c>
      <c r="Q38" s="39">
        <v>0</v>
      </c>
      <c r="R38" s="55">
        <v>0</v>
      </c>
      <c r="S38" s="74">
        <f t="shared" si="1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15">
      <c r="A39" s="13" t="s">
        <v>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39">
        <v>0</v>
      </c>
      <c r="H39" s="8">
        <v>0</v>
      </c>
      <c r="I39" s="8">
        <v>0</v>
      </c>
      <c r="J39" s="8">
        <v>0</v>
      </c>
      <c r="K39" s="8">
        <v>0</v>
      </c>
      <c r="L39" s="39">
        <v>0</v>
      </c>
      <c r="M39" s="8">
        <v>0</v>
      </c>
      <c r="N39" s="8">
        <v>0</v>
      </c>
      <c r="O39" s="8">
        <v>0</v>
      </c>
      <c r="P39" s="8">
        <v>0</v>
      </c>
      <c r="Q39" s="39">
        <v>0</v>
      </c>
      <c r="R39" s="55">
        <v>0</v>
      </c>
      <c r="S39" s="74">
        <f t="shared" si="1"/>
        <v>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15">
      <c r="A40" s="13" t="s">
        <v>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39">
        <v>0</v>
      </c>
      <c r="H40" s="8">
        <v>0</v>
      </c>
      <c r="I40" s="8">
        <v>0</v>
      </c>
      <c r="J40" s="8">
        <v>0</v>
      </c>
      <c r="K40" s="8">
        <v>0</v>
      </c>
      <c r="L40" s="39">
        <v>0</v>
      </c>
      <c r="M40" s="8">
        <v>0</v>
      </c>
      <c r="N40" s="8">
        <v>0</v>
      </c>
      <c r="O40" s="8">
        <v>0</v>
      </c>
      <c r="P40" s="8">
        <v>0</v>
      </c>
      <c r="Q40" s="39">
        <v>0</v>
      </c>
      <c r="R40" s="55">
        <v>0</v>
      </c>
      <c r="S40" s="74">
        <f t="shared" si="1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15">
      <c r="A41" s="13" t="s">
        <v>47</v>
      </c>
      <c r="B41" s="8">
        <v>0</v>
      </c>
      <c r="C41" s="8">
        <v>-8373</v>
      </c>
      <c r="D41" s="8">
        <v>-32532</v>
      </c>
      <c r="E41" s="8">
        <v>0</v>
      </c>
      <c r="F41" s="8">
        <v>0</v>
      </c>
      <c r="G41" s="39">
        <v>-10287</v>
      </c>
      <c r="H41" s="8">
        <v>0</v>
      </c>
      <c r="I41" s="8">
        <v>-10143</v>
      </c>
      <c r="J41" s="8">
        <v>0</v>
      </c>
      <c r="K41" s="8">
        <v>0</v>
      </c>
      <c r="L41" s="39">
        <v>-16458</v>
      </c>
      <c r="M41" s="8">
        <v>0</v>
      </c>
      <c r="N41" s="8">
        <v>0</v>
      </c>
      <c r="O41" s="8">
        <v>-8133</v>
      </c>
      <c r="P41" s="8">
        <v>-25119</v>
      </c>
      <c r="Q41" s="39">
        <v>0</v>
      </c>
      <c r="R41" s="55">
        <v>-8373</v>
      </c>
      <c r="S41" s="74">
        <f t="shared" si="1"/>
        <v>-119418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15">
      <c r="A42" s="13" t="s">
        <v>48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39">
        <v>0</v>
      </c>
      <c r="H42" s="8">
        <v>0</v>
      </c>
      <c r="I42" s="8">
        <v>0</v>
      </c>
      <c r="J42" s="8">
        <v>0</v>
      </c>
      <c r="K42" s="8">
        <v>0</v>
      </c>
      <c r="L42" s="39">
        <v>0</v>
      </c>
      <c r="M42" s="8">
        <v>0</v>
      </c>
      <c r="N42" s="8">
        <v>0</v>
      </c>
      <c r="O42" s="8">
        <v>0</v>
      </c>
      <c r="P42" s="8">
        <v>0</v>
      </c>
      <c r="Q42" s="39">
        <v>0</v>
      </c>
      <c r="R42" s="55">
        <v>0</v>
      </c>
      <c r="S42" s="74">
        <f t="shared" si="1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15">
      <c r="A43" s="13" t="s">
        <v>16</v>
      </c>
      <c r="B43" s="8">
        <v>103113</v>
      </c>
      <c r="C43" s="8">
        <v>60260</v>
      </c>
      <c r="D43" s="8">
        <v>45828</v>
      </c>
      <c r="E43" s="8">
        <v>42253</v>
      </c>
      <c r="F43" s="8">
        <v>60200</v>
      </c>
      <c r="G43" s="39">
        <v>72405</v>
      </c>
      <c r="H43" s="8">
        <v>95875</v>
      </c>
      <c r="I43" s="8">
        <v>72956</v>
      </c>
      <c r="J43" s="8">
        <v>115040</v>
      </c>
      <c r="K43" s="8">
        <v>79856</v>
      </c>
      <c r="L43" s="39">
        <v>60536</v>
      </c>
      <c r="M43" s="8">
        <v>59248</v>
      </c>
      <c r="N43" s="8">
        <v>79500</v>
      </c>
      <c r="O43" s="8">
        <v>56012</v>
      </c>
      <c r="P43" s="8">
        <v>61570</v>
      </c>
      <c r="Q43" s="39">
        <v>57285</v>
      </c>
      <c r="R43" s="55">
        <v>65500</v>
      </c>
      <c r="S43" s="74">
        <f t="shared" si="1"/>
        <v>1187437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15">
      <c r="A44" s="13" t="s">
        <v>9</v>
      </c>
      <c r="B44" s="8">
        <v>43968</v>
      </c>
      <c r="C44" s="8">
        <v>29715</v>
      </c>
      <c r="D44" s="8">
        <v>15114</v>
      </c>
      <c r="E44" s="8">
        <v>8832</v>
      </c>
      <c r="F44" s="8">
        <v>48384</v>
      </c>
      <c r="G44" s="39">
        <v>46899</v>
      </c>
      <c r="H44" s="8">
        <v>35046</v>
      </c>
      <c r="I44" s="8">
        <v>61668</v>
      </c>
      <c r="J44" s="8">
        <v>60567</v>
      </c>
      <c r="K44" s="8">
        <v>51467</v>
      </c>
      <c r="L44" s="39">
        <v>51467</v>
      </c>
      <c r="M44" s="8">
        <v>37557</v>
      </c>
      <c r="N44" s="8">
        <v>42930</v>
      </c>
      <c r="O44" s="8">
        <v>38472</v>
      </c>
      <c r="P44" s="8">
        <v>49525</v>
      </c>
      <c r="Q44" s="39">
        <v>38472</v>
      </c>
      <c r="R44" s="55">
        <v>45280</v>
      </c>
      <c r="S44" s="74">
        <f t="shared" si="1"/>
        <v>705363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15">
      <c r="A45" s="13" t="s">
        <v>10</v>
      </c>
      <c r="B45" s="8">
        <v>38472</v>
      </c>
      <c r="C45" s="8">
        <v>21225</v>
      </c>
      <c r="D45" s="8">
        <v>0</v>
      </c>
      <c r="E45" s="8">
        <v>63296</v>
      </c>
      <c r="F45" s="8">
        <v>28728</v>
      </c>
      <c r="G45" s="39">
        <v>31266</v>
      </c>
      <c r="H45" s="8">
        <v>65313</v>
      </c>
      <c r="I45" s="8">
        <v>44538</v>
      </c>
      <c r="J45" s="8">
        <v>18636</v>
      </c>
      <c r="K45" s="8">
        <v>23647</v>
      </c>
      <c r="L45" s="39">
        <v>27820</v>
      </c>
      <c r="M45" s="8">
        <v>40339</v>
      </c>
      <c r="N45" s="8">
        <v>40068</v>
      </c>
      <c r="O45" s="8">
        <v>63204</v>
      </c>
      <c r="P45" s="8">
        <v>59430</v>
      </c>
      <c r="Q45" s="39">
        <v>26106</v>
      </c>
      <c r="R45" s="55">
        <v>45280</v>
      </c>
      <c r="S45" s="74">
        <f t="shared" si="1"/>
        <v>637368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15">
      <c r="A46" s="13" t="s">
        <v>49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39">
        <v>0</v>
      </c>
      <c r="H46" s="8">
        <v>0</v>
      </c>
      <c r="I46" s="8">
        <v>0</v>
      </c>
      <c r="J46" s="8">
        <v>0</v>
      </c>
      <c r="K46" s="8">
        <v>0</v>
      </c>
      <c r="L46" s="39">
        <v>0</v>
      </c>
      <c r="M46" s="8">
        <v>0</v>
      </c>
      <c r="N46" s="8">
        <v>0</v>
      </c>
      <c r="O46" s="8">
        <v>0</v>
      </c>
      <c r="P46" s="8">
        <v>0</v>
      </c>
      <c r="Q46" s="39">
        <v>0</v>
      </c>
      <c r="R46" s="55">
        <v>0</v>
      </c>
      <c r="S46" s="74">
        <f t="shared" si="1"/>
        <v>0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15">
      <c r="A47" s="115" t="s">
        <v>50</v>
      </c>
      <c r="B47" s="116">
        <v>0</v>
      </c>
      <c r="C47" s="116">
        <v>8373</v>
      </c>
      <c r="D47" s="116">
        <v>32532</v>
      </c>
      <c r="E47" s="116">
        <v>0</v>
      </c>
      <c r="F47" s="116">
        <v>0</v>
      </c>
      <c r="G47" s="117">
        <v>10287</v>
      </c>
      <c r="H47" s="116">
        <v>0</v>
      </c>
      <c r="I47" s="116">
        <v>10143</v>
      </c>
      <c r="J47" s="116">
        <v>0</v>
      </c>
      <c r="K47" s="116">
        <v>0</v>
      </c>
      <c r="L47" s="117">
        <v>16458</v>
      </c>
      <c r="M47" s="116">
        <v>0</v>
      </c>
      <c r="N47" s="116">
        <v>0</v>
      </c>
      <c r="O47" s="116">
        <v>8133</v>
      </c>
      <c r="P47" s="116">
        <v>25119</v>
      </c>
      <c r="Q47" s="117">
        <v>0</v>
      </c>
      <c r="R47" s="118">
        <v>8373</v>
      </c>
      <c r="S47" s="119">
        <f t="shared" si="1"/>
        <v>119418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15">
      <c r="A48" s="13" t="s">
        <v>20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39">
        <v>0</v>
      </c>
      <c r="H48" s="8">
        <v>0</v>
      </c>
      <c r="I48" s="8">
        <v>0</v>
      </c>
      <c r="J48" s="8">
        <v>0</v>
      </c>
      <c r="K48" s="8">
        <v>0</v>
      </c>
      <c r="L48" s="39">
        <v>0</v>
      </c>
      <c r="M48" s="8">
        <v>0</v>
      </c>
      <c r="N48" s="8">
        <v>0</v>
      </c>
      <c r="O48" s="8">
        <v>0</v>
      </c>
      <c r="P48" s="8">
        <v>0</v>
      </c>
      <c r="Q48" s="39">
        <v>0</v>
      </c>
      <c r="R48" s="55">
        <v>0</v>
      </c>
      <c r="S48" s="74">
        <f t="shared" si="1"/>
        <v>0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 x14ac:dyDescent="0.15">
      <c r="A49" s="14" t="s">
        <v>51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43">
        <v>0</v>
      </c>
      <c r="H49" s="10">
        <v>0</v>
      </c>
      <c r="I49" s="10">
        <v>0</v>
      </c>
      <c r="J49" s="10">
        <v>0</v>
      </c>
      <c r="K49" s="10">
        <v>0</v>
      </c>
      <c r="L49" s="43">
        <v>0</v>
      </c>
      <c r="M49" s="10">
        <v>0</v>
      </c>
      <c r="N49" s="10">
        <v>0</v>
      </c>
      <c r="O49" s="10">
        <v>0</v>
      </c>
      <c r="P49" s="10">
        <v>0</v>
      </c>
      <c r="Q49" s="43">
        <v>0</v>
      </c>
      <c r="R49" s="58">
        <v>0</v>
      </c>
      <c r="S49" s="78">
        <f t="shared" si="1"/>
        <v>0</v>
      </c>
      <c r="T49" s="6"/>
      <c r="U49" s="6"/>
      <c r="V49" s="6"/>
      <c r="W49" s="6"/>
      <c r="X49" s="6"/>
      <c r="Y49" s="6"/>
      <c r="Z49" s="6"/>
    </row>
    <row r="50" spans="1:26" x14ac:dyDescent="0.15">
      <c r="A50" s="14" t="s">
        <v>24</v>
      </c>
      <c r="B50" s="10">
        <v>9945</v>
      </c>
      <c r="C50" s="10">
        <v>8908</v>
      </c>
      <c r="D50" s="10">
        <v>14535</v>
      </c>
      <c r="E50" s="10">
        <v>1911</v>
      </c>
      <c r="F50" s="10">
        <v>1400</v>
      </c>
      <c r="G50" s="43">
        <v>644</v>
      </c>
      <c r="H50" s="10">
        <v>7965</v>
      </c>
      <c r="I50" s="10">
        <v>20605</v>
      </c>
      <c r="J50" s="10">
        <v>11808</v>
      </c>
      <c r="K50" s="10">
        <v>2064</v>
      </c>
      <c r="L50" s="43">
        <v>1290</v>
      </c>
      <c r="M50" s="10">
        <v>774</v>
      </c>
      <c r="N50" s="10">
        <v>1590</v>
      </c>
      <c r="O50" s="10">
        <v>2550</v>
      </c>
      <c r="P50" s="10">
        <v>12314</v>
      </c>
      <c r="Q50" s="43">
        <v>765</v>
      </c>
      <c r="R50" s="58">
        <v>3930</v>
      </c>
      <c r="S50" s="78">
        <f t="shared" si="1"/>
        <v>102998</v>
      </c>
      <c r="T50" s="6"/>
      <c r="U50" s="6"/>
      <c r="V50" s="6"/>
      <c r="W50" s="6"/>
      <c r="X50" s="6"/>
      <c r="Y50" s="6"/>
      <c r="Z50" s="6"/>
    </row>
    <row r="51" spans="1:26" ht="14.25" thickBot="1" x14ac:dyDescent="0.2">
      <c r="A51" s="15" t="s">
        <v>52</v>
      </c>
      <c r="B51" s="29">
        <v>365498</v>
      </c>
      <c r="C51" s="29">
        <v>295108</v>
      </c>
      <c r="D51" s="29">
        <v>245477</v>
      </c>
      <c r="E51" s="29">
        <v>298292</v>
      </c>
      <c r="F51" s="29">
        <v>325712</v>
      </c>
      <c r="G51" s="44">
        <v>366214</v>
      </c>
      <c r="H51" s="29">
        <v>401199</v>
      </c>
      <c r="I51" s="29">
        <v>411767</v>
      </c>
      <c r="J51" s="29">
        <v>398051</v>
      </c>
      <c r="K51" s="29">
        <v>329034</v>
      </c>
      <c r="L51" s="44">
        <v>313113</v>
      </c>
      <c r="M51" s="29">
        <v>309918</v>
      </c>
      <c r="N51" s="29">
        <v>341088</v>
      </c>
      <c r="O51" s="29">
        <v>330238</v>
      </c>
      <c r="P51" s="29">
        <v>357839</v>
      </c>
      <c r="Q51" s="44">
        <v>292628</v>
      </c>
      <c r="R51" s="59">
        <v>334990</v>
      </c>
      <c r="S51" s="79">
        <f t="shared" si="1"/>
        <v>5716166</v>
      </c>
      <c r="T51" s="6"/>
      <c r="U51" s="6"/>
      <c r="V51" s="6"/>
      <c r="W51" s="6"/>
      <c r="X51" s="6"/>
      <c r="Y51" s="6"/>
      <c r="Z51" s="6"/>
    </row>
    <row r="52" spans="1:26" x14ac:dyDescent="0.15">
      <c r="A52" s="27" t="s">
        <v>53</v>
      </c>
      <c r="B52" s="28">
        <v>4930</v>
      </c>
      <c r="C52" s="28">
        <v>31630</v>
      </c>
      <c r="D52" s="28">
        <v>1541</v>
      </c>
      <c r="E52" s="28">
        <v>9859</v>
      </c>
      <c r="F52" s="28">
        <v>2465</v>
      </c>
      <c r="G52" s="45">
        <v>4067</v>
      </c>
      <c r="H52" s="28">
        <v>2465</v>
      </c>
      <c r="I52" s="28">
        <v>10865</v>
      </c>
      <c r="J52" s="28">
        <v>1890</v>
      </c>
      <c r="K52" s="28">
        <v>1972</v>
      </c>
      <c r="L52" s="45">
        <v>904</v>
      </c>
      <c r="M52" s="28">
        <v>2465</v>
      </c>
      <c r="N52" s="28">
        <v>3944</v>
      </c>
      <c r="O52" s="28">
        <v>4930</v>
      </c>
      <c r="P52" s="28">
        <v>3451</v>
      </c>
      <c r="Q52" s="45">
        <v>5916</v>
      </c>
      <c r="R52" s="60">
        <v>2835</v>
      </c>
      <c r="S52" s="80">
        <f t="shared" si="1"/>
        <v>96129</v>
      </c>
      <c r="T52" s="6"/>
      <c r="U52" s="6"/>
      <c r="V52" s="6"/>
      <c r="W52" s="6"/>
      <c r="X52" s="6"/>
      <c r="Y52" s="6"/>
      <c r="Z52" s="6"/>
    </row>
    <row r="53" spans="1:26" ht="14.25" thickBot="1" x14ac:dyDescent="0.2">
      <c r="A53" s="30" t="s">
        <v>54</v>
      </c>
      <c r="B53" s="31">
        <v>4930</v>
      </c>
      <c r="C53" s="31">
        <v>31630</v>
      </c>
      <c r="D53" s="31">
        <v>1541</v>
      </c>
      <c r="E53" s="31">
        <v>9859</v>
      </c>
      <c r="F53" s="31">
        <v>2465</v>
      </c>
      <c r="G53" s="46">
        <v>4067</v>
      </c>
      <c r="H53" s="31">
        <v>2465</v>
      </c>
      <c r="I53" s="31">
        <v>10865</v>
      </c>
      <c r="J53" s="31">
        <v>1890</v>
      </c>
      <c r="K53" s="31">
        <v>1972</v>
      </c>
      <c r="L53" s="46">
        <v>904</v>
      </c>
      <c r="M53" s="31">
        <v>2465</v>
      </c>
      <c r="N53" s="31">
        <v>3944</v>
      </c>
      <c r="O53" s="31">
        <v>4930</v>
      </c>
      <c r="P53" s="31">
        <v>3451</v>
      </c>
      <c r="Q53" s="46">
        <v>5916</v>
      </c>
      <c r="R53" s="61">
        <v>2835</v>
      </c>
      <c r="S53" s="81">
        <f t="shared" si="1"/>
        <v>96129</v>
      </c>
    </row>
    <row r="54" spans="1:26" ht="14.25" thickBot="1" x14ac:dyDescent="0.2">
      <c r="A54" s="32" t="s">
        <v>55</v>
      </c>
      <c r="B54" s="33">
        <v>370428</v>
      </c>
      <c r="C54" s="33">
        <v>326738</v>
      </c>
      <c r="D54" s="33">
        <v>247018</v>
      </c>
      <c r="E54" s="33">
        <v>308151</v>
      </c>
      <c r="F54" s="33">
        <v>328177</v>
      </c>
      <c r="G54" s="47">
        <v>370281</v>
      </c>
      <c r="H54" s="33">
        <v>403664</v>
      </c>
      <c r="I54" s="33">
        <v>422632</v>
      </c>
      <c r="J54" s="33">
        <v>399941</v>
      </c>
      <c r="K54" s="33">
        <v>331006</v>
      </c>
      <c r="L54" s="47">
        <v>314017</v>
      </c>
      <c r="M54" s="33">
        <v>312383</v>
      </c>
      <c r="N54" s="33">
        <v>345032</v>
      </c>
      <c r="O54" s="33">
        <v>335168</v>
      </c>
      <c r="P54" s="33">
        <v>361290</v>
      </c>
      <c r="Q54" s="47">
        <v>298544</v>
      </c>
      <c r="R54" s="62">
        <v>337825</v>
      </c>
      <c r="S54" s="82">
        <f t="shared" si="1"/>
        <v>5812295</v>
      </c>
    </row>
    <row r="55" spans="1:26" x14ac:dyDescent="0.15">
      <c r="A55" s="27" t="s">
        <v>56</v>
      </c>
      <c r="B55" s="28">
        <v>16320</v>
      </c>
      <c r="C55" s="28">
        <v>12240</v>
      </c>
      <c r="D55" s="28">
        <v>13260</v>
      </c>
      <c r="E55" s="28">
        <v>15300</v>
      </c>
      <c r="F55" s="28">
        <v>16320</v>
      </c>
      <c r="G55" s="45">
        <v>17340</v>
      </c>
      <c r="H55" s="28">
        <v>19380</v>
      </c>
      <c r="I55" s="28">
        <v>17340</v>
      </c>
      <c r="J55" s="28">
        <v>19380</v>
      </c>
      <c r="K55" s="28">
        <v>16320</v>
      </c>
      <c r="L55" s="45">
        <v>15300</v>
      </c>
      <c r="M55" s="28">
        <v>15300</v>
      </c>
      <c r="N55" s="28">
        <v>16320</v>
      </c>
      <c r="O55" s="28">
        <v>14280</v>
      </c>
      <c r="P55" s="28">
        <v>16320</v>
      </c>
      <c r="Q55" s="45">
        <v>15300</v>
      </c>
      <c r="R55" s="60">
        <v>15300</v>
      </c>
      <c r="S55" s="80">
        <f t="shared" si="1"/>
        <v>271320</v>
      </c>
    </row>
    <row r="56" spans="1:26" x14ac:dyDescent="0.15">
      <c r="A56" s="14" t="s">
        <v>57</v>
      </c>
      <c r="B56" s="10">
        <v>2880</v>
      </c>
      <c r="C56" s="10">
        <v>2160</v>
      </c>
      <c r="D56" s="10">
        <v>0</v>
      </c>
      <c r="E56" s="10">
        <v>2700</v>
      </c>
      <c r="F56" s="10">
        <v>2880</v>
      </c>
      <c r="G56" s="43">
        <v>3060</v>
      </c>
      <c r="H56" s="10">
        <v>3420</v>
      </c>
      <c r="I56" s="10">
        <v>3060</v>
      </c>
      <c r="J56" s="10">
        <v>3420</v>
      </c>
      <c r="K56" s="10">
        <v>2880</v>
      </c>
      <c r="L56" s="43">
        <v>2700</v>
      </c>
      <c r="M56" s="10">
        <v>2700</v>
      </c>
      <c r="N56" s="10">
        <v>2880</v>
      </c>
      <c r="O56" s="10">
        <v>2520</v>
      </c>
      <c r="P56" s="10">
        <v>0</v>
      </c>
      <c r="Q56" s="43">
        <v>2700</v>
      </c>
      <c r="R56" s="58">
        <v>2700</v>
      </c>
      <c r="S56" s="78">
        <f t="shared" si="1"/>
        <v>42660</v>
      </c>
    </row>
    <row r="57" spans="1:26" x14ac:dyDescent="0.15">
      <c r="A57" s="14" t="s">
        <v>58</v>
      </c>
      <c r="B57" s="10">
        <v>29280</v>
      </c>
      <c r="C57" s="10">
        <v>21960</v>
      </c>
      <c r="D57" s="10">
        <v>23790</v>
      </c>
      <c r="E57" s="10">
        <v>27450</v>
      </c>
      <c r="F57" s="10">
        <v>29280</v>
      </c>
      <c r="G57" s="43">
        <v>31110</v>
      </c>
      <c r="H57" s="10">
        <v>34770</v>
      </c>
      <c r="I57" s="10">
        <v>31110</v>
      </c>
      <c r="J57" s="10">
        <v>34770</v>
      </c>
      <c r="K57" s="10">
        <v>29280</v>
      </c>
      <c r="L57" s="43">
        <v>27450</v>
      </c>
      <c r="M57" s="10">
        <v>27450</v>
      </c>
      <c r="N57" s="10">
        <v>29280</v>
      </c>
      <c r="O57" s="10">
        <v>25620</v>
      </c>
      <c r="P57" s="10">
        <v>29280</v>
      </c>
      <c r="Q57" s="43">
        <v>27450</v>
      </c>
      <c r="R57" s="58">
        <v>27450</v>
      </c>
      <c r="S57" s="78">
        <f t="shared" si="1"/>
        <v>486780</v>
      </c>
    </row>
    <row r="58" spans="1:26" x14ac:dyDescent="0.15">
      <c r="A58" s="14" t="s">
        <v>59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43">
        <v>0</v>
      </c>
      <c r="H58" s="10">
        <v>0</v>
      </c>
      <c r="I58" s="10">
        <v>0</v>
      </c>
      <c r="J58" s="10">
        <v>0</v>
      </c>
      <c r="K58" s="10">
        <v>0</v>
      </c>
      <c r="L58" s="43">
        <v>0</v>
      </c>
      <c r="M58" s="10">
        <v>0</v>
      </c>
      <c r="N58" s="10">
        <v>0</v>
      </c>
      <c r="O58" s="10">
        <v>0</v>
      </c>
      <c r="P58" s="10">
        <v>0</v>
      </c>
      <c r="Q58" s="43">
        <v>0</v>
      </c>
      <c r="R58" s="58">
        <v>0</v>
      </c>
      <c r="S58" s="78">
        <f t="shared" si="1"/>
        <v>0</v>
      </c>
    </row>
    <row r="59" spans="1:26" x14ac:dyDescent="0.15">
      <c r="A59" s="14" t="s">
        <v>60</v>
      </c>
      <c r="B59" s="10">
        <v>1111</v>
      </c>
      <c r="C59" s="10">
        <v>980</v>
      </c>
      <c r="D59" s="10">
        <v>741</v>
      </c>
      <c r="E59" s="10">
        <v>924</v>
      </c>
      <c r="F59" s="10">
        <v>985</v>
      </c>
      <c r="G59" s="43">
        <v>1111</v>
      </c>
      <c r="H59" s="10">
        <v>1211</v>
      </c>
      <c r="I59" s="10">
        <v>1268</v>
      </c>
      <c r="J59" s="10">
        <v>1200</v>
      </c>
      <c r="K59" s="10">
        <v>993</v>
      </c>
      <c r="L59" s="43">
        <v>942</v>
      </c>
      <c r="M59" s="10">
        <v>937</v>
      </c>
      <c r="N59" s="10">
        <v>1035</v>
      </c>
      <c r="O59" s="10">
        <v>1006</v>
      </c>
      <c r="P59" s="10">
        <v>1084</v>
      </c>
      <c r="Q59" s="43">
        <v>896</v>
      </c>
      <c r="R59" s="58">
        <v>1013</v>
      </c>
      <c r="S59" s="78">
        <f t="shared" si="1"/>
        <v>17437</v>
      </c>
    </row>
    <row r="60" spans="1:26" x14ac:dyDescent="0.15">
      <c r="A60" s="14" t="s">
        <v>61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43">
        <v>0</v>
      </c>
      <c r="H60" s="10">
        <v>0</v>
      </c>
      <c r="I60" s="10">
        <v>0</v>
      </c>
      <c r="J60" s="10">
        <v>0</v>
      </c>
      <c r="K60" s="10">
        <v>0</v>
      </c>
      <c r="L60" s="43">
        <v>0</v>
      </c>
      <c r="M60" s="10">
        <v>0</v>
      </c>
      <c r="N60" s="10">
        <v>0</v>
      </c>
      <c r="O60" s="10">
        <v>0</v>
      </c>
      <c r="P60" s="10">
        <v>0</v>
      </c>
      <c r="Q60" s="43">
        <v>0</v>
      </c>
      <c r="R60" s="58">
        <v>0</v>
      </c>
      <c r="S60" s="78">
        <f t="shared" si="1"/>
        <v>0</v>
      </c>
    </row>
    <row r="61" spans="1:26" ht="14.25" thickBot="1" x14ac:dyDescent="0.2">
      <c r="A61" s="30" t="s">
        <v>62</v>
      </c>
      <c r="B61" s="31">
        <v>49591</v>
      </c>
      <c r="C61" s="31">
        <v>37340</v>
      </c>
      <c r="D61" s="31">
        <v>37791</v>
      </c>
      <c r="E61" s="31">
        <v>46374</v>
      </c>
      <c r="F61" s="31">
        <v>49465</v>
      </c>
      <c r="G61" s="46">
        <v>52621</v>
      </c>
      <c r="H61" s="31">
        <v>58781</v>
      </c>
      <c r="I61" s="31">
        <v>52778</v>
      </c>
      <c r="J61" s="31">
        <v>58770</v>
      </c>
      <c r="K61" s="31">
        <v>49473</v>
      </c>
      <c r="L61" s="46">
        <v>46392</v>
      </c>
      <c r="M61" s="31">
        <v>46387</v>
      </c>
      <c r="N61" s="31">
        <v>49515</v>
      </c>
      <c r="O61" s="31">
        <v>43426</v>
      </c>
      <c r="P61" s="31">
        <v>46684</v>
      </c>
      <c r="Q61" s="46">
        <v>46346</v>
      </c>
      <c r="R61" s="61">
        <v>46463</v>
      </c>
      <c r="S61" s="81">
        <f t="shared" si="1"/>
        <v>818197</v>
      </c>
    </row>
    <row r="62" spans="1:26" ht="14.25" thickBot="1" x14ac:dyDescent="0.2">
      <c r="A62" s="32" t="s">
        <v>63</v>
      </c>
      <c r="B62" s="33">
        <v>315907</v>
      </c>
      <c r="C62" s="33">
        <v>257768</v>
      </c>
      <c r="D62" s="33">
        <v>207686</v>
      </c>
      <c r="E62" s="33">
        <v>251918</v>
      </c>
      <c r="F62" s="33">
        <v>276247</v>
      </c>
      <c r="G62" s="47">
        <v>313593</v>
      </c>
      <c r="H62" s="33">
        <v>342418</v>
      </c>
      <c r="I62" s="33">
        <v>358989</v>
      </c>
      <c r="J62" s="33">
        <v>339281</v>
      </c>
      <c r="K62" s="33">
        <v>279561</v>
      </c>
      <c r="L62" s="47">
        <v>266721</v>
      </c>
      <c r="M62" s="33">
        <v>263531</v>
      </c>
      <c r="N62" s="33">
        <v>291573</v>
      </c>
      <c r="O62" s="33">
        <v>286812</v>
      </c>
      <c r="P62" s="33">
        <v>311155</v>
      </c>
      <c r="Q62" s="47">
        <v>246282</v>
      </c>
      <c r="R62" s="62">
        <v>288527</v>
      </c>
      <c r="S62" s="82">
        <f t="shared" si="1"/>
        <v>4897969</v>
      </c>
    </row>
    <row r="63" spans="1:26" x14ac:dyDescent="0.15">
      <c r="A63" s="27" t="s">
        <v>64</v>
      </c>
      <c r="B63" s="28">
        <v>4140</v>
      </c>
      <c r="C63" s="28">
        <v>6830</v>
      </c>
      <c r="D63" s="28">
        <v>3420</v>
      </c>
      <c r="E63" s="28">
        <v>5000</v>
      </c>
      <c r="F63" s="28">
        <v>7490</v>
      </c>
      <c r="G63" s="45">
        <v>7280</v>
      </c>
      <c r="H63" s="28">
        <v>11840</v>
      </c>
      <c r="I63" s="28">
        <v>9970</v>
      </c>
      <c r="J63" s="28">
        <v>11590</v>
      </c>
      <c r="K63" s="28">
        <v>7610</v>
      </c>
      <c r="L63" s="45">
        <v>5530</v>
      </c>
      <c r="M63" s="28">
        <v>7030</v>
      </c>
      <c r="N63" s="28">
        <v>8040</v>
      </c>
      <c r="O63" s="28">
        <v>7870</v>
      </c>
      <c r="P63" s="28">
        <v>9290</v>
      </c>
      <c r="Q63" s="45">
        <v>6420</v>
      </c>
      <c r="R63" s="60">
        <v>7930</v>
      </c>
      <c r="S63" s="80">
        <f t="shared" si="1"/>
        <v>127280</v>
      </c>
    </row>
    <row r="64" spans="1:26" x14ac:dyDescent="0.15">
      <c r="A64" s="14" t="s">
        <v>65</v>
      </c>
      <c r="B64" s="10">
        <v>1300</v>
      </c>
      <c r="C64" s="10">
        <v>0</v>
      </c>
      <c r="D64" s="10">
        <v>0</v>
      </c>
      <c r="E64" s="10">
        <v>1300</v>
      </c>
      <c r="F64" s="10">
        <v>1300</v>
      </c>
      <c r="G64" s="43">
        <v>1300</v>
      </c>
      <c r="H64" s="10">
        <v>0</v>
      </c>
      <c r="I64" s="10">
        <v>1300</v>
      </c>
      <c r="J64" s="10">
        <v>1300</v>
      </c>
      <c r="K64" s="10">
        <v>1300</v>
      </c>
      <c r="L64" s="43">
        <v>1300</v>
      </c>
      <c r="M64" s="10">
        <v>1300</v>
      </c>
      <c r="N64" s="10">
        <v>1300</v>
      </c>
      <c r="O64" s="10">
        <v>0</v>
      </c>
      <c r="P64" s="10">
        <v>0</v>
      </c>
      <c r="Q64" s="43">
        <v>1300</v>
      </c>
      <c r="R64" s="58">
        <v>1300</v>
      </c>
      <c r="S64" s="78">
        <f t="shared" si="1"/>
        <v>15600</v>
      </c>
    </row>
    <row r="65" spans="1:19" x14ac:dyDescent="0.15">
      <c r="A65" s="14" t="s">
        <v>66</v>
      </c>
      <c r="B65" s="10">
        <v>2400</v>
      </c>
      <c r="C65" s="10">
        <v>0</v>
      </c>
      <c r="D65" s="10">
        <v>0</v>
      </c>
      <c r="E65" s="10">
        <v>8100</v>
      </c>
      <c r="F65" s="10">
        <v>14700</v>
      </c>
      <c r="G65" s="43">
        <v>13700</v>
      </c>
      <c r="H65" s="10">
        <v>16600</v>
      </c>
      <c r="I65" s="10">
        <v>13400</v>
      </c>
      <c r="J65" s="10">
        <v>17300</v>
      </c>
      <c r="K65" s="10">
        <v>13600</v>
      </c>
      <c r="L65" s="43">
        <v>8100</v>
      </c>
      <c r="M65" s="10">
        <v>13300</v>
      </c>
      <c r="N65" s="10">
        <v>9200</v>
      </c>
      <c r="O65" s="10">
        <v>9600</v>
      </c>
      <c r="P65" s="10">
        <v>13700</v>
      </c>
      <c r="Q65" s="43">
        <v>12300</v>
      </c>
      <c r="R65" s="58">
        <v>11200</v>
      </c>
      <c r="S65" s="78">
        <f t="shared" si="1"/>
        <v>177200</v>
      </c>
    </row>
    <row r="66" spans="1:19" x14ac:dyDescent="0.15">
      <c r="A66" s="14" t="s">
        <v>67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43">
        <v>0</v>
      </c>
      <c r="H66" s="10">
        <v>10000</v>
      </c>
      <c r="I66" s="10">
        <v>0</v>
      </c>
      <c r="J66" s="10">
        <v>0</v>
      </c>
      <c r="K66" s="10">
        <v>0</v>
      </c>
      <c r="L66" s="43">
        <v>0</v>
      </c>
      <c r="M66" s="10">
        <v>0</v>
      </c>
      <c r="N66" s="10">
        <v>0</v>
      </c>
      <c r="O66" s="10">
        <v>0</v>
      </c>
      <c r="P66" s="10">
        <v>0</v>
      </c>
      <c r="Q66" s="43">
        <v>0</v>
      </c>
      <c r="R66" s="58">
        <v>0</v>
      </c>
      <c r="S66" s="78">
        <f t="shared" si="1"/>
        <v>10000</v>
      </c>
    </row>
    <row r="67" spans="1:19" x14ac:dyDescent="0.15">
      <c r="A67" s="14" t="s">
        <v>68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43">
        <v>0</v>
      </c>
      <c r="H67" s="10">
        <v>0</v>
      </c>
      <c r="I67" s="10">
        <v>0</v>
      </c>
      <c r="J67" s="10">
        <v>0</v>
      </c>
      <c r="K67" s="10">
        <v>0</v>
      </c>
      <c r="L67" s="43">
        <v>0</v>
      </c>
      <c r="M67" s="10">
        <v>0</v>
      </c>
      <c r="N67" s="10">
        <v>0</v>
      </c>
      <c r="O67" s="10">
        <v>0</v>
      </c>
      <c r="P67" s="10">
        <v>0</v>
      </c>
      <c r="Q67" s="43">
        <v>0</v>
      </c>
      <c r="R67" s="58">
        <v>0</v>
      </c>
      <c r="S67" s="78">
        <f t="shared" si="1"/>
        <v>0</v>
      </c>
    </row>
    <row r="68" spans="1:19" x14ac:dyDescent="0.15">
      <c r="A68" s="14" t="s">
        <v>69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43">
        <v>0</v>
      </c>
      <c r="H68" s="10">
        <v>0</v>
      </c>
      <c r="I68" s="10">
        <v>0</v>
      </c>
      <c r="J68" s="10">
        <v>0</v>
      </c>
      <c r="K68" s="10">
        <v>0</v>
      </c>
      <c r="L68" s="43">
        <v>0</v>
      </c>
      <c r="M68" s="10">
        <v>0</v>
      </c>
      <c r="N68" s="10">
        <v>0</v>
      </c>
      <c r="O68" s="10">
        <v>0</v>
      </c>
      <c r="P68" s="10">
        <v>0</v>
      </c>
      <c r="Q68" s="43">
        <v>0</v>
      </c>
      <c r="R68" s="58">
        <v>0</v>
      </c>
      <c r="S68" s="78">
        <f t="shared" si="1"/>
        <v>0</v>
      </c>
    </row>
    <row r="69" spans="1:19" ht="14.25" thickBot="1" x14ac:dyDescent="0.2">
      <c r="A69" s="30" t="s">
        <v>70</v>
      </c>
      <c r="B69" s="31">
        <v>7840</v>
      </c>
      <c r="C69" s="31">
        <v>6830</v>
      </c>
      <c r="D69" s="31">
        <v>3420</v>
      </c>
      <c r="E69" s="31">
        <v>14400</v>
      </c>
      <c r="F69" s="31">
        <v>23490</v>
      </c>
      <c r="G69" s="46">
        <v>22280</v>
      </c>
      <c r="H69" s="31">
        <v>38440</v>
      </c>
      <c r="I69" s="31">
        <v>24670</v>
      </c>
      <c r="J69" s="31">
        <v>30190</v>
      </c>
      <c r="K69" s="31">
        <v>22510</v>
      </c>
      <c r="L69" s="46">
        <v>14930</v>
      </c>
      <c r="M69" s="31">
        <v>21630</v>
      </c>
      <c r="N69" s="31">
        <v>18540</v>
      </c>
      <c r="O69" s="31">
        <v>17470</v>
      </c>
      <c r="P69" s="31">
        <v>22990</v>
      </c>
      <c r="Q69" s="46">
        <v>20020</v>
      </c>
      <c r="R69" s="61">
        <v>20430</v>
      </c>
      <c r="S69" s="81">
        <f t="shared" si="1"/>
        <v>330080</v>
      </c>
    </row>
    <row r="70" spans="1:19" ht="14.25" thickBot="1" x14ac:dyDescent="0.2">
      <c r="A70" s="32" t="s">
        <v>71</v>
      </c>
      <c r="B70" s="33">
        <v>57431</v>
      </c>
      <c r="C70" s="33">
        <v>44170</v>
      </c>
      <c r="D70" s="33">
        <v>41211</v>
      </c>
      <c r="E70" s="33">
        <v>60774</v>
      </c>
      <c r="F70" s="33">
        <v>72955</v>
      </c>
      <c r="G70" s="47">
        <v>74901</v>
      </c>
      <c r="H70" s="33">
        <v>97221</v>
      </c>
      <c r="I70" s="33">
        <v>77448</v>
      </c>
      <c r="J70" s="33">
        <v>88960</v>
      </c>
      <c r="K70" s="33">
        <v>71983</v>
      </c>
      <c r="L70" s="47">
        <v>61322</v>
      </c>
      <c r="M70" s="33">
        <v>68017</v>
      </c>
      <c r="N70" s="33">
        <v>68055</v>
      </c>
      <c r="O70" s="33">
        <v>60896</v>
      </c>
      <c r="P70" s="33">
        <v>69674</v>
      </c>
      <c r="Q70" s="47">
        <v>66366</v>
      </c>
      <c r="R70" s="62">
        <v>66893</v>
      </c>
      <c r="S70" s="82">
        <f t="shared" si="1"/>
        <v>1148277</v>
      </c>
    </row>
    <row r="71" spans="1:19" ht="14.25" thickBot="1" x14ac:dyDescent="0.2">
      <c r="A71" s="32" t="s">
        <v>72</v>
      </c>
      <c r="B71" s="33">
        <v>312997</v>
      </c>
      <c r="C71" s="33">
        <v>282568</v>
      </c>
      <c r="D71" s="33">
        <v>205807</v>
      </c>
      <c r="E71" s="33">
        <v>247377</v>
      </c>
      <c r="F71" s="33">
        <v>255222</v>
      </c>
      <c r="G71" s="47">
        <v>295380</v>
      </c>
      <c r="H71" s="33">
        <v>306443</v>
      </c>
      <c r="I71" s="33">
        <v>345184</v>
      </c>
      <c r="J71" s="33">
        <v>310981</v>
      </c>
      <c r="K71" s="33">
        <v>259023</v>
      </c>
      <c r="L71" s="47">
        <v>252695</v>
      </c>
      <c r="M71" s="33">
        <v>244366</v>
      </c>
      <c r="N71" s="33">
        <v>276977</v>
      </c>
      <c r="O71" s="33">
        <v>274272</v>
      </c>
      <c r="P71" s="33">
        <v>291616</v>
      </c>
      <c r="Q71" s="47">
        <v>232178</v>
      </c>
      <c r="R71" s="62">
        <v>270932</v>
      </c>
      <c r="S71" s="82">
        <f t="shared" si="1"/>
        <v>4664018</v>
      </c>
    </row>
    <row r="72" spans="1:19" x14ac:dyDescent="0.15">
      <c r="A72" s="27" t="s">
        <v>73</v>
      </c>
      <c r="B72" s="28">
        <v>0</v>
      </c>
      <c r="C72" s="28">
        <v>0</v>
      </c>
      <c r="D72" s="28">
        <v>0</v>
      </c>
      <c r="E72" s="28">
        <v>0</v>
      </c>
      <c r="F72" s="28">
        <v>0</v>
      </c>
      <c r="G72" s="45">
        <v>0</v>
      </c>
      <c r="H72" s="28">
        <v>0</v>
      </c>
      <c r="I72" s="28">
        <v>0</v>
      </c>
      <c r="J72" s="28">
        <v>0</v>
      </c>
      <c r="K72" s="28">
        <v>0</v>
      </c>
      <c r="L72" s="45">
        <v>0</v>
      </c>
      <c r="M72" s="28">
        <v>0</v>
      </c>
      <c r="N72" s="28">
        <v>0</v>
      </c>
      <c r="O72" s="28">
        <v>0</v>
      </c>
      <c r="P72" s="28">
        <v>0</v>
      </c>
      <c r="Q72" s="45">
        <v>0</v>
      </c>
      <c r="R72" s="60">
        <v>0</v>
      </c>
      <c r="S72" s="80">
        <f t="shared" si="1"/>
        <v>0</v>
      </c>
    </row>
    <row r="73" spans="1:19" x14ac:dyDescent="0.15">
      <c r="A73" s="14" t="s">
        <v>74</v>
      </c>
      <c r="B73" s="10">
        <v>312997</v>
      </c>
      <c r="C73" s="10">
        <v>282568</v>
      </c>
      <c r="D73" s="10">
        <v>205807</v>
      </c>
      <c r="E73" s="10">
        <v>247377</v>
      </c>
      <c r="F73" s="10">
        <v>255222</v>
      </c>
      <c r="G73" s="43">
        <v>295380</v>
      </c>
      <c r="H73" s="10">
        <v>306443</v>
      </c>
      <c r="I73" s="10">
        <v>345184</v>
      </c>
      <c r="J73" s="10">
        <v>310981</v>
      </c>
      <c r="K73" s="10">
        <v>259023</v>
      </c>
      <c r="L73" s="43">
        <v>252695</v>
      </c>
      <c r="M73" s="10">
        <v>244366</v>
      </c>
      <c r="N73" s="10">
        <v>276977</v>
      </c>
      <c r="O73" s="10">
        <v>274272</v>
      </c>
      <c r="P73" s="10">
        <v>291616</v>
      </c>
      <c r="Q73" s="43">
        <v>232178</v>
      </c>
      <c r="R73" s="58">
        <v>270932</v>
      </c>
      <c r="S73" s="78">
        <f t="shared" si="1"/>
        <v>4664018</v>
      </c>
    </row>
    <row r="74" spans="1:19" x14ac:dyDescent="0.15">
      <c r="A74" s="14" t="s">
        <v>75</v>
      </c>
      <c r="B74" s="11">
        <v>11</v>
      </c>
      <c r="C74" s="11">
        <v>8</v>
      </c>
      <c r="D74" s="11"/>
      <c r="E74" s="11">
        <v>30</v>
      </c>
      <c r="F74" s="11">
        <v>29</v>
      </c>
      <c r="G74" s="48">
        <v>35</v>
      </c>
      <c r="H74" s="11">
        <v>33</v>
      </c>
      <c r="I74" s="11">
        <v>24</v>
      </c>
      <c r="J74" s="11">
        <v>29</v>
      </c>
      <c r="K74" s="11">
        <v>32</v>
      </c>
      <c r="L74" s="48">
        <v>33</v>
      </c>
      <c r="M74" s="11">
        <v>14</v>
      </c>
      <c r="N74" s="11">
        <v>29</v>
      </c>
      <c r="O74" s="11">
        <v>5</v>
      </c>
      <c r="P74" s="11">
        <v>11</v>
      </c>
      <c r="Q74" s="48">
        <v>17</v>
      </c>
      <c r="R74" s="63">
        <v>8</v>
      </c>
      <c r="S74" s="83"/>
    </row>
    <row r="75" spans="1:19" x14ac:dyDescent="0.15">
      <c r="A75" s="14" t="s">
        <v>76</v>
      </c>
      <c r="B75" s="12">
        <v>3</v>
      </c>
      <c r="C75" s="12"/>
      <c r="D75" s="12">
        <v>1</v>
      </c>
      <c r="E75" s="12">
        <v>1</v>
      </c>
      <c r="F75" s="12"/>
      <c r="G75" s="49">
        <v>1</v>
      </c>
      <c r="H75" s="12"/>
      <c r="I75" s="12">
        <v>1</v>
      </c>
      <c r="J75" s="12"/>
      <c r="K75" s="12"/>
      <c r="L75" s="49">
        <v>1</v>
      </c>
      <c r="M75" s="12"/>
      <c r="N75" s="12"/>
      <c r="O75" s="12"/>
      <c r="P75" s="12"/>
      <c r="Q75" s="49"/>
      <c r="R75" s="64"/>
      <c r="S75" s="84"/>
    </row>
    <row r="76" spans="1:19" ht="14.25" thickBot="1" x14ac:dyDescent="0.2">
      <c r="A76" s="15" t="s">
        <v>77</v>
      </c>
      <c r="B76" s="16" t="s">
        <v>78</v>
      </c>
      <c r="C76" s="16" t="s">
        <v>78</v>
      </c>
      <c r="D76" s="16" t="s">
        <v>78</v>
      </c>
      <c r="E76" s="16" t="s">
        <v>78</v>
      </c>
      <c r="F76" s="16" t="s">
        <v>78</v>
      </c>
      <c r="G76" s="50" t="s">
        <v>78</v>
      </c>
      <c r="H76" s="16" t="s">
        <v>78</v>
      </c>
      <c r="I76" s="16" t="s">
        <v>78</v>
      </c>
      <c r="J76" s="16" t="s">
        <v>78</v>
      </c>
      <c r="K76" s="16" t="s">
        <v>78</v>
      </c>
      <c r="L76" s="50" t="s">
        <v>78</v>
      </c>
      <c r="M76" s="16" t="s">
        <v>78</v>
      </c>
      <c r="N76" s="16" t="s">
        <v>78</v>
      </c>
      <c r="O76" s="16" t="s">
        <v>78</v>
      </c>
      <c r="P76" s="16" t="s">
        <v>78</v>
      </c>
      <c r="Q76" s="50" t="s">
        <v>78</v>
      </c>
      <c r="R76" s="65" t="s">
        <v>78</v>
      </c>
      <c r="S76" s="85"/>
    </row>
  </sheetData>
  <phoneticPr fontId="1"/>
  <pageMargins left="0.43307086614173229" right="0.35433070866141736" top="0.51181102362204722" bottom="0.35433070866141736" header="0.19685039370078741" footer="0.27559055118110237"/>
  <pageSetup paperSize="12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1頁 (3)</vt:lpstr>
      <vt:lpstr>1頁 (4)</vt:lpstr>
      <vt:lpstr>助成金</vt:lpstr>
      <vt:lpstr>'1頁 (3)'!Print_Area</vt:lpstr>
      <vt:lpstr>'1頁 (4)'!Print_Area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2021-03-12T05:47:10Z</cp:lastPrinted>
  <dcterms:created xsi:type="dcterms:W3CDTF">2011-10-11T01:59:58Z</dcterms:created>
  <dcterms:modified xsi:type="dcterms:W3CDTF">2021-03-12T06:03:45Z</dcterms:modified>
</cp:coreProperties>
</file>