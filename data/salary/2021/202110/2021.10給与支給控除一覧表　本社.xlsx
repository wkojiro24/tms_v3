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0\"/>
    </mc:Choice>
  </mc:AlternateContent>
  <xr:revisionPtr revIDLastSave="0" documentId="13_ncr:1_{687087FB-3E5E-41DC-99CC-2EAAC74F3319}" xr6:coauthVersionLast="47" xr6:coauthVersionMax="47" xr10:uidLastSave="{00000000-0000-0000-0000-000000000000}"/>
  <bookViews>
    <workbookView xWindow="-120" yWindow="-120" windowWidth="20730" windowHeight="11160" xr2:uid="{C4787501-8844-498B-BEAB-921AD536A1AE}"/>
  </bookViews>
  <sheets>
    <sheet name="2021年10月度給与 (2)" sheetId="3" r:id="rId1"/>
  </sheets>
  <definedNames>
    <definedName name="_xlnm.Print_Area" localSheetId="0">'2021年10月度給与 (2)'!$A$1:$M$61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3" l="1"/>
  <c r="M8" i="3"/>
  <c r="M9" i="3"/>
  <c r="M10" i="3"/>
  <c r="M11" i="3"/>
  <c r="M12" i="3"/>
  <c r="M13" i="3"/>
  <c r="M15" i="3"/>
  <c r="M16" i="3"/>
  <c r="M17" i="3"/>
  <c r="M18" i="3"/>
  <c r="M19" i="3"/>
  <c r="M20" i="3"/>
  <c r="M21" i="3"/>
  <c r="M22" i="3"/>
  <c r="M23" i="3"/>
  <c r="L24" i="3"/>
  <c r="L23" i="3"/>
  <c r="L20" i="3"/>
  <c r="L16" i="3"/>
  <c r="L15" i="3"/>
  <c r="L10" i="3"/>
  <c r="L7" i="3"/>
  <c r="L6" i="3"/>
  <c r="J26" i="3"/>
  <c r="M26" i="3" s="1"/>
  <c r="J27" i="3"/>
  <c r="M27" i="3" s="1"/>
  <c r="J28" i="3"/>
  <c r="M28" i="3" s="1"/>
  <c r="J29" i="3"/>
  <c r="M29" i="3" s="1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25" i="3"/>
  <c r="M25" i="3" s="1"/>
  <c r="J24" i="3"/>
  <c r="M24" i="3" s="1"/>
  <c r="J14" i="3"/>
  <c r="M14" i="3" s="1"/>
  <c r="J6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30" i="3"/>
  <c r="M30" i="3" s="1"/>
  <c r="F6" i="3"/>
  <c r="M6" i="3" s="1"/>
  <c r="M49" i="3" l="1"/>
  <c r="M45" i="3"/>
  <c r="M41" i="3"/>
  <c r="M37" i="3"/>
  <c r="M33" i="3"/>
  <c r="M56" i="3"/>
  <c r="M52" i="3"/>
  <c r="M48" i="3"/>
  <c r="M44" i="3"/>
  <c r="M40" i="3"/>
  <c r="M36" i="3"/>
  <c r="M55" i="3"/>
  <c r="M59" i="3"/>
  <c r="M54" i="3"/>
  <c r="M47" i="3"/>
  <c r="M39" i="3"/>
  <c r="M32" i="3"/>
  <c r="M57" i="3"/>
  <c r="M53" i="3"/>
  <c r="M50" i="3"/>
  <c r="M46" i="3"/>
  <c r="M42" i="3"/>
  <c r="M38" i="3"/>
  <c r="M34" i="3"/>
  <c r="M31" i="3"/>
  <c r="M58" i="3"/>
  <c r="M51" i="3"/>
  <c r="M43" i="3"/>
  <c r="M35" i="3"/>
</calcChain>
</file>

<file path=xl/sharedStrings.xml><?xml version="1.0" encoding="utf-8"?>
<sst xmlns="http://schemas.openxmlformats.org/spreadsheetml/2006/main" count="145" uniqueCount="79">
  <si>
    <t>支給控除一覧表</t>
    <phoneticPr fontId="4"/>
  </si>
  <si>
    <t>若林運送株式会社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</si>
  <si>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</si>
  <si>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</si>
  <si>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</si>
  <si>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</si>
  <si>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</si>
  <si>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</si>
  <si>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</si>
  <si>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</si>
  <si>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</si>
  <si>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若林権太郎</t>
    <phoneticPr fontId="4"/>
  </si>
  <si>
    <t>若林孝次郎</t>
    <phoneticPr fontId="4"/>
  </si>
  <si>
    <t>若林裕子</t>
    <phoneticPr fontId="4"/>
  </si>
  <si>
    <t>深沢道夫</t>
    <phoneticPr fontId="4"/>
  </si>
  <si>
    <t>浅田恵美子</t>
    <phoneticPr fontId="4"/>
  </si>
  <si>
    <t>高田智幸</t>
    <phoneticPr fontId="4"/>
  </si>
  <si>
    <t>渋谷晶子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</si>
  <si>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</si>
  <si>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</si>
  <si>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</si>
  <si>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</si>
  <si>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</si>
  <si>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</si>
  <si>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</si>
  <si>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</si>
  <si>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</si>
  <si>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</si>
  <si>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</si>
  <si>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</si>
  <si>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</si>
  <si>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</si>
  <si>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</si>
  <si>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</si>
  <si>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</si>
  <si>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</si>
  <si>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</si>
  <si>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</si>
  <si>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</si>
  <si>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</si>
  <si>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</si>
  <si>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</si>
  <si>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</si>
  <si>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</si>
  <si>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</si>
  <si>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</si>
  <si>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</si>
  <si>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</si>
  <si>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</si>
  <si>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</si>
  <si>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</si>
  <si>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</si>
  <si>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</si>
  <si>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</si>
  <si>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</si>
  <si>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</si>
  <si>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</si>
  <si>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</si>
  <si>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</si>
  <si>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</si>
  <si>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</si>
  <si>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</si>
  <si>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</si>
  <si>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</si>
  <si>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</si>
  <si>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</si>
  <si>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</si>
  <si>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</si>
  <si>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</si>
  <si>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</si>
  <si>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</si>
  <si>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</si>
  <si>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</si>
  <si>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</si>
  <si>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2021年10月度給与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</si>
  <si>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</si>
  <si>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</si>
  <si>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1名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</si>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</sst>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7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8" xfId="1" applyNumberFormat="1" applyFont="1" applyBorder="1" applyAlignment="1">
      <alignment horizontal="left"/>
    </xf>
    <xf numFmtId="49" fontId="2" fillId="0" borderId="39" xfId="1" applyNumberFormat="1" applyFont="1" applyBorder="1" applyAlignment="1">
      <alignment horizontal="right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25" xfId="1" applyNumberFormat="1" applyFont="1" applyBorder="1"/>
    <xf numFmtId="49" fontId="2" fillId="0" borderId="39" xfId="1" applyNumberFormat="1" applyFont="1" applyBorder="1"/>
    <xf numFmtId="49" fontId="2" fillId="0" borderId="6" xfId="1" applyNumberFormat="1" applyFont="1" applyBorder="1" applyAlignment="1">
      <alignment horizontal="left"/>
    </xf>
    <xf numFmtId="49" fontId="2" fillId="0" borderId="12" xfId="1" applyNumberFormat="1" applyFont="1" applyBorder="1" applyAlignment="1">
      <alignment horizontal="right"/>
    </xf>
    <xf numFmtId="0" fontId="2" fillId="0" borderId="38" xfId="1" applyFont="1" applyBorder="1"/>
    <xf numFmtId="0" fontId="2" fillId="0" borderId="43" xfId="1" applyFont="1" applyBorder="1"/>
    <xf numFmtId="0" fontId="2" fillId="0" borderId="39" xfId="1" applyFont="1" applyBorder="1" applyAlignment="1">
      <alignment horizontal="right"/>
    </xf>
  </cellXfs>
  <cellStyles count="2">
    <cellStyle name="標準" xfId="0" builtinId="0"/>
    <cellStyle name="標準 2" xfId="1" xr:uid="{E51E870A-B895-4D19-9187-B8744E7CAA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8712-01DE-4D97-9C66-86BB1B88A038}">
  <sheetPr>
    <pageSetUpPr fitToPage="1"/>
  </sheetPr>
  <dimension ref="A1:M61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3" width="11.25" style="2" customWidth="1"/>
    <col min="14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4" width="9" style="2"/>
    <col min="265" max="265" width="11.125" style="2" bestFit="1" customWidth="1"/>
    <col min="266" max="267" width="9" style="2"/>
    <col min="268" max="268" width="9.625" style="2" bestFit="1" customWidth="1"/>
    <col min="269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0" width="9" style="2"/>
    <col min="521" max="521" width="11.125" style="2" bestFit="1" customWidth="1"/>
    <col min="522" max="523" width="9" style="2"/>
    <col min="524" max="524" width="9.625" style="2" bestFit="1" customWidth="1"/>
    <col min="525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6" width="9" style="2"/>
    <col min="777" max="777" width="11.125" style="2" bestFit="1" customWidth="1"/>
    <col min="778" max="779" width="9" style="2"/>
    <col min="780" max="780" width="9.625" style="2" bestFit="1" customWidth="1"/>
    <col min="781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2" width="9" style="2"/>
    <col min="1033" max="1033" width="11.125" style="2" bestFit="1" customWidth="1"/>
    <col min="1034" max="1035" width="9" style="2"/>
    <col min="1036" max="1036" width="9.625" style="2" bestFit="1" customWidth="1"/>
    <col min="1037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8" width="9" style="2"/>
    <col min="1289" max="1289" width="11.125" style="2" bestFit="1" customWidth="1"/>
    <col min="1290" max="1291" width="9" style="2"/>
    <col min="1292" max="1292" width="9.625" style="2" bestFit="1" customWidth="1"/>
    <col min="1293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4" width="9" style="2"/>
    <col min="1545" max="1545" width="11.125" style="2" bestFit="1" customWidth="1"/>
    <col min="1546" max="1547" width="9" style="2"/>
    <col min="1548" max="1548" width="9.625" style="2" bestFit="1" customWidth="1"/>
    <col min="1549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0" width="9" style="2"/>
    <col min="1801" max="1801" width="11.125" style="2" bestFit="1" customWidth="1"/>
    <col min="1802" max="1803" width="9" style="2"/>
    <col min="1804" max="1804" width="9.625" style="2" bestFit="1" customWidth="1"/>
    <col min="1805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6" width="9" style="2"/>
    <col min="2057" max="2057" width="11.125" style="2" bestFit="1" customWidth="1"/>
    <col min="2058" max="2059" width="9" style="2"/>
    <col min="2060" max="2060" width="9.625" style="2" bestFit="1" customWidth="1"/>
    <col min="2061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2" width="9" style="2"/>
    <col min="2313" max="2313" width="11.125" style="2" bestFit="1" customWidth="1"/>
    <col min="2314" max="2315" width="9" style="2"/>
    <col min="2316" max="2316" width="9.625" style="2" bestFit="1" customWidth="1"/>
    <col min="2317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8" width="9" style="2"/>
    <col min="2569" max="2569" width="11.125" style="2" bestFit="1" customWidth="1"/>
    <col min="2570" max="2571" width="9" style="2"/>
    <col min="2572" max="2572" width="9.625" style="2" bestFit="1" customWidth="1"/>
    <col min="2573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4" width="9" style="2"/>
    <col min="2825" max="2825" width="11.125" style="2" bestFit="1" customWidth="1"/>
    <col min="2826" max="2827" width="9" style="2"/>
    <col min="2828" max="2828" width="9.625" style="2" bestFit="1" customWidth="1"/>
    <col min="2829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0" width="9" style="2"/>
    <col min="3081" max="3081" width="11.125" style="2" bestFit="1" customWidth="1"/>
    <col min="3082" max="3083" width="9" style="2"/>
    <col min="3084" max="3084" width="9.625" style="2" bestFit="1" customWidth="1"/>
    <col min="3085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6" width="9" style="2"/>
    <col min="3337" max="3337" width="11.125" style="2" bestFit="1" customWidth="1"/>
    <col min="3338" max="3339" width="9" style="2"/>
    <col min="3340" max="3340" width="9.625" style="2" bestFit="1" customWidth="1"/>
    <col min="3341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2" width="9" style="2"/>
    <col min="3593" max="3593" width="11.125" style="2" bestFit="1" customWidth="1"/>
    <col min="3594" max="3595" width="9" style="2"/>
    <col min="3596" max="3596" width="9.625" style="2" bestFit="1" customWidth="1"/>
    <col min="3597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8" width="9" style="2"/>
    <col min="3849" max="3849" width="11.125" style="2" bestFit="1" customWidth="1"/>
    <col min="3850" max="3851" width="9" style="2"/>
    <col min="3852" max="3852" width="9.625" style="2" bestFit="1" customWidth="1"/>
    <col min="3853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4" width="9" style="2"/>
    <col min="4105" max="4105" width="11.125" style="2" bestFit="1" customWidth="1"/>
    <col min="4106" max="4107" width="9" style="2"/>
    <col min="4108" max="4108" width="9.625" style="2" bestFit="1" customWidth="1"/>
    <col min="4109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0" width="9" style="2"/>
    <col min="4361" max="4361" width="11.125" style="2" bestFit="1" customWidth="1"/>
    <col min="4362" max="4363" width="9" style="2"/>
    <col min="4364" max="4364" width="9.625" style="2" bestFit="1" customWidth="1"/>
    <col min="4365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6" width="9" style="2"/>
    <col min="4617" max="4617" width="11.125" style="2" bestFit="1" customWidth="1"/>
    <col min="4618" max="4619" width="9" style="2"/>
    <col min="4620" max="4620" width="9.625" style="2" bestFit="1" customWidth="1"/>
    <col min="4621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2" width="9" style="2"/>
    <col min="4873" max="4873" width="11.125" style="2" bestFit="1" customWidth="1"/>
    <col min="4874" max="4875" width="9" style="2"/>
    <col min="4876" max="4876" width="9.625" style="2" bestFit="1" customWidth="1"/>
    <col min="4877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8" width="9" style="2"/>
    <col min="5129" max="5129" width="11.125" style="2" bestFit="1" customWidth="1"/>
    <col min="5130" max="5131" width="9" style="2"/>
    <col min="5132" max="5132" width="9.625" style="2" bestFit="1" customWidth="1"/>
    <col min="5133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4" width="9" style="2"/>
    <col min="5385" max="5385" width="11.125" style="2" bestFit="1" customWidth="1"/>
    <col min="5386" max="5387" width="9" style="2"/>
    <col min="5388" max="5388" width="9.625" style="2" bestFit="1" customWidth="1"/>
    <col min="5389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0" width="9" style="2"/>
    <col min="5641" max="5641" width="11.125" style="2" bestFit="1" customWidth="1"/>
    <col min="5642" max="5643" width="9" style="2"/>
    <col min="5644" max="5644" width="9.625" style="2" bestFit="1" customWidth="1"/>
    <col min="5645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6" width="9" style="2"/>
    <col min="5897" max="5897" width="11.125" style="2" bestFit="1" customWidth="1"/>
    <col min="5898" max="5899" width="9" style="2"/>
    <col min="5900" max="5900" width="9.625" style="2" bestFit="1" customWidth="1"/>
    <col min="5901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2" width="9" style="2"/>
    <col min="6153" max="6153" width="11.125" style="2" bestFit="1" customWidth="1"/>
    <col min="6154" max="6155" width="9" style="2"/>
    <col min="6156" max="6156" width="9.625" style="2" bestFit="1" customWidth="1"/>
    <col min="6157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8" width="9" style="2"/>
    <col min="6409" max="6409" width="11.125" style="2" bestFit="1" customWidth="1"/>
    <col min="6410" max="6411" width="9" style="2"/>
    <col min="6412" max="6412" width="9.625" style="2" bestFit="1" customWidth="1"/>
    <col min="6413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4" width="9" style="2"/>
    <col min="6665" max="6665" width="11.125" style="2" bestFit="1" customWidth="1"/>
    <col min="6666" max="6667" width="9" style="2"/>
    <col min="6668" max="6668" width="9.625" style="2" bestFit="1" customWidth="1"/>
    <col min="6669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0" width="9" style="2"/>
    <col min="6921" max="6921" width="11.125" style="2" bestFit="1" customWidth="1"/>
    <col min="6922" max="6923" width="9" style="2"/>
    <col min="6924" max="6924" width="9.625" style="2" bestFit="1" customWidth="1"/>
    <col min="6925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6" width="9" style="2"/>
    <col min="7177" max="7177" width="11.125" style="2" bestFit="1" customWidth="1"/>
    <col min="7178" max="7179" width="9" style="2"/>
    <col min="7180" max="7180" width="9.625" style="2" bestFit="1" customWidth="1"/>
    <col min="7181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2" width="9" style="2"/>
    <col min="7433" max="7433" width="11.125" style="2" bestFit="1" customWidth="1"/>
    <col min="7434" max="7435" width="9" style="2"/>
    <col min="7436" max="7436" width="9.625" style="2" bestFit="1" customWidth="1"/>
    <col min="7437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8" width="9" style="2"/>
    <col min="7689" max="7689" width="11.125" style="2" bestFit="1" customWidth="1"/>
    <col min="7690" max="7691" width="9" style="2"/>
    <col min="7692" max="7692" width="9.625" style="2" bestFit="1" customWidth="1"/>
    <col min="7693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4" width="9" style="2"/>
    <col min="7945" max="7945" width="11.125" style="2" bestFit="1" customWidth="1"/>
    <col min="7946" max="7947" width="9" style="2"/>
    <col min="7948" max="7948" width="9.625" style="2" bestFit="1" customWidth="1"/>
    <col min="7949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0" width="9" style="2"/>
    <col min="8201" max="8201" width="11.125" style="2" bestFit="1" customWidth="1"/>
    <col min="8202" max="8203" width="9" style="2"/>
    <col min="8204" max="8204" width="9.625" style="2" bestFit="1" customWidth="1"/>
    <col min="8205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6" width="9" style="2"/>
    <col min="8457" max="8457" width="11.125" style="2" bestFit="1" customWidth="1"/>
    <col min="8458" max="8459" width="9" style="2"/>
    <col min="8460" max="8460" width="9.625" style="2" bestFit="1" customWidth="1"/>
    <col min="8461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2" width="9" style="2"/>
    <col min="8713" max="8713" width="11.125" style="2" bestFit="1" customWidth="1"/>
    <col min="8714" max="8715" width="9" style="2"/>
    <col min="8716" max="8716" width="9.625" style="2" bestFit="1" customWidth="1"/>
    <col min="8717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8" width="9" style="2"/>
    <col min="8969" max="8969" width="11.125" style="2" bestFit="1" customWidth="1"/>
    <col min="8970" max="8971" width="9" style="2"/>
    <col min="8972" max="8972" width="9.625" style="2" bestFit="1" customWidth="1"/>
    <col min="8973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4" width="9" style="2"/>
    <col min="9225" max="9225" width="11.125" style="2" bestFit="1" customWidth="1"/>
    <col min="9226" max="9227" width="9" style="2"/>
    <col min="9228" max="9228" width="9.625" style="2" bestFit="1" customWidth="1"/>
    <col min="9229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0" width="9" style="2"/>
    <col min="9481" max="9481" width="11.125" style="2" bestFit="1" customWidth="1"/>
    <col min="9482" max="9483" width="9" style="2"/>
    <col min="9484" max="9484" width="9.625" style="2" bestFit="1" customWidth="1"/>
    <col min="9485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6" width="9" style="2"/>
    <col min="9737" max="9737" width="11.125" style="2" bestFit="1" customWidth="1"/>
    <col min="9738" max="9739" width="9" style="2"/>
    <col min="9740" max="9740" width="9.625" style="2" bestFit="1" customWidth="1"/>
    <col min="9741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2" width="9" style="2"/>
    <col min="9993" max="9993" width="11.125" style="2" bestFit="1" customWidth="1"/>
    <col min="9994" max="9995" width="9" style="2"/>
    <col min="9996" max="9996" width="9.625" style="2" bestFit="1" customWidth="1"/>
    <col min="9997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8" width="9" style="2"/>
    <col min="10249" max="10249" width="11.125" style="2" bestFit="1" customWidth="1"/>
    <col min="10250" max="10251" width="9" style="2"/>
    <col min="10252" max="10252" width="9.625" style="2" bestFit="1" customWidth="1"/>
    <col min="10253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4" width="9" style="2"/>
    <col min="10505" max="10505" width="11.125" style="2" bestFit="1" customWidth="1"/>
    <col min="10506" max="10507" width="9" style="2"/>
    <col min="10508" max="10508" width="9.625" style="2" bestFit="1" customWidth="1"/>
    <col min="10509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0" width="9" style="2"/>
    <col min="10761" max="10761" width="11.125" style="2" bestFit="1" customWidth="1"/>
    <col min="10762" max="10763" width="9" style="2"/>
    <col min="10764" max="10764" width="9.625" style="2" bestFit="1" customWidth="1"/>
    <col min="10765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6" width="9" style="2"/>
    <col min="11017" max="11017" width="11.125" style="2" bestFit="1" customWidth="1"/>
    <col min="11018" max="11019" width="9" style="2"/>
    <col min="11020" max="11020" width="9.625" style="2" bestFit="1" customWidth="1"/>
    <col min="11021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2" width="9" style="2"/>
    <col min="11273" max="11273" width="11.125" style="2" bestFit="1" customWidth="1"/>
    <col min="11274" max="11275" width="9" style="2"/>
    <col min="11276" max="11276" width="9.625" style="2" bestFit="1" customWidth="1"/>
    <col min="11277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8" width="9" style="2"/>
    <col min="11529" max="11529" width="11.125" style="2" bestFit="1" customWidth="1"/>
    <col min="11530" max="11531" width="9" style="2"/>
    <col min="11532" max="11532" width="9.625" style="2" bestFit="1" customWidth="1"/>
    <col min="11533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4" width="9" style="2"/>
    <col min="11785" max="11785" width="11.125" style="2" bestFit="1" customWidth="1"/>
    <col min="11786" max="11787" width="9" style="2"/>
    <col min="11788" max="11788" width="9.625" style="2" bestFit="1" customWidth="1"/>
    <col min="11789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0" width="9" style="2"/>
    <col min="12041" max="12041" width="11.125" style="2" bestFit="1" customWidth="1"/>
    <col min="12042" max="12043" width="9" style="2"/>
    <col min="12044" max="12044" width="9.625" style="2" bestFit="1" customWidth="1"/>
    <col min="12045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6" width="9" style="2"/>
    <col min="12297" max="12297" width="11.125" style="2" bestFit="1" customWidth="1"/>
    <col min="12298" max="12299" width="9" style="2"/>
    <col min="12300" max="12300" width="9.625" style="2" bestFit="1" customWidth="1"/>
    <col min="12301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2" width="9" style="2"/>
    <col min="12553" max="12553" width="11.125" style="2" bestFit="1" customWidth="1"/>
    <col min="12554" max="12555" width="9" style="2"/>
    <col min="12556" max="12556" width="9.625" style="2" bestFit="1" customWidth="1"/>
    <col min="12557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8" width="9" style="2"/>
    <col min="12809" max="12809" width="11.125" style="2" bestFit="1" customWidth="1"/>
    <col min="12810" max="12811" width="9" style="2"/>
    <col min="12812" max="12812" width="9.625" style="2" bestFit="1" customWidth="1"/>
    <col min="12813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4" width="9" style="2"/>
    <col min="13065" max="13065" width="11.125" style="2" bestFit="1" customWidth="1"/>
    <col min="13066" max="13067" width="9" style="2"/>
    <col min="13068" max="13068" width="9.625" style="2" bestFit="1" customWidth="1"/>
    <col min="13069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0" width="9" style="2"/>
    <col min="13321" max="13321" width="11.125" style="2" bestFit="1" customWidth="1"/>
    <col min="13322" max="13323" width="9" style="2"/>
    <col min="13324" max="13324" width="9.625" style="2" bestFit="1" customWidth="1"/>
    <col min="13325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6" width="9" style="2"/>
    <col min="13577" max="13577" width="11.125" style="2" bestFit="1" customWidth="1"/>
    <col min="13578" max="13579" width="9" style="2"/>
    <col min="13580" max="13580" width="9.625" style="2" bestFit="1" customWidth="1"/>
    <col min="13581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2" width="9" style="2"/>
    <col min="13833" max="13833" width="11.125" style="2" bestFit="1" customWidth="1"/>
    <col min="13834" max="13835" width="9" style="2"/>
    <col min="13836" max="13836" width="9.625" style="2" bestFit="1" customWidth="1"/>
    <col min="13837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8" width="9" style="2"/>
    <col min="14089" max="14089" width="11.125" style="2" bestFit="1" customWidth="1"/>
    <col min="14090" max="14091" width="9" style="2"/>
    <col min="14092" max="14092" width="9.625" style="2" bestFit="1" customWidth="1"/>
    <col min="14093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4" width="9" style="2"/>
    <col min="14345" max="14345" width="11.125" style="2" bestFit="1" customWidth="1"/>
    <col min="14346" max="14347" width="9" style="2"/>
    <col min="14348" max="14348" width="9.625" style="2" bestFit="1" customWidth="1"/>
    <col min="14349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0" width="9" style="2"/>
    <col min="14601" max="14601" width="11.125" style="2" bestFit="1" customWidth="1"/>
    <col min="14602" max="14603" width="9" style="2"/>
    <col min="14604" max="14604" width="9.625" style="2" bestFit="1" customWidth="1"/>
    <col min="14605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6" width="9" style="2"/>
    <col min="14857" max="14857" width="11.125" style="2" bestFit="1" customWidth="1"/>
    <col min="14858" max="14859" width="9" style="2"/>
    <col min="14860" max="14860" width="9.625" style="2" bestFit="1" customWidth="1"/>
    <col min="14861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2" width="9" style="2"/>
    <col min="15113" max="15113" width="11.125" style="2" bestFit="1" customWidth="1"/>
    <col min="15114" max="15115" width="9" style="2"/>
    <col min="15116" max="15116" width="9.625" style="2" bestFit="1" customWidth="1"/>
    <col min="15117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8" width="9" style="2"/>
    <col min="15369" max="15369" width="11.125" style="2" bestFit="1" customWidth="1"/>
    <col min="15370" max="15371" width="9" style="2"/>
    <col min="15372" max="15372" width="9.625" style="2" bestFit="1" customWidth="1"/>
    <col min="15373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4" width="9" style="2"/>
    <col min="15625" max="15625" width="11.125" style="2" bestFit="1" customWidth="1"/>
    <col min="15626" max="15627" width="9" style="2"/>
    <col min="15628" max="15628" width="9.625" style="2" bestFit="1" customWidth="1"/>
    <col min="15629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0" width="9" style="2"/>
    <col min="15881" max="15881" width="11.125" style="2" bestFit="1" customWidth="1"/>
    <col min="15882" max="15883" width="9" style="2"/>
    <col min="15884" max="15884" width="9.625" style="2" bestFit="1" customWidth="1"/>
    <col min="15885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6" width="9" style="2"/>
    <col min="16137" max="16137" width="11.125" style="2" bestFit="1" customWidth="1"/>
    <col min="16138" max="16139" width="9" style="2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 ht="19.5" thickBot="1">
      <c r="A3" s="1" t="s">
        <v>74</v>
      </c>
    </row>
    <row r="4" spans="1:13">
      <c r="B4" s="3"/>
      <c r="C4" s="6" t="s">
        <v>3</v>
      </c>
      <c r="D4" s="7" t="s">
        <v>4</v>
      </c>
      <c r="E4" s="43" t="s">
        <v>5</v>
      </c>
      <c r="F4" s="65" t="s">
        <v>75</v>
      </c>
      <c r="G4" s="54" t="s">
        <v>6</v>
      </c>
      <c r="H4" s="7" t="s">
        <v>7</v>
      </c>
      <c r="I4" s="8" t="s">
        <v>9</v>
      </c>
      <c r="J4" s="65" t="s">
        <v>75</v>
      </c>
      <c r="K4" s="54" t="s">
        <v>8</v>
      </c>
      <c r="L4" s="76" t="s">
        <v>75</v>
      </c>
      <c r="M4" s="78" t="s">
        <v>18</v>
      </c>
    </row>
    <row r="5" spans="1:13" ht="19.5" thickBot="1">
      <c r="A5" s="79"/>
      <c r="B5" s="25" t="s">
        <v>10</v>
      </c>
      <c r="C5" s="26" t="s">
        <v>11</v>
      </c>
      <c r="D5" s="27" t="s">
        <v>12</v>
      </c>
      <c r="E5" s="44" t="s">
        <v>13</v>
      </c>
      <c r="F5" s="66" t="s">
        <v>76</v>
      </c>
      <c r="G5" s="55" t="s">
        <v>14</v>
      </c>
      <c r="H5" s="27" t="s">
        <v>15</v>
      </c>
      <c r="I5" s="28" t="s">
        <v>17</v>
      </c>
      <c r="J5" s="66" t="s">
        <v>76</v>
      </c>
      <c r="K5" s="55" t="s">
        <v>16</v>
      </c>
      <c r="L5" s="77" t="s">
        <v>77</v>
      </c>
      <c r="M5" s="80" t="s">
        <v>78</v>
      </c>
    </row>
    <row r="6" spans="1:13">
      <c r="A6" s="1" t="s">
        <v>2</v>
      </c>
      <c r="B6" s="21" t="s">
        <v>19</v>
      </c>
      <c r="C6" s="22">
        <v>20</v>
      </c>
      <c r="D6" s="23">
        <v>0</v>
      </c>
      <c r="E6" s="45">
        <v>0</v>
      </c>
      <c r="F6" s="67">
        <f>SUM(C6:E6)</f>
        <v>20</v>
      </c>
      <c r="G6" s="56">
        <v>21</v>
      </c>
      <c r="H6" s="23">
        <v>21</v>
      </c>
      <c r="I6" s="24">
        <v>18</v>
      </c>
      <c r="J6" s="67">
        <f>SUM(G6:I6)</f>
        <v>60</v>
      </c>
      <c r="K6" s="56">
        <v>20</v>
      </c>
      <c r="L6" s="24">
        <f>SUM(K6)</f>
        <v>20</v>
      </c>
      <c r="M6" s="67">
        <f>F6+J6+K6</f>
        <v>100</v>
      </c>
    </row>
    <row r="7" spans="1:13">
      <c r="A7" s="1" t="s">
        <v>2</v>
      </c>
      <c r="B7" s="4" t="s">
        <v>20</v>
      </c>
      <c r="C7" s="9">
        <v>0</v>
      </c>
      <c r="D7" s="10">
        <v>0</v>
      </c>
      <c r="E7" s="46">
        <v>0</v>
      </c>
      <c r="F7" s="68"/>
      <c r="G7" s="57">
        <v>0</v>
      </c>
      <c r="H7" s="10">
        <v>0</v>
      </c>
      <c r="I7" s="11">
        <v>0</v>
      </c>
      <c r="J7" s="68"/>
      <c r="K7" s="57">
        <v>2</v>
      </c>
      <c r="L7" s="11">
        <f>SUM(K7)</f>
        <v>2</v>
      </c>
      <c r="M7" s="68">
        <f t="shared" ref="M7:M59" si="0">F7+J7+K7</f>
        <v>2</v>
      </c>
    </row>
    <row r="8" spans="1:13">
      <c r="A8" s="1" t="s">
        <v>2</v>
      </c>
      <c r="B8" s="4" t="s">
        <v>21</v>
      </c>
      <c r="C8" s="9">
        <v>0</v>
      </c>
      <c r="D8" s="10">
        <v>0</v>
      </c>
      <c r="E8" s="46">
        <v>0</v>
      </c>
      <c r="F8" s="68"/>
      <c r="G8" s="57">
        <v>0</v>
      </c>
      <c r="H8" s="10">
        <v>0</v>
      </c>
      <c r="I8" s="11">
        <v>0</v>
      </c>
      <c r="J8" s="68"/>
      <c r="K8" s="57">
        <v>0</v>
      </c>
      <c r="L8" s="11"/>
      <c r="M8" s="68">
        <f t="shared" si="0"/>
        <v>0</v>
      </c>
    </row>
    <row r="9" spans="1:13">
      <c r="A9" s="1" t="s">
        <v>2</v>
      </c>
      <c r="B9" s="4" t="s">
        <v>22</v>
      </c>
      <c r="C9" s="9">
        <v>0</v>
      </c>
      <c r="D9" s="10">
        <v>0</v>
      </c>
      <c r="E9" s="46">
        <v>0</v>
      </c>
      <c r="F9" s="68"/>
      <c r="G9" s="57">
        <v>0</v>
      </c>
      <c r="H9" s="10">
        <v>0</v>
      </c>
      <c r="I9" s="11">
        <v>0</v>
      </c>
      <c r="J9" s="68"/>
      <c r="K9" s="57">
        <v>0</v>
      </c>
      <c r="L9" s="11"/>
      <c r="M9" s="68">
        <f t="shared" si="0"/>
        <v>0</v>
      </c>
    </row>
    <row r="10" spans="1:13">
      <c r="A10" s="1" t="s">
        <v>2</v>
      </c>
      <c r="B10" s="4" t="s">
        <v>23</v>
      </c>
      <c r="C10" s="9">
        <v>0</v>
      </c>
      <c r="D10" s="10">
        <v>0</v>
      </c>
      <c r="E10" s="46">
        <v>0</v>
      </c>
      <c r="F10" s="68"/>
      <c r="G10" s="57">
        <v>0</v>
      </c>
      <c r="H10" s="10">
        <v>0</v>
      </c>
      <c r="I10" s="11">
        <v>0</v>
      </c>
      <c r="J10" s="68"/>
      <c r="K10" s="57">
        <v>1</v>
      </c>
      <c r="L10" s="11">
        <f>SUM(K10)</f>
        <v>1</v>
      </c>
      <c r="M10" s="68">
        <f t="shared" si="0"/>
        <v>1</v>
      </c>
    </row>
    <row r="11" spans="1:13">
      <c r="A11" s="1" t="s">
        <v>2</v>
      </c>
      <c r="B11" s="4" t="s">
        <v>24</v>
      </c>
      <c r="C11" s="9">
        <v>0</v>
      </c>
      <c r="D11" s="10">
        <v>0</v>
      </c>
      <c r="E11" s="46">
        <v>0</v>
      </c>
      <c r="F11" s="68"/>
      <c r="G11" s="57">
        <v>0</v>
      </c>
      <c r="H11" s="10">
        <v>0</v>
      </c>
      <c r="I11" s="11">
        <v>0</v>
      </c>
      <c r="J11" s="68"/>
      <c r="K11" s="57">
        <v>0</v>
      </c>
      <c r="L11" s="11"/>
      <c r="M11" s="68">
        <f t="shared" si="0"/>
        <v>0</v>
      </c>
    </row>
    <row r="12" spans="1:13">
      <c r="A12" s="1" t="s">
        <v>2</v>
      </c>
      <c r="B12" s="4" t="s">
        <v>25</v>
      </c>
      <c r="C12" s="9">
        <v>0</v>
      </c>
      <c r="D12" s="10">
        <v>0</v>
      </c>
      <c r="E12" s="46">
        <v>0</v>
      </c>
      <c r="F12" s="68"/>
      <c r="G12" s="57">
        <v>0</v>
      </c>
      <c r="H12" s="10">
        <v>0</v>
      </c>
      <c r="I12" s="11">
        <v>0</v>
      </c>
      <c r="J12" s="68"/>
      <c r="K12" s="57">
        <v>0</v>
      </c>
      <c r="L12" s="11"/>
      <c r="M12" s="68">
        <f t="shared" si="0"/>
        <v>0</v>
      </c>
    </row>
    <row r="13" spans="1:13">
      <c r="A13" s="1" t="s">
        <v>2</v>
      </c>
      <c r="B13" s="4" t="s">
        <v>26</v>
      </c>
      <c r="C13" s="9">
        <v>0</v>
      </c>
      <c r="D13" s="10">
        <v>0</v>
      </c>
      <c r="E13" s="46">
        <v>0</v>
      </c>
      <c r="F13" s="68"/>
      <c r="G13" s="57">
        <v>0</v>
      </c>
      <c r="H13" s="10">
        <v>0</v>
      </c>
      <c r="I13" s="11">
        <v>0</v>
      </c>
      <c r="J13" s="68"/>
      <c r="K13" s="57">
        <v>0</v>
      </c>
      <c r="L13" s="11"/>
      <c r="M13" s="68">
        <f t="shared" si="0"/>
        <v>0</v>
      </c>
    </row>
    <row r="14" spans="1:13">
      <c r="A14" s="1" t="s">
        <v>2</v>
      </c>
      <c r="B14" s="4" t="s">
        <v>27</v>
      </c>
      <c r="C14" s="12">
        <v>0</v>
      </c>
      <c r="D14" s="13">
        <v>0</v>
      </c>
      <c r="E14" s="47">
        <v>0</v>
      </c>
      <c r="F14" s="69"/>
      <c r="G14" s="58">
        <v>0</v>
      </c>
      <c r="H14" s="13">
        <v>0</v>
      </c>
      <c r="I14" s="14">
        <v>3.7916666666666665</v>
      </c>
      <c r="J14" s="69">
        <f>SUM(G14:I14)</f>
        <v>3.7916666666666665</v>
      </c>
      <c r="K14" s="58">
        <v>0</v>
      </c>
      <c r="L14" s="14"/>
      <c r="M14" s="69">
        <f t="shared" si="0"/>
        <v>3.7916666666666665</v>
      </c>
    </row>
    <row r="15" spans="1:13">
      <c r="A15" s="1" t="s">
        <v>2</v>
      </c>
      <c r="B15" s="4" t="s">
        <v>28</v>
      </c>
      <c r="C15" s="12">
        <v>0</v>
      </c>
      <c r="D15" s="13">
        <v>0</v>
      </c>
      <c r="E15" s="47">
        <v>0</v>
      </c>
      <c r="F15" s="69"/>
      <c r="G15" s="58">
        <v>0</v>
      </c>
      <c r="H15" s="13">
        <v>0</v>
      </c>
      <c r="I15" s="14">
        <v>0</v>
      </c>
      <c r="J15" s="69"/>
      <c r="K15" s="58">
        <v>0.58333333333333337</v>
      </c>
      <c r="L15" s="14">
        <f>SUM(K15)</f>
        <v>0.58333333333333337</v>
      </c>
      <c r="M15" s="69">
        <f t="shared" si="0"/>
        <v>0.58333333333333337</v>
      </c>
    </row>
    <row r="16" spans="1:13">
      <c r="A16" s="1" t="s">
        <v>2</v>
      </c>
      <c r="B16" s="4" t="s">
        <v>29</v>
      </c>
      <c r="C16" s="12">
        <v>0</v>
      </c>
      <c r="D16" s="13">
        <v>0</v>
      </c>
      <c r="E16" s="47">
        <v>0</v>
      </c>
      <c r="F16" s="69"/>
      <c r="G16" s="58">
        <v>0</v>
      </c>
      <c r="H16" s="13">
        <v>0</v>
      </c>
      <c r="I16" s="14">
        <v>0</v>
      </c>
      <c r="J16" s="69"/>
      <c r="K16" s="58">
        <v>0.125</v>
      </c>
      <c r="L16" s="14">
        <f>SUM(K16)</f>
        <v>0.125</v>
      </c>
      <c r="M16" s="69">
        <f t="shared" si="0"/>
        <v>0.125</v>
      </c>
    </row>
    <row r="17" spans="1:13">
      <c r="A17" s="1" t="s">
        <v>2</v>
      </c>
      <c r="B17" s="4" t="s">
        <v>30</v>
      </c>
      <c r="C17" s="12">
        <v>0</v>
      </c>
      <c r="D17" s="13">
        <v>0</v>
      </c>
      <c r="E17" s="47">
        <v>0</v>
      </c>
      <c r="F17" s="69"/>
      <c r="G17" s="58">
        <v>0</v>
      </c>
      <c r="H17" s="13">
        <v>0</v>
      </c>
      <c r="I17" s="14">
        <v>0</v>
      </c>
      <c r="J17" s="69"/>
      <c r="K17" s="58">
        <v>0</v>
      </c>
      <c r="L17" s="14"/>
      <c r="M17" s="69">
        <f t="shared" si="0"/>
        <v>0</v>
      </c>
    </row>
    <row r="18" spans="1:13">
      <c r="A18" s="1" t="s">
        <v>2</v>
      </c>
      <c r="B18" s="4" t="s">
        <v>31</v>
      </c>
      <c r="C18" s="12">
        <v>0</v>
      </c>
      <c r="D18" s="13">
        <v>0</v>
      </c>
      <c r="E18" s="47">
        <v>0</v>
      </c>
      <c r="F18" s="69"/>
      <c r="G18" s="58">
        <v>0</v>
      </c>
      <c r="H18" s="13">
        <v>0</v>
      </c>
      <c r="I18" s="14">
        <v>0</v>
      </c>
      <c r="J18" s="69"/>
      <c r="K18" s="58">
        <v>0</v>
      </c>
      <c r="L18" s="14"/>
      <c r="M18" s="69">
        <f t="shared" si="0"/>
        <v>0</v>
      </c>
    </row>
    <row r="19" spans="1:13">
      <c r="A19" s="1" t="s">
        <v>2</v>
      </c>
      <c r="B19" s="4" t="s">
        <v>32</v>
      </c>
      <c r="C19" s="12">
        <v>0</v>
      </c>
      <c r="D19" s="13">
        <v>0</v>
      </c>
      <c r="E19" s="47">
        <v>0</v>
      </c>
      <c r="F19" s="69"/>
      <c r="G19" s="58">
        <v>0</v>
      </c>
      <c r="H19" s="13">
        <v>0</v>
      </c>
      <c r="I19" s="14">
        <v>0</v>
      </c>
      <c r="J19" s="69"/>
      <c r="K19" s="58">
        <v>0</v>
      </c>
      <c r="L19" s="14"/>
      <c r="M19" s="69">
        <f t="shared" si="0"/>
        <v>0</v>
      </c>
    </row>
    <row r="20" spans="1:13">
      <c r="A20" s="1" t="s">
        <v>2</v>
      </c>
      <c r="B20" s="4" t="s">
        <v>33</v>
      </c>
      <c r="C20" s="12">
        <v>0</v>
      </c>
      <c r="D20" s="13">
        <v>0</v>
      </c>
      <c r="E20" s="47">
        <v>0</v>
      </c>
      <c r="F20" s="69"/>
      <c r="G20" s="58">
        <v>0</v>
      </c>
      <c r="H20" s="13">
        <v>0</v>
      </c>
      <c r="I20" s="14">
        <v>0</v>
      </c>
      <c r="J20" s="69"/>
      <c r="K20" s="58">
        <v>0.5</v>
      </c>
      <c r="L20" s="14">
        <f>SUM(K20)</f>
        <v>0.5</v>
      </c>
      <c r="M20" s="69">
        <f t="shared" si="0"/>
        <v>0.5</v>
      </c>
    </row>
    <row r="21" spans="1:13">
      <c r="A21" s="1" t="s">
        <v>2</v>
      </c>
      <c r="B21" s="4" t="s">
        <v>34</v>
      </c>
      <c r="C21" s="12">
        <v>0</v>
      </c>
      <c r="D21" s="13">
        <v>0</v>
      </c>
      <c r="E21" s="47">
        <v>0</v>
      </c>
      <c r="F21" s="69"/>
      <c r="G21" s="58">
        <v>0</v>
      </c>
      <c r="H21" s="13">
        <v>0</v>
      </c>
      <c r="I21" s="14">
        <v>0</v>
      </c>
      <c r="J21" s="69"/>
      <c r="K21" s="58">
        <v>0</v>
      </c>
      <c r="L21" s="14"/>
      <c r="M21" s="69">
        <f t="shared" si="0"/>
        <v>0</v>
      </c>
    </row>
    <row r="22" spans="1:13">
      <c r="A22" s="1" t="s">
        <v>2</v>
      </c>
      <c r="B22" s="4" t="s">
        <v>35</v>
      </c>
      <c r="C22" s="12">
        <v>0</v>
      </c>
      <c r="D22" s="13">
        <v>0</v>
      </c>
      <c r="E22" s="47">
        <v>0</v>
      </c>
      <c r="F22" s="69"/>
      <c r="G22" s="58">
        <v>0</v>
      </c>
      <c r="H22" s="13">
        <v>0</v>
      </c>
      <c r="I22" s="14">
        <v>0</v>
      </c>
      <c r="J22" s="69"/>
      <c r="K22" s="58">
        <v>0</v>
      </c>
      <c r="L22" s="14"/>
      <c r="M22" s="69">
        <f t="shared" si="0"/>
        <v>0</v>
      </c>
    </row>
    <row r="23" spans="1:13">
      <c r="A23" s="1" t="s">
        <v>2</v>
      </c>
      <c r="B23" s="4" t="s">
        <v>36</v>
      </c>
      <c r="C23" s="12">
        <v>0</v>
      </c>
      <c r="D23" s="13">
        <v>0</v>
      </c>
      <c r="E23" s="47">
        <v>0</v>
      </c>
      <c r="F23" s="69"/>
      <c r="G23" s="58">
        <v>0</v>
      </c>
      <c r="H23" s="13">
        <v>0</v>
      </c>
      <c r="I23" s="14">
        <v>0</v>
      </c>
      <c r="J23" s="69"/>
      <c r="K23" s="58">
        <v>4.1666666666666664E-2</v>
      </c>
      <c r="L23" s="14">
        <f>SUM(K23)</f>
        <v>4.1666666666666664E-2</v>
      </c>
      <c r="M23" s="69">
        <f t="shared" si="0"/>
        <v>4.1666666666666664E-2</v>
      </c>
    </row>
    <row r="24" spans="1:13" ht="19.5" thickBot="1">
      <c r="A24" s="1" t="s">
        <v>2</v>
      </c>
      <c r="B24" s="5" t="s">
        <v>37</v>
      </c>
      <c r="C24" s="32">
        <v>0</v>
      </c>
      <c r="D24" s="33">
        <v>0</v>
      </c>
      <c r="E24" s="48">
        <v>0</v>
      </c>
      <c r="F24" s="70"/>
      <c r="G24" s="59">
        <v>15</v>
      </c>
      <c r="H24" s="33">
        <v>32</v>
      </c>
      <c r="I24" s="34">
        <v>33</v>
      </c>
      <c r="J24" s="70">
        <f>SUM(G24:I24)</f>
        <v>80</v>
      </c>
      <c r="K24" s="59">
        <v>13.5</v>
      </c>
      <c r="L24" s="34">
        <f>SUM(K24)</f>
        <v>13.5</v>
      </c>
      <c r="M24" s="70">
        <f t="shared" si="0"/>
        <v>93.5</v>
      </c>
    </row>
    <row r="25" spans="1:13">
      <c r="A25" s="1" t="s">
        <v>2</v>
      </c>
      <c r="B25" s="21" t="s">
        <v>38</v>
      </c>
      <c r="C25" s="29">
        <v>0</v>
      </c>
      <c r="D25" s="30">
        <v>0</v>
      </c>
      <c r="E25" s="49">
        <v>0</v>
      </c>
      <c r="F25" s="71"/>
      <c r="G25" s="60">
        <v>375000</v>
      </c>
      <c r="H25" s="30">
        <v>365000</v>
      </c>
      <c r="I25" s="31">
        <v>0</v>
      </c>
      <c r="J25" s="71">
        <f>SUM(G25:I25)</f>
        <v>740000</v>
      </c>
      <c r="K25" s="60">
        <v>220000</v>
      </c>
      <c r="L25" s="31">
        <v>220000</v>
      </c>
      <c r="M25" s="71">
        <f t="shared" si="0"/>
        <v>960000</v>
      </c>
    </row>
    <row r="26" spans="1:13">
      <c r="A26" s="1" t="s">
        <v>2</v>
      </c>
      <c r="B26" s="4" t="s">
        <v>39</v>
      </c>
      <c r="C26" s="15">
        <v>0</v>
      </c>
      <c r="D26" s="16">
        <v>0</v>
      </c>
      <c r="E26" s="50">
        <v>0</v>
      </c>
      <c r="F26" s="72"/>
      <c r="G26" s="61">
        <v>0</v>
      </c>
      <c r="H26" s="16">
        <v>0</v>
      </c>
      <c r="I26" s="17">
        <v>0</v>
      </c>
      <c r="J26" s="72">
        <f t="shared" ref="J26:J59" si="1">SUM(G26:I26)</f>
        <v>0</v>
      </c>
      <c r="K26" s="61">
        <v>5000</v>
      </c>
      <c r="L26" s="17">
        <v>5000</v>
      </c>
      <c r="M26" s="72">
        <f t="shared" si="0"/>
        <v>5000</v>
      </c>
    </row>
    <row r="27" spans="1:13">
      <c r="A27" s="1" t="s">
        <v>2</v>
      </c>
      <c r="B27" s="4" t="s">
        <v>40</v>
      </c>
      <c r="C27" s="15">
        <v>0</v>
      </c>
      <c r="D27" s="16">
        <v>0</v>
      </c>
      <c r="E27" s="50">
        <v>0</v>
      </c>
      <c r="F27" s="72"/>
      <c r="G27" s="61">
        <v>0</v>
      </c>
      <c r="H27" s="16">
        <v>0</v>
      </c>
      <c r="I27" s="17">
        <v>0</v>
      </c>
      <c r="J27" s="72">
        <f t="shared" si="1"/>
        <v>0</v>
      </c>
      <c r="K27" s="61">
        <v>6000</v>
      </c>
      <c r="L27" s="17">
        <v>6000</v>
      </c>
      <c r="M27" s="72">
        <f t="shared" si="0"/>
        <v>6000</v>
      </c>
    </row>
    <row r="28" spans="1:13">
      <c r="A28" s="1" t="s">
        <v>2</v>
      </c>
      <c r="B28" s="4" t="s">
        <v>41</v>
      </c>
      <c r="C28" s="15">
        <v>0</v>
      </c>
      <c r="D28" s="16">
        <v>0</v>
      </c>
      <c r="E28" s="50">
        <v>0</v>
      </c>
      <c r="F28" s="72"/>
      <c r="G28" s="61">
        <v>50000</v>
      </c>
      <c r="H28" s="16">
        <v>50000</v>
      </c>
      <c r="I28" s="17">
        <v>0</v>
      </c>
      <c r="J28" s="72">
        <f t="shared" si="1"/>
        <v>100000</v>
      </c>
      <c r="K28" s="61">
        <v>50000</v>
      </c>
      <c r="L28" s="17">
        <v>50000</v>
      </c>
      <c r="M28" s="72">
        <f t="shared" si="0"/>
        <v>150000</v>
      </c>
    </row>
    <row r="29" spans="1:13">
      <c r="A29" s="1" t="s">
        <v>2</v>
      </c>
      <c r="B29" s="4" t="s">
        <v>42</v>
      </c>
      <c r="C29" s="15">
        <v>0</v>
      </c>
      <c r="D29" s="16">
        <v>0</v>
      </c>
      <c r="E29" s="50">
        <v>0</v>
      </c>
      <c r="F29" s="72"/>
      <c r="G29" s="61">
        <v>0</v>
      </c>
      <c r="H29" s="16">
        <v>0</v>
      </c>
      <c r="I29" s="17">
        <v>106925</v>
      </c>
      <c r="J29" s="72">
        <f t="shared" si="1"/>
        <v>106925</v>
      </c>
      <c r="K29" s="61">
        <v>0</v>
      </c>
      <c r="L29" s="17">
        <v>0</v>
      </c>
      <c r="M29" s="72">
        <f t="shared" si="0"/>
        <v>106925</v>
      </c>
    </row>
    <row r="30" spans="1:13">
      <c r="A30" s="1" t="s">
        <v>2</v>
      </c>
      <c r="B30" s="4" t="s">
        <v>43</v>
      </c>
      <c r="C30" s="15">
        <v>1315000</v>
      </c>
      <c r="D30" s="16">
        <v>250000</v>
      </c>
      <c r="E30" s="50">
        <v>100000</v>
      </c>
      <c r="F30" s="72">
        <f>SUM(C30:E30)</f>
        <v>1665000</v>
      </c>
      <c r="G30" s="61">
        <v>0</v>
      </c>
      <c r="H30" s="16">
        <v>0</v>
      </c>
      <c r="I30" s="17">
        <v>0</v>
      </c>
      <c r="J30" s="72">
        <f t="shared" si="1"/>
        <v>0</v>
      </c>
      <c r="K30" s="61">
        <v>0</v>
      </c>
      <c r="L30" s="17">
        <v>0</v>
      </c>
      <c r="M30" s="72">
        <f t="shared" si="0"/>
        <v>1665000</v>
      </c>
    </row>
    <row r="31" spans="1:13">
      <c r="A31" s="1" t="s">
        <v>2</v>
      </c>
      <c r="B31" s="4" t="s">
        <v>44</v>
      </c>
      <c r="C31" s="15">
        <v>0</v>
      </c>
      <c r="D31" s="16">
        <v>0</v>
      </c>
      <c r="E31" s="50">
        <v>0</v>
      </c>
      <c r="F31" s="72">
        <f t="shared" ref="F31:F59" si="2">SUM(C31:E31)</f>
        <v>0</v>
      </c>
      <c r="G31" s="61">
        <v>0</v>
      </c>
      <c r="H31" s="16">
        <v>0</v>
      </c>
      <c r="I31" s="17">
        <v>0</v>
      </c>
      <c r="J31" s="72">
        <f t="shared" si="1"/>
        <v>0</v>
      </c>
      <c r="K31" s="61">
        <v>0</v>
      </c>
      <c r="L31" s="17">
        <v>0</v>
      </c>
      <c r="M31" s="72">
        <f t="shared" si="0"/>
        <v>0</v>
      </c>
    </row>
    <row r="32" spans="1:13">
      <c r="A32" s="1" t="s">
        <v>2</v>
      </c>
      <c r="B32" s="4" t="s">
        <v>45</v>
      </c>
      <c r="C32" s="15">
        <v>0</v>
      </c>
      <c r="D32" s="16">
        <v>0</v>
      </c>
      <c r="E32" s="50">
        <v>0</v>
      </c>
      <c r="F32" s="72">
        <f t="shared" si="2"/>
        <v>0</v>
      </c>
      <c r="G32" s="61">
        <v>0</v>
      </c>
      <c r="H32" s="16">
        <v>0</v>
      </c>
      <c r="I32" s="17">
        <v>0</v>
      </c>
      <c r="J32" s="72">
        <f t="shared" si="1"/>
        <v>0</v>
      </c>
      <c r="K32" s="61">
        <v>0</v>
      </c>
      <c r="L32" s="17">
        <v>0</v>
      </c>
      <c r="M32" s="72">
        <f t="shared" si="0"/>
        <v>0</v>
      </c>
    </row>
    <row r="33" spans="1:13">
      <c r="A33" s="1" t="s">
        <v>2</v>
      </c>
      <c r="B33" s="4" t="s">
        <v>46</v>
      </c>
      <c r="C33" s="15">
        <v>0</v>
      </c>
      <c r="D33" s="16">
        <v>0</v>
      </c>
      <c r="E33" s="50">
        <v>0</v>
      </c>
      <c r="F33" s="72">
        <f t="shared" si="2"/>
        <v>0</v>
      </c>
      <c r="G33" s="61">
        <v>0</v>
      </c>
      <c r="H33" s="16">
        <v>0</v>
      </c>
      <c r="I33" s="17">
        <v>0</v>
      </c>
      <c r="J33" s="72">
        <f t="shared" si="1"/>
        <v>0</v>
      </c>
      <c r="K33" s="61">
        <v>0</v>
      </c>
      <c r="L33" s="17">
        <v>0</v>
      </c>
      <c r="M33" s="72">
        <f t="shared" si="0"/>
        <v>0</v>
      </c>
    </row>
    <row r="34" spans="1:13">
      <c r="A34" s="1" t="s">
        <v>2</v>
      </c>
      <c r="B34" s="4" t="s">
        <v>47</v>
      </c>
      <c r="C34" s="15">
        <v>0</v>
      </c>
      <c r="D34" s="16">
        <v>0</v>
      </c>
      <c r="E34" s="50">
        <v>0</v>
      </c>
      <c r="F34" s="72">
        <f t="shared" si="2"/>
        <v>0</v>
      </c>
      <c r="G34" s="61">
        <v>0</v>
      </c>
      <c r="H34" s="16">
        <v>0</v>
      </c>
      <c r="I34" s="17">
        <v>0</v>
      </c>
      <c r="J34" s="72">
        <f t="shared" si="1"/>
        <v>0</v>
      </c>
      <c r="K34" s="61">
        <v>0</v>
      </c>
      <c r="L34" s="17">
        <v>0</v>
      </c>
      <c r="M34" s="72">
        <f t="shared" si="0"/>
        <v>0</v>
      </c>
    </row>
    <row r="35" spans="1:13">
      <c r="A35" s="1" t="s">
        <v>2</v>
      </c>
      <c r="B35" s="4" t="s">
        <v>28</v>
      </c>
      <c r="C35" s="15">
        <v>0</v>
      </c>
      <c r="D35" s="16">
        <v>0</v>
      </c>
      <c r="E35" s="50">
        <v>0</v>
      </c>
      <c r="F35" s="72">
        <f t="shared" si="2"/>
        <v>0</v>
      </c>
      <c r="G35" s="61">
        <v>0</v>
      </c>
      <c r="H35" s="16">
        <v>0</v>
      </c>
      <c r="I35" s="17">
        <v>0</v>
      </c>
      <c r="J35" s="72">
        <f t="shared" si="1"/>
        <v>0</v>
      </c>
      <c r="K35" s="61">
        <v>34874</v>
      </c>
      <c r="L35" s="17">
        <v>34874</v>
      </c>
      <c r="M35" s="72">
        <f t="shared" si="0"/>
        <v>34874</v>
      </c>
    </row>
    <row r="36" spans="1:13">
      <c r="A36" s="1" t="s">
        <v>2</v>
      </c>
      <c r="B36" s="4" t="s">
        <v>48</v>
      </c>
      <c r="C36" s="15">
        <v>0</v>
      </c>
      <c r="D36" s="16">
        <v>0</v>
      </c>
      <c r="E36" s="50">
        <v>0</v>
      </c>
      <c r="F36" s="72">
        <f t="shared" si="2"/>
        <v>0</v>
      </c>
      <c r="G36" s="61">
        <v>0</v>
      </c>
      <c r="H36" s="16">
        <v>0</v>
      </c>
      <c r="I36" s="17">
        <v>0</v>
      </c>
      <c r="J36" s="72">
        <f t="shared" si="1"/>
        <v>0</v>
      </c>
      <c r="K36" s="61">
        <v>8073</v>
      </c>
      <c r="L36" s="17">
        <v>8073</v>
      </c>
      <c r="M36" s="72">
        <f t="shared" si="0"/>
        <v>8073</v>
      </c>
    </row>
    <row r="37" spans="1:13">
      <c r="A37" s="1" t="s">
        <v>2</v>
      </c>
      <c r="B37" s="4" t="s">
        <v>49</v>
      </c>
      <c r="C37" s="15">
        <v>0</v>
      </c>
      <c r="D37" s="16">
        <v>0</v>
      </c>
      <c r="E37" s="50">
        <v>0</v>
      </c>
      <c r="F37" s="72">
        <f t="shared" si="2"/>
        <v>0</v>
      </c>
      <c r="G37" s="61">
        <v>0</v>
      </c>
      <c r="H37" s="16">
        <v>0</v>
      </c>
      <c r="I37" s="17">
        <v>0</v>
      </c>
      <c r="J37" s="72">
        <f t="shared" si="1"/>
        <v>0</v>
      </c>
      <c r="K37" s="61">
        <v>0</v>
      </c>
      <c r="L37" s="17">
        <v>0</v>
      </c>
      <c r="M37" s="72">
        <f t="shared" si="0"/>
        <v>0</v>
      </c>
    </row>
    <row r="38" spans="1:13">
      <c r="A38" s="1" t="s">
        <v>2</v>
      </c>
      <c r="B38" s="4" t="s">
        <v>50</v>
      </c>
      <c r="C38" s="15">
        <v>0</v>
      </c>
      <c r="D38" s="16">
        <v>0</v>
      </c>
      <c r="E38" s="50">
        <v>0</v>
      </c>
      <c r="F38" s="72">
        <f t="shared" si="2"/>
        <v>0</v>
      </c>
      <c r="G38" s="61">
        <v>0</v>
      </c>
      <c r="H38" s="16">
        <v>0</v>
      </c>
      <c r="I38" s="17">
        <v>0</v>
      </c>
      <c r="J38" s="72">
        <f t="shared" si="1"/>
        <v>0</v>
      </c>
      <c r="K38" s="61">
        <v>0</v>
      </c>
      <c r="L38" s="17">
        <v>0</v>
      </c>
      <c r="M38" s="72">
        <f t="shared" si="0"/>
        <v>0</v>
      </c>
    </row>
    <row r="39" spans="1:13">
      <c r="A39" s="1" t="s">
        <v>2</v>
      </c>
      <c r="B39" s="4" t="s">
        <v>51</v>
      </c>
      <c r="C39" s="15">
        <v>0</v>
      </c>
      <c r="D39" s="16">
        <v>0</v>
      </c>
      <c r="E39" s="50">
        <v>0</v>
      </c>
      <c r="F39" s="72">
        <f t="shared" si="2"/>
        <v>0</v>
      </c>
      <c r="G39" s="61">
        <v>0</v>
      </c>
      <c r="H39" s="16">
        <v>0</v>
      </c>
      <c r="I39" s="17">
        <v>0</v>
      </c>
      <c r="J39" s="72">
        <f t="shared" si="1"/>
        <v>0</v>
      </c>
      <c r="K39" s="61">
        <v>0</v>
      </c>
      <c r="L39" s="17">
        <v>0</v>
      </c>
      <c r="M39" s="72">
        <f t="shared" si="0"/>
        <v>0</v>
      </c>
    </row>
    <row r="40" spans="1:13">
      <c r="A40" s="1" t="s">
        <v>2</v>
      </c>
      <c r="B40" s="4" t="s">
        <v>52</v>
      </c>
      <c r="C40" s="15">
        <v>0</v>
      </c>
      <c r="D40" s="16">
        <v>0</v>
      </c>
      <c r="E40" s="50">
        <v>0</v>
      </c>
      <c r="F40" s="72">
        <f t="shared" si="2"/>
        <v>0</v>
      </c>
      <c r="G40" s="61">
        <v>0</v>
      </c>
      <c r="H40" s="16">
        <v>0</v>
      </c>
      <c r="I40" s="17">
        <v>0</v>
      </c>
      <c r="J40" s="72">
        <f t="shared" si="1"/>
        <v>0</v>
      </c>
      <c r="K40" s="61">
        <v>0</v>
      </c>
      <c r="L40" s="17">
        <v>0</v>
      </c>
      <c r="M40" s="72">
        <f t="shared" si="0"/>
        <v>0</v>
      </c>
    </row>
    <row r="41" spans="1:13">
      <c r="A41" s="1" t="s">
        <v>2</v>
      </c>
      <c r="B41" s="4" t="s">
        <v>33</v>
      </c>
      <c r="C41" s="15">
        <v>0</v>
      </c>
      <c r="D41" s="16">
        <v>0</v>
      </c>
      <c r="E41" s="50">
        <v>0</v>
      </c>
      <c r="F41" s="72">
        <f t="shared" si="2"/>
        <v>0</v>
      </c>
      <c r="G41" s="61">
        <v>0</v>
      </c>
      <c r="H41" s="16">
        <v>0</v>
      </c>
      <c r="I41" s="17">
        <v>0</v>
      </c>
      <c r="J41" s="72">
        <f t="shared" si="1"/>
        <v>0</v>
      </c>
      <c r="K41" s="61">
        <v>23916</v>
      </c>
      <c r="L41" s="17">
        <v>23916</v>
      </c>
      <c r="M41" s="72">
        <f t="shared" si="0"/>
        <v>23916</v>
      </c>
    </row>
    <row r="42" spans="1:13" ht="19.5" thickBot="1">
      <c r="A42" s="1" t="s">
        <v>2</v>
      </c>
      <c r="B42" s="35" t="s">
        <v>36</v>
      </c>
      <c r="C42" s="36">
        <v>0</v>
      </c>
      <c r="D42" s="37">
        <v>0</v>
      </c>
      <c r="E42" s="51">
        <v>0</v>
      </c>
      <c r="F42" s="73">
        <f t="shared" si="2"/>
        <v>0</v>
      </c>
      <c r="G42" s="62">
        <v>0</v>
      </c>
      <c r="H42" s="37">
        <v>0</v>
      </c>
      <c r="I42" s="38">
        <v>0</v>
      </c>
      <c r="J42" s="73">
        <f t="shared" si="1"/>
        <v>0</v>
      </c>
      <c r="K42" s="62">
        <v>498</v>
      </c>
      <c r="L42" s="38">
        <v>498</v>
      </c>
      <c r="M42" s="73">
        <f t="shared" si="0"/>
        <v>498</v>
      </c>
    </row>
    <row r="43" spans="1:13" ht="19.5" thickBot="1">
      <c r="A43" s="1" t="s">
        <v>2</v>
      </c>
      <c r="B43" s="39" t="s">
        <v>53</v>
      </c>
      <c r="C43" s="40">
        <v>1315000</v>
      </c>
      <c r="D43" s="41">
        <v>250000</v>
      </c>
      <c r="E43" s="52">
        <v>100000</v>
      </c>
      <c r="F43" s="74">
        <f t="shared" si="2"/>
        <v>1665000</v>
      </c>
      <c r="G43" s="63">
        <v>425000</v>
      </c>
      <c r="H43" s="41">
        <v>415000</v>
      </c>
      <c r="I43" s="42">
        <v>106925</v>
      </c>
      <c r="J43" s="74">
        <f t="shared" si="1"/>
        <v>946925</v>
      </c>
      <c r="K43" s="63">
        <v>348361</v>
      </c>
      <c r="L43" s="42">
        <v>348361</v>
      </c>
      <c r="M43" s="74">
        <f t="shared" si="0"/>
        <v>2960286</v>
      </c>
    </row>
    <row r="44" spans="1:13" ht="19.5" thickBot="1">
      <c r="A44" s="1" t="s">
        <v>2</v>
      </c>
      <c r="B44" s="21" t="s">
        <v>54</v>
      </c>
      <c r="C44" s="29">
        <v>0</v>
      </c>
      <c r="D44" s="30">
        <v>0</v>
      </c>
      <c r="E44" s="49">
        <v>0</v>
      </c>
      <c r="F44" s="71">
        <f t="shared" si="2"/>
        <v>0</v>
      </c>
      <c r="G44" s="60">
        <v>2147</v>
      </c>
      <c r="H44" s="30">
        <v>10560</v>
      </c>
      <c r="I44" s="31">
        <v>0</v>
      </c>
      <c r="J44" s="71">
        <f t="shared" si="1"/>
        <v>12707</v>
      </c>
      <c r="K44" s="60">
        <v>4221</v>
      </c>
      <c r="L44" s="31">
        <v>4221</v>
      </c>
      <c r="M44" s="71">
        <f t="shared" si="0"/>
        <v>16928</v>
      </c>
    </row>
    <row r="45" spans="1:13" ht="19.5" thickBot="1">
      <c r="A45" s="1" t="s">
        <v>2</v>
      </c>
      <c r="B45" s="39" t="s">
        <v>55</v>
      </c>
      <c r="C45" s="40">
        <v>0</v>
      </c>
      <c r="D45" s="41">
        <v>0</v>
      </c>
      <c r="E45" s="52">
        <v>0</v>
      </c>
      <c r="F45" s="74">
        <f t="shared" si="2"/>
        <v>0</v>
      </c>
      <c r="G45" s="63">
        <v>2147</v>
      </c>
      <c r="H45" s="41">
        <v>10560</v>
      </c>
      <c r="I45" s="42">
        <v>0</v>
      </c>
      <c r="J45" s="74">
        <f t="shared" si="1"/>
        <v>12707</v>
      </c>
      <c r="K45" s="63">
        <v>4221</v>
      </c>
      <c r="L45" s="42">
        <v>4221</v>
      </c>
      <c r="M45" s="74">
        <f t="shared" si="0"/>
        <v>16928</v>
      </c>
    </row>
    <row r="46" spans="1:13" ht="19.5" thickBot="1">
      <c r="A46" s="1" t="s">
        <v>2</v>
      </c>
      <c r="B46" s="39" t="s">
        <v>56</v>
      </c>
      <c r="C46" s="40">
        <v>1315000</v>
      </c>
      <c r="D46" s="41">
        <v>250000</v>
      </c>
      <c r="E46" s="52">
        <v>100000</v>
      </c>
      <c r="F46" s="74">
        <f t="shared" si="2"/>
        <v>1665000</v>
      </c>
      <c r="G46" s="63">
        <v>427147</v>
      </c>
      <c r="H46" s="41">
        <v>425560</v>
      </c>
      <c r="I46" s="42">
        <v>106925</v>
      </c>
      <c r="J46" s="74">
        <f t="shared" si="1"/>
        <v>959632</v>
      </c>
      <c r="K46" s="63">
        <v>352582</v>
      </c>
      <c r="L46" s="42">
        <v>352582</v>
      </c>
      <c r="M46" s="74">
        <f t="shared" si="0"/>
        <v>2977214</v>
      </c>
    </row>
    <row r="47" spans="1:13">
      <c r="A47" s="1" t="s">
        <v>2</v>
      </c>
      <c r="B47" s="21" t="s">
        <v>57</v>
      </c>
      <c r="C47" s="29">
        <v>64770</v>
      </c>
      <c r="D47" s="30">
        <v>0</v>
      </c>
      <c r="E47" s="49">
        <v>0</v>
      </c>
      <c r="F47" s="71">
        <f t="shared" si="2"/>
        <v>64770</v>
      </c>
      <c r="G47" s="60">
        <v>22440</v>
      </c>
      <c r="H47" s="30">
        <v>20910</v>
      </c>
      <c r="I47" s="31">
        <v>0</v>
      </c>
      <c r="J47" s="71">
        <f t="shared" si="1"/>
        <v>43350</v>
      </c>
      <c r="K47" s="60">
        <v>17340</v>
      </c>
      <c r="L47" s="31">
        <v>17340</v>
      </c>
      <c r="M47" s="71">
        <f t="shared" si="0"/>
        <v>125460</v>
      </c>
    </row>
    <row r="48" spans="1:13">
      <c r="A48" s="1" t="s">
        <v>2</v>
      </c>
      <c r="B48" s="4" t="s">
        <v>58</v>
      </c>
      <c r="C48" s="15">
        <v>11430</v>
      </c>
      <c r="D48" s="16">
        <v>0</v>
      </c>
      <c r="E48" s="50">
        <v>0</v>
      </c>
      <c r="F48" s="72">
        <f t="shared" si="2"/>
        <v>11430</v>
      </c>
      <c r="G48" s="61">
        <v>3960</v>
      </c>
      <c r="H48" s="16">
        <v>3690</v>
      </c>
      <c r="I48" s="17">
        <v>0</v>
      </c>
      <c r="J48" s="72">
        <f t="shared" si="1"/>
        <v>7650</v>
      </c>
      <c r="K48" s="61">
        <v>3060</v>
      </c>
      <c r="L48" s="17">
        <v>3060</v>
      </c>
      <c r="M48" s="72">
        <f t="shared" si="0"/>
        <v>22140</v>
      </c>
    </row>
    <row r="49" spans="1:13">
      <c r="A49" s="1" t="s">
        <v>2</v>
      </c>
      <c r="B49" s="4" t="s">
        <v>59</v>
      </c>
      <c r="C49" s="15">
        <v>59475</v>
      </c>
      <c r="D49" s="16">
        <v>0</v>
      </c>
      <c r="E49" s="50">
        <v>0</v>
      </c>
      <c r="F49" s="72">
        <f t="shared" si="2"/>
        <v>59475</v>
      </c>
      <c r="G49" s="61">
        <v>40260</v>
      </c>
      <c r="H49" s="16">
        <v>37515</v>
      </c>
      <c r="I49" s="17">
        <v>0</v>
      </c>
      <c r="J49" s="72">
        <f t="shared" si="1"/>
        <v>77775</v>
      </c>
      <c r="K49" s="61">
        <v>31110</v>
      </c>
      <c r="L49" s="17">
        <v>31110</v>
      </c>
      <c r="M49" s="72">
        <f t="shared" si="0"/>
        <v>168360</v>
      </c>
    </row>
    <row r="50" spans="1:13" ht="19.5" thickBot="1">
      <c r="A50" s="1" t="s">
        <v>2</v>
      </c>
      <c r="B50" s="4" t="s">
        <v>60</v>
      </c>
      <c r="C50" s="15">
        <v>0</v>
      </c>
      <c r="D50" s="16">
        <v>0</v>
      </c>
      <c r="E50" s="50">
        <v>0</v>
      </c>
      <c r="F50" s="72">
        <f t="shared" si="2"/>
        <v>0</v>
      </c>
      <c r="G50" s="61">
        <v>1281</v>
      </c>
      <c r="H50" s="16">
        <v>1277</v>
      </c>
      <c r="I50" s="17">
        <v>321</v>
      </c>
      <c r="J50" s="72">
        <f t="shared" si="1"/>
        <v>2879</v>
      </c>
      <c r="K50" s="61">
        <v>1058</v>
      </c>
      <c r="L50" s="17">
        <v>1058</v>
      </c>
      <c r="M50" s="72">
        <f t="shared" si="0"/>
        <v>3937</v>
      </c>
    </row>
    <row r="51" spans="1:13" ht="19.5" thickBot="1">
      <c r="A51" s="1" t="s">
        <v>2</v>
      </c>
      <c r="B51" s="39" t="s">
        <v>61</v>
      </c>
      <c r="C51" s="40">
        <v>135675</v>
      </c>
      <c r="D51" s="41">
        <v>0</v>
      </c>
      <c r="E51" s="52">
        <v>0</v>
      </c>
      <c r="F51" s="74">
        <f t="shared" si="2"/>
        <v>135675</v>
      </c>
      <c r="G51" s="63">
        <v>67941</v>
      </c>
      <c r="H51" s="41">
        <v>63392</v>
      </c>
      <c r="I51" s="42">
        <v>321</v>
      </c>
      <c r="J51" s="74">
        <f t="shared" si="1"/>
        <v>131654</v>
      </c>
      <c r="K51" s="63">
        <v>52568</v>
      </c>
      <c r="L51" s="42">
        <v>52568</v>
      </c>
      <c r="M51" s="74">
        <f t="shared" si="0"/>
        <v>319897</v>
      </c>
    </row>
    <row r="52" spans="1:13">
      <c r="A52" s="1" t="s">
        <v>2</v>
      </c>
      <c r="B52" s="21" t="s">
        <v>62</v>
      </c>
      <c r="C52" s="29">
        <v>187760</v>
      </c>
      <c r="D52" s="30">
        <v>36400</v>
      </c>
      <c r="E52" s="49">
        <v>720</v>
      </c>
      <c r="F52" s="71">
        <f t="shared" si="2"/>
        <v>224880</v>
      </c>
      <c r="G52" s="60">
        <v>13040</v>
      </c>
      <c r="H52" s="30">
        <v>12600</v>
      </c>
      <c r="I52" s="31">
        <v>1060</v>
      </c>
      <c r="J52" s="71">
        <f t="shared" si="1"/>
        <v>26700</v>
      </c>
      <c r="K52" s="60">
        <v>8190</v>
      </c>
      <c r="L52" s="31">
        <v>8190</v>
      </c>
      <c r="M52" s="71">
        <f t="shared" si="0"/>
        <v>259770</v>
      </c>
    </row>
    <row r="53" spans="1:13">
      <c r="A53" s="1" t="s">
        <v>2</v>
      </c>
      <c r="B53" s="4" t="s">
        <v>63</v>
      </c>
      <c r="C53" s="15">
        <v>96300</v>
      </c>
      <c r="D53" s="16">
        <v>0</v>
      </c>
      <c r="E53" s="50">
        <v>900</v>
      </c>
      <c r="F53" s="72">
        <f t="shared" si="2"/>
        <v>97200</v>
      </c>
      <c r="G53" s="61">
        <v>19700</v>
      </c>
      <c r="H53" s="16">
        <v>18200</v>
      </c>
      <c r="I53" s="17">
        <v>2500</v>
      </c>
      <c r="J53" s="72">
        <f t="shared" si="1"/>
        <v>40400</v>
      </c>
      <c r="K53" s="61">
        <v>15600</v>
      </c>
      <c r="L53" s="17">
        <v>15600</v>
      </c>
      <c r="M53" s="72">
        <f t="shared" si="0"/>
        <v>153200</v>
      </c>
    </row>
    <row r="54" spans="1:13" ht="19.5" thickBot="1">
      <c r="A54" s="1" t="s">
        <v>2</v>
      </c>
      <c r="B54" s="4" t="s">
        <v>64</v>
      </c>
      <c r="C54" s="15">
        <v>32000</v>
      </c>
      <c r="D54" s="16">
        <v>0</v>
      </c>
      <c r="E54" s="50">
        <v>0</v>
      </c>
      <c r="F54" s="72">
        <f t="shared" si="2"/>
        <v>32000</v>
      </c>
      <c r="G54" s="61">
        <v>0</v>
      </c>
      <c r="H54" s="16">
        <v>0</v>
      </c>
      <c r="I54" s="17">
        <v>0</v>
      </c>
      <c r="J54" s="72">
        <f t="shared" si="1"/>
        <v>0</v>
      </c>
      <c r="K54" s="61">
        <v>0</v>
      </c>
      <c r="L54" s="17">
        <v>0</v>
      </c>
      <c r="M54" s="72">
        <f t="shared" si="0"/>
        <v>32000</v>
      </c>
    </row>
    <row r="55" spans="1:13" ht="19.5" thickBot="1">
      <c r="A55" s="1" t="s">
        <v>2</v>
      </c>
      <c r="B55" s="39" t="s">
        <v>65</v>
      </c>
      <c r="C55" s="40">
        <v>451735</v>
      </c>
      <c r="D55" s="41">
        <v>36400</v>
      </c>
      <c r="E55" s="52">
        <v>1620</v>
      </c>
      <c r="F55" s="74">
        <f t="shared" si="2"/>
        <v>489755</v>
      </c>
      <c r="G55" s="63">
        <v>100681</v>
      </c>
      <c r="H55" s="41">
        <v>94192</v>
      </c>
      <c r="I55" s="42">
        <v>3881</v>
      </c>
      <c r="J55" s="74">
        <f t="shared" si="1"/>
        <v>198754</v>
      </c>
      <c r="K55" s="63">
        <v>76358</v>
      </c>
      <c r="L55" s="42">
        <v>76358</v>
      </c>
      <c r="M55" s="74">
        <f t="shared" si="0"/>
        <v>764867</v>
      </c>
    </row>
    <row r="56" spans="1:13" ht="19.5" thickBot="1">
      <c r="A56" s="1" t="s">
        <v>2</v>
      </c>
      <c r="B56" s="39" t="s">
        <v>66</v>
      </c>
      <c r="C56" s="40">
        <v>1179325</v>
      </c>
      <c r="D56" s="41">
        <v>250000</v>
      </c>
      <c r="E56" s="52">
        <v>100000</v>
      </c>
      <c r="F56" s="74">
        <f t="shared" si="2"/>
        <v>1529325</v>
      </c>
      <c r="G56" s="63">
        <v>357059</v>
      </c>
      <c r="H56" s="41">
        <v>351608</v>
      </c>
      <c r="I56" s="42">
        <v>106604</v>
      </c>
      <c r="J56" s="74">
        <f t="shared" si="1"/>
        <v>815271</v>
      </c>
      <c r="K56" s="63">
        <v>295793</v>
      </c>
      <c r="L56" s="42">
        <v>295793</v>
      </c>
      <c r="M56" s="74">
        <f t="shared" si="0"/>
        <v>2640389</v>
      </c>
    </row>
    <row r="57" spans="1:13" ht="19.5" thickBot="1">
      <c r="A57" s="1" t="s">
        <v>2</v>
      </c>
      <c r="B57" s="39" t="s">
        <v>67</v>
      </c>
      <c r="C57" s="40">
        <v>863265</v>
      </c>
      <c r="D57" s="41">
        <v>213600</v>
      </c>
      <c r="E57" s="52">
        <v>98380</v>
      </c>
      <c r="F57" s="74">
        <f t="shared" si="2"/>
        <v>1175245</v>
      </c>
      <c r="G57" s="63">
        <v>326466</v>
      </c>
      <c r="H57" s="41">
        <v>331368</v>
      </c>
      <c r="I57" s="42">
        <v>103044</v>
      </c>
      <c r="J57" s="74">
        <f t="shared" si="1"/>
        <v>760878</v>
      </c>
      <c r="K57" s="63">
        <v>276224</v>
      </c>
      <c r="L57" s="42">
        <v>276224</v>
      </c>
      <c r="M57" s="74">
        <f t="shared" si="0"/>
        <v>2212347</v>
      </c>
    </row>
    <row r="58" spans="1:13">
      <c r="A58" s="1" t="s">
        <v>2</v>
      </c>
      <c r="B58" s="21" t="s">
        <v>68</v>
      </c>
      <c r="C58" s="29">
        <v>0</v>
      </c>
      <c r="D58" s="30">
        <v>0</v>
      </c>
      <c r="E58" s="49">
        <v>0</v>
      </c>
      <c r="F58" s="71">
        <f t="shared" si="2"/>
        <v>0</v>
      </c>
      <c r="G58" s="60">
        <v>0</v>
      </c>
      <c r="H58" s="30">
        <v>0</v>
      </c>
      <c r="I58" s="31">
        <v>0</v>
      </c>
      <c r="J58" s="71">
        <f t="shared" si="1"/>
        <v>0</v>
      </c>
      <c r="K58" s="60">
        <v>0</v>
      </c>
      <c r="L58" s="31">
        <v>0</v>
      </c>
      <c r="M58" s="71">
        <f t="shared" si="0"/>
        <v>0</v>
      </c>
    </row>
    <row r="59" spans="1:13">
      <c r="A59" s="1" t="s">
        <v>2</v>
      </c>
      <c r="B59" s="4" t="s">
        <v>69</v>
      </c>
      <c r="C59" s="15">
        <v>863265</v>
      </c>
      <c r="D59" s="16">
        <v>213600</v>
      </c>
      <c r="E59" s="50">
        <v>98380</v>
      </c>
      <c r="F59" s="72">
        <f t="shared" si="2"/>
        <v>1175245</v>
      </c>
      <c r="G59" s="61">
        <v>326466</v>
      </c>
      <c r="H59" s="16">
        <v>331368</v>
      </c>
      <c r="I59" s="17">
        <v>103044</v>
      </c>
      <c r="J59" s="72">
        <f t="shared" si="1"/>
        <v>760878</v>
      </c>
      <c r="K59" s="61">
        <v>276224</v>
      </c>
      <c r="L59" s="17">
        <v>276224</v>
      </c>
      <c r="M59" s="72">
        <f t="shared" si="0"/>
        <v>2212347</v>
      </c>
    </row>
    <row r="60" spans="1:13">
      <c r="A60" s="1" t="s">
        <v>2</v>
      </c>
      <c r="B60" s="4" t="s">
        <v>70</v>
      </c>
      <c r="C60" s="15">
        <v>1</v>
      </c>
      <c r="D60" s="16">
        <v>0</v>
      </c>
      <c r="E60" s="50">
        <v>0</v>
      </c>
      <c r="F60" s="72"/>
      <c r="G60" s="61">
        <v>0</v>
      </c>
      <c r="H60" s="16">
        <v>0</v>
      </c>
      <c r="I60" s="17">
        <v>0</v>
      </c>
      <c r="J60" s="72"/>
      <c r="K60" s="61">
        <v>0</v>
      </c>
      <c r="L60" s="17"/>
      <c r="M60" s="72"/>
    </row>
    <row r="61" spans="1:13" ht="19.5" thickBot="1">
      <c r="A61" s="1" t="s">
        <v>2</v>
      </c>
      <c r="B61" s="5" t="s">
        <v>71</v>
      </c>
      <c r="C61" s="18" t="s">
        <v>72</v>
      </c>
      <c r="D61" s="19" t="s">
        <v>73</v>
      </c>
      <c r="E61" s="53" t="s">
        <v>72</v>
      </c>
      <c r="F61" s="75"/>
      <c r="G61" s="64" t="s">
        <v>72</v>
      </c>
      <c r="H61" s="19" t="s">
        <v>72</v>
      </c>
      <c r="I61" s="20" t="s">
        <v>72</v>
      </c>
      <c r="J61" s="75"/>
      <c r="K61" s="64" t="s">
        <v>72</v>
      </c>
      <c r="L61" s="20"/>
      <c r="M61" s="75"/>
    </row>
  </sheetData>
  <phoneticPr fontId="3"/>
  <pageMargins left="0.31496062992125984" right="0.31496062992125984" top="0.35433070866141736" bottom="7.874015748031496E-2" header="0.11811023622047245" footer="0.11811023622047245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2021年10月度給与 (2)</vt:lpstr>
      <vt:lpstr>'2021年10月度給与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2021-11-12T04:46:53Z</cp:lastPrinted>
  <dcterms:created xsi:type="dcterms:W3CDTF">2021-11-10T00:08:56Z</dcterms:created>
  <dcterms:modified xsi:type="dcterms:W3CDTF">2021-11-12T05:18:57Z</dcterms:modified>
</cp:coreProperties>
</file>