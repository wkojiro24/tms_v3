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0\"/>
    </mc:Choice>
  </mc:AlternateContent>
  <xr:revisionPtr revIDLastSave="0" documentId="13_ncr:1_{9175AB62-63CE-43EB-82D9-B9EB3D41C318}" xr6:coauthVersionLast="47" xr6:coauthVersionMax="47" xr10:uidLastSave="{00000000-0000-0000-0000-000000000000}"/>
  <bookViews>
    <workbookView xWindow="-120" yWindow="-120" windowWidth="20730" windowHeight="11160" xr2:uid="{625B8405-EC7F-44EB-9C29-278D7E318646}"/>
  </bookViews>
  <sheets>
    <sheet name="2021年10月度給与 (3)" sheetId="5" r:id="rId1"/>
  </sheets>
  <definedNames>
    <definedName name="_xlnm.Print_Area" localSheetId="0">'2021年10月度給与 (3)'!$A$1:$M$63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5" l="1"/>
  <c r="M10" i="5"/>
  <c r="M12" i="5"/>
  <c r="M13" i="5"/>
  <c r="M14" i="5"/>
  <c r="M15" i="5"/>
  <c r="M16" i="5"/>
  <c r="M19" i="5"/>
  <c r="M20" i="5"/>
  <c r="M21" i="5"/>
  <c r="M22" i="5"/>
  <c r="M23" i="5"/>
  <c r="M24" i="5"/>
  <c r="M28" i="5"/>
  <c r="M30" i="5"/>
  <c r="M32" i="5"/>
  <c r="M34" i="5"/>
  <c r="M36" i="5"/>
  <c r="M38" i="5"/>
  <c r="M40" i="5"/>
  <c r="M42" i="5"/>
  <c r="M44" i="5"/>
  <c r="M46" i="5"/>
  <c r="M48" i="5"/>
  <c r="M50" i="5"/>
  <c r="M52" i="5"/>
  <c r="M54" i="5"/>
  <c r="M56" i="5"/>
  <c r="M58" i="5"/>
  <c r="M60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29" i="5"/>
  <c r="L27" i="5"/>
  <c r="L26" i="5"/>
  <c r="L25" i="5"/>
  <c r="M25" i="5" s="1"/>
  <c r="L17" i="5"/>
  <c r="M17" i="5" s="1"/>
  <c r="L18" i="5"/>
  <c r="M18" i="5" s="1"/>
  <c r="L16" i="5"/>
  <c r="L11" i="5"/>
  <c r="M11" i="5" s="1"/>
  <c r="L10" i="5"/>
  <c r="L8" i="5"/>
  <c r="M8" i="5" s="1"/>
  <c r="L7" i="5"/>
  <c r="M7" i="5" s="1"/>
  <c r="L6" i="5"/>
  <c r="E28" i="5"/>
  <c r="E29" i="5"/>
  <c r="M29" i="5" s="1"/>
  <c r="E30" i="5"/>
  <c r="E31" i="5"/>
  <c r="M31" i="5" s="1"/>
  <c r="E32" i="5"/>
  <c r="E33" i="5"/>
  <c r="M33" i="5" s="1"/>
  <c r="E34" i="5"/>
  <c r="E35" i="5"/>
  <c r="M35" i="5" s="1"/>
  <c r="E36" i="5"/>
  <c r="E37" i="5"/>
  <c r="M37" i="5" s="1"/>
  <c r="E38" i="5"/>
  <c r="E39" i="5"/>
  <c r="M39" i="5" s="1"/>
  <c r="E40" i="5"/>
  <c r="E41" i="5"/>
  <c r="M41" i="5" s="1"/>
  <c r="E42" i="5"/>
  <c r="E43" i="5"/>
  <c r="M43" i="5" s="1"/>
  <c r="E44" i="5"/>
  <c r="E45" i="5"/>
  <c r="M45" i="5" s="1"/>
  <c r="E46" i="5"/>
  <c r="E47" i="5"/>
  <c r="M47" i="5" s="1"/>
  <c r="E48" i="5"/>
  <c r="E49" i="5"/>
  <c r="M49" i="5" s="1"/>
  <c r="E50" i="5"/>
  <c r="E51" i="5"/>
  <c r="M51" i="5" s="1"/>
  <c r="E52" i="5"/>
  <c r="E53" i="5"/>
  <c r="M53" i="5" s="1"/>
  <c r="E54" i="5"/>
  <c r="E55" i="5"/>
  <c r="M55" i="5" s="1"/>
  <c r="E56" i="5"/>
  <c r="E57" i="5"/>
  <c r="M57" i="5" s="1"/>
  <c r="E58" i="5"/>
  <c r="E59" i="5"/>
  <c r="M59" i="5" s="1"/>
  <c r="E60" i="5"/>
  <c r="E61" i="5"/>
  <c r="M61" i="5" s="1"/>
  <c r="E27" i="5"/>
  <c r="M27" i="5" s="1"/>
  <c r="E26" i="5"/>
  <c r="M26" i="5" s="1"/>
  <c r="E14" i="5"/>
  <c r="E6" i="5"/>
</calcChain>
</file>

<file path=xl/sharedStrings.xml><?xml version="1.0" encoding="utf-8"?>
<sst xmlns="http://schemas.openxmlformats.org/spreadsheetml/2006/main" count="150" uniqueCount="83">
  <si>
    <t>支給控除一覧表</t>
    <phoneticPr fontId="4"/>
  </si>
  <si>
    <t>若林運送株式会社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</si>
  <si>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</si>
  <si>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</si>
  <si>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</si>
  <si>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</si>
  <si>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</si>
  <si>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</si>
  <si>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1092</t>
    <phoneticPr fontId="4"/>
  </si>
  <si>
    <t>1097</t>
    <phoneticPr fontId="4"/>
  </si>
  <si>
    <t>1063</t>
    <phoneticPr fontId="4"/>
  </si>
  <si>
    <t>項目名</t>
    <phoneticPr fontId="4"/>
  </si>
  <si>
    <t>河村智春</t>
    <phoneticPr fontId="4"/>
  </si>
  <si>
    <t>赤﨑功幸</t>
    <phoneticPr fontId="4"/>
  </si>
  <si>
    <t>櫻木諭治</t>
    <phoneticPr fontId="4"/>
  </si>
  <si>
    <t>米澤敬</t>
    <phoneticPr fontId="4"/>
  </si>
  <si>
    <t>大賀勇也</t>
    <phoneticPr fontId="4"/>
  </si>
  <si>
    <t>西口真樹</t>
    <phoneticPr fontId="4"/>
  </si>
  <si>
    <t>新田竜二</t>
    <phoneticPr fontId="4"/>
  </si>
  <si>
    <t>木下知美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</si>
  <si>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</si>
  <si>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</si>
  <si>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</si>
  <si>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</si>
  <si>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</si>
  <si>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</si>
  <si>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</si>
  <si>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</si>
  <si>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</si>
  <si>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</si>
  <si>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</si>
  <si>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</si>
  <si>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</si>
  <si>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</si>
  <si>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</si>
  <si>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</si>
  <si>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</si>
  <si>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</si>
  <si>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</si>
  <si>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</si>
  <si>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</si>
  <si>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</si>
  <si>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</si>
  <si>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</si>
  <si>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</si>
  <si>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</si>
  <si>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</si>
  <si>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</si>
  <si>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</si>
  <si>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</si>
  <si>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</si>
  <si>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</si>
  <si>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</si>
  <si>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</si>
  <si>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</si>
  <si>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</si>
  <si>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</si>
  <si>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</si>
  <si>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</si>
  <si>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</si>
  <si>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</si>
  <si>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</si>
  <si>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</si>
  <si>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</si>
  <si>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</si>
  <si>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</si>
  <si>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</si>
  <si>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</si>
  <si>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</si>
  <si>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</si>
  <si>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</si>
  <si>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</si>
  <si>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</si>
  <si>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</si>
  <si>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</si>
  <si>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</si>
  <si>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</si>
  <si>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</si>
  <si>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2021年10月度給与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</si>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</sst>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11" xfId="1" applyNumberFormat="1" applyFont="1" applyBorder="1" applyAlignment="1">
      <alignment horizontal="right"/>
    </xf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49" fontId="2" fillId="0" borderId="32" xfId="1" applyNumberFormat="1" applyFont="1" applyBorder="1" applyAlignment="1">
      <alignment horizontal="left"/>
    </xf>
    <xf numFmtId="49" fontId="2" fillId="0" borderId="33" xfId="1" applyNumberFormat="1" applyFont="1" applyBorder="1" applyAlignment="1">
      <alignment horizontal="right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25" xfId="1" applyNumberFormat="1" applyFont="1" applyBorder="1"/>
    <xf numFmtId="49" fontId="2" fillId="0" borderId="33" xfId="1" applyNumberFormat="1" applyFont="1" applyBorder="1"/>
    <xf numFmtId="0" fontId="2" fillId="0" borderId="32" xfId="1" applyFont="1" applyBorder="1"/>
    <xf numFmtId="0" fontId="2" fillId="0" borderId="33" xfId="1" applyFont="1" applyBorder="1" applyAlignment="1">
      <alignment horizontal="right"/>
    </xf>
    <xf numFmtId="176" fontId="2" fillId="0" borderId="33" xfId="1" applyNumberFormat="1" applyFont="1" applyBorder="1"/>
    <xf numFmtId="0" fontId="2" fillId="0" borderId="37" xfId="1" applyFont="1" applyBorder="1"/>
  </cellXfs>
  <cellStyles count="2">
    <cellStyle name="標準" xfId="0" builtinId="0"/>
    <cellStyle name="標準 2" xfId="1" xr:uid="{EB3A3774-F604-4398-B8C0-07F6D9E29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BF04-DB75-4779-901C-14FC277DC527}">
  <sheetPr>
    <pageSetUpPr fitToPage="1"/>
  </sheetPr>
  <dimension ref="A1:O63"/>
  <sheetViews>
    <sheetView showZeros="0" tabSelected="1" topLeftCell="A34" workbookViewId="0">
      <selection activeCell="K56" sqref="K56"/>
    </sheetView>
  </sheetViews>
  <sheetFormatPr defaultRowHeight="18.75"/>
  <cols>
    <col min="1" max="1" width="2.375" style="2" customWidth="1"/>
    <col min="2" max="2" width="13.25" style="2" bestFit="1" customWidth="1"/>
    <col min="3" max="13" width="10.375" style="2" customWidth="1"/>
    <col min="14" max="258" width="9" style="2"/>
    <col min="259" max="259" width="2.375" style="2" customWidth="1"/>
    <col min="260" max="260" width="13.25" style="2" bestFit="1" customWidth="1"/>
    <col min="261" max="263" width="9" style="2"/>
    <col min="264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9" width="9" style="2"/>
    <col min="520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5" width="9" style="2"/>
    <col min="776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1" width="9" style="2"/>
    <col min="1032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7" width="9" style="2"/>
    <col min="1288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3" width="9" style="2"/>
    <col min="1544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9" width="9" style="2"/>
    <col min="1800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5" width="9" style="2"/>
    <col min="2056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1" width="9" style="2"/>
    <col min="2312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7" width="9" style="2"/>
    <col min="2568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3" width="9" style="2"/>
    <col min="2824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9" width="9" style="2"/>
    <col min="3080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5" width="9" style="2"/>
    <col min="3336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1" width="9" style="2"/>
    <col min="3592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7" width="9" style="2"/>
    <col min="3848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3" width="9" style="2"/>
    <col min="4104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9" width="9" style="2"/>
    <col min="4360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5" width="9" style="2"/>
    <col min="4616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1" width="9" style="2"/>
    <col min="4872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7" width="9" style="2"/>
    <col min="5128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3" width="9" style="2"/>
    <col min="5384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9" width="9" style="2"/>
    <col min="5640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5" width="9" style="2"/>
    <col min="5896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1" width="9" style="2"/>
    <col min="6152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7" width="9" style="2"/>
    <col min="6408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3" width="9" style="2"/>
    <col min="6664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9" width="9" style="2"/>
    <col min="6920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5" width="9" style="2"/>
    <col min="7176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1" width="9" style="2"/>
    <col min="7432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7" width="9" style="2"/>
    <col min="7688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3" width="9" style="2"/>
    <col min="7944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9" width="9" style="2"/>
    <col min="8200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5" width="9" style="2"/>
    <col min="8456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1" width="9" style="2"/>
    <col min="8712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7" width="9" style="2"/>
    <col min="8968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3" width="9" style="2"/>
    <col min="9224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9" width="9" style="2"/>
    <col min="9480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5" width="9" style="2"/>
    <col min="9736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1" width="9" style="2"/>
    <col min="9992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7" width="9" style="2"/>
    <col min="10248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3" width="9" style="2"/>
    <col min="10504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9" width="9" style="2"/>
    <col min="10760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5" width="9" style="2"/>
    <col min="11016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1" width="9" style="2"/>
    <col min="11272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7" width="9" style="2"/>
    <col min="11528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3" width="9" style="2"/>
    <col min="11784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9" width="9" style="2"/>
    <col min="12040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5" width="9" style="2"/>
    <col min="12296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1" width="9" style="2"/>
    <col min="12552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7" width="9" style="2"/>
    <col min="12808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3" width="9" style="2"/>
    <col min="13064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9" width="9" style="2"/>
    <col min="13320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5" width="9" style="2"/>
    <col min="13576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1" width="9" style="2"/>
    <col min="13832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7" width="9" style="2"/>
    <col min="14088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3" width="9" style="2"/>
    <col min="14344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9" width="9" style="2"/>
    <col min="14600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5" width="9" style="2"/>
    <col min="14856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1" width="9" style="2"/>
    <col min="15112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7" width="9" style="2"/>
    <col min="15368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3" width="9" style="2"/>
    <col min="15624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9" width="9" style="2"/>
    <col min="15880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5" width="9" style="2"/>
    <col min="16136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78</v>
      </c>
    </row>
    <row r="4" spans="1:15">
      <c r="B4" s="3"/>
      <c r="C4" s="7" t="s">
        <v>4</v>
      </c>
      <c r="D4" s="8" t="s">
        <v>10</v>
      </c>
      <c r="E4" s="43" t="s">
        <v>79</v>
      </c>
      <c r="F4" s="6" t="s">
        <v>3</v>
      </c>
      <c r="G4" s="7" t="s">
        <v>5</v>
      </c>
      <c r="H4" s="7" t="s">
        <v>6</v>
      </c>
      <c r="I4" s="7" t="s">
        <v>7</v>
      </c>
      <c r="J4" s="7" t="s">
        <v>8</v>
      </c>
      <c r="K4" s="45" t="s">
        <v>9</v>
      </c>
      <c r="L4" s="56" t="s">
        <v>79</v>
      </c>
      <c r="M4" s="66" t="s">
        <v>20</v>
      </c>
    </row>
    <row r="5" spans="1:15" ht="19.5" thickBot="1">
      <c r="A5" s="69"/>
      <c r="B5" s="25" t="s">
        <v>11</v>
      </c>
      <c r="C5" s="27" t="s">
        <v>13</v>
      </c>
      <c r="D5" s="28" t="s">
        <v>19</v>
      </c>
      <c r="E5" s="44" t="s">
        <v>80</v>
      </c>
      <c r="F5" s="26" t="s">
        <v>12</v>
      </c>
      <c r="G5" s="27" t="s">
        <v>14</v>
      </c>
      <c r="H5" s="27" t="s">
        <v>15</v>
      </c>
      <c r="I5" s="27" t="s">
        <v>16</v>
      </c>
      <c r="J5" s="27" t="s">
        <v>17</v>
      </c>
      <c r="K5" s="46" t="s">
        <v>18</v>
      </c>
      <c r="L5" s="57" t="s">
        <v>81</v>
      </c>
      <c r="M5" s="67" t="s">
        <v>82</v>
      </c>
      <c r="O5"/>
    </row>
    <row r="6" spans="1:15">
      <c r="A6" s="1" t="s">
        <v>2</v>
      </c>
      <c r="B6" s="21" t="s">
        <v>21</v>
      </c>
      <c r="C6" s="23">
        <v>21</v>
      </c>
      <c r="D6" s="24">
        <v>17</v>
      </c>
      <c r="E6" s="23">
        <f>SUM(C6:D6)</f>
        <v>38</v>
      </c>
      <c r="F6" s="22">
        <v>19</v>
      </c>
      <c r="G6" s="23">
        <v>20</v>
      </c>
      <c r="H6" s="23">
        <v>18</v>
      </c>
      <c r="I6" s="23">
        <v>21</v>
      </c>
      <c r="J6" s="23">
        <v>20</v>
      </c>
      <c r="K6" s="47">
        <v>20</v>
      </c>
      <c r="L6" s="58">
        <f>SUM(F6:K6)</f>
        <v>118</v>
      </c>
      <c r="M6" s="58"/>
      <c r="O6"/>
    </row>
    <row r="7" spans="1:15">
      <c r="A7" s="1" t="s">
        <v>2</v>
      </c>
      <c r="B7" s="4" t="s">
        <v>22</v>
      </c>
      <c r="C7" s="10">
        <v>0</v>
      </c>
      <c r="D7" s="11">
        <v>0</v>
      </c>
      <c r="E7" s="10"/>
      <c r="F7" s="9">
        <v>2</v>
      </c>
      <c r="G7" s="10">
        <v>2</v>
      </c>
      <c r="H7" s="10">
        <v>2</v>
      </c>
      <c r="I7" s="10">
        <v>1</v>
      </c>
      <c r="J7" s="10">
        <v>2</v>
      </c>
      <c r="K7" s="48">
        <v>0</v>
      </c>
      <c r="L7" s="59">
        <f>SUM(F7:K7)</f>
        <v>9</v>
      </c>
      <c r="M7" s="59">
        <f t="shared" ref="M7:M61" si="0">E7+L7</f>
        <v>9</v>
      </c>
      <c r="O7"/>
    </row>
    <row r="8" spans="1:15">
      <c r="A8" s="1" t="s">
        <v>2</v>
      </c>
      <c r="B8" s="4" t="s">
        <v>23</v>
      </c>
      <c r="C8" s="10">
        <v>0</v>
      </c>
      <c r="D8" s="11">
        <v>0</v>
      </c>
      <c r="E8" s="10"/>
      <c r="F8" s="9">
        <v>1</v>
      </c>
      <c r="G8" s="10">
        <v>0</v>
      </c>
      <c r="H8" s="10">
        <v>0</v>
      </c>
      <c r="I8" s="10">
        <v>0</v>
      </c>
      <c r="J8" s="10">
        <v>1</v>
      </c>
      <c r="K8" s="48">
        <v>0</v>
      </c>
      <c r="L8" s="59">
        <f>SUM(F8:K8)</f>
        <v>2</v>
      </c>
      <c r="M8" s="59">
        <f t="shared" si="0"/>
        <v>2</v>
      </c>
      <c r="O8"/>
    </row>
    <row r="9" spans="1:15">
      <c r="A9" s="1" t="s">
        <v>2</v>
      </c>
      <c r="B9" s="4" t="s">
        <v>24</v>
      </c>
      <c r="C9" s="10">
        <v>0</v>
      </c>
      <c r="D9" s="11">
        <v>0</v>
      </c>
      <c r="E9" s="10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48">
        <v>0</v>
      </c>
      <c r="L9" s="59"/>
      <c r="M9" s="59">
        <f t="shared" si="0"/>
        <v>0</v>
      </c>
      <c r="O9"/>
    </row>
    <row r="10" spans="1:15">
      <c r="A10" s="1" t="s">
        <v>2</v>
      </c>
      <c r="B10" s="4" t="s">
        <v>25</v>
      </c>
      <c r="C10" s="10">
        <v>0</v>
      </c>
      <c r="D10" s="11">
        <v>0</v>
      </c>
      <c r="E10" s="10"/>
      <c r="F10" s="9">
        <v>1</v>
      </c>
      <c r="G10" s="10">
        <v>1</v>
      </c>
      <c r="H10" s="10">
        <v>3</v>
      </c>
      <c r="I10" s="10">
        <v>0</v>
      </c>
      <c r="J10" s="10">
        <v>1</v>
      </c>
      <c r="K10" s="48">
        <v>0</v>
      </c>
      <c r="L10" s="59">
        <f>SUM(F10:K10)</f>
        <v>6</v>
      </c>
      <c r="M10" s="59">
        <f t="shared" si="0"/>
        <v>6</v>
      </c>
      <c r="O10"/>
    </row>
    <row r="11" spans="1:15">
      <c r="A11" s="1" t="s">
        <v>2</v>
      </c>
      <c r="B11" s="4" t="s">
        <v>26</v>
      </c>
      <c r="C11" s="10">
        <v>0</v>
      </c>
      <c r="D11" s="11">
        <v>0</v>
      </c>
      <c r="E11" s="10"/>
      <c r="F11" s="9">
        <v>1</v>
      </c>
      <c r="G11" s="10">
        <v>0</v>
      </c>
      <c r="H11" s="10">
        <v>0</v>
      </c>
      <c r="I11" s="10">
        <v>0</v>
      </c>
      <c r="J11" s="10">
        <v>0</v>
      </c>
      <c r="K11" s="48">
        <v>1</v>
      </c>
      <c r="L11" s="59">
        <f>SUM(F11:K11)</f>
        <v>2</v>
      </c>
      <c r="M11" s="59">
        <f t="shared" si="0"/>
        <v>2</v>
      </c>
      <c r="O11"/>
    </row>
    <row r="12" spans="1:15">
      <c r="A12" s="1" t="s">
        <v>2</v>
      </c>
      <c r="B12" s="4" t="s">
        <v>27</v>
      </c>
      <c r="C12" s="10">
        <v>0</v>
      </c>
      <c r="D12" s="11">
        <v>0</v>
      </c>
      <c r="E12" s="10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48">
        <v>0</v>
      </c>
      <c r="L12" s="59"/>
      <c r="M12" s="59">
        <f t="shared" si="0"/>
        <v>0</v>
      </c>
      <c r="O12"/>
    </row>
    <row r="13" spans="1:15">
      <c r="A13" s="1" t="s">
        <v>2</v>
      </c>
      <c r="B13" s="4" t="s">
        <v>28</v>
      </c>
      <c r="C13" s="10">
        <v>0</v>
      </c>
      <c r="D13" s="11">
        <v>0</v>
      </c>
      <c r="E13" s="10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48">
        <v>0</v>
      </c>
      <c r="L13" s="59"/>
      <c r="M13" s="59">
        <f t="shared" si="0"/>
        <v>0</v>
      </c>
      <c r="O13"/>
    </row>
    <row r="14" spans="1:15">
      <c r="A14" s="1" t="s">
        <v>2</v>
      </c>
      <c r="B14" s="4" t="s">
        <v>29</v>
      </c>
      <c r="C14" s="13">
        <v>0</v>
      </c>
      <c r="D14" s="14">
        <v>3.5416666666666665</v>
      </c>
      <c r="E14" s="13">
        <f>SUM(C14:D14)</f>
        <v>3.5416666666666665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49">
        <v>0</v>
      </c>
      <c r="L14" s="60"/>
      <c r="M14" s="60">
        <f t="shared" si="0"/>
        <v>3.5416666666666665</v>
      </c>
      <c r="O14"/>
    </row>
    <row r="15" spans="1:15">
      <c r="A15" s="1" t="s">
        <v>2</v>
      </c>
      <c r="B15" s="4" t="s">
        <v>30</v>
      </c>
      <c r="C15" s="13">
        <v>0</v>
      </c>
      <c r="D15" s="14">
        <v>0</v>
      </c>
      <c r="E15" s="13"/>
      <c r="F15" s="12">
        <v>0</v>
      </c>
      <c r="G15" s="13">
        <v>0</v>
      </c>
      <c r="H15" s="13">
        <v>0</v>
      </c>
      <c r="I15" s="13">
        <v>0</v>
      </c>
      <c r="J15" s="13">
        <v>0</v>
      </c>
      <c r="K15" s="49">
        <v>0</v>
      </c>
      <c r="L15" s="60"/>
      <c r="M15" s="60">
        <f t="shared" si="0"/>
        <v>0</v>
      </c>
      <c r="O15"/>
    </row>
    <row r="16" spans="1:15">
      <c r="A16" s="1" t="s">
        <v>2</v>
      </c>
      <c r="B16" s="4" t="s">
        <v>31</v>
      </c>
      <c r="C16" s="13">
        <v>0</v>
      </c>
      <c r="D16" s="14">
        <v>0</v>
      </c>
      <c r="E16" s="13"/>
      <c r="F16" s="12">
        <v>0.33333333333333331</v>
      </c>
      <c r="G16" s="13">
        <v>0.58333333333333337</v>
      </c>
      <c r="H16" s="13">
        <v>1.0416666666666667</v>
      </c>
      <c r="I16" s="13">
        <v>1.0833333333333333</v>
      </c>
      <c r="J16" s="13">
        <v>0.5</v>
      </c>
      <c r="K16" s="49">
        <v>1</v>
      </c>
      <c r="L16" s="60">
        <f>SUM(F16:K16)</f>
        <v>4.541666666666667</v>
      </c>
      <c r="M16" s="60">
        <f t="shared" si="0"/>
        <v>4.541666666666667</v>
      </c>
      <c r="O16"/>
    </row>
    <row r="17" spans="1:15">
      <c r="A17" s="1" t="s">
        <v>2</v>
      </c>
      <c r="B17" s="4" t="s">
        <v>32</v>
      </c>
      <c r="C17" s="13">
        <v>0</v>
      </c>
      <c r="D17" s="14">
        <v>0</v>
      </c>
      <c r="E17" s="13"/>
      <c r="F17" s="12">
        <v>0.83333333333333337</v>
      </c>
      <c r="G17" s="13">
        <v>0.75</v>
      </c>
      <c r="H17" s="13">
        <v>0.66666666666666663</v>
      </c>
      <c r="I17" s="13">
        <v>0.375</v>
      </c>
      <c r="J17" s="13">
        <v>0.79166666666666663</v>
      </c>
      <c r="K17" s="49">
        <v>0</v>
      </c>
      <c r="L17" s="60">
        <f t="shared" ref="L17:L18" si="1">SUM(F17:K17)</f>
        <v>3.4166666666666665</v>
      </c>
      <c r="M17" s="60">
        <f t="shared" si="0"/>
        <v>3.4166666666666665</v>
      </c>
      <c r="O17"/>
    </row>
    <row r="18" spans="1:15">
      <c r="A18" s="1" t="s">
        <v>2</v>
      </c>
      <c r="B18" s="4" t="s">
        <v>33</v>
      </c>
      <c r="C18" s="13">
        <v>0</v>
      </c>
      <c r="D18" s="14">
        <v>0</v>
      </c>
      <c r="E18" s="13"/>
      <c r="F18" s="12">
        <v>0.375</v>
      </c>
      <c r="G18" s="13">
        <v>0</v>
      </c>
      <c r="H18" s="13">
        <v>0</v>
      </c>
      <c r="I18" s="13">
        <v>0</v>
      </c>
      <c r="J18" s="13">
        <v>0.33333333333333331</v>
      </c>
      <c r="K18" s="49">
        <v>0</v>
      </c>
      <c r="L18" s="60">
        <f t="shared" si="1"/>
        <v>0.70833333333333326</v>
      </c>
      <c r="M18" s="60">
        <f t="shared" si="0"/>
        <v>0.70833333333333326</v>
      </c>
      <c r="O18"/>
    </row>
    <row r="19" spans="1:15">
      <c r="A19" s="1" t="s">
        <v>2</v>
      </c>
      <c r="B19" s="4" t="s">
        <v>34</v>
      </c>
      <c r="C19" s="13">
        <v>0</v>
      </c>
      <c r="D19" s="14">
        <v>0</v>
      </c>
      <c r="E19" s="13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49">
        <v>0</v>
      </c>
      <c r="L19" s="60"/>
      <c r="M19" s="60">
        <f t="shared" si="0"/>
        <v>0</v>
      </c>
      <c r="O19"/>
    </row>
    <row r="20" spans="1:15">
      <c r="A20" s="1" t="s">
        <v>2</v>
      </c>
      <c r="B20" s="4" t="s">
        <v>35</v>
      </c>
      <c r="C20" s="13">
        <v>0</v>
      </c>
      <c r="D20" s="14">
        <v>0</v>
      </c>
      <c r="E20" s="13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49">
        <v>0</v>
      </c>
      <c r="L20" s="60"/>
      <c r="M20" s="60">
        <f t="shared" si="0"/>
        <v>0</v>
      </c>
      <c r="O20"/>
    </row>
    <row r="21" spans="1:15">
      <c r="A21" s="1" t="s">
        <v>2</v>
      </c>
      <c r="B21" s="4" t="s">
        <v>36</v>
      </c>
      <c r="C21" s="13">
        <v>0</v>
      </c>
      <c r="D21" s="14">
        <v>0</v>
      </c>
      <c r="E21" s="13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49">
        <v>0</v>
      </c>
      <c r="L21" s="60"/>
      <c r="M21" s="60">
        <f t="shared" si="0"/>
        <v>0</v>
      </c>
      <c r="O21"/>
    </row>
    <row r="22" spans="1:15">
      <c r="A22" s="1" t="s">
        <v>2</v>
      </c>
      <c r="B22" s="4" t="s">
        <v>37</v>
      </c>
      <c r="C22" s="13">
        <v>0</v>
      </c>
      <c r="D22" s="14">
        <v>0</v>
      </c>
      <c r="E22" s="13"/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49">
        <v>0</v>
      </c>
      <c r="L22" s="60"/>
      <c r="M22" s="60">
        <f t="shared" si="0"/>
        <v>0</v>
      </c>
      <c r="O22"/>
    </row>
    <row r="23" spans="1:15">
      <c r="A23" s="1" t="s">
        <v>2</v>
      </c>
      <c r="B23" s="4" t="s">
        <v>38</v>
      </c>
      <c r="C23" s="13">
        <v>0</v>
      </c>
      <c r="D23" s="14">
        <v>0</v>
      </c>
      <c r="E23" s="13"/>
      <c r="F23" s="12">
        <v>0</v>
      </c>
      <c r="G23" s="13">
        <v>0</v>
      </c>
      <c r="H23" s="13">
        <v>0</v>
      </c>
      <c r="I23" s="13">
        <v>0</v>
      </c>
      <c r="J23" s="13">
        <v>0</v>
      </c>
      <c r="K23" s="49">
        <v>0</v>
      </c>
      <c r="L23" s="60"/>
      <c r="M23" s="60">
        <f t="shared" si="0"/>
        <v>0</v>
      </c>
      <c r="O23"/>
    </row>
    <row r="24" spans="1:15">
      <c r="A24" s="1" t="s">
        <v>2</v>
      </c>
      <c r="B24" s="4" t="s">
        <v>39</v>
      </c>
      <c r="C24" s="13">
        <v>0</v>
      </c>
      <c r="D24" s="14">
        <v>0</v>
      </c>
      <c r="E24" s="13"/>
      <c r="F24" s="12">
        <v>0</v>
      </c>
      <c r="G24" s="13">
        <v>0</v>
      </c>
      <c r="H24" s="13">
        <v>0</v>
      </c>
      <c r="I24" s="13">
        <v>0</v>
      </c>
      <c r="J24" s="13">
        <v>0</v>
      </c>
      <c r="K24" s="49">
        <v>0</v>
      </c>
      <c r="L24" s="60"/>
      <c r="M24" s="60">
        <f t="shared" si="0"/>
        <v>0</v>
      </c>
      <c r="O24"/>
    </row>
    <row r="25" spans="1:15">
      <c r="A25" s="1" t="s">
        <v>2</v>
      </c>
      <c r="B25" s="4" t="s">
        <v>40</v>
      </c>
      <c r="C25" s="13">
        <v>0</v>
      </c>
      <c r="D25" s="14">
        <v>0</v>
      </c>
      <c r="E25" s="13"/>
      <c r="F25" s="12">
        <v>0</v>
      </c>
      <c r="G25" s="13">
        <v>0</v>
      </c>
      <c r="H25" s="13">
        <v>0</v>
      </c>
      <c r="I25" s="13">
        <v>0.125</v>
      </c>
      <c r="J25" s="13">
        <v>0</v>
      </c>
      <c r="K25" s="49">
        <v>0</v>
      </c>
      <c r="L25" s="60">
        <f>SUM(F25:K25)</f>
        <v>0.125</v>
      </c>
      <c r="M25" s="60">
        <f t="shared" si="0"/>
        <v>0.125</v>
      </c>
      <c r="O25"/>
    </row>
    <row r="26" spans="1:15" ht="19.5" thickBot="1">
      <c r="A26" s="1" t="s">
        <v>2</v>
      </c>
      <c r="B26" s="5" t="s">
        <v>41</v>
      </c>
      <c r="C26" s="33">
        <v>25</v>
      </c>
      <c r="D26" s="34">
        <v>17</v>
      </c>
      <c r="E26" s="33">
        <f>SUM(C26:D26)</f>
        <v>42</v>
      </c>
      <c r="F26" s="32">
        <v>8</v>
      </c>
      <c r="G26" s="33">
        <v>8</v>
      </c>
      <c r="H26" s="33">
        <v>15</v>
      </c>
      <c r="I26" s="33">
        <v>20</v>
      </c>
      <c r="J26" s="33">
        <v>12</v>
      </c>
      <c r="K26" s="50">
        <v>10</v>
      </c>
      <c r="L26" s="68">
        <f>SUM(F26:K26)</f>
        <v>73</v>
      </c>
      <c r="M26" s="68">
        <f t="shared" si="0"/>
        <v>115</v>
      </c>
      <c r="O26"/>
    </row>
    <row r="27" spans="1:15">
      <c r="A27" s="1" t="s">
        <v>2</v>
      </c>
      <c r="B27" s="21" t="s">
        <v>42</v>
      </c>
      <c r="C27" s="30">
        <v>365000</v>
      </c>
      <c r="D27" s="31">
        <v>0</v>
      </c>
      <c r="E27" s="31">
        <f>SUM(C27:D27)</f>
        <v>365000</v>
      </c>
      <c r="F27" s="29">
        <v>187000</v>
      </c>
      <c r="G27" s="30">
        <v>187000</v>
      </c>
      <c r="H27" s="30">
        <v>182000</v>
      </c>
      <c r="I27" s="30">
        <v>187000</v>
      </c>
      <c r="J27" s="30">
        <v>177000</v>
      </c>
      <c r="K27" s="51">
        <v>170000</v>
      </c>
      <c r="L27" s="61">
        <f>SUM(F27:K27)</f>
        <v>1090000</v>
      </c>
      <c r="M27" s="61">
        <f t="shared" si="0"/>
        <v>1455000</v>
      </c>
      <c r="O27"/>
    </row>
    <row r="28" spans="1:15">
      <c r="A28" s="1" t="s">
        <v>2</v>
      </c>
      <c r="B28" s="4" t="s">
        <v>43</v>
      </c>
      <c r="C28" s="16">
        <v>0</v>
      </c>
      <c r="D28" s="17">
        <v>0</v>
      </c>
      <c r="E28" s="17">
        <f t="shared" ref="E28:E61" si="2">SUM(C28:D28)</f>
        <v>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2">
        <v>0</v>
      </c>
      <c r="L28" s="62"/>
      <c r="M28" s="62">
        <f t="shared" si="0"/>
        <v>0</v>
      </c>
      <c r="O28"/>
    </row>
    <row r="29" spans="1:15">
      <c r="A29" s="1" t="s">
        <v>2</v>
      </c>
      <c r="B29" s="4" t="s">
        <v>44</v>
      </c>
      <c r="C29" s="16">
        <v>0</v>
      </c>
      <c r="D29" s="17">
        <v>0</v>
      </c>
      <c r="E29" s="17">
        <f t="shared" si="2"/>
        <v>0</v>
      </c>
      <c r="F29" s="15">
        <v>0</v>
      </c>
      <c r="G29" s="16">
        <v>0</v>
      </c>
      <c r="H29" s="16">
        <v>6000</v>
      </c>
      <c r="I29" s="16">
        <v>0</v>
      </c>
      <c r="J29" s="16">
        <v>0</v>
      </c>
      <c r="K29" s="52">
        <v>0</v>
      </c>
      <c r="L29" s="62">
        <f>SUM(F29:K29)</f>
        <v>6000</v>
      </c>
      <c r="M29" s="62">
        <f t="shared" si="0"/>
        <v>6000</v>
      </c>
      <c r="O29"/>
    </row>
    <row r="30" spans="1:15">
      <c r="A30" s="1" t="s">
        <v>2</v>
      </c>
      <c r="B30" s="4" t="s">
        <v>45</v>
      </c>
      <c r="C30" s="16">
        <v>0</v>
      </c>
      <c r="D30" s="17">
        <v>0</v>
      </c>
      <c r="E30" s="17">
        <f t="shared" si="2"/>
        <v>0</v>
      </c>
      <c r="F30" s="15">
        <v>85336</v>
      </c>
      <c r="G30" s="16">
        <v>76888</v>
      </c>
      <c r="H30" s="16">
        <v>64768</v>
      </c>
      <c r="I30" s="16">
        <v>59992</v>
      </c>
      <c r="J30" s="16">
        <v>63504</v>
      </c>
      <c r="K30" s="52">
        <v>45828</v>
      </c>
      <c r="L30" s="62">
        <f t="shared" ref="L30:L61" si="3">SUM(F30:K30)</f>
        <v>396316</v>
      </c>
      <c r="M30" s="62">
        <f t="shared" si="0"/>
        <v>396316</v>
      </c>
      <c r="O30"/>
    </row>
    <row r="31" spans="1:15">
      <c r="A31" s="1" t="s">
        <v>2</v>
      </c>
      <c r="B31" s="4" t="s">
        <v>46</v>
      </c>
      <c r="C31" s="16">
        <v>0</v>
      </c>
      <c r="D31" s="17">
        <v>78625</v>
      </c>
      <c r="E31" s="17">
        <f t="shared" si="2"/>
        <v>78625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2">
        <v>0</v>
      </c>
      <c r="L31" s="62">
        <f t="shared" si="3"/>
        <v>0</v>
      </c>
      <c r="M31" s="62">
        <f t="shared" si="0"/>
        <v>78625</v>
      </c>
      <c r="O31"/>
    </row>
    <row r="32" spans="1:15">
      <c r="A32" s="1" t="s">
        <v>2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21400</v>
      </c>
      <c r="G32" s="16">
        <v>20200</v>
      </c>
      <c r="H32" s="16">
        <v>0</v>
      </c>
      <c r="I32" s="16">
        <v>21200</v>
      </c>
      <c r="J32" s="16">
        <v>10200</v>
      </c>
      <c r="K32" s="52">
        <v>0</v>
      </c>
      <c r="L32" s="62">
        <f t="shared" si="3"/>
        <v>73000</v>
      </c>
      <c r="M32" s="62">
        <f t="shared" si="0"/>
        <v>73000</v>
      </c>
      <c r="O32"/>
    </row>
    <row r="33" spans="1:15">
      <c r="A33" s="1" t="s">
        <v>2</v>
      </c>
      <c r="B33" s="4" t="s">
        <v>48</v>
      </c>
      <c r="C33" s="16">
        <v>0</v>
      </c>
      <c r="D33" s="17">
        <v>0</v>
      </c>
      <c r="E33" s="17">
        <f t="shared" si="2"/>
        <v>0</v>
      </c>
      <c r="F33" s="15">
        <v>1000</v>
      </c>
      <c r="G33" s="16">
        <v>1000</v>
      </c>
      <c r="H33" s="16">
        <v>0</v>
      </c>
      <c r="I33" s="16">
        <v>1000</v>
      </c>
      <c r="J33" s="16">
        <v>1000</v>
      </c>
      <c r="K33" s="52">
        <v>0</v>
      </c>
      <c r="L33" s="62">
        <f t="shared" si="3"/>
        <v>4000</v>
      </c>
      <c r="M33" s="62">
        <f t="shared" si="0"/>
        <v>4000</v>
      </c>
      <c r="O33"/>
    </row>
    <row r="34" spans="1:15">
      <c r="A34" s="1" t="s">
        <v>2</v>
      </c>
      <c r="B34" s="4" t="s">
        <v>49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2">
        <v>0</v>
      </c>
      <c r="L34" s="62">
        <f t="shared" si="3"/>
        <v>0</v>
      </c>
      <c r="M34" s="62">
        <f t="shared" si="0"/>
        <v>0</v>
      </c>
      <c r="O34"/>
    </row>
    <row r="35" spans="1:15">
      <c r="A35" s="1" t="s">
        <v>2</v>
      </c>
      <c r="B35" s="4" t="s">
        <v>50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2">
        <v>0</v>
      </c>
      <c r="L35" s="62">
        <f t="shared" si="3"/>
        <v>0</v>
      </c>
      <c r="M35" s="62">
        <f t="shared" si="0"/>
        <v>0</v>
      </c>
      <c r="O35"/>
    </row>
    <row r="36" spans="1:15">
      <c r="A36" s="1" t="s">
        <v>2</v>
      </c>
      <c r="B36" s="4" t="s">
        <v>51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2">
        <v>0</v>
      </c>
      <c r="L36" s="62">
        <f t="shared" si="3"/>
        <v>0</v>
      </c>
      <c r="M36" s="62">
        <f t="shared" si="0"/>
        <v>0</v>
      </c>
      <c r="O36"/>
    </row>
    <row r="37" spans="1:15">
      <c r="A37" s="1" t="s">
        <v>2</v>
      </c>
      <c r="B37" s="4" t="s">
        <v>52</v>
      </c>
      <c r="C37" s="16">
        <v>0</v>
      </c>
      <c r="D37" s="17">
        <v>0</v>
      </c>
      <c r="E37" s="17">
        <f t="shared" si="2"/>
        <v>0</v>
      </c>
      <c r="F37" s="15">
        <v>0</v>
      </c>
      <c r="G37" s="16">
        <v>0</v>
      </c>
      <c r="H37" s="16">
        <v>0</v>
      </c>
      <c r="I37" s="16">
        <v>0</v>
      </c>
      <c r="J37" s="16">
        <v>0</v>
      </c>
      <c r="K37" s="52">
        <v>0</v>
      </c>
      <c r="L37" s="62">
        <f t="shared" si="3"/>
        <v>0</v>
      </c>
      <c r="M37" s="62">
        <f t="shared" si="0"/>
        <v>0</v>
      </c>
      <c r="O37"/>
    </row>
    <row r="38" spans="1:15">
      <c r="A38" s="1" t="s">
        <v>2</v>
      </c>
      <c r="B38" s="4" t="s">
        <v>31</v>
      </c>
      <c r="C38" s="16">
        <v>0</v>
      </c>
      <c r="D38" s="17">
        <v>0</v>
      </c>
      <c r="E38" s="17">
        <f t="shared" si="2"/>
        <v>0</v>
      </c>
      <c r="F38" s="15">
        <v>11264</v>
      </c>
      <c r="G38" s="16">
        <v>19712</v>
      </c>
      <c r="H38" s="16">
        <v>35200</v>
      </c>
      <c r="I38" s="16">
        <v>36608</v>
      </c>
      <c r="J38" s="16">
        <v>15996</v>
      </c>
      <c r="K38" s="52">
        <v>30552</v>
      </c>
      <c r="L38" s="62">
        <f t="shared" si="3"/>
        <v>149332</v>
      </c>
      <c r="M38" s="62">
        <f t="shared" si="0"/>
        <v>149332</v>
      </c>
      <c r="O38"/>
    </row>
    <row r="39" spans="1:15">
      <c r="A39" s="1" t="s">
        <v>2</v>
      </c>
      <c r="B39" s="4" t="s">
        <v>53</v>
      </c>
      <c r="C39" s="16">
        <v>0</v>
      </c>
      <c r="D39" s="17">
        <v>0</v>
      </c>
      <c r="E39" s="17">
        <f t="shared" si="2"/>
        <v>0</v>
      </c>
      <c r="F39" s="15">
        <v>30400</v>
      </c>
      <c r="G39" s="16">
        <v>27360</v>
      </c>
      <c r="H39" s="16">
        <v>24320</v>
      </c>
      <c r="I39" s="16">
        <v>13680</v>
      </c>
      <c r="J39" s="16">
        <v>27341</v>
      </c>
      <c r="K39" s="52">
        <v>0</v>
      </c>
      <c r="L39" s="62">
        <f t="shared" si="3"/>
        <v>123101</v>
      </c>
      <c r="M39" s="62">
        <f t="shared" si="0"/>
        <v>123101</v>
      </c>
      <c r="O39"/>
    </row>
    <row r="40" spans="1:15">
      <c r="A40" s="1" t="s">
        <v>2</v>
      </c>
      <c r="B40" s="4" t="s">
        <v>54</v>
      </c>
      <c r="C40" s="16">
        <v>0</v>
      </c>
      <c r="D40" s="17">
        <v>0</v>
      </c>
      <c r="E40" s="17">
        <f t="shared" si="2"/>
        <v>0</v>
      </c>
      <c r="F40" s="15">
        <v>13680</v>
      </c>
      <c r="G40" s="16">
        <v>0</v>
      </c>
      <c r="H40" s="16">
        <v>0</v>
      </c>
      <c r="I40" s="16">
        <v>0</v>
      </c>
      <c r="J40" s="16">
        <v>11512</v>
      </c>
      <c r="K40" s="52">
        <v>0</v>
      </c>
      <c r="L40" s="62">
        <f t="shared" si="3"/>
        <v>25192</v>
      </c>
      <c r="M40" s="62">
        <f t="shared" si="0"/>
        <v>25192</v>
      </c>
      <c r="O40"/>
    </row>
    <row r="41" spans="1:15">
      <c r="A41" s="1" t="s">
        <v>2</v>
      </c>
      <c r="B41" s="4" t="s">
        <v>55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52">
        <v>0</v>
      </c>
      <c r="L41" s="62">
        <f t="shared" si="3"/>
        <v>0</v>
      </c>
      <c r="M41" s="62">
        <f t="shared" si="0"/>
        <v>0</v>
      </c>
      <c r="O41"/>
    </row>
    <row r="42" spans="1:15">
      <c r="A42" s="1" t="s">
        <v>2</v>
      </c>
      <c r="B42" s="4" t="s">
        <v>56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2">
        <v>0</v>
      </c>
      <c r="L42" s="62">
        <f t="shared" si="3"/>
        <v>0</v>
      </c>
      <c r="M42" s="62">
        <f t="shared" si="0"/>
        <v>0</v>
      </c>
      <c r="O42"/>
    </row>
    <row r="43" spans="1:15">
      <c r="A43" s="1" t="s">
        <v>2</v>
      </c>
      <c r="B43" s="4" t="s">
        <v>57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2">
        <v>0</v>
      </c>
      <c r="L43" s="62">
        <f t="shared" si="3"/>
        <v>0</v>
      </c>
      <c r="M43" s="62">
        <f t="shared" si="0"/>
        <v>0</v>
      </c>
      <c r="O43"/>
    </row>
    <row r="44" spans="1:15" ht="19.5" thickBot="1">
      <c r="A44" s="1" t="s">
        <v>2</v>
      </c>
      <c r="B44" s="35" t="s">
        <v>40</v>
      </c>
      <c r="C44" s="37">
        <v>0</v>
      </c>
      <c r="D44" s="38">
        <v>0</v>
      </c>
      <c r="E44" s="38">
        <f t="shared" si="2"/>
        <v>0</v>
      </c>
      <c r="F44" s="36">
        <v>0</v>
      </c>
      <c r="G44" s="37">
        <v>0</v>
      </c>
      <c r="H44" s="37">
        <v>0</v>
      </c>
      <c r="I44" s="37">
        <v>846</v>
      </c>
      <c r="J44" s="37">
        <v>0</v>
      </c>
      <c r="K44" s="53">
        <v>0</v>
      </c>
      <c r="L44" s="63">
        <f t="shared" si="3"/>
        <v>846</v>
      </c>
      <c r="M44" s="63">
        <f t="shared" si="0"/>
        <v>846</v>
      </c>
      <c r="O44"/>
    </row>
    <row r="45" spans="1:15" ht="19.5" thickBot="1">
      <c r="A45" s="1" t="s">
        <v>2</v>
      </c>
      <c r="B45" s="39" t="s">
        <v>58</v>
      </c>
      <c r="C45" s="41">
        <v>365000</v>
      </c>
      <c r="D45" s="42">
        <v>78625</v>
      </c>
      <c r="E45" s="42">
        <f t="shared" si="2"/>
        <v>443625</v>
      </c>
      <c r="F45" s="40">
        <v>350080</v>
      </c>
      <c r="G45" s="41">
        <v>332160</v>
      </c>
      <c r="H45" s="41">
        <v>312288</v>
      </c>
      <c r="I45" s="41">
        <v>320326</v>
      </c>
      <c r="J45" s="41">
        <v>306553</v>
      </c>
      <c r="K45" s="54">
        <v>246380</v>
      </c>
      <c r="L45" s="64">
        <f t="shared" si="3"/>
        <v>1867787</v>
      </c>
      <c r="M45" s="64">
        <f t="shared" si="0"/>
        <v>2311412</v>
      </c>
      <c r="O45"/>
    </row>
    <row r="46" spans="1:15" ht="19.5" thickBot="1">
      <c r="A46" s="1" t="s">
        <v>2</v>
      </c>
      <c r="B46" s="21" t="s">
        <v>59</v>
      </c>
      <c r="C46" s="30">
        <v>4597</v>
      </c>
      <c r="D46" s="31">
        <v>2849</v>
      </c>
      <c r="E46" s="31">
        <f t="shared" si="2"/>
        <v>7446</v>
      </c>
      <c r="F46" s="29">
        <v>6320</v>
      </c>
      <c r="G46" s="30">
        <v>4740</v>
      </c>
      <c r="H46" s="30">
        <v>8140</v>
      </c>
      <c r="I46" s="30">
        <v>1580</v>
      </c>
      <c r="J46" s="30">
        <v>13215</v>
      </c>
      <c r="K46" s="51">
        <v>5746</v>
      </c>
      <c r="L46" s="61">
        <f t="shared" si="3"/>
        <v>39741</v>
      </c>
      <c r="M46" s="61">
        <f t="shared" si="0"/>
        <v>47187</v>
      </c>
      <c r="O46"/>
    </row>
    <row r="47" spans="1:15" ht="19.5" thickBot="1">
      <c r="A47" s="1" t="s">
        <v>2</v>
      </c>
      <c r="B47" s="39" t="s">
        <v>60</v>
      </c>
      <c r="C47" s="41">
        <v>4597</v>
      </c>
      <c r="D47" s="42">
        <v>2849</v>
      </c>
      <c r="E47" s="42">
        <f t="shared" si="2"/>
        <v>7446</v>
      </c>
      <c r="F47" s="40">
        <v>6320</v>
      </c>
      <c r="G47" s="41">
        <v>4740</v>
      </c>
      <c r="H47" s="41">
        <v>8140</v>
      </c>
      <c r="I47" s="41">
        <v>1580</v>
      </c>
      <c r="J47" s="41">
        <v>13215</v>
      </c>
      <c r="K47" s="54">
        <v>5746</v>
      </c>
      <c r="L47" s="64">
        <f t="shared" si="3"/>
        <v>39741</v>
      </c>
      <c r="M47" s="64">
        <f t="shared" si="0"/>
        <v>47187</v>
      </c>
      <c r="O47"/>
    </row>
    <row r="48" spans="1:15" ht="19.5" thickBot="1">
      <c r="A48" s="1" t="s">
        <v>2</v>
      </c>
      <c r="B48" s="39" t="s">
        <v>61</v>
      </c>
      <c r="C48" s="41">
        <v>369597</v>
      </c>
      <c r="D48" s="42">
        <v>81474</v>
      </c>
      <c r="E48" s="42">
        <f t="shared" si="2"/>
        <v>451071</v>
      </c>
      <c r="F48" s="40">
        <v>356400</v>
      </c>
      <c r="G48" s="41">
        <v>336900</v>
      </c>
      <c r="H48" s="41">
        <v>320428</v>
      </c>
      <c r="I48" s="41">
        <v>321906</v>
      </c>
      <c r="J48" s="41">
        <v>319768</v>
      </c>
      <c r="K48" s="54">
        <v>252126</v>
      </c>
      <c r="L48" s="64">
        <f t="shared" si="3"/>
        <v>1907528</v>
      </c>
      <c r="M48" s="64">
        <f t="shared" si="0"/>
        <v>2358599</v>
      </c>
      <c r="O48"/>
    </row>
    <row r="49" spans="1:15">
      <c r="A49" s="1" t="s">
        <v>2</v>
      </c>
      <c r="B49" s="21" t="s">
        <v>62</v>
      </c>
      <c r="C49" s="30">
        <v>18360</v>
      </c>
      <c r="D49" s="31">
        <v>0</v>
      </c>
      <c r="E49" s="31">
        <f t="shared" si="2"/>
        <v>18360</v>
      </c>
      <c r="F49" s="29">
        <v>16320</v>
      </c>
      <c r="G49" s="30">
        <v>17340</v>
      </c>
      <c r="H49" s="30">
        <v>16320</v>
      </c>
      <c r="I49" s="30">
        <v>16320</v>
      </c>
      <c r="J49" s="30">
        <v>14280</v>
      </c>
      <c r="K49" s="51">
        <v>13260</v>
      </c>
      <c r="L49" s="61">
        <f t="shared" si="3"/>
        <v>93840</v>
      </c>
      <c r="M49" s="61">
        <f t="shared" si="0"/>
        <v>112200</v>
      </c>
      <c r="O49"/>
    </row>
    <row r="50" spans="1:15">
      <c r="A50" s="1" t="s">
        <v>2</v>
      </c>
      <c r="B50" s="4" t="s">
        <v>63</v>
      </c>
      <c r="C50" s="16">
        <v>3240</v>
      </c>
      <c r="D50" s="17">
        <v>0</v>
      </c>
      <c r="E50" s="17">
        <f t="shared" si="2"/>
        <v>3240</v>
      </c>
      <c r="F50" s="15">
        <v>0</v>
      </c>
      <c r="G50" s="16">
        <v>3060</v>
      </c>
      <c r="H50" s="16">
        <v>2880</v>
      </c>
      <c r="I50" s="16">
        <v>2880</v>
      </c>
      <c r="J50" s="16">
        <v>2520</v>
      </c>
      <c r="K50" s="52">
        <v>2340</v>
      </c>
      <c r="L50" s="62">
        <f t="shared" si="3"/>
        <v>13680</v>
      </c>
      <c r="M50" s="62">
        <f t="shared" si="0"/>
        <v>16920</v>
      </c>
      <c r="O50"/>
    </row>
    <row r="51" spans="1:15">
      <c r="A51" s="1" t="s">
        <v>2</v>
      </c>
      <c r="B51" s="4" t="s">
        <v>64</v>
      </c>
      <c r="C51" s="16">
        <v>32940</v>
      </c>
      <c r="D51" s="17">
        <v>0</v>
      </c>
      <c r="E51" s="17">
        <f t="shared" si="2"/>
        <v>32940</v>
      </c>
      <c r="F51" s="15">
        <v>29280</v>
      </c>
      <c r="G51" s="16">
        <v>31110</v>
      </c>
      <c r="H51" s="16">
        <v>29280</v>
      </c>
      <c r="I51" s="16">
        <v>29280</v>
      </c>
      <c r="J51" s="16">
        <v>25620</v>
      </c>
      <c r="K51" s="52">
        <v>23790</v>
      </c>
      <c r="L51" s="62">
        <f t="shared" si="3"/>
        <v>168360</v>
      </c>
      <c r="M51" s="62">
        <f t="shared" si="0"/>
        <v>201300</v>
      </c>
      <c r="O51"/>
    </row>
    <row r="52" spans="1:15" ht="19.5" thickBot="1">
      <c r="A52" s="1" t="s">
        <v>2</v>
      </c>
      <c r="B52" s="4" t="s">
        <v>65</v>
      </c>
      <c r="C52" s="16">
        <v>1109</v>
      </c>
      <c r="D52" s="17">
        <v>244</v>
      </c>
      <c r="E52" s="17">
        <f t="shared" si="2"/>
        <v>1353</v>
      </c>
      <c r="F52" s="15">
        <v>1069</v>
      </c>
      <c r="G52" s="16">
        <v>1011</v>
      </c>
      <c r="H52" s="16">
        <v>961</v>
      </c>
      <c r="I52" s="16">
        <v>966</v>
      </c>
      <c r="J52" s="16">
        <v>959</v>
      </c>
      <c r="K52" s="52">
        <v>756</v>
      </c>
      <c r="L52" s="62">
        <f t="shared" si="3"/>
        <v>5722</v>
      </c>
      <c r="M52" s="62">
        <f t="shared" si="0"/>
        <v>7075</v>
      </c>
      <c r="O52"/>
    </row>
    <row r="53" spans="1:15" ht="19.5" thickBot="1">
      <c r="A53" s="1" t="s">
        <v>2</v>
      </c>
      <c r="B53" s="39" t="s">
        <v>66</v>
      </c>
      <c r="C53" s="41">
        <v>55649</v>
      </c>
      <c r="D53" s="42">
        <v>244</v>
      </c>
      <c r="E53" s="42">
        <f t="shared" si="2"/>
        <v>55893</v>
      </c>
      <c r="F53" s="40">
        <v>46669</v>
      </c>
      <c r="G53" s="41">
        <v>52521</v>
      </c>
      <c r="H53" s="41">
        <v>49441</v>
      </c>
      <c r="I53" s="41">
        <v>49446</v>
      </c>
      <c r="J53" s="41">
        <v>43379</v>
      </c>
      <c r="K53" s="54">
        <v>40146</v>
      </c>
      <c r="L53" s="64">
        <f t="shared" si="3"/>
        <v>281602</v>
      </c>
      <c r="M53" s="64">
        <f t="shared" si="0"/>
        <v>337495</v>
      </c>
      <c r="O53"/>
    </row>
    <row r="54" spans="1:15">
      <c r="A54" s="1" t="s">
        <v>2</v>
      </c>
      <c r="B54" s="21" t="s">
        <v>67</v>
      </c>
      <c r="C54" s="30">
        <v>9140</v>
      </c>
      <c r="D54" s="31">
        <v>0</v>
      </c>
      <c r="E54" s="31">
        <f t="shared" si="2"/>
        <v>9140</v>
      </c>
      <c r="F54" s="29">
        <v>8660</v>
      </c>
      <c r="G54" s="30">
        <v>5990</v>
      </c>
      <c r="H54" s="30">
        <v>7010</v>
      </c>
      <c r="I54" s="30">
        <v>5680</v>
      </c>
      <c r="J54" s="30">
        <v>5410</v>
      </c>
      <c r="K54" s="51">
        <v>4990</v>
      </c>
      <c r="L54" s="61">
        <f t="shared" si="3"/>
        <v>37740</v>
      </c>
      <c r="M54" s="61">
        <f t="shared" si="0"/>
        <v>46880</v>
      </c>
      <c r="O54"/>
    </row>
    <row r="55" spans="1:15">
      <c r="A55" s="1" t="s">
        <v>2</v>
      </c>
      <c r="B55" s="4" t="s">
        <v>68</v>
      </c>
      <c r="C55" s="16">
        <v>18800</v>
      </c>
      <c r="D55" s="17">
        <v>500</v>
      </c>
      <c r="E55" s="17">
        <f t="shared" si="2"/>
        <v>19300</v>
      </c>
      <c r="F55" s="15">
        <v>11900</v>
      </c>
      <c r="G55" s="16">
        <v>6100</v>
      </c>
      <c r="H55" s="16">
        <v>6800</v>
      </c>
      <c r="I55" s="16">
        <v>10800</v>
      </c>
      <c r="J55" s="16">
        <v>2000</v>
      </c>
      <c r="K55" s="52">
        <v>10400</v>
      </c>
      <c r="L55" s="62">
        <f t="shared" si="3"/>
        <v>48000</v>
      </c>
      <c r="M55" s="62">
        <f t="shared" si="0"/>
        <v>67300</v>
      </c>
      <c r="O55"/>
    </row>
    <row r="56" spans="1:15" ht="19.5" thickBot="1">
      <c r="A56" s="1" t="s">
        <v>2</v>
      </c>
      <c r="B56" s="4" t="s">
        <v>69</v>
      </c>
      <c r="C56" s="16">
        <v>0</v>
      </c>
      <c r="D56" s="17">
        <v>0</v>
      </c>
      <c r="E56" s="17">
        <f t="shared" si="2"/>
        <v>0</v>
      </c>
      <c r="F56" s="15">
        <v>21400</v>
      </c>
      <c r="G56" s="16">
        <v>25200</v>
      </c>
      <c r="H56" s="16">
        <v>0</v>
      </c>
      <c r="I56" s="16">
        <v>21200</v>
      </c>
      <c r="J56" s="16">
        <v>10200</v>
      </c>
      <c r="K56" s="52">
        <v>0</v>
      </c>
      <c r="L56" s="62">
        <f t="shared" si="3"/>
        <v>78000</v>
      </c>
      <c r="M56" s="62">
        <f t="shared" si="0"/>
        <v>78000</v>
      </c>
      <c r="O56"/>
    </row>
    <row r="57" spans="1:15" ht="19.5" thickBot="1">
      <c r="A57" s="1" t="s">
        <v>2</v>
      </c>
      <c r="B57" s="39" t="s">
        <v>70</v>
      </c>
      <c r="C57" s="41">
        <v>83589</v>
      </c>
      <c r="D57" s="42">
        <v>744</v>
      </c>
      <c r="E57" s="42">
        <f t="shared" si="2"/>
        <v>84333</v>
      </c>
      <c r="F57" s="40">
        <v>88629</v>
      </c>
      <c r="G57" s="41">
        <v>89811</v>
      </c>
      <c r="H57" s="41">
        <v>63251</v>
      </c>
      <c r="I57" s="41">
        <v>87126</v>
      </c>
      <c r="J57" s="41">
        <v>60989</v>
      </c>
      <c r="K57" s="54">
        <v>55536</v>
      </c>
      <c r="L57" s="64">
        <f t="shared" si="3"/>
        <v>445342</v>
      </c>
      <c r="M57" s="64">
        <f t="shared" si="0"/>
        <v>529675</v>
      </c>
      <c r="O57"/>
    </row>
    <row r="58" spans="1:15" ht="19.5" thickBot="1">
      <c r="A58" s="1" t="s">
        <v>2</v>
      </c>
      <c r="B58" s="39" t="s">
        <v>71</v>
      </c>
      <c r="C58" s="41">
        <v>309351</v>
      </c>
      <c r="D58" s="42">
        <v>78381</v>
      </c>
      <c r="E58" s="42">
        <f t="shared" si="2"/>
        <v>387732</v>
      </c>
      <c r="F58" s="40">
        <v>303411</v>
      </c>
      <c r="G58" s="41">
        <v>279639</v>
      </c>
      <c r="H58" s="41">
        <v>262847</v>
      </c>
      <c r="I58" s="41">
        <v>270880</v>
      </c>
      <c r="J58" s="41">
        <v>263174</v>
      </c>
      <c r="K58" s="54">
        <v>206234</v>
      </c>
      <c r="L58" s="64">
        <f t="shared" si="3"/>
        <v>1586185</v>
      </c>
      <c r="M58" s="64">
        <f t="shared" si="0"/>
        <v>1973917</v>
      </c>
      <c r="O58"/>
    </row>
    <row r="59" spans="1:15" ht="19.5" thickBot="1">
      <c r="A59" s="1" t="s">
        <v>2</v>
      </c>
      <c r="B59" s="39" t="s">
        <v>72</v>
      </c>
      <c r="C59" s="41">
        <v>286008</v>
      </c>
      <c r="D59" s="42">
        <v>80730</v>
      </c>
      <c r="E59" s="42">
        <f t="shared" si="2"/>
        <v>366738</v>
      </c>
      <c r="F59" s="40">
        <v>267771</v>
      </c>
      <c r="G59" s="41">
        <v>247089</v>
      </c>
      <c r="H59" s="41">
        <v>257177</v>
      </c>
      <c r="I59" s="41">
        <v>234780</v>
      </c>
      <c r="J59" s="41">
        <v>258779</v>
      </c>
      <c r="K59" s="54">
        <v>196590</v>
      </c>
      <c r="L59" s="64">
        <f t="shared" si="3"/>
        <v>1462186</v>
      </c>
      <c r="M59" s="64">
        <f t="shared" si="0"/>
        <v>1828924</v>
      </c>
      <c r="O59"/>
    </row>
    <row r="60" spans="1:15">
      <c r="A60" s="1" t="s">
        <v>2</v>
      </c>
      <c r="B60" s="21" t="s">
        <v>73</v>
      </c>
      <c r="C60" s="30">
        <v>0</v>
      </c>
      <c r="D60" s="31">
        <v>0</v>
      </c>
      <c r="E60" s="31">
        <f t="shared" si="2"/>
        <v>0</v>
      </c>
      <c r="F60" s="29">
        <v>0</v>
      </c>
      <c r="G60" s="30">
        <v>0</v>
      </c>
      <c r="H60" s="30">
        <v>0</v>
      </c>
      <c r="I60" s="30">
        <v>0</v>
      </c>
      <c r="J60" s="30">
        <v>0</v>
      </c>
      <c r="K60" s="51">
        <v>0</v>
      </c>
      <c r="L60" s="61">
        <f t="shared" si="3"/>
        <v>0</v>
      </c>
      <c r="M60" s="61">
        <f t="shared" si="0"/>
        <v>0</v>
      </c>
      <c r="O60"/>
    </row>
    <row r="61" spans="1:15">
      <c r="A61" s="1" t="s">
        <v>2</v>
      </c>
      <c r="B61" s="4" t="s">
        <v>74</v>
      </c>
      <c r="C61" s="16">
        <v>286008</v>
      </c>
      <c r="D61" s="17">
        <v>80730</v>
      </c>
      <c r="E61" s="17">
        <f t="shared" si="2"/>
        <v>366738</v>
      </c>
      <c r="F61" s="15">
        <v>267771</v>
      </c>
      <c r="G61" s="16">
        <v>247089</v>
      </c>
      <c r="H61" s="16">
        <v>257177</v>
      </c>
      <c r="I61" s="16">
        <v>234780</v>
      </c>
      <c r="J61" s="16">
        <v>258779</v>
      </c>
      <c r="K61" s="52">
        <v>196590</v>
      </c>
      <c r="L61" s="62">
        <f t="shared" si="3"/>
        <v>1462186</v>
      </c>
      <c r="M61" s="62">
        <f t="shared" si="0"/>
        <v>1828924</v>
      </c>
      <c r="O61"/>
    </row>
    <row r="62" spans="1:15">
      <c r="A62" s="1" t="s">
        <v>2</v>
      </c>
      <c r="B62" s="4" t="s">
        <v>75</v>
      </c>
      <c r="C62" s="16">
        <v>0</v>
      </c>
      <c r="D62" s="17">
        <v>0</v>
      </c>
      <c r="E62" s="17"/>
      <c r="F62" s="15">
        <v>0</v>
      </c>
      <c r="G62" s="16">
        <v>1</v>
      </c>
      <c r="H62" s="16">
        <v>0</v>
      </c>
      <c r="I62" s="16">
        <v>1</v>
      </c>
      <c r="J62" s="16">
        <v>1</v>
      </c>
      <c r="K62" s="52">
        <v>0</v>
      </c>
      <c r="L62" s="62"/>
      <c r="M62" s="62"/>
    </row>
    <row r="63" spans="1:15" ht="19.5" thickBot="1">
      <c r="A63" s="1" t="s">
        <v>2</v>
      </c>
      <c r="B63" s="5" t="s">
        <v>76</v>
      </c>
      <c r="C63" s="19" t="s">
        <v>77</v>
      </c>
      <c r="D63" s="20" t="s">
        <v>77</v>
      </c>
      <c r="E63" s="20"/>
      <c r="F63" s="18" t="s">
        <v>77</v>
      </c>
      <c r="G63" s="19" t="s">
        <v>77</v>
      </c>
      <c r="H63" s="19" t="s">
        <v>77</v>
      </c>
      <c r="I63" s="19" t="s">
        <v>77</v>
      </c>
      <c r="J63" s="19" t="s">
        <v>77</v>
      </c>
      <c r="K63" s="55" t="s">
        <v>77</v>
      </c>
      <c r="L63" s="65"/>
      <c r="M63" s="65"/>
    </row>
  </sheetData>
  <phoneticPr fontId="4"/>
  <pageMargins left="0.11811023622047245" right="0.11811023622047245" top="0.15748031496062992" bottom="0.15748031496062992" header="0.11811023622047245" footer="0.11811023622047245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2021年10月度給与 (3)</vt:lpstr>
      <vt:lpstr>'2021年10月度給与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2021-11-12T04:59:12Z</cp:lastPrinted>
  <dcterms:created xsi:type="dcterms:W3CDTF">2021-11-10T01:14:07Z</dcterms:created>
  <dcterms:modified xsi:type="dcterms:W3CDTF">2023-10-13T07:40:50Z</dcterms:modified>
</cp:coreProperties>
</file>