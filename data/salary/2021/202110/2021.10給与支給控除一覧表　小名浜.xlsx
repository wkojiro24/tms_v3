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EFF9EB2C-D532-4073-B510-D7CD08AC8FC3}" xr6:coauthVersionLast="47" xr6:coauthVersionMax="47" xr10:uidLastSave="{00000000-0000-0000-0000-000000000000}"/>
  <bookViews>
    <workbookView xWindow="-120" yWindow="-120" windowWidth="20730" windowHeight="11160" xr2:uid="{843AB9BC-F123-4CA1-BF9F-DE303F218248}"/>
  </bookViews>
  <sheets>
    <sheet name="2021年10月度給与 (2)" sheetId="3" r:id="rId1"/>
    <sheet name="2021年10月度給与 (3)" sheetId="4" r:id="rId2"/>
    <sheet name="2021年10月度給与 (4)" sheetId="5" r:id="rId3"/>
  </sheets>
  <definedNames>
    <definedName name="_xlnm.Print_Area" localSheetId="2">'2021年10月度給与 (4)'!$A$1:$U$64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2" i="5" l="1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19" i="5"/>
  <c r="U18" i="5"/>
  <c r="U17" i="5"/>
  <c r="U16" i="5"/>
  <c r="U15" i="5"/>
  <c r="U12" i="5"/>
  <c r="U11" i="5"/>
  <c r="U10" i="5"/>
  <c r="U9" i="5"/>
  <c r="U8" i="5"/>
  <c r="U7" i="5"/>
  <c r="U6" i="5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L22" i="4"/>
  <c r="L20" i="4"/>
  <c r="L16" i="4"/>
  <c r="L15" i="4"/>
  <c r="L14" i="4"/>
  <c r="L10" i="4"/>
  <c r="N6" i="4"/>
  <c r="L6" i="4"/>
  <c r="AH13" i="3"/>
  <c r="AH21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4" i="3"/>
  <c r="AG23" i="3"/>
  <c r="AG6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24" i="3"/>
  <c r="AE23" i="3"/>
  <c r="AE22" i="3"/>
  <c r="AE20" i="3"/>
  <c r="AH20" i="3" s="1"/>
  <c r="AE15" i="3"/>
  <c r="AE16" i="3"/>
  <c r="AE14" i="3"/>
  <c r="AH14" i="3" s="1"/>
  <c r="AE10" i="3"/>
  <c r="AE6" i="3"/>
  <c r="U25" i="3"/>
  <c r="U26" i="3"/>
  <c r="U27" i="3"/>
  <c r="AH27" i="3" s="1"/>
  <c r="U28" i="3"/>
  <c r="U29" i="3"/>
  <c r="U30" i="3"/>
  <c r="U31" i="3"/>
  <c r="AH31" i="3" s="1"/>
  <c r="U32" i="3"/>
  <c r="U33" i="3"/>
  <c r="U34" i="3"/>
  <c r="U35" i="3"/>
  <c r="AH35" i="3" s="1"/>
  <c r="U36" i="3"/>
  <c r="U37" i="3"/>
  <c r="U38" i="3"/>
  <c r="U39" i="3"/>
  <c r="AH39" i="3" s="1"/>
  <c r="U40" i="3"/>
  <c r="U41" i="3"/>
  <c r="U42" i="3"/>
  <c r="U43" i="3"/>
  <c r="AH43" i="3" s="1"/>
  <c r="U44" i="3"/>
  <c r="U45" i="3"/>
  <c r="U46" i="3"/>
  <c r="U47" i="3"/>
  <c r="AH47" i="3" s="1"/>
  <c r="U48" i="3"/>
  <c r="U49" i="3"/>
  <c r="U50" i="3"/>
  <c r="U51" i="3"/>
  <c r="AH51" i="3" s="1"/>
  <c r="U52" i="3"/>
  <c r="AH52" i="3" s="1"/>
  <c r="U53" i="3"/>
  <c r="U54" i="3"/>
  <c r="U55" i="3"/>
  <c r="AH55" i="3" s="1"/>
  <c r="U56" i="3"/>
  <c r="AH56" i="3" s="1"/>
  <c r="U57" i="3"/>
  <c r="U58" i="3"/>
  <c r="AH58" i="3" s="1"/>
  <c r="U59" i="3"/>
  <c r="AH59" i="3" s="1"/>
  <c r="U60" i="3"/>
  <c r="U61" i="3"/>
  <c r="U62" i="3"/>
  <c r="AH62" i="3" s="1"/>
  <c r="U24" i="3"/>
  <c r="AH24" i="3" s="1"/>
  <c r="U23" i="3"/>
  <c r="U22" i="3"/>
  <c r="U16" i="3"/>
  <c r="AH16" i="3" s="1"/>
  <c r="U17" i="3"/>
  <c r="AH17" i="3" s="1"/>
  <c r="U18" i="3"/>
  <c r="AH18" i="3" s="1"/>
  <c r="U19" i="3"/>
  <c r="AH19" i="3" s="1"/>
  <c r="U15" i="3"/>
  <c r="U8" i="3"/>
  <c r="AH8" i="3" s="1"/>
  <c r="U9" i="3"/>
  <c r="AH9" i="3" s="1"/>
  <c r="U10" i="3"/>
  <c r="AH10" i="3" s="1"/>
  <c r="U11" i="3"/>
  <c r="AH11" i="3" s="1"/>
  <c r="U12" i="3"/>
  <c r="AH12" i="3" s="1"/>
  <c r="U7" i="3"/>
  <c r="AH7" i="3" s="1"/>
  <c r="U6" i="3"/>
  <c r="AH22" i="3" l="1"/>
  <c r="AH49" i="3"/>
  <c r="AH45" i="3"/>
  <c r="AH41" i="3"/>
  <c r="AH37" i="3"/>
  <c r="AH33" i="3"/>
  <c r="AH29" i="3"/>
  <c r="AH25" i="3"/>
  <c r="AH15" i="3"/>
  <c r="AH61" i="3"/>
  <c r="AH54" i="3"/>
  <c r="AH50" i="3"/>
  <c r="AH46" i="3"/>
  <c r="AH42" i="3"/>
  <c r="AH38" i="3"/>
  <c r="AH34" i="3"/>
  <c r="AH30" i="3"/>
  <c r="AH26" i="3"/>
  <c r="AH60" i="3"/>
  <c r="AH57" i="3"/>
  <c r="AH53" i="3"/>
  <c r="AH6" i="3"/>
  <c r="AH48" i="3"/>
  <c r="AH44" i="3"/>
  <c r="AH40" i="3"/>
  <c r="AH36" i="3"/>
  <c r="AH32" i="3"/>
  <c r="AH28" i="3"/>
  <c r="AH23" i="3"/>
</calcChain>
</file>

<file path=xl/sharedStrings.xml><?xml version="1.0" encoding="utf-8"?>
<sst xmlns="http://schemas.openxmlformats.org/spreadsheetml/2006/main" count="550" uniqueCount="125">
  <si>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</si>
  <si>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</si>
  <si>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</si>
  <si>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</si>
  <si>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</si>
  <si>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</si>
  <si>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</si>
  <si>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</si>
  <si>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</si>
  <si>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</si>
  <si>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</si>
  <si>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</si>
  <si>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</si>
  <si>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</si>
  <si>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</si>
  <si>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</si>
  <si>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</si>
  <si>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</si>
  <si>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</si>
  <si>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</si>
  <si>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</si>
  <si>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</si>
  <si>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1096</t>
    <phoneticPr fontId="4"/>
  </si>
  <si>
    <t>1098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</si>
  <si>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</si>
  <si>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</si>
  <si>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</si>
  <si>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</si>
  <si>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</si>
  <si>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</si>
  <si>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</si>
  <si>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</si>
  <si>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</si>
  <si>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</si>
  <si>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</si>
  <si>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</si>
  <si>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</si>
  <si>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</si>
  <si>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</si>
  <si>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</si>
  <si>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</si>
  <si>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</si>
  <si>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</si>
  <si>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</si>
  <si>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</si>
  <si>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</si>
  <si>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</si>
  <si>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</si>
  <si>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</si>
  <si>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</si>
  <si>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</si>
  <si>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皆川正勝</t>
    <phoneticPr fontId="4"/>
  </si>
  <si>
    <t>圷健佑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</si>
  <si>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</si>
  <si>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</si>
  <si>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</si>
  <si>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</si>
  <si>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</si>
  <si>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</si>
  <si>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</si>
  <si>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</si>
  <si>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</si>
  <si>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</si>
  <si>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</si>
  <si>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</si>
  <si>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</si>
  <si>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</si>
  <si>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</si>
  <si>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</si>
  <si>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</si>
  <si>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</si>
  <si>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</si>
  <si>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</si>
  <si>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</si>
  <si>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</si>
  <si>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</si>
  <si>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</si>
  <si>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</si>
  <si>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</si>
  <si>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</si>
  <si>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</si>
  <si>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</si>
  <si>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</si>
  <si>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</si>
  <si>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</si>
  <si>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</si>
  <si>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</si>
  <si>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</si>
  <si>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</si>
  <si>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</si>
  <si>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</si>
  <si>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</si>
  <si>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</si>
  <si>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</si>
  <si>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</si>
  <si>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</si>
  <si>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</si>
  <si>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</si>
  <si>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</si>
  <si>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</si>
  <si>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</si>
  <si>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</si>
  <si>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</si>
  <si>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</si>
  <si>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</si>
  <si>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</si>
  <si>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</si>
  <si>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</si>
  <si>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</si>
  <si>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</si>
  <si>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</si>
  <si>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</si>
  <si>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</si>
  <si>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</si>
  <si>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</si>
  <si>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</si>
  <si>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</si>
  <si>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</si>
  <si>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</si>
  <si>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2021年10月度給与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</si>
  <si>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</si>
  <si>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</si>
  <si>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９名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</si>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</sst>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4" xfId="1" applyNumberFormat="1" applyFont="1" applyBorder="1"/>
    <xf numFmtId="0" fontId="2" fillId="0" borderId="38" xfId="1" applyFont="1" applyBorder="1"/>
    <xf numFmtId="0" fontId="2" fillId="0" borderId="39" xfId="1" applyFont="1" applyBorder="1" applyAlignment="1">
      <alignment horizontal="right"/>
    </xf>
    <xf numFmtId="0" fontId="2" fillId="0" borderId="49" xfId="1" applyFont="1" applyBorder="1"/>
    <xf numFmtId="49" fontId="2" fillId="0" borderId="6" xfId="1" applyNumberFormat="1" applyFont="1" applyBorder="1" applyAlignment="1">
      <alignment horizontal="left"/>
    </xf>
    <xf numFmtId="49" fontId="2" fillId="0" borderId="12" xfId="1" applyNumberFormat="1" applyFont="1" applyBorder="1" applyAlignment="1">
      <alignment horizontal="right"/>
    </xf>
    <xf numFmtId="177" fontId="2" fillId="0" borderId="8" xfId="1" applyNumberFormat="1" applyFont="1" applyBorder="1"/>
    <xf numFmtId="177" fontId="2" fillId="0" borderId="28" xfId="1" applyNumberFormat="1" applyFont="1" applyBorder="1"/>
    <xf numFmtId="177" fontId="2" fillId="0" borderId="41" xfId="1" applyNumberFormat="1" applyFont="1" applyBorder="1"/>
    <xf numFmtId="177" fontId="2" fillId="0" borderId="9" xfId="1" applyNumberFormat="1" applyFont="1" applyBorder="1"/>
  </cellXfs>
  <cellStyles count="2">
    <cellStyle name="標準" xfId="0" builtinId="0"/>
    <cellStyle name="標準 2" xfId="1" xr:uid="{9643DFC0-4587-4871-BF20-27DD04B540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2044-129D-4CDC-A531-48288950310E}">
  <dimension ref="A1:AJ64"/>
  <sheetViews>
    <sheetView showZeros="0" tabSelected="1" workbookViewId="0">
      <selection activeCell="E8" sqref="E8"/>
    </sheetView>
  </sheetViews>
  <sheetFormatPr defaultRowHeight="18.75"/>
  <cols>
    <col min="1" max="1" width="2.375" style="2" customWidth="1"/>
    <col min="2" max="2" width="13.25" style="2" bestFit="1" customWidth="1"/>
    <col min="3" max="34" width="9.75" style="2" customWidth="1"/>
    <col min="35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9.6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70" width="11.125" style="2" bestFit="1" customWidth="1"/>
    <col min="271" max="271" width="9" style="2"/>
    <col min="272" max="280" width="11.125" style="2" bestFit="1" customWidth="1"/>
    <col min="281" max="281" width="9" style="2"/>
    <col min="282" max="282" width="8" style="2" bestFit="1" customWidth="1"/>
    <col min="283" max="286" width="9" style="2"/>
    <col min="287" max="288" width="11.125" style="2" bestFit="1" customWidth="1"/>
    <col min="289" max="289" width="9" style="2"/>
    <col min="290" max="290" width="9.625" style="2" bestFit="1" customWidth="1"/>
    <col min="291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9.6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26" width="11.125" style="2" bestFit="1" customWidth="1"/>
    <col min="527" max="527" width="9" style="2"/>
    <col min="528" max="536" width="11.125" style="2" bestFit="1" customWidth="1"/>
    <col min="537" max="537" width="9" style="2"/>
    <col min="538" max="538" width="8" style="2" bestFit="1" customWidth="1"/>
    <col min="539" max="542" width="9" style="2"/>
    <col min="543" max="544" width="11.125" style="2" bestFit="1" customWidth="1"/>
    <col min="545" max="545" width="9" style="2"/>
    <col min="546" max="546" width="9.625" style="2" bestFit="1" customWidth="1"/>
    <col min="547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9.6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82" width="11.125" style="2" bestFit="1" customWidth="1"/>
    <col min="783" max="783" width="9" style="2"/>
    <col min="784" max="792" width="11.125" style="2" bestFit="1" customWidth="1"/>
    <col min="793" max="793" width="9" style="2"/>
    <col min="794" max="794" width="8" style="2" bestFit="1" customWidth="1"/>
    <col min="795" max="798" width="9" style="2"/>
    <col min="799" max="800" width="11.125" style="2" bestFit="1" customWidth="1"/>
    <col min="801" max="801" width="9" style="2"/>
    <col min="802" max="802" width="9.625" style="2" bestFit="1" customWidth="1"/>
    <col min="803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9.6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38" width="11.125" style="2" bestFit="1" customWidth="1"/>
    <col min="1039" max="1039" width="9" style="2"/>
    <col min="1040" max="1048" width="11.125" style="2" bestFit="1" customWidth="1"/>
    <col min="1049" max="1049" width="9" style="2"/>
    <col min="1050" max="1050" width="8" style="2" bestFit="1" customWidth="1"/>
    <col min="1051" max="1054" width="9" style="2"/>
    <col min="1055" max="1056" width="11.125" style="2" bestFit="1" customWidth="1"/>
    <col min="1057" max="1057" width="9" style="2"/>
    <col min="1058" max="1058" width="9.625" style="2" bestFit="1" customWidth="1"/>
    <col min="1059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9.6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294" width="11.125" style="2" bestFit="1" customWidth="1"/>
    <col min="1295" max="1295" width="9" style="2"/>
    <col min="1296" max="1304" width="11.125" style="2" bestFit="1" customWidth="1"/>
    <col min="1305" max="1305" width="9" style="2"/>
    <col min="1306" max="1306" width="8" style="2" bestFit="1" customWidth="1"/>
    <col min="1307" max="1310" width="9" style="2"/>
    <col min="1311" max="1312" width="11.125" style="2" bestFit="1" customWidth="1"/>
    <col min="1313" max="1313" width="9" style="2"/>
    <col min="1314" max="1314" width="9.625" style="2" bestFit="1" customWidth="1"/>
    <col min="1315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9.6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50" width="11.125" style="2" bestFit="1" customWidth="1"/>
    <col min="1551" max="1551" width="9" style="2"/>
    <col min="1552" max="1560" width="11.125" style="2" bestFit="1" customWidth="1"/>
    <col min="1561" max="1561" width="9" style="2"/>
    <col min="1562" max="1562" width="8" style="2" bestFit="1" customWidth="1"/>
    <col min="1563" max="1566" width="9" style="2"/>
    <col min="1567" max="1568" width="11.125" style="2" bestFit="1" customWidth="1"/>
    <col min="1569" max="1569" width="9" style="2"/>
    <col min="1570" max="1570" width="9.625" style="2" bestFit="1" customWidth="1"/>
    <col min="1571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9.6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06" width="11.125" style="2" bestFit="1" customWidth="1"/>
    <col min="1807" max="1807" width="9" style="2"/>
    <col min="1808" max="1816" width="11.125" style="2" bestFit="1" customWidth="1"/>
    <col min="1817" max="1817" width="9" style="2"/>
    <col min="1818" max="1818" width="8" style="2" bestFit="1" customWidth="1"/>
    <col min="1819" max="1822" width="9" style="2"/>
    <col min="1823" max="1824" width="11.125" style="2" bestFit="1" customWidth="1"/>
    <col min="1825" max="1825" width="9" style="2"/>
    <col min="1826" max="1826" width="9.625" style="2" bestFit="1" customWidth="1"/>
    <col min="1827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9.6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62" width="11.125" style="2" bestFit="1" customWidth="1"/>
    <col min="2063" max="2063" width="9" style="2"/>
    <col min="2064" max="2072" width="11.125" style="2" bestFit="1" customWidth="1"/>
    <col min="2073" max="2073" width="9" style="2"/>
    <col min="2074" max="2074" width="8" style="2" bestFit="1" customWidth="1"/>
    <col min="2075" max="2078" width="9" style="2"/>
    <col min="2079" max="2080" width="11.125" style="2" bestFit="1" customWidth="1"/>
    <col min="2081" max="2081" width="9" style="2"/>
    <col min="2082" max="2082" width="9.625" style="2" bestFit="1" customWidth="1"/>
    <col min="2083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9.6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18" width="11.125" style="2" bestFit="1" customWidth="1"/>
    <col min="2319" max="2319" width="9" style="2"/>
    <col min="2320" max="2328" width="11.125" style="2" bestFit="1" customWidth="1"/>
    <col min="2329" max="2329" width="9" style="2"/>
    <col min="2330" max="2330" width="8" style="2" bestFit="1" customWidth="1"/>
    <col min="2331" max="2334" width="9" style="2"/>
    <col min="2335" max="2336" width="11.125" style="2" bestFit="1" customWidth="1"/>
    <col min="2337" max="2337" width="9" style="2"/>
    <col min="2338" max="2338" width="9.625" style="2" bestFit="1" customWidth="1"/>
    <col min="2339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9.6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74" width="11.125" style="2" bestFit="1" customWidth="1"/>
    <col min="2575" max="2575" width="9" style="2"/>
    <col min="2576" max="2584" width="11.125" style="2" bestFit="1" customWidth="1"/>
    <col min="2585" max="2585" width="9" style="2"/>
    <col min="2586" max="2586" width="8" style="2" bestFit="1" customWidth="1"/>
    <col min="2587" max="2590" width="9" style="2"/>
    <col min="2591" max="2592" width="11.125" style="2" bestFit="1" customWidth="1"/>
    <col min="2593" max="2593" width="9" style="2"/>
    <col min="2594" max="2594" width="9.625" style="2" bestFit="1" customWidth="1"/>
    <col min="2595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9.6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30" width="11.125" style="2" bestFit="1" customWidth="1"/>
    <col min="2831" max="2831" width="9" style="2"/>
    <col min="2832" max="2840" width="11.125" style="2" bestFit="1" customWidth="1"/>
    <col min="2841" max="2841" width="9" style="2"/>
    <col min="2842" max="2842" width="8" style="2" bestFit="1" customWidth="1"/>
    <col min="2843" max="2846" width="9" style="2"/>
    <col min="2847" max="2848" width="11.125" style="2" bestFit="1" customWidth="1"/>
    <col min="2849" max="2849" width="9" style="2"/>
    <col min="2850" max="2850" width="9.625" style="2" bestFit="1" customWidth="1"/>
    <col min="2851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9.6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86" width="11.125" style="2" bestFit="1" customWidth="1"/>
    <col min="3087" max="3087" width="9" style="2"/>
    <col min="3088" max="3096" width="11.125" style="2" bestFit="1" customWidth="1"/>
    <col min="3097" max="3097" width="9" style="2"/>
    <col min="3098" max="3098" width="8" style="2" bestFit="1" customWidth="1"/>
    <col min="3099" max="3102" width="9" style="2"/>
    <col min="3103" max="3104" width="11.125" style="2" bestFit="1" customWidth="1"/>
    <col min="3105" max="3105" width="9" style="2"/>
    <col min="3106" max="3106" width="9.625" style="2" bestFit="1" customWidth="1"/>
    <col min="3107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9.6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42" width="11.125" style="2" bestFit="1" customWidth="1"/>
    <col min="3343" max="3343" width="9" style="2"/>
    <col min="3344" max="3352" width="11.125" style="2" bestFit="1" customWidth="1"/>
    <col min="3353" max="3353" width="9" style="2"/>
    <col min="3354" max="3354" width="8" style="2" bestFit="1" customWidth="1"/>
    <col min="3355" max="3358" width="9" style="2"/>
    <col min="3359" max="3360" width="11.125" style="2" bestFit="1" customWidth="1"/>
    <col min="3361" max="3361" width="9" style="2"/>
    <col min="3362" max="3362" width="9.625" style="2" bestFit="1" customWidth="1"/>
    <col min="3363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9.6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598" width="11.125" style="2" bestFit="1" customWidth="1"/>
    <col min="3599" max="3599" width="9" style="2"/>
    <col min="3600" max="3608" width="11.125" style="2" bestFit="1" customWidth="1"/>
    <col min="3609" max="3609" width="9" style="2"/>
    <col min="3610" max="3610" width="8" style="2" bestFit="1" customWidth="1"/>
    <col min="3611" max="3614" width="9" style="2"/>
    <col min="3615" max="3616" width="11.125" style="2" bestFit="1" customWidth="1"/>
    <col min="3617" max="3617" width="9" style="2"/>
    <col min="3618" max="3618" width="9.625" style="2" bestFit="1" customWidth="1"/>
    <col min="3619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9.6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54" width="11.125" style="2" bestFit="1" customWidth="1"/>
    <col min="3855" max="3855" width="9" style="2"/>
    <col min="3856" max="3864" width="11.125" style="2" bestFit="1" customWidth="1"/>
    <col min="3865" max="3865" width="9" style="2"/>
    <col min="3866" max="3866" width="8" style="2" bestFit="1" customWidth="1"/>
    <col min="3867" max="3870" width="9" style="2"/>
    <col min="3871" max="3872" width="11.125" style="2" bestFit="1" customWidth="1"/>
    <col min="3873" max="3873" width="9" style="2"/>
    <col min="3874" max="3874" width="9.625" style="2" bestFit="1" customWidth="1"/>
    <col min="3875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9.6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10" width="11.125" style="2" bestFit="1" customWidth="1"/>
    <col min="4111" max="4111" width="9" style="2"/>
    <col min="4112" max="4120" width="11.125" style="2" bestFit="1" customWidth="1"/>
    <col min="4121" max="4121" width="9" style="2"/>
    <col min="4122" max="4122" width="8" style="2" bestFit="1" customWidth="1"/>
    <col min="4123" max="4126" width="9" style="2"/>
    <col min="4127" max="4128" width="11.125" style="2" bestFit="1" customWidth="1"/>
    <col min="4129" max="4129" width="9" style="2"/>
    <col min="4130" max="4130" width="9.625" style="2" bestFit="1" customWidth="1"/>
    <col min="4131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9.6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66" width="11.125" style="2" bestFit="1" customWidth="1"/>
    <col min="4367" max="4367" width="9" style="2"/>
    <col min="4368" max="4376" width="11.125" style="2" bestFit="1" customWidth="1"/>
    <col min="4377" max="4377" width="9" style="2"/>
    <col min="4378" max="4378" width="8" style="2" bestFit="1" customWidth="1"/>
    <col min="4379" max="4382" width="9" style="2"/>
    <col min="4383" max="4384" width="11.125" style="2" bestFit="1" customWidth="1"/>
    <col min="4385" max="4385" width="9" style="2"/>
    <col min="4386" max="4386" width="9.625" style="2" bestFit="1" customWidth="1"/>
    <col min="4387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9.6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22" width="11.125" style="2" bestFit="1" customWidth="1"/>
    <col min="4623" max="4623" width="9" style="2"/>
    <col min="4624" max="4632" width="11.125" style="2" bestFit="1" customWidth="1"/>
    <col min="4633" max="4633" width="9" style="2"/>
    <col min="4634" max="4634" width="8" style="2" bestFit="1" customWidth="1"/>
    <col min="4635" max="4638" width="9" style="2"/>
    <col min="4639" max="4640" width="11.125" style="2" bestFit="1" customWidth="1"/>
    <col min="4641" max="4641" width="9" style="2"/>
    <col min="4642" max="4642" width="9.625" style="2" bestFit="1" customWidth="1"/>
    <col min="4643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9.6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78" width="11.125" style="2" bestFit="1" customWidth="1"/>
    <col min="4879" max="4879" width="9" style="2"/>
    <col min="4880" max="4888" width="11.125" style="2" bestFit="1" customWidth="1"/>
    <col min="4889" max="4889" width="9" style="2"/>
    <col min="4890" max="4890" width="8" style="2" bestFit="1" customWidth="1"/>
    <col min="4891" max="4894" width="9" style="2"/>
    <col min="4895" max="4896" width="11.125" style="2" bestFit="1" customWidth="1"/>
    <col min="4897" max="4897" width="9" style="2"/>
    <col min="4898" max="4898" width="9.625" style="2" bestFit="1" customWidth="1"/>
    <col min="4899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9.6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34" width="11.125" style="2" bestFit="1" customWidth="1"/>
    <col min="5135" max="5135" width="9" style="2"/>
    <col min="5136" max="5144" width="11.125" style="2" bestFit="1" customWidth="1"/>
    <col min="5145" max="5145" width="9" style="2"/>
    <col min="5146" max="5146" width="8" style="2" bestFit="1" customWidth="1"/>
    <col min="5147" max="5150" width="9" style="2"/>
    <col min="5151" max="5152" width="11.125" style="2" bestFit="1" customWidth="1"/>
    <col min="5153" max="5153" width="9" style="2"/>
    <col min="5154" max="5154" width="9.625" style="2" bestFit="1" customWidth="1"/>
    <col min="5155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9.6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390" width="11.125" style="2" bestFit="1" customWidth="1"/>
    <col min="5391" max="5391" width="9" style="2"/>
    <col min="5392" max="5400" width="11.125" style="2" bestFit="1" customWidth="1"/>
    <col min="5401" max="5401" width="9" style="2"/>
    <col min="5402" max="5402" width="8" style="2" bestFit="1" customWidth="1"/>
    <col min="5403" max="5406" width="9" style="2"/>
    <col min="5407" max="5408" width="11.125" style="2" bestFit="1" customWidth="1"/>
    <col min="5409" max="5409" width="9" style="2"/>
    <col min="5410" max="5410" width="9.625" style="2" bestFit="1" customWidth="1"/>
    <col min="5411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9.6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46" width="11.125" style="2" bestFit="1" customWidth="1"/>
    <col min="5647" max="5647" width="9" style="2"/>
    <col min="5648" max="5656" width="11.125" style="2" bestFit="1" customWidth="1"/>
    <col min="5657" max="5657" width="9" style="2"/>
    <col min="5658" max="5658" width="8" style="2" bestFit="1" customWidth="1"/>
    <col min="5659" max="5662" width="9" style="2"/>
    <col min="5663" max="5664" width="11.125" style="2" bestFit="1" customWidth="1"/>
    <col min="5665" max="5665" width="9" style="2"/>
    <col min="5666" max="5666" width="9.625" style="2" bestFit="1" customWidth="1"/>
    <col min="5667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9.6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02" width="11.125" style="2" bestFit="1" customWidth="1"/>
    <col min="5903" max="5903" width="9" style="2"/>
    <col min="5904" max="5912" width="11.125" style="2" bestFit="1" customWidth="1"/>
    <col min="5913" max="5913" width="9" style="2"/>
    <col min="5914" max="5914" width="8" style="2" bestFit="1" customWidth="1"/>
    <col min="5915" max="5918" width="9" style="2"/>
    <col min="5919" max="5920" width="11.125" style="2" bestFit="1" customWidth="1"/>
    <col min="5921" max="5921" width="9" style="2"/>
    <col min="5922" max="5922" width="9.625" style="2" bestFit="1" customWidth="1"/>
    <col min="5923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9.6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58" width="11.125" style="2" bestFit="1" customWidth="1"/>
    <col min="6159" max="6159" width="9" style="2"/>
    <col min="6160" max="6168" width="11.125" style="2" bestFit="1" customWidth="1"/>
    <col min="6169" max="6169" width="9" style="2"/>
    <col min="6170" max="6170" width="8" style="2" bestFit="1" customWidth="1"/>
    <col min="6171" max="6174" width="9" style="2"/>
    <col min="6175" max="6176" width="11.125" style="2" bestFit="1" customWidth="1"/>
    <col min="6177" max="6177" width="9" style="2"/>
    <col min="6178" max="6178" width="9.625" style="2" bestFit="1" customWidth="1"/>
    <col min="6179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9.6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14" width="11.125" style="2" bestFit="1" customWidth="1"/>
    <col min="6415" max="6415" width="9" style="2"/>
    <col min="6416" max="6424" width="11.125" style="2" bestFit="1" customWidth="1"/>
    <col min="6425" max="6425" width="9" style="2"/>
    <col min="6426" max="6426" width="8" style="2" bestFit="1" customWidth="1"/>
    <col min="6427" max="6430" width="9" style="2"/>
    <col min="6431" max="6432" width="11.125" style="2" bestFit="1" customWidth="1"/>
    <col min="6433" max="6433" width="9" style="2"/>
    <col min="6434" max="6434" width="9.625" style="2" bestFit="1" customWidth="1"/>
    <col min="6435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9.6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70" width="11.125" style="2" bestFit="1" customWidth="1"/>
    <col min="6671" max="6671" width="9" style="2"/>
    <col min="6672" max="6680" width="11.125" style="2" bestFit="1" customWidth="1"/>
    <col min="6681" max="6681" width="9" style="2"/>
    <col min="6682" max="6682" width="8" style="2" bestFit="1" customWidth="1"/>
    <col min="6683" max="6686" width="9" style="2"/>
    <col min="6687" max="6688" width="11.125" style="2" bestFit="1" customWidth="1"/>
    <col min="6689" max="6689" width="9" style="2"/>
    <col min="6690" max="6690" width="9.625" style="2" bestFit="1" customWidth="1"/>
    <col min="6691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9.6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26" width="11.125" style="2" bestFit="1" customWidth="1"/>
    <col min="6927" max="6927" width="9" style="2"/>
    <col min="6928" max="6936" width="11.125" style="2" bestFit="1" customWidth="1"/>
    <col min="6937" max="6937" width="9" style="2"/>
    <col min="6938" max="6938" width="8" style="2" bestFit="1" customWidth="1"/>
    <col min="6939" max="6942" width="9" style="2"/>
    <col min="6943" max="6944" width="11.125" style="2" bestFit="1" customWidth="1"/>
    <col min="6945" max="6945" width="9" style="2"/>
    <col min="6946" max="6946" width="9.625" style="2" bestFit="1" customWidth="1"/>
    <col min="6947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9.6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82" width="11.125" style="2" bestFit="1" customWidth="1"/>
    <col min="7183" max="7183" width="9" style="2"/>
    <col min="7184" max="7192" width="11.125" style="2" bestFit="1" customWidth="1"/>
    <col min="7193" max="7193" width="9" style="2"/>
    <col min="7194" max="7194" width="8" style="2" bestFit="1" customWidth="1"/>
    <col min="7195" max="7198" width="9" style="2"/>
    <col min="7199" max="7200" width="11.125" style="2" bestFit="1" customWidth="1"/>
    <col min="7201" max="7201" width="9" style="2"/>
    <col min="7202" max="7202" width="9.625" style="2" bestFit="1" customWidth="1"/>
    <col min="7203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9.6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38" width="11.125" style="2" bestFit="1" customWidth="1"/>
    <col min="7439" max="7439" width="9" style="2"/>
    <col min="7440" max="7448" width="11.125" style="2" bestFit="1" customWidth="1"/>
    <col min="7449" max="7449" width="9" style="2"/>
    <col min="7450" max="7450" width="8" style="2" bestFit="1" customWidth="1"/>
    <col min="7451" max="7454" width="9" style="2"/>
    <col min="7455" max="7456" width="11.125" style="2" bestFit="1" customWidth="1"/>
    <col min="7457" max="7457" width="9" style="2"/>
    <col min="7458" max="7458" width="9.625" style="2" bestFit="1" customWidth="1"/>
    <col min="7459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9.6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694" width="11.125" style="2" bestFit="1" customWidth="1"/>
    <col min="7695" max="7695" width="9" style="2"/>
    <col min="7696" max="7704" width="11.125" style="2" bestFit="1" customWidth="1"/>
    <col min="7705" max="7705" width="9" style="2"/>
    <col min="7706" max="7706" width="8" style="2" bestFit="1" customWidth="1"/>
    <col min="7707" max="7710" width="9" style="2"/>
    <col min="7711" max="7712" width="11.125" style="2" bestFit="1" customWidth="1"/>
    <col min="7713" max="7713" width="9" style="2"/>
    <col min="7714" max="7714" width="9.625" style="2" bestFit="1" customWidth="1"/>
    <col min="7715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9.6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50" width="11.125" style="2" bestFit="1" customWidth="1"/>
    <col min="7951" max="7951" width="9" style="2"/>
    <col min="7952" max="7960" width="11.125" style="2" bestFit="1" customWidth="1"/>
    <col min="7961" max="7961" width="9" style="2"/>
    <col min="7962" max="7962" width="8" style="2" bestFit="1" customWidth="1"/>
    <col min="7963" max="7966" width="9" style="2"/>
    <col min="7967" max="7968" width="11.125" style="2" bestFit="1" customWidth="1"/>
    <col min="7969" max="7969" width="9" style="2"/>
    <col min="7970" max="7970" width="9.625" style="2" bestFit="1" customWidth="1"/>
    <col min="7971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9.6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06" width="11.125" style="2" bestFit="1" customWidth="1"/>
    <col min="8207" max="8207" width="9" style="2"/>
    <col min="8208" max="8216" width="11.125" style="2" bestFit="1" customWidth="1"/>
    <col min="8217" max="8217" width="9" style="2"/>
    <col min="8218" max="8218" width="8" style="2" bestFit="1" customWidth="1"/>
    <col min="8219" max="8222" width="9" style="2"/>
    <col min="8223" max="8224" width="11.125" style="2" bestFit="1" customWidth="1"/>
    <col min="8225" max="8225" width="9" style="2"/>
    <col min="8226" max="8226" width="9.625" style="2" bestFit="1" customWidth="1"/>
    <col min="8227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9.6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62" width="11.125" style="2" bestFit="1" customWidth="1"/>
    <col min="8463" max="8463" width="9" style="2"/>
    <col min="8464" max="8472" width="11.125" style="2" bestFit="1" customWidth="1"/>
    <col min="8473" max="8473" width="9" style="2"/>
    <col min="8474" max="8474" width="8" style="2" bestFit="1" customWidth="1"/>
    <col min="8475" max="8478" width="9" style="2"/>
    <col min="8479" max="8480" width="11.125" style="2" bestFit="1" customWidth="1"/>
    <col min="8481" max="8481" width="9" style="2"/>
    <col min="8482" max="8482" width="9.625" style="2" bestFit="1" customWidth="1"/>
    <col min="8483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9.6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18" width="11.125" style="2" bestFit="1" customWidth="1"/>
    <col min="8719" max="8719" width="9" style="2"/>
    <col min="8720" max="8728" width="11.125" style="2" bestFit="1" customWidth="1"/>
    <col min="8729" max="8729" width="9" style="2"/>
    <col min="8730" max="8730" width="8" style="2" bestFit="1" customWidth="1"/>
    <col min="8731" max="8734" width="9" style="2"/>
    <col min="8735" max="8736" width="11.125" style="2" bestFit="1" customWidth="1"/>
    <col min="8737" max="8737" width="9" style="2"/>
    <col min="8738" max="8738" width="9.625" style="2" bestFit="1" customWidth="1"/>
    <col min="8739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9.6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74" width="11.125" style="2" bestFit="1" customWidth="1"/>
    <col min="8975" max="8975" width="9" style="2"/>
    <col min="8976" max="8984" width="11.125" style="2" bestFit="1" customWidth="1"/>
    <col min="8985" max="8985" width="9" style="2"/>
    <col min="8986" max="8986" width="8" style="2" bestFit="1" customWidth="1"/>
    <col min="8987" max="8990" width="9" style="2"/>
    <col min="8991" max="8992" width="11.125" style="2" bestFit="1" customWidth="1"/>
    <col min="8993" max="8993" width="9" style="2"/>
    <col min="8994" max="8994" width="9.625" style="2" bestFit="1" customWidth="1"/>
    <col min="8995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9.6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30" width="11.125" style="2" bestFit="1" customWidth="1"/>
    <col min="9231" max="9231" width="9" style="2"/>
    <col min="9232" max="9240" width="11.125" style="2" bestFit="1" customWidth="1"/>
    <col min="9241" max="9241" width="9" style="2"/>
    <col min="9242" max="9242" width="8" style="2" bestFit="1" customWidth="1"/>
    <col min="9243" max="9246" width="9" style="2"/>
    <col min="9247" max="9248" width="11.125" style="2" bestFit="1" customWidth="1"/>
    <col min="9249" max="9249" width="9" style="2"/>
    <col min="9250" max="9250" width="9.625" style="2" bestFit="1" customWidth="1"/>
    <col min="9251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9.6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86" width="11.125" style="2" bestFit="1" customWidth="1"/>
    <col min="9487" max="9487" width="9" style="2"/>
    <col min="9488" max="9496" width="11.125" style="2" bestFit="1" customWidth="1"/>
    <col min="9497" max="9497" width="9" style="2"/>
    <col min="9498" max="9498" width="8" style="2" bestFit="1" customWidth="1"/>
    <col min="9499" max="9502" width="9" style="2"/>
    <col min="9503" max="9504" width="11.125" style="2" bestFit="1" customWidth="1"/>
    <col min="9505" max="9505" width="9" style="2"/>
    <col min="9506" max="9506" width="9.625" style="2" bestFit="1" customWidth="1"/>
    <col min="9507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9.6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42" width="11.125" style="2" bestFit="1" customWidth="1"/>
    <col min="9743" max="9743" width="9" style="2"/>
    <col min="9744" max="9752" width="11.125" style="2" bestFit="1" customWidth="1"/>
    <col min="9753" max="9753" width="9" style="2"/>
    <col min="9754" max="9754" width="8" style="2" bestFit="1" customWidth="1"/>
    <col min="9755" max="9758" width="9" style="2"/>
    <col min="9759" max="9760" width="11.125" style="2" bestFit="1" customWidth="1"/>
    <col min="9761" max="9761" width="9" style="2"/>
    <col min="9762" max="9762" width="9.625" style="2" bestFit="1" customWidth="1"/>
    <col min="9763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9.6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9998" width="11.125" style="2" bestFit="1" customWidth="1"/>
    <col min="9999" max="9999" width="9" style="2"/>
    <col min="10000" max="10008" width="11.125" style="2" bestFit="1" customWidth="1"/>
    <col min="10009" max="10009" width="9" style="2"/>
    <col min="10010" max="10010" width="8" style="2" bestFit="1" customWidth="1"/>
    <col min="10011" max="10014" width="9" style="2"/>
    <col min="10015" max="10016" width="11.125" style="2" bestFit="1" customWidth="1"/>
    <col min="10017" max="10017" width="9" style="2"/>
    <col min="10018" max="10018" width="9.625" style="2" bestFit="1" customWidth="1"/>
    <col min="10019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9.6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54" width="11.125" style="2" bestFit="1" customWidth="1"/>
    <col min="10255" max="10255" width="9" style="2"/>
    <col min="10256" max="10264" width="11.125" style="2" bestFit="1" customWidth="1"/>
    <col min="10265" max="10265" width="9" style="2"/>
    <col min="10266" max="10266" width="8" style="2" bestFit="1" customWidth="1"/>
    <col min="10267" max="10270" width="9" style="2"/>
    <col min="10271" max="10272" width="11.125" style="2" bestFit="1" customWidth="1"/>
    <col min="10273" max="10273" width="9" style="2"/>
    <col min="10274" max="10274" width="9.625" style="2" bestFit="1" customWidth="1"/>
    <col min="10275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9.6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10" width="11.125" style="2" bestFit="1" customWidth="1"/>
    <col min="10511" max="10511" width="9" style="2"/>
    <col min="10512" max="10520" width="11.125" style="2" bestFit="1" customWidth="1"/>
    <col min="10521" max="10521" width="9" style="2"/>
    <col min="10522" max="10522" width="8" style="2" bestFit="1" customWidth="1"/>
    <col min="10523" max="10526" width="9" style="2"/>
    <col min="10527" max="10528" width="11.125" style="2" bestFit="1" customWidth="1"/>
    <col min="10529" max="10529" width="9" style="2"/>
    <col min="10530" max="10530" width="9.625" style="2" bestFit="1" customWidth="1"/>
    <col min="10531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9.6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66" width="11.125" style="2" bestFit="1" customWidth="1"/>
    <col min="10767" max="10767" width="9" style="2"/>
    <col min="10768" max="10776" width="11.125" style="2" bestFit="1" customWidth="1"/>
    <col min="10777" max="10777" width="9" style="2"/>
    <col min="10778" max="10778" width="8" style="2" bestFit="1" customWidth="1"/>
    <col min="10779" max="10782" width="9" style="2"/>
    <col min="10783" max="10784" width="11.125" style="2" bestFit="1" customWidth="1"/>
    <col min="10785" max="10785" width="9" style="2"/>
    <col min="10786" max="10786" width="9.625" style="2" bestFit="1" customWidth="1"/>
    <col min="10787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9.6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22" width="11.125" style="2" bestFit="1" customWidth="1"/>
    <col min="11023" max="11023" width="9" style="2"/>
    <col min="11024" max="11032" width="11.125" style="2" bestFit="1" customWidth="1"/>
    <col min="11033" max="11033" width="9" style="2"/>
    <col min="11034" max="11034" width="8" style="2" bestFit="1" customWidth="1"/>
    <col min="11035" max="11038" width="9" style="2"/>
    <col min="11039" max="11040" width="11.125" style="2" bestFit="1" customWidth="1"/>
    <col min="11041" max="11041" width="9" style="2"/>
    <col min="11042" max="11042" width="9.625" style="2" bestFit="1" customWidth="1"/>
    <col min="11043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9.6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78" width="11.125" style="2" bestFit="1" customWidth="1"/>
    <col min="11279" max="11279" width="9" style="2"/>
    <col min="11280" max="11288" width="11.125" style="2" bestFit="1" customWidth="1"/>
    <col min="11289" max="11289" width="9" style="2"/>
    <col min="11290" max="11290" width="8" style="2" bestFit="1" customWidth="1"/>
    <col min="11291" max="11294" width="9" style="2"/>
    <col min="11295" max="11296" width="11.125" style="2" bestFit="1" customWidth="1"/>
    <col min="11297" max="11297" width="9" style="2"/>
    <col min="11298" max="11298" width="9.625" style="2" bestFit="1" customWidth="1"/>
    <col min="11299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9.6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34" width="11.125" style="2" bestFit="1" customWidth="1"/>
    <col min="11535" max="11535" width="9" style="2"/>
    <col min="11536" max="11544" width="11.125" style="2" bestFit="1" customWidth="1"/>
    <col min="11545" max="11545" width="9" style="2"/>
    <col min="11546" max="11546" width="8" style="2" bestFit="1" customWidth="1"/>
    <col min="11547" max="11550" width="9" style="2"/>
    <col min="11551" max="11552" width="11.125" style="2" bestFit="1" customWidth="1"/>
    <col min="11553" max="11553" width="9" style="2"/>
    <col min="11554" max="11554" width="9.625" style="2" bestFit="1" customWidth="1"/>
    <col min="11555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9.6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790" width="11.125" style="2" bestFit="1" customWidth="1"/>
    <col min="11791" max="11791" width="9" style="2"/>
    <col min="11792" max="11800" width="11.125" style="2" bestFit="1" customWidth="1"/>
    <col min="11801" max="11801" width="9" style="2"/>
    <col min="11802" max="11802" width="8" style="2" bestFit="1" customWidth="1"/>
    <col min="11803" max="11806" width="9" style="2"/>
    <col min="11807" max="11808" width="11.125" style="2" bestFit="1" customWidth="1"/>
    <col min="11809" max="11809" width="9" style="2"/>
    <col min="11810" max="11810" width="9.625" style="2" bestFit="1" customWidth="1"/>
    <col min="11811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9.6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46" width="11.125" style="2" bestFit="1" customWidth="1"/>
    <col min="12047" max="12047" width="9" style="2"/>
    <col min="12048" max="12056" width="11.125" style="2" bestFit="1" customWidth="1"/>
    <col min="12057" max="12057" width="9" style="2"/>
    <col min="12058" max="12058" width="8" style="2" bestFit="1" customWidth="1"/>
    <col min="12059" max="12062" width="9" style="2"/>
    <col min="12063" max="12064" width="11.125" style="2" bestFit="1" customWidth="1"/>
    <col min="12065" max="12065" width="9" style="2"/>
    <col min="12066" max="12066" width="9.625" style="2" bestFit="1" customWidth="1"/>
    <col min="12067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9.6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02" width="11.125" style="2" bestFit="1" customWidth="1"/>
    <col min="12303" max="12303" width="9" style="2"/>
    <col min="12304" max="12312" width="11.125" style="2" bestFit="1" customWidth="1"/>
    <col min="12313" max="12313" width="9" style="2"/>
    <col min="12314" max="12314" width="8" style="2" bestFit="1" customWidth="1"/>
    <col min="12315" max="12318" width="9" style="2"/>
    <col min="12319" max="12320" width="11.125" style="2" bestFit="1" customWidth="1"/>
    <col min="12321" max="12321" width="9" style="2"/>
    <col min="12322" max="12322" width="9.625" style="2" bestFit="1" customWidth="1"/>
    <col min="12323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9.6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58" width="11.125" style="2" bestFit="1" customWidth="1"/>
    <col min="12559" max="12559" width="9" style="2"/>
    <col min="12560" max="12568" width="11.125" style="2" bestFit="1" customWidth="1"/>
    <col min="12569" max="12569" width="9" style="2"/>
    <col min="12570" max="12570" width="8" style="2" bestFit="1" customWidth="1"/>
    <col min="12571" max="12574" width="9" style="2"/>
    <col min="12575" max="12576" width="11.125" style="2" bestFit="1" customWidth="1"/>
    <col min="12577" max="12577" width="9" style="2"/>
    <col min="12578" max="12578" width="9.625" style="2" bestFit="1" customWidth="1"/>
    <col min="12579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9.6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14" width="11.125" style="2" bestFit="1" customWidth="1"/>
    <col min="12815" max="12815" width="9" style="2"/>
    <col min="12816" max="12824" width="11.125" style="2" bestFit="1" customWidth="1"/>
    <col min="12825" max="12825" width="9" style="2"/>
    <col min="12826" max="12826" width="8" style="2" bestFit="1" customWidth="1"/>
    <col min="12827" max="12830" width="9" style="2"/>
    <col min="12831" max="12832" width="11.125" style="2" bestFit="1" customWidth="1"/>
    <col min="12833" max="12833" width="9" style="2"/>
    <col min="12834" max="12834" width="9.625" style="2" bestFit="1" customWidth="1"/>
    <col min="12835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9.6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70" width="11.125" style="2" bestFit="1" customWidth="1"/>
    <col min="13071" max="13071" width="9" style="2"/>
    <col min="13072" max="13080" width="11.125" style="2" bestFit="1" customWidth="1"/>
    <col min="13081" max="13081" width="9" style="2"/>
    <col min="13082" max="13082" width="8" style="2" bestFit="1" customWidth="1"/>
    <col min="13083" max="13086" width="9" style="2"/>
    <col min="13087" max="13088" width="11.125" style="2" bestFit="1" customWidth="1"/>
    <col min="13089" max="13089" width="9" style="2"/>
    <col min="13090" max="13090" width="9.625" style="2" bestFit="1" customWidth="1"/>
    <col min="13091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9.6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26" width="11.125" style="2" bestFit="1" customWidth="1"/>
    <col min="13327" max="13327" width="9" style="2"/>
    <col min="13328" max="13336" width="11.125" style="2" bestFit="1" customWidth="1"/>
    <col min="13337" max="13337" width="9" style="2"/>
    <col min="13338" max="13338" width="8" style="2" bestFit="1" customWidth="1"/>
    <col min="13339" max="13342" width="9" style="2"/>
    <col min="13343" max="13344" width="11.125" style="2" bestFit="1" customWidth="1"/>
    <col min="13345" max="13345" width="9" style="2"/>
    <col min="13346" max="13346" width="9.625" style="2" bestFit="1" customWidth="1"/>
    <col min="13347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9.6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82" width="11.125" style="2" bestFit="1" customWidth="1"/>
    <col min="13583" max="13583" width="9" style="2"/>
    <col min="13584" max="13592" width="11.125" style="2" bestFit="1" customWidth="1"/>
    <col min="13593" max="13593" width="9" style="2"/>
    <col min="13594" max="13594" width="8" style="2" bestFit="1" customWidth="1"/>
    <col min="13595" max="13598" width="9" style="2"/>
    <col min="13599" max="13600" width="11.125" style="2" bestFit="1" customWidth="1"/>
    <col min="13601" max="13601" width="9" style="2"/>
    <col min="13602" max="13602" width="9.625" style="2" bestFit="1" customWidth="1"/>
    <col min="13603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9.6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38" width="11.125" style="2" bestFit="1" customWidth="1"/>
    <col min="13839" max="13839" width="9" style="2"/>
    <col min="13840" max="13848" width="11.125" style="2" bestFit="1" customWidth="1"/>
    <col min="13849" max="13849" width="9" style="2"/>
    <col min="13850" max="13850" width="8" style="2" bestFit="1" customWidth="1"/>
    <col min="13851" max="13854" width="9" style="2"/>
    <col min="13855" max="13856" width="11.125" style="2" bestFit="1" customWidth="1"/>
    <col min="13857" max="13857" width="9" style="2"/>
    <col min="13858" max="13858" width="9.625" style="2" bestFit="1" customWidth="1"/>
    <col min="13859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9.6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094" width="11.125" style="2" bestFit="1" customWidth="1"/>
    <col min="14095" max="14095" width="9" style="2"/>
    <col min="14096" max="14104" width="11.125" style="2" bestFit="1" customWidth="1"/>
    <col min="14105" max="14105" width="9" style="2"/>
    <col min="14106" max="14106" width="8" style="2" bestFit="1" customWidth="1"/>
    <col min="14107" max="14110" width="9" style="2"/>
    <col min="14111" max="14112" width="11.125" style="2" bestFit="1" customWidth="1"/>
    <col min="14113" max="14113" width="9" style="2"/>
    <col min="14114" max="14114" width="9.625" style="2" bestFit="1" customWidth="1"/>
    <col min="14115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9.6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50" width="11.125" style="2" bestFit="1" customWidth="1"/>
    <col min="14351" max="14351" width="9" style="2"/>
    <col min="14352" max="14360" width="11.125" style="2" bestFit="1" customWidth="1"/>
    <col min="14361" max="14361" width="9" style="2"/>
    <col min="14362" max="14362" width="8" style="2" bestFit="1" customWidth="1"/>
    <col min="14363" max="14366" width="9" style="2"/>
    <col min="14367" max="14368" width="11.125" style="2" bestFit="1" customWidth="1"/>
    <col min="14369" max="14369" width="9" style="2"/>
    <col min="14370" max="14370" width="9.625" style="2" bestFit="1" customWidth="1"/>
    <col min="14371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9.6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06" width="11.125" style="2" bestFit="1" customWidth="1"/>
    <col min="14607" max="14607" width="9" style="2"/>
    <col min="14608" max="14616" width="11.125" style="2" bestFit="1" customWidth="1"/>
    <col min="14617" max="14617" width="9" style="2"/>
    <col min="14618" max="14618" width="8" style="2" bestFit="1" customWidth="1"/>
    <col min="14619" max="14622" width="9" style="2"/>
    <col min="14623" max="14624" width="11.125" style="2" bestFit="1" customWidth="1"/>
    <col min="14625" max="14625" width="9" style="2"/>
    <col min="14626" max="14626" width="9.625" style="2" bestFit="1" customWidth="1"/>
    <col min="14627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9.6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62" width="11.125" style="2" bestFit="1" customWidth="1"/>
    <col min="14863" max="14863" width="9" style="2"/>
    <col min="14864" max="14872" width="11.125" style="2" bestFit="1" customWidth="1"/>
    <col min="14873" max="14873" width="9" style="2"/>
    <col min="14874" max="14874" width="8" style="2" bestFit="1" customWidth="1"/>
    <col min="14875" max="14878" width="9" style="2"/>
    <col min="14879" max="14880" width="11.125" style="2" bestFit="1" customWidth="1"/>
    <col min="14881" max="14881" width="9" style="2"/>
    <col min="14882" max="14882" width="9.625" style="2" bestFit="1" customWidth="1"/>
    <col min="14883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9.6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18" width="11.125" style="2" bestFit="1" customWidth="1"/>
    <col min="15119" max="15119" width="9" style="2"/>
    <col min="15120" max="15128" width="11.125" style="2" bestFit="1" customWidth="1"/>
    <col min="15129" max="15129" width="9" style="2"/>
    <col min="15130" max="15130" width="8" style="2" bestFit="1" customWidth="1"/>
    <col min="15131" max="15134" width="9" style="2"/>
    <col min="15135" max="15136" width="11.125" style="2" bestFit="1" customWidth="1"/>
    <col min="15137" max="15137" width="9" style="2"/>
    <col min="15138" max="15138" width="9.625" style="2" bestFit="1" customWidth="1"/>
    <col min="15139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9.6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74" width="11.125" style="2" bestFit="1" customWidth="1"/>
    <col min="15375" max="15375" width="9" style="2"/>
    <col min="15376" max="15384" width="11.125" style="2" bestFit="1" customWidth="1"/>
    <col min="15385" max="15385" width="9" style="2"/>
    <col min="15386" max="15386" width="8" style="2" bestFit="1" customWidth="1"/>
    <col min="15387" max="15390" width="9" style="2"/>
    <col min="15391" max="15392" width="11.125" style="2" bestFit="1" customWidth="1"/>
    <col min="15393" max="15393" width="9" style="2"/>
    <col min="15394" max="15394" width="9.625" style="2" bestFit="1" customWidth="1"/>
    <col min="15395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9.6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30" width="11.125" style="2" bestFit="1" customWidth="1"/>
    <col min="15631" max="15631" width="9" style="2"/>
    <col min="15632" max="15640" width="11.125" style="2" bestFit="1" customWidth="1"/>
    <col min="15641" max="15641" width="9" style="2"/>
    <col min="15642" max="15642" width="8" style="2" bestFit="1" customWidth="1"/>
    <col min="15643" max="15646" width="9" style="2"/>
    <col min="15647" max="15648" width="11.125" style="2" bestFit="1" customWidth="1"/>
    <col min="15649" max="15649" width="9" style="2"/>
    <col min="15650" max="15650" width="9.625" style="2" bestFit="1" customWidth="1"/>
    <col min="15651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9.6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86" width="11.125" style="2" bestFit="1" customWidth="1"/>
    <col min="15887" max="15887" width="9" style="2"/>
    <col min="15888" max="15896" width="11.125" style="2" bestFit="1" customWidth="1"/>
    <col min="15897" max="15897" width="9" style="2"/>
    <col min="15898" max="15898" width="8" style="2" bestFit="1" customWidth="1"/>
    <col min="15899" max="15902" width="9" style="2"/>
    <col min="15903" max="15904" width="11.125" style="2" bestFit="1" customWidth="1"/>
    <col min="15905" max="15905" width="9" style="2"/>
    <col min="15906" max="15906" width="9.625" style="2" bestFit="1" customWidth="1"/>
    <col min="15907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9.6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42" width="11.125" style="2" bestFit="1" customWidth="1"/>
    <col min="16143" max="16143" width="9" style="2"/>
    <col min="16144" max="16152" width="11.125" style="2" bestFit="1" customWidth="1"/>
    <col min="16153" max="16153" width="9" style="2"/>
    <col min="16154" max="16154" width="8" style="2" bestFit="1" customWidth="1"/>
    <col min="16155" max="16158" width="9" style="2"/>
    <col min="16159" max="16160" width="11.125" style="2" bestFit="1" customWidth="1"/>
    <col min="16161" max="16161" width="9" style="2"/>
    <col min="16162" max="16162" width="9.625" style="2" bestFit="1" customWidth="1"/>
    <col min="16163" max="16384" width="9" style="2"/>
  </cols>
  <sheetData>
    <row r="1" spans="1:36">
      <c r="A1" s="1" t="s">
        <v>0</v>
      </c>
    </row>
    <row r="2" spans="1:36">
      <c r="A2" s="1" t="s">
        <v>1</v>
      </c>
    </row>
    <row r="3" spans="1:36" ht="19.5" thickBot="1">
      <c r="A3" s="1" t="s">
        <v>119</v>
      </c>
    </row>
    <row r="4" spans="1:36">
      <c r="B4" s="3"/>
      <c r="C4" s="6" t="s">
        <v>3</v>
      </c>
      <c r="D4" s="7" t="s">
        <v>4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52" t="s">
        <v>120</v>
      </c>
      <c r="V4" s="65" t="s">
        <v>5</v>
      </c>
      <c r="W4" s="54" t="s">
        <v>6</v>
      </c>
      <c r="X4" s="7" t="s">
        <v>28</v>
      </c>
      <c r="Y4" s="7" t="s">
        <v>29</v>
      </c>
      <c r="Z4" s="7" t="s">
        <v>24</v>
      </c>
      <c r="AA4" s="7" t="s">
        <v>25</v>
      </c>
      <c r="AB4" s="7" t="s">
        <v>26</v>
      </c>
      <c r="AC4" s="7" t="s">
        <v>27</v>
      </c>
      <c r="AD4" s="8" t="s">
        <v>30</v>
      </c>
      <c r="AE4" s="76" t="s">
        <v>120</v>
      </c>
      <c r="AF4" s="78" t="s">
        <v>7</v>
      </c>
      <c r="AG4" s="76" t="s">
        <v>120</v>
      </c>
      <c r="AH4" s="89" t="s">
        <v>60</v>
      </c>
    </row>
    <row r="5" spans="1:36" ht="19.5" thickBot="1">
      <c r="A5" s="91"/>
      <c r="B5" s="25" t="s">
        <v>31</v>
      </c>
      <c r="C5" s="26" t="s">
        <v>32</v>
      </c>
      <c r="D5" s="27" t="s">
        <v>33</v>
      </c>
      <c r="E5" s="27" t="s">
        <v>37</v>
      </c>
      <c r="F5" s="27" t="s">
        <v>38</v>
      </c>
      <c r="G5" s="27" t="s">
        <v>39</v>
      </c>
      <c r="H5" s="27" t="s">
        <v>40</v>
      </c>
      <c r="I5" s="27" t="s">
        <v>41</v>
      </c>
      <c r="J5" s="27" t="s">
        <v>42</v>
      </c>
      <c r="K5" s="27" t="s">
        <v>43</v>
      </c>
      <c r="L5" s="27" t="s">
        <v>44</v>
      </c>
      <c r="M5" s="27" t="s">
        <v>45</v>
      </c>
      <c r="N5" s="27" t="s">
        <v>46</v>
      </c>
      <c r="O5" s="27" t="s">
        <v>47</v>
      </c>
      <c r="P5" s="27" t="s">
        <v>48</v>
      </c>
      <c r="Q5" s="27" t="s">
        <v>49</v>
      </c>
      <c r="R5" s="27" t="s">
        <v>50</v>
      </c>
      <c r="S5" s="27" t="s">
        <v>51</v>
      </c>
      <c r="T5" s="27" t="s">
        <v>52</v>
      </c>
      <c r="U5" s="53" t="s">
        <v>121</v>
      </c>
      <c r="V5" s="66" t="s">
        <v>34</v>
      </c>
      <c r="W5" s="55" t="s">
        <v>35</v>
      </c>
      <c r="X5" s="27" t="s">
        <v>57</v>
      </c>
      <c r="Y5" s="27" t="s">
        <v>58</v>
      </c>
      <c r="Z5" s="27" t="s">
        <v>53</v>
      </c>
      <c r="AA5" s="27" t="s">
        <v>54</v>
      </c>
      <c r="AB5" s="27" t="s">
        <v>55</v>
      </c>
      <c r="AC5" s="27" t="s">
        <v>56</v>
      </c>
      <c r="AD5" s="28" t="s">
        <v>59</v>
      </c>
      <c r="AE5" s="77" t="s">
        <v>122</v>
      </c>
      <c r="AF5" s="79" t="s">
        <v>36</v>
      </c>
      <c r="AG5" s="77" t="s">
        <v>123</v>
      </c>
      <c r="AH5" s="90" t="s">
        <v>124</v>
      </c>
    </row>
    <row r="6" spans="1:36">
      <c r="A6" s="1" t="s">
        <v>2</v>
      </c>
      <c r="B6" s="21" t="s">
        <v>61</v>
      </c>
      <c r="C6" s="22">
        <v>19</v>
      </c>
      <c r="D6" s="23">
        <v>21</v>
      </c>
      <c r="E6" s="23">
        <v>21</v>
      </c>
      <c r="F6" s="23">
        <v>19</v>
      </c>
      <c r="G6" s="23">
        <v>19</v>
      </c>
      <c r="H6" s="23">
        <v>20</v>
      </c>
      <c r="I6" s="23">
        <v>18</v>
      </c>
      <c r="J6" s="23">
        <v>19</v>
      </c>
      <c r="K6" s="23">
        <v>20</v>
      </c>
      <c r="L6" s="23">
        <v>20</v>
      </c>
      <c r="M6" s="23">
        <v>10</v>
      </c>
      <c r="N6" s="23">
        <v>21</v>
      </c>
      <c r="O6" s="23">
        <v>18</v>
      </c>
      <c r="P6" s="23">
        <v>19</v>
      </c>
      <c r="Q6" s="23">
        <v>21</v>
      </c>
      <c r="R6" s="23">
        <v>17</v>
      </c>
      <c r="S6" s="23">
        <v>14</v>
      </c>
      <c r="T6" s="23">
        <v>14</v>
      </c>
      <c r="U6" s="43">
        <f>SUM(C6:T6)</f>
        <v>330</v>
      </c>
      <c r="V6" s="67">
        <v>21</v>
      </c>
      <c r="W6" s="56">
        <v>21</v>
      </c>
      <c r="X6" s="23">
        <v>14</v>
      </c>
      <c r="Y6" s="23">
        <v>15</v>
      </c>
      <c r="Z6" s="23">
        <v>0</v>
      </c>
      <c r="AA6" s="23">
        <v>10</v>
      </c>
      <c r="AB6" s="23">
        <v>6</v>
      </c>
      <c r="AC6" s="23">
        <v>10</v>
      </c>
      <c r="AD6" s="24">
        <v>10</v>
      </c>
      <c r="AE6" s="67">
        <f>SUM(V6:AD6)</f>
        <v>107</v>
      </c>
      <c r="AF6" s="80">
        <v>20</v>
      </c>
      <c r="AG6" s="67">
        <f>SUM(AF6)</f>
        <v>20</v>
      </c>
      <c r="AH6" s="67">
        <f>U6+AE6+AG6</f>
        <v>457</v>
      </c>
      <c r="AJ6"/>
    </row>
    <row r="7" spans="1:36">
      <c r="A7" s="1" t="s">
        <v>2</v>
      </c>
      <c r="B7" s="4" t="s">
        <v>62</v>
      </c>
      <c r="C7" s="9">
        <v>3</v>
      </c>
      <c r="D7" s="10">
        <v>2</v>
      </c>
      <c r="E7" s="10">
        <v>4</v>
      </c>
      <c r="F7" s="10">
        <v>4</v>
      </c>
      <c r="G7" s="10">
        <v>3</v>
      </c>
      <c r="H7" s="10">
        <v>1</v>
      </c>
      <c r="I7" s="10">
        <v>4</v>
      </c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4</v>
      </c>
      <c r="P7" s="10">
        <v>3</v>
      </c>
      <c r="Q7" s="10">
        <v>2</v>
      </c>
      <c r="R7" s="10">
        <v>5</v>
      </c>
      <c r="S7" s="10">
        <v>2</v>
      </c>
      <c r="T7" s="10">
        <v>0</v>
      </c>
      <c r="U7" s="44">
        <f>SUM(C7:T7)</f>
        <v>52</v>
      </c>
      <c r="V7" s="68">
        <v>0</v>
      </c>
      <c r="W7" s="57">
        <v>4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1">
        <v>0</v>
      </c>
      <c r="AE7" s="68"/>
      <c r="AF7" s="81">
        <v>0</v>
      </c>
      <c r="AG7" s="68"/>
      <c r="AH7" s="68">
        <f t="shared" ref="AH7:AH62" si="0">U7+AE7+AG7</f>
        <v>52</v>
      </c>
      <c r="AJ7"/>
    </row>
    <row r="8" spans="1:36">
      <c r="A8" s="1" t="s">
        <v>2</v>
      </c>
      <c r="B8" s="4" t="s">
        <v>63</v>
      </c>
      <c r="C8" s="9">
        <v>3</v>
      </c>
      <c r="D8" s="10">
        <v>3</v>
      </c>
      <c r="E8" s="10">
        <v>1</v>
      </c>
      <c r="F8" s="10">
        <v>3</v>
      </c>
      <c r="G8" s="10">
        <v>4</v>
      </c>
      <c r="H8" s="10">
        <v>2</v>
      </c>
      <c r="I8" s="10">
        <v>2</v>
      </c>
      <c r="J8" s="10">
        <v>4</v>
      </c>
      <c r="K8" s="10">
        <v>2</v>
      </c>
      <c r="L8" s="10">
        <v>3</v>
      </c>
      <c r="M8" s="10">
        <v>1</v>
      </c>
      <c r="N8" s="10">
        <v>2</v>
      </c>
      <c r="O8" s="10">
        <v>2</v>
      </c>
      <c r="P8" s="10">
        <v>3</v>
      </c>
      <c r="Q8" s="10">
        <v>1</v>
      </c>
      <c r="R8" s="10">
        <v>1</v>
      </c>
      <c r="S8" s="10">
        <v>1</v>
      </c>
      <c r="T8" s="10">
        <v>0</v>
      </c>
      <c r="U8" s="44">
        <f t="shared" ref="U8:U12" si="1">SUM(C8:T8)</f>
        <v>38</v>
      </c>
      <c r="V8" s="68">
        <v>0</v>
      </c>
      <c r="W8" s="57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1">
        <v>0</v>
      </c>
      <c r="AE8" s="68"/>
      <c r="AF8" s="81">
        <v>0</v>
      </c>
      <c r="AG8" s="68"/>
      <c r="AH8" s="68">
        <f t="shared" si="0"/>
        <v>38</v>
      </c>
      <c r="AJ8"/>
    </row>
    <row r="9" spans="1:36">
      <c r="A9" s="1" t="s">
        <v>2</v>
      </c>
      <c r="B9" s="4" t="s">
        <v>64</v>
      </c>
      <c r="C9" s="9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2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44">
        <f t="shared" si="1"/>
        <v>3</v>
      </c>
      <c r="V9" s="68">
        <v>0</v>
      </c>
      <c r="W9" s="57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1">
        <v>0</v>
      </c>
      <c r="AE9" s="68"/>
      <c r="AF9" s="81">
        <v>0</v>
      </c>
      <c r="AG9" s="68"/>
      <c r="AH9" s="68">
        <f t="shared" si="0"/>
        <v>3</v>
      </c>
      <c r="AJ9"/>
    </row>
    <row r="10" spans="1:36">
      <c r="A10" s="1" t="s">
        <v>2</v>
      </c>
      <c r="B10" s="4" t="s">
        <v>65</v>
      </c>
      <c r="C10" s="9">
        <v>2</v>
      </c>
      <c r="D10" s="10">
        <v>0</v>
      </c>
      <c r="E10" s="10">
        <v>0</v>
      </c>
      <c r="F10" s="10">
        <v>2</v>
      </c>
      <c r="G10" s="10">
        <v>2</v>
      </c>
      <c r="H10" s="10">
        <v>1</v>
      </c>
      <c r="I10" s="10">
        <v>1</v>
      </c>
      <c r="J10" s="10">
        <v>2</v>
      </c>
      <c r="K10" s="10">
        <v>1</v>
      </c>
      <c r="L10" s="10">
        <v>1</v>
      </c>
      <c r="M10" s="10">
        <v>0</v>
      </c>
      <c r="N10" s="10">
        <v>0</v>
      </c>
      <c r="O10" s="10">
        <v>2</v>
      </c>
      <c r="P10" s="10">
        <v>0</v>
      </c>
      <c r="Q10" s="10">
        <v>0</v>
      </c>
      <c r="R10" s="10">
        <v>1</v>
      </c>
      <c r="S10" s="10">
        <v>7</v>
      </c>
      <c r="T10" s="10">
        <v>0</v>
      </c>
      <c r="U10" s="44">
        <f t="shared" si="1"/>
        <v>22</v>
      </c>
      <c r="V10" s="68">
        <v>0</v>
      </c>
      <c r="W10" s="57">
        <v>0</v>
      </c>
      <c r="X10" s="10">
        <v>0</v>
      </c>
      <c r="Y10" s="10">
        <v>1</v>
      </c>
      <c r="Z10" s="10">
        <v>1</v>
      </c>
      <c r="AA10" s="10">
        <v>0</v>
      </c>
      <c r="AB10" s="10">
        <v>0</v>
      </c>
      <c r="AC10" s="10">
        <v>0</v>
      </c>
      <c r="AD10" s="11">
        <v>0</v>
      </c>
      <c r="AE10" s="68">
        <f>SUM(V10:AD10)</f>
        <v>2</v>
      </c>
      <c r="AF10" s="81">
        <v>0</v>
      </c>
      <c r="AG10" s="68"/>
      <c r="AH10" s="68">
        <f t="shared" si="0"/>
        <v>24</v>
      </c>
      <c r="AJ10"/>
    </row>
    <row r="11" spans="1:36">
      <c r="A11" s="1" t="s">
        <v>2</v>
      </c>
      <c r="B11" s="4" t="s">
        <v>66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2</v>
      </c>
      <c r="Q11" s="10">
        <v>0</v>
      </c>
      <c r="R11" s="10">
        <v>2</v>
      </c>
      <c r="S11" s="10">
        <v>0</v>
      </c>
      <c r="T11" s="10">
        <v>0</v>
      </c>
      <c r="U11" s="44">
        <f t="shared" si="1"/>
        <v>7</v>
      </c>
      <c r="V11" s="68">
        <v>0</v>
      </c>
      <c r="W11" s="57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1">
        <v>0</v>
      </c>
      <c r="AE11" s="68"/>
      <c r="AF11" s="81">
        <v>0</v>
      </c>
      <c r="AG11" s="68"/>
      <c r="AH11" s="68">
        <f t="shared" si="0"/>
        <v>7</v>
      </c>
      <c r="AJ11"/>
    </row>
    <row r="12" spans="1:36">
      <c r="A12" s="1" t="s">
        <v>2</v>
      </c>
      <c r="B12" s="4" t="s">
        <v>67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9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6.9</v>
      </c>
      <c r="U12" s="44">
        <f t="shared" si="1"/>
        <v>15.9</v>
      </c>
      <c r="V12" s="68">
        <v>0</v>
      </c>
      <c r="W12" s="57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1">
        <v>0</v>
      </c>
      <c r="AE12" s="68"/>
      <c r="AF12" s="81">
        <v>0</v>
      </c>
      <c r="AG12" s="68"/>
      <c r="AH12" s="68">
        <f t="shared" si="0"/>
        <v>15.9</v>
      </c>
      <c r="AJ12"/>
    </row>
    <row r="13" spans="1:36">
      <c r="A13" s="1" t="s">
        <v>2</v>
      </c>
      <c r="B13" s="4" t="s">
        <v>68</v>
      </c>
      <c r="C13" s="9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44"/>
      <c r="V13" s="68">
        <v>0</v>
      </c>
      <c r="W13" s="57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1">
        <v>0</v>
      </c>
      <c r="AE13" s="68"/>
      <c r="AF13" s="81">
        <v>0</v>
      </c>
      <c r="AG13" s="68"/>
      <c r="AH13" s="68">
        <f t="shared" si="0"/>
        <v>0</v>
      </c>
      <c r="AJ13"/>
    </row>
    <row r="14" spans="1:36">
      <c r="A14" s="1" t="s">
        <v>2</v>
      </c>
      <c r="B14" s="4" t="s">
        <v>69</v>
      </c>
      <c r="C14" s="12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45"/>
      <c r="V14" s="69">
        <v>0</v>
      </c>
      <c r="W14" s="58">
        <v>0</v>
      </c>
      <c r="X14" s="13">
        <v>3.8333333333333335</v>
      </c>
      <c r="Y14" s="13">
        <v>3.7083333333333335</v>
      </c>
      <c r="Z14" s="13">
        <v>0</v>
      </c>
      <c r="AA14" s="13">
        <v>2.9583333333333335</v>
      </c>
      <c r="AB14" s="13">
        <v>1.75</v>
      </c>
      <c r="AC14" s="13">
        <v>2.9583333333333335</v>
      </c>
      <c r="AD14" s="14">
        <v>3.125</v>
      </c>
      <c r="AE14" s="69">
        <f>SUM(V14:AD14)</f>
        <v>18.333333333333336</v>
      </c>
      <c r="AF14" s="82">
        <v>0</v>
      </c>
      <c r="AG14" s="69"/>
      <c r="AH14" s="69">
        <f t="shared" si="0"/>
        <v>18.333333333333336</v>
      </c>
      <c r="AJ14"/>
    </row>
    <row r="15" spans="1:36">
      <c r="A15" s="1" t="s">
        <v>2</v>
      </c>
      <c r="B15" s="4" t="s">
        <v>70</v>
      </c>
      <c r="C15" s="12">
        <v>1.2083333333333333</v>
      </c>
      <c r="D15" s="13">
        <v>2.4583333333333335</v>
      </c>
      <c r="E15" s="13">
        <v>2.7083333333333335</v>
      </c>
      <c r="F15" s="13">
        <v>2.1666666666666665</v>
      </c>
      <c r="G15" s="13">
        <v>1.4583333333333333</v>
      </c>
      <c r="H15" s="13">
        <v>3.4166666666666665</v>
      </c>
      <c r="I15" s="13">
        <v>2.25</v>
      </c>
      <c r="J15" s="13">
        <v>1.5416666666666665</v>
      </c>
      <c r="K15" s="13">
        <v>2.1666666666666665</v>
      </c>
      <c r="L15" s="13">
        <v>2.5</v>
      </c>
      <c r="M15" s="13">
        <v>0.79166666666666663</v>
      </c>
      <c r="N15" s="13">
        <v>1.625</v>
      </c>
      <c r="O15" s="13">
        <v>1.4583333333333333</v>
      </c>
      <c r="P15" s="13">
        <v>2.9166666666666665</v>
      </c>
      <c r="Q15" s="13">
        <v>3</v>
      </c>
      <c r="R15" s="13">
        <v>1.1666666666666667</v>
      </c>
      <c r="S15" s="13">
        <v>1.4583333333333333</v>
      </c>
      <c r="T15" s="13">
        <v>0.79166666666666663</v>
      </c>
      <c r="U15" s="45">
        <f>SUM(C15:T15)</f>
        <v>35.083333333333336</v>
      </c>
      <c r="V15" s="69">
        <v>0</v>
      </c>
      <c r="W15" s="58">
        <v>1.1666666666666667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4">
        <v>0.16666666666666666</v>
      </c>
      <c r="AE15" s="69">
        <f t="shared" ref="AE15:AE16" si="2">SUM(V15:AD15)</f>
        <v>1.3333333333333335</v>
      </c>
      <c r="AF15" s="82">
        <v>0</v>
      </c>
      <c r="AG15" s="69"/>
      <c r="AH15" s="69">
        <f t="shared" si="0"/>
        <v>36.416666666666671</v>
      </c>
      <c r="AJ15"/>
    </row>
    <row r="16" spans="1:36">
      <c r="A16" s="1" t="s">
        <v>2</v>
      </c>
      <c r="B16" s="4" t="s">
        <v>71</v>
      </c>
      <c r="C16" s="12">
        <v>0.91666666666666663</v>
      </c>
      <c r="D16" s="13">
        <v>0.91666666666666663</v>
      </c>
      <c r="E16" s="13">
        <v>1.6666666666666665</v>
      </c>
      <c r="F16" s="13">
        <v>1.8333333333333335</v>
      </c>
      <c r="G16" s="13">
        <v>0.91666666666666663</v>
      </c>
      <c r="H16" s="13">
        <v>0.45833333333333331</v>
      </c>
      <c r="I16" s="13">
        <v>1.5833333333333335</v>
      </c>
      <c r="J16" s="13">
        <v>0.875</v>
      </c>
      <c r="K16" s="13">
        <v>0.875</v>
      </c>
      <c r="L16" s="13">
        <v>1.25</v>
      </c>
      <c r="M16" s="13">
        <v>0.95833333333333337</v>
      </c>
      <c r="N16" s="13">
        <v>1.3333333333333333</v>
      </c>
      <c r="O16" s="13">
        <v>1.5833333333333335</v>
      </c>
      <c r="P16" s="13">
        <v>0.91666666666666663</v>
      </c>
      <c r="Q16" s="13">
        <v>1.0833333333333333</v>
      </c>
      <c r="R16" s="13">
        <v>1.5416666666666665</v>
      </c>
      <c r="S16" s="13">
        <v>0.83333333333333337</v>
      </c>
      <c r="T16" s="13">
        <v>0</v>
      </c>
      <c r="U16" s="45">
        <f t="shared" ref="U16:U19" si="3">SUM(C16:T16)</f>
        <v>19.541666666666668</v>
      </c>
      <c r="V16" s="69">
        <v>0</v>
      </c>
      <c r="W16" s="58">
        <v>0.95833333333333337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4">
        <v>0</v>
      </c>
      <c r="AE16" s="69">
        <f t="shared" si="2"/>
        <v>0.95833333333333337</v>
      </c>
      <c r="AF16" s="82">
        <v>0</v>
      </c>
      <c r="AG16" s="69"/>
      <c r="AH16" s="69">
        <f t="shared" si="0"/>
        <v>20.5</v>
      </c>
      <c r="AJ16"/>
    </row>
    <row r="17" spans="1:36">
      <c r="A17" s="1" t="s">
        <v>2</v>
      </c>
      <c r="B17" s="4" t="s">
        <v>72</v>
      </c>
      <c r="C17" s="12">
        <v>0.79166666666666663</v>
      </c>
      <c r="D17" s="13">
        <v>1.0416666666666667</v>
      </c>
      <c r="E17" s="13">
        <v>0.5</v>
      </c>
      <c r="F17" s="13">
        <v>1.25</v>
      </c>
      <c r="G17" s="13">
        <v>1.7916666666666665</v>
      </c>
      <c r="H17" s="13">
        <v>0.54166666666666663</v>
      </c>
      <c r="I17" s="13">
        <v>0.70833333333333337</v>
      </c>
      <c r="J17" s="13">
        <v>1.0416666666666667</v>
      </c>
      <c r="K17" s="13">
        <v>0.70833333333333337</v>
      </c>
      <c r="L17" s="13">
        <v>1.0833333333333333</v>
      </c>
      <c r="M17" s="13">
        <v>0</v>
      </c>
      <c r="N17" s="13">
        <v>1</v>
      </c>
      <c r="O17" s="13">
        <v>0.625</v>
      </c>
      <c r="P17" s="13">
        <v>1.3333333333333333</v>
      </c>
      <c r="Q17" s="13">
        <v>0.16666666666666666</v>
      </c>
      <c r="R17" s="13">
        <v>0.41666666666666669</v>
      </c>
      <c r="S17" s="13">
        <v>0.375</v>
      </c>
      <c r="T17" s="13">
        <v>0</v>
      </c>
      <c r="U17" s="45">
        <f t="shared" si="3"/>
        <v>13.375</v>
      </c>
      <c r="V17" s="69">
        <v>0</v>
      </c>
      <c r="W17" s="58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4">
        <v>0</v>
      </c>
      <c r="AE17" s="69"/>
      <c r="AF17" s="82">
        <v>0</v>
      </c>
      <c r="AG17" s="69"/>
      <c r="AH17" s="69">
        <f t="shared" si="0"/>
        <v>13.375</v>
      </c>
      <c r="AJ17"/>
    </row>
    <row r="18" spans="1:36">
      <c r="A18" s="1" t="s">
        <v>2</v>
      </c>
      <c r="B18" s="4" t="s">
        <v>73</v>
      </c>
      <c r="C18" s="12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0.5</v>
      </c>
      <c r="N18" s="13">
        <v>0</v>
      </c>
      <c r="O18" s="13">
        <v>0</v>
      </c>
      <c r="P18" s="13">
        <v>0</v>
      </c>
      <c r="Q18" s="13">
        <v>0</v>
      </c>
      <c r="R18" s="13">
        <v>0.54166666666666663</v>
      </c>
      <c r="S18" s="13">
        <v>0</v>
      </c>
      <c r="T18" s="13">
        <v>0</v>
      </c>
      <c r="U18" s="45">
        <f t="shared" si="3"/>
        <v>1.0416666666666665</v>
      </c>
      <c r="V18" s="69">
        <v>0</v>
      </c>
      <c r="W18" s="58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4">
        <v>0</v>
      </c>
      <c r="AE18" s="69"/>
      <c r="AF18" s="82">
        <v>0</v>
      </c>
      <c r="AG18" s="69"/>
      <c r="AH18" s="69">
        <f t="shared" si="0"/>
        <v>1.0416666666666665</v>
      </c>
      <c r="AJ18"/>
    </row>
    <row r="19" spans="1:36">
      <c r="A19" s="1" t="s">
        <v>2</v>
      </c>
      <c r="B19" s="4" t="s">
        <v>74</v>
      </c>
      <c r="C19" s="1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0.25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45">
        <f t="shared" si="3"/>
        <v>0.25</v>
      </c>
      <c r="V19" s="69">
        <v>0</v>
      </c>
      <c r="W19" s="58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4">
        <v>0</v>
      </c>
      <c r="AE19" s="69"/>
      <c r="AF19" s="82">
        <v>0</v>
      </c>
      <c r="AG19" s="69"/>
      <c r="AH19" s="69">
        <f t="shared" si="0"/>
        <v>0.25</v>
      </c>
      <c r="AJ19"/>
    </row>
    <row r="20" spans="1:36">
      <c r="A20" s="1" t="s">
        <v>2</v>
      </c>
      <c r="B20" s="4" t="s">
        <v>76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45"/>
      <c r="V20" s="69">
        <v>0</v>
      </c>
      <c r="W20" s="58">
        <v>0</v>
      </c>
      <c r="X20" s="13">
        <v>0</v>
      </c>
      <c r="Y20" s="13">
        <v>0.29166666666666669</v>
      </c>
      <c r="Z20" s="13">
        <v>0.16666666666666666</v>
      </c>
      <c r="AA20" s="13">
        <v>0</v>
      </c>
      <c r="AB20" s="13">
        <v>0</v>
      </c>
      <c r="AC20" s="13">
        <v>0</v>
      </c>
      <c r="AD20" s="14">
        <v>0</v>
      </c>
      <c r="AE20" s="69">
        <f>SUM(V20:AD20)</f>
        <v>0.45833333333333337</v>
      </c>
      <c r="AF20" s="82">
        <v>0</v>
      </c>
      <c r="AG20" s="69"/>
      <c r="AH20" s="69">
        <f t="shared" si="0"/>
        <v>0.45833333333333337</v>
      </c>
      <c r="AJ20"/>
    </row>
    <row r="21" spans="1:36">
      <c r="A21" s="1" t="s">
        <v>2</v>
      </c>
      <c r="B21" s="4" t="s">
        <v>77</v>
      </c>
      <c r="C21" s="12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45"/>
      <c r="V21" s="69">
        <v>0</v>
      </c>
      <c r="W21" s="58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4">
        <v>0</v>
      </c>
      <c r="AE21" s="69"/>
      <c r="AF21" s="82">
        <v>0</v>
      </c>
      <c r="AG21" s="69"/>
      <c r="AH21" s="69">
        <f t="shared" si="0"/>
        <v>0</v>
      </c>
      <c r="AJ21"/>
    </row>
    <row r="22" spans="1:36">
      <c r="A22" s="1" t="s">
        <v>2</v>
      </c>
      <c r="B22" s="4" t="s">
        <v>78</v>
      </c>
      <c r="C22" s="12">
        <v>4.1666666666666664E-2</v>
      </c>
      <c r="D22" s="13">
        <v>0.125</v>
      </c>
      <c r="E22" s="13">
        <v>8.3333333333333329E-2</v>
      </c>
      <c r="F22" s="13">
        <v>1.2083333333333333</v>
      </c>
      <c r="G22" s="13">
        <v>1.2916666666666667</v>
      </c>
      <c r="H22" s="13">
        <v>1.8333333333333335</v>
      </c>
      <c r="I22" s="13">
        <v>0.16666666666666666</v>
      </c>
      <c r="J22" s="13">
        <v>0.83333333333333337</v>
      </c>
      <c r="K22" s="13">
        <v>0.125</v>
      </c>
      <c r="L22" s="13">
        <v>0.29166666666666669</v>
      </c>
      <c r="M22" s="13">
        <v>0.33333333333333331</v>
      </c>
      <c r="N22" s="13">
        <v>1.25</v>
      </c>
      <c r="O22" s="13">
        <v>0.125</v>
      </c>
      <c r="P22" s="13">
        <v>1.5416666666666665</v>
      </c>
      <c r="Q22" s="13">
        <v>1.4166666666666667</v>
      </c>
      <c r="R22" s="13">
        <v>1.9166666666666665</v>
      </c>
      <c r="S22" s="13">
        <v>8.3333333333333329E-2</v>
      </c>
      <c r="T22" s="13">
        <v>0.625</v>
      </c>
      <c r="U22" s="45">
        <f>SUM(C22:T22)</f>
        <v>13.291666666666666</v>
      </c>
      <c r="V22" s="69">
        <v>0.70833333333333337</v>
      </c>
      <c r="W22" s="58">
        <v>0</v>
      </c>
      <c r="X22" s="13">
        <v>0</v>
      </c>
      <c r="Y22" s="13">
        <v>0</v>
      </c>
      <c r="Z22" s="13">
        <v>0</v>
      </c>
      <c r="AA22" s="13">
        <v>2.0833333333333335</v>
      </c>
      <c r="AB22" s="13">
        <v>1.25</v>
      </c>
      <c r="AC22" s="13">
        <v>2.0833333333333335</v>
      </c>
      <c r="AD22" s="14">
        <v>1.0416666666666667</v>
      </c>
      <c r="AE22" s="69">
        <f>SUM(V22:AD22)</f>
        <v>7.166666666666667</v>
      </c>
      <c r="AF22" s="82">
        <v>0</v>
      </c>
      <c r="AG22" s="69"/>
      <c r="AH22" s="69">
        <f t="shared" si="0"/>
        <v>20.458333333333332</v>
      </c>
      <c r="AJ22"/>
    </row>
    <row r="23" spans="1:36" ht="19.5" thickBot="1">
      <c r="A23" s="1" t="s">
        <v>2</v>
      </c>
      <c r="B23" s="5" t="s">
        <v>79</v>
      </c>
      <c r="C23" s="32">
        <v>25</v>
      </c>
      <c r="D23" s="33">
        <v>30</v>
      </c>
      <c r="E23" s="33">
        <v>37</v>
      </c>
      <c r="F23" s="33">
        <v>34</v>
      </c>
      <c r="G23" s="33">
        <v>21</v>
      </c>
      <c r="H23" s="33">
        <v>30</v>
      </c>
      <c r="I23" s="33">
        <v>29</v>
      </c>
      <c r="J23" s="33">
        <v>16</v>
      </c>
      <c r="K23" s="33">
        <v>21</v>
      </c>
      <c r="L23" s="33">
        <v>31</v>
      </c>
      <c r="M23" s="33">
        <v>6</v>
      </c>
      <c r="N23" s="33">
        <v>13</v>
      </c>
      <c r="O23" s="33">
        <v>21</v>
      </c>
      <c r="P23" s="33">
        <v>13</v>
      </c>
      <c r="Q23" s="33">
        <v>11</v>
      </c>
      <c r="R23" s="33">
        <v>9</v>
      </c>
      <c r="S23" s="33">
        <v>2</v>
      </c>
      <c r="T23" s="33">
        <v>0</v>
      </c>
      <c r="U23" s="46">
        <f>SUM(C23:T23)</f>
        <v>349</v>
      </c>
      <c r="V23" s="70">
        <v>37</v>
      </c>
      <c r="W23" s="59">
        <v>38</v>
      </c>
      <c r="X23" s="33">
        <v>20</v>
      </c>
      <c r="Y23" s="33">
        <v>18</v>
      </c>
      <c r="Z23" s="33">
        <v>19</v>
      </c>
      <c r="AA23" s="33">
        <v>5</v>
      </c>
      <c r="AB23" s="33">
        <v>3</v>
      </c>
      <c r="AC23" s="33">
        <v>3</v>
      </c>
      <c r="AD23" s="34">
        <v>3</v>
      </c>
      <c r="AE23" s="70">
        <f>SUM(V23:AD23)</f>
        <v>146</v>
      </c>
      <c r="AF23" s="83">
        <v>39</v>
      </c>
      <c r="AG23" s="70">
        <f>SUM(AF23)</f>
        <v>39</v>
      </c>
      <c r="AH23" s="70">
        <f t="shared" si="0"/>
        <v>534</v>
      </c>
      <c r="AJ23"/>
    </row>
    <row r="24" spans="1:36">
      <c r="A24" s="1" t="s">
        <v>2</v>
      </c>
      <c r="B24" s="21" t="s">
        <v>80</v>
      </c>
      <c r="C24" s="29">
        <v>177000</v>
      </c>
      <c r="D24" s="30">
        <v>187000</v>
      </c>
      <c r="E24" s="30">
        <v>187000</v>
      </c>
      <c r="F24" s="30">
        <v>192000</v>
      </c>
      <c r="G24" s="30">
        <v>182000</v>
      </c>
      <c r="H24" s="30">
        <v>187000</v>
      </c>
      <c r="I24" s="30">
        <v>177000</v>
      </c>
      <c r="J24" s="30">
        <v>177000</v>
      </c>
      <c r="K24" s="30">
        <v>172000</v>
      </c>
      <c r="L24" s="30">
        <v>177000</v>
      </c>
      <c r="M24" s="30">
        <v>177000</v>
      </c>
      <c r="N24" s="30">
        <v>177000</v>
      </c>
      <c r="O24" s="30">
        <v>170000</v>
      </c>
      <c r="P24" s="30">
        <v>177000</v>
      </c>
      <c r="Q24" s="30">
        <v>175000</v>
      </c>
      <c r="R24" s="30">
        <v>175000</v>
      </c>
      <c r="S24" s="30">
        <v>170000</v>
      </c>
      <c r="T24" s="30">
        <v>170000</v>
      </c>
      <c r="U24" s="47">
        <f>SUM(C24:T24)</f>
        <v>3206000</v>
      </c>
      <c r="V24" s="71">
        <v>485000</v>
      </c>
      <c r="W24" s="60">
        <v>280000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1">
        <v>0</v>
      </c>
      <c r="AE24" s="71">
        <f>SUM(V24:AD24)</f>
        <v>765000</v>
      </c>
      <c r="AF24" s="84">
        <v>375000</v>
      </c>
      <c r="AG24" s="71">
        <f>SUM(AF24)</f>
        <v>375000</v>
      </c>
      <c r="AH24" s="71">
        <f t="shared" si="0"/>
        <v>4346000</v>
      </c>
      <c r="AJ24"/>
    </row>
    <row r="25" spans="1:36">
      <c r="A25" s="1" t="s">
        <v>2</v>
      </c>
      <c r="B25" s="4" t="s">
        <v>81</v>
      </c>
      <c r="C25" s="15">
        <v>0</v>
      </c>
      <c r="D25" s="16">
        <v>0</v>
      </c>
      <c r="E25" s="16">
        <v>20000</v>
      </c>
      <c r="F25" s="16">
        <v>5000</v>
      </c>
      <c r="G25" s="16">
        <v>5000</v>
      </c>
      <c r="H25" s="16">
        <v>5000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48">
        <f t="shared" ref="U25:U62" si="4">SUM(C25:T25)</f>
        <v>35000</v>
      </c>
      <c r="V25" s="72">
        <v>0</v>
      </c>
      <c r="W25" s="61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7">
        <v>0</v>
      </c>
      <c r="AE25" s="72">
        <f t="shared" ref="AE25:AE62" si="5">SUM(V25:AD25)</f>
        <v>0</v>
      </c>
      <c r="AF25" s="85">
        <v>0</v>
      </c>
      <c r="AG25" s="72">
        <f t="shared" ref="AG25:AG62" si="6">SUM(AF25)</f>
        <v>0</v>
      </c>
      <c r="AH25" s="72">
        <f t="shared" si="0"/>
        <v>35000</v>
      </c>
      <c r="AJ25"/>
    </row>
    <row r="26" spans="1:36">
      <c r="A26" s="1" t="s">
        <v>2</v>
      </c>
      <c r="B26" s="4" t="s">
        <v>82</v>
      </c>
      <c r="C26" s="15">
        <v>0</v>
      </c>
      <c r="D26" s="16">
        <v>0</v>
      </c>
      <c r="E26" s="16">
        <v>3000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48">
        <f t="shared" si="4"/>
        <v>3000</v>
      </c>
      <c r="V26" s="72">
        <v>0</v>
      </c>
      <c r="W26" s="61">
        <v>3000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7">
        <v>0</v>
      </c>
      <c r="AE26" s="72">
        <f t="shared" si="5"/>
        <v>3000</v>
      </c>
      <c r="AF26" s="85">
        <v>0</v>
      </c>
      <c r="AG26" s="72">
        <f t="shared" si="6"/>
        <v>0</v>
      </c>
      <c r="AH26" s="72">
        <f t="shared" si="0"/>
        <v>6000</v>
      </c>
      <c r="AJ26"/>
    </row>
    <row r="27" spans="1:36">
      <c r="A27" s="1" t="s">
        <v>2</v>
      </c>
      <c r="B27" s="4" t="s">
        <v>83</v>
      </c>
      <c r="C27" s="15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48">
        <f t="shared" si="4"/>
        <v>0</v>
      </c>
      <c r="V27" s="72">
        <v>0</v>
      </c>
      <c r="W27" s="61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7">
        <v>0</v>
      </c>
      <c r="AE27" s="72">
        <f t="shared" si="5"/>
        <v>0</v>
      </c>
      <c r="AF27" s="85">
        <v>0</v>
      </c>
      <c r="AG27" s="72">
        <f t="shared" si="6"/>
        <v>0</v>
      </c>
      <c r="AH27" s="72">
        <f t="shared" si="0"/>
        <v>0</v>
      </c>
      <c r="AJ27"/>
    </row>
    <row r="28" spans="1:36">
      <c r="A28" s="1" t="s">
        <v>2</v>
      </c>
      <c r="B28" s="4" t="s">
        <v>84</v>
      </c>
      <c r="C28" s="15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48">
        <f t="shared" si="4"/>
        <v>0</v>
      </c>
      <c r="V28" s="72">
        <v>0</v>
      </c>
      <c r="W28" s="61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7">
        <v>0</v>
      </c>
      <c r="AE28" s="72">
        <f t="shared" si="5"/>
        <v>0</v>
      </c>
      <c r="AF28" s="85">
        <v>0</v>
      </c>
      <c r="AG28" s="72">
        <f t="shared" si="6"/>
        <v>0</v>
      </c>
      <c r="AH28" s="72">
        <f t="shared" si="0"/>
        <v>0</v>
      </c>
      <c r="AJ28"/>
    </row>
    <row r="29" spans="1:36">
      <c r="A29" s="1" t="s">
        <v>2</v>
      </c>
      <c r="B29" s="4" t="s">
        <v>85</v>
      </c>
      <c r="C29" s="15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48">
        <f t="shared" si="4"/>
        <v>0</v>
      </c>
      <c r="V29" s="72">
        <v>0</v>
      </c>
      <c r="W29" s="61">
        <v>0</v>
      </c>
      <c r="X29" s="16">
        <v>84640</v>
      </c>
      <c r="Y29" s="16">
        <v>81880</v>
      </c>
      <c r="Z29" s="16">
        <v>0</v>
      </c>
      <c r="AA29" s="16">
        <v>59640</v>
      </c>
      <c r="AB29" s="16">
        <v>35280</v>
      </c>
      <c r="AC29" s="16">
        <v>59640</v>
      </c>
      <c r="AD29" s="17">
        <v>62250</v>
      </c>
      <c r="AE29" s="72">
        <f t="shared" si="5"/>
        <v>383330</v>
      </c>
      <c r="AF29" s="85">
        <v>0</v>
      </c>
      <c r="AG29" s="72">
        <f t="shared" si="6"/>
        <v>0</v>
      </c>
      <c r="AH29" s="72">
        <f t="shared" si="0"/>
        <v>383330</v>
      </c>
      <c r="AJ29"/>
    </row>
    <row r="30" spans="1:36">
      <c r="A30" s="1" t="s">
        <v>2</v>
      </c>
      <c r="B30" s="4" t="s">
        <v>86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48">
        <f t="shared" si="4"/>
        <v>0</v>
      </c>
      <c r="V30" s="72">
        <v>0</v>
      </c>
      <c r="W30" s="61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7">
        <v>0</v>
      </c>
      <c r="AE30" s="72">
        <f t="shared" si="5"/>
        <v>0</v>
      </c>
      <c r="AF30" s="85">
        <v>0</v>
      </c>
      <c r="AG30" s="72">
        <f t="shared" si="6"/>
        <v>0</v>
      </c>
      <c r="AH30" s="72">
        <f t="shared" si="0"/>
        <v>0</v>
      </c>
      <c r="AJ30"/>
    </row>
    <row r="31" spans="1:36">
      <c r="A31" s="1" t="s">
        <v>2</v>
      </c>
      <c r="B31" s="4" t="s">
        <v>87</v>
      </c>
      <c r="C31" s="15">
        <v>30000</v>
      </c>
      <c r="D31" s="16">
        <v>29600</v>
      </c>
      <c r="E31" s="16">
        <v>29800</v>
      </c>
      <c r="F31" s="16">
        <v>30800</v>
      </c>
      <c r="G31" s="16">
        <v>0</v>
      </c>
      <c r="H31" s="16">
        <v>29200</v>
      </c>
      <c r="I31" s="16">
        <v>0</v>
      </c>
      <c r="J31" s="16">
        <v>27400</v>
      </c>
      <c r="K31" s="16">
        <v>0</v>
      </c>
      <c r="L31" s="16">
        <v>29400</v>
      </c>
      <c r="M31" s="16">
        <v>27800</v>
      </c>
      <c r="N31" s="16">
        <v>29400</v>
      </c>
      <c r="O31" s="16">
        <v>31200</v>
      </c>
      <c r="P31" s="16">
        <v>28400</v>
      </c>
      <c r="Q31" s="16">
        <v>29200</v>
      </c>
      <c r="R31" s="16">
        <v>27400</v>
      </c>
      <c r="S31" s="16">
        <v>0</v>
      </c>
      <c r="T31" s="16">
        <v>0</v>
      </c>
      <c r="U31" s="48">
        <f t="shared" si="4"/>
        <v>379600</v>
      </c>
      <c r="V31" s="72">
        <v>0</v>
      </c>
      <c r="W31" s="61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7">
        <v>0</v>
      </c>
      <c r="AE31" s="72">
        <f t="shared" si="5"/>
        <v>0</v>
      </c>
      <c r="AF31" s="85">
        <v>0</v>
      </c>
      <c r="AG31" s="72">
        <f t="shared" si="6"/>
        <v>0</v>
      </c>
      <c r="AH31" s="72">
        <f t="shared" si="0"/>
        <v>379600</v>
      </c>
      <c r="AJ31"/>
    </row>
    <row r="32" spans="1:36">
      <c r="A32" s="1" t="s">
        <v>2</v>
      </c>
      <c r="B32" s="4" t="s">
        <v>88</v>
      </c>
      <c r="C32" s="15">
        <v>0</v>
      </c>
      <c r="D32" s="16">
        <v>1000</v>
      </c>
      <c r="E32" s="16">
        <v>1000</v>
      </c>
      <c r="F32" s="16">
        <v>1000</v>
      </c>
      <c r="G32" s="16">
        <v>0</v>
      </c>
      <c r="H32" s="16">
        <v>1000</v>
      </c>
      <c r="I32" s="16">
        <v>0</v>
      </c>
      <c r="J32" s="16">
        <v>1000</v>
      </c>
      <c r="K32" s="16">
        <v>0</v>
      </c>
      <c r="L32" s="16">
        <v>1000</v>
      </c>
      <c r="M32" s="16">
        <v>1000</v>
      </c>
      <c r="N32" s="16">
        <v>1000</v>
      </c>
      <c r="O32" s="16">
        <v>1000</v>
      </c>
      <c r="P32" s="16">
        <v>1000</v>
      </c>
      <c r="Q32" s="16">
        <v>1000</v>
      </c>
      <c r="R32" s="16">
        <v>1000</v>
      </c>
      <c r="S32" s="16">
        <v>0</v>
      </c>
      <c r="T32" s="16">
        <v>0</v>
      </c>
      <c r="U32" s="48">
        <f t="shared" si="4"/>
        <v>12000</v>
      </c>
      <c r="V32" s="72">
        <v>0</v>
      </c>
      <c r="W32" s="61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7">
        <v>0</v>
      </c>
      <c r="AE32" s="72">
        <f t="shared" si="5"/>
        <v>0</v>
      </c>
      <c r="AF32" s="85">
        <v>0</v>
      </c>
      <c r="AG32" s="72">
        <f t="shared" si="6"/>
        <v>0</v>
      </c>
      <c r="AH32" s="72">
        <f t="shared" si="0"/>
        <v>12000</v>
      </c>
      <c r="AJ32"/>
    </row>
    <row r="33" spans="1:36">
      <c r="A33" s="1" t="s">
        <v>2</v>
      </c>
      <c r="B33" s="4" t="s">
        <v>89</v>
      </c>
      <c r="C33" s="15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48">
        <f t="shared" si="4"/>
        <v>0</v>
      </c>
      <c r="V33" s="72">
        <v>0</v>
      </c>
      <c r="W33" s="61">
        <v>0</v>
      </c>
      <c r="X33" s="16">
        <v>0</v>
      </c>
      <c r="Y33" s="16">
        <v>6440</v>
      </c>
      <c r="Z33" s="16">
        <v>3360</v>
      </c>
      <c r="AA33" s="16">
        <v>0</v>
      </c>
      <c r="AB33" s="16">
        <v>0</v>
      </c>
      <c r="AC33" s="16">
        <v>0</v>
      </c>
      <c r="AD33" s="17">
        <v>0</v>
      </c>
      <c r="AE33" s="72">
        <f t="shared" si="5"/>
        <v>9800</v>
      </c>
      <c r="AF33" s="85">
        <v>0</v>
      </c>
      <c r="AG33" s="72">
        <f t="shared" si="6"/>
        <v>0</v>
      </c>
      <c r="AH33" s="72">
        <f t="shared" si="0"/>
        <v>9800</v>
      </c>
      <c r="AJ33"/>
    </row>
    <row r="34" spans="1:36">
      <c r="A34" s="1" t="s">
        <v>2</v>
      </c>
      <c r="B34" s="4" t="s">
        <v>90</v>
      </c>
      <c r="C34" s="15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48">
        <f t="shared" si="4"/>
        <v>0</v>
      </c>
      <c r="V34" s="72">
        <v>0</v>
      </c>
      <c r="W34" s="61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7">
        <v>0</v>
      </c>
      <c r="AE34" s="72">
        <f t="shared" si="5"/>
        <v>0</v>
      </c>
      <c r="AF34" s="85">
        <v>0</v>
      </c>
      <c r="AG34" s="72">
        <f t="shared" si="6"/>
        <v>0</v>
      </c>
      <c r="AH34" s="72">
        <f t="shared" si="0"/>
        <v>0</v>
      </c>
      <c r="AJ34"/>
    </row>
    <row r="35" spans="1:36">
      <c r="A35" s="1" t="s">
        <v>2</v>
      </c>
      <c r="B35" s="4" t="s">
        <v>91</v>
      </c>
      <c r="C35" s="15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48">
        <f t="shared" si="4"/>
        <v>0</v>
      </c>
      <c r="V35" s="72">
        <v>0</v>
      </c>
      <c r="W35" s="61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7">
        <v>0</v>
      </c>
      <c r="AE35" s="72">
        <f t="shared" si="5"/>
        <v>0</v>
      </c>
      <c r="AF35" s="85">
        <v>0</v>
      </c>
      <c r="AG35" s="72">
        <f t="shared" si="6"/>
        <v>0</v>
      </c>
      <c r="AH35" s="72">
        <f t="shared" si="0"/>
        <v>0</v>
      </c>
      <c r="AJ35"/>
    </row>
    <row r="36" spans="1:36">
      <c r="A36" s="1" t="s">
        <v>2</v>
      </c>
      <c r="B36" s="4" t="s">
        <v>92</v>
      </c>
      <c r="C36" s="15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94">
        <v>-76644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94">
        <v>-56117</v>
      </c>
      <c r="U36" s="95">
        <f t="shared" si="4"/>
        <v>-132761</v>
      </c>
      <c r="V36" s="72">
        <v>0</v>
      </c>
      <c r="W36" s="61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7">
        <v>0</v>
      </c>
      <c r="AE36" s="72">
        <f t="shared" si="5"/>
        <v>0</v>
      </c>
      <c r="AF36" s="85">
        <v>0</v>
      </c>
      <c r="AG36" s="72">
        <f t="shared" si="6"/>
        <v>0</v>
      </c>
      <c r="AH36" s="96">
        <f t="shared" si="0"/>
        <v>-132761</v>
      </c>
      <c r="AJ36"/>
    </row>
    <row r="37" spans="1:36">
      <c r="A37" s="1" t="s">
        <v>2</v>
      </c>
      <c r="B37" s="4" t="s">
        <v>70</v>
      </c>
      <c r="C37" s="15">
        <v>38425</v>
      </c>
      <c r="D37" s="16">
        <v>83072</v>
      </c>
      <c r="E37" s="16">
        <v>102635</v>
      </c>
      <c r="F37" s="16">
        <v>77116</v>
      </c>
      <c r="G37" s="16">
        <v>49000</v>
      </c>
      <c r="H37" s="16">
        <v>118490</v>
      </c>
      <c r="I37" s="16">
        <v>71550</v>
      </c>
      <c r="J37" s="16">
        <v>49321</v>
      </c>
      <c r="K37" s="16">
        <v>66976</v>
      </c>
      <c r="L37" s="16">
        <v>79980</v>
      </c>
      <c r="M37" s="16">
        <v>25327</v>
      </c>
      <c r="N37" s="16">
        <v>51987</v>
      </c>
      <c r="O37" s="16">
        <v>44800</v>
      </c>
      <c r="P37" s="16">
        <v>93310</v>
      </c>
      <c r="Q37" s="16">
        <v>94896</v>
      </c>
      <c r="R37" s="16">
        <v>36904</v>
      </c>
      <c r="S37" s="16">
        <v>44555</v>
      </c>
      <c r="T37" s="16">
        <v>24187</v>
      </c>
      <c r="U37" s="48">
        <f t="shared" si="4"/>
        <v>1152531</v>
      </c>
      <c r="V37" s="72">
        <v>0</v>
      </c>
      <c r="W37" s="61">
        <v>59332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7">
        <v>4152</v>
      </c>
      <c r="AE37" s="72">
        <f t="shared" si="5"/>
        <v>63484</v>
      </c>
      <c r="AF37" s="85">
        <v>0</v>
      </c>
      <c r="AG37" s="72">
        <f t="shared" si="6"/>
        <v>0</v>
      </c>
      <c r="AH37" s="72">
        <f t="shared" si="0"/>
        <v>1216015</v>
      </c>
      <c r="AJ37"/>
    </row>
    <row r="38" spans="1:36">
      <c r="A38" s="1" t="s">
        <v>2</v>
      </c>
      <c r="B38" s="4" t="s">
        <v>93</v>
      </c>
      <c r="C38" s="15">
        <v>31482</v>
      </c>
      <c r="D38" s="16">
        <v>33440</v>
      </c>
      <c r="E38" s="16">
        <v>68200</v>
      </c>
      <c r="F38" s="16">
        <v>70444</v>
      </c>
      <c r="G38" s="16">
        <v>33264</v>
      </c>
      <c r="H38" s="16">
        <v>17171</v>
      </c>
      <c r="I38" s="16">
        <v>54378</v>
      </c>
      <c r="J38" s="16">
        <v>30219</v>
      </c>
      <c r="K38" s="16">
        <v>29211</v>
      </c>
      <c r="L38" s="16">
        <v>43170</v>
      </c>
      <c r="M38" s="16">
        <v>33097</v>
      </c>
      <c r="N38" s="16">
        <v>46048</v>
      </c>
      <c r="O38" s="16">
        <v>52516</v>
      </c>
      <c r="P38" s="16">
        <v>31658</v>
      </c>
      <c r="Q38" s="16">
        <v>36998</v>
      </c>
      <c r="R38" s="16">
        <v>52651</v>
      </c>
      <c r="S38" s="16">
        <v>27480</v>
      </c>
      <c r="T38" s="16">
        <v>0</v>
      </c>
      <c r="U38" s="48">
        <f t="shared" si="4"/>
        <v>691427</v>
      </c>
      <c r="V38" s="72">
        <v>0</v>
      </c>
      <c r="W38" s="61">
        <v>52624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7">
        <v>0</v>
      </c>
      <c r="AE38" s="72">
        <f t="shared" si="5"/>
        <v>52624</v>
      </c>
      <c r="AF38" s="85">
        <v>0</v>
      </c>
      <c r="AG38" s="72">
        <f t="shared" si="6"/>
        <v>0</v>
      </c>
      <c r="AH38" s="72">
        <f t="shared" si="0"/>
        <v>744051</v>
      </c>
      <c r="AJ38"/>
    </row>
    <row r="39" spans="1:36">
      <c r="A39" s="1" t="s">
        <v>2</v>
      </c>
      <c r="B39" s="4" t="s">
        <v>94</v>
      </c>
      <c r="C39" s="15">
        <v>27189</v>
      </c>
      <c r="D39" s="16">
        <v>38000</v>
      </c>
      <c r="E39" s="16">
        <v>20460</v>
      </c>
      <c r="F39" s="16">
        <v>48030</v>
      </c>
      <c r="G39" s="16">
        <v>65016</v>
      </c>
      <c r="H39" s="16">
        <v>20293</v>
      </c>
      <c r="I39" s="16">
        <v>24327</v>
      </c>
      <c r="J39" s="16">
        <v>35975</v>
      </c>
      <c r="K39" s="16">
        <v>23647</v>
      </c>
      <c r="L39" s="16">
        <v>37414</v>
      </c>
      <c r="M39" s="16">
        <v>0</v>
      </c>
      <c r="N39" s="16">
        <v>34536</v>
      </c>
      <c r="O39" s="16">
        <v>20730</v>
      </c>
      <c r="P39" s="16">
        <v>46048</v>
      </c>
      <c r="Q39" s="16">
        <v>5692</v>
      </c>
      <c r="R39" s="16">
        <v>14230</v>
      </c>
      <c r="S39" s="16">
        <v>12366</v>
      </c>
      <c r="T39" s="16">
        <v>0</v>
      </c>
      <c r="U39" s="48">
        <f t="shared" si="4"/>
        <v>473953</v>
      </c>
      <c r="V39" s="72">
        <v>0</v>
      </c>
      <c r="W39" s="61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7">
        <v>0</v>
      </c>
      <c r="AE39" s="72">
        <f t="shared" si="5"/>
        <v>0</v>
      </c>
      <c r="AF39" s="85">
        <v>0</v>
      </c>
      <c r="AG39" s="72">
        <f t="shared" si="6"/>
        <v>0</v>
      </c>
      <c r="AH39" s="72">
        <f t="shared" si="0"/>
        <v>473953</v>
      </c>
      <c r="AJ39"/>
    </row>
    <row r="40" spans="1:36">
      <c r="A40" s="1" t="s">
        <v>2</v>
      </c>
      <c r="B40" s="4" t="s">
        <v>95</v>
      </c>
      <c r="C40" s="15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4476</v>
      </c>
      <c r="N40" s="16">
        <v>0</v>
      </c>
      <c r="O40" s="16">
        <v>0</v>
      </c>
      <c r="P40" s="16">
        <v>0</v>
      </c>
      <c r="Q40" s="16">
        <v>0</v>
      </c>
      <c r="R40" s="16">
        <v>4797</v>
      </c>
      <c r="S40" s="16">
        <v>0</v>
      </c>
      <c r="T40" s="16">
        <v>0</v>
      </c>
      <c r="U40" s="48">
        <f t="shared" si="4"/>
        <v>9273</v>
      </c>
      <c r="V40" s="72">
        <v>0</v>
      </c>
      <c r="W40" s="61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7">
        <v>0</v>
      </c>
      <c r="AE40" s="72">
        <f t="shared" si="5"/>
        <v>0</v>
      </c>
      <c r="AF40" s="85">
        <v>0</v>
      </c>
      <c r="AG40" s="72">
        <f t="shared" si="6"/>
        <v>0</v>
      </c>
      <c r="AH40" s="72">
        <f t="shared" si="0"/>
        <v>9273</v>
      </c>
      <c r="AJ40"/>
    </row>
    <row r="41" spans="1:36">
      <c r="A41" s="1" t="s">
        <v>2</v>
      </c>
      <c r="B41" s="4" t="s">
        <v>96</v>
      </c>
      <c r="C41" s="15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2238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48">
        <f t="shared" si="4"/>
        <v>2238</v>
      </c>
      <c r="V41" s="72">
        <v>0</v>
      </c>
      <c r="W41" s="61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7">
        <v>0</v>
      </c>
      <c r="AE41" s="72">
        <f t="shared" si="5"/>
        <v>0</v>
      </c>
      <c r="AF41" s="85">
        <v>0</v>
      </c>
      <c r="AG41" s="72">
        <f t="shared" si="6"/>
        <v>0</v>
      </c>
      <c r="AH41" s="72">
        <f t="shared" si="0"/>
        <v>2238</v>
      </c>
      <c r="AJ41"/>
    </row>
    <row r="42" spans="1:36">
      <c r="A42" s="1" t="s">
        <v>2</v>
      </c>
      <c r="B42" s="4" t="s">
        <v>97</v>
      </c>
      <c r="C42" s="15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48">
        <f t="shared" si="4"/>
        <v>0</v>
      </c>
      <c r="V42" s="72">
        <v>0</v>
      </c>
      <c r="W42" s="61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7">
        <v>0</v>
      </c>
      <c r="AE42" s="72">
        <f t="shared" si="5"/>
        <v>0</v>
      </c>
      <c r="AF42" s="85">
        <v>0</v>
      </c>
      <c r="AG42" s="72">
        <f t="shared" si="6"/>
        <v>0</v>
      </c>
      <c r="AH42" s="72">
        <f t="shared" si="0"/>
        <v>0</v>
      </c>
      <c r="AJ42"/>
    </row>
    <row r="43" spans="1:36">
      <c r="A43" s="1" t="s">
        <v>2</v>
      </c>
      <c r="B43" s="4" t="s">
        <v>75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48">
        <f t="shared" si="4"/>
        <v>0</v>
      </c>
      <c r="V43" s="72">
        <v>0</v>
      </c>
      <c r="W43" s="61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7">
        <v>0</v>
      </c>
      <c r="AE43" s="72">
        <f t="shared" si="5"/>
        <v>0</v>
      </c>
      <c r="AF43" s="85">
        <v>0</v>
      </c>
      <c r="AG43" s="72">
        <f t="shared" si="6"/>
        <v>0</v>
      </c>
      <c r="AH43" s="72">
        <f t="shared" si="0"/>
        <v>0</v>
      </c>
      <c r="AJ43"/>
    </row>
    <row r="44" spans="1:36" ht="19.5" thickBot="1">
      <c r="A44" s="1" t="s">
        <v>2</v>
      </c>
      <c r="B44" s="35" t="s">
        <v>78</v>
      </c>
      <c r="C44" s="36">
        <v>265</v>
      </c>
      <c r="D44" s="37">
        <v>846</v>
      </c>
      <c r="E44" s="37">
        <v>632</v>
      </c>
      <c r="F44" s="37">
        <v>8613</v>
      </c>
      <c r="G44" s="37">
        <v>8680</v>
      </c>
      <c r="H44" s="37">
        <v>12716</v>
      </c>
      <c r="I44" s="37">
        <v>1060</v>
      </c>
      <c r="J44" s="37">
        <v>5340</v>
      </c>
      <c r="K44" s="37">
        <v>774</v>
      </c>
      <c r="L44" s="37">
        <v>1869</v>
      </c>
      <c r="M44" s="37">
        <v>2136</v>
      </c>
      <c r="N44" s="37">
        <v>8010</v>
      </c>
      <c r="O44" s="37">
        <v>768</v>
      </c>
      <c r="P44" s="37">
        <v>9879</v>
      </c>
      <c r="Q44" s="37">
        <v>8976</v>
      </c>
      <c r="R44" s="37">
        <v>12144</v>
      </c>
      <c r="S44" s="37">
        <v>510</v>
      </c>
      <c r="T44" s="37">
        <v>3825</v>
      </c>
      <c r="U44" s="49">
        <f t="shared" si="4"/>
        <v>87043</v>
      </c>
      <c r="V44" s="73">
        <v>12342</v>
      </c>
      <c r="W44" s="62">
        <v>0</v>
      </c>
      <c r="X44" s="37">
        <v>0</v>
      </c>
      <c r="Y44" s="37">
        <v>0</v>
      </c>
      <c r="Z44" s="37">
        <v>0</v>
      </c>
      <c r="AA44" s="37">
        <v>10500</v>
      </c>
      <c r="AB44" s="37">
        <v>6300</v>
      </c>
      <c r="AC44" s="37">
        <v>10500</v>
      </c>
      <c r="AD44" s="38">
        <v>5200</v>
      </c>
      <c r="AE44" s="73">
        <f t="shared" si="5"/>
        <v>44842</v>
      </c>
      <c r="AF44" s="86">
        <v>0</v>
      </c>
      <c r="AG44" s="73">
        <f t="shared" si="6"/>
        <v>0</v>
      </c>
      <c r="AH44" s="73">
        <f t="shared" si="0"/>
        <v>131885</v>
      </c>
      <c r="AJ44"/>
    </row>
    <row r="45" spans="1:36" ht="19.5" thickBot="1">
      <c r="A45" s="1" t="s">
        <v>2</v>
      </c>
      <c r="B45" s="39" t="s">
        <v>98</v>
      </c>
      <c r="C45" s="40">
        <v>304361</v>
      </c>
      <c r="D45" s="41">
        <v>372958</v>
      </c>
      <c r="E45" s="41">
        <v>432727</v>
      </c>
      <c r="F45" s="41">
        <v>433003</v>
      </c>
      <c r="G45" s="41">
        <v>342960</v>
      </c>
      <c r="H45" s="41">
        <v>390870</v>
      </c>
      <c r="I45" s="41">
        <v>328315</v>
      </c>
      <c r="J45" s="41">
        <v>326255</v>
      </c>
      <c r="K45" s="41">
        <v>292608</v>
      </c>
      <c r="L45" s="41">
        <v>369833</v>
      </c>
      <c r="M45" s="41">
        <v>196430</v>
      </c>
      <c r="N45" s="41">
        <v>347981</v>
      </c>
      <c r="O45" s="41">
        <v>321014</v>
      </c>
      <c r="P45" s="41">
        <v>387295</v>
      </c>
      <c r="Q45" s="41">
        <v>351762</v>
      </c>
      <c r="R45" s="41">
        <v>324126</v>
      </c>
      <c r="S45" s="41">
        <v>254911</v>
      </c>
      <c r="T45" s="41">
        <v>141895</v>
      </c>
      <c r="U45" s="50">
        <f t="shared" si="4"/>
        <v>5919304</v>
      </c>
      <c r="V45" s="74">
        <v>497342</v>
      </c>
      <c r="W45" s="63">
        <v>394956</v>
      </c>
      <c r="X45" s="41">
        <v>84640</v>
      </c>
      <c r="Y45" s="41">
        <v>88320</v>
      </c>
      <c r="Z45" s="41">
        <v>3360</v>
      </c>
      <c r="AA45" s="41">
        <v>70140</v>
      </c>
      <c r="AB45" s="41">
        <v>41580</v>
      </c>
      <c r="AC45" s="41">
        <v>70140</v>
      </c>
      <c r="AD45" s="42">
        <v>71602</v>
      </c>
      <c r="AE45" s="74">
        <f t="shared" si="5"/>
        <v>1322080</v>
      </c>
      <c r="AF45" s="87">
        <v>375000</v>
      </c>
      <c r="AG45" s="74">
        <f t="shared" si="6"/>
        <v>375000</v>
      </c>
      <c r="AH45" s="74">
        <f t="shared" si="0"/>
        <v>7616384</v>
      </c>
      <c r="AJ45"/>
    </row>
    <row r="46" spans="1:36" ht="19.5" thickBot="1">
      <c r="A46" s="1" t="s">
        <v>2</v>
      </c>
      <c r="B46" s="21" t="s">
        <v>99</v>
      </c>
      <c r="C46" s="29">
        <v>12077</v>
      </c>
      <c r="D46" s="30">
        <v>3140</v>
      </c>
      <c r="E46" s="30">
        <v>5652</v>
      </c>
      <c r="F46" s="30">
        <v>3140</v>
      </c>
      <c r="G46" s="30">
        <v>14444</v>
      </c>
      <c r="H46" s="30">
        <v>2223</v>
      </c>
      <c r="I46" s="30">
        <v>2319</v>
      </c>
      <c r="J46" s="30">
        <v>1256</v>
      </c>
      <c r="K46" s="30">
        <v>3020</v>
      </c>
      <c r="L46" s="30">
        <v>5024</v>
      </c>
      <c r="M46" s="30">
        <v>3382</v>
      </c>
      <c r="N46" s="30">
        <v>4396</v>
      </c>
      <c r="O46" s="30">
        <v>6957</v>
      </c>
      <c r="P46" s="30">
        <v>3624</v>
      </c>
      <c r="Q46" s="30">
        <v>5797</v>
      </c>
      <c r="R46" s="30">
        <v>9445</v>
      </c>
      <c r="S46" s="30">
        <v>7392</v>
      </c>
      <c r="T46" s="30">
        <v>2368</v>
      </c>
      <c r="U46" s="47">
        <f t="shared" si="4"/>
        <v>95656</v>
      </c>
      <c r="V46" s="71">
        <v>9783</v>
      </c>
      <c r="W46" s="60">
        <v>5435</v>
      </c>
      <c r="X46" s="30">
        <v>2706</v>
      </c>
      <c r="Y46" s="30">
        <v>1812</v>
      </c>
      <c r="Z46" s="30">
        <v>0</v>
      </c>
      <c r="AA46" s="30">
        <v>2899</v>
      </c>
      <c r="AB46" s="30">
        <v>2174</v>
      </c>
      <c r="AC46" s="30">
        <v>3865</v>
      </c>
      <c r="AD46" s="31">
        <v>3140</v>
      </c>
      <c r="AE46" s="71">
        <f t="shared" si="5"/>
        <v>31814</v>
      </c>
      <c r="AF46" s="84">
        <v>7222</v>
      </c>
      <c r="AG46" s="71">
        <f t="shared" si="6"/>
        <v>7222</v>
      </c>
      <c r="AH46" s="71">
        <f t="shared" si="0"/>
        <v>134692</v>
      </c>
      <c r="AJ46"/>
    </row>
    <row r="47" spans="1:36" ht="19.5" thickBot="1">
      <c r="A47" s="1" t="s">
        <v>2</v>
      </c>
      <c r="B47" s="39" t="s">
        <v>100</v>
      </c>
      <c r="C47" s="40">
        <v>12077</v>
      </c>
      <c r="D47" s="41">
        <v>3140</v>
      </c>
      <c r="E47" s="41">
        <v>5652</v>
      </c>
      <c r="F47" s="41">
        <v>3140</v>
      </c>
      <c r="G47" s="41">
        <v>14444</v>
      </c>
      <c r="H47" s="41">
        <v>2223</v>
      </c>
      <c r="I47" s="41">
        <v>2319</v>
      </c>
      <c r="J47" s="41">
        <v>1256</v>
      </c>
      <c r="K47" s="41">
        <v>3020</v>
      </c>
      <c r="L47" s="41">
        <v>5024</v>
      </c>
      <c r="M47" s="41">
        <v>3382</v>
      </c>
      <c r="N47" s="41">
        <v>4396</v>
      </c>
      <c r="O47" s="41">
        <v>6957</v>
      </c>
      <c r="P47" s="41">
        <v>3624</v>
      </c>
      <c r="Q47" s="41">
        <v>5797</v>
      </c>
      <c r="R47" s="41">
        <v>9445</v>
      </c>
      <c r="S47" s="41">
        <v>7392</v>
      </c>
      <c r="T47" s="41">
        <v>2368</v>
      </c>
      <c r="U47" s="50">
        <f t="shared" si="4"/>
        <v>95656</v>
      </c>
      <c r="V47" s="74">
        <v>9783</v>
      </c>
      <c r="W47" s="63">
        <v>5435</v>
      </c>
      <c r="X47" s="41">
        <v>2706</v>
      </c>
      <c r="Y47" s="41">
        <v>1812</v>
      </c>
      <c r="Z47" s="41">
        <v>0</v>
      </c>
      <c r="AA47" s="41">
        <v>2899</v>
      </c>
      <c r="AB47" s="41">
        <v>2174</v>
      </c>
      <c r="AC47" s="41">
        <v>3865</v>
      </c>
      <c r="AD47" s="42">
        <v>3140</v>
      </c>
      <c r="AE47" s="74">
        <f t="shared" si="5"/>
        <v>31814</v>
      </c>
      <c r="AF47" s="87">
        <v>7222</v>
      </c>
      <c r="AG47" s="74">
        <f t="shared" si="6"/>
        <v>7222</v>
      </c>
      <c r="AH47" s="74">
        <f t="shared" si="0"/>
        <v>134692</v>
      </c>
      <c r="AJ47"/>
    </row>
    <row r="48" spans="1:36" ht="19.5" thickBot="1">
      <c r="A48" s="1" t="s">
        <v>2</v>
      </c>
      <c r="B48" s="39" t="s">
        <v>101</v>
      </c>
      <c r="C48" s="40">
        <v>316438</v>
      </c>
      <c r="D48" s="41">
        <v>376098</v>
      </c>
      <c r="E48" s="41">
        <v>438379</v>
      </c>
      <c r="F48" s="41">
        <v>436143</v>
      </c>
      <c r="G48" s="41">
        <v>357404</v>
      </c>
      <c r="H48" s="41">
        <v>393093</v>
      </c>
      <c r="I48" s="41">
        <v>330634</v>
      </c>
      <c r="J48" s="41">
        <v>327511</v>
      </c>
      <c r="K48" s="41">
        <v>295628</v>
      </c>
      <c r="L48" s="41">
        <v>374857</v>
      </c>
      <c r="M48" s="41">
        <v>199812</v>
      </c>
      <c r="N48" s="41">
        <v>352377</v>
      </c>
      <c r="O48" s="41">
        <v>327971</v>
      </c>
      <c r="P48" s="41">
        <v>390919</v>
      </c>
      <c r="Q48" s="41">
        <v>357559</v>
      </c>
      <c r="R48" s="41">
        <v>333571</v>
      </c>
      <c r="S48" s="41">
        <v>262303</v>
      </c>
      <c r="T48" s="41">
        <v>144263</v>
      </c>
      <c r="U48" s="50">
        <f t="shared" si="4"/>
        <v>6014960</v>
      </c>
      <c r="V48" s="74">
        <v>507125</v>
      </c>
      <c r="W48" s="63">
        <v>400391</v>
      </c>
      <c r="X48" s="41">
        <v>87346</v>
      </c>
      <c r="Y48" s="41">
        <v>90132</v>
      </c>
      <c r="Z48" s="41">
        <v>3360</v>
      </c>
      <c r="AA48" s="41">
        <v>73039</v>
      </c>
      <c r="AB48" s="41">
        <v>43754</v>
      </c>
      <c r="AC48" s="41">
        <v>74005</v>
      </c>
      <c r="AD48" s="42">
        <v>74742</v>
      </c>
      <c r="AE48" s="74">
        <f t="shared" si="5"/>
        <v>1353894</v>
      </c>
      <c r="AF48" s="87">
        <v>382222</v>
      </c>
      <c r="AG48" s="74">
        <f t="shared" si="6"/>
        <v>382222</v>
      </c>
      <c r="AH48" s="74">
        <f t="shared" si="0"/>
        <v>7751076</v>
      </c>
      <c r="AJ48"/>
    </row>
    <row r="49" spans="1:36">
      <c r="A49" s="1" t="s">
        <v>2</v>
      </c>
      <c r="B49" s="21" t="s">
        <v>102</v>
      </c>
      <c r="C49" s="29">
        <v>16320</v>
      </c>
      <c r="D49" s="30">
        <v>16320</v>
      </c>
      <c r="E49" s="30">
        <v>19380</v>
      </c>
      <c r="F49" s="30">
        <v>20910</v>
      </c>
      <c r="G49" s="30">
        <v>19380</v>
      </c>
      <c r="H49" s="30">
        <v>20910</v>
      </c>
      <c r="I49" s="30">
        <v>16320</v>
      </c>
      <c r="J49" s="30">
        <v>15300</v>
      </c>
      <c r="K49" s="30">
        <v>16320</v>
      </c>
      <c r="L49" s="30">
        <v>17340</v>
      </c>
      <c r="M49" s="30">
        <v>16320</v>
      </c>
      <c r="N49" s="30">
        <v>17340</v>
      </c>
      <c r="O49" s="30">
        <v>15300</v>
      </c>
      <c r="P49" s="30">
        <v>15300</v>
      </c>
      <c r="Q49" s="30">
        <v>17340</v>
      </c>
      <c r="R49" s="30">
        <v>15300</v>
      </c>
      <c r="S49" s="30">
        <v>13260</v>
      </c>
      <c r="T49" s="30">
        <v>0</v>
      </c>
      <c r="U49" s="47">
        <f t="shared" si="4"/>
        <v>288660</v>
      </c>
      <c r="V49" s="71">
        <v>23970</v>
      </c>
      <c r="W49" s="60">
        <v>19380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1">
        <v>0</v>
      </c>
      <c r="AE49" s="71">
        <f t="shared" si="5"/>
        <v>43350</v>
      </c>
      <c r="AF49" s="84">
        <v>19380</v>
      </c>
      <c r="AG49" s="71">
        <f t="shared" si="6"/>
        <v>19380</v>
      </c>
      <c r="AH49" s="71">
        <f t="shared" si="0"/>
        <v>351390</v>
      </c>
      <c r="AJ49"/>
    </row>
    <row r="50" spans="1:36">
      <c r="A50" s="1" t="s">
        <v>2</v>
      </c>
      <c r="B50" s="4" t="s">
        <v>103</v>
      </c>
      <c r="C50" s="15">
        <v>2880</v>
      </c>
      <c r="D50" s="16">
        <v>2880</v>
      </c>
      <c r="E50" s="16">
        <v>3420</v>
      </c>
      <c r="F50" s="16">
        <v>3690</v>
      </c>
      <c r="G50" s="16">
        <v>3420</v>
      </c>
      <c r="H50" s="16">
        <v>3690</v>
      </c>
      <c r="I50" s="16">
        <v>2880</v>
      </c>
      <c r="J50" s="16">
        <v>2700</v>
      </c>
      <c r="K50" s="16">
        <v>2880</v>
      </c>
      <c r="L50" s="16">
        <v>3060</v>
      </c>
      <c r="M50" s="16">
        <v>2880</v>
      </c>
      <c r="N50" s="16">
        <v>0</v>
      </c>
      <c r="O50" s="16">
        <v>2700</v>
      </c>
      <c r="P50" s="16">
        <v>2700</v>
      </c>
      <c r="Q50" s="16">
        <v>3060</v>
      </c>
      <c r="R50" s="16">
        <v>2700</v>
      </c>
      <c r="S50" s="16">
        <v>2340</v>
      </c>
      <c r="T50" s="16">
        <v>0</v>
      </c>
      <c r="U50" s="48">
        <f t="shared" si="4"/>
        <v>47880</v>
      </c>
      <c r="V50" s="72">
        <v>0</v>
      </c>
      <c r="W50" s="61">
        <v>3420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7">
        <v>0</v>
      </c>
      <c r="AE50" s="72">
        <f t="shared" si="5"/>
        <v>3420</v>
      </c>
      <c r="AF50" s="85">
        <v>3420</v>
      </c>
      <c r="AG50" s="72">
        <f t="shared" si="6"/>
        <v>3420</v>
      </c>
      <c r="AH50" s="72">
        <f t="shared" si="0"/>
        <v>54720</v>
      </c>
      <c r="AJ50"/>
    </row>
    <row r="51" spans="1:36">
      <c r="A51" s="1" t="s">
        <v>2</v>
      </c>
      <c r="B51" s="4" t="s">
        <v>104</v>
      </c>
      <c r="C51" s="15">
        <v>29280</v>
      </c>
      <c r="D51" s="16">
        <v>29280</v>
      </c>
      <c r="E51" s="16">
        <v>34770</v>
      </c>
      <c r="F51" s="16">
        <v>37515</v>
      </c>
      <c r="G51" s="16">
        <v>34770</v>
      </c>
      <c r="H51" s="16">
        <v>37515</v>
      </c>
      <c r="I51" s="16">
        <v>29280</v>
      </c>
      <c r="J51" s="16">
        <v>27450</v>
      </c>
      <c r="K51" s="16">
        <v>29280</v>
      </c>
      <c r="L51" s="16">
        <v>31110</v>
      </c>
      <c r="M51" s="16">
        <v>29280</v>
      </c>
      <c r="N51" s="16">
        <v>31110</v>
      </c>
      <c r="O51" s="16">
        <v>27450</v>
      </c>
      <c r="P51" s="16">
        <v>27450</v>
      </c>
      <c r="Q51" s="16">
        <v>31110</v>
      </c>
      <c r="R51" s="16">
        <v>27450</v>
      </c>
      <c r="S51" s="16">
        <v>23790</v>
      </c>
      <c r="T51" s="16">
        <v>0</v>
      </c>
      <c r="U51" s="48">
        <f t="shared" si="4"/>
        <v>517890</v>
      </c>
      <c r="V51" s="72">
        <v>43005</v>
      </c>
      <c r="W51" s="61">
        <v>34770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7">
        <v>0</v>
      </c>
      <c r="AE51" s="72">
        <f t="shared" si="5"/>
        <v>77775</v>
      </c>
      <c r="AF51" s="85">
        <v>34770</v>
      </c>
      <c r="AG51" s="72">
        <f t="shared" si="6"/>
        <v>34770</v>
      </c>
      <c r="AH51" s="72">
        <f t="shared" si="0"/>
        <v>630435</v>
      </c>
      <c r="AJ51"/>
    </row>
    <row r="52" spans="1:36" ht="19.5" thickBot="1">
      <c r="A52" s="1" t="s">
        <v>2</v>
      </c>
      <c r="B52" s="4" t="s">
        <v>105</v>
      </c>
      <c r="C52" s="15">
        <v>949</v>
      </c>
      <c r="D52" s="16">
        <v>1128</v>
      </c>
      <c r="E52" s="16">
        <v>1315</v>
      </c>
      <c r="F52" s="16">
        <v>1308</v>
      </c>
      <c r="G52" s="16">
        <v>1072</v>
      </c>
      <c r="H52" s="16">
        <v>1179</v>
      </c>
      <c r="I52" s="16">
        <v>992</v>
      </c>
      <c r="J52" s="16">
        <v>983</v>
      </c>
      <c r="K52" s="16">
        <v>887</v>
      </c>
      <c r="L52" s="16">
        <v>1125</v>
      </c>
      <c r="M52" s="16">
        <v>599</v>
      </c>
      <c r="N52" s="16">
        <v>1057</v>
      </c>
      <c r="O52" s="16">
        <v>984</v>
      </c>
      <c r="P52" s="16">
        <v>1173</v>
      </c>
      <c r="Q52" s="16">
        <v>1073</v>
      </c>
      <c r="R52" s="16">
        <v>1001</v>
      </c>
      <c r="S52" s="16">
        <v>787</v>
      </c>
      <c r="T52" s="16">
        <v>433</v>
      </c>
      <c r="U52" s="48">
        <f t="shared" si="4"/>
        <v>18045</v>
      </c>
      <c r="V52" s="72">
        <v>1521</v>
      </c>
      <c r="W52" s="61">
        <v>1201</v>
      </c>
      <c r="X52" s="16">
        <v>262</v>
      </c>
      <c r="Y52" s="16">
        <v>270</v>
      </c>
      <c r="Z52" s="16">
        <v>0</v>
      </c>
      <c r="AA52" s="16">
        <v>0</v>
      </c>
      <c r="AB52" s="16">
        <v>0</v>
      </c>
      <c r="AC52" s="16">
        <v>0</v>
      </c>
      <c r="AD52" s="17">
        <v>0</v>
      </c>
      <c r="AE52" s="72">
        <f t="shared" si="5"/>
        <v>3254</v>
      </c>
      <c r="AF52" s="85">
        <v>1147</v>
      </c>
      <c r="AG52" s="72">
        <f t="shared" si="6"/>
        <v>1147</v>
      </c>
      <c r="AH52" s="72">
        <f t="shared" si="0"/>
        <v>22446</v>
      </c>
      <c r="AJ52"/>
    </row>
    <row r="53" spans="1:36" ht="19.5" thickBot="1">
      <c r="A53" s="1" t="s">
        <v>2</v>
      </c>
      <c r="B53" s="39" t="s">
        <v>106</v>
      </c>
      <c r="C53" s="40">
        <v>49429</v>
      </c>
      <c r="D53" s="41">
        <v>49608</v>
      </c>
      <c r="E53" s="41">
        <v>58885</v>
      </c>
      <c r="F53" s="41">
        <v>63423</v>
      </c>
      <c r="G53" s="41">
        <v>58642</v>
      </c>
      <c r="H53" s="41">
        <v>63294</v>
      </c>
      <c r="I53" s="41">
        <v>49472</v>
      </c>
      <c r="J53" s="41">
        <v>46433</v>
      </c>
      <c r="K53" s="41">
        <v>49367</v>
      </c>
      <c r="L53" s="41">
        <v>52635</v>
      </c>
      <c r="M53" s="41">
        <v>49079</v>
      </c>
      <c r="N53" s="41">
        <v>49507</v>
      </c>
      <c r="O53" s="41">
        <v>46434</v>
      </c>
      <c r="P53" s="41">
        <v>46623</v>
      </c>
      <c r="Q53" s="41">
        <v>52583</v>
      </c>
      <c r="R53" s="41">
        <v>46451</v>
      </c>
      <c r="S53" s="41">
        <v>40177</v>
      </c>
      <c r="T53" s="41">
        <v>433</v>
      </c>
      <c r="U53" s="50">
        <f t="shared" si="4"/>
        <v>872475</v>
      </c>
      <c r="V53" s="74">
        <v>68496</v>
      </c>
      <c r="W53" s="63">
        <v>58771</v>
      </c>
      <c r="X53" s="41">
        <v>262</v>
      </c>
      <c r="Y53" s="41">
        <v>270</v>
      </c>
      <c r="Z53" s="41">
        <v>0</v>
      </c>
      <c r="AA53" s="41">
        <v>0</v>
      </c>
      <c r="AB53" s="41">
        <v>0</v>
      </c>
      <c r="AC53" s="41">
        <v>0</v>
      </c>
      <c r="AD53" s="42">
        <v>0</v>
      </c>
      <c r="AE53" s="74">
        <f t="shared" si="5"/>
        <v>127799</v>
      </c>
      <c r="AF53" s="87">
        <v>58717</v>
      </c>
      <c r="AG53" s="74">
        <f t="shared" si="6"/>
        <v>58717</v>
      </c>
      <c r="AH53" s="74">
        <f t="shared" si="0"/>
        <v>1058991</v>
      </c>
      <c r="AJ53"/>
    </row>
    <row r="54" spans="1:36">
      <c r="A54" s="1" t="s">
        <v>2</v>
      </c>
      <c r="B54" s="21" t="s">
        <v>107</v>
      </c>
      <c r="C54" s="29">
        <v>5110</v>
      </c>
      <c r="D54" s="30">
        <v>10290</v>
      </c>
      <c r="E54" s="30">
        <v>11180</v>
      </c>
      <c r="F54" s="30">
        <v>14060</v>
      </c>
      <c r="G54" s="30">
        <v>6160</v>
      </c>
      <c r="H54" s="30">
        <v>10630</v>
      </c>
      <c r="I54" s="30">
        <v>7580</v>
      </c>
      <c r="J54" s="30">
        <v>6000</v>
      </c>
      <c r="K54" s="30">
        <v>6310</v>
      </c>
      <c r="L54" s="30">
        <v>9780</v>
      </c>
      <c r="M54" s="30">
        <v>2900</v>
      </c>
      <c r="N54" s="30">
        <v>8280</v>
      </c>
      <c r="O54" s="30">
        <v>7430</v>
      </c>
      <c r="P54" s="30">
        <v>11700</v>
      </c>
      <c r="Q54" s="30">
        <v>3460</v>
      </c>
      <c r="R54" s="30">
        <v>7540</v>
      </c>
      <c r="S54" s="30">
        <v>5290</v>
      </c>
      <c r="T54" s="30">
        <v>2720</v>
      </c>
      <c r="U54" s="47">
        <f t="shared" si="4"/>
        <v>136420</v>
      </c>
      <c r="V54" s="71">
        <v>18900</v>
      </c>
      <c r="W54" s="60">
        <v>8200</v>
      </c>
      <c r="X54" s="30">
        <v>0</v>
      </c>
      <c r="Y54" s="30">
        <v>110</v>
      </c>
      <c r="Z54" s="30">
        <v>0</v>
      </c>
      <c r="AA54" s="30">
        <v>0</v>
      </c>
      <c r="AB54" s="30">
        <v>0</v>
      </c>
      <c r="AC54" s="30">
        <v>0</v>
      </c>
      <c r="AD54" s="31">
        <v>0</v>
      </c>
      <c r="AE54" s="71">
        <f t="shared" si="5"/>
        <v>27210</v>
      </c>
      <c r="AF54" s="84">
        <v>9710</v>
      </c>
      <c r="AG54" s="71">
        <f t="shared" si="6"/>
        <v>9710</v>
      </c>
      <c r="AH54" s="71">
        <f t="shared" si="0"/>
        <v>173340</v>
      </c>
      <c r="AJ54"/>
    </row>
    <row r="55" spans="1:36">
      <c r="A55" s="1" t="s">
        <v>2</v>
      </c>
      <c r="B55" s="4" t="s">
        <v>108</v>
      </c>
      <c r="C55" s="15">
        <v>1300</v>
      </c>
      <c r="D55" s="16">
        <v>1300</v>
      </c>
      <c r="E55" s="16">
        <v>1300</v>
      </c>
      <c r="F55" s="16">
        <v>0</v>
      </c>
      <c r="G55" s="16">
        <v>1300</v>
      </c>
      <c r="H55" s="16">
        <v>1300</v>
      </c>
      <c r="I55" s="16">
        <v>1300</v>
      </c>
      <c r="J55" s="16">
        <v>1300</v>
      </c>
      <c r="K55" s="16">
        <v>1300</v>
      </c>
      <c r="L55" s="16">
        <v>1300</v>
      </c>
      <c r="M55" s="16">
        <v>0</v>
      </c>
      <c r="N55" s="16">
        <v>0</v>
      </c>
      <c r="O55" s="16">
        <v>1300</v>
      </c>
      <c r="P55" s="16">
        <v>1300</v>
      </c>
      <c r="Q55" s="16">
        <v>1300</v>
      </c>
      <c r="R55" s="16">
        <v>0</v>
      </c>
      <c r="S55" s="16">
        <v>0</v>
      </c>
      <c r="T55" s="16">
        <v>0</v>
      </c>
      <c r="U55" s="48">
        <f t="shared" si="4"/>
        <v>15600</v>
      </c>
      <c r="V55" s="72">
        <v>0</v>
      </c>
      <c r="W55" s="61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7">
        <v>0</v>
      </c>
      <c r="AE55" s="72">
        <f t="shared" si="5"/>
        <v>0</v>
      </c>
      <c r="AF55" s="85">
        <v>0</v>
      </c>
      <c r="AG55" s="72">
        <f t="shared" si="6"/>
        <v>0</v>
      </c>
      <c r="AH55" s="72">
        <f t="shared" si="0"/>
        <v>15600</v>
      </c>
      <c r="AJ55"/>
    </row>
    <row r="56" spans="1:36">
      <c r="A56" s="1" t="s">
        <v>2</v>
      </c>
      <c r="B56" s="4" t="s">
        <v>109</v>
      </c>
      <c r="C56" s="15">
        <v>8600</v>
      </c>
      <c r="D56" s="16">
        <v>14600</v>
      </c>
      <c r="E56" s="16">
        <v>13800</v>
      </c>
      <c r="F56" s="16">
        <v>16700</v>
      </c>
      <c r="G56" s="16">
        <v>15200</v>
      </c>
      <c r="H56" s="16">
        <v>17700</v>
      </c>
      <c r="I56" s="16">
        <v>13500</v>
      </c>
      <c r="J56" s="16">
        <v>9200</v>
      </c>
      <c r="K56" s="16">
        <v>13000</v>
      </c>
      <c r="L56" s="16">
        <v>13800</v>
      </c>
      <c r="M56" s="16">
        <v>10500</v>
      </c>
      <c r="N56" s="16">
        <v>13500</v>
      </c>
      <c r="O56" s="16">
        <v>12100</v>
      </c>
      <c r="P56" s="16">
        <v>14200</v>
      </c>
      <c r="Q56" s="16">
        <v>5600</v>
      </c>
      <c r="R56" s="16">
        <v>0</v>
      </c>
      <c r="S56" s="16">
        <v>0</v>
      </c>
      <c r="T56" s="16">
        <v>0</v>
      </c>
      <c r="U56" s="48">
        <f t="shared" si="4"/>
        <v>192000</v>
      </c>
      <c r="V56" s="72">
        <v>35200</v>
      </c>
      <c r="W56" s="61">
        <v>14500</v>
      </c>
      <c r="X56" s="16">
        <v>600</v>
      </c>
      <c r="Y56" s="16">
        <v>500</v>
      </c>
      <c r="Z56" s="16">
        <v>900</v>
      </c>
      <c r="AA56" s="16">
        <v>0</v>
      </c>
      <c r="AB56" s="16">
        <v>4100</v>
      </c>
      <c r="AC56" s="16">
        <v>0</v>
      </c>
      <c r="AD56" s="17">
        <v>0</v>
      </c>
      <c r="AE56" s="72">
        <f t="shared" si="5"/>
        <v>55800</v>
      </c>
      <c r="AF56" s="85">
        <v>16100</v>
      </c>
      <c r="AG56" s="72">
        <f t="shared" si="6"/>
        <v>16100</v>
      </c>
      <c r="AH56" s="72">
        <f t="shared" si="0"/>
        <v>263900</v>
      </c>
      <c r="AJ56"/>
    </row>
    <row r="57" spans="1:36" ht="19.5" thickBot="1">
      <c r="A57" s="1" t="s">
        <v>2</v>
      </c>
      <c r="B57" s="4" t="s">
        <v>110</v>
      </c>
      <c r="C57" s="15">
        <v>30000</v>
      </c>
      <c r="D57" s="16">
        <v>29600</v>
      </c>
      <c r="E57" s="16">
        <v>29800</v>
      </c>
      <c r="F57" s="16">
        <v>40800</v>
      </c>
      <c r="G57" s="16">
        <v>0</v>
      </c>
      <c r="H57" s="16">
        <v>29200</v>
      </c>
      <c r="I57" s="16">
        <v>0</v>
      </c>
      <c r="J57" s="16">
        <v>27400</v>
      </c>
      <c r="K57" s="16">
        <v>0</v>
      </c>
      <c r="L57" s="16">
        <v>29400</v>
      </c>
      <c r="M57" s="16">
        <v>27800</v>
      </c>
      <c r="N57" s="16">
        <v>29400</v>
      </c>
      <c r="O57" s="16">
        <v>31200</v>
      </c>
      <c r="P57" s="16">
        <v>28400</v>
      </c>
      <c r="Q57" s="16">
        <v>29200</v>
      </c>
      <c r="R57" s="16">
        <v>27400</v>
      </c>
      <c r="S57" s="16">
        <v>0</v>
      </c>
      <c r="T57" s="16">
        <v>0</v>
      </c>
      <c r="U57" s="48">
        <f t="shared" si="4"/>
        <v>389600</v>
      </c>
      <c r="V57" s="72">
        <v>0</v>
      </c>
      <c r="W57" s="61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7">
        <v>0</v>
      </c>
      <c r="AE57" s="72">
        <f t="shared" si="5"/>
        <v>0</v>
      </c>
      <c r="AF57" s="85">
        <v>0</v>
      </c>
      <c r="AG57" s="72">
        <f t="shared" si="6"/>
        <v>0</v>
      </c>
      <c r="AH57" s="72">
        <f t="shared" si="0"/>
        <v>389600</v>
      </c>
      <c r="AJ57"/>
    </row>
    <row r="58" spans="1:36" ht="19.5" thickBot="1">
      <c r="A58" s="1" t="s">
        <v>2</v>
      </c>
      <c r="B58" s="39" t="s">
        <v>111</v>
      </c>
      <c r="C58" s="40">
        <v>94439</v>
      </c>
      <c r="D58" s="41">
        <v>105398</v>
      </c>
      <c r="E58" s="41">
        <v>114965</v>
      </c>
      <c r="F58" s="41">
        <v>134983</v>
      </c>
      <c r="G58" s="41">
        <v>81302</v>
      </c>
      <c r="H58" s="41">
        <v>122124</v>
      </c>
      <c r="I58" s="41">
        <v>71852</v>
      </c>
      <c r="J58" s="41">
        <v>90333</v>
      </c>
      <c r="K58" s="41">
        <v>69977</v>
      </c>
      <c r="L58" s="41">
        <v>106915</v>
      </c>
      <c r="M58" s="41">
        <v>90279</v>
      </c>
      <c r="N58" s="41">
        <v>100687</v>
      </c>
      <c r="O58" s="41">
        <v>98464</v>
      </c>
      <c r="P58" s="41">
        <v>102223</v>
      </c>
      <c r="Q58" s="41">
        <v>92143</v>
      </c>
      <c r="R58" s="41">
        <v>81391</v>
      </c>
      <c r="S58" s="41">
        <v>45467</v>
      </c>
      <c r="T58" s="41">
        <v>3153</v>
      </c>
      <c r="U58" s="50">
        <f t="shared" si="4"/>
        <v>1606095</v>
      </c>
      <c r="V58" s="74">
        <v>122596</v>
      </c>
      <c r="W58" s="63">
        <v>81471</v>
      </c>
      <c r="X58" s="41">
        <v>862</v>
      </c>
      <c r="Y58" s="41">
        <v>880</v>
      </c>
      <c r="Z58" s="41">
        <v>900</v>
      </c>
      <c r="AA58" s="41">
        <v>0</v>
      </c>
      <c r="AB58" s="41">
        <v>4100</v>
      </c>
      <c r="AC58" s="41">
        <v>0</v>
      </c>
      <c r="AD58" s="42">
        <v>0</v>
      </c>
      <c r="AE58" s="74">
        <f t="shared" si="5"/>
        <v>210809</v>
      </c>
      <c r="AF58" s="87">
        <v>84527</v>
      </c>
      <c r="AG58" s="74">
        <f t="shared" si="6"/>
        <v>84527</v>
      </c>
      <c r="AH58" s="74">
        <f t="shared" si="0"/>
        <v>1901431</v>
      </c>
      <c r="AJ58"/>
    </row>
    <row r="59" spans="1:36" ht="19.5" thickBot="1">
      <c r="A59" s="1" t="s">
        <v>2</v>
      </c>
      <c r="B59" s="39" t="s">
        <v>112</v>
      </c>
      <c r="C59" s="40">
        <v>254932</v>
      </c>
      <c r="D59" s="41">
        <v>323350</v>
      </c>
      <c r="E59" s="41">
        <v>373842</v>
      </c>
      <c r="F59" s="41">
        <v>369580</v>
      </c>
      <c r="G59" s="41">
        <v>284318</v>
      </c>
      <c r="H59" s="41">
        <v>327576</v>
      </c>
      <c r="I59" s="41">
        <v>278843</v>
      </c>
      <c r="J59" s="41">
        <v>279822</v>
      </c>
      <c r="K59" s="41">
        <v>243241</v>
      </c>
      <c r="L59" s="41">
        <v>317198</v>
      </c>
      <c r="M59" s="41">
        <v>147351</v>
      </c>
      <c r="N59" s="41">
        <v>298474</v>
      </c>
      <c r="O59" s="41">
        <v>274580</v>
      </c>
      <c r="P59" s="41">
        <v>340672</v>
      </c>
      <c r="Q59" s="41">
        <v>299179</v>
      </c>
      <c r="R59" s="41">
        <v>277675</v>
      </c>
      <c r="S59" s="41">
        <v>214734</v>
      </c>
      <c r="T59" s="41">
        <v>141462</v>
      </c>
      <c r="U59" s="50">
        <f t="shared" si="4"/>
        <v>5046829</v>
      </c>
      <c r="V59" s="74">
        <v>428846</v>
      </c>
      <c r="W59" s="63">
        <v>336185</v>
      </c>
      <c r="X59" s="41">
        <v>84378</v>
      </c>
      <c r="Y59" s="41">
        <v>88050</v>
      </c>
      <c r="Z59" s="41">
        <v>3360</v>
      </c>
      <c r="AA59" s="41">
        <v>70140</v>
      </c>
      <c r="AB59" s="41">
        <v>41580</v>
      </c>
      <c r="AC59" s="41">
        <v>70140</v>
      </c>
      <c r="AD59" s="42">
        <v>71602</v>
      </c>
      <c r="AE59" s="74">
        <f t="shared" si="5"/>
        <v>1194281</v>
      </c>
      <c r="AF59" s="87">
        <v>316283</v>
      </c>
      <c r="AG59" s="74">
        <f t="shared" si="6"/>
        <v>316283</v>
      </c>
      <c r="AH59" s="74">
        <f t="shared" si="0"/>
        <v>6557393</v>
      </c>
      <c r="AJ59"/>
    </row>
    <row r="60" spans="1:36" ht="19.5" thickBot="1">
      <c r="A60" s="1" t="s">
        <v>2</v>
      </c>
      <c r="B60" s="39" t="s">
        <v>113</v>
      </c>
      <c r="C60" s="40">
        <v>221999</v>
      </c>
      <c r="D60" s="41">
        <v>270700</v>
      </c>
      <c r="E60" s="41">
        <v>323414</v>
      </c>
      <c r="F60" s="41">
        <v>301160</v>
      </c>
      <c r="G60" s="41">
        <v>276102</v>
      </c>
      <c r="H60" s="41">
        <v>270969</v>
      </c>
      <c r="I60" s="41">
        <v>258782</v>
      </c>
      <c r="J60" s="41">
        <v>237178</v>
      </c>
      <c r="K60" s="41">
        <v>225651</v>
      </c>
      <c r="L60" s="41">
        <v>267942</v>
      </c>
      <c r="M60" s="41">
        <v>109533</v>
      </c>
      <c r="N60" s="41">
        <v>251690</v>
      </c>
      <c r="O60" s="41">
        <v>229507</v>
      </c>
      <c r="P60" s="41">
        <v>288696</v>
      </c>
      <c r="Q60" s="41">
        <v>265416</v>
      </c>
      <c r="R60" s="41">
        <v>252180</v>
      </c>
      <c r="S60" s="41">
        <v>216836</v>
      </c>
      <c r="T60" s="41">
        <v>141110</v>
      </c>
      <c r="U60" s="50">
        <f t="shared" si="4"/>
        <v>4408865</v>
      </c>
      <c r="V60" s="74">
        <v>384529</v>
      </c>
      <c r="W60" s="63">
        <v>318920</v>
      </c>
      <c r="X60" s="41">
        <v>86484</v>
      </c>
      <c r="Y60" s="41">
        <v>89252</v>
      </c>
      <c r="Z60" s="41">
        <v>2460</v>
      </c>
      <c r="AA60" s="41">
        <v>73039</v>
      </c>
      <c r="AB60" s="41">
        <v>39654</v>
      </c>
      <c r="AC60" s="41">
        <v>74005</v>
      </c>
      <c r="AD60" s="42">
        <v>74742</v>
      </c>
      <c r="AE60" s="74">
        <f t="shared" si="5"/>
        <v>1143085</v>
      </c>
      <c r="AF60" s="87">
        <v>297695</v>
      </c>
      <c r="AG60" s="74">
        <f t="shared" si="6"/>
        <v>297695</v>
      </c>
      <c r="AH60" s="74">
        <f t="shared" si="0"/>
        <v>5849645</v>
      </c>
      <c r="AJ60"/>
    </row>
    <row r="61" spans="1:36">
      <c r="A61" s="1" t="s">
        <v>2</v>
      </c>
      <c r="B61" s="21" t="s">
        <v>114</v>
      </c>
      <c r="C61" s="29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47">
        <f t="shared" si="4"/>
        <v>0</v>
      </c>
      <c r="V61" s="71">
        <v>0</v>
      </c>
      <c r="W61" s="6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1">
        <v>0</v>
      </c>
      <c r="AE61" s="71">
        <f t="shared" si="5"/>
        <v>0</v>
      </c>
      <c r="AF61" s="84">
        <v>0</v>
      </c>
      <c r="AG61" s="71">
        <f t="shared" si="6"/>
        <v>0</v>
      </c>
      <c r="AH61" s="71">
        <f t="shared" si="0"/>
        <v>0</v>
      </c>
      <c r="AJ61"/>
    </row>
    <row r="62" spans="1:36">
      <c r="A62" s="1" t="s">
        <v>2</v>
      </c>
      <c r="B62" s="4" t="s">
        <v>115</v>
      </c>
      <c r="C62" s="15">
        <v>221999</v>
      </c>
      <c r="D62" s="16">
        <v>270700</v>
      </c>
      <c r="E62" s="16">
        <v>323414</v>
      </c>
      <c r="F62" s="16">
        <v>301160</v>
      </c>
      <c r="G62" s="16">
        <v>276102</v>
      </c>
      <c r="H62" s="16">
        <v>270969</v>
      </c>
      <c r="I62" s="16">
        <v>258782</v>
      </c>
      <c r="J62" s="16">
        <v>237178</v>
      </c>
      <c r="K62" s="16">
        <v>225651</v>
      </c>
      <c r="L62" s="16">
        <v>267942</v>
      </c>
      <c r="M62" s="16">
        <v>109533</v>
      </c>
      <c r="N62" s="16">
        <v>251690</v>
      </c>
      <c r="O62" s="16">
        <v>229507</v>
      </c>
      <c r="P62" s="16">
        <v>288696</v>
      </c>
      <c r="Q62" s="16">
        <v>265416</v>
      </c>
      <c r="R62" s="16">
        <v>252180</v>
      </c>
      <c r="S62" s="16">
        <v>216836</v>
      </c>
      <c r="T62" s="16">
        <v>141110</v>
      </c>
      <c r="U62" s="48">
        <f t="shared" si="4"/>
        <v>4408865</v>
      </c>
      <c r="V62" s="72">
        <v>384529</v>
      </c>
      <c r="W62" s="61">
        <v>318920</v>
      </c>
      <c r="X62" s="16">
        <v>86484</v>
      </c>
      <c r="Y62" s="16">
        <v>89252</v>
      </c>
      <c r="Z62" s="16">
        <v>2460</v>
      </c>
      <c r="AA62" s="16">
        <v>73039</v>
      </c>
      <c r="AB62" s="16">
        <v>39654</v>
      </c>
      <c r="AC62" s="16">
        <v>74005</v>
      </c>
      <c r="AD62" s="17">
        <v>74742</v>
      </c>
      <c r="AE62" s="72">
        <f t="shared" si="5"/>
        <v>1143085</v>
      </c>
      <c r="AF62" s="85">
        <v>297695</v>
      </c>
      <c r="AG62" s="72">
        <f t="shared" si="6"/>
        <v>297695</v>
      </c>
      <c r="AH62" s="72">
        <f t="shared" si="0"/>
        <v>5849645</v>
      </c>
      <c r="AJ62"/>
    </row>
    <row r="63" spans="1:36">
      <c r="A63" s="1" t="s">
        <v>2</v>
      </c>
      <c r="B63" s="4" t="s">
        <v>116</v>
      </c>
      <c r="C63" s="15">
        <v>1</v>
      </c>
      <c r="D63" s="16">
        <v>0</v>
      </c>
      <c r="E63" s="16">
        <v>1</v>
      </c>
      <c r="F63" s="16">
        <v>0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3</v>
      </c>
      <c r="R63" s="16">
        <v>0</v>
      </c>
      <c r="S63" s="16">
        <v>0</v>
      </c>
      <c r="T63" s="16">
        <v>0</v>
      </c>
      <c r="U63" s="48"/>
      <c r="V63" s="72">
        <v>0</v>
      </c>
      <c r="W63" s="61">
        <v>1</v>
      </c>
      <c r="X63" s="16">
        <v>0</v>
      </c>
      <c r="Y63" s="16">
        <v>0</v>
      </c>
      <c r="Z63" s="16">
        <v>0</v>
      </c>
      <c r="AA63" s="16">
        <v>1</v>
      </c>
      <c r="AB63" s="16">
        <v>1</v>
      </c>
      <c r="AC63" s="16">
        <v>1</v>
      </c>
      <c r="AD63" s="17">
        <v>1</v>
      </c>
      <c r="AE63" s="72"/>
      <c r="AF63" s="85">
        <v>0</v>
      </c>
      <c r="AG63" s="72"/>
      <c r="AH63" s="72"/>
    </row>
    <row r="64" spans="1:36" ht="19.5" thickBot="1">
      <c r="A64" s="1" t="s">
        <v>2</v>
      </c>
      <c r="B64" s="5" t="s">
        <v>117</v>
      </c>
      <c r="C64" s="18" t="s">
        <v>118</v>
      </c>
      <c r="D64" s="19" t="s">
        <v>118</v>
      </c>
      <c r="E64" s="19" t="s">
        <v>118</v>
      </c>
      <c r="F64" s="19" t="s">
        <v>118</v>
      </c>
      <c r="G64" s="19" t="s">
        <v>118</v>
      </c>
      <c r="H64" s="19" t="s">
        <v>118</v>
      </c>
      <c r="I64" s="19" t="s">
        <v>118</v>
      </c>
      <c r="J64" s="19" t="s">
        <v>118</v>
      </c>
      <c r="K64" s="19" t="s">
        <v>118</v>
      </c>
      <c r="L64" s="19" t="s">
        <v>118</v>
      </c>
      <c r="M64" s="19" t="s">
        <v>118</v>
      </c>
      <c r="N64" s="19" t="s">
        <v>118</v>
      </c>
      <c r="O64" s="19" t="s">
        <v>118</v>
      </c>
      <c r="P64" s="19" t="s">
        <v>118</v>
      </c>
      <c r="Q64" s="19" t="s">
        <v>118</v>
      </c>
      <c r="R64" s="19" t="s">
        <v>118</v>
      </c>
      <c r="S64" s="19" t="s">
        <v>118</v>
      </c>
      <c r="T64" s="19" t="s">
        <v>118</v>
      </c>
      <c r="U64" s="51"/>
      <c r="V64" s="75" t="s">
        <v>118</v>
      </c>
      <c r="W64" s="64" t="s">
        <v>118</v>
      </c>
      <c r="X64" s="19" t="s">
        <v>118</v>
      </c>
      <c r="Y64" s="19" t="s">
        <v>118</v>
      </c>
      <c r="Z64" s="19" t="s">
        <v>118</v>
      </c>
      <c r="AA64" s="19" t="s">
        <v>118</v>
      </c>
      <c r="AB64" s="19" t="s">
        <v>118</v>
      </c>
      <c r="AC64" s="19" t="s">
        <v>118</v>
      </c>
      <c r="AD64" s="20" t="s">
        <v>118</v>
      </c>
      <c r="AE64" s="75"/>
      <c r="AF64" s="88" t="s">
        <v>118</v>
      </c>
      <c r="AG64" s="75"/>
      <c r="AH64" s="75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0E46-83C4-44C1-B6BC-6A6A0C1CC256}">
  <sheetPr>
    <pageSetUpPr fitToPage="1"/>
  </sheetPr>
  <dimension ref="A1:Q64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15" width="10.625" style="2" customWidth="1"/>
    <col min="16" max="240" width="9" style="2"/>
    <col min="241" max="241" width="2.375" style="2" customWidth="1"/>
    <col min="242" max="242" width="13.25" style="2" bestFit="1" customWidth="1"/>
    <col min="243" max="243" width="11.125" style="2" bestFit="1" customWidth="1"/>
    <col min="244" max="244" width="9.625" style="2" bestFit="1" customWidth="1"/>
    <col min="245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49" width="11.125" style="2" bestFit="1" customWidth="1"/>
    <col min="250" max="250" width="9" style="2"/>
    <col min="251" max="251" width="11.125" style="2" bestFit="1" customWidth="1"/>
    <col min="252" max="252" width="9" style="2"/>
    <col min="253" max="261" width="11.125" style="2" bestFit="1" customWidth="1"/>
    <col min="262" max="262" width="9" style="2"/>
    <col min="263" max="263" width="8" style="2" bestFit="1" customWidth="1"/>
    <col min="264" max="267" width="9" style="2"/>
    <col min="268" max="269" width="11.125" style="2" bestFit="1" customWidth="1"/>
    <col min="270" max="270" width="9" style="2"/>
    <col min="271" max="271" width="9.625" style="2" bestFit="1" customWidth="1"/>
    <col min="272" max="496" width="9" style="2"/>
    <col min="497" max="497" width="2.375" style="2" customWidth="1"/>
    <col min="498" max="498" width="13.25" style="2" bestFit="1" customWidth="1"/>
    <col min="499" max="499" width="11.125" style="2" bestFit="1" customWidth="1"/>
    <col min="500" max="500" width="9.625" style="2" bestFit="1" customWidth="1"/>
    <col min="501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05" width="11.125" style="2" bestFit="1" customWidth="1"/>
    <col min="506" max="506" width="9" style="2"/>
    <col min="507" max="507" width="11.125" style="2" bestFit="1" customWidth="1"/>
    <col min="508" max="508" width="9" style="2"/>
    <col min="509" max="517" width="11.125" style="2" bestFit="1" customWidth="1"/>
    <col min="518" max="518" width="9" style="2"/>
    <col min="519" max="519" width="8" style="2" bestFit="1" customWidth="1"/>
    <col min="520" max="523" width="9" style="2"/>
    <col min="524" max="525" width="11.125" style="2" bestFit="1" customWidth="1"/>
    <col min="526" max="526" width="9" style="2"/>
    <col min="527" max="527" width="9.625" style="2" bestFit="1" customWidth="1"/>
    <col min="528" max="752" width="9" style="2"/>
    <col min="753" max="753" width="2.375" style="2" customWidth="1"/>
    <col min="754" max="754" width="13.25" style="2" bestFit="1" customWidth="1"/>
    <col min="755" max="755" width="11.125" style="2" bestFit="1" customWidth="1"/>
    <col min="756" max="756" width="9.625" style="2" bestFit="1" customWidth="1"/>
    <col min="757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61" width="11.125" style="2" bestFit="1" customWidth="1"/>
    <col min="762" max="762" width="9" style="2"/>
    <col min="763" max="763" width="11.125" style="2" bestFit="1" customWidth="1"/>
    <col min="764" max="764" width="9" style="2"/>
    <col min="765" max="773" width="11.125" style="2" bestFit="1" customWidth="1"/>
    <col min="774" max="774" width="9" style="2"/>
    <col min="775" max="775" width="8" style="2" bestFit="1" customWidth="1"/>
    <col min="776" max="779" width="9" style="2"/>
    <col min="780" max="781" width="11.125" style="2" bestFit="1" customWidth="1"/>
    <col min="782" max="782" width="9" style="2"/>
    <col min="783" max="783" width="9.625" style="2" bestFit="1" customWidth="1"/>
    <col min="784" max="1008" width="9" style="2"/>
    <col min="1009" max="1009" width="2.375" style="2" customWidth="1"/>
    <col min="1010" max="1010" width="13.25" style="2" bestFit="1" customWidth="1"/>
    <col min="1011" max="1011" width="11.125" style="2" bestFit="1" customWidth="1"/>
    <col min="1012" max="1012" width="9.625" style="2" bestFit="1" customWidth="1"/>
    <col min="1013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17" width="11.125" style="2" bestFit="1" customWidth="1"/>
    <col min="1018" max="1018" width="9" style="2"/>
    <col min="1019" max="1019" width="11.125" style="2" bestFit="1" customWidth="1"/>
    <col min="1020" max="1020" width="9" style="2"/>
    <col min="1021" max="1029" width="11.125" style="2" bestFit="1" customWidth="1"/>
    <col min="1030" max="1030" width="9" style="2"/>
    <col min="1031" max="1031" width="8" style="2" bestFit="1" customWidth="1"/>
    <col min="1032" max="1035" width="9" style="2"/>
    <col min="1036" max="1037" width="11.125" style="2" bestFit="1" customWidth="1"/>
    <col min="1038" max="1038" width="9" style="2"/>
    <col min="1039" max="1039" width="9.625" style="2" bestFit="1" customWidth="1"/>
    <col min="1040" max="1264" width="9" style="2"/>
    <col min="1265" max="1265" width="2.375" style="2" customWidth="1"/>
    <col min="1266" max="1266" width="13.25" style="2" bestFit="1" customWidth="1"/>
    <col min="1267" max="1267" width="11.125" style="2" bestFit="1" customWidth="1"/>
    <col min="1268" max="1268" width="9.625" style="2" bestFit="1" customWidth="1"/>
    <col min="1269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73" width="11.125" style="2" bestFit="1" customWidth="1"/>
    <col min="1274" max="1274" width="9" style="2"/>
    <col min="1275" max="1275" width="11.125" style="2" bestFit="1" customWidth="1"/>
    <col min="1276" max="1276" width="9" style="2"/>
    <col min="1277" max="1285" width="11.125" style="2" bestFit="1" customWidth="1"/>
    <col min="1286" max="1286" width="9" style="2"/>
    <col min="1287" max="1287" width="8" style="2" bestFit="1" customWidth="1"/>
    <col min="1288" max="1291" width="9" style="2"/>
    <col min="1292" max="1293" width="11.125" style="2" bestFit="1" customWidth="1"/>
    <col min="1294" max="1294" width="9" style="2"/>
    <col min="1295" max="1295" width="9.625" style="2" bestFit="1" customWidth="1"/>
    <col min="1296" max="1520" width="9" style="2"/>
    <col min="1521" max="1521" width="2.375" style="2" customWidth="1"/>
    <col min="1522" max="1522" width="13.25" style="2" bestFit="1" customWidth="1"/>
    <col min="1523" max="1523" width="11.125" style="2" bestFit="1" customWidth="1"/>
    <col min="1524" max="1524" width="9.625" style="2" bestFit="1" customWidth="1"/>
    <col min="1525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29" width="11.125" style="2" bestFit="1" customWidth="1"/>
    <col min="1530" max="1530" width="9" style="2"/>
    <col min="1531" max="1531" width="11.125" style="2" bestFit="1" customWidth="1"/>
    <col min="1532" max="1532" width="9" style="2"/>
    <col min="1533" max="1541" width="11.125" style="2" bestFit="1" customWidth="1"/>
    <col min="1542" max="1542" width="9" style="2"/>
    <col min="1543" max="1543" width="8" style="2" bestFit="1" customWidth="1"/>
    <col min="1544" max="1547" width="9" style="2"/>
    <col min="1548" max="1549" width="11.125" style="2" bestFit="1" customWidth="1"/>
    <col min="1550" max="1550" width="9" style="2"/>
    <col min="1551" max="1551" width="9.625" style="2" bestFit="1" customWidth="1"/>
    <col min="1552" max="1776" width="9" style="2"/>
    <col min="1777" max="1777" width="2.375" style="2" customWidth="1"/>
    <col min="1778" max="1778" width="13.25" style="2" bestFit="1" customWidth="1"/>
    <col min="1779" max="1779" width="11.125" style="2" bestFit="1" customWidth="1"/>
    <col min="1780" max="1780" width="9.625" style="2" bestFit="1" customWidth="1"/>
    <col min="1781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85" width="11.125" style="2" bestFit="1" customWidth="1"/>
    <col min="1786" max="1786" width="9" style="2"/>
    <col min="1787" max="1787" width="11.125" style="2" bestFit="1" customWidth="1"/>
    <col min="1788" max="1788" width="9" style="2"/>
    <col min="1789" max="1797" width="11.125" style="2" bestFit="1" customWidth="1"/>
    <col min="1798" max="1798" width="9" style="2"/>
    <col min="1799" max="1799" width="8" style="2" bestFit="1" customWidth="1"/>
    <col min="1800" max="1803" width="9" style="2"/>
    <col min="1804" max="1805" width="11.125" style="2" bestFit="1" customWidth="1"/>
    <col min="1806" max="1806" width="9" style="2"/>
    <col min="1807" max="1807" width="9.625" style="2" bestFit="1" customWidth="1"/>
    <col min="1808" max="2032" width="9" style="2"/>
    <col min="2033" max="2033" width="2.375" style="2" customWidth="1"/>
    <col min="2034" max="2034" width="13.25" style="2" bestFit="1" customWidth="1"/>
    <col min="2035" max="2035" width="11.125" style="2" bestFit="1" customWidth="1"/>
    <col min="2036" max="2036" width="9.625" style="2" bestFit="1" customWidth="1"/>
    <col min="2037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41" width="11.125" style="2" bestFit="1" customWidth="1"/>
    <col min="2042" max="2042" width="9" style="2"/>
    <col min="2043" max="2043" width="11.125" style="2" bestFit="1" customWidth="1"/>
    <col min="2044" max="2044" width="9" style="2"/>
    <col min="2045" max="2053" width="11.125" style="2" bestFit="1" customWidth="1"/>
    <col min="2054" max="2054" width="9" style="2"/>
    <col min="2055" max="2055" width="8" style="2" bestFit="1" customWidth="1"/>
    <col min="2056" max="2059" width="9" style="2"/>
    <col min="2060" max="2061" width="11.125" style="2" bestFit="1" customWidth="1"/>
    <col min="2062" max="2062" width="9" style="2"/>
    <col min="2063" max="2063" width="9.625" style="2" bestFit="1" customWidth="1"/>
    <col min="2064" max="2288" width="9" style="2"/>
    <col min="2289" max="2289" width="2.375" style="2" customWidth="1"/>
    <col min="2290" max="2290" width="13.25" style="2" bestFit="1" customWidth="1"/>
    <col min="2291" max="2291" width="11.125" style="2" bestFit="1" customWidth="1"/>
    <col min="2292" max="2292" width="9.625" style="2" bestFit="1" customWidth="1"/>
    <col min="2293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297" width="11.125" style="2" bestFit="1" customWidth="1"/>
    <col min="2298" max="2298" width="9" style="2"/>
    <col min="2299" max="2299" width="11.125" style="2" bestFit="1" customWidth="1"/>
    <col min="2300" max="2300" width="9" style="2"/>
    <col min="2301" max="2309" width="11.125" style="2" bestFit="1" customWidth="1"/>
    <col min="2310" max="2310" width="9" style="2"/>
    <col min="2311" max="2311" width="8" style="2" bestFit="1" customWidth="1"/>
    <col min="2312" max="2315" width="9" style="2"/>
    <col min="2316" max="2317" width="11.125" style="2" bestFit="1" customWidth="1"/>
    <col min="2318" max="2318" width="9" style="2"/>
    <col min="2319" max="2319" width="9.625" style="2" bestFit="1" customWidth="1"/>
    <col min="2320" max="2544" width="9" style="2"/>
    <col min="2545" max="2545" width="2.375" style="2" customWidth="1"/>
    <col min="2546" max="2546" width="13.25" style="2" bestFit="1" customWidth="1"/>
    <col min="2547" max="2547" width="11.125" style="2" bestFit="1" customWidth="1"/>
    <col min="2548" max="2548" width="9.625" style="2" bestFit="1" customWidth="1"/>
    <col min="2549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53" width="11.125" style="2" bestFit="1" customWidth="1"/>
    <col min="2554" max="2554" width="9" style="2"/>
    <col min="2555" max="2555" width="11.125" style="2" bestFit="1" customWidth="1"/>
    <col min="2556" max="2556" width="9" style="2"/>
    <col min="2557" max="2565" width="11.125" style="2" bestFit="1" customWidth="1"/>
    <col min="2566" max="2566" width="9" style="2"/>
    <col min="2567" max="2567" width="8" style="2" bestFit="1" customWidth="1"/>
    <col min="2568" max="2571" width="9" style="2"/>
    <col min="2572" max="2573" width="11.125" style="2" bestFit="1" customWidth="1"/>
    <col min="2574" max="2574" width="9" style="2"/>
    <col min="2575" max="2575" width="9.625" style="2" bestFit="1" customWidth="1"/>
    <col min="2576" max="2800" width="9" style="2"/>
    <col min="2801" max="2801" width="2.375" style="2" customWidth="1"/>
    <col min="2802" max="2802" width="13.25" style="2" bestFit="1" customWidth="1"/>
    <col min="2803" max="2803" width="11.125" style="2" bestFit="1" customWidth="1"/>
    <col min="2804" max="2804" width="9.625" style="2" bestFit="1" customWidth="1"/>
    <col min="2805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09" width="11.125" style="2" bestFit="1" customWidth="1"/>
    <col min="2810" max="2810" width="9" style="2"/>
    <col min="2811" max="2811" width="11.125" style="2" bestFit="1" customWidth="1"/>
    <col min="2812" max="2812" width="9" style="2"/>
    <col min="2813" max="2821" width="11.125" style="2" bestFit="1" customWidth="1"/>
    <col min="2822" max="2822" width="9" style="2"/>
    <col min="2823" max="2823" width="8" style="2" bestFit="1" customWidth="1"/>
    <col min="2824" max="2827" width="9" style="2"/>
    <col min="2828" max="2829" width="11.125" style="2" bestFit="1" customWidth="1"/>
    <col min="2830" max="2830" width="9" style="2"/>
    <col min="2831" max="2831" width="9.625" style="2" bestFit="1" customWidth="1"/>
    <col min="2832" max="3056" width="9" style="2"/>
    <col min="3057" max="3057" width="2.375" style="2" customWidth="1"/>
    <col min="3058" max="3058" width="13.25" style="2" bestFit="1" customWidth="1"/>
    <col min="3059" max="3059" width="11.125" style="2" bestFit="1" customWidth="1"/>
    <col min="3060" max="3060" width="9.625" style="2" bestFit="1" customWidth="1"/>
    <col min="3061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65" width="11.125" style="2" bestFit="1" customWidth="1"/>
    <col min="3066" max="3066" width="9" style="2"/>
    <col min="3067" max="3067" width="11.125" style="2" bestFit="1" customWidth="1"/>
    <col min="3068" max="3068" width="9" style="2"/>
    <col min="3069" max="3077" width="11.125" style="2" bestFit="1" customWidth="1"/>
    <col min="3078" max="3078" width="9" style="2"/>
    <col min="3079" max="3079" width="8" style="2" bestFit="1" customWidth="1"/>
    <col min="3080" max="3083" width="9" style="2"/>
    <col min="3084" max="3085" width="11.125" style="2" bestFit="1" customWidth="1"/>
    <col min="3086" max="3086" width="9" style="2"/>
    <col min="3087" max="3087" width="9.625" style="2" bestFit="1" customWidth="1"/>
    <col min="3088" max="3312" width="9" style="2"/>
    <col min="3313" max="3313" width="2.375" style="2" customWidth="1"/>
    <col min="3314" max="3314" width="13.25" style="2" bestFit="1" customWidth="1"/>
    <col min="3315" max="3315" width="11.125" style="2" bestFit="1" customWidth="1"/>
    <col min="3316" max="3316" width="9.625" style="2" bestFit="1" customWidth="1"/>
    <col min="3317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21" width="11.125" style="2" bestFit="1" customWidth="1"/>
    <col min="3322" max="3322" width="9" style="2"/>
    <col min="3323" max="3323" width="11.125" style="2" bestFit="1" customWidth="1"/>
    <col min="3324" max="3324" width="9" style="2"/>
    <col min="3325" max="3333" width="11.125" style="2" bestFit="1" customWidth="1"/>
    <col min="3334" max="3334" width="9" style="2"/>
    <col min="3335" max="3335" width="8" style="2" bestFit="1" customWidth="1"/>
    <col min="3336" max="3339" width="9" style="2"/>
    <col min="3340" max="3341" width="11.125" style="2" bestFit="1" customWidth="1"/>
    <col min="3342" max="3342" width="9" style="2"/>
    <col min="3343" max="3343" width="9.625" style="2" bestFit="1" customWidth="1"/>
    <col min="3344" max="3568" width="9" style="2"/>
    <col min="3569" max="3569" width="2.375" style="2" customWidth="1"/>
    <col min="3570" max="3570" width="13.25" style="2" bestFit="1" customWidth="1"/>
    <col min="3571" max="3571" width="11.125" style="2" bestFit="1" customWidth="1"/>
    <col min="3572" max="3572" width="9.625" style="2" bestFit="1" customWidth="1"/>
    <col min="3573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77" width="11.125" style="2" bestFit="1" customWidth="1"/>
    <col min="3578" max="3578" width="9" style="2"/>
    <col min="3579" max="3579" width="11.125" style="2" bestFit="1" customWidth="1"/>
    <col min="3580" max="3580" width="9" style="2"/>
    <col min="3581" max="3589" width="11.125" style="2" bestFit="1" customWidth="1"/>
    <col min="3590" max="3590" width="9" style="2"/>
    <col min="3591" max="3591" width="8" style="2" bestFit="1" customWidth="1"/>
    <col min="3592" max="3595" width="9" style="2"/>
    <col min="3596" max="3597" width="11.125" style="2" bestFit="1" customWidth="1"/>
    <col min="3598" max="3598" width="9" style="2"/>
    <col min="3599" max="3599" width="9.625" style="2" bestFit="1" customWidth="1"/>
    <col min="3600" max="3824" width="9" style="2"/>
    <col min="3825" max="3825" width="2.375" style="2" customWidth="1"/>
    <col min="3826" max="3826" width="13.25" style="2" bestFit="1" customWidth="1"/>
    <col min="3827" max="3827" width="11.125" style="2" bestFit="1" customWidth="1"/>
    <col min="3828" max="3828" width="9.625" style="2" bestFit="1" customWidth="1"/>
    <col min="3829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33" width="11.125" style="2" bestFit="1" customWidth="1"/>
    <col min="3834" max="3834" width="9" style="2"/>
    <col min="3835" max="3835" width="11.125" style="2" bestFit="1" customWidth="1"/>
    <col min="3836" max="3836" width="9" style="2"/>
    <col min="3837" max="3845" width="11.125" style="2" bestFit="1" customWidth="1"/>
    <col min="3846" max="3846" width="9" style="2"/>
    <col min="3847" max="3847" width="8" style="2" bestFit="1" customWidth="1"/>
    <col min="3848" max="3851" width="9" style="2"/>
    <col min="3852" max="3853" width="11.125" style="2" bestFit="1" customWidth="1"/>
    <col min="3854" max="3854" width="9" style="2"/>
    <col min="3855" max="3855" width="9.625" style="2" bestFit="1" customWidth="1"/>
    <col min="3856" max="4080" width="9" style="2"/>
    <col min="4081" max="4081" width="2.375" style="2" customWidth="1"/>
    <col min="4082" max="4082" width="13.25" style="2" bestFit="1" customWidth="1"/>
    <col min="4083" max="4083" width="11.125" style="2" bestFit="1" customWidth="1"/>
    <col min="4084" max="4084" width="9.625" style="2" bestFit="1" customWidth="1"/>
    <col min="4085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89" width="11.125" style="2" bestFit="1" customWidth="1"/>
    <col min="4090" max="4090" width="9" style="2"/>
    <col min="4091" max="4091" width="11.125" style="2" bestFit="1" customWidth="1"/>
    <col min="4092" max="4092" width="9" style="2"/>
    <col min="4093" max="4101" width="11.125" style="2" bestFit="1" customWidth="1"/>
    <col min="4102" max="4102" width="9" style="2"/>
    <col min="4103" max="4103" width="8" style="2" bestFit="1" customWidth="1"/>
    <col min="4104" max="4107" width="9" style="2"/>
    <col min="4108" max="4109" width="11.125" style="2" bestFit="1" customWidth="1"/>
    <col min="4110" max="4110" width="9" style="2"/>
    <col min="4111" max="4111" width="9.625" style="2" bestFit="1" customWidth="1"/>
    <col min="4112" max="4336" width="9" style="2"/>
    <col min="4337" max="4337" width="2.375" style="2" customWidth="1"/>
    <col min="4338" max="4338" width="13.25" style="2" bestFit="1" customWidth="1"/>
    <col min="4339" max="4339" width="11.125" style="2" bestFit="1" customWidth="1"/>
    <col min="4340" max="4340" width="9.625" style="2" bestFit="1" customWidth="1"/>
    <col min="4341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45" width="11.125" style="2" bestFit="1" customWidth="1"/>
    <col min="4346" max="4346" width="9" style="2"/>
    <col min="4347" max="4347" width="11.125" style="2" bestFit="1" customWidth="1"/>
    <col min="4348" max="4348" width="9" style="2"/>
    <col min="4349" max="4357" width="11.125" style="2" bestFit="1" customWidth="1"/>
    <col min="4358" max="4358" width="9" style="2"/>
    <col min="4359" max="4359" width="8" style="2" bestFit="1" customWidth="1"/>
    <col min="4360" max="4363" width="9" style="2"/>
    <col min="4364" max="4365" width="11.125" style="2" bestFit="1" customWidth="1"/>
    <col min="4366" max="4366" width="9" style="2"/>
    <col min="4367" max="4367" width="9.625" style="2" bestFit="1" customWidth="1"/>
    <col min="4368" max="4592" width="9" style="2"/>
    <col min="4593" max="4593" width="2.375" style="2" customWidth="1"/>
    <col min="4594" max="4594" width="13.25" style="2" bestFit="1" customWidth="1"/>
    <col min="4595" max="4595" width="11.125" style="2" bestFit="1" customWidth="1"/>
    <col min="4596" max="4596" width="9.625" style="2" bestFit="1" customWidth="1"/>
    <col min="4597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01" width="11.125" style="2" bestFit="1" customWidth="1"/>
    <col min="4602" max="4602" width="9" style="2"/>
    <col min="4603" max="4603" width="11.125" style="2" bestFit="1" customWidth="1"/>
    <col min="4604" max="4604" width="9" style="2"/>
    <col min="4605" max="4613" width="11.125" style="2" bestFit="1" customWidth="1"/>
    <col min="4614" max="4614" width="9" style="2"/>
    <col min="4615" max="4615" width="8" style="2" bestFit="1" customWidth="1"/>
    <col min="4616" max="4619" width="9" style="2"/>
    <col min="4620" max="4621" width="11.125" style="2" bestFit="1" customWidth="1"/>
    <col min="4622" max="4622" width="9" style="2"/>
    <col min="4623" max="4623" width="9.625" style="2" bestFit="1" customWidth="1"/>
    <col min="4624" max="4848" width="9" style="2"/>
    <col min="4849" max="4849" width="2.375" style="2" customWidth="1"/>
    <col min="4850" max="4850" width="13.25" style="2" bestFit="1" customWidth="1"/>
    <col min="4851" max="4851" width="11.125" style="2" bestFit="1" customWidth="1"/>
    <col min="4852" max="4852" width="9.625" style="2" bestFit="1" customWidth="1"/>
    <col min="4853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57" width="11.125" style="2" bestFit="1" customWidth="1"/>
    <col min="4858" max="4858" width="9" style="2"/>
    <col min="4859" max="4859" width="11.125" style="2" bestFit="1" customWidth="1"/>
    <col min="4860" max="4860" width="9" style="2"/>
    <col min="4861" max="4869" width="11.125" style="2" bestFit="1" customWidth="1"/>
    <col min="4870" max="4870" width="9" style="2"/>
    <col min="4871" max="4871" width="8" style="2" bestFit="1" customWidth="1"/>
    <col min="4872" max="4875" width="9" style="2"/>
    <col min="4876" max="4877" width="11.125" style="2" bestFit="1" customWidth="1"/>
    <col min="4878" max="4878" width="9" style="2"/>
    <col min="4879" max="4879" width="9.625" style="2" bestFit="1" customWidth="1"/>
    <col min="4880" max="5104" width="9" style="2"/>
    <col min="5105" max="5105" width="2.375" style="2" customWidth="1"/>
    <col min="5106" max="5106" width="13.25" style="2" bestFit="1" customWidth="1"/>
    <col min="5107" max="5107" width="11.125" style="2" bestFit="1" customWidth="1"/>
    <col min="5108" max="5108" width="9.625" style="2" bestFit="1" customWidth="1"/>
    <col min="5109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13" width="11.125" style="2" bestFit="1" customWidth="1"/>
    <col min="5114" max="5114" width="9" style="2"/>
    <col min="5115" max="5115" width="11.125" style="2" bestFit="1" customWidth="1"/>
    <col min="5116" max="5116" width="9" style="2"/>
    <col min="5117" max="5125" width="11.125" style="2" bestFit="1" customWidth="1"/>
    <col min="5126" max="5126" width="9" style="2"/>
    <col min="5127" max="5127" width="8" style="2" bestFit="1" customWidth="1"/>
    <col min="5128" max="5131" width="9" style="2"/>
    <col min="5132" max="5133" width="11.125" style="2" bestFit="1" customWidth="1"/>
    <col min="5134" max="5134" width="9" style="2"/>
    <col min="5135" max="5135" width="9.625" style="2" bestFit="1" customWidth="1"/>
    <col min="5136" max="5360" width="9" style="2"/>
    <col min="5361" max="5361" width="2.375" style="2" customWidth="1"/>
    <col min="5362" max="5362" width="13.25" style="2" bestFit="1" customWidth="1"/>
    <col min="5363" max="5363" width="11.125" style="2" bestFit="1" customWidth="1"/>
    <col min="5364" max="5364" width="9.625" style="2" bestFit="1" customWidth="1"/>
    <col min="5365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69" width="11.125" style="2" bestFit="1" customWidth="1"/>
    <col min="5370" max="5370" width="9" style="2"/>
    <col min="5371" max="5371" width="11.125" style="2" bestFit="1" customWidth="1"/>
    <col min="5372" max="5372" width="9" style="2"/>
    <col min="5373" max="5381" width="11.125" style="2" bestFit="1" customWidth="1"/>
    <col min="5382" max="5382" width="9" style="2"/>
    <col min="5383" max="5383" width="8" style="2" bestFit="1" customWidth="1"/>
    <col min="5384" max="5387" width="9" style="2"/>
    <col min="5388" max="5389" width="11.125" style="2" bestFit="1" customWidth="1"/>
    <col min="5390" max="5390" width="9" style="2"/>
    <col min="5391" max="5391" width="9.625" style="2" bestFit="1" customWidth="1"/>
    <col min="5392" max="5616" width="9" style="2"/>
    <col min="5617" max="5617" width="2.375" style="2" customWidth="1"/>
    <col min="5618" max="5618" width="13.25" style="2" bestFit="1" customWidth="1"/>
    <col min="5619" max="5619" width="11.125" style="2" bestFit="1" customWidth="1"/>
    <col min="5620" max="5620" width="9.625" style="2" bestFit="1" customWidth="1"/>
    <col min="5621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25" width="11.125" style="2" bestFit="1" customWidth="1"/>
    <col min="5626" max="5626" width="9" style="2"/>
    <col min="5627" max="5627" width="11.125" style="2" bestFit="1" customWidth="1"/>
    <col min="5628" max="5628" width="9" style="2"/>
    <col min="5629" max="5637" width="11.125" style="2" bestFit="1" customWidth="1"/>
    <col min="5638" max="5638" width="9" style="2"/>
    <col min="5639" max="5639" width="8" style="2" bestFit="1" customWidth="1"/>
    <col min="5640" max="5643" width="9" style="2"/>
    <col min="5644" max="5645" width="11.125" style="2" bestFit="1" customWidth="1"/>
    <col min="5646" max="5646" width="9" style="2"/>
    <col min="5647" max="5647" width="9.625" style="2" bestFit="1" customWidth="1"/>
    <col min="5648" max="5872" width="9" style="2"/>
    <col min="5873" max="5873" width="2.375" style="2" customWidth="1"/>
    <col min="5874" max="5874" width="13.25" style="2" bestFit="1" customWidth="1"/>
    <col min="5875" max="5875" width="11.125" style="2" bestFit="1" customWidth="1"/>
    <col min="5876" max="5876" width="9.625" style="2" bestFit="1" customWidth="1"/>
    <col min="5877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81" width="11.125" style="2" bestFit="1" customWidth="1"/>
    <col min="5882" max="5882" width="9" style="2"/>
    <col min="5883" max="5883" width="11.125" style="2" bestFit="1" customWidth="1"/>
    <col min="5884" max="5884" width="9" style="2"/>
    <col min="5885" max="5893" width="11.125" style="2" bestFit="1" customWidth="1"/>
    <col min="5894" max="5894" width="9" style="2"/>
    <col min="5895" max="5895" width="8" style="2" bestFit="1" customWidth="1"/>
    <col min="5896" max="5899" width="9" style="2"/>
    <col min="5900" max="5901" width="11.125" style="2" bestFit="1" customWidth="1"/>
    <col min="5902" max="5902" width="9" style="2"/>
    <col min="5903" max="5903" width="9.625" style="2" bestFit="1" customWidth="1"/>
    <col min="5904" max="6128" width="9" style="2"/>
    <col min="6129" max="6129" width="2.375" style="2" customWidth="1"/>
    <col min="6130" max="6130" width="13.25" style="2" bestFit="1" customWidth="1"/>
    <col min="6131" max="6131" width="11.125" style="2" bestFit="1" customWidth="1"/>
    <col min="6132" max="6132" width="9.625" style="2" bestFit="1" customWidth="1"/>
    <col min="6133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37" width="11.125" style="2" bestFit="1" customWidth="1"/>
    <col min="6138" max="6138" width="9" style="2"/>
    <col min="6139" max="6139" width="11.125" style="2" bestFit="1" customWidth="1"/>
    <col min="6140" max="6140" width="9" style="2"/>
    <col min="6141" max="6149" width="11.125" style="2" bestFit="1" customWidth="1"/>
    <col min="6150" max="6150" width="9" style="2"/>
    <col min="6151" max="6151" width="8" style="2" bestFit="1" customWidth="1"/>
    <col min="6152" max="6155" width="9" style="2"/>
    <col min="6156" max="6157" width="11.125" style="2" bestFit="1" customWidth="1"/>
    <col min="6158" max="6158" width="9" style="2"/>
    <col min="6159" max="6159" width="9.625" style="2" bestFit="1" customWidth="1"/>
    <col min="6160" max="6384" width="9" style="2"/>
    <col min="6385" max="6385" width="2.375" style="2" customWidth="1"/>
    <col min="6386" max="6386" width="13.25" style="2" bestFit="1" customWidth="1"/>
    <col min="6387" max="6387" width="11.125" style="2" bestFit="1" customWidth="1"/>
    <col min="6388" max="6388" width="9.625" style="2" bestFit="1" customWidth="1"/>
    <col min="6389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393" width="11.125" style="2" bestFit="1" customWidth="1"/>
    <col min="6394" max="6394" width="9" style="2"/>
    <col min="6395" max="6395" width="11.125" style="2" bestFit="1" customWidth="1"/>
    <col min="6396" max="6396" width="9" style="2"/>
    <col min="6397" max="6405" width="11.125" style="2" bestFit="1" customWidth="1"/>
    <col min="6406" max="6406" width="9" style="2"/>
    <col min="6407" max="6407" width="8" style="2" bestFit="1" customWidth="1"/>
    <col min="6408" max="6411" width="9" style="2"/>
    <col min="6412" max="6413" width="11.125" style="2" bestFit="1" customWidth="1"/>
    <col min="6414" max="6414" width="9" style="2"/>
    <col min="6415" max="6415" width="9.625" style="2" bestFit="1" customWidth="1"/>
    <col min="6416" max="6640" width="9" style="2"/>
    <col min="6641" max="6641" width="2.375" style="2" customWidth="1"/>
    <col min="6642" max="6642" width="13.25" style="2" bestFit="1" customWidth="1"/>
    <col min="6643" max="6643" width="11.125" style="2" bestFit="1" customWidth="1"/>
    <col min="6644" max="6644" width="9.625" style="2" bestFit="1" customWidth="1"/>
    <col min="6645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49" width="11.125" style="2" bestFit="1" customWidth="1"/>
    <col min="6650" max="6650" width="9" style="2"/>
    <col min="6651" max="6651" width="11.125" style="2" bestFit="1" customWidth="1"/>
    <col min="6652" max="6652" width="9" style="2"/>
    <col min="6653" max="6661" width="11.125" style="2" bestFit="1" customWidth="1"/>
    <col min="6662" max="6662" width="9" style="2"/>
    <col min="6663" max="6663" width="8" style="2" bestFit="1" customWidth="1"/>
    <col min="6664" max="6667" width="9" style="2"/>
    <col min="6668" max="6669" width="11.125" style="2" bestFit="1" customWidth="1"/>
    <col min="6670" max="6670" width="9" style="2"/>
    <col min="6671" max="6671" width="9.625" style="2" bestFit="1" customWidth="1"/>
    <col min="6672" max="6896" width="9" style="2"/>
    <col min="6897" max="6897" width="2.375" style="2" customWidth="1"/>
    <col min="6898" max="6898" width="13.25" style="2" bestFit="1" customWidth="1"/>
    <col min="6899" max="6899" width="11.125" style="2" bestFit="1" customWidth="1"/>
    <col min="6900" max="6900" width="9.625" style="2" bestFit="1" customWidth="1"/>
    <col min="6901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05" width="11.125" style="2" bestFit="1" customWidth="1"/>
    <col min="6906" max="6906" width="9" style="2"/>
    <col min="6907" max="6907" width="11.125" style="2" bestFit="1" customWidth="1"/>
    <col min="6908" max="6908" width="9" style="2"/>
    <col min="6909" max="6917" width="11.125" style="2" bestFit="1" customWidth="1"/>
    <col min="6918" max="6918" width="9" style="2"/>
    <col min="6919" max="6919" width="8" style="2" bestFit="1" customWidth="1"/>
    <col min="6920" max="6923" width="9" style="2"/>
    <col min="6924" max="6925" width="11.125" style="2" bestFit="1" customWidth="1"/>
    <col min="6926" max="6926" width="9" style="2"/>
    <col min="6927" max="6927" width="9.625" style="2" bestFit="1" customWidth="1"/>
    <col min="6928" max="7152" width="9" style="2"/>
    <col min="7153" max="7153" width="2.375" style="2" customWidth="1"/>
    <col min="7154" max="7154" width="13.25" style="2" bestFit="1" customWidth="1"/>
    <col min="7155" max="7155" width="11.125" style="2" bestFit="1" customWidth="1"/>
    <col min="7156" max="7156" width="9.625" style="2" bestFit="1" customWidth="1"/>
    <col min="7157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61" width="11.125" style="2" bestFit="1" customWidth="1"/>
    <col min="7162" max="7162" width="9" style="2"/>
    <col min="7163" max="7163" width="11.125" style="2" bestFit="1" customWidth="1"/>
    <col min="7164" max="7164" width="9" style="2"/>
    <col min="7165" max="7173" width="11.125" style="2" bestFit="1" customWidth="1"/>
    <col min="7174" max="7174" width="9" style="2"/>
    <col min="7175" max="7175" width="8" style="2" bestFit="1" customWidth="1"/>
    <col min="7176" max="7179" width="9" style="2"/>
    <col min="7180" max="7181" width="11.125" style="2" bestFit="1" customWidth="1"/>
    <col min="7182" max="7182" width="9" style="2"/>
    <col min="7183" max="7183" width="9.625" style="2" bestFit="1" customWidth="1"/>
    <col min="7184" max="7408" width="9" style="2"/>
    <col min="7409" max="7409" width="2.375" style="2" customWidth="1"/>
    <col min="7410" max="7410" width="13.25" style="2" bestFit="1" customWidth="1"/>
    <col min="7411" max="7411" width="11.125" style="2" bestFit="1" customWidth="1"/>
    <col min="7412" max="7412" width="9.625" style="2" bestFit="1" customWidth="1"/>
    <col min="7413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17" width="11.125" style="2" bestFit="1" customWidth="1"/>
    <col min="7418" max="7418" width="9" style="2"/>
    <col min="7419" max="7419" width="11.125" style="2" bestFit="1" customWidth="1"/>
    <col min="7420" max="7420" width="9" style="2"/>
    <col min="7421" max="7429" width="11.125" style="2" bestFit="1" customWidth="1"/>
    <col min="7430" max="7430" width="9" style="2"/>
    <col min="7431" max="7431" width="8" style="2" bestFit="1" customWidth="1"/>
    <col min="7432" max="7435" width="9" style="2"/>
    <col min="7436" max="7437" width="11.125" style="2" bestFit="1" customWidth="1"/>
    <col min="7438" max="7438" width="9" style="2"/>
    <col min="7439" max="7439" width="9.625" style="2" bestFit="1" customWidth="1"/>
    <col min="7440" max="7664" width="9" style="2"/>
    <col min="7665" max="7665" width="2.375" style="2" customWidth="1"/>
    <col min="7666" max="7666" width="13.25" style="2" bestFit="1" customWidth="1"/>
    <col min="7667" max="7667" width="11.125" style="2" bestFit="1" customWidth="1"/>
    <col min="7668" max="7668" width="9.625" style="2" bestFit="1" customWidth="1"/>
    <col min="7669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73" width="11.125" style="2" bestFit="1" customWidth="1"/>
    <col min="7674" max="7674" width="9" style="2"/>
    <col min="7675" max="7675" width="11.125" style="2" bestFit="1" customWidth="1"/>
    <col min="7676" max="7676" width="9" style="2"/>
    <col min="7677" max="7685" width="11.125" style="2" bestFit="1" customWidth="1"/>
    <col min="7686" max="7686" width="9" style="2"/>
    <col min="7687" max="7687" width="8" style="2" bestFit="1" customWidth="1"/>
    <col min="7688" max="7691" width="9" style="2"/>
    <col min="7692" max="7693" width="11.125" style="2" bestFit="1" customWidth="1"/>
    <col min="7694" max="7694" width="9" style="2"/>
    <col min="7695" max="7695" width="9.625" style="2" bestFit="1" customWidth="1"/>
    <col min="7696" max="7920" width="9" style="2"/>
    <col min="7921" max="7921" width="2.375" style="2" customWidth="1"/>
    <col min="7922" max="7922" width="13.25" style="2" bestFit="1" customWidth="1"/>
    <col min="7923" max="7923" width="11.125" style="2" bestFit="1" customWidth="1"/>
    <col min="7924" max="7924" width="9.625" style="2" bestFit="1" customWidth="1"/>
    <col min="7925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29" width="11.125" style="2" bestFit="1" customWidth="1"/>
    <col min="7930" max="7930" width="9" style="2"/>
    <col min="7931" max="7931" width="11.125" style="2" bestFit="1" customWidth="1"/>
    <col min="7932" max="7932" width="9" style="2"/>
    <col min="7933" max="7941" width="11.125" style="2" bestFit="1" customWidth="1"/>
    <col min="7942" max="7942" width="9" style="2"/>
    <col min="7943" max="7943" width="8" style="2" bestFit="1" customWidth="1"/>
    <col min="7944" max="7947" width="9" style="2"/>
    <col min="7948" max="7949" width="11.125" style="2" bestFit="1" customWidth="1"/>
    <col min="7950" max="7950" width="9" style="2"/>
    <col min="7951" max="7951" width="9.625" style="2" bestFit="1" customWidth="1"/>
    <col min="7952" max="8176" width="9" style="2"/>
    <col min="8177" max="8177" width="2.375" style="2" customWidth="1"/>
    <col min="8178" max="8178" width="13.25" style="2" bestFit="1" customWidth="1"/>
    <col min="8179" max="8179" width="11.125" style="2" bestFit="1" customWidth="1"/>
    <col min="8180" max="8180" width="9.625" style="2" bestFit="1" customWidth="1"/>
    <col min="8181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85" width="11.125" style="2" bestFit="1" customWidth="1"/>
    <col min="8186" max="8186" width="9" style="2"/>
    <col min="8187" max="8187" width="11.125" style="2" bestFit="1" customWidth="1"/>
    <col min="8188" max="8188" width="9" style="2"/>
    <col min="8189" max="8197" width="11.125" style="2" bestFit="1" customWidth="1"/>
    <col min="8198" max="8198" width="9" style="2"/>
    <col min="8199" max="8199" width="8" style="2" bestFit="1" customWidth="1"/>
    <col min="8200" max="8203" width="9" style="2"/>
    <col min="8204" max="8205" width="11.125" style="2" bestFit="1" customWidth="1"/>
    <col min="8206" max="8206" width="9" style="2"/>
    <col min="8207" max="8207" width="9.625" style="2" bestFit="1" customWidth="1"/>
    <col min="8208" max="8432" width="9" style="2"/>
    <col min="8433" max="8433" width="2.375" style="2" customWidth="1"/>
    <col min="8434" max="8434" width="13.25" style="2" bestFit="1" customWidth="1"/>
    <col min="8435" max="8435" width="11.125" style="2" bestFit="1" customWidth="1"/>
    <col min="8436" max="8436" width="9.625" style="2" bestFit="1" customWidth="1"/>
    <col min="8437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41" width="11.125" style="2" bestFit="1" customWidth="1"/>
    <col min="8442" max="8442" width="9" style="2"/>
    <col min="8443" max="8443" width="11.125" style="2" bestFit="1" customWidth="1"/>
    <col min="8444" max="8444" width="9" style="2"/>
    <col min="8445" max="8453" width="11.125" style="2" bestFit="1" customWidth="1"/>
    <col min="8454" max="8454" width="9" style="2"/>
    <col min="8455" max="8455" width="8" style="2" bestFit="1" customWidth="1"/>
    <col min="8456" max="8459" width="9" style="2"/>
    <col min="8460" max="8461" width="11.125" style="2" bestFit="1" customWidth="1"/>
    <col min="8462" max="8462" width="9" style="2"/>
    <col min="8463" max="8463" width="9.625" style="2" bestFit="1" customWidth="1"/>
    <col min="8464" max="8688" width="9" style="2"/>
    <col min="8689" max="8689" width="2.375" style="2" customWidth="1"/>
    <col min="8690" max="8690" width="13.25" style="2" bestFit="1" customWidth="1"/>
    <col min="8691" max="8691" width="11.125" style="2" bestFit="1" customWidth="1"/>
    <col min="8692" max="8692" width="9.625" style="2" bestFit="1" customWidth="1"/>
    <col min="8693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697" width="11.125" style="2" bestFit="1" customWidth="1"/>
    <col min="8698" max="8698" width="9" style="2"/>
    <col min="8699" max="8699" width="11.125" style="2" bestFit="1" customWidth="1"/>
    <col min="8700" max="8700" width="9" style="2"/>
    <col min="8701" max="8709" width="11.125" style="2" bestFit="1" customWidth="1"/>
    <col min="8710" max="8710" width="9" style="2"/>
    <col min="8711" max="8711" width="8" style="2" bestFit="1" customWidth="1"/>
    <col min="8712" max="8715" width="9" style="2"/>
    <col min="8716" max="8717" width="11.125" style="2" bestFit="1" customWidth="1"/>
    <col min="8718" max="8718" width="9" style="2"/>
    <col min="8719" max="8719" width="9.625" style="2" bestFit="1" customWidth="1"/>
    <col min="8720" max="8944" width="9" style="2"/>
    <col min="8945" max="8945" width="2.375" style="2" customWidth="1"/>
    <col min="8946" max="8946" width="13.25" style="2" bestFit="1" customWidth="1"/>
    <col min="8947" max="8947" width="11.125" style="2" bestFit="1" customWidth="1"/>
    <col min="8948" max="8948" width="9.625" style="2" bestFit="1" customWidth="1"/>
    <col min="8949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53" width="11.125" style="2" bestFit="1" customWidth="1"/>
    <col min="8954" max="8954" width="9" style="2"/>
    <col min="8955" max="8955" width="11.125" style="2" bestFit="1" customWidth="1"/>
    <col min="8956" max="8956" width="9" style="2"/>
    <col min="8957" max="8965" width="11.125" style="2" bestFit="1" customWidth="1"/>
    <col min="8966" max="8966" width="9" style="2"/>
    <col min="8967" max="8967" width="8" style="2" bestFit="1" customWidth="1"/>
    <col min="8968" max="8971" width="9" style="2"/>
    <col min="8972" max="8973" width="11.125" style="2" bestFit="1" customWidth="1"/>
    <col min="8974" max="8974" width="9" style="2"/>
    <col min="8975" max="8975" width="9.625" style="2" bestFit="1" customWidth="1"/>
    <col min="8976" max="9200" width="9" style="2"/>
    <col min="9201" max="9201" width="2.375" style="2" customWidth="1"/>
    <col min="9202" max="9202" width="13.25" style="2" bestFit="1" customWidth="1"/>
    <col min="9203" max="9203" width="11.125" style="2" bestFit="1" customWidth="1"/>
    <col min="9204" max="9204" width="9.625" style="2" bestFit="1" customWidth="1"/>
    <col min="9205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09" width="11.125" style="2" bestFit="1" customWidth="1"/>
    <col min="9210" max="9210" width="9" style="2"/>
    <col min="9211" max="9211" width="11.125" style="2" bestFit="1" customWidth="1"/>
    <col min="9212" max="9212" width="9" style="2"/>
    <col min="9213" max="9221" width="11.125" style="2" bestFit="1" customWidth="1"/>
    <col min="9222" max="9222" width="9" style="2"/>
    <col min="9223" max="9223" width="8" style="2" bestFit="1" customWidth="1"/>
    <col min="9224" max="9227" width="9" style="2"/>
    <col min="9228" max="9229" width="11.125" style="2" bestFit="1" customWidth="1"/>
    <col min="9230" max="9230" width="9" style="2"/>
    <col min="9231" max="9231" width="9.625" style="2" bestFit="1" customWidth="1"/>
    <col min="9232" max="9456" width="9" style="2"/>
    <col min="9457" max="9457" width="2.375" style="2" customWidth="1"/>
    <col min="9458" max="9458" width="13.25" style="2" bestFit="1" customWidth="1"/>
    <col min="9459" max="9459" width="11.125" style="2" bestFit="1" customWidth="1"/>
    <col min="9460" max="9460" width="9.625" style="2" bestFit="1" customWidth="1"/>
    <col min="9461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65" width="11.125" style="2" bestFit="1" customWidth="1"/>
    <col min="9466" max="9466" width="9" style="2"/>
    <col min="9467" max="9467" width="11.125" style="2" bestFit="1" customWidth="1"/>
    <col min="9468" max="9468" width="9" style="2"/>
    <col min="9469" max="9477" width="11.125" style="2" bestFit="1" customWidth="1"/>
    <col min="9478" max="9478" width="9" style="2"/>
    <col min="9479" max="9479" width="8" style="2" bestFit="1" customWidth="1"/>
    <col min="9480" max="9483" width="9" style="2"/>
    <col min="9484" max="9485" width="11.125" style="2" bestFit="1" customWidth="1"/>
    <col min="9486" max="9486" width="9" style="2"/>
    <col min="9487" max="9487" width="9.625" style="2" bestFit="1" customWidth="1"/>
    <col min="9488" max="9712" width="9" style="2"/>
    <col min="9713" max="9713" width="2.375" style="2" customWidth="1"/>
    <col min="9714" max="9714" width="13.25" style="2" bestFit="1" customWidth="1"/>
    <col min="9715" max="9715" width="11.125" style="2" bestFit="1" customWidth="1"/>
    <col min="9716" max="9716" width="9.625" style="2" bestFit="1" customWidth="1"/>
    <col min="9717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21" width="11.125" style="2" bestFit="1" customWidth="1"/>
    <col min="9722" max="9722" width="9" style="2"/>
    <col min="9723" max="9723" width="11.125" style="2" bestFit="1" customWidth="1"/>
    <col min="9724" max="9724" width="9" style="2"/>
    <col min="9725" max="9733" width="11.125" style="2" bestFit="1" customWidth="1"/>
    <col min="9734" max="9734" width="9" style="2"/>
    <col min="9735" max="9735" width="8" style="2" bestFit="1" customWidth="1"/>
    <col min="9736" max="9739" width="9" style="2"/>
    <col min="9740" max="9741" width="11.125" style="2" bestFit="1" customWidth="1"/>
    <col min="9742" max="9742" width="9" style="2"/>
    <col min="9743" max="9743" width="9.625" style="2" bestFit="1" customWidth="1"/>
    <col min="9744" max="9968" width="9" style="2"/>
    <col min="9969" max="9969" width="2.375" style="2" customWidth="1"/>
    <col min="9970" max="9970" width="13.25" style="2" bestFit="1" customWidth="1"/>
    <col min="9971" max="9971" width="11.125" style="2" bestFit="1" customWidth="1"/>
    <col min="9972" max="9972" width="9.625" style="2" bestFit="1" customWidth="1"/>
    <col min="9973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77" width="11.125" style="2" bestFit="1" customWidth="1"/>
    <col min="9978" max="9978" width="9" style="2"/>
    <col min="9979" max="9979" width="11.125" style="2" bestFit="1" customWidth="1"/>
    <col min="9980" max="9980" width="9" style="2"/>
    <col min="9981" max="9989" width="11.125" style="2" bestFit="1" customWidth="1"/>
    <col min="9990" max="9990" width="9" style="2"/>
    <col min="9991" max="9991" width="8" style="2" bestFit="1" customWidth="1"/>
    <col min="9992" max="9995" width="9" style="2"/>
    <col min="9996" max="9997" width="11.125" style="2" bestFit="1" customWidth="1"/>
    <col min="9998" max="9998" width="9" style="2"/>
    <col min="9999" max="9999" width="9.625" style="2" bestFit="1" customWidth="1"/>
    <col min="10000" max="10224" width="9" style="2"/>
    <col min="10225" max="10225" width="2.375" style="2" customWidth="1"/>
    <col min="10226" max="10226" width="13.25" style="2" bestFit="1" customWidth="1"/>
    <col min="10227" max="10227" width="11.125" style="2" bestFit="1" customWidth="1"/>
    <col min="10228" max="10228" width="9.625" style="2" bestFit="1" customWidth="1"/>
    <col min="10229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33" width="11.125" style="2" bestFit="1" customWidth="1"/>
    <col min="10234" max="10234" width="9" style="2"/>
    <col min="10235" max="10235" width="11.125" style="2" bestFit="1" customWidth="1"/>
    <col min="10236" max="10236" width="9" style="2"/>
    <col min="10237" max="10245" width="11.125" style="2" bestFit="1" customWidth="1"/>
    <col min="10246" max="10246" width="9" style="2"/>
    <col min="10247" max="10247" width="8" style="2" bestFit="1" customWidth="1"/>
    <col min="10248" max="10251" width="9" style="2"/>
    <col min="10252" max="10253" width="11.125" style="2" bestFit="1" customWidth="1"/>
    <col min="10254" max="10254" width="9" style="2"/>
    <col min="10255" max="10255" width="9.625" style="2" bestFit="1" customWidth="1"/>
    <col min="10256" max="10480" width="9" style="2"/>
    <col min="10481" max="10481" width="2.375" style="2" customWidth="1"/>
    <col min="10482" max="10482" width="13.25" style="2" bestFit="1" customWidth="1"/>
    <col min="10483" max="10483" width="11.125" style="2" bestFit="1" customWidth="1"/>
    <col min="10484" max="10484" width="9.625" style="2" bestFit="1" customWidth="1"/>
    <col min="10485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89" width="11.125" style="2" bestFit="1" customWidth="1"/>
    <col min="10490" max="10490" width="9" style="2"/>
    <col min="10491" max="10491" width="11.125" style="2" bestFit="1" customWidth="1"/>
    <col min="10492" max="10492" width="9" style="2"/>
    <col min="10493" max="10501" width="11.125" style="2" bestFit="1" customWidth="1"/>
    <col min="10502" max="10502" width="9" style="2"/>
    <col min="10503" max="10503" width="8" style="2" bestFit="1" customWidth="1"/>
    <col min="10504" max="10507" width="9" style="2"/>
    <col min="10508" max="10509" width="11.125" style="2" bestFit="1" customWidth="1"/>
    <col min="10510" max="10510" width="9" style="2"/>
    <col min="10511" max="10511" width="9.625" style="2" bestFit="1" customWidth="1"/>
    <col min="10512" max="10736" width="9" style="2"/>
    <col min="10737" max="10737" width="2.375" style="2" customWidth="1"/>
    <col min="10738" max="10738" width="13.25" style="2" bestFit="1" customWidth="1"/>
    <col min="10739" max="10739" width="11.125" style="2" bestFit="1" customWidth="1"/>
    <col min="10740" max="10740" width="9.625" style="2" bestFit="1" customWidth="1"/>
    <col min="10741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45" width="11.125" style="2" bestFit="1" customWidth="1"/>
    <col min="10746" max="10746" width="9" style="2"/>
    <col min="10747" max="10747" width="11.125" style="2" bestFit="1" customWidth="1"/>
    <col min="10748" max="10748" width="9" style="2"/>
    <col min="10749" max="10757" width="11.125" style="2" bestFit="1" customWidth="1"/>
    <col min="10758" max="10758" width="9" style="2"/>
    <col min="10759" max="10759" width="8" style="2" bestFit="1" customWidth="1"/>
    <col min="10760" max="10763" width="9" style="2"/>
    <col min="10764" max="10765" width="11.125" style="2" bestFit="1" customWidth="1"/>
    <col min="10766" max="10766" width="9" style="2"/>
    <col min="10767" max="10767" width="9.625" style="2" bestFit="1" customWidth="1"/>
    <col min="10768" max="10992" width="9" style="2"/>
    <col min="10993" max="10993" width="2.375" style="2" customWidth="1"/>
    <col min="10994" max="10994" width="13.25" style="2" bestFit="1" customWidth="1"/>
    <col min="10995" max="10995" width="11.125" style="2" bestFit="1" customWidth="1"/>
    <col min="10996" max="10996" width="9.625" style="2" bestFit="1" customWidth="1"/>
    <col min="10997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01" width="11.125" style="2" bestFit="1" customWidth="1"/>
    <col min="11002" max="11002" width="9" style="2"/>
    <col min="11003" max="11003" width="11.125" style="2" bestFit="1" customWidth="1"/>
    <col min="11004" max="11004" width="9" style="2"/>
    <col min="11005" max="11013" width="11.125" style="2" bestFit="1" customWidth="1"/>
    <col min="11014" max="11014" width="9" style="2"/>
    <col min="11015" max="11015" width="8" style="2" bestFit="1" customWidth="1"/>
    <col min="11016" max="11019" width="9" style="2"/>
    <col min="11020" max="11021" width="11.125" style="2" bestFit="1" customWidth="1"/>
    <col min="11022" max="11022" width="9" style="2"/>
    <col min="11023" max="11023" width="9.625" style="2" bestFit="1" customWidth="1"/>
    <col min="11024" max="11248" width="9" style="2"/>
    <col min="11249" max="11249" width="2.375" style="2" customWidth="1"/>
    <col min="11250" max="11250" width="13.25" style="2" bestFit="1" customWidth="1"/>
    <col min="11251" max="11251" width="11.125" style="2" bestFit="1" customWidth="1"/>
    <col min="11252" max="11252" width="9.625" style="2" bestFit="1" customWidth="1"/>
    <col min="11253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57" width="11.125" style="2" bestFit="1" customWidth="1"/>
    <col min="11258" max="11258" width="9" style="2"/>
    <col min="11259" max="11259" width="11.125" style="2" bestFit="1" customWidth="1"/>
    <col min="11260" max="11260" width="9" style="2"/>
    <col min="11261" max="11269" width="11.125" style="2" bestFit="1" customWidth="1"/>
    <col min="11270" max="11270" width="9" style="2"/>
    <col min="11271" max="11271" width="8" style="2" bestFit="1" customWidth="1"/>
    <col min="11272" max="11275" width="9" style="2"/>
    <col min="11276" max="11277" width="11.125" style="2" bestFit="1" customWidth="1"/>
    <col min="11278" max="11278" width="9" style="2"/>
    <col min="11279" max="11279" width="9.625" style="2" bestFit="1" customWidth="1"/>
    <col min="11280" max="11504" width="9" style="2"/>
    <col min="11505" max="11505" width="2.375" style="2" customWidth="1"/>
    <col min="11506" max="11506" width="13.25" style="2" bestFit="1" customWidth="1"/>
    <col min="11507" max="11507" width="11.125" style="2" bestFit="1" customWidth="1"/>
    <col min="11508" max="11508" width="9.625" style="2" bestFit="1" customWidth="1"/>
    <col min="11509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13" width="11.125" style="2" bestFit="1" customWidth="1"/>
    <col min="11514" max="11514" width="9" style="2"/>
    <col min="11515" max="11515" width="11.125" style="2" bestFit="1" customWidth="1"/>
    <col min="11516" max="11516" width="9" style="2"/>
    <col min="11517" max="11525" width="11.125" style="2" bestFit="1" customWidth="1"/>
    <col min="11526" max="11526" width="9" style="2"/>
    <col min="11527" max="11527" width="8" style="2" bestFit="1" customWidth="1"/>
    <col min="11528" max="11531" width="9" style="2"/>
    <col min="11532" max="11533" width="11.125" style="2" bestFit="1" customWidth="1"/>
    <col min="11534" max="11534" width="9" style="2"/>
    <col min="11535" max="11535" width="9.625" style="2" bestFit="1" customWidth="1"/>
    <col min="11536" max="11760" width="9" style="2"/>
    <col min="11761" max="11761" width="2.375" style="2" customWidth="1"/>
    <col min="11762" max="11762" width="13.25" style="2" bestFit="1" customWidth="1"/>
    <col min="11763" max="11763" width="11.125" style="2" bestFit="1" customWidth="1"/>
    <col min="11764" max="11764" width="9.625" style="2" bestFit="1" customWidth="1"/>
    <col min="11765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69" width="11.125" style="2" bestFit="1" customWidth="1"/>
    <col min="11770" max="11770" width="9" style="2"/>
    <col min="11771" max="11771" width="11.125" style="2" bestFit="1" customWidth="1"/>
    <col min="11772" max="11772" width="9" style="2"/>
    <col min="11773" max="11781" width="11.125" style="2" bestFit="1" customWidth="1"/>
    <col min="11782" max="11782" width="9" style="2"/>
    <col min="11783" max="11783" width="8" style="2" bestFit="1" customWidth="1"/>
    <col min="11784" max="11787" width="9" style="2"/>
    <col min="11788" max="11789" width="11.125" style="2" bestFit="1" customWidth="1"/>
    <col min="11790" max="11790" width="9" style="2"/>
    <col min="11791" max="11791" width="9.625" style="2" bestFit="1" customWidth="1"/>
    <col min="11792" max="12016" width="9" style="2"/>
    <col min="12017" max="12017" width="2.375" style="2" customWidth="1"/>
    <col min="12018" max="12018" width="13.25" style="2" bestFit="1" customWidth="1"/>
    <col min="12019" max="12019" width="11.125" style="2" bestFit="1" customWidth="1"/>
    <col min="12020" max="12020" width="9.625" style="2" bestFit="1" customWidth="1"/>
    <col min="12021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25" width="11.125" style="2" bestFit="1" customWidth="1"/>
    <col min="12026" max="12026" width="9" style="2"/>
    <col min="12027" max="12027" width="11.125" style="2" bestFit="1" customWidth="1"/>
    <col min="12028" max="12028" width="9" style="2"/>
    <col min="12029" max="12037" width="11.125" style="2" bestFit="1" customWidth="1"/>
    <col min="12038" max="12038" width="9" style="2"/>
    <col min="12039" max="12039" width="8" style="2" bestFit="1" customWidth="1"/>
    <col min="12040" max="12043" width="9" style="2"/>
    <col min="12044" max="12045" width="11.125" style="2" bestFit="1" customWidth="1"/>
    <col min="12046" max="12046" width="9" style="2"/>
    <col min="12047" max="12047" width="9.625" style="2" bestFit="1" customWidth="1"/>
    <col min="12048" max="12272" width="9" style="2"/>
    <col min="12273" max="12273" width="2.375" style="2" customWidth="1"/>
    <col min="12274" max="12274" width="13.25" style="2" bestFit="1" customWidth="1"/>
    <col min="12275" max="12275" width="11.125" style="2" bestFit="1" customWidth="1"/>
    <col min="12276" max="12276" width="9.625" style="2" bestFit="1" customWidth="1"/>
    <col min="12277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81" width="11.125" style="2" bestFit="1" customWidth="1"/>
    <col min="12282" max="12282" width="9" style="2"/>
    <col min="12283" max="12283" width="11.125" style="2" bestFit="1" customWidth="1"/>
    <col min="12284" max="12284" width="9" style="2"/>
    <col min="12285" max="12293" width="11.125" style="2" bestFit="1" customWidth="1"/>
    <col min="12294" max="12294" width="9" style="2"/>
    <col min="12295" max="12295" width="8" style="2" bestFit="1" customWidth="1"/>
    <col min="12296" max="12299" width="9" style="2"/>
    <col min="12300" max="12301" width="11.125" style="2" bestFit="1" customWidth="1"/>
    <col min="12302" max="12302" width="9" style="2"/>
    <col min="12303" max="12303" width="9.625" style="2" bestFit="1" customWidth="1"/>
    <col min="12304" max="12528" width="9" style="2"/>
    <col min="12529" max="12529" width="2.375" style="2" customWidth="1"/>
    <col min="12530" max="12530" width="13.25" style="2" bestFit="1" customWidth="1"/>
    <col min="12531" max="12531" width="11.125" style="2" bestFit="1" customWidth="1"/>
    <col min="12532" max="12532" width="9.625" style="2" bestFit="1" customWidth="1"/>
    <col min="12533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37" width="11.125" style="2" bestFit="1" customWidth="1"/>
    <col min="12538" max="12538" width="9" style="2"/>
    <col min="12539" max="12539" width="11.125" style="2" bestFit="1" customWidth="1"/>
    <col min="12540" max="12540" width="9" style="2"/>
    <col min="12541" max="12549" width="11.125" style="2" bestFit="1" customWidth="1"/>
    <col min="12550" max="12550" width="9" style="2"/>
    <col min="12551" max="12551" width="8" style="2" bestFit="1" customWidth="1"/>
    <col min="12552" max="12555" width="9" style="2"/>
    <col min="12556" max="12557" width="11.125" style="2" bestFit="1" customWidth="1"/>
    <col min="12558" max="12558" width="9" style="2"/>
    <col min="12559" max="12559" width="9.625" style="2" bestFit="1" customWidth="1"/>
    <col min="12560" max="12784" width="9" style="2"/>
    <col min="12785" max="12785" width="2.375" style="2" customWidth="1"/>
    <col min="12786" max="12786" width="13.25" style="2" bestFit="1" customWidth="1"/>
    <col min="12787" max="12787" width="11.125" style="2" bestFit="1" customWidth="1"/>
    <col min="12788" max="12788" width="9.625" style="2" bestFit="1" customWidth="1"/>
    <col min="12789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793" width="11.125" style="2" bestFit="1" customWidth="1"/>
    <col min="12794" max="12794" width="9" style="2"/>
    <col min="12795" max="12795" width="11.125" style="2" bestFit="1" customWidth="1"/>
    <col min="12796" max="12796" width="9" style="2"/>
    <col min="12797" max="12805" width="11.125" style="2" bestFit="1" customWidth="1"/>
    <col min="12806" max="12806" width="9" style="2"/>
    <col min="12807" max="12807" width="8" style="2" bestFit="1" customWidth="1"/>
    <col min="12808" max="12811" width="9" style="2"/>
    <col min="12812" max="12813" width="11.125" style="2" bestFit="1" customWidth="1"/>
    <col min="12814" max="12814" width="9" style="2"/>
    <col min="12815" max="12815" width="9.625" style="2" bestFit="1" customWidth="1"/>
    <col min="12816" max="13040" width="9" style="2"/>
    <col min="13041" max="13041" width="2.375" style="2" customWidth="1"/>
    <col min="13042" max="13042" width="13.25" style="2" bestFit="1" customWidth="1"/>
    <col min="13043" max="13043" width="11.125" style="2" bestFit="1" customWidth="1"/>
    <col min="13044" max="13044" width="9.625" style="2" bestFit="1" customWidth="1"/>
    <col min="13045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49" width="11.125" style="2" bestFit="1" customWidth="1"/>
    <col min="13050" max="13050" width="9" style="2"/>
    <col min="13051" max="13051" width="11.125" style="2" bestFit="1" customWidth="1"/>
    <col min="13052" max="13052" width="9" style="2"/>
    <col min="13053" max="13061" width="11.125" style="2" bestFit="1" customWidth="1"/>
    <col min="13062" max="13062" width="9" style="2"/>
    <col min="13063" max="13063" width="8" style="2" bestFit="1" customWidth="1"/>
    <col min="13064" max="13067" width="9" style="2"/>
    <col min="13068" max="13069" width="11.125" style="2" bestFit="1" customWidth="1"/>
    <col min="13070" max="13070" width="9" style="2"/>
    <col min="13071" max="13071" width="9.625" style="2" bestFit="1" customWidth="1"/>
    <col min="13072" max="13296" width="9" style="2"/>
    <col min="13297" max="13297" width="2.375" style="2" customWidth="1"/>
    <col min="13298" max="13298" width="13.25" style="2" bestFit="1" customWidth="1"/>
    <col min="13299" max="13299" width="11.125" style="2" bestFit="1" customWidth="1"/>
    <col min="13300" max="13300" width="9.625" style="2" bestFit="1" customWidth="1"/>
    <col min="13301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05" width="11.125" style="2" bestFit="1" customWidth="1"/>
    <col min="13306" max="13306" width="9" style="2"/>
    <col min="13307" max="13307" width="11.125" style="2" bestFit="1" customWidth="1"/>
    <col min="13308" max="13308" width="9" style="2"/>
    <col min="13309" max="13317" width="11.125" style="2" bestFit="1" customWidth="1"/>
    <col min="13318" max="13318" width="9" style="2"/>
    <col min="13319" max="13319" width="8" style="2" bestFit="1" customWidth="1"/>
    <col min="13320" max="13323" width="9" style="2"/>
    <col min="13324" max="13325" width="11.125" style="2" bestFit="1" customWidth="1"/>
    <col min="13326" max="13326" width="9" style="2"/>
    <col min="13327" max="13327" width="9.625" style="2" bestFit="1" customWidth="1"/>
    <col min="13328" max="13552" width="9" style="2"/>
    <col min="13553" max="13553" width="2.375" style="2" customWidth="1"/>
    <col min="13554" max="13554" width="13.25" style="2" bestFit="1" customWidth="1"/>
    <col min="13555" max="13555" width="11.125" style="2" bestFit="1" customWidth="1"/>
    <col min="13556" max="13556" width="9.625" style="2" bestFit="1" customWidth="1"/>
    <col min="13557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61" width="11.125" style="2" bestFit="1" customWidth="1"/>
    <col min="13562" max="13562" width="9" style="2"/>
    <col min="13563" max="13563" width="11.125" style="2" bestFit="1" customWidth="1"/>
    <col min="13564" max="13564" width="9" style="2"/>
    <col min="13565" max="13573" width="11.125" style="2" bestFit="1" customWidth="1"/>
    <col min="13574" max="13574" width="9" style="2"/>
    <col min="13575" max="13575" width="8" style="2" bestFit="1" customWidth="1"/>
    <col min="13576" max="13579" width="9" style="2"/>
    <col min="13580" max="13581" width="11.125" style="2" bestFit="1" customWidth="1"/>
    <col min="13582" max="13582" width="9" style="2"/>
    <col min="13583" max="13583" width="9.625" style="2" bestFit="1" customWidth="1"/>
    <col min="13584" max="13808" width="9" style="2"/>
    <col min="13809" max="13809" width="2.375" style="2" customWidth="1"/>
    <col min="13810" max="13810" width="13.25" style="2" bestFit="1" customWidth="1"/>
    <col min="13811" max="13811" width="11.125" style="2" bestFit="1" customWidth="1"/>
    <col min="13812" max="13812" width="9.625" style="2" bestFit="1" customWidth="1"/>
    <col min="13813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17" width="11.125" style="2" bestFit="1" customWidth="1"/>
    <col min="13818" max="13818" width="9" style="2"/>
    <col min="13819" max="13819" width="11.125" style="2" bestFit="1" customWidth="1"/>
    <col min="13820" max="13820" width="9" style="2"/>
    <col min="13821" max="13829" width="11.125" style="2" bestFit="1" customWidth="1"/>
    <col min="13830" max="13830" width="9" style="2"/>
    <col min="13831" max="13831" width="8" style="2" bestFit="1" customWidth="1"/>
    <col min="13832" max="13835" width="9" style="2"/>
    <col min="13836" max="13837" width="11.125" style="2" bestFit="1" customWidth="1"/>
    <col min="13838" max="13838" width="9" style="2"/>
    <col min="13839" max="13839" width="9.625" style="2" bestFit="1" customWidth="1"/>
    <col min="13840" max="14064" width="9" style="2"/>
    <col min="14065" max="14065" width="2.375" style="2" customWidth="1"/>
    <col min="14066" max="14066" width="13.25" style="2" bestFit="1" customWidth="1"/>
    <col min="14067" max="14067" width="11.125" style="2" bestFit="1" customWidth="1"/>
    <col min="14068" max="14068" width="9.625" style="2" bestFit="1" customWidth="1"/>
    <col min="14069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73" width="11.125" style="2" bestFit="1" customWidth="1"/>
    <col min="14074" max="14074" width="9" style="2"/>
    <col min="14075" max="14075" width="11.125" style="2" bestFit="1" customWidth="1"/>
    <col min="14076" max="14076" width="9" style="2"/>
    <col min="14077" max="14085" width="11.125" style="2" bestFit="1" customWidth="1"/>
    <col min="14086" max="14086" width="9" style="2"/>
    <col min="14087" max="14087" width="8" style="2" bestFit="1" customWidth="1"/>
    <col min="14088" max="14091" width="9" style="2"/>
    <col min="14092" max="14093" width="11.125" style="2" bestFit="1" customWidth="1"/>
    <col min="14094" max="14094" width="9" style="2"/>
    <col min="14095" max="14095" width="9.625" style="2" bestFit="1" customWidth="1"/>
    <col min="14096" max="14320" width="9" style="2"/>
    <col min="14321" max="14321" width="2.375" style="2" customWidth="1"/>
    <col min="14322" max="14322" width="13.25" style="2" bestFit="1" customWidth="1"/>
    <col min="14323" max="14323" width="11.125" style="2" bestFit="1" customWidth="1"/>
    <col min="14324" max="14324" width="9.625" style="2" bestFit="1" customWidth="1"/>
    <col min="14325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29" width="11.125" style="2" bestFit="1" customWidth="1"/>
    <col min="14330" max="14330" width="9" style="2"/>
    <col min="14331" max="14331" width="11.125" style="2" bestFit="1" customWidth="1"/>
    <col min="14332" max="14332" width="9" style="2"/>
    <col min="14333" max="14341" width="11.125" style="2" bestFit="1" customWidth="1"/>
    <col min="14342" max="14342" width="9" style="2"/>
    <col min="14343" max="14343" width="8" style="2" bestFit="1" customWidth="1"/>
    <col min="14344" max="14347" width="9" style="2"/>
    <col min="14348" max="14349" width="11.125" style="2" bestFit="1" customWidth="1"/>
    <col min="14350" max="14350" width="9" style="2"/>
    <col min="14351" max="14351" width="9.625" style="2" bestFit="1" customWidth="1"/>
    <col min="14352" max="14576" width="9" style="2"/>
    <col min="14577" max="14577" width="2.375" style="2" customWidth="1"/>
    <col min="14578" max="14578" width="13.25" style="2" bestFit="1" customWidth="1"/>
    <col min="14579" max="14579" width="11.125" style="2" bestFit="1" customWidth="1"/>
    <col min="14580" max="14580" width="9.625" style="2" bestFit="1" customWidth="1"/>
    <col min="14581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85" width="11.125" style="2" bestFit="1" customWidth="1"/>
    <col min="14586" max="14586" width="9" style="2"/>
    <col min="14587" max="14587" width="11.125" style="2" bestFit="1" customWidth="1"/>
    <col min="14588" max="14588" width="9" style="2"/>
    <col min="14589" max="14597" width="11.125" style="2" bestFit="1" customWidth="1"/>
    <col min="14598" max="14598" width="9" style="2"/>
    <col min="14599" max="14599" width="8" style="2" bestFit="1" customWidth="1"/>
    <col min="14600" max="14603" width="9" style="2"/>
    <col min="14604" max="14605" width="11.125" style="2" bestFit="1" customWidth="1"/>
    <col min="14606" max="14606" width="9" style="2"/>
    <col min="14607" max="14607" width="9.625" style="2" bestFit="1" customWidth="1"/>
    <col min="14608" max="14832" width="9" style="2"/>
    <col min="14833" max="14833" width="2.375" style="2" customWidth="1"/>
    <col min="14834" max="14834" width="13.25" style="2" bestFit="1" customWidth="1"/>
    <col min="14835" max="14835" width="11.125" style="2" bestFit="1" customWidth="1"/>
    <col min="14836" max="14836" width="9.625" style="2" bestFit="1" customWidth="1"/>
    <col min="14837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41" width="11.125" style="2" bestFit="1" customWidth="1"/>
    <col min="14842" max="14842" width="9" style="2"/>
    <col min="14843" max="14843" width="11.125" style="2" bestFit="1" customWidth="1"/>
    <col min="14844" max="14844" width="9" style="2"/>
    <col min="14845" max="14853" width="11.125" style="2" bestFit="1" customWidth="1"/>
    <col min="14854" max="14854" width="9" style="2"/>
    <col min="14855" max="14855" width="8" style="2" bestFit="1" customWidth="1"/>
    <col min="14856" max="14859" width="9" style="2"/>
    <col min="14860" max="14861" width="11.125" style="2" bestFit="1" customWidth="1"/>
    <col min="14862" max="14862" width="9" style="2"/>
    <col min="14863" max="14863" width="9.625" style="2" bestFit="1" customWidth="1"/>
    <col min="14864" max="15088" width="9" style="2"/>
    <col min="15089" max="15089" width="2.375" style="2" customWidth="1"/>
    <col min="15090" max="15090" width="13.25" style="2" bestFit="1" customWidth="1"/>
    <col min="15091" max="15091" width="11.125" style="2" bestFit="1" customWidth="1"/>
    <col min="15092" max="15092" width="9.625" style="2" bestFit="1" customWidth="1"/>
    <col min="15093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097" width="11.125" style="2" bestFit="1" customWidth="1"/>
    <col min="15098" max="15098" width="9" style="2"/>
    <col min="15099" max="15099" width="11.125" style="2" bestFit="1" customWidth="1"/>
    <col min="15100" max="15100" width="9" style="2"/>
    <col min="15101" max="15109" width="11.125" style="2" bestFit="1" customWidth="1"/>
    <col min="15110" max="15110" width="9" style="2"/>
    <col min="15111" max="15111" width="8" style="2" bestFit="1" customWidth="1"/>
    <col min="15112" max="15115" width="9" style="2"/>
    <col min="15116" max="15117" width="11.125" style="2" bestFit="1" customWidth="1"/>
    <col min="15118" max="15118" width="9" style="2"/>
    <col min="15119" max="15119" width="9.625" style="2" bestFit="1" customWidth="1"/>
    <col min="15120" max="15344" width="9" style="2"/>
    <col min="15345" max="15345" width="2.375" style="2" customWidth="1"/>
    <col min="15346" max="15346" width="13.25" style="2" bestFit="1" customWidth="1"/>
    <col min="15347" max="15347" width="11.125" style="2" bestFit="1" customWidth="1"/>
    <col min="15348" max="15348" width="9.625" style="2" bestFit="1" customWidth="1"/>
    <col min="15349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53" width="11.125" style="2" bestFit="1" customWidth="1"/>
    <col min="15354" max="15354" width="9" style="2"/>
    <col min="15355" max="15355" width="11.125" style="2" bestFit="1" customWidth="1"/>
    <col min="15356" max="15356" width="9" style="2"/>
    <col min="15357" max="15365" width="11.125" style="2" bestFit="1" customWidth="1"/>
    <col min="15366" max="15366" width="9" style="2"/>
    <col min="15367" max="15367" width="8" style="2" bestFit="1" customWidth="1"/>
    <col min="15368" max="15371" width="9" style="2"/>
    <col min="15372" max="15373" width="11.125" style="2" bestFit="1" customWidth="1"/>
    <col min="15374" max="15374" width="9" style="2"/>
    <col min="15375" max="15375" width="9.625" style="2" bestFit="1" customWidth="1"/>
    <col min="15376" max="15600" width="9" style="2"/>
    <col min="15601" max="15601" width="2.375" style="2" customWidth="1"/>
    <col min="15602" max="15602" width="13.25" style="2" bestFit="1" customWidth="1"/>
    <col min="15603" max="15603" width="11.125" style="2" bestFit="1" customWidth="1"/>
    <col min="15604" max="15604" width="9.625" style="2" bestFit="1" customWidth="1"/>
    <col min="15605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09" width="11.125" style="2" bestFit="1" customWidth="1"/>
    <col min="15610" max="15610" width="9" style="2"/>
    <col min="15611" max="15611" width="11.125" style="2" bestFit="1" customWidth="1"/>
    <col min="15612" max="15612" width="9" style="2"/>
    <col min="15613" max="15621" width="11.125" style="2" bestFit="1" customWidth="1"/>
    <col min="15622" max="15622" width="9" style="2"/>
    <col min="15623" max="15623" width="8" style="2" bestFit="1" customWidth="1"/>
    <col min="15624" max="15627" width="9" style="2"/>
    <col min="15628" max="15629" width="11.125" style="2" bestFit="1" customWidth="1"/>
    <col min="15630" max="15630" width="9" style="2"/>
    <col min="15631" max="15631" width="9.625" style="2" bestFit="1" customWidth="1"/>
    <col min="15632" max="15856" width="9" style="2"/>
    <col min="15857" max="15857" width="2.375" style="2" customWidth="1"/>
    <col min="15858" max="15858" width="13.25" style="2" bestFit="1" customWidth="1"/>
    <col min="15859" max="15859" width="11.125" style="2" bestFit="1" customWidth="1"/>
    <col min="15860" max="15860" width="9.625" style="2" bestFit="1" customWidth="1"/>
    <col min="15861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65" width="11.125" style="2" bestFit="1" customWidth="1"/>
    <col min="15866" max="15866" width="9" style="2"/>
    <col min="15867" max="15867" width="11.125" style="2" bestFit="1" customWidth="1"/>
    <col min="15868" max="15868" width="9" style="2"/>
    <col min="15869" max="15877" width="11.125" style="2" bestFit="1" customWidth="1"/>
    <col min="15878" max="15878" width="9" style="2"/>
    <col min="15879" max="15879" width="8" style="2" bestFit="1" customWidth="1"/>
    <col min="15880" max="15883" width="9" style="2"/>
    <col min="15884" max="15885" width="11.125" style="2" bestFit="1" customWidth="1"/>
    <col min="15886" max="15886" width="9" style="2"/>
    <col min="15887" max="15887" width="9.625" style="2" bestFit="1" customWidth="1"/>
    <col min="15888" max="16112" width="9" style="2"/>
    <col min="16113" max="16113" width="2.375" style="2" customWidth="1"/>
    <col min="16114" max="16114" width="13.25" style="2" bestFit="1" customWidth="1"/>
    <col min="16115" max="16115" width="11.125" style="2" bestFit="1" customWidth="1"/>
    <col min="16116" max="16116" width="9.625" style="2" bestFit="1" customWidth="1"/>
    <col min="16117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21" width="11.125" style="2" bestFit="1" customWidth="1"/>
    <col min="16122" max="16122" width="9" style="2"/>
    <col min="16123" max="16123" width="11.125" style="2" bestFit="1" customWidth="1"/>
    <col min="16124" max="16124" width="9" style="2"/>
    <col min="16125" max="16133" width="11.125" style="2" bestFit="1" customWidth="1"/>
    <col min="16134" max="16134" width="9" style="2"/>
    <col min="16135" max="16135" width="8" style="2" bestFit="1" customWidth="1"/>
    <col min="16136" max="16139" width="9" style="2"/>
    <col min="16140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119</v>
      </c>
    </row>
    <row r="4" spans="1:17">
      <c r="B4" s="3"/>
      <c r="C4" s="65" t="s">
        <v>5</v>
      </c>
      <c r="D4" s="54" t="s">
        <v>6</v>
      </c>
      <c r="E4" s="7" t="s">
        <v>28</v>
      </c>
      <c r="F4" s="7" t="s">
        <v>29</v>
      </c>
      <c r="G4" s="7" t="s">
        <v>24</v>
      </c>
      <c r="H4" s="7" t="s">
        <v>25</v>
      </c>
      <c r="I4" s="7" t="s">
        <v>26</v>
      </c>
      <c r="J4" s="7" t="s">
        <v>27</v>
      </c>
      <c r="K4" s="8" t="s">
        <v>30</v>
      </c>
      <c r="L4" s="76" t="s">
        <v>120</v>
      </c>
      <c r="M4" s="78" t="s">
        <v>7</v>
      </c>
      <c r="N4" s="76" t="s">
        <v>120</v>
      </c>
      <c r="O4" s="89" t="s">
        <v>60</v>
      </c>
    </row>
    <row r="5" spans="1:17" ht="19.5" thickBot="1">
      <c r="A5" s="91"/>
      <c r="B5" s="25" t="s">
        <v>31</v>
      </c>
      <c r="C5" s="66" t="s">
        <v>34</v>
      </c>
      <c r="D5" s="55" t="s">
        <v>35</v>
      </c>
      <c r="E5" s="27" t="s">
        <v>57</v>
      </c>
      <c r="F5" s="27" t="s">
        <v>58</v>
      </c>
      <c r="G5" s="27" t="s">
        <v>53</v>
      </c>
      <c r="H5" s="27" t="s">
        <v>54</v>
      </c>
      <c r="I5" s="27" t="s">
        <v>55</v>
      </c>
      <c r="J5" s="27" t="s">
        <v>56</v>
      </c>
      <c r="K5" s="28" t="s">
        <v>59</v>
      </c>
      <c r="L5" s="77" t="s">
        <v>122</v>
      </c>
      <c r="M5" s="79" t="s">
        <v>36</v>
      </c>
      <c r="N5" s="77" t="s">
        <v>123</v>
      </c>
      <c r="O5" s="90" t="s">
        <v>124</v>
      </c>
    </row>
    <row r="6" spans="1:17">
      <c r="A6" s="1" t="s">
        <v>2</v>
      </c>
      <c r="B6" s="21" t="s">
        <v>61</v>
      </c>
      <c r="C6" s="67">
        <v>21</v>
      </c>
      <c r="D6" s="56">
        <v>21</v>
      </c>
      <c r="E6" s="23">
        <v>14</v>
      </c>
      <c r="F6" s="23">
        <v>15</v>
      </c>
      <c r="G6" s="23">
        <v>0</v>
      </c>
      <c r="H6" s="23">
        <v>10</v>
      </c>
      <c r="I6" s="23">
        <v>6</v>
      </c>
      <c r="J6" s="23">
        <v>10</v>
      </c>
      <c r="K6" s="24">
        <v>10</v>
      </c>
      <c r="L6" s="67">
        <f>SUM(C6:K6)</f>
        <v>107</v>
      </c>
      <c r="M6" s="80">
        <v>20</v>
      </c>
      <c r="N6" s="67">
        <f>SUM(M6)</f>
        <v>20</v>
      </c>
      <c r="O6" s="67">
        <v>457</v>
      </c>
      <c r="Q6"/>
    </row>
    <row r="7" spans="1:17">
      <c r="A7" s="1" t="s">
        <v>2</v>
      </c>
      <c r="B7" s="4" t="s">
        <v>62</v>
      </c>
      <c r="C7" s="68">
        <v>0</v>
      </c>
      <c r="D7" s="57">
        <v>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1">
        <v>0</v>
      </c>
      <c r="L7" s="68"/>
      <c r="M7" s="81">
        <v>0</v>
      </c>
      <c r="N7" s="68"/>
      <c r="O7" s="68">
        <v>52</v>
      </c>
      <c r="Q7"/>
    </row>
    <row r="8" spans="1:17">
      <c r="A8" s="1" t="s">
        <v>2</v>
      </c>
      <c r="B8" s="4" t="s">
        <v>63</v>
      </c>
      <c r="C8" s="68">
        <v>0</v>
      </c>
      <c r="D8" s="57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1">
        <v>0</v>
      </c>
      <c r="L8" s="68"/>
      <c r="M8" s="81">
        <v>0</v>
      </c>
      <c r="N8" s="68"/>
      <c r="O8" s="68">
        <v>38</v>
      </c>
      <c r="Q8"/>
    </row>
    <row r="9" spans="1:17">
      <c r="A9" s="1" t="s">
        <v>2</v>
      </c>
      <c r="B9" s="4" t="s">
        <v>64</v>
      </c>
      <c r="C9" s="68">
        <v>0</v>
      </c>
      <c r="D9" s="57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1">
        <v>0</v>
      </c>
      <c r="L9" s="68"/>
      <c r="M9" s="81">
        <v>0</v>
      </c>
      <c r="N9" s="68"/>
      <c r="O9" s="68">
        <v>3</v>
      </c>
      <c r="Q9"/>
    </row>
    <row r="10" spans="1:17">
      <c r="A10" s="1" t="s">
        <v>2</v>
      </c>
      <c r="B10" s="4" t="s">
        <v>65</v>
      </c>
      <c r="C10" s="68">
        <v>0</v>
      </c>
      <c r="D10" s="57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0</v>
      </c>
      <c r="K10" s="11">
        <v>0</v>
      </c>
      <c r="L10" s="68">
        <f>SUM(C10:K10)</f>
        <v>2</v>
      </c>
      <c r="M10" s="81">
        <v>0</v>
      </c>
      <c r="N10" s="68"/>
      <c r="O10" s="68">
        <v>24</v>
      </c>
      <c r="Q10"/>
    </row>
    <row r="11" spans="1:17">
      <c r="A11" s="1" t="s">
        <v>2</v>
      </c>
      <c r="B11" s="4" t="s">
        <v>66</v>
      </c>
      <c r="C11" s="68">
        <v>0</v>
      </c>
      <c r="D11" s="57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1">
        <v>0</v>
      </c>
      <c r="L11" s="68"/>
      <c r="M11" s="81">
        <v>0</v>
      </c>
      <c r="N11" s="68"/>
      <c r="O11" s="68">
        <v>7</v>
      </c>
      <c r="Q11"/>
    </row>
    <row r="12" spans="1:17">
      <c r="A12" s="1" t="s">
        <v>2</v>
      </c>
      <c r="B12" s="4" t="s">
        <v>67</v>
      </c>
      <c r="C12" s="68">
        <v>0</v>
      </c>
      <c r="D12" s="57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1">
        <v>0</v>
      </c>
      <c r="L12" s="68"/>
      <c r="M12" s="81">
        <v>0</v>
      </c>
      <c r="N12" s="68"/>
      <c r="O12" s="68">
        <v>15.9</v>
      </c>
      <c r="Q12"/>
    </row>
    <row r="13" spans="1:17">
      <c r="A13" s="1" t="s">
        <v>2</v>
      </c>
      <c r="B13" s="4" t="s">
        <v>68</v>
      </c>
      <c r="C13" s="68">
        <v>0</v>
      </c>
      <c r="D13" s="57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1">
        <v>0</v>
      </c>
      <c r="L13" s="68"/>
      <c r="M13" s="81">
        <v>0</v>
      </c>
      <c r="N13" s="68"/>
      <c r="O13" s="68">
        <v>0</v>
      </c>
      <c r="Q13"/>
    </row>
    <row r="14" spans="1:17">
      <c r="A14" s="1" t="s">
        <v>2</v>
      </c>
      <c r="B14" s="4" t="s">
        <v>69</v>
      </c>
      <c r="C14" s="69">
        <v>0</v>
      </c>
      <c r="D14" s="58">
        <v>0</v>
      </c>
      <c r="E14" s="13">
        <v>3.8333333333333335</v>
      </c>
      <c r="F14" s="13">
        <v>3.7083333333333335</v>
      </c>
      <c r="G14" s="13">
        <v>0</v>
      </c>
      <c r="H14" s="13">
        <v>2.9583333333333335</v>
      </c>
      <c r="I14" s="13">
        <v>1.75</v>
      </c>
      <c r="J14" s="13">
        <v>2.9583333333333335</v>
      </c>
      <c r="K14" s="14">
        <v>3.125</v>
      </c>
      <c r="L14" s="69">
        <f>SUM(C14:K14)</f>
        <v>18.333333333333336</v>
      </c>
      <c r="M14" s="82">
        <v>0</v>
      </c>
      <c r="N14" s="69"/>
      <c r="O14" s="69">
        <v>18.333333333333336</v>
      </c>
      <c r="Q14"/>
    </row>
    <row r="15" spans="1:17">
      <c r="A15" s="1" t="s">
        <v>2</v>
      </c>
      <c r="B15" s="4" t="s">
        <v>70</v>
      </c>
      <c r="C15" s="69">
        <v>0</v>
      </c>
      <c r="D15" s="58">
        <v>1.1666666666666667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0.16666666666666666</v>
      </c>
      <c r="L15" s="69">
        <f t="shared" ref="L15:L16" si="0">SUM(C15:K15)</f>
        <v>1.3333333333333335</v>
      </c>
      <c r="M15" s="82">
        <v>0</v>
      </c>
      <c r="N15" s="69"/>
      <c r="O15" s="69">
        <v>36.416666666666671</v>
      </c>
      <c r="Q15"/>
    </row>
    <row r="16" spans="1:17">
      <c r="A16" s="1" t="s">
        <v>2</v>
      </c>
      <c r="B16" s="4" t="s">
        <v>71</v>
      </c>
      <c r="C16" s="69">
        <v>0</v>
      </c>
      <c r="D16" s="58">
        <v>0.95833333333333337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0</v>
      </c>
      <c r="L16" s="69">
        <f t="shared" si="0"/>
        <v>0.95833333333333337</v>
      </c>
      <c r="M16" s="82">
        <v>0</v>
      </c>
      <c r="N16" s="69"/>
      <c r="O16" s="69">
        <v>20.5</v>
      </c>
      <c r="Q16"/>
    </row>
    <row r="17" spans="1:17">
      <c r="A17" s="1" t="s">
        <v>2</v>
      </c>
      <c r="B17" s="4" t="s">
        <v>72</v>
      </c>
      <c r="C17" s="69">
        <v>0</v>
      </c>
      <c r="D17" s="58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0</v>
      </c>
      <c r="L17" s="69"/>
      <c r="M17" s="82">
        <v>0</v>
      </c>
      <c r="N17" s="69"/>
      <c r="O17" s="69">
        <v>13.375</v>
      </c>
      <c r="Q17"/>
    </row>
    <row r="18" spans="1:17">
      <c r="A18" s="1" t="s">
        <v>2</v>
      </c>
      <c r="B18" s="4" t="s">
        <v>73</v>
      </c>
      <c r="C18" s="69">
        <v>0</v>
      </c>
      <c r="D18" s="58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0</v>
      </c>
      <c r="L18" s="69"/>
      <c r="M18" s="82">
        <v>0</v>
      </c>
      <c r="N18" s="69"/>
      <c r="O18" s="69">
        <v>1.0416666666666665</v>
      </c>
      <c r="Q18"/>
    </row>
    <row r="19" spans="1:17">
      <c r="A19" s="1" t="s">
        <v>2</v>
      </c>
      <c r="B19" s="4" t="s">
        <v>74</v>
      </c>
      <c r="C19" s="69">
        <v>0</v>
      </c>
      <c r="D19" s="58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0</v>
      </c>
      <c r="L19" s="69"/>
      <c r="M19" s="82">
        <v>0</v>
      </c>
      <c r="N19" s="69"/>
      <c r="O19" s="69">
        <v>0.25</v>
      </c>
      <c r="Q19"/>
    </row>
    <row r="20" spans="1:17">
      <c r="A20" s="1" t="s">
        <v>2</v>
      </c>
      <c r="B20" s="4" t="s">
        <v>76</v>
      </c>
      <c r="C20" s="69">
        <v>0</v>
      </c>
      <c r="D20" s="58">
        <v>0</v>
      </c>
      <c r="E20" s="13">
        <v>0</v>
      </c>
      <c r="F20" s="13">
        <v>0.29166666666666669</v>
      </c>
      <c r="G20" s="13">
        <v>0.16666666666666666</v>
      </c>
      <c r="H20" s="13">
        <v>0</v>
      </c>
      <c r="I20" s="13">
        <v>0</v>
      </c>
      <c r="J20" s="13">
        <v>0</v>
      </c>
      <c r="K20" s="14">
        <v>0</v>
      </c>
      <c r="L20" s="69">
        <f>SUM(C20:K20)</f>
        <v>0.45833333333333337</v>
      </c>
      <c r="M20" s="82">
        <v>0</v>
      </c>
      <c r="N20" s="69"/>
      <c r="O20" s="69">
        <v>0.45833333333333337</v>
      </c>
      <c r="Q20"/>
    </row>
    <row r="21" spans="1:17">
      <c r="A21" s="1" t="s">
        <v>2</v>
      </c>
      <c r="B21" s="4" t="s">
        <v>77</v>
      </c>
      <c r="C21" s="69">
        <v>0</v>
      </c>
      <c r="D21" s="58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0</v>
      </c>
      <c r="L21" s="69"/>
      <c r="M21" s="82">
        <v>0</v>
      </c>
      <c r="N21" s="69"/>
      <c r="O21" s="69">
        <v>0</v>
      </c>
      <c r="Q21"/>
    </row>
    <row r="22" spans="1:17">
      <c r="A22" s="1" t="s">
        <v>2</v>
      </c>
      <c r="B22" s="4" t="s">
        <v>78</v>
      </c>
      <c r="C22" s="69">
        <v>0.70833333333333337</v>
      </c>
      <c r="D22" s="58">
        <v>0</v>
      </c>
      <c r="E22" s="13">
        <v>0</v>
      </c>
      <c r="F22" s="13">
        <v>0</v>
      </c>
      <c r="G22" s="13">
        <v>0</v>
      </c>
      <c r="H22" s="13">
        <v>2.0833333333333335</v>
      </c>
      <c r="I22" s="13">
        <v>1.25</v>
      </c>
      <c r="J22" s="13">
        <v>2.0833333333333335</v>
      </c>
      <c r="K22" s="14">
        <v>1.0416666666666667</v>
      </c>
      <c r="L22" s="69">
        <f>SUM(C22:K22)</f>
        <v>7.166666666666667</v>
      </c>
      <c r="M22" s="82">
        <v>0</v>
      </c>
      <c r="N22" s="69"/>
      <c r="O22" s="69">
        <v>20.458333333333332</v>
      </c>
      <c r="Q22"/>
    </row>
    <row r="23" spans="1:17" ht="19.5" thickBot="1">
      <c r="A23" s="1" t="s">
        <v>2</v>
      </c>
      <c r="B23" s="5" t="s">
        <v>79</v>
      </c>
      <c r="C23" s="70">
        <v>37</v>
      </c>
      <c r="D23" s="59">
        <v>38</v>
      </c>
      <c r="E23" s="33">
        <v>20</v>
      </c>
      <c r="F23" s="33">
        <v>18</v>
      </c>
      <c r="G23" s="33">
        <v>19</v>
      </c>
      <c r="H23" s="33">
        <v>5</v>
      </c>
      <c r="I23" s="33">
        <v>3</v>
      </c>
      <c r="J23" s="33">
        <v>3</v>
      </c>
      <c r="K23" s="34">
        <v>3</v>
      </c>
      <c r="L23" s="70">
        <f>SUM(C23:K23)</f>
        <v>146</v>
      </c>
      <c r="M23" s="83">
        <v>39</v>
      </c>
      <c r="N23" s="70">
        <f>SUM(M23)</f>
        <v>39</v>
      </c>
      <c r="O23" s="70">
        <v>534</v>
      </c>
      <c r="Q23"/>
    </row>
    <row r="24" spans="1:17">
      <c r="A24" s="1" t="s">
        <v>2</v>
      </c>
      <c r="B24" s="21" t="s">
        <v>80</v>
      </c>
      <c r="C24" s="71">
        <v>485000</v>
      </c>
      <c r="D24" s="60">
        <v>280000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1">
        <v>0</v>
      </c>
      <c r="L24" s="71">
        <f>SUM(C24:K24)</f>
        <v>765000</v>
      </c>
      <c r="M24" s="84">
        <v>375000</v>
      </c>
      <c r="N24" s="71">
        <f>SUM(M24)</f>
        <v>375000</v>
      </c>
      <c r="O24" s="71">
        <v>4346000</v>
      </c>
      <c r="Q24"/>
    </row>
    <row r="25" spans="1:17">
      <c r="A25" s="1" t="s">
        <v>2</v>
      </c>
      <c r="B25" s="4" t="s">
        <v>81</v>
      </c>
      <c r="C25" s="72">
        <v>0</v>
      </c>
      <c r="D25" s="61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72">
        <f t="shared" ref="L25:L62" si="1">SUM(C25:K25)</f>
        <v>0</v>
      </c>
      <c r="M25" s="85">
        <v>0</v>
      </c>
      <c r="N25" s="72">
        <f t="shared" ref="N25:N62" si="2">SUM(M25)</f>
        <v>0</v>
      </c>
      <c r="O25" s="72">
        <v>35000</v>
      </c>
      <c r="Q25"/>
    </row>
    <row r="26" spans="1:17">
      <c r="A26" s="1" t="s">
        <v>2</v>
      </c>
      <c r="B26" s="4" t="s">
        <v>82</v>
      </c>
      <c r="C26" s="72">
        <v>0</v>
      </c>
      <c r="D26" s="61">
        <v>3000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7">
        <v>0</v>
      </c>
      <c r="L26" s="72">
        <f t="shared" si="1"/>
        <v>3000</v>
      </c>
      <c r="M26" s="85">
        <v>0</v>
      </c>
      <c r="N26" s="72">
        <f t="shared" si="2"/>
        <v>0</v>
      </c>
      <c r="O26" s="72">
        <v>6000</v>
      </c>
      <c r="Q26"/>
    </row>
    <row r="27" spans="1:17">
      <c r="A27" s="1" t="s">
        <v>2</v>
      </c>
      <c r="B27" s="4" t="s">
        <v>83</v>
      </c>
      <c r="C27" s="72">
        <v>0</v>
      </c>
      <c r="D27" s="61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72">
        <f t="shared" si="1"/>
        <v>0</v>
      </c>
      <c r="M27" s="85">
        <v>0</v>
      </c>
      <c r="N27" s="72">
        <f t="shared" si="2"/>
        <v>0</v>
      </c>
      <c r="O27" s="72">
        <v>0</v>
      </c>
      <c r="Q27"/>
    </row>
    <row r="28" spans="1:17">
      <c r="A28" s="1" t="s">
        <v>2</v>
      </c>
      <c r="B28" s="4" t="s">
        <v>84</v>
      </c>
      <c r="C28" s="72">
        <v>0</v>
      </c>
      <c r="D28" s="61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7">
        <v>0</v>
      </c>
      <c r="L28" s="72">
        <f t="shared" si="1"/>
        <v>0</v>
      </c>
      <c r="M28" s="85">
        <v>0</v>
      </c>
      <c r="N28" s="72">
        <f t="shared" si="2"/>
        <v>0</v>
      </c>
      <c r="O28" s="72">
        <v>0</v>
      </c>
      <c r="Q28"/>
    </row>
    <row r="29" spans="1:17">
      <c r="A29" s="1" t="s">
        <v>2</v>
      </c>
      <c r="B29" s="4" t="s">
        <v>85</v>
      </c>
      <c r="C29" s="72">
        <v>0</v>
      </c>
      <c r="D29" s="61">
        <v>0</v>
      </c>
      <c r="E29" s="16">
        <v>84640</v>
      </c>
      <c r="F29" s="16">
        <v>81880</v>
      </c>
      <c r="G29" s="16">
        <v>0</v>
      </c>
      <c r="H29" s="16">
        <v>59640</v>
      </c>
      <c r="I29" s="16">
        <v>35280</v>
      </c>
      <c r="J29" s="16">
        <v>59640</v>
      </c>
      <c r="K29" s="17">
        <v>62250</v>
      </c>
      <c r="L29" s="72">
        <f t="shared" si="1"/>
        <v>383330</v>
      </c>
      <c r="M29" s="85">
        <v>0</v>
      </c>
      <c r="N29" s="72">
        <f t="shared" si="2"/>
        <v>0</v>
      </c>
      <c r="O29" s="72">
        <v>383330</v>
      </c>
      <c r="Q29"/>
    </row>
    <row r="30" spans="1:17">
      <c r="A30" s="1" t="s">
        <v>2</v>
      </c>
      <c r="B30" s="4" t="s">
        <v>86</v>
      </c>
      <c r="C30" s="72">
        <v>0</v>
      </c>
      <c r="D30" s="61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7">
        <v>0</v>
      </c>
      <c r="L30" s="72">
        <f t="shared" si="1"/>
        <v>0</v>
      </c>
      <c r="M30" s="85">
        <v>0</v>
      </c>
      <c r="N30" s="72">
        <f t="shared" si="2"/>
        <v>0</v>
      </c>
      <c r="O30" s="72">
        <v>0</v>
      </c>
      <c r="Q30"/>
    </row>
    <row r="31" spans="1:17">
      <c r="A31" s="1" t="s">
        <v>2</v>
      </c>
      <c r="B31" s="4" t="s">
        <v>87</v>
      </c>
      <c r="C31" s="72">
        <v>0</v>
      </c>
      <c r="D31" s="61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7">
        <v>0</v>
      </c>
      <c r="L31" s="72">
        <f t="shared" si="1"/>
        <v>0</v>
      </c>
      <c r="M31" s="85">
        <v>0</v>
      </c>
      <c r="N31" s="72">
        <f t="shared" si="2"/>
        <v>0</v>
      </c>
      <c r="O31" s="72">
        <v>379600</v>
      </c>
      <c r="Q31"/>
    </row>
    <row r="32" spans="1:17">
      <c r="A32" s="1" t="s">
        <v>2</v>
      </c>
      <c r="B32" s="4" t="s">
        <v>88</v>
      </c>
      <c r="C32" s="72">
        <v>0</v>
      </c>
      <c r="D32" s="61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7">
        <v>0</v>
      </c>
      <c r="L32" s="72">
        <f t="shared" si="1"/>
        <v>0</v>
      </c>
      <c r="M32" s="85">
        <v>0</v>
      </c>
      <c r="N32" s="72">
        <f t="shared" si="2"/>
        <v>0</v>
      </c>
      <c r="O32" s="72">
        <v>12000</v>
      </c>
      <c r="Q32"/>
    </row>
    <row r="33" spans="1:17">
      <c r="A33" s="1" t="s">
        <v>2</v>
      </c>
      <c r="B33" s="4" t="s">
        <v>89</v>
      </c>
      <c r="C33" s="72">
        <v>0</v>
      </c>
      <c r="D33" s="61">
        <v>0</v>
      </c>
      <c r="E33" s="16">
        <v>0</v>
      </c>
      <c r="F33" s="16">
        <v>6440</v>
      </c>
      <c r="G33" s="16">
        <v>3360</v>
      </c>
      <c r="H33" s="16">
        <v>0</v>
      </c>
      <c r="I33" s="16">
        <v>0</v>
      </c>
      <c r="J33" s="16">
        <v>0</v>
      </c>
      <c r="K33" s="17">
        <v>0</v>
      </c>
      <c r="L33" s="72">
        <f t="shared" si="1"/>
        <v>9800</v>
      </c>
      <c r="M33" s="85">
        <v>0</v>
      </c>
      <c r="N33" s="72">
        <f t="shared" si="2"/>
        <v>0</v>
      </c>
      <c r="O33" s="72">
        <v>9800</v>
      </c>
      <c r="Q33"/>
    </row>
    <row r="34" spans="1:17">
      <c r="A34" s="1" t="s">
        <v>2</v>
      </c>
      <c r="B34" s="4" t="s">
        <v>90</v>
      </c>
      <c r="C34" s="72">
        <v>0</v>
      </c>
      <c r="D34" s="61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7">
        <v>0</v>
      </c>
      <c r="L34" s="72">
        <f t="shared" si="1"/>
        <v>0</v>
      </c>
      <c r="M34" s="85">
        <v>0</v>
      </c>
      <c r="N34" s="72">
        <f t="shared" si="2"/>
        <v>0</v>
      </c>
      <c r="O34" s="72">
        <v>0</v>
      </c>
      <c r="Q34"/>
    </row>
    <row r="35" spans="1:17">
      <c r="A35" s="1" t="s">
        <v>2</v>
      </c>
      <c r="B35" s="4" t="s">
        <v>91</v>
      </c>
      <c r="C35" s="72">
        <v>0</v>
      </c>
      <c r="D35" s="61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7">
        <v>0</v>
      </c>
      <c r="L35" s="72">
        <f t="shared" si="1"/>
        <v>0</v>
      </c>
      <c r="M35" s="85">
        <v>0</v>
      </c>
      <c r="N35" s="72">
        <f t="shared" si="2"/>
        <v>0</v>
      </c>
      <c r="O35" s="72">
        <v>0</v>
      </c>
      <c r="Q35"/>
    </row>
    <row r="36" spans="1:17">
      <c r="A36" s="1" t="s">
        <v>2</v>
      </c>
      <c r="B36" s="4" t="s">
        <v>92</v>
      </c>
      <c r="C36" s="72">
        <v>0</v>
      </c>
      <c r="D36" s="61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7">
        <v>0</v>
      </c>
      <c r="L36" s="72">
        <f t="shared" si="1"/>
        <v>0</v>
      </c>
      <c r="M36" s="85">
        <v>0</v>
      </c>
      <c r="N36" s="72">
        <f t="shared" si="2"/>
        <v>0</v>
      </c>
      <c r="O36" s="96">
        <v>-132761</v>
      </c>
      <c r="Q36"/>
    </row>
    <row r="37" spans="1:17">
      <c r="A37" s="1" t="s">
        <v>2</v>
      </c>
      <c r="B37" s="4" t="s">
        <v>70</v>
      </c>
      <c r="C37" s="72">
        <v>0</v>
      </c>
      <c r="D37" s="61">
        <v>59332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7">
        <v>4152</v>
      </c>
      <c r="L37" s="72">
        <f t="shared" si="1"/>
        <v>63484</v>
      </c>
      <c r="M37" s="85">
        <v>0</v>
      </c>
      <c r="N37" s="72">
        <f t="shared" si="2"/>
        <v>0</v>
      </c>
      <c r="O37" s="72">
        <v>1216015</v>
      </c>
      <c r="Q37"/>
    </row>
    <row r="38" spans="1:17">
      <c r="A38" s="1" t="s">
        <v>2</v>
      </c>
      <c r="B38" s="4" t="s">
        <v>93</v>
      </c>
      <c r="C38" s="72">
        <v>0</v>
      </c>
      <c r="D38" s="61">
        <v>52624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7">
        <v>0</v>
      </c>
      <c r="L38" s="72">
        <f t="shared" si="1"/>
        <v>52624</v>
      </c>
      <c r="M38" s="85">
        <v>0</v>
      </c>
      <c r="N38" s="72">
        <f t="shared" si="2"/>
        <v>0</v>
      </c>
      <c r="O38" s="72">
        <v>744051</v>
      </c>
      <c r="Q38"/>
    </row>
    <row r="39" spans="1:17">
      <c r="A39" s="1" t="s">
        <v>2</v>
      </c>
      <c r="B39" s="4" t="s">
        <v>94</v>
      </c>
      <c r="C39" s="72">
        <v>0</v>
      </c>
      <c r="D39" s="61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7">
        <v>0</v>
      </c>
      <c r="L39" s="72">
        <f t="shared" si="1"/>
        <v>0</v>
      </c>
      <c r="M39" s="85">
        <v>0</v>
      </c>
      <c r="N39" s="72">
        <f t="shared" si="2"/>
        <v>0</v>
      </c>
      <c r="O39" s="72">
        <v>473953</v>
      </c>
      <c r="Q39"/>
    </row>
    <row r="40" spans="1:17">
      <c r="A40" s="1" t="s">
        <v>2</v>
      </c>
      <c r="B40" s="4" t="s">
        <v>95</v>
      </c>
      <c r="C40" s="72">
        <v>0</v>
      </c>
      <c r="D40" s="61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7">
        <v>0</v>
      </c>
      <c r="L40" s="72">
        <f t="shared" si="1"/>
        <v>0</v>
      </c>
      <c r="M40" s="85">
        <v>0</v>
      </c>
      <c r="N40" s="72">
        <f t="shared" si="2"/>
        <v>0</v>
      </c>
      <c r="O40" s="72">
        <v>9273</v>
      </c>
      <c r="Q40"/>
    </row>
    <row r="41" spans="1:17">
      <c r="A41" s="1" t="s">
        <v>2</v>
      </c>
      <c r="B41" s="4" t="s">
        <v>96</v>
      </c>
      <c r="C41" s="72">
        <v>0</v>
      </c>
      <c r="D41" s="61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7">
        <v>0</v>
      </c>
      <c r="L41" s="72">
        <f t="shared" si="1"/>
        <v>0</v>
      </c>
      <c r="M41" s="85">
        <v>0</v>
      </c>
      <c r="N41" s="72">
        <f t="shared" si="2"/>
        <v>0</v>
      </c>
      <c r="O41" s="72">
        <v>2238</v>
      </c>
      <c r="Q41"/>
    </row>
    <row r="42" spans="1:17">
      <c r="A42" s="1" t="s">
        <v>2</v>
      </c>
      <c r="B42" s="4" t="s">
        <v>97</v>
      </c>
      <c r="C42" s="72">
        <v>0</v>
      </c>
      <c r="D42" s="61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7">
        <v>0</v>
      </c>
      <c r="L42" s="72">
        <f t="shared" si="1"/>
        <v>0</v>
      </c>
      <c r="M42" s="85">
        <v>0</v>
      </c>
      <c r="N42" s="72">
        <f t="shared" si="2"/>
        <v>0</v>
      </c>
      <c r="O42" s="72">
        <v>0</v>
      </c>
      <c r="Q42"/>
    </row>
    <row r="43" spans="1:17">
      <c r="A43" s="1" t="s">
        <v>2</v>
      </c>
      <c r="B43" s="4" t="s">
        <v>75</v>
      </c>
      <c r="C43" s="72">
        <v>0</v>
      </c>
      <c r="D43" s="61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7">
        <v>0</v>
      </c>
      <c r="L43" s="72">
        <f t="shared" si="1"/>
        <v>0</v>
      </c>
      <c r="M43" s="85">
        <v>0</v>
      </c>
      <c r="N43" s="72">
        <f t="shared" si="2"/>
        <v>0</v>
      </c>
      <c r="O43" s="72">
        <v>0</v>
      </c>
      <c r="Q43"/>
    </row>
    <row r="44" spans="1:17" ht="19.5" thickBot="1">
      <c r="A44" s="1" t="s">
        <v>2</v>
      </c>
      <c r="B44" s="35" t="s">
        <v>78</v>
      </c>
      <c r="C44" s="73">
        <v>12342</v>
      </c>
      <c r="D44" s="62">
        <v>0</v>
      </c>
      <c r="E44" s="37">
        <v>0</v>
      </c>
      <c r="F44" s="37">
        <v>0</v>
      </c>
      <c r="G44" s="37">
        <v>0</v>
      </c>
      <c r="H44" s="37">
        <v>10500</v>
      </c>
      <c r="I44" s="37">
        <v>6300</v>
      </c>
      <c r="J44" s="37">
        <v>10500</v>
      </c>
      <c r="K44" s="38">
        <v>5200</v>
      </c>
      <c r="L44" s="73">
        <f t="shared" si="1"/>
        <v>44842</v>
      </c>
      <c r="M44" s="86">
        <v>0</v>
      </c>
      <c r="N44" s="73">
        <f t="shared" si="2"/>
        <v>0</v>
      </c>
      <c r="O44" s="73">
        <v>131885</v>
      </c>
      <c r="Q44"/>
    </row>
    <row r="45" spans="1:17" ht="19.5" thickBot="1">
      <c r="A45" s="1" t="s">
        <v>2</v>
      </c>
      <c r="B45" s="39" t="s">
        <v>98</v>
      </c>
      <c r="C45" s="74">
        <v>497342</v>
      </c>
      <c r="D45" s="63">
        <v>394956</v>
      </c>
      <c r="E45" s="41">
        <v>84640</v>
      </c>
      <c r="F45" s="41">
        <v>88320</v>
      </c>
      <c r="G45" s="41">
        <v>3360</v>
      </c>
      <c r="H45" s="41">
        <v>70140</v>
      </c>
      <c r="I45" s="41">
        <v>41580</v>
      </c>
      <c r="J45" s="41">
        <v>70140</v>
      </c>
      <c r="K45" s="42">
        <v>71602</v>
      </c>
      <c r="L45" s="74">
        <f t="shared" si="1"/>
        <v>1322080</v>
      </c>
      <c r="M45" s="87">
        <v>375000</v>
      </c>
      <c r="N45" s="74">
        <f t="shared" si="2"/>
        <v>375000</v>
      </c>
      <c r="O45" s="74">
        <v>7616384</v>
      </c>
      <c r="Q45"/>
    </row>
    <row r="46" spans="1:17" ht="19.5" thickBot="1">
      <c r="A46" s="1" t="s">
        <v>2</v>
      </c>
      <c r="B46" s="21" t="s">
        <v>99</v>
      </c>
      <c r="C46" s="71">
        <v>9783</v>
      </c>
      <c r="D46" s="60">
        <v>5435</v>
      </c>
      <c r="E46" s="30">
        <v>2706</v>
      </c>
      <c r="F46" s="30">
        <v>1812</v>
      </c>
      <c r="G46" s="30">
        <v>0</v>
      </c>
      <c r="H46" s="30">
        <v>2899</v>
      </c>
      <c r="I46" s="30">
        <v>2174</v>
      </c>
      <c r="J46" s="30">
        <v>3865</v>
      </c>
      <c r="K46" s="31">
        <v>3140</v>
      </c>
      <c r="L46" s="71">
        <f t="shared" si="1"/>
        <v>31814</v>
      </c>
      <c r="M46" s="84">
        <v>7222</v>
      </c>
      <c r="N46" s="71">
        <f t="shared" si="2"/>
        <v>7222</v>
      </c>
      <c r="O46" s="71">
        <v>134692</v>
      </c>
      <c r="Q46"/>
    </row>
    <row r="47" spans="1:17" ht="19.5" thickBot="1">
      <c r="A47" s="1" t="s">
        <v>2</v>
      </c>
      <c r="B47" s="39" t="s">
        <v>100</v>
      </c>
      <c r="C47" s="74">
        <v>9783</v>
      </c>
      <c r="D47" s="63">
        <v>5435</v>
      </c>
      <c r="E47" s="41">
        <v>2706</v>
      </c>
      <c r="F47" s="41">
        <v>1812</v>
      </c>
      <c r="G47" s="41">
        <v>0</v>
      </c>
      <c r="H47" s="41">
        <v>2899</v>
      </c>
      <c r="I47" s="41">
        <v>2174</v>
      </c>
      <c r="J47" s="41">
        <v>3865</v>
      </c>
      <c r="K47" s="42">
        <v>3140</v>
      </c>
      <c r="L47" s="74">
        <f t="shared" si="1"/>
        <v>31814</v>
      </c>
      <c r="M47" s="87">
        <v>7222</v>
      </c>
      <c r="N47" s="74">
        <f t="shared" si="2"/>
        <v>7222</v>
      </c>
      <c r="O47" s="74">
        <v>134692</v>
      </c>
      <c r="Q47"/>
    </row>
    <row r="48" spans="1:17" ht="19.5" thickBot="1">
      <c r="A48" s="1" t="s">
        <v>2</v>
      </c>
      <c r="B48" s="39" t="s">
        <v>101</v>
      </c>
      <c r="C48" s="74">
        <v>507125</v>
      </c>
      <c r="D48" s="63">
        <v>400391</v>
      </c>
      <c r="E48" s="41">
        <v>87346</v>
      </c>
      <c r="F48" s="41">
        <v>90132</v>
      </c>
      <c r="G48" s="41">
        <v>3360</v>
      </c>
      <c r="H48" s="41">
        <v>73039</v>
      </c>
      <c r="I48" s="41">
        <v>43754</v>
      </c>
      <c r="J48" s="41">
        <v>74005</v>
      </c>
      <c r="K48" s="42">
        <v>74742</v>
      </c>
      <c r="L48" s="74">
        <f t="shared" si="1"/>
        <v>1353894</v>
      </c>
      <c r="M48" s="87">
        <v>382222</v>
      </c>
      <c r="N48" s="74">
        <f t="shared" si="2"/>
        <v>382222</v>
      </c>
      <c r="O48" s="74">
        <v>7751076</v>
      </c>
      <c r="Q48"/>
    </row>
    <row r="49" spans="1:17">
      <c r="A49" s="1" t="s">
        <v>2</v>
      </c>
      <c r="B49" s="21" t="s">
        <v>102</v>
      </c>
      <c r="C49" s="71">
        <v>23970</v>
      </c>
      <c r="D49" s="60">
        <v>19380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1">
        <v>0</v>
      </c>
      <c r="L49" s="71">
        <f t="shared" si="1"/>
        <v>43350</v>
      </c>
      <c r="M49" s="84">
        <v>19380</v>
      </c>
      <c r="N49" s="71">
        <f t="shared" si="2"/>
        <v>19380</v>
      </c>
      <c r="O49" s="71">
        <v>351390</v>
      </c>
      <c r="Q49"/>
    </row>
    <row r="50" spans="1:17">
      <c r="A50" s="1" t="s">
        <v>2</v>
      </c>
      <c r="B50" s="4" t="s">
        <v>103</v>
      </c>
      <c r="C50" s="72">
        <v>0</v>
      </c>
      <c r="D50" s="61">
        <v>3420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7">
        <v>0</v>
      </c>
      <c r="L50" s="72">
        <f t="shared" si="1"/>
        <v>3420</v>
      </c>
      <c r="M50" s="85">
        <v>3420</v>
      </c>
      <c r="N50" s="72">
        <f t="shared" si="2"/>
        <v>3420</v>
      </c>
      <c r="O50" s="72">
        <v>54720</v>
      </c>
      <c r="Q50"/>
    </row>
    <row r="51" spans="1:17">
      <c r="A51" s="1" t="s">
        <v>2</v>
      </c>
      <c r="B51" s="4" t="s">
        <v>104</v>
      </c>
      <c r="C51" s="72">
        <v>43005</v>
      </c>
      <c r="D51" s="61">
        <v>34770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7">
        <v>0</v>
      </c>
      <c r="L51" s="72">
        <f t="shared" si="1"/>
        <v>77775</v>
      </c>
      <c r="M51" s="85">
        <v>34770</v>
      </c>
      <c r="N51" s="72">
        <f t="shared" si="2"/>
        <v>34770</v>
      </c>
      <c r="O51" s="72">
        <v>630435</v>
      </c>
      <c r="Q51"/>
    </row>
    <row r="52" spans="1:17" ht="19.5" thickBot="1">
      <c r="A52" s="1" t="s">
        <v>2</v>
      </c>
      <c r="B52" s="4" t="s">
        <v>105</v>
      </c>
      <c r="C52" s="72">
        <v>1521</v>
      </c>
      <c r="D52" s="61">
        <v>1201</v>
      </c>
      <c r="E52" s="16">
        <v>262</v>
      </c>
      <c r="F52" s="16">
        <v>270</v>
      </c>
      <c r="G52" s="16">
        <v>0</v>
      </c>
      <c r="H52" s="16">
        <v>0</v>
      </c>
      <c r="I52" s="16">
        <v>0</v>
      </c>
      <c r="J52" s="16">
        <v>0</v>
      </c>
      <c r="K52" s="17">
        <v>0</v>
      </c>
      <c r="L52" s="72">
        <f t="shared" si="1"/>
        <v>3254</v>
      </c>
      <c r="M52" s="85">
        <v>1147</v>
      </c>
      <c r="N52" s="72">
        <f t="shared" si="2"/>
        <v>1147</v>
      </c>
      <c r="O52" s="72">
        <v>22446</v>
      </c>
      <c r="Q52"/>
    </row>
    <row r="53" spans="1:17" ht="19.5" thickBot="1">
      <c r="A53" s="1" t="s">
        <v>2</v>
      </c>
      <c r="B53" s="39" t="s">
        <v>106</v>
      </c>
      <c r="C53" s="74">
        <v>68496</v>
      </c>
      <c r="D53" s="63">
        <v>58771</v>
      </c>
      <c r="E53" s="41">
        <v>262</v>
      </c>
      <c r="F53" s="41">
        <v>270</v>
      </c>
      <c r="G53" s="41">
        <v>0</v>
      </c>
      <c r="H53" s="41">
        <v>0</v>
      </c>
      <c r="I53" s="41">
        <v>0</v>
      </c>
      <c r="J53" s="41">
        <v>0</v>
      </c>
      <c r="K53" s="42">
        <v>0</v>
      </c>
      <c r="L53" s="74">
        <f t="shared" si="1"/>
        <v>127799</v>
      </c>
      <c r="M53" s="87">
        <v>58717</v>
      </c>
      <c r="N53" s="74">
        <f t="shared" si="2"/>
        <v>58717</v>
      </c>
      <c r="O53" s="74">
        <v>1058991</v>
      </c>
      <c r="Q53"/>
    </row>
    <row r="54" spans="1:17">
      <c r="A54" s="1" t="s">
        <v>2</v>
      </c>
      <c r="B54" s="21" t="s">
        <v>107</v>
      </c>
      <c r="C54" s="71">
        <v>18900</v>
      </c>
      <c r="D54" s="60">
        <v>8200</v>
      </c>
      <c r="E54" s="30">
        <v>0</v>
      </c>
      <c r="F54" s="30">
        <v>110</v>
      </c>
      <c r="G54" s="30">
        <v>0</v>
      </c>
      <c r="H54" s="30">
        <v>0</v>
      </c>
      <c r="I54" s="30">
        <v>0</v>
      </c>
      <c r="J54" s="30">
        <v>0</v>
      </c>
      <c r="K54" s="31">
        <v>0</v>
      </c>
      <c r="L54" s="71">
        <f t="shared" si="1"/>
        <v>27210</v>
      </c>
      <c r="M54" s="84">
        <v>9710</v>
      </c>
      <c r="N54" s="71">
        <f t="shared" si="2"/>
        <v>9710</v>
      </c>
      <c r="O54" s="71">
        <v>173340</v>
      </c>
      <c r="Q54"/>
    </row>
    <row r="55" spans="1:17">
      <c r="A55" s="1" t="s">
        <v>2</v>
      </c>
      <c r="B55" s="4" t="s">
        <v>108</v>
      </c>
      <c r="C55" s="72">
        <v>0</v>
      </c>
      <c r="D55" s="61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7">
        <v>0</v>
      </c>
      <c r="L55" s="72">
        <f t="shared" si="1"/>
        <v>0</v>
      </c>
      <c r="M55" s="85">
        <v>0</v>
      </c>
      <c r="N55" s="72">
        <f t="shared" si="2"/>
        <v>0</v>
      </c>
      <c r="O55" s="72">
        <v>15600</v>
      </c>
      <c r="Q55"/>
    </row>
    <row r="56" spans="1:17">
      <c r="A56" s="1" t="s">
        <v>2</v>
      </c>
      <c r="B56" s="4" t="s">
        <v>109</v>
      </c>
      <c r="C56" s="72">
        <v>35200</v>
      </c>
      <c r="D56" s="61">
        <v>14500</v>
      </c>
      <c r="E56" s="16">
        <v>600</v>
      </c>
      <c r="F56" s="16">
        <v>500</v>
      </c>
      <c r="G56" s="16">
        <v>900</v>
      </c>
      <c r="H56" s="16">
        <v>0</v>
      </c>
      <c r="I56" s="16">
        <v>4100</v>
      </c>
      <c r="J56" s="16">
        <v>0</v>
      </c>
      <c r="K56" s="17">
        <v>0</v>
      </c>
      <c r="L56" s="72">
        <f t="shared" si="1"/>
        <v>55800</v>
      </c>
      <c r="M56" s="85">
        <v>16100</v>
      </c>
      <c r="N56" s="72">
        <f t="shared" si="2"/>
        <v>16100</v>
      </c>
      <c r="O56" s="72">
        <v>263900</v>
      </c>
      <c r="Q56"/>
    </row>
    <row r="57" spans="1:17" ht="19.5" thickBot="1">
      <c r="A57" s="1" t="s">
        <v>2</v>
      </c>
      <c r="B57" s="4" t="s">
        <v>110</v>
      </c>
      <c r="C57" s="72">
        <v>0</v>
      </c>
      <c r="D57" s="61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7">
        <v>0</v>
      </c>
      <c r="L57" s="72">
        <f t="shared" si="1"/>
        <v>0</v>
      </c>
      <c r="M57" s="85">
        <v>0</v>
      </c>
      <c r="N57" s="72">
        <f t="shared" si="2"/>
        <v>0</v>
      </c>
      <c r="O57" s="72">
        <v>389600</v>
      </c>
      <c r="Q57"/>
    </row>
    <row r="58" spans="1:17" ht="19.5" thickBot="1">
      <c r="A58" s="1" t="s">
        <v>2</v>
      </c>
      <c r="B58" s="39" t="s">
        <v>111</v>
      </c>
      <c r="C58" s="74">
        <v>122596</v>
      </c>
      <c r="D58" s="63">
        <v>81471</v>
      </c>
      <c r="E58" s="41">
        <v>862</v>
      </c>
      <c r="F58" s="41">
        <v>880</v>
      </c>
      <c r="G58" s="41">
        <v>900</v>
      </c>
      <c r="H58" s="41">
        <v>0</v>
      </c>
      <c r="I58" s="41">
        <v>4100</v>
      </c>
      <c r="J58" s="41">
        <v>0</v>
      </c>
      <c r="K58" s="42">
        <v>0</v>
      </c>
      <c r="L58" s="74">
        <f t="shared" si="1"/>
        <v>210809</v>
      </c>
      <c r="M58" s="87">
        <v>84527</v>
      </c>
      <c r="N58" s="74">
        <f t="shared" si="2"/>
        <v>84527</v>
      </c>
      <c r="O58" s="74">
        <v>1901431</v>
      </c>
      <c r="Q58"/>
    </row>
    <row r="59" spans="1:17" ht="19.5" thickBot="1">
      <c r="A59" s="1" t="s">
        <v>2</v>
      </c>
      <c r="B59" s="39" t="s">
        <v>112</v>
      </c>
      <c r="C59" s="74">
        <v>428846</v>
      </c>
      <c r="D59" s="63">
        <v>336185</v>
      </c>
      <c r="E59" s="41">
        <v>84378</v>
      </c>
      <c r="F59" s="41">
        <v>88050</v>
      </c>
      <c r="G59" s="41">
        <v>3360</v>
      </c>
      <c r="H59" s="41">
        <v>70140</v>
      </c>
      <c r="I59" s="41">
        <v>41580</v>
      </c>
      <c r="J59" s="41">
        <v>70140</v>
      </c>
      <c r="K59" s="42">
        <v>71602</v>
      </c>
      <c r="L59" s="74">
        <f t="shared" si="1"/>
        <v>1194281</v>
      </c>
      <c r="M59" s="87">
        <v>316283</v>
      </c>
      <c r="N59" s="74">
        <f t="shared" si="2"/>
        <v>316283</v>
      </c>
      <c r="O59" s="74">
        <v>6557393</v>
      </c>
      <c r="Q59"/>
    </row>
    <row r="60" spans="1:17" ht="19.5" thickBot="1">
      <c r="A60" s="1" t="s">
        <v>2</v>
      </c>
      <c r="B60" s="39" t="s">
        <v>113</v>
      </c>
      <c r="C60" s="74">
        <v>384529</v>
      </c>
      <c r="D60" s="63">
        <v>318920</v>
      </c>
      <c r="E60" s="41">
        <v>86484</v>
      </c>
      <c r="F60" s="41">
        <v>89252</v>
      </c>
      <c r="G60" s="41">
        <v>2460</v>
      </c>
      <c r="H60" s="41">
        <v>73039</v>
      </c>
      <c r="I60" s="41">
        <v>39654</v>
      </c>
      <c r="J60" s="41">
        <v>74005</v>
      </c>
      <c r="K60" s="42">
        <v>74742</v>
      </c>
      <c r="L60" s="74">
        <f t="shared" si="1"/>
        <v>1143085</v>
      </c>
      <c r="M60" s="87">
        <v>297695</v>
      </c>
      <c r="N60" s="74">
        <f t="shared" si="2"/>
        <v>297695</v>
      </c>
      <c r="O60" s="74">
        <v>5849645</v>
      </c>
      <c r="Q60"/>
    </row>
    <row r="61" spans="1:17">
      <c r="A61" s="1" t="s">
        <v>2</v>
      </c>
      <c r="B61" s="21" t="s">
        <v>114</v>
      </c>
      <c r="C61" s="71">
        <v>0</v>
      </c>
      <c r="D61" s="6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1">
        <v>0</v>
      </c>
      <c r="L61" s="71">
        <f t="shared" si="1"/>
        <v>0</v>
      </c>
      <c r="M61" s="84">
        <v>0</v>
      </c>
      <c r="N61" s="71">
        <f t="shared" si="2"/>
        <v>0</v>
      </c>
      <c r="O61" s="71">
        <v>0</v>
      </c>
      <c r="Q61"/>
    </row>
    <row r="62" spans="1:17">
      <c r="A62" s="1" t="s">
        <v>2</v>
      </c>
      <c r="B62" s="4" t="s">
        <v>115</v>
      </c>
      <c r="C62" s="72">
        <v>384529</v>
      </c>
      <c r="D62" s="61">
        <v>318920</v>
      </c>
      <c r="E62" s="16">
        <v>86484</v>
      </c>
      <c r="F62" s="16">
        <v>89252</v>
      </c>
      <c r="G62" s="16">
        <v>2460</v>
      </c>
      <c r="H62" s="16">
        <v>73039</v>
      </c>
      <c r="I62" s="16">
        <v>39654</v>
      </c>
      <c r="J62" s="16">
        <v>74005</v>
      </c>
      <c r="K62" s="17">
        <v>74742</v>
      </c>
      <c r="L62" s="72">
        <f t="shared" si="1"/>
        <v>1143085</v>
      </c>
      <c r="M62" s="85">
        <v>297695</v>
      </c>
      <c r="N62" s="72">
        <f t="shared" si="2"/>
        <v>297695</v>
      </c>
      <c r="O62" s="72">
        <v>5849645</v>
      </c>
      <c r="Q62"/>
    </row>
    <row r="63" spans="1:17">
      <c r="A63" s="1" t="s">
        <v>2</v>
      </c>
      <c r="B63" s="4" t="s">
        <v>116</v>
      </c>
      <c r="C63" s="72">
        <v>0</v>
      </c>
      <c r="D63" s="61">
        <v>1</v>
      </c>
      <c r="E63" s="16">
        <v>0</v>
      </c>
      <c r="F63" s="16">
        <v>0</v>
      </c>
      <c r="G63" s="16">
        <v>0</v>
      </c>
      <c r="H63" s="16">
        <v>1</v>
      </c>
      <c r="I63" s="16">
        <v>1</v>
      </c>
      <c r="J63" s="16">
        <v>1</v>
      </c>
      <c r="K63" s="17">
        <v>1</v>
      </c>
      <c r="L63" s="72"/>
      <c r="M63" s="85">
        <v>0</v>
      </c>
      <c r="N63" s="72"/>
      <c r="O63" s="72"/>
    </row>
    <row r="64" spans="1:17" ht="19.5" thickBot="1">
      <c r="A64" s="1" t="s">
        <v>2</v>
      </c>
      <c r="B64" s="5" t="s">
        <v>117</v>
      </c>
      <c r="C64" s="75" t="s">
        <v>118</v>
      </c>
      <c r="D64" s="64" t="s">
        <v>118</v>
      </c>
      <c r="E64" s="19" t="s">
        <v>118</v>
      </c>
      <c r="F64" s="19" t="s">
        <v>118</v>
      </c>
      <c r="G64" s="19" t="s">
        <v>118</v>
      </c>
      <c r="H64" s="19" t="s">
        <v>118</v>
      </c>
      <c r="I64" s="19" t="s">
        <v>118</v>
      </c>
      <c r="J64" s="19" t="s">
        <v>118</v>
      </c>
      <c r="K64" s="20" t="s">
        <v>118</v>
      </c>
      <c r="L64" s="75"/>
      <c r="M64" s="88" t="s">
        <v>118</v>
      </c>
      <c r="N64" s="75"/>
      <c r="O64" s="75"/>
    </row>
  </sheetData>
  <phoneticPr fontId="3"/>
  <pageMargins left="0.11811023622047245" right="0.11811023622047245" top="0.15748031496062992" bottom="0.15748031496062992" header="0.11811023622047245" footer="0.11811023622047245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4350-5279-4363-932C-AE226C5CE240}">
  <sheetPr>
    <pageSetUpPr fitToPage="1"/>
  </sheetPr>
  <dimension ref="A1:W64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21" width="9.75" style="2" customWidth="1"/>
    <col min="22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9.625" style="2" bestFit="1" customWidth="1"/>
    <col min="251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57" width="11.125" style="2" bestFit="1" customWidth="1"/>
    <col min="258" max="258" width="9" style="2"/>
    <col min="259" max="267" width="11.125" style="2" bestFit="1" customWidth="1"/>
    <col min="268" max="268" width="9" style="2"/>
    <col min="269" max="269" width="8" style="2" bestFit="1" customWidth="1"/>
    <col min="270" max="273" width="9" style="2"/>
    <col min="274" max="275" width="11.125" style="2" bestFit="1" customWidth="1"/>
    <col min="276" max="276" width="9" style="2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9.625" style="2" bestFit="1" customWidth="1"/>
    <col min="507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13" width="11.125" style="2" bestFit="1" customWidth="1"/>
    <col min="514" max="514" width="9" style="2"/>
    <col min="515" max="523" width="11.125" style="2" bestFit="1" customWidth="1"/>
    <col min="524" max="524" width="9" style="2"/>
    <col min="525" max="525" width="8" style="2" bestFit="1" customWidth="1"/>
    <col min="526" max="529" width="9" style="2"/>
    <col min="530" max="531" width="11.125" style="2" bestFit="1" customWidth="1"/>
    <col min="532" max="532" width="9" style="2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9.625" style="2" bestFit="1" customWidth="1"/>
    <col min="763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69" width="11.125" style="2" bestFit="1" customWidth="1"/>
    <col min="770" max="770" width="9" style="2"/>
    <col min="771" max="779" width="11.125" style="2" bestFit="1" customWidth="1"/>
    <col min="780" max="780" width="9" style="2"/>
    <col min="781" max="781" width="8" style="2" bestFit="1" customWidth="1"/>
    <col min="782" max="785" width="9" style="2"/>
    <col min="786" max="787" width="11.125" style="2" bestFit="1" customWidth="1"/>
    <col min="788" max="788" width="9" style="2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9.625" style="2" bestFit="1" customWidth="1"/>
    <col min="1019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25" width="11.125" style="2" bestFit="1" customWidth="1"/>
    <col min="1026" max="1026" width="9" style="2"/>
    <col min="1027" max="1035" width="11.125" style="2" bestFit="1" customWidth="1"/>
    <col min="1036" max="1036" width="9" style="2"/>
    <col min="1037" max="1037" width="8" style="2" bestFit="1" customWidth="1"/>
    <col min="1038" max="1041" width="9" style="2"/>
    <col min="1042" max="1043" width="11.125" style="2" bestFit="1" customWidth="1"/>
    <col min="1044" max="1044" width="9" style="2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9.625" style="2" bestFit="1" customWidth="1"/>
    <col min="1275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81" width="11.125" style="2" bestFit="1" customWidth="1"/>
    <col min="1282" max="1282" width="9" style="2"/>
    <col min="1283" max="1291" width="11.125" style="2" bestFit="1" customWidth="1"/>
    <col min="1292" max="1292" width="9" style="2"/>
    <col min="1293" max="1293" width="8" style="2" bestFit="1" customWidth="1"/>
    <col min="1294" max="1297" width="9" style="2"/>
    <col min="1298" max="1299" width="11.125" style="2" bestFit="1" customWidth="1"/>
    <col min="1300" max="1300" width="9" style="2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9.625" style="2" bestFit="1" customWidth="1"/>
    <col min="1531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37" width="11.125" style="2" bestFit="1" customWidth="1"/>
    <col min="1538" max="1538" width="9" style="2"/>
    <col min="1539" max="1547" width="11.125" style="2" bestFit="1" customWidth="1"/>
    <col min="1548" max="1548" width="9" style="2"/>
    <col min="1549" max="1549" width="8" style="2" bestFit="1" customWidth="1"/>
    <col min="1550" max="1553" width="9" style="2"/>
    <col min="1554" max="1555" width="11.125" style="2" bestFit="1" customWidth="1"/>
    <col min="1556" max="1556" width="9" style="2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9.625" style="2" bestFit="1" customWidth="1"/>
    <col min="1787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793" width="11.125" style="2" bestFit="1" customWidth="1"/>
    <col min="1794" max="1794" width="9" style="2"/>
    <col min="1795" max="1803" width="11.125" style="2" bestFit="1" customWidth="1"/>
    <col min="1804" max="1804" width="9" style="2"/>
    <col min="1805" max="1805" width="8" style="2" bestFit="1" customWidth="1"/>
    <col min="1806" max="1809" width="9" style="2"/>
    <col min="1810" max="1811" width="11.125" style="2" bestFit="1" customWidth="1"/>
    <col min="1812" max="1812" width="9" style="2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9.625" style="2" bestFit="1" customWidth="1"/>
    <col min="2043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49" width="11.125" style="2" bestFit="1" customWidth="1"/>
    <col min="2050" max="2050" width="9" style="2"/>
    <col min="2051" max="2059" width="11.125" style="2" bestFit="1" customWidth="1"/>
    <col min="2060" max="2060" width="9" style="2"/>
    <col min="2061" max="2061" width="8" style="2" bestFit="1" customWidth="1"/>
    <col min="2062" max="2065" width="9" style="2"/>
    <col min="2066" max="2067" width="11.125" style="2" bestFit="1" customWidth="1"/>
    <col min="2068" max="2068" width="9" style="2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9.625" style="2" bestFit="1" customWidth="1"/>
    <col min="2299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05" width="11.125" style="2" bestFit="1" customWidth="1"/>
    <col min="2306" max="2306" width="9" style="2"/>
    <col min="2307" max="2315" width="11.125" style="2" bestFit="1" customWidth="1"/>
    <col min="2316" max="2316" width="9" style="2"/>
    <col min="2317" max="2317" width="8" style="2" bestFit="1" customWidth="1"/>
    <col min="2318" max="2321" width="9" style="2"/>
    <col min="2322" max="2323" width="11.125" style="2" bestFit="1" customWidth="1"/>
    <col min="2324" max="2324" width="9" style="2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9.625" style="2" bestFit="1" customWidth="1"/>
    <col min="2555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61" width="11.125" style="2" bestFit="1" customWidth="1"/>
    <col min="2562" max="2562" width="9" style="2"/>
    <col min="2563" max="2571" width="11.125" style="2" bestFit="1" customWidth="1"/>
    <col min="2572" max="2572" width="9" style="2"/>
    <col min="2573" max="2573" width="8" style="2" bestFit="1" customWidth="1"/>
    <col min="2574" max="2577" width="9" style="2"/>
    <col min="2578" max="2579" width="11.125" style="2" bestFit="1" customWidth="1"/>
    <col min="2580" max="2580" width="9" style="2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9.625" style="2" bestFit="1" customWidth="1"/>
    <col min="2811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17" width="11.125" style="2" bestFit="1" customWidth="1"/>
    <col min="2818" max="2818" width="9" style="2"/>
    <col min="2819" max="2827" width="11.125" style="2" bestFit="1" customWidth="1"/>
    <col min="2828" max="2828" width="9" style="2"/>
    <col min="2829" max="2829" width="8" style="2" bestFit="1" customWidth="1"/>
    <col min="2830" max="2833" width="9" style="2"/>
    <col min="2834" max="2835" width="11.125" style="2" bestFit="1" customWidth="1"/>
    <col min="2836" max="2836" width="9" style="2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9.625" style="2" bestFit="1" customWidth="1"/>
    <col min="3067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73" width="11.125" style="2" bestFit="1" customWidth="1"/>
    <col min="3074" max="3074" width="9" style="2"/>
    <col min="3075" max="3083" width="11.125" style="2" bestFit="1" customWidth="1"/>
    <col min="3084" max="3084" width="9" style="2"/>
    <col min="3085" max="3085" width="8" style="2" bestFit="1" customWidth="1"/>
    <col min="3086" max="3089" width="9" style="2"/>
    <col min="3090" max="3091" width="11.125" style="2" bestFit="1" customWidth="1"/>
    <col min="3092" max="3092" width="9" style="2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9.625" style="2" bestFit="1" customWidth="1"/>
    <col min="3323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29" width="11.125" style="2" bestFit="1" customWidth="1"/>
    <col min="3330" max="3330" width="9" style="2"/>
    <col min="3331" max="3339" width="11.125" style="2" bestFit="1" customWidth="1"/>
    <col min="3340" max="3340" width="9" style="2"/>
    <col min="3341" max="3341" width="8" style="2" bestFit="1" customWidth="1"/>
    <col min="3342" max="3345" width="9" style="2"/>
    <col min="3346" max="3347" width="11.125" style="2" bestFit="1" customWidth="1"/>
    <col min="3348" max="3348" width="9" style="2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9.625" style="2" bestFit="1" customWidth="1"/>
    <col min="3579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85" width="11.125" style="2" bestFit="1" customWidth="1"/>
    <col min="3586" max="3586" width="9" style="2"/>
    <col min="3587" max="3595" width="11.125" style="2" bestFit="1" customWidth="1"/>
    <col min="3596" max="3596" width="9" style="2"/>
    <col min="3597" max="3597" width="8" style="2" bestFit="1" customWidth="1"/>
    <col min="3598" max="3601" width="9" style="2"/>
    <col min="3602" max="3603" width="11.125" style="2" bestFit="1" customWidth="1"/>
    <col min="3604" max="3604" width="9" style="2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9.625" style="2" bestFit="1" customWidth="1"/>
    <col min="3835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41" width="11.125" style="2" bestFit="1" customWidth="1"/>
    <col min="3842" max="3842" width="9" style="2"/>
    <col min="3843" max="3851" width="11.125" style="2" bestFit="1" customWidth="1"/>
    <col min="3852" max="3852" width="9" style="2"/>
    <col min="3853" max="3853" width="8" style="2" bestFit="1" customWidth="1"/>
    <col min="3854" max="3857" width="9" style="2"/>
    <col min="3858" max="3859" width="11.125" style="2" bestFit="1" customWidth="1"/>
    <col min="3860" max="3860" width="9" style="2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9.625" style="2" bestFit="1" customWidth="1"/>
    <col min="4091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097" width="11.125" style="2" bestFit="1" customWidth="1"/>
    <col min="4098" max="4098" width="9" style="2"/>
    <col min="4099" max="4107" width="11.125" style="2" bestFit="1" customWidth="1"/>
    <col min="4108" max="4108" width="9" style="2"/>
    <col min="4109" max="4109" width="8" style="2" bestFit="1" customWidth="1"/>
    <col min="4110" max="4113" width="9" style="2"/>
    <col min="4114" max="4115" width="11.125" style="2" bestFit="1" customWidth="1"/>
    <col min="4116" max="4116" width="9" style="2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9.625" style="2" bestFit="1" customWidth="1"/>
    <col min="4347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53" width="11.125" style="2" bestFit="1" customWidth="1"/>
    <col min="4354" max="4354" width="9" style="2"/>
    <col min="4355" max="4363" width="11.125" style="2" bestFit="1" customWidth="1"/>
    <col min="4364" max="4364" width="9" style="2"/>
    <col min="4365" max="4365" width="8" style="2" bestFit="1" customWidth="1"/>
    <col min="4366" max="4369" width="9" style="2"/>
    <col min="4370" max="4371" width="11.125" style="2" bestFit="1" customWidth="1"/>
    <col min="4372" max="4372" width="9" style="2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9.625" style="2" bestFit="1" customWidth="1"/>
    <col min="4603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09" width="11.125" style="2" bestFit="1" customWidth="1"/>
    <col min="4610" max="4610" width="9" style="2"/>
    <col min="4611" max="4619" width="11.125" style="2" bestFit="1" customWidth="1"/>
    <col min="4620" max="4620" width="9" style="2"/>
    <col min="4621" max="4621" width="8" style="2" bestFit="1" customWidth="1"/>
    <col min="4622" max="4625" width="9" style="2"/>
    <col min="4626" max="4627" width="11.125" style="2" bestFit="1" customWidth="1"/>
    <col min="4628" max="4628" width="9" style="2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9.625" style="2" bestFit="1" customWidth="1"/>
    <col min="4859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65" width="11.125" style="2" bestFit="1" customWidth="1"/>
    <col min="4866" max="4866" width="9" style="2"/>
    <col min="4867" max="4875" width="11.125" style="2" bestFit="1" customWidth="1"/>
    <col min="4876" max="4876" width="9" style="2"/>
    <col min="4877" max="4877" width="8" style="2" bestFit="1" customWidth="1"/>
    <col min="4878" max="4881" width="9" style="2"/>
    <col min="4882" max="4883" width="11.125" style="2" bestFit="1" customWidth="1"/>
    <col min="4884" max="4884" width="9" style="2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9.625" style="2" bestFit="1" customWidth="1"/>
    <col min="5115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21" width="11.125" style="2" bestFit="1" customWidth="1"/>
    <col min="5122" max="5122" width="9" style="2"/>
    <col min="5123" max="5131" width="11.125" style="2" bestFit="1" customWidth="1"/>
    <col min="5132" max="5132" width="9" style="2"/>
    <col min="5133" max="5133" width="8" style="2" bestFit="1" customWidth="1"/>
    <col min="5134" max="5137" width="9" style="2"/>
    <col min="5138" max="5139" width="11.125" style="2" bestFit="1" customWidth="1"/>
    <col min="5140" max="5140" width="9" style="2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9.625" style="2" bestFit="1" customWidth="1"/>
    <col min="5371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77" width="11.125" style="2" bestFit="1" customWidth="1"/>
    <col min="5378" max="5378" width="9" style="2"/>
    <col min="5379" max="5387" width="11.125" style="2" bestFit="1" customWidth="1"/>
    <col min="5388" max="5388" width="9" style="2"/>
    <col min="5389" max="5389" width="8" style="2" bestFit="1" customWidth="1"/>
    <col min="5390" max="5393" width="9" style="2"/>
    <col min="5394" max="5395" width="11.125" style="2" bestFit="1" customWidth="1"/>
    <col min="5396" max="5396" width="9" style="2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9.625" style="2" bestFit="1" customWidth="1"/>
    <col min="5627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33" width="11.125" style="2" bestFit="1" customWidth="1"/>
    <col min="5634" max="5634" width="9" style="2"/>
    <col min="5635" max="5643" width="11.125" style="2" bestFit="1" customWidth="1"/>
    <col min="5644" max="5644" width="9" style="2"/>
    <col min="5645" max="5645" width="8" style="2" bestFit="1" customWidth="1"/>
    <col min="5646" max="5649" width="9" style="2"/>
    <col min="5650" max="5651" width="11.125" style="2" bestFit="1" customWidth="1"/>
    <col min="5652" max="5652" width="9" style="2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9.625" style="2" bestFit="1" customWidth="1"/>
    <col min="5883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89" width="11.125" style="2" bestFit="1" customWidth="1"/>
    <col min="5890" max="5890" width="9" style="2"/>
    <col min="5891" max="5899" width="11.125" style="2" bestFit="1" customWidth="1"/>
    <col min="5900" max="5900" width="9" style="2"/>
    <col min="5901" max="5901" width="8" style="2" bestFit="1" customWidth="1"/>
    <col min="5902" max="5905" width="9" style="2"/>
    <col min="5906" max="5907" width="11.125" style="2" bestFit="1" customWidth="1"/>
    <col min="5908" max="5908" width="9" style="2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9.625" style="2" bestFit="1" customWidth="1"/>
    <col min="6139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45" width="11.125" style="2" bestFit="1" customWidth="1"/>
    <col min="6146" max="6146" width="9" style="2"/>
    <col min="6147" max="6155" width="11.125" style="2" bestFit="1" customWidth="1"/>
    <col min="6156" max="6156" width="9" style="2"/>
    <col min="6157" max="6157" width="8" style="2" bestFit="1" customWidth="1"/>
    <col min="6158" max="6161" width="9" style="2"/>
    <col min="6162" max="6163" width="11.125" style="2" bestFit="1" customWidth="1"/>
    <col min="6164" max="6164" width="9" style="2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9.625" style="2" bestFit="1" customWidth="1"/>
    <col min="6395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01" width="11.125" style="2" bestFit="1" customWidth="1"/>
    <col min="6402" max="6402" width="9" style="2"/>
    <col min="6403" max="6411" width="11.125" style="2" bestFit="1" customWidth="1"/>
    <col min="6412" max="6412" width="9" style="2"/>
    <col min="6413" max="6413" width="8" style="2" bestFit="1" customWidth="1"/>
    <col min="6414" max="6417" width="9" style="2"/>
    <col min="6418" max="6419" width="11.125" style="2" bestFit="1" customWidth="1"/>
    <col min="6420" max="6420" width="9" style="2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9.625" style="2" bestFit="1" customWidth="1"/>
    <col min="6651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57" width="11.125" style="2" bestFit="1" customWidth="1"/>
    <col min="6658" max="6658" width="9" style="2"/>
    <col min="6659" max="6667" width="11.125" style="2" bestFit="1" customWidth="1"/>
    <col min="6668" max="6668" width="9" style="2"/>
    <col min="6669" max="6669" width="8" style="2" bestFit="1" customWidth="1"/>
    <col min="6670" max="6673" width="9" style="2"/>
    <col min="6674" max="6675" width="11.125" style="2" bestFit="1" customWidth="1"/>
    <col min="6676" max="6676" width="9" style="2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9.625" style="2" bestFit="1" customWidth="1"/>
    <col min="6907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13" width="11.125" style="2" bestFit="1" customWidth="1"/>
    <col min="6914" max="6914" width="9" style="2"/>
    <col min="6915" max="6923" width="11.125" style="2" bestFit="1" customWidth="1"/>
    <col min="6924" max="6924" width="9" style="2"/>
    <col min="6925" max="6925" width="8" style="2" bestFit="1" customWidth="1"/>
    <col min="6926" max="6929" width="9" style="2"/>
    <col min="6930" max="6931" width="11.125" style="2" bestFit="1" customWidth="1"/>
    <col min="6932" max="6932" width="9" style="2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9.625" style="2" bestFit="1" customWidth="1"/>
    <col min="7163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69" width="11.125" style="2" bestFit="1" customWidth="1"/>
    <col min="7170" max="7170" width="9" style="2"/>
    <col min="7171" max="7179" width="11.125" style="2" bestFit="1" customWidth="1"/>
    <col min="7180" max="7180" width="9" style="2"/>
    <col min="7181" max="7181" width="8" style="2" bestFit="1" customWidth="1"/>
    <col min="7182" max="7185" width="9" style="2"/>
    <col min="7186" max="7187" width="11.125" style="2" bestFit="1" customWidth="1"/>
    <col min="7188" max="7188" width="9" style="2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9.625" style="2" bestFit="1" customWidth="1"/>
    <col min="7419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25" width="11.125" style="2" bestFit="1" customWidth="1"/>
    <col min="7426" max="7426" width="9" style="2"/>
    <col min="7427" max="7435" width="11.125" style="2" bestFit="1" customWidth="1"/>
    <col min="7436" max="7436" width="9" style="2"/>
    <col min="7437" max="7437" width="8" style="2" bestFit="1" customWidth="1"/>
    <col min="7438" max="7441" width="9" style="2"/>
    <col min="7442" max="7443" width="11.125" style="2" bestFit="1" customWidth="1"/>
    <col min="7444" max="7444" width="9" style="2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9.625" style="2" bestFit="1" customWidth="1"/>
    <col min="7675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81" width="11.125" style="2" bestFit="1" customWidth="1"/>
    <col min="7682" max="7682" width="9" style="2"/>
    <col min="7683" max="7691" width="11.125" style="2" bestFit="1" customWidth="1"/>
    <col min="7692" max="7692" width="9" style="2"/>
    <col min="7693" max="7693" width="8" style="2" bestFit="1" customWidth="1"/>
    <col min="7694" max="7697" width="9" style="2"/>
    <col min="7698" max="7699" width="11.125" style="2" bestFit="1" customWidth="1"/>
    <col min="7700" max="7700" width="9" style="2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9.625" style="2" bestFit="1" customWidth="1"/>
    <col min="7931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37" width="11.125" style="2" bestFit="1" customWidth="1"/>
    <col min="7938" max="7938" width="9" style="2"/>
    <col min="7939" max="7947" width="11.125" style="2" bestFit="1" customWidth="1"/>
    <col min="7948" max="7948" width="9" style="2"/>
    <col min="7949" max="7949" width="8" style="2" bestFit="1" customWidth="1"/>
    <col min="7950" max="7953" width="9" style="2"/>
    <col min="7954" max="7955" width="11.125" style="2" bestFit="1" customWidth="1"/>
    <col min="7956" max="7956" width="9" style="2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9.625" style="2" bestFit="1" customWidth="1"/>
    <col min="8187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193" width="11.125" style="2" bestFit="1" customWidth="1"/>
    <col min="8194" max="8194" width="9" style="2"/>
    <col min="8195" max="8203" width="11.125" style="2" bestFit="1" customWidth="1"/>
    <col min="8204" max="8204" width="9" style="2"/>
    <col min="8205" max="8205" width="8" style="2" bestFit="1" customWidth="1"/>
    <col min="8206" max="8209" width="9" style="2"/>
    <col min="8210" max="8211" width="11.125" style="2" bestFit="1" customWidth="1"/>
    <col min="8212" max="8212" width="9" style="2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9.625" style="2" bestFit="1" customWidth="1"/>
    <col min="8443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49" width="11.125" style="2" bestFit="1" customWidth="1"/>
    <col min="8450" max="8450" width="9" style="2"/>
    <col min="8451" max="8459" width="11.125" style="2" bestFit="1" customWidth="1"/>
    <col min="8460" max="8460" width="9" style="2"/>
    <col min="8461" max="8461" width="8" style="2" bestFit="1" customWidth="1"/>
    <col min="8462" max="8465" width="9" style="2"/>
    <col min="8466" max="8467" width="11.125" style="2" bestFit="1" customWidth="1"/>
    <col min="8468" max="8468" width="9" style="2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9.625" style="2" bestFit="1" customWidth="1"/>
    <col min="8699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05" width="11.125" style="2" bestFit="1" customWidth="1"/>
    <col min="8706" max="8706" width="9" style="2"/>
    <col min="8707" max="8715" width="11.125" style="2" bestFit="1" customWidth="1"/>
    <col min="8716" max="8716" width="9" style="2"/>
    <col min="8717" max="8717" width="8" style="2" bestFit="1" customWidth="1"/>
    <col min="8718" max="8721" width="9" style="2"/>
    <col min="8722" max="8723" width="11.125" style="2" bestFit="1" customWidth="1"/>
    <col min="8724" max="8724" width="9" style="2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9.625" style="2" bestFit="1" customWidth="1"/>
    <col min="8955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61" width="11.125" style="2" bestFit="1" customWidth="1"/>
    <col min="8962" max="8962" width="9" style="2"/>
    <col min="8963" max="8971" width="11.125" style="2" bestFit="1" customWidth="1"/>
    <col min="8972" max="8972" width="9" style="2"/>
    <col min="8973" max="8973" width="8" style="2" bestFit="1" customWidth="1"/>
    <col min="8974" max="8977" width="9" style="2"/>
    <col min="8978" max="8979" width="11.125" style="2" bestFit="1" customWidth="1"/>
    <col min="8980" max="8980" width="9" style="2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9.625" style="2" bestFit="1" customWidth="1"/>
    <col min="9211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17" width="11.125" style="2" bestFit="1" customWidth="1"/>
    <col min="9218" max="9218" width="9" style="2"/>
    <col min="9219" max="9227" width="11.125" style="2" bestFit="1" customWidth="1"/>
    <col min="9228" max="9228" width="9" style="2"/>
    <col min="9229" max="9229" width="8" style="2" bestFit="1" customWidth="1"/>
    <col min="9230" max="9233" width="9" style="2"/>
    <col min="9234" max="9235" width="11.125" style="2" bestFit="1" customWidth="1"/>
    <col min="9236" max="9236" width="9" style="2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9.625" style="2" bestFit="1" customWidth="1"/>
    <col min="9467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73" width="11.125" style="2" bestFit="1" customWidth="1"/>
    <col min="9474" max="9474" width="9" style="2"/>
    <col min="9475" max="9483" width="11.125" style="2" bestFit="1" customWidth="1"/>
    <col min="9484" max="9484" width="9" style="2"/>
    <col min="9485" max="9485" width="8" style="2" bestFit="1" customWidth="1"/>
    <col min="9486" max="9489" width="9" style="2"/>
    <col min="9490" max="9491" width="11.125" style="2" bestFit="1" customWidth="1"/>
    <col min="9492" max="9492" width="9" style="2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9.625" style="2" bestFit="1" customWidth="1"/>
    <col min="9723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29" width="11.125" style="2" bestFit="1" customWidth="1"/>
    <col min="9730" max="9730" width="9" style="2"/>
    <col min="9731" max="9739" width="11.125" style="2" bestFit="1" customWidth="1"/>
    <col min="9740" max="9740" width="9" style="2"/>
    <col min="9741" max="9741" width="8" style="2" bestFit="1" customWidth="1"/>
    <col min="9742" max="9745" width="9" style="2"/>
    <col min="9746" max="9747" width="11.125" style="2" bestFit="1" customWidth="1"/>
    <col min="9748" max="9748" width="9" style="2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9.625" style="2" bestFit="1" customWidth="1"/>
    <col min="9979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85" width="11.125" style="2" bestFit="1" customWidth="1"/>
    <col min="9986" max="9986" width="9" style="2"/>
    <col min="9987" max="9995" width="11.125" style="2" bestFit="1" customWidth="1"/>
    <col min="9996" max="9996" width="9" style="2"/>
    <col min="9997" max="9997" width="8" style="2" bestFit="1" customWidth="1"/>
    <col min="9998" max="10001" width="9" style="2"/>
    <col min="10002" max="10003" width="11.125" style="2" bestFit="1" customWidth="1"/>
    <col min="10004" max="10004" width="9" style="2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9.625" style="2" bestFit="1" customWidth="1"/>
    <col min="10235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41" width="11.125" style="2" bestFit="1" customWidth="1"/>
    <col min="10242" max="10242" width="9" style="2"/>
    <col min="10243" max="10251" width="11.125" style="2" bestFit="1" customWidth="1"/>
    <col min="10252" max="10252" width="9" style="2"/>
    <col min="10253" max="10253" width="8" style="2" bestFit="1" customWidth="1"/>
    <col min="10254" max="10257" width="9" style="2"/>
    <col min="10258" max="10259" width="11.125" style="2" bestFit="1" customWidth="1"/>
    <col min="10260" max="10260" width="9" style="2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9.625" style="2" bestFit="1" customWidth="1"/>
    <col min="10491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497" width="11.125" style="2" bestFit="1" customWidth="1"/>
    <col min="10498" max="10498" width="9" style="2"/>
    <col min="10499" max="10507" width="11.125" style="2" bestFit="1" customWidth="1"/>
    <col min="10508" max="10508" width="9" style="2"/>
    <col min="10509" max="10509" width="8" style="2" bestFit="1" customWidth="1"/>
    <col min="10510" max="10513" width="9" style="2"/>
    <col min="10514" max="10515" width="11.125" style="2" bestFit="1" customWidth="1"/>
    <col min="10516" max="10516" width="9" style="2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9.625" style="2" bestFit="1" customWidth="1"/>
    <col min="10747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53" width="11.125" style="2" bestFit="1" customWidth="1"/>
    <col min="10754" max="10754" width="9" style="2"/>
    <col min="10755" max="10763" width="11.125" style="2" bestFit="1" customWidth="1"/>
    <col min="10764" max="10764" width="9" style="2"/>
    <col min="10765" max="10765" width="8" style="2" bestFit="1" customWidth="1"/>
    <col min="10766" max="10769" width="9" style="2"/>
    <col min="10770" max="10771" width="11.125" style="2" bestFit="1" customWidth="1"/>
    <col min="10772" max="10772" width="9" style="2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9.625" style="2" bestFit="1" customWidth="1"/>
    <col min="11003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09" width="11.125" style="2" bestFit="1" customWidth="1"/>
    <col min="11010" max="11010" width="9" style="2"/>
    <col min="11011" max="11019" width="11.125" style="2" bestFit="1" customWidth="1"/>
    <col min="11020" max="11020" width="9" style="2"/>
    <col min="11021" max="11021" width="8" style="2" bestFit="1" customWidth="1"/>
    <col min="11022" max="11025" width="9" style="2"/>
    <col min="11026" max="11027" width="11.125" style="2" bestFit="1" customWidth="1"/>
    <col min="11028" max="11028" width="9" style="2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9.625" style="2" bestFit="1" customWidth="1"/>
    <col min="11259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65" width="11.125" style="2" bestFit="1" customWidth="1"/>
    <col min="11266" max="11266" width="9" style="2"/>
    <col min="11267" max="11275" width="11.125" style="2" bestFit="1" customWidth="1"/>
    <col min="11276" max="11276" width="9" style="2"/>
    <col min="11277" max="11277" width="8" style="2" bestFit="1" customWidth="1"/>
    <col min="11278" max="11281" width="9" style="2"/>
    <col min="11282" max="11283" width="11.125" style="2" bestFit="1" customWidth="1"/>
    <col min="11284" max="11284" width="9" style="2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9.625" style="2" bestFit="1" customWidth="1"/>
    <col min="11515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21" width="11.125" style="2" bestFit="1" customWidth="1"/>
    <col min="11522" max="11522" width="9" style="2"/>
    <col min="11523" max="11531" width="11.125" style="2" bestFit="1" customWidth="1"/>
    <col min="11532" max="11532" width="9" style="2"/>
    <col min="11533" max="11533" width="8" style="2" bestFit="1" customWidth="1"/>
    <col min="11534" max="11537" width="9" style="2"/>
    <col min="11538" max="11539" width="11.125" style="2" bestFit="1" customWidth="1"/>
    <col min="11540" max="11540" width="9" style="2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9.625" style="2" bestFit="1" customWidth="1"/>
    <col min="11771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77" width="11.125" style="2" bestFit="1" customWidth="1"/>
    <col min="11778" max="11778" width="9" style="2"/>
    <col min="11779" max="11787" width="11.125" style="2" bestFit="1" customWidth="1"/>
    <col min="11788" max="11788" width="9" style="2"/>
    <col min="11789" max="11789" width="8" style="2" bestFit="1" customWidth="1"/>
    <col min="11790" max="11793" width="9" style="2"/>
    <col min="11794" max="11795" width="11.125" style="2" bestFit="1" customWidth="1"/>
    <col min="11796" max="11796" width="9" style="2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9.625" style="2" bestFit="1" customWidth="1"/>
    <col min="12027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33" width="11.125" style="2" bestFit="1" customWidth="1"/>
    <col min="12034" max="12034" width="9" style="2"/>
    <col min="12035" max="12043" width="11.125" style="2" bestFit="1" customWidth="1"/>
    <col min="12044" max="12044" width="9" style="2"/>
    <col min="12045" max="12045" width="8" style="2" bestFit="1" customWidth="1"/>
    <col min="12046" max="12049" width="9" style="2"/>
    <col min="12050" max="12051" width="11.125" style="2" bestFit="1" customWidth="1"/>
    <col min="12052" max="12052" width="9" style="2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9.625" style="2" bestFit="1" customWidth="1"/>
    <col min="12283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89" width="11.125" style="2" bestFit="1" customWidth="1"/>
    <col min="12290" max="12290" width="9" style="2"/>
    <col min="12291" max="12299" width="11.125" style="2" bestFit="1" customWidth="1"/>
    <col min="12300" max="12300" width="9" style="2"/>
    <col min="12301" max="12301" width="8" style="2" bestFit="1" customWidth="1"/>
    <col min="12302" max="12305" width="9" style="2"/>
    <col min="12306" max="12307" width="11.125" style="2" bestFit="1" customWidth="1"/>
    <col min="12308" max="12308" width="9" style="2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9.625" style="2" bestFit="1" customWidth="1"/>
    <col min="12539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45" width="11.125" style="2" bestFit="1" customWidth="1"/>
    <col min="12546" max="12546" width="9" style="2"/>
    <col min="12547" max="12555" width="11.125" style="2" bestFit="1" customWidth="1"/>
    <col min="12556" max="12556" width="9" style="2"/>
    <col min="12557" max="12557" width="8" style="2" bestFit="1" customWidth="1"/>
    <col min="12558" max="12561" width="9" style="2"/>
    <col min="12562" max="12563" width="11.125" style="2" bestFit="1" customWidth="1"/>
    <col min="12564" max="12564" width="9" style="2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9.625" style="2" bestFit="1" customWidth="1"/>
    <col min="12795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01" width="11.125" style="2" bestFit="1" customWidth="1"/>
    <col min="12802" max="12802" width="9" style="2"/>
    <col min="12803" max="12811" width="11.125" style="2" bestFit="1" customWidth="1"/>
    <col min="12812" max="12812" width="9" style="2"/>
    <col min="12813" max="12813" width="8" style="2" bestFit="1" customWidth="1"/>
    <col min="12814" max="12817" width="9" style="2"/>
    <col min="12818" max="12819" width="11.125" style="2" bestFit="1" customWidth="1"/>
    <col min="12820" max="12820" width="9" style="2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9.625" style="2" bestFit="1" customWidth="1"/>
    <col min="13051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57" width="11.125" style="2" bestFit="1" customWidth="1"/>
    <col min="13058" max="13058" width="9" style="2"/>
    <col min="13059" max="13067" width="11.125" style="2" bestFit="1" customWidth="1"/>
    <col min="13068" max="13068" width="9" style="2"/>
    <col min="13069" max="13069" width="8" style="2" bestFit="1" customWidth="1"/>
    <col min="13070" max="13073" width="9" style="2"/>
    <col min="13074" max="13075" width="11.125" style="2" bestFit="1" customWidth="1"/>
    <col min="13076" max="13076" width="9" style="2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9.625" style="2" bestFit="1" customWidth="1"/>
    <col min="13307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13" width="11.125" style="2" bestFit="1" customWidth="1"/>
    <col min="13314" max="13314" width="9" style="2"/>
    <col min="13315" max="13323" width="11.125" style="2" bestFit="1" customWidth="1"/>
    <col min="13324" max="13324" width="9" style="2"/>
    <col min="13325" max="13325" width="8" style="2" bestFit="1" customWidth="1"/>
    <col min="13326" max="13329" width="9" style="2"/>
    <col min="13330" max="13331" width="11.125" style="2" bestFit="1" customWidth="1"/>
    <col min="13332" max="13332" width="9" style="2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9.625" style="2" bestFit="1" customWidth="1"/>
    <col min="13563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69" width="11.125" style="2" bestFit="1" customWidth="1"/>
    <col min="13570" max="13570" width="9" style="2"/>
    <col min="13571" max="13579" width="11.125" style="2" bestFit="1" customWidth="1"/>
    <col min="13580" max="13580" width="9" style="2"/>
    <col min="13581" max="13581" width="8" style="2" bestFit="1" customWidth="1"/>
    <col min="13582" max="13585" width="9" style="2"/>
    <col min="13586" max="13587" width="11.125" style="2" bestFit="1" customWidth="1"/>
    <col min="13588" max="13588" width="9" style="2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9.625" style="2" bestFit="1" customWidth="1"/>
    <col min="13819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25" width="11.125" style="2" bestFit="1" customWidth="1"/>
    <col min="13826" max="13826" width="9" style="2"/>
    <col min="13827" max="13835" width="11.125" style="2" bestFit="1" customWidth="1"/>
    <col min="13836" max="13836" width="9" style="2"/>
    <col min="13837" max="13837" width="8" style="2" bestFit="1" customWidth="1"/>
    <col min="13838" max="13841" width="9" style="2"/>
    <col min="13842" max="13843" width="11.125" style="2" bestFit="1" customWidth="1"/>
    <col min="13844" max="13844" width="9" style="2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9.625" style="2" bestFit="1" customWidth="1"/>
    <col min="14075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81" width="11.125" style="2" bestFit="1" customWidth="1"/>
    <col min="14082" max="14082" width="9" style="2"/>
    <col min="14083" max="14091" width="11.125" style="2" bestFit="1" customWidth="1"/>
    <col min="14092" max="14092" width="9" style="2"/>
    <col min="14093" max="14093" width="8" style="2" bestFit="1" customWidth="1"/>
    <col min="14094" max="14097" width="9" style="2"/>
    <col min="14098" max="14099" width="11.125" style="2" bestFit="1" customWidth="1"/>
    <col min="14100" max="14100" width="9" style="2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9.625" style="2" bestFit="1" customWidth="1"/>
    <col min="14331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37" width="11.125" style="2" bestFit="1" customWidth="1"/>
    <col min="14338" max="14338" width="9" style="2"/>
    <col min="14339" max="14347" width="11.125" style="2" bestFit="1" customWidth="1"/>
    <col min="14348" max="14348" width="9" style="2"/>
    <col min="14349" max="14349" width="8" style="2" bestFit="1" customWidth="1"/>
    <col min="14350" max="14353" width="9" style="2"/>
    <col min="14354" max="14355" width="11.125" style="2" bestFit="1" customWidth="1"/>
    <col min="14356" max="14356" width="9" style="2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9.625" style="2" bestFit="1" customWidth="1"/>
    <col min="14587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593" width="11.125" style="2" bestFit="1" customWidth="1"/>
    <col min="14594" max="14594" width="9" style="2"/>
    <col min="14595" max="14603" width="11.125" style="2" bestFit="1" customWidth="1"/>
    <col min="14604" max="14604" width="9" style="2"/>
    <col min="14605" max="14605" width="8" style="2" bestFit="1" customWidth="1"/>
    <col min="14606" max="14609" width="9" style="2"/>
    <col min="14610" max="14611" width="11.125" style="2" bestFit="1" customWidth="1"/>
    <col min="14612" max="14612" width="9" style="2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9.625" style="2" bestFit="1" customWidth="1"/>
    <col min="14843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49" width="11.125" style="2" bestFit="1" customWidth="1"/>
    <col min="14850" max="14850" width="9" style="2"/>
    <col min="14851" max="14859" width="11.125" style="2" bestFit="1" customWidth="1"/>
    <col min="14860" max="14860" width="9" style="2"/>
    <col min="14861" max="14861" width="8" style="2" bestFit="1" customWidth="1"/>
    <col min="14862" max="14865" width="9" style="2"/>
    <col min="14866" max="14867" width="11.125" style="2" bestFit="1" customWidth="1"/>
    <col min="14868" max="14868" width="9" style="2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9.625" style="2" bestFit="1" customWidth="1"/>
    <col min="15099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05" width="11.125" style="2" bestFit="1" customWidth="1"/>
    <col min="15106" max="15106" width="9" style="2"/>
    <col min="15107" max="15115" width="11.125" style="2" bestFit="1" customWidth="1"/>
    <col min="15116" max="15116" width="9" style="2"/>
    <col min="15117" max="15117" width="8" style="2" bestFit="1" customWidth="1"/>
    <col min="15118" max="15121" width="9" style="2"/>
    <col min="15122" max="15123" width="11.125" style="2" bestFit="1" customWidth="1"/>
    <col min="15124" max="15124" width="9" style="2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9.625" style="2" bestFit="1" customWidth="1"/>
    <col min="15355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61" width="11.125" style="2" bestFit="1" customWidth="1"/>
    <col min="15362" max="15362" width="9" style="2"/>
    <col min="15363" max="15371" width="11.125" style="2" bestFit="1" customWidth="1"/>
    <col min="15372" max="15372" width="9" style="2"/>
    <col min="15373" max="15373" width="8" style="2" bestFit="1" customWidth="1"/>
    <col min="15374" max="15377" width="9" style="2"/>
    <col min="15378" max="15379" width="11.125" style="2" bestFit="1" customWidth="1"/>
    <col min="15380" max="15380" width="9" style="2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9.625" style="2" bestFit="1" customWidth="1"/>
    <col min="15611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17" width="11.125" style="2" bestFit="1" customWidth="1"/>
    <col min="15618" max="15618" width="9" style="2"/>
    <col min="15619" max="15627" width="11.125" style="2" bestFit="1" customWidth="1"/>
    <col min="15628" max="15628" width="9" style="2"/>
    <col min="15629" max="15629" width="8" style="2" bestFit="1" customWidth="1"/>
    <col min="15630" max="15633" width="9" style="2"/>
    <col min="15634" max="15635" width="11.125" style="2" bestFit="1" customWidth="1"/>
    <col min="15636" max="15636" width="9" style="2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9.625" style="2" bestFit="1" customWidth="1"/>
    <col min="15867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73" width="11.125" style="2" bestFit="1" customWidth="1"/>
    <col min="15874" max="15874" width="9" style="2"/>
    <col min="15875" max="15883" width="11.125" style="2" bestFit="1" customWidth="1"/>
    <col min="15884" max="15884" width="9" style="2"/>
    <col min="15885" max="15885" width="8" style="2" bestFit="1" customWidth="1"/>
    <col min="15886" max="15889" width="9" style="2"/>
    <col min="15890" max="15891" width="11.125" style="2" bestFit="1" customWidth="1"/>
    <col min="15892" max="15892" width="9" style="2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9.625" style="2" bestFit="1" customWidth="1"/>
    <col min="16123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29" width="11.125" style="2" bestFit="1" customWidth="1"/>
    <col min="16130" max="16130" width="9" style="2"/>
    <col min="16131" max="16139" width="11.125" style="2" bestFit="1" customWidth="1"/>
    <col min="16140" max="16140" width="9" style="2"/>
    <col min="16141" max="16141" width="8" style="2" bestFit="1" customWidth="1"/>
    <col min="16142" max="16145" width="9" style="2"/>
    <col min="16146" max="16147" width="11.125" style="2" bestFit="1" customWidth="1"/>
    <col min="16148" max="16148" width="9" style="2"/>
    <col min="16149" max="16149" width="9.625" style="2" bestFit="1" customWidth="1"/>
    <col min="16150" max="16384" width="9" style="2"/>
  </cols>
  <sheetData>
    <row r="1" spans="1:23">
      <c r="A1" s="1" t="s">
        <v>0</v>
      </c>
    </row>
    <row r="2" spans="1:23">
      <c r="A2" s="1" t="s">
        <v>1</v>
      </c>
    </row>
    <row r="3" spans="1:23" ht="19.5" thickBot="1">
      <c r="A3" s="1" t="s">
        <v>119</v>
      </c>
    </row>
    <row r="4" spans="1:23">
      <c r="B4" s="3"/>
      <c r="C4" s="6" t="s">
        <v>3</v>
      </c>
      <c r="D4" s="7" t="s">
        <v>4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92" t="s">
        <v>120</v>
      </c>
    </row>
    <row r="5" spans="1:23" ht="19.5" thickBot="1">
      <c r="A5" s="91"/>
      <c r="B5" s="25" t="s">
        <v>31</v>
      </c>
      <c r="C5" s="26" t="s">
        <v>32</v>
      </c>
      <c r="D5" s="27" t="s">
        <v>33</v>
      </c>
      <c r="E5" s="27" t="s">
        <v>37</v>
      </c>
      <c r="F5" s="27" t="s">
        <v>38</v>
      </c>
      <c r="G5" s="27" t="s">
        <v>39</v>
      </c>
      <c r="H5" s="27" t="s">
        <v>40</v>
      </c>
      <c r="I5" s="27" t="s">
        <v>41</v>
      </c>
      <c r="J5" s="27" t="s">
        <v>42</v>
      </c>
      <c r="K5" s="27" t="s">
        <v>43</v>
      </c>
      <c r="L5" s="27" t="s">
        <v>44</v>
      </c>
      <c r="M5" s="27" t="s">
        <v>45</v>
      </c>
      <c r="N5" s="27" t="s">
        <v>46</v>
      </c>
      <c r="O5" s="27" t="s">
        <v>47</v>
      </c>
      <c r="P5" s="27" t="s">
        <v>48</v>
      </c>
      <c r="Q5" s="27" t="s">
        <v>49</v>
      </c>
      <c r="R5" s="27" t="s">
        <v>50</v>
      </c>
      <c r="S5" s="27" t="s">
        <v>51</v>
      </c>
      <c r="T5" s="27" t="s">
        <v>52</v>
      </c>
      <c r="U5" s="93" t="s">
        <v>121</v>
      </c>
    </row>
    <row r="6" spans="1:23">
      <c r="A6" s="1" t="s">
        <v>2</v>
      </c>
      <c r="B6" s="21" t="s">
        <v>61</v>
      </c>
      <c r="C6" s="22">
        <v>19</v>
      </c>
      <c r="D6" s="23">
        <v>21</v>
      </c>
      <c r="E6" s="23">
        <v>21</v>
      </c>
      <c r="F6" s="23">
        <v>19</v>
      </c>
      <c r="G6" s="23">
        <v>19</v>
      </c>
      <c r="H6" s="23">
        <v>20</v>
      </c>
      <c r="I6" s="23">
        <v>18</v>
      </c>
      <c r="J6" s="23">
        <v>19</v>
      </c>
      <c r="K6" s="23">
        <v>20</v>
      </c>
      <c r="L6" s="23">
        <v>20</v>
      </c>
      <c r="M6" s="23">
        <v>10</v>
      </c>
      <c r="N6" s="23">
        <v>21</v>
      </c>
      <c r="O6" s="23">
        <v>18</v>
      </c>
      <c r="P6" s="23">
        <v>19</v>
      </c>
      <c r="Q6" s="23">
        <v>21</v>
      </c>
      <c r="R6" s="23">
        <v>17</v>
      </c>
      <c r="S6" s="23">
        <v>14</v>
      </c>
      <c r="T6" s="23">
        <v>14</v>
      </c>
      <c r="U6" s="24">
        <f>SUM(C6:T6)</f>
        <v>330</v>
      </c>
      <c r="W6"/>
    </row>
    <row r="7" spans="1:23">
      <c r="A7" s="1" t="s">
        <v>2</v>
      </c>
      <c r="B7" s="4" t="s">
        <v>62</v>
      </c>
      <c r="C7" s="9">
        <v>3</v>
      </c>
      <c r="D7" s="10">
        <v>2</v>
      </c>
      <c r="E7" s="10">
        <v>4</v>
      </c>
      <c r="F7" s="10">
        <v>4</v>
      </c>
      <c r="G7" s="10">
        <v>3</v>
      </c>
      <c r="H7" s="10">
        <v>1</v>
      </c>
      <c r="I7" s="10">
        <v>4</v>
      </c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4</v>
      </c>
      <c r="P7" s="10">
        <v>3</v>
      </c>
      <c r="Q7" s="10">
        <v>2</v>
      </c>
      <c r="R7" s="10">
        <v>5</v>
      </c>
      <c r="S7" s="10">
        <v>2</v>
      </c>
      <c r="T7" s="10">
        <v>0</v>
      </c>
      <c r="U7" s="11">
        <f>SUM(C7:T7)</f>
        <v>52</v>
      </c>
      <c r="W7"/>
    </row>
    <row r="8" spans="1:23">
      <c r="A8" s="1" t="s">
        <v>2</v>
      </c>
      <c r="B8" s="4" t="s">
        <v>63</v>
      </c>
      <c r="C8" s="9">
        <v>3</v>
      </c>
      <c r="D8" s="10">
        <v>3</v>
      </c>
      <c r="E8" s="10">
        <v>1</v>
      </c>
      <c r="F8" s="10">
        <v>3</v>
      </c>
      <c r="G8" s="10">
        <v>4</v>
      </c>
      <c r="H8" s="10">
        <v>2</v>
      </c>
      <c r="I8" s="10">
        <v>2</v>
      </c>
      <c r="J8" s="10">
        <v>4</v>
      </c>
      <c r="K8" s="10">
        <v>2</v>
      </c>
      <c r="L8" s="10">
        <v>3</v>
      </c>
      <c r="M8" s="10">
        <v>1</v>
      </c>
      <c r="N8" s="10">
        <v>2</v>
      </c>
      <c r="O8" s="10">
        <v>2</v>
      </c>
      <c r="P8" s="10">
        <v>3</v>
      </c>
      <c r="Q8" s="10">
        <v>1</v>
      </c>
      <c r="R8" s="10">
        <v>1</v>
      </c>
      <c r="S8" s="10">
        <v>1</v>
      </c>
      <c r="T8" s="10">
        <v>0</v>
      </c>
      <c r="U8" s="11">
        <f t="shared" ref="U8:U12" si="0">SUM(C8:T8)</f>
        <v>38</v>
      </c>
      <c r="W8"/>
    </row>
    <row r="9" spans="1:23">
      <c r="A9" s="1" t="s">
        <v>2</v>
      </c>
      <c r="B9" s="4" t="s">
        <v>64</v>
      </c>
      <c r="C9" s="9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2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1">
        <f t="shared" si="0"/>
        <v>3</v>
      </c>
      <c r="W9"/>
    </row>
    <row r="10" spans="1:23">
      <c r="A10" s="1" t="s">
        <v>2</v>
      </c>
      <c r="B10" s="4" t="s">
        <v>65</v>
      </c>
      <c r="C10" s="9">
        <v>2</v>
      </c>
      <c r="D10" s="10">
        <v>0</v>
      </c>
      <c r="E10" s="10">
        <v>0</v>
      </c>
      <c r="F10" s="10">
        <v>2</v>
      </c>
      <c r="G10" s="10">
        <v>2</v>
      </c>
      <c r="H10" s="10">
        <v>1</v>
      </c>
      <c r="I10" s="10">
        <v>1</v>
      </c>
      <c r="J10" s="10">
        <v>2</v>
      </c>
      <c r="K10" s="10">
        <v>1</v>
      </c>
      <c r="L10" s="10">
        <v>1</v>
      </c>
      <c r="M10" s="10">
        <v>0</v>
      </c>
      <c r="N10" s="10">
        <v>0</v>
      </c>
      <c r="O10" s="10">
        <v>2</v>
      </c>
      <c r="P10" s="10">
        <v>0</v>
      </c>
      <c r="Q10" s="10">
        <v>0</v>
      </c>
      <c r="R10" s="10">
        <v>1</v>
      </c>
      <c r="S10" s="10">
        <v>7</v>
      </c>
      <c r="T10" s="10">
        <v>0</v>
      </c>
      <c r="U10" s="11">
        <f t="shared" si="0"/>
        <v>22</v>
      </c>
      <c r="W10"/>
    </row>
    <row r="11" spans="1:23">
      <c r="A11" s="1" t="s">
        <v>2</v>
      </c>
      <c r="B11" s="4" t="s">
        <v>66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2</v>
      </c>
      <c r="Q11" s="10">
        <v>0</v>
      </c>
      <c r="R11" s="10">
        <v>2</v>
      </c>
      <c r="S11" s="10">
        <v>0</v>
      </c>
      <c r="T11" s="10">
        <v>0</v>
      </c>
      <c r="U11" s="11">
        <f t="shared" si="0"/>
        <v>7</v>
      </c>
      <c r="W11"/>
    </row>
    <row r="12" spans="1:23">
      <c r="A12" s="1" t="s">
        <v>2</v>
      </c>
      <c r="B12" s="4" t="s">
        <v>67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9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6.9</v>
      </c>
      <c r="U12" s="11">
        <f t="shared" si="0"/>
        <v>15.9</v>
      </c>
      <c r="W12"/>
    </row>
    <row r="13" spans="1:23">
      <c r="A13" s="1" t="s">
        <v>2</v>
      </c>
      <c r="B13" s="4" t="s">
        <v>68</v>
      </c>
      <c r="C13" s="9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1"/>
      <c r="W13"/>
    </row>
    <row r="14" spans="1:23">
      <c r="A14" s="1" t="s">
        <v>2</v>
      </c>
      <c r="B14" s="4" t="s">
        <v>69</v>
      </c>
      <c r="C14" s="12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4"/>
      <c r="W14"/>
    </row>
    <row r="15" spans="1:23">
      <c r="A15" s="1" t="s">
        <v>2</v>
      </c>
      <c r="B15" s="4" t="s">
        <v>70</v>
      </c>
      <c r="C15" s="12">
        <v>1.2083333333333333</v>
      </c>
      <c r="D15" s="13">
        <v>2.4583333333333335</v>
      </c>
      <c r="E15" s="13">
        <v>2.7083333333333335</v>
      </c>
      <c r="F15" s="13">
        <v>2.1666666666666665</v>
      </c>
      <c r="G15" s="13">
        <v>1.4583333333333333</v>
      </c>
      <c r="H15" s="13">
        <v>3.4166666666666665</v>
      </c>
      <c r="I15" s="13">
        <v>2.25</v>
      </c>
      <c r="J15" s="13">
        <v>1.5416666666666665</v>
      </c>
      <c r="K15" s="13">
        <v>2.1666666666666665</v>
      </c>
      <c r="L15" s="13">
        <v>2.5</v>
      </c>
      <c r="M15" s="13">
        <v>0.79166666666666663</v>
      </c>
      <c r="N15" s="13">
        <v>1.625</v>
      </c>
      <c r="O15" s="13">
        <v>1.4583333333333333</v>
      </c>
      <c r="P15" s="13">
        <v>2.9166666666666665</v>
      </c>
      <c r="Q15" s="13">
        <v>3</v>
      </c>
      <c r="R15" s="13">
        <v>1.1666666666666667</v>
      </c>
      <c r="S15" s="13">
        <v>1.4583333333333333</v>
      </c>
      <c r="T15" s="13">
        <v>0.79166666666666663</v>
      </c>
      <c r="U15" s="14">
        <f>SUM(C15:T15)</f>
        <v>35.083333333333336</v>
      </c>
      <c r="W15"/>
    </row>
    <row r="16" spans="1:23">
      <c r="A16" s="1" t="s">
        <v>2</v>
      </c>
      <c r="B16" s="4" t="s">
        <v>71</v>
      </c>
      <c r="C16" s="12">
        <v>0.91666666666666663</v>
      </c>
      <c r="D16" s="13">
        <v>0.91666666666666663</v>
      </c>
      <c r="E16" s="13">
        <v>1.6666666666666665</v>
      </c>
      <c r="F16" s="13">
        <v>1.8333333333333335</v>
      </c>
      <c r="G16" s="13">
        <v>0.91666666666666663</v>
      </c>
      <c r="H16" s="13">
        <v>0.45833333333333331</v>
      </c>
      <c r="I16" s="13">
        <v>1.5833333333333335</v>
      </c>
      <c r="J16" s="13">
        <v>0.875</v>
      </c>
      <c r="K16" s="13">
        <v>0.875</v>
      </c>
      <c r="L16" s="13">
        <v>1.25</v>
      </c>
      <c r="M16" s="13">
        <v>0.95833333333333337</v>
      </c>
      <c r="N16" s="13">
        <v>1.3333333333333333</v>
      </c>
      <c r="O16" s="13">
        <v>1.5833333333333335</v>
      </c>
      <c r="P16" s="13">
        <v>0.91666666666666663</v>
      </c>
      <c r="Q16" s="13">
        <v>1.0833333333333333</v>
      </c>
      <c r="R16" s="13">
        <v>1.5416666666666665</v>
      </c>
      <c r="S16" s="13">
        <v>0.83333333333333337</v>
      </c>
      <c r="T16" s="13">
        <v>0</v>
      </c>
      <c r="U16" s="14">
        <f t="shared" ref="U16:U19" si="1">SUM(C16:T16)</f>
        <v>19.541666666666668</v>
      </c>
      <c r="W16"/>
    </row>
    <row r="17" spans="1:23">
      <c r="A17" s="1" t="s">
        <v>2</v>
      </c>
      <c r="B17" s="4" t="s">
        <v>72</v>
      </c>
      <c r="C17" s="12">
        <v>0.79166666666666663</v>
      </c>
      <c r="D17" s="13">
        <v>1.0416666666666667</v>
      </c>
      <c r="E17" s="13">
        <v>0.5</v>
      </c>
      <c r="F17" s="13">
        <v>1.25</v>
      </c>
      <c r="G17" s="13">
        <v>1.7916666666666665</v>
      </c>
      <c r="H17" s="13">
        <v>0.54166666666666663</v>
      </c>
      <c r="I17" s="13">
        <v>0.70833333333333337</v>
      </c>
      <c r="J17" s="13">
        <v>1.0416666666666667</v>
      </c>
      <c r="K17" s="13">
        <v>0.70833333333333337</v>
      </c>
      <c r="L17" s="13">
        <v>1.0833333333333333</v>
      </c>
      <c r="M17" s="13">
        <v>0</v>
      </c>
      <c r="N17" s="13">
        <v>1</v>
      </c>
      <c r="O17" s="13">
        <v>0.625</v>
      </c>
      <c r="P17" s="13">
        <v>1.3333333333333333</v>
      </c>
      <c r="Q17" s="13">
        <v>0.16666666666666666</v>
      </c>
      <c r="R17" s="13">
        <v>0.41666666666666669</v>
      </c>
      <c r="S17" s="13">
        <v>0.375</v>
      </c>
      <c r="T17" s="13">
        <v>0</v>
      </c>
      <c r="U17" s="14">
        <f t="shared" si="1"/>
        <v>13.375</v>
      </c>
      <c r="W17"/>
    </row>
    <row r="18" spans="1:23">
      <c r="A18" s="1" t="s">
        <v>2</v>
      </c>
      <c r="B18" s="4" t="s">
        <v>73</v>
      </c>
      <c r="C18" s="12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0.5</v>
      </c>
      <c r="N18" s="13">
        <v>0</v>
      </c>
      <c r="O18" s="13">
        <v>0</v>
      </c>
      <c r="P18" s="13">
        <v>0</v>
      </c>
      <c r="Q18" s="13">
        <v>0</v>
      </c>
      <c r="R18" s="13">
        <v>0.54166666666666663</v>
      </c>
      <c r="S18" s="13">
        <v>0</v>
      </c>
      <c r="T18" s="13">
        <v>0</v>
      </c>
      <c r="U18" s="14">
        <f t="shared" si="1"/>
        <v>1.0416666666666665</v>
      </c>
      <c r="W18"/>
    </row>
    <row r="19" spans="1:23">
      <c r="A19" s="1" t="s">
        <v>2</v>
      </c>
      <c r="B19" s="4" t="s">
        <v>74</v>
      </c>
      <c r="C19" s="1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0.25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4">
        <f t="shared" si="1"/>
        <v>0.25</v>
      </c>
      <c r="W19"/>
    </row>
    <row r="20" spans="1:23">
      <c r="A20" s="1" t="s">
        <v>2</v>
      </c>
      <c r="B20" s="4" t="s">
        <v>76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4"/>
      <c r="W20"/>
    </row>
    <row r="21" spans="1:23">
      <c r="A21" s="1" t="s">
        <v>2</v>
      </c>
      <c r="B21" s="4" t="s">
        <v>77</v>
      </c>
      <c r="C21" s="12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4"/>
      <c r="W21"/>
    </row>
    <row r="22" spans="1:23">
      <c r="A22" s="1" t="s">
        <v>2</v>
      </c>
      <c r="B22" s="4" t="s">
        <v>78</v>
      </c>
      <c r="C22" s="12">
        <v>4.1666666666666664E-2</v>
      </c>
      <c r="D22" s="13">
        <v>0.125</v>
      </c>
      <c r="E22" s="13">
        <v>8.3333333333333329E-2</v>
      </c>
      <c r="F22" s="13">
        <v>1.2083333333333333</v>
      </c>
      <c r="G22" s="13">
        <v>1.2916666666666667</v>
      </c>
      <c r="H22" s="13">
        <v>1.8333333333333335</v>
      </c>
      <c r="I22" s="13">
        <v>0.16666666666666666</v>
      </c>
      <c r="J22" s="13">
        <v>0.83333333333333337</v>
      </c>
      <c r="K22" s="13">
        <v>0.125</v>
      </c>
      <c r="L22" s="13">
        <v>0.29166666666666669</v>
      </c>
      <c r="M22" s="13">
        <v>0.33333333333333331</v>
      </c>
      <c r="N22" s="13">
        <v>1.25</v>
      </c>
      <c r="O22" s="13">
        <v>0.125</v>
      </c>
      <c r="P22" s="13">
        <v>1.5416666666666665</v>
      </c>
      <c r="Q22" s="13">
        <v>1.4166666666666667</v>
      </c>
      <c r="R22" s="13">
        <v>1.9166666666666665</v>
      </c>
      <c r="S22" s="13">
        <v>8.3333333333333329E-2</v>
      </c>
      <c r="T22" s="13">
        <v>0.625</v>
      </c>
      <c r="U22" s="14">
        <f>SUM(C22:T22)</f>
        <v>13.291666666666666</v>
      </c>
      <c r="W22"/>
    </row>
    <row r="23" spans="1:23" ht="19.5" thickBot="1">
      <c r="A23" s="1" t="s">
        <v>2</v>
      </c>
      <c r="B23" s="5" t="s">
        <v>79</v>
      </c>
      <c r="C23" s="32">
        <v>25</v>
      </c>
      <c r="D23" s="33">
        <v>30</v>
      </c>
      <c r="E23" s="33">
        <v>37</v>
      </c>
      <c r="F23" s="33">
        <v>34</v>
      </c>
      <c r="G23" s="33">
        <v>21</v>
      </c>
      <c r="H23" s="33">
        <v>30</v>
      </c>
      <c r="I23" s="33">
        <v>29</v>
      </c>
      <c r="J23" s="33">
        <v>16</v>
      </c>
      <c r="K23" s="33">
        <v>21</v>
      </c>
      <c r="L23" s="33">
        <v>31</v>
      </c>
      <c r="M23" s="33">
        <v>6</v>
      </c>
      <c r="N23" s="33">
        <v>13</v>
      </c>
      <c r="O23" s="33">
        <v>21</v>
      </c>
      <c r="P23" s="33">
        <v>13</v>
      </c>
      <c r="Q23" s="33">
        <v>11</v>
      </c>
      <c r="R23" s="33">
        <v>9</v>
      </c>
      <c r="S23" s="33">
        <v>2</v>
      </c>
      <c r="T23" s="33">
        <v>0</v>
      </c>
      <c r="U23" s="34">
        <f>SUM(C23:T23)</f>
        <v>349</v>
      </c>
      <c r="W23"/>
    </row>
    <row r="24" spans="1:23">
      <c r="A24" s="1" t="s">
        <v>2</v>
      </c>
      <c r="B24" s="21" t="s">
        <v>80</v>
      </c>
      <c r="C24" s="29">
        <v>177000</v>
      </c>
      <c r="D24" s="30">
        <v>187000</v>
      </c>
      <c r="E24" s="30">
        <v>187000</v>
      </c>
      <c r="F24" s="30">
        <v>192000</v>
      </c>
      <c r="G24" s="30">
        <v>182000</v>
      </c>
      <c r="H24" s="30">
        <v>187000</v>
      </c>
      <c r="I24" s="30">
        <v>177000</v>
      </c>
      <c r="J24" s="30">
        <v>177000</v>
      </c>
      <c r="K24" s="30">
        <v>172000</v>
      </c>
      <c r="L24" s="30">
        <v>177000</v>
      </c>
      <c r="M24" s="30">
        <v>177000</v>
      </c>
      <c r="N24" s="30">
        <v>177000</v>
      </c>
      <c r="O24" s="30">
        <v>170000</v>
      </c>
      <c r="P24" s="30">
        <v>177000</v>
      </c>
      <c r="Q24" s="30">
        <v>175000</v>
      </c>
      <c r="R24" s="30">
        <v>175000</v>
      </c>
      <c r="S24" s="30">
        <v>170000</v>
      </c>
      <c r="T24" s="30">
        <v>170000</v>
      </c>
      <c r="U24" s="31">
        <f>SUM(C24:T24)</f>
        <v>3206000</v>
      </c>
      <c r="W24"/>
    </row>
    <row r="25" spans="1:23">
      <c r="A25" s="1" t="s">
        <v>2</v>
      </c>
      <c r="B25" s="4" t="s">
        <v>81</v>
      </c>
      <c r="C25" s="15">
        <v>0</v>
      </c>
      <c r="D25" s="16">
        <v>0</v>
      </c>
      <c r="E25" s="16">
        <v>20000</v>
      </c>
      <c r="F25" s="16">
        <v>5000</v>
      </c>
      <c r="G25" s="16">
        <v>5000</v>
      </c>
      <c r="H25" s="16">
        <v>5000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7">
        <f t="shared" ref="U25:U62" si="2">SUM(C25:T25)</f>
        <v>35000</v>
      </c>
      <c r="W25"/>
    </row>
    <row r="26" spans="1:23">
      <c r="A26" s="1" t="s">
        <v>2</v>
      </c>
      <c r="B26" s="4" t="s">
        <v>82</v>
      </c>
      <c r="C26" s="15">
        <v>0</v>
      </c>
      <c r="D26" s="16">
        <v>0</v>
      </c>
      <c r="E26" s="16">
        <v>3000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7">
        <f t="shared" si="2"/>
        <v>3000</v>
      </c>
      <c r="W26"/>
    </row>
    <row r="27" spans="1:23">
      <c r="A27" s="1" t="s">
        <v>2</v>
      </c>
      <c r="B27" s="4" t="s">
        <v>83</v>
      </c>
      <c r="C27" s="15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f t="shared" si="2"/>
        <v>0</v>
      </c>
      <c r="W27"/>
    </row>
    <row r="28" spans="1:23">
      <c r="A28" s="1" t="s">
        <v>2</v>
      </c>
      <c r="B28" s="4" t="s">
        <v>84</v>
      </c>
      <c r="C28" s="15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7">
        <f t="shared" si="2"/>
        <v>0</v>
      </c>
      <c r="W28"/>
    </row>
    <row r="29" spans="1:23">
      <c r="A29" s="1" t="s">
        <v>2</v>
      </c>
      <c r="B29" s="4" t="s">
        <v>85</v>
      </c>
      <c r="C29" s="15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7">
        <f t="shared" si="2"/>
        <v>0</v>
      </c>
      <c r="W29"/>
    </row>
    <row r="30" spans="1:23">
      <c r="A30" s="1" t="s">
        <v>2</v>
      </c>
      <c r="B30" s="4" t="s">
        <v>86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7">
        <f t="shared" si="2"/>
        <v>0</v>
      </c>
      <c r="W30"/>
    </row>
    <row r="31" spans="1:23">
      <c r="A31" s="1" t="s">
        <v>2</v>
      </c>
      <c r="B31" s="4" t="s">
        <v>87</v>
      </c>
      <c r="C31" s="15">
        <v>30000</v>
      </c>
      <c r="D31" s="16">
        <v>29600</v>
      </c>
      <c r="E31" s="16">
        <v>29800</v>
      </c>
      <c r="F31" s="16">
        <v>30800</v>
      </c>
      <c r="G31" s="16">
        <v>0</v>
      </c>
      <c r="H31" s="16">
        <v>29200</v>
      </c>
      <c r="I31" s="16">
        <v>0</v>
      </c>
      <c r="J31" s="16">
        <v>27400</v>
      </c>
      <c r="K31" s="16">
        <v>0</v>
      </c>
      <c r="L31" s="16">
        <v>29400</v>
      </c>
      <c r="M31" s="16">
        <v>27800</v>
      </c>
      <c r="N31" s="16">
        <v>29400</v>
      </c>
      <c r="O31" s="16">
        <v>31200</v>
      </c>
      <c r="P31" s="16">
        <v>28400</v>
      </c>
      <c r="Q31" s="16">
        <v>29200</v>
      </c>
      <c r="R31" s="16">
        <v>27400</v>
      </c>
      <c r="S31" s="16">
        <v>0</v>
      </c>
      <c r="T31" s="16">
        <v>0</v>
      </c>
      <c r="U31" s="17">
        <f t="shared" si="2"/>
        <v>379600</v>
      </c>
      <c r="W31"/>
    </row>
    <row r="32" spans="1:23">
      <c r="A32" s="1" t="s">
        <v>2</v>
      </c>
      <c r="B32" s="4" t="s">
        <v>88</v>
      </c>
      <c r="C32" s="15">
        <v>0</v>
      </c>
      <c r="D32" s="16">
        <v>1000</v>
      </c>
      <c r="E32" s="16">
        <v>1000</v>
      </c>
      <c r="F32" s="16">
        <v>1000</v>
      </c>
      <c r="G32" s="16">
        <v>0</v>
      </c>
      <c r="H32" s="16">
        <v>1000</v>
      </c>
      <c r="I32" s="16">
        <v>0</v>
      </c>
      <c r="J32" s="16">
        <v>1000</v>
      </c>
      <c r="K32" s="16">
        <v>0</v>
      </c>
      <c r="L32" s="16">
        <v>1000</v>
      </c>
      <c r="M32" s="16">
        <v>1000</v>
      </c>
      <c r="N32" s="16">
        <v>1000</v>
      </c>
      <c r="O32" s="16">
        <v>1000</v>
      </c>
      <c r="P32" s="16">
        <v>1000</v>
      </c>
      <c r="Q32" s="16">
        <v>1000</v>
      </c>
      <c r="R32" s="16">
        <v>1000</v>
      </c>
      <c r="S32" s="16">
        <v>0</v>
      </c>
      <c r="T32" s="16">
        <v>0</v>
      </c>
      <c r="U32" s="17">
        <f t="shared" si="2"/>
        <v>12000</v>
      </c>
      <c r="W32"/>
    </row>
    <row r="33" spans="1:23">
      <c r="A33" s="1" t="s">
        <v>2</v>
      </c>
      <c r="B33" s="4" t="s">
        <v>89</v>
      </c>
      <c r="C33" s="15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7">
        <f t="shared" si="2"/>
        <v>0</v>
      </c>
      <c r="W33"/>
    </row>
    <row r="34" spans="1:23">
      <c r="A34" s="1" t="s">
        <v>2</v>
      </c>
      <c r="B34" s="4" t="s">
        <v>90</v>
      </c>
      <c r="C34" s="15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7">
        <f t="shared" si="2"/>
        <v>0</v>
      </c>
      <c r="W34"/>
    </row>
    <row r="35" spans="1:23">
      <c r="A35" s="1" t="s">
        <v>2</v>
      </c>
      <c r="B35" s="4" t="s">
        <v>91</v>
      </c>
      <c r="C35" s="15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7">
        <f t="shared" si="2"/>
        <v>0</v>
      </c>
      <c r="W35"/>
    </row>
    <row r="36" spans="1:23">
      <c r="A36" s="1" t="s">
        <v>2</v>
      </c>
      <c r="B36" s="4" t="s">
        <v>92</v>
      </c>
      <c r="C36" s="15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94">
        <v>-76644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94">
        <v>-56117</v>
      </c>
      <c r="U36" s="97">
        <f t="shared" si="2"/>
        <v>-132761</v>
      </c>
      <c r="W36"/>
    </row>
    <row r="37" spans="1:23">
      <c r="A37" s="1" t="s">
        <v>2</v>
      </c>
      <c r="B37" s="4" t="s">
        <v>70</v>
      </c>
      <c r="C37" s="15">
        <v>38425</v>
      </c>
      <c r="D37" s="16">
        <v>83072</v>
      </c>
      <c r="E37" s="16">
        <v>102635</v>
      </c>
      <c r="F37" s="16">
        <v>77116</v>
      </c>
      <c r="G37" s="16">
        <v>49000</v>
      </c>
      <c r="H37" s="16">
        <v>118490</v>
      </c>
      <c r="I37" s="16">
        <v>71550</v>
      </c>
      <c r="J37" s="16">
        <v>49321</v>
      </c>
      <c r="K37" s="16">
        <v>66976</v>
      </c>
      <c r="L37" s="16">
        <v>79980</v>
      </c>
      <c r="M37" s="16">
        <v>25327</v>
      </c>
      <c r="N37" s="16">
        <v>51987</v>
      </c>
      <c r="O37" s="16">
        <v>44800</v>
      </c>
      <c r="P37" s="16">
        <v>93310</v>
      </c>
      <c r="Q37" s="16">
        <v>94896</v>
      </c>
      <c r="R37" s="16">
        <v>36904</v>
      </c>
      <c r="S37" s="16">
        <v>44555</v>
      </c>
      <c r="T37" s="16">
        <v>24187</v>
      </c>
      <c r="U37" s="17">
        <f t="shared" si="2"/>
        <v>1152531</v>
      </c>
      <c r="W37"/>
    </row>
    <row r="38" spans="1:23">
      <c r="A38" s="1" t="s">
        <v>2</v>
      </c>
      <c r="B38" s="4" t="s">
        <v>93</v>
      </c>
      <c r="C38" s="15">
        <v>31482</v>
      </c>
      <c r="D38" s="16">
        <v>33440</v>
      </c>
      <c r="E38" s="16">
        <v>68200</v>
      </c>
      <c r="F38" s="16">
        <v>70444</v>
      </c>
      <c r="G38" s="16">
        <v>33264</v>
      </c>
      <c r="H38" s="16">
        <v>17171</v>
      </c>
      <c r="I38" s="16">
        <v>54378</v>
      </c>
      <c r="J38" s="16">
        <v>30219</v>
      </c>
      <c r="K38" s="16">
        <v>29211</v>
      </c>
      <c r="L38" s="16">
        <v>43170</v>
      </c>
      <c r="M38" s="16">
        <v>33097</v>
      </c>
      <c r="N38" s="16">
        <v>46048</v>
      </c>
      <c r="O38" s="16">
        <v>52516</v>
      </c>
      <c r="P38" s="16">
        <v>31658</v>
      </c>
      <c r="Q38" s="16">
        <v>36998</v>
      </c>
      <c r="R38" s="16">
        <v>52651</v>
      </c>
      <c r="S38" s="16">
        <v>27480</v>
      </c>
      <c r="T38" s="16">
        <v>0</v>
      </c>
      <c r="U38" s="17">
        <f t="shared" si="2"/>
        <v>691427</v>
      </c>
      <c r="W38"/>
    </row>
    <row r="39" spans="1:23">
      <c r="A39" s="1" t="s">
        <v>2</v>
      </c>
      <c r="B39" s="4" t="s">
        <v>94</v>
      </c>
      <c r="C39" s="15">
        <v>27189</v>
      </c>
      <c r="D39" s="16">
        <v>38000</v>
      </c>
      <c r="E39" s="16">
        <v>20460</v>
      </c>
      <c r="F39" s="16">
        <v>48030</v>
      </c>
      <c r="G39" s="16">
        <v>65016</v>
      </c>
      <c r="H39" s="16">
        <v>20293</v>
      </c>
      <c r="I39" s="16">
        <v>24327</v>
      </c>
      <c r="J39" s="16">
        <v>35975</v>
      </c>
      <c r="K39" s="16">
        <v>23647</v>
      </c>
      <c r="L39" s="16">
        <v>37414</v>
      </c>
      <c r="M39" s="16">
        <v>0</v>
      </c>
      <c r="N39" s="16">
        <v>34536</v>
      </c>
      <c r="O39" s="16">
        <v>20730</v>
      </c>
      <c r="P39" s="16">
        <v>46048</v>
      </c>
      <c r="Q39" s="16">
        <v>5692</v>
      </c>
      <c r="R39" s="16">
        <v>14230</v>
      </c>
      <c r="S39" s="16">
        <v>12366</v>
      </c>
      <c r="T39" s="16">
        <v>0</v>
      </c>
      <c r="U39" s="17">
        <f t="shared" si="2"/>
        <v>473953</v>
      </c>
      <c r="W39"/>
    </row>
    <row r="40" spans="1:23">
      <c r="A40" s="1" t="s">
        <v>2</v>
      </c>
      <c r="B40" s="4" t="s">
        <v>95</v>
      </c>
      <c r="C40" s="15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4476</v>
      </c>
      <c r="N40" s="16">
        <v>0</v>
      </c>
      <c r="O40" s="16">
        <v>0</v>
      </c>
      <c r="P40" s="16">
        <v>0</v>
      </c>
      <c r="Q40" s="16">
        <v>0</v>
      </c>
      <c r="R40" s="16">
        <v>4797</v>
      </c>
      <c r="S40" s="16">
        <v>0</v>
      </c>
      <c r="T40" s="16">
        <v>0</v>
      </c>
      <c r="U40" s="17">
        <f t="shared" si="2"/>
        <v>9273</v>
      </c>
      <c r="W40"/>
    </row>
    <row r="41" spans="1:23">
      <c r="A41" s="1" t="s">
        <v>2</v>
      </c>
      <c r="B41" s="4" t="s">
        <v>96</v>
      </c>
      <c r="C41" s="15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2238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7">
        <f t="shared" si="2"/>
        <v>2238</v>
      </c>
      <c r="W41"/>
    </row>
    <row r="42" spans="1:23">
      <c r="A42" s="1" t="s">
        <v>2</v>
      </c>
      <c r="B42" s="4" t="s">
        <v>97</v>
      </c>
      <c r="C42" s="15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7">
        <f t="shared" si="2"/>
        <v>0</v>
      </c>
      <c r="W42"/>
    </row>
    <row r="43" spans="1:23">
      <c r="A43" s="1" t="s">
        <v>2</v>
      </c>
      <c r="B43" s="4" t="s">
        <v>75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7">
        <f t="shared" si="2"/>
        <v>0</v>
      </c>
      <c r="W43"/>
    </row>
    <row r="44" spans="1:23" ht="19.5" thickBot="1">
      <c r="A44" s="1" t="s">
        <v>2</v>
      </c>
      <c r="B44" s="35" t="s">
        <v>78</v>
      </c>
      <c r="C44" s="36">
        <v>265</v>
      </c>
      <c r="D44" s="37">
        <v>846</v>
      </c>
      <c r="E44" s="37">
        <v>632</v>
      </c>
      <c r="F44" s="37">
        <v>8613</v>
      </c>
      <c r="G44" s="37">
        <v>8680</v>
      </c>
      <c r="H44" s="37">
        <v>12716</v>
      </c>
      <c r="I44" s="37">
        <v>1060</v>
      </c>
      <c r="J44" s="37">
        <v>5340</v>
      </c>
      <c r="K44" s="37">
        <v>774</v>
      </c>
      <c r="L44" s="37">
        <v>1869</v>
      </c>
      <c r="M44" s="37">
        <v>2136</v>
      </c>
      <c r="N44" s="37">
        <v>8010</v>
      </c>
      <c r="O44" s="37">
        <v>768</v>
      </c>
      <c r="P44" s="37">
        <v>9879</v>
      </c>
      <c r="Q44" s="37">
        <v>8976</v>
      </c>
      <c r="R44" s="37">
        <v>12144</v>
      </c>
      <c r="S44" s="37">
        <v>510</v>
      </c>
      <c r="T44" s="37">
        <v>3825</v>
      </c>
      <c r="U44" s="38">
        <f t="shared" si="2"/>
        <v>87043</v>
      </c>
      <c r="W44"/>
    </row>
    <row r="45" spans="1:23" ht="19.5" thickBot="1">
      <c r="A45" s="1" t="s">
        <v>2</v>
      </c>
      <c r="B45" s="39" t="s">
        <v>98</v>
      </c>
      <c r="C45" s="40">
        <v>304361</v>
      </c>
      <c r="D45" s="41">
        <v>372958</v>
      </c>
      <c r="E45" s="41">
        <v>432727</v>
      </c>
      <c r="F45" s="41">
        <v>433003</v>
      </c>
      <c r="G45" s="41">
        <v>342960</v>
      </c>
      <c r="H45" s="41">
        <v>390870</v>
      </c>
      <c r="I45" s="41">
        <v>328315</v>
      </c>
      <c r="J45" s="41">
        <v>326255</v>
      </c>
      <c r="K45" s="41">
        <v>292608</v>
      </c>
      <c r="L45" s="41">
        <v>369833</v>
      </c>
      <c r="M45" s="41">
        <v>196430</v>
      </c>
      <c r="N45" s="41">
        <v>347981</v>
      </c>
      <c r="O45" s="41">
        <v>321014</v>
      </c>
      <c r="P45" s="41">
        <v>387295</v>
      </c>
      <c r="Q45" s="41">
        <v>351762</v>
      </c>
      <c r="R45" s="41">
        <v>324126</v>
      </c>
      <c r="S45" s="41">
        <v>254911</v>
      </c>
      <c r="T45" s="41">
        <v>141895</v>
      </c>
      <c r="U45" s="42">
        <f t="shared" si="2"/>
        <v>5919304</v>
      </c>
      <c r="W45"/>
    </row>
    <row r="46" spans="1:23" ht="19.5" thickBot="1">
      <c r="A46" s="1" t="s">
        <v>2</v>
      </c>
      <c r="B46" s="21" t="s">
        <v>99</v>
      </c>
      <c r="C46" s="29">
        <v>12077</v>
      </c>
      <c r="D46" s="30">
        <v>3140</v>
      </c>
      <c r="E46" s="30">
        <v>5652</v>
      </c>
      <c r="F46" s="30">
        <v>3140</v>
      </c>
      <c r="G46" s="30">
        <v>14444</v>
      </c>
      <c r="H46" s="30">
        <v>2223</v>
      </c>
      <c r="I46" s="30">
        <v>2319</v>
      </c>
      <c r="J46" s="30">
        <v>1256</v>
      </c>
      <c r="K46" s="30">
        <v>3020</v>
      </c>
      <c r="L46" s="30">
        <v>5024</v>
      </c>
      <c r="M46" s="30">
        <v>3382</v>
      </c>
      <c r="N46" s="30">
        <v>4396</v>
      </c>
      <c r="O46" s="30">
        <v>6957</v>
      </c>
      <c r="P46" s="30">
        <v>3624</v>
      </c>
      <c r="Q46" s="30">
        <v>5797</v>
      </c>
      <c r="R46" s="30">
        <v>9445</v>
      </c>
      <c r="S46" s="30">
        <v>7392</v>
      </c>
      <c r="T46" s="30">
        <v>2368</v>
      </c>
      <c r="U46" s="31">
        <f t="shared" si="2"/>
        <v>95656</v>
      </c>
      <c r="W46"/>
    </row>
    <row r="47" spans="1:23" ht="19.5" thickBot="1">
      <c r="A47" s="1" t="s">
        <v>2</v>
      </c>
      <c r="B47" s="39" t="s">
        <v>100</v>
      </c>
      <c r="C47" s="40">
        <v>12077</v>
      </c>
      <c r="D47" s="41">
        <v>3140</v>
      </c>
      <c r="E47" s="41">
        <v>5652</v>
      </c>
      <c r="F47" s="41">
        <v>3140</v>
      </c>
      <c r="G47" s="41">
        <v>14444</v>
      </c>
      <c r="H47" s="41">
        <v>2223</v>
      </c>
      <c r="I47" s="41">
        <v>2319</v>
      </c>
      <c r="J47" s="41">
        <v>1256</v>
      </c>
      <c r="K47" s="41">
        <v>3020</v>
      </c>
      <c r="L47" s="41">
        <v>5024</v>
      </c>
      <c r="M47" s="41">
        <v>3382</v>
      </c>
      <c r="N47" s="41">
        <v>4396</v>
      </c>
      <c r="O47" s="41">
        <v>6957</v>
      </c>
      <c r="P47" s="41">
        <v>3624</v>
      </c>
      <c r="Q47" s="41">
        <v>5797</v>
      </c>
      <c r="R47" s="41">
        <v>9445</v>
      </c>
      <c r="S47" s="41">
        <v>7392</v>
      </c>
      <c r="T47" s="41">
        <v>2368</v>
      </c>
      <c r="U47" s="42">
        <f t="shared" si="2"/>
        <v>95656</v>
      </c>
      <c r="W47"/>
    </row>
    <row r="48" spans="1:23" ht="19.5" thickBot="1">
      <c r="A48" s="1" t="s">
        <v>2</v>
      </c>
      <c r="B48" s="39" t="s">
        <v>101</v>
      </c>
      <c r="C48" s="40">
        <v>316438</v>
      </c>
      <c r="D48" s="41">
        <v>376098</v>
      </c>
      <c r="E48" s="41">
        <v>438379</v>
      </c>
      <c r="F48" s="41">
        <v>436143</v>
      </c>
      <c r="G48" s="41">
        <v>357404</v>
      </c>
      <c r="H48" s="41">
        <v>393093</v>
      </c>
      <c r="I48" s="41">
        <v>330634</v>
      </c>
      <c r="J48" s="41">
        <v>327511</v>
      </c>
      <c r="K48" s="41">
        <v>295628</v>
      </c>
      <c r="L48" s="41">
        <v>374857</v>
      </c>
      <c r="M48" s="41">
        <v>199812</v>
      </c>
      <c r="N48" s="41">
        <v>352377</v>
      </c>
      <c r="O48" s="41">
        <v>327971</v>
      </c>
      <c r="P48" s="41">
        <v>390919</v>
      </c>
      <c r="Q48" s="41">
        <v>357559</v>
      </c>
      <c r="R48" s="41">
        <v>333571</v>
      </c>
      <c r="S48" s="41">
        <v>262303</v>
      </c>
      <c r="T48" s="41">
        <v>144263</v>
      </c>
      <c r="U48" s="42">
        <f t="shared" si="2"/>
        <v>6014960</v>
      </c>
      <c r="W48"/>
    </row>
    <row r="49" spans="1:23">
      <c r="A49" s="1" t="s">
        <v>2</v>
      </c>
      <c r="B49" s="21" t="s">
        <v>102</v>
      </c>
      <c r="C49" s="29">
        <v>16320</v>
      </c>
      <c r="D49" s="30">
        <v>16320</v>
      </c>
      <c r="E49" s="30">
        <v>19380</v>
      </c>
      <c r="F49" s="30">
        <v>20910</v>
      </c>
      <c r="G49" s="30">
        <v>19380</v>
      </c>
      <c r="H49" s="30">
        <v>20910</v>
      </c>
      <c r="I49" s="30">
        <v>16320</v>
      </c>
      <c r="J49" s="30">
        <v>15300</v>
      </c>
      <c r="K49" s="30">
        <v>16320</v>
      </c>
      <c r="L49" s="30">
        <v>17340</v>
      </c>
      <c r="M49" s="30">
        <v>16320</v>
      </c>
      <c r="N49" s="30">
        <v>17340</v>
      </c>
      <c r="O49" s="30">
        <v>15300</v>
      </c>
      <c r="P49" s="30">
        <v>15300</v>
      </c>
      <c r="Q49" s="30">
        <v>17340</v>
      </c>
      <c r="R49" s="30">
        <v>15300</v>
      </c>
      <c r="S49" s="30">
        <v>13260</v>
      </c>
      <c r="T49" s="30">
        <v>0</v>
      </c>
      <c r="U49" s="31">
        <f t="shared" si="2"/>
        <v>288660</v>
      </c>
      <c r="W49"/>
    </row>
    <row r="50" spans="1:23">
      <c r="A50" s="1" t="s">
        <v>2</v>
      </c>
      <c r="B50" s="4" t="s">
        <v>103</v>
      </c>
      <c r="C50" s="15">
        <v>2880</v>
      </c>
      <c r="D50" s="16">
        <v>2880</v>
      </c>
      <c r="E50" s="16">
        <v>3420</v>
      </c>
      <c r="F50" s="16">
        <v>3690</v>
      </c>
      <c r="G50" s="16">
        <v>3420</v>
      </c>
      <c r="H50" s="16">
        <v>3690</v>
      </c>
      <c r="I50" s="16">
        <v>2880</v>
      </c>
      <c r="J50" s="16">
        <v>2700</v>
      </c>
      <c r="K50" s="16">
        <v>2880</v>
      </c>
      <c r="L50" s="16">
        <v>3060</v>
      </c>
      <c r="M50" s="16">
        <v>2880</v>
      </c>
      <c r="N50" s="16">
        <v>0</v>
      </c>
      <c r="O50" s="16">
        <v>2700</v>
      </c>
      <c r="P50" s="16">
        <v>2700</v>
      </c>
      <c r="Q50" s="16">
        <v>3060</v>
      </c>
      <c r="R50" s="16">
        <v>2700</v>
      </c>
      <c r="S50" s="16">
        <v>2340</v>
      </c>
      <c r="T50" s="16">
        <v>0</v>
      </c>
      <c r="U50" s="17">
        <f t="shared" si="2"/>
        <v>47880</v>
      </c>
      <c r="W50"/>
    </row>
    <row r="51" spans="1:23">
      <c r="A51" s="1" t="s">
        <v>2</v>
      </c>
      <c r="B51" s="4" t="s">
        <v>104</v>
      </c>
      <c r="C51" s="15">
        <v>29280</v>
      </c>
      <c r="D51" s="16">
        <v>29280</v>
      </c>
      <c r="E51" s="16">
        <v>34770</v>
      </c>
      <c r="F51" s="16">
        <v>37515</v>
      </c>
      <c r="G51" s="16">
        <v>34770</v>
      </c>
      <c r="H51" s="16">
        <v>37515</v>
      </c>
      <c r="I51" s="16">
        <v>29280</v>
      </c>
      <c r="J51" s="16">
        <v>27450</v>
      </c>
      <c r="K51" s="16">
        <v>29280</v>
      </c>
      <c r="L51" s="16">
        <v>31110</v>
      </c>
      <c r="M51" s="16">
        <v>29280</v>
      </c>
      <c r="N51" s="16">
        <v>31110</v>
      </c>
      <c r="O51" s="16">
        <v>27450</v>
      </c>
      <c r="P51" s="16">
        <v>27450</v>
      </c>
      <c r="Q51" s="16">
        <v>31110</v>
      </c>
      <c r="R51" s="16">
        <v>27450</v>
      </c>
      <c r="S51" s="16">
        <v>23790</v>
      </c>
      <c r="T51" s="16">
        <v>0</v>
      </c>
      <c r="U51" s="17">
        <f t="shared" si="2"/>
        <v>517890</v>
      </c>
      <c r="W51"/>
    </row>
    <row r="52" spans="1:23" ht="19.5" thickBot="1">
      <c r="A52" s="1" t="s">
        <v>2</v>
      </c>
      <c r="B52" s="4" t="s">
        <v>105</v>
      </c>
      <c r="C52" s="15">
        <v>949</v>
      </c>
      <c r="D52" s="16">
        <v>1128</v>
      </c>
      <c r="E52" s="16">
        <v>1315</v>
      </c>
      <c r="F52" s="16">
        <v>1308</v>
      </c>
      <c r="G52" s="16">
        <v>1072</v>
      </c>
      <c r="H52" s="16">
        <v>1179</v>
      </c>
      <c r="I52" s="16">
        <v>992</v>
      </c>
      <c r="J52" s="16">
        <v>983</v>
      </c>
      <c r="K52" s="16">
        <v>887</v>
      </c>
      <c r="L52" s="16">
        <v>1125</v>
      </c>
      <c r="M52" s="16">
        <v>599</v>
      </c>
      <c r="N52" s="16">
        <v>1057</v>
      </c>
      <c r="O52" s="16">
        <v>984</v>
      </c>
      <c r="P52" s="16">
        <v>1173</v>
      </c>
      <c r="Q52" s="16">
        <v>1073</v>
      </c>
      <c r="R52" s="16">
        <v>1001</v>
      </c>
      <c r="S52" s="16">
        <v>787</v>
      </c>
      <c r="T52" s="16">
        <v>433</v>
      </c>
      <c r="U52" s="17">
        <f t="shared" si="2"/>
        <v>18045</v>
      </c>
      <c r="W52"/>
    </row>
    <row r="53" spans="1:23" ht="19.5" thickBot="1">
      <c r="A53" s="1" t="s">
        <v>2</v>
      </c>
      <c r="B53" s="39" t="s">
        <v>106</v>
      </c>
      <c r="C53" s="40">
        <v>49429</v>
      </c>
      <c r="D53" s="41">
        <v>49608</v>
      </c>
      <c r="E53" s="41">
        <v>58885</v>
      </c>
      <c r="F53" s="41">
        <v>63423</v>
      </c>
      <c r="G53" s="41">
        <v>58642</v>
      </c>
      <c r="H53" s="41">
        <v>63294</v>
      </c>
      <c r="I53" s="41">
        <v>49472</v>
      </c>
      <c r="J53" s="41">
        <v>46433</v>
      </c>
      <c r="K53" s="41">
        <v>49367</v>
      </c>
      <c r="L53" s="41">
        <v>52635</v>
      </c>
      <c r="M53" s="41">
        <v>49079</v>
      </c>
      <c r="N53" s="41">
        <v>49507</v>
      </c>
      <c r="O53" s="41">
        <v>46434</v>
      </c>
      <c r="P53" s="41">
        <v>46623</v>
      </c>
      <c r="Q53" s="41">
        <v>52583</v>
      </c>
      <c r="R53" s="41">
        <v>46451</v>
      </c>
      <c r="S53" s="41">
        <v>40177</v>
      </c>
      <c r="T53" s="41">
        <v>433</v>
      </c>
      <c r="U53" s="42">
        <f t="shared" si="2"/>
        <v>872475</v>
      </c>
      <c r="W53"/>
    </row>
    <row r="54" spans="1:23">
      <c r="A54" s="1" t="s">
        <v>2</v>
      </c>
      <c r="B54" s="21" t="s">
        <v>107</v>
      </c>
      <c r="C54" s="29">
        <v>5110</v>
      </c>
      <c r="D54" s="30">
        <v>10290</v>
      </c>
      <c r="E54" s="30">
        <v>11180</v>
      </c>
      <c r="F54" s="30">
        <v>14060</v>
      </c>
      <c r="G54" s="30">
        <v>6160</v>
      </c>
      <c r="H54" s="30">
        <v>10630</v>
      </c>
      <c r="I54" s="30">
        <v>7580</v>
      </c>
      <c r="J54" s="30">
        <v>6000</v>
      </c>
      <c r="K54" s="30">
        <v>6310</v>
      </c>
      <c r="L54" s="30">
        <v>9780</v>
      </c>
      <c r="M54" s="30">
        <v>2900</v>
      </c>
      <c r="N54" s="30">
        <v>8280</v>
      </c>
      <c r="O54" s="30">
        <v>7430</v>
      </c>
      <c r="P54" s="30">
        <v>11700</v>
      </c>
      <c r="Q54" s="30">
        <v>3460</v>
      </c>
      <c r="R54" s="30">
        <v>7540</v>
      </c>
      <c r="S54" s="30">
        <v>5290</v>
      </c>
      <c r="T54" s="30">
        <v>2720</v>
      </c>
      <c r="U54" s="31">
        <f t="shared" si="2"/>
        <v>136420</v>
      </c>
      <c r="W54"/>
    </row>
    <row r="55" spans="1:23">
      <c r="A55" s="1" t="s">
        <v>2</v>
      </c>
      <c r="B55" s="4" t="s">
        <v>108</v>
      </c>
      <c r="C55" s="15">
        <v>1300</v>
      </c>
      <c r="D55" s="16">
        <v>1300</v>
      </c>
      <c r="E55" s="16">
        <v>1300</v>
      </c>
      <c r="F55" s="16">
        <v>0</v>
      </c>
      <c r="G55" s="16">
        <v>1300</v>
      </c>
      <c r="H55" s="16">
        <v>1300</v>
      </c>
      <c r="I55" s="16">
        <v>1300</v>
      </c>
      <c r="J55" s="16">
        <v>1300</v>
      </c>
      <c r="K55" s="16">
        <v>1300</v>
      </c>
      <c r="L55" s="16">
        <v>1300</v>
      </c>
      <c r="M55" s="16">
        <v>0</v>
      </c>
      <c r="N55" s="16">
        <v>0</v>
      </c>
      <c r="O55" s="16">
        <v>1300</v>
      </c>
      <c r="P55" s="16">
        <v>1300</v>
      </c>
      <c r="Q55" s="16">
        <v>1300</v>
      </c>
      <c r="R55" s="16">
        <v>0</v>
      </c>
      <c r="S55" s="16">
        <v>0</v>
      </c>
      <c r="T55" s="16">
        <v>0</v>
      </c>
      <c r="U55" s="17">
        <f t="shared" si="2"/>
        <v>15600</v>
      </c>
      <c r="W55"/>
    </row>
    <row r="56" spans="1:23">
      <c r="A56" s="1" t="s">
        <v>2</v>
      </c>
      <c r="B56" s="4" t="s">
        <v>109</v>
      </c>
      <c r="C56" s="15">
        <v>8600</v>
      </c>
      <c r="D56" s="16">
        <v>14600</v>
      </c>
      <c r="E56" s="16">
        <v>13800</v>
      </c>
      <c r="F56" s="16">
        <v>16700</v>
      </c>
      <c r="G56" s="16">
        <v>15200</v>
      </c>
      <c r="H56" s="16">
        <v>17700</v>
      </c>
      <c r="I56" s="16">
        <v>13500</v>
      </c>
      <c r="J56" s="16">
        <v>9200</v>
      </c>
      <c r="K56" s="16">
        <v>13000</v>
      </c>
      <c r="L56" s="16">
        <v>13800</v>
      </c>
      <c r="M56" s="16">
        <v>10500</v>
      </c>
      <c r="N56" s="16">
        <v>13500</v>
      </c>
      <c r="O56" s="16">
        <v>12100</v>
      </c>
      <c r="P56" s="16">
        <v>14200</v>
      </c>
      <c r="Q56" s="16">
        <v>5600</v>
      </c>
      <c r="R56" s="16">
        <v>0</v>
      </c>
      <c r="S56" s="16">
        <v>0</v>
      </c>
      <c r="T56" s="16">
        <v>0</v>
      </c>
      <c r="U56" s="17">
        <f t="shared" si="2"/>
        <v>192000</v>
      </c>
      <c r="W56"/>
    </row>
    <row r="57" spans="1:23" ht="19.5" thickBot="1">
      <c r="A57" s="1" t="s">
        <v>2</v>
      </c>
      <c r="B57" s="4" t="s">
        <v>110</v>
      </c>
      <c r="C57" s="15">
        <v>30000</v>
      </c>
      <c r="D57" s="16">
        <v>29600</v>
      </c>
      <c r="E57" s="16">
        <v>29800</v>
      </c>
      <c r="F57" s="16">
        <v>40800</v>
      </c>
      <c r="G57" s="16">
        <v>0</v>
      </c>
      <c r="H57" s="16">
        <v>29200</v>
      </c>
      <c r="I57" s="16">
        <v>0</v>
      </c>
      <c r="J57" s="16">
        <v>27400</v>
      </c>
      <c r="K57" s="16">
        <v>0</v>
      </c>
      <c r="L57" s="16">
        <v>29400</v>
      </c>
      <c r="M57" s="16">
        <v>27800</v>
      </c>
      <c r="N57" s="16">
        <v>29400</v>
      </c>
      <c r="O57" s="16">
        <v>31200</v>
      </c>
      <c r="P57" s="16">
        <v>28400</v>
      </c>
      <c r="Q57" s="16">
        <v>29200</v>
      </c>
      <c r="R57" s="16">
        <v>27400</v>
      </c>
      <c r="S57" s="16">
        <v>0</v>
      </c>
      <c r="T57" s="16">
        <v>0</v>
      </c>
      <c r="U57" s="17">
        <f t="shared" si="2"/>
        <v>389600</v>
      </c>
      <c r="W57"/>
    </row>
    <row r="58" spans="1:23" ht="19.5" thickBot="1">
      <c r="A58" s="1" t="s">
        <v>2</v>
      </c>
      <c r="B58" s="39" t="s">
        <v>111</v>
      </c>
      <c r="C58" s="40">
        <v>94439</v>
      </c>
      <c r="D58" s="41">
        <v>105398</v>
      </c>
      <c r="E58" s="41">
        <v>114965</v>
      </c>
      <c r="F58" s="41">
        <v>134983</v>
      </c>
      <c r="G58" s="41">
        <v>81302</v>
      </c>
      <c r="H58" s="41">
        <v>122124</v>
      </c>
      <c r="I58" s="41">
        <v>71852</v>
      </c>
      <c r="J58" s="41">
        <v>90333</v>
      </c>
      <c r="K58" s="41">
        <v>69977</v>
      </c>
      <c r="L58" s="41">
        <v>106915</v>
      </c>
      <c r="M58" s="41">
        <v>90279</v>
      </c>
      <c r="N58" s="41">
        <v>100687</v>
      </c>
      <c r="O58" s="41">
        <v>98464</v>
      </c>
      <c r="P58" s="41">
        <v>102223</v>
      </c>
      <c r="Q58" s="41">
        <v>92143</v>
      </c>
      <c r="R58" s="41">
        <v>81391</v>
      </c>
      <c r="S58" s="41">
        <v>45467</v>
      </c>
      <c r="T58" s="41">
        <v>3153</v>
      </c>
      <c r="U58" s="42">
        <f t="shared" si="2"/>
        <v>1606095</v>
      </c>
      <c r="W58"/>
    </row>
    <row r="59" spans="1:23" ht="19.5" thickBot="1">
      <c r="A59" s="1" t="s">
        <v>2</v>
      </c>
      <c r="B59" s="39" t="s">
        <v>112</v>
      </c>
      <c r="C59" s="40">
        <v>254932</v>
      </c>
      <c r="D59" s="41">
        <v>323350</v>
      </c>
      <c r="E59" s="41">
        <v>373842</v>
      </c>
      <c r="F59" s="41">
        <v>369580</v>
      </c>
      <c r="G59" s="41">
        <v>284318</v>
      </c>
      <c r="H59" s="41">
        <v>327576</v>
      </c>
      <c r="I59" s="41">
        <v>278843</v>
      </c>
      <c r="J59" s="41">
        <v>279822</v>
      </c>
      <c r="K59" s="41">
        <v>243241</v>
      </c>
      <c r="L59" s="41">
        <v>317198</v>
      </c>
      <c r="M59" s="41">
        <v>147351</v>
      </c>
      <c r="N59" s="41">
        <v>298474</v>
      </c>
      <c r="O59" s="41">
        <v>274580</v>
      </c>
      <c r="P59" s="41">
        <v>340672</v>
      </c>
      <c r="Q59" s="41">
        <v>299179</v>
      </c>
      <c r="R59" s="41">
        <v>277675</v>
      </c>
      <c r="S59" s="41">
        <v>214734</v>
      </c>
      <c r="T59" s="41">
        <v>141462</v>
      </c>
      <c r="U59" s="42">
        <f t="shared" si="2"/>
        <v>5046829</v>
      </c>
      <c r="W59"/>
    </row>
    <row r="60" spans="1:23" ht="19.5" thickBot="1">
      <c r="A60" s="1" t="s">
        <v>2</v>
      </c>
      <c r="B60" s="39" t="s">
        <v>113</v>
      </c>
      <c r="C60" s="40">
        <v>221999</v>
      </c>
      <c r="D60" s="41">
        <v>270700</v>
      </c>
      <c r="E60" s="41">
        <v>323414</v>
      </c>
      <c r="F60" s="41">
        <v>301160</v>
      </c>
      <c r="G60" s="41">
        <v>276102</v>
      </c>
      <c r="H60" s="41">
        <v>270969</v>
      </c>
      <c r="I60" s="41">
        <v>258782</v>
      </c>
      <c r="J60" s="41">
        <v>237178</v>
      </c>
      <c r="K60" s="41">
        <v>225651</v>
      </c>
      <c r="L60" s="41">
        <v>267942</v>
      </c>
      <c r="M60" s="41">
        <v>109533</v>
      </c>
      <c r="N60" s="41">
        <v>251690</v>
      </c>
      <c r="O60" s="41">
        <v>229507</v>
      </c>
      <c r="P60" s="41">
        <v>288696</v>
      </c>
      <c r="Q60" s="41">
        <v>265416</v>
      </c>
      <c r="R60" s="41">
        <v>252180</v>
      </c>
      <c r="S60" s="41">
        <v>216836</v>
      </c>
      <c r="T60" s="41">
        <v>141110</v>
      </c>
      <c r="U60" s="42">
        <f t="shared" si="2"/>
        <v>4408865</v>
      </c>
      <c r="W60"/>
    </row>
    <row r="61" spans="1:23">
      <c r="A61" s="1" t="s">
        <v>2</v>
      </c>
      <c r="B61" s="21" t="s">
        <v>114</v>
      </c>
      <c r="C61" s="29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1">
        <f t="shared" si="2"/>
        <v>0</v>
      </c>
      <c r="W61"/>
    </row>
    <row r="62" spans="1:23">
      <c r="A62" s="1" t="s">
        <v>2</v>
      </c>
      <c r="B62" s="4" t="s">
        <v>115</v>
      </c>
      <c r="C62" s="15">
        <v>221999</v>
      </c>
      <c r="D62" s="16">
        <v>270700</v>
      </c>
      <c r="E62" s="16">
        <v>323414</v>
      </c>
      <c r="F62" s="16">
        <v>301160</v>
      </c>
      <c r="G62" s="16">
        <v>276102</v>
      </c>
      <c r="H62" s="16">
        <v>270969</v>
      </c>
      <c r="I62" s="16">
        <v>258782</v>
      </c>
      <c r="J62" s="16">
        <v>237178</v>
      </c>
      <c r="K62" s="16">
        <v>225651</v>
      </c>
      <c r="L62" s="16">
        <v>267942</v>
      </c>
      <c r="M62" s="16">
        <v>109533</v>
      </c>
      <c r="N62" s="16">
        <v>251690</v>
      </c>
      <c r="O62" s="16">
        <v>229507</v>
      </c>
      <c r="P62" s="16">
        <v>288696</v>
      </c>
      <c r="Q62" s="16">
        <v>265416</v>
      </c>
      <c r="R62" s="16">
        <v>252180</v>
      </c>
      <c r="S62" s="16">
        <v>216836</v>
      </c>
      <c r="T62" s="16">
        <v>141110</v>
      </c>
      <c r="U62" s="17">
        <f t="shared" si="2"/>
        <v>4408865</v>
      </c>
      <c r="W62"/>
    </row>
    <row r="63" spans="1:23">
      <c r="A63" s="1" t="s">
        <v>2</v>
      </c>
      <c r="B63" s="4" t="s">
        <v>116</v>
      </c>
      <c r="C63" s="15">
        <v>1</v>
      </c>
      <c r="D63" s="16">
        <v>0</v>
      </c>
      <c r="E63" s="16">
        <v>1</v>
      </c>
      <c r="F63" s="16">
        <v>0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3</v>
      </c>
      <c r="R63" s="16">
        <v>0</v>
      </c>
      <c r="S63" s="16">
        <v>0</v>
      </c>
      <c r="T63" s="16">
        <v>0</v>
      </c>
      <c r="U63" s="17"/>
    </row>
    <row r="64" spans="1:23" ht="19.5" thickBot="1">
      <c r="A64" s="1" t="s">
        <v>2</v>
      </c>
      <c r="B64" s="5" t="s">
        <v>117</v>
      </c>
      <c r="C64" s="18" t="s">
        <v>118</v>
      </c>
      <c r="D64" s="19" t="s">
        <v>118</v>
      </c>
      <c r="E64" s="19" t="s">
        <v>118</v>
      </c>
      <c r="F64" s="19" t="s">
        <v>118</v>
      </c>
      <c r="G64" s="19" t="s">
        <v>118</v>
      </c>
      <c r="H64" s="19" t="s">
        <v>118</v>
      </c>
      <c r="I64" s="19" t="s">
        <v>118</v>
      </c>
      <c r="J64" s="19" t="s">
        <v>118</v>
      </c>
      <c r="K64" s="19" t="s">
        <v>118</v>
      </c>
      <c r="L64" s="19" t="s">
        <v>118</v>
      </c>
      <c r="M64" s="19" t="s">
        <v>118</v>
      </c>
      <c r="N64" s="19" t="s">
        <v>118</v>
      </c>
      <c r="O64" s="19" t="s">
        <v>118</v>
      </c>
      <c r="P64" s="19" t="s">
        <v>118</v>
      </c>
      <c r="Q64" s="19" t="s">
        <v>118</v>
      </c>
      <c r="R64" s="19" t="s">
        <v>118</v>
      </c>
      <c r="S64" s="19" t="s">
        <v>118</v>
      </c>
      <c r="T64" s="19" t="s">
        <v>118</v>
      </c>
      <c r="U64" s="20"/>
    </row>
  </sheetData>
  <phoneticPr fontId="3"/>
  <pageMargins left="0.11811023622047245" right="0.11811023622047245" top="0.15748031496062992" bottom="0.15748031496062992" header="0.11811023622047245" footer="0.11811023622047245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2021年10月度給与 (2)</vt:lpstr>
      <vt:lpstr>2021年10月度給与 (3)</vt:lpstr>
      <vt:lpstr>2021年10月度給与 (4)</vt:lpstr>
      <vt:lpstr>'2021年10月度給与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2021-11-12T04:45:58Z</cp:lastPrinted>
  <dcterms:created xsi:type="dcterms:W3CDTF">2021-11-10T00:54:51Z</dcterms:created>
  <dcterms:modified xsi:type="dcterms:W3CDTF">2021-11-12T05:17:55Z</dcterms:modified>
</cp:coreProperties>
</file>