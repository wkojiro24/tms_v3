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6\"/>
    </mc:Choice>
  </mc:AlternateContent>
  <xr:revisionPtr revIDLastSave="0" documentId="13_ncr:1_{FC71AB45-4A32-4B27-88BA-2762BDE338E8}" xr6:coauthVersionLast="47" xr6:coauthVersionMax="47" xr10:uidLastSave="{00000000-0000-0000-0000-000000000000}"/>
  <bookViews>
    <workbookView xWindow="-120" yWindow="-120" windowWidth="20730" windowHeight="11160" activeTab="1" xr2:uid="{D2BB2927-9E33-4B31-BC79-69660B56ECA9}"/>
  </bookViews>
  <sheets>
    <sheet name="2021年 7月度給与 (2)" sheetId="5" r:id="rId1"/>
    <sheet name="2021年 7月度給与 (助成金)" sheetId="6" r:id="rId2"/>
  </sheets>
  <definedNames>
    <definedName name="_xlnm.Print_Area" localSheetId="0">'2021年 7月度給与 (2)'!$A$1:$M$57</definedName>
    <definedName name="_xlnm.Print_Area" localSheetId="1">'2021年 7月度給与 (助成金)'!$A$1:$M$56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4" i="6" l="1"/>
  <c r="E54" i="6"/>
  <c r="M54" i="6" s="1"/>
  <c r="L53" i="6"/>
  <c r="E53" i="6"/>
  <c r="L52" i="6"/>
  <c r="E52" i="6"/>
  <c r="M52" i="6" s="1"/>
  <c r="L51" i="6"/>
  <c r="E51" i="6"/>
  <c r="M51" i="6" s="1"/>
  <c r="L50" i="6"/>
  <c r="E50" i="6"/>
  <c r="M50" i="6" s="1"/>
  <c r="L49" i="6"/>
  <c r="E49" i="6"/>
  <c r="M49" i="6" s="1"/>
  <c r="L48" i="6"/>
  <c r="M48" i="6" s="1"/>
  <c r="E48" i="6"/>
  <c r="L47" i="6"/>
  <c r="E47" i="6"/>
  <c r="L46" i="6"/>
  <c r="E46" i="6"/>
  <c r="M45" i="6"/>
  <c r="L45" i="6"/>
  <c r="E45" i="6"/>
  <c r="L44" i="6"/>
  <c r="E44" i="6"/>
  <c r="L43" i="6"/>
  <c r="E43" i="6"/>
  <c r="M43" i="6" s="1"/>
  <c r="L42" i="6"/>
  <c r="E42" i="6"/>
  <c r="M42" i="6" s="1"/>
  <c r="L41" i="6"/>
  <c r="M41" i="6" s="1"/>
  <c r="E41" i="6"/>
  <c r="L40" i="6"/>
  <c r="M40" i="6" s="1"/>
  <c r="E40" i="6"/>
  <c r="L39" i="6"/>
  <c r="E39" i="6"/>
  <c r="L38" i="6"/>
  <c r="E38" i="6"/>
  <c r="M37" i="6"/>
  <c r="L37" i="6"/>
  <c r="L36" i="6"/>
  <c r="M36" i="6" s="1"/>
  <c r="L35" i="6"/>
  <c r="M35" i="6" s="1"/>
  <c r="L34" i="6"/>
  <c r="M34" i="6" s="1"/>
  <c r="M33" i="6"/>
  <c r="L33" i="6"/>
  <c r="L32" i="6"/>
  <c r="M32" i="6" s="1"/>
  <c r="L31" i="6"/>
  <c r="E31" i="6"/>
  <c r="M31" i="6" s="1"/>
  <c r="L30" i="6"/>
  <c r="M30" i="6" s="1"/>
  <c r="E30" i="6"/>
  <c r="L29" i="6"/>
  <c r="M29" i="6" s="1"/>
  <c r="L28" i="6"/>
  <c r="M28" i="6" s="1"/>
  <c r="L27" i="6"/>
  <c r="E27" i="6"/>
  <c r="M27" i="6" s="1"/>
  <c r="L26" i="6"/>
  <c r="E26" i="6"/>
  <c r="M26" i="6" s="1"/>
  <c r="L25" i="6"/>
  <c r="M25" i="6" s="1"/>
  <c r="M24" i="6"/>
  <c r="M23" i="6"/>
  <c r="M22" i="6"/>
  <c r="M21" i="6"/>
  <c r="M20" i="6"/>
  <c r="M19" i="6"/>
  <c r="M18" i="6"/>
  <c r="L17" i="6"/>
  <c r="M17" i="6" s="1"/>
  <c r="L16" i="6"/>
  <c r="M16" i="6" s="1"/>
  <c r="M15" i="6"/>
  <c r="E14" i="6"/>
  <c r="M14" i="6" s="1"/>
  <c r="L13" i="6"/>
  <c r="M13" i="6" s="1"/>
  <c r="M12" i="6"/>
  <c r="M11" i="6"/>
  <c r="M10" i="6"/>
  <c r="M9" i="6"/>
  <c r="L8" i="6"/>
  <c r="M8" i="6" s="1"/>
  <c r="L7" i="6"/>
  <c r="E7" i="6"/>
  <c r="M7" i="6" s="1"/>
  <c r="L29" i="5"/>
  <c r="L30" i="5"/>
  <c r="M30" i="5" s="1"/>
  <c r="L31" i="5"/>
  <c r="L32" i="5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28" i="5"/>
  <c r="L27" i="5"/>
  <c r="L26" i="5"/>
  <c r="M26" i="5" s="1"/>
  <c r="L18" i="5"/>
  <c r="M18" i="5" s="1"/>
  <c r="L17" i="5"/>
  <c r="M17" i="5" s="1"/>
  <c r="L14" i="5"/>
  <c r="M14" i="5" s="1"/>
  <c r="L13" i="5"/>
  <c r="M13" i="5" s="1"/>
  <c r="L8" i="5"/>
  <c r="M8" i="5" s="1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39" i="5"/>
  <c r="E32" i="5"/>
  <c r="E31" i="5"/>
  <c r="E28" i="5"/>
  <c r="E27" i="5"/>
  <c r="E15" i="5"/>
  <c r="M15" i="5" s="1"/>
  <c r="M9" i="5"/>
  <c r="M10" i="5"/>
  <c r="M11" i="5"/>
  <c r="M12" i="5"/>
  <c r="M16" i="5"/>
  <c r="M19" i="5"/>
  <c r="M20" i="5"/>
  <c r="M21" i="5"/>
  <c r="M22" i="5"/>
  <c r="M23" i="5"/>
  <c r="M24" i="5"/>
  <c r="M25" i="5"/>
  <c r="M29" i="5"/>
  <c r="L7" i="5"/>
  <c r="E7" i="5"/>
  <c r="M39" i="6" l="1"/>
  <c r="M44" i="6"/>
  <c r="M46" i="6"/>
  <c r="M53" i="6"/>
  <c r="M38" i="6"/>
  <c r="M47" i="6"/>
  <c r="M31" i="5"/>
  <c r="M46" i="5"/>
  <c r="M42" i="5"/>
  <c r="M47" i="5"/>
  <c r="M43" i="5"/>
  <c r="M40" i="5"/>
  <c r="M39" i="5"/>
  <c r="M52" i="5"/>
  <c r="M48" i="5"/>
  <c r="M44" i="5"/>
  <c r="M7" i="5"/>
  <c r="M32" i="5"/>
  <c r="M53" i="5"/>
  <c r="M49" i="5"/>
  <c r="M45" i="5"/>
  <c r="M41" i="5"/>
  <c r="M50" i="5"/>
  <c r="M55" i="5"/>
  <c r="M51" i="5"/>
  <c r="M54" i="5"/>
  <c r="M28" i="5"/>
  <c r="M27" i="5"/>
</calcChain>
</file>

<file path=xl/sharedStrings.xml><?xml version="1.0" encoding="utf-8"?>
<sst xmlns="http://schemas.openxmlformats.org/spreadsheetml/2006/main" count="270" uniqueCount="76">
  <si>
    <t>支給控除一覧表</t>
    <phoneticPr fontId="4"/>
  </si>
  <si>
    <t>若林運送株式会社</t>
    <phoneticPr fontId="4"/>
  </si>
  <si>
    <t>2021年 7月 8日 作成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</si>
  <si>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</si>
  <si>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</si>
  <si>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</si>
  <si>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</si>
  <si>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</si>
  <si>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</si>
  <si>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</si>
  <si>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</si>
  <si>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</si>
  <si>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</si>
  <si>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宮腰真也</t>
    <phoneticPr fontId="4"/>
  </si>
  <si>
    <t>金子勝彦</t>
    <phoneticPr fontId="4"/>
  </si>
  <si>
    <t>上原勉</t>
    <phoneticPr fontId="4"/>
  </si>
  <si>
    <t>米山勝</t>
    <phoneticPr fontId="4"/>
  </si>
  <si>
    <t>銅谷和久</t>
    <phoneticPr fontId="4"/>
  </si>
  <si>
    <t>土屋勝三</t>
    <phoneticPr fontId="4"/>
  </si>
  <si>
    <t>本間裕康</t>
    <phoneticPr fontId="4"/>
  </si>
  <si>
    <t>新治泰子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</si>
  <si>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</si>
  <si>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</si>
  <si>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</si>
  <si>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</si>
  <si>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</si>
  <si>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</si>
  <si>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</si>
  <si>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</si>
  <si>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</si>
  <si>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</si>
  <si>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</si>
  <si>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</si>
  <si>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</si>
  <si>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</si>
  <si>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</si>
  <si>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</si>
  <si>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</si>
  <si>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</si>
  <si>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</si>
  <si>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</si>
  <si>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</si>
  <si>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</si>
  <si>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</si>
  <si>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</si>
  <si>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</si>
  <si>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</si>
  <si>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</si>
  <si>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調整加算</t>
    <phoneticPr fontId="4"/>
  </si>
  <si>
    <t>欠勤控除</t>
    <phoneticPr fontId="4"/>
  </si>
  <si>
    <t>法定休日残業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</si>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</sst>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25" xfId="1" applyNumberFormat="1" applyFont="1" applyBorder="1"/>
    <xf numFmtId="49" fontId="2" fillId="0" borderId="33" xfId="1" applyNumberFormat="1" applyFont="1" applyBorder="1"/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0" fontId="2" fillId="0" borderId="32" xfId="1" applyFont="1" applyBorder="1"/>
    <xf numFmtId="0" fontId="2" fillId="0" borderId="33" xfId="1" applyFont="1" applyBorder="1" applyAlignment="1">
      <alignment horizontal="center"/>
    </xf>
    <xf numFmtId="0" fontId="2" fillId="0" borderId="41" xfId="1" applyFont="1" applyBorder="1"/>
    <xf numFmtId="49" fontId="2" fillId="2" borderId="2" xfId="1" applyNumberFormat="1" applyFont="1" applyFill="1" applyBorder="1" applyAlignment="1">
      <alignment horizontal="left"/>
    </xf>
    <xf numFmtId="3" fontId="2" fillId="2" borderId="8" xfId="1" applyNumberFormat="1" applyFont="1" applyFill="1" applyBorder="1"/>
    <xf numFmtId="3" fontId="2" fillId="2" borderId="9" xfId="1" applyNumberFormat="1" applyFont="1" applyFill="1" applyBorder="1"/>
    <xf numFmtId="3" fontId="2" fillId="2" borderId="7" xfId="1" applyNumberFormat="1" applyFont="1" applyFill="1" applyBorder="1"/>
    <xf numFmtId="3" fontId="2" fillId="2" borderId="29" xfId="1" applyNumberFormat="1" applyFont="1" applyFill="1" applyBorder="1"/>
    <xf numFmtId="3" fontId="2" fillId="2" borderId="35" xfId="1" applyNumberFormat="1" applyFont="1" applyFill="1" applyBorder="1"/>
    <xf numFmtId="2" fontId="2" fillId="2" borderId="8" xfId="1" applyNumberFormat="1" applyFont="1" applyFill="1" applyBorder="1"/>
    <xf numFmtId="2" fontId="2" fillId="2" borderId="9" xfId="1" applyNumberFormat="1" applyFont="1" applyFill="1" applyBorder="1"/>
    <xf numFmtId="2" fontId="2" fillId="2" borderId="40" xfId="1" applyNumberFormat="1" applyFont="1" applyFill="1" applyBorder="1"/>
    <xf numFmtId="2" fontId="2" fillId="2" borderId="7" xfId="1" applyNumberFormat="1" applyFont="1" applyFill="1" applyBorder="1"/>
    <xf numFmtId="2" fontId="2" fillId="2" borderId="29" xfId="1" applyNumberFormat="1" applyFont="1" applyFill="1" applyBorder="1"/>
    <xf numFmtId="2" fontId="2" fillId="2" borderId="35" xfId="1" applyNumberFormat="1" applyFont="1" applyFill="1" applyBorder="1"/>
    <xf numFmtId="2" fontId="2" fillId="2" borderId="34" xfId="1" applyNumberFormat="1" applyFont="1" applyFill="1" applyBorder="1"/>
  </cellXfs>
  <cellStyles count="2">
    <cellStyle name="標準" xfId="0" builtinId="0"/>
    <cellStyle name="標準 2" xfId="1" xr:uid="{CAD7AE51-2F42-431A-91B8-BE4C660BF0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8586-F81E-45E9-8F5B-235CB47A6E8D}">
  <sheetPr>
    <pageSetUpPr fitToPage="1"/>
  </sheetPr>
  <dimension ref="A1:M57"/>
  <sheetViews>
    <sheetView showZeros="0" topLeftCell="A4" workbookViewId="0">
      <selection activeCell="L7" sqref="L7"/>
    </sheetView>
  </sheetViews>
  <sheetFormatPr defaultRowHeight="18.75"/>
  <cols>
    <col min="1" max="1" width="2.375" style="2" customWidth="1"/>
    <col min="2" max="2" width="13.25" style="2" bestFit="1" customWidth="1"/>
    <col min="3" max="13" width="11.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72</v>
      </c>
    </row>
    <row r="5" spans="1:13">
      <c r="B5" s="3"/>
      <c r="C5" s="7" t="s">
        <v>6</v>
      </c>
      <c r="D5" s="8" t="s">
        <v>11</v>
      </c>
      <c r="E5" s="67" t="s">
        <v>73</v>
      </c>
      <c r="F5" s="6" t="s">
        <v>4</v>
      </c>
      <c r="G5" s="7" t="s">
        <v>5</v>
      </c>
      <c r="H5" s="7" t="s">
        <v>7</v>
      </c>
      <c r="I5" s="7" t="s">
        <v>8</v>
      </c>
      <c r="J5" s="7" t="s">
        <v>9</v>
      </c>
      <c r="K5" s="43" t="s">
        <v>10</v>
      </c>
      <c r="L5" s="69" t="s">
        <v>73</v>
      </c>
      <c r="M5" s="71"/>
    </row>
    <row r="6" spans="1:13" ht="19.5" thickBot="1">
      <c r="A6" s="73"/>
      <c r="B6" s="25" t="s">
        <v>12</v>
      </c>
      <c r="C6" s="27" t="s">
        <v>15</v>
      </c>
      <c r="D6" s="28" t="s">
        <v>20</v>
      </c>
      <c r="E6" s="68" t="s">
        <v>74</v>
      </c>
      <c r="F6" s="26" t="s">
        <v>13</v>
      </c>
      <c r="G6" s="27" t="s">
        <v>14</v>
      </c>
      <c r="H6" s="27" t="s">
        <v>16</v>
      </c>
      <c r="I6" s="27" t="s">
        <v>17</v>
      </c>
      <c r="J6" s="27" t="s">
        <v>18</v>
      </c>
      <c r="K6" s="44" t="s">
        <v>19</v>
      </c>
      <c r="L6" s="70" t="s">
        <v>75</v>
      </c>
      <c r="M6" s="72" t="s">
        <v>21</v>
      </c>
    </row>
    <row r="7" spans="1:13">
      <c r="A7" s="1" t="s">
        <v>3</v>
      </c>
      <c r="B7" s="21" t="s">
        <v>22</v>
      </c>
      <c r="C7" s="23">
        <v>22</v>
      </c>
      <c r="D7" s="24">
        <v>13</v>
      </c>
      <c r="E7" s="63">
        <f>SUM(C7:D7)</f>
        <v>35</v>
      </c>
      <c r="F7" s="22">
        <v>21</v>
      </c>
      <c r="G7" s="23">
        <v>20</v>
      </c>
      <c r="H7" s="23">
        <v>22</v>
      </c>
      <c r="I7" s="23">
        <v>20</v>
      </c>
      <c r="J7" s="23">
        <v>23</v>
      </c>
      <c r="K7" s="45">
        <v>23</v>
      </c>
      <c r="L7" s="54">
        <f>SUM(F7:K7)</f>
        <v>129</v>
      </c>
      <c r="M7" s="54">
        <f>E7+L7</f>
        <v>164</v>
      </c>
    </row>
    <row r="8" spans="1:13">
      <c r="A8" s="1" t="s">
        <v>3</v>
      </c>
      <c r="B8" s="4" t="s">
        <v>23</v>
      </c>
      <c r="C8" s="10">
        <v>0</v>
      </c>
      <c r="D8" s="11">
        <v>0</v>
      </c>
      <c r="E8" s="64"/>
      <c r="F8" s="9">
        <v>1</v>
      </c>
      <c r="G8" s="10">
        <v>1</v>
      </c>
      <c r="H8" s="10">
        <v>0</v>
      </c>
      <c r="I8" s="10">
        <v>1</v>
      </c>
      <c r="J8" s="10">
        <v>3</v>
      </c>
      <c r="K8" s="46">
        <v>3</v>
      </c>
      <c r="L8" s="55">
        <f>SUM(F8:K8)</f>
        <v>9</v>
      </c>
      <c r="M8" s="54">
        <f t="shared" ref="M8:M49" si="0">E8+L8</f>
        <v>9</v>
      </c>
    </row>
    <row r="9" spans="1:13">
      <c r="A9" s="1" t="s">
        <v>3</v>
      </c>
      <c r="B9" s="4" t="s">
        <v>24</v>
      </c>
      <c r="C9" s="10">
        <v>0</v>
      </c>
      <c r="D9" s="11">
        <v>0</v>
      </c>
      <c r="E9" s="6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46">
        <v>0</v>
      </c>
      <c r="L9" s="55"/>
      <c r="M9" s="54">
        <f t="shared" si="0"/>
        <v>0</v>
      </c>
    </row>
    <row r="10" spans="1:13">
      <c r="A10" s="1" t="s">
        <v>3</v>
      </c>
      <c r="B10" s="4" t="s">
        <v>25</v>
      </c>
      <c r="C10" s="10">
        <v>0</v>
      </c>
      <c r="D10" s="11">
        <v>0</v>
      </c>
      <c r="E10" s="6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46">
        <v>0</v>
      </c>
      <c r="L10" s="55"/>
      <c r="M10" s="54">
        <f t="shared" si="0"/>
        <v>0</v>
      </c>
    </row>
    <row r="11" spans="1:13">
      <c r="A11" s="1" t="s">
        <v>3</v>
      </c>
      <c r="B11" s="4" t="s">
        <v>26</v>
      </c>
      <c r="C11" s="10">
        <v>0</v>
      </c>
      <c r="D11" s="11">
        <v>0</v>
      </c>
      <c r="E11" s="6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46">
        <v>0</v>
      </c>
      <c r="L11" s="55"/>
      <c r="M11" s="54">
        <f t="shared" si="0"/>
        <v>0</v>
      </c>
    </row>
    <row r="12" spans="1:13">
      <c r="A12" s="1" t="s">
        <v>3</v>
      </c>
      <c r="B12" s="4" t="s">
        <v>27</v>
      </c>
      <c r="C12" s="10">
        <v>0</v>
      </c>
      <c r="D12" s="11">
        <v>0</v>
      </c>
      <c r="E12" s="6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46">
        <v>0</v>
      </c>
      <c r="L12" s="55"/>
      <c r="M12" s="54">
        <f t="shared" si="0"/>
        <v>0</v>
      </c>
    </row>
    <row r="13" spans="1:13">
      <c r="A13" s="1" t="s">
        <v>3</v>
      </c>
      <c r="B13" s="4" t="s">
        <v>28</v>
      </c>
      <c r="C13" s="10">
        <v>0</v>
      </c>
      <c r="D13" s="11">
        <v>0</v>
      </c>
      <c r="E13" s="64"/>
      <c r="F13" s="9">
        <v>2</v>
      </c>
      <c r="G13" s="10">
        <v>3</v>
      </c>
      <c r="H13" s="10">
        <v>1</v>
      </c>
      <c r="I13" s="10">
        <v>3</v>
      </c>
      <c r="J13" s="10">
        <v>0</v>
      </c>
      <c r="K13" s="46">
        <v>0</v>
      </c>
      <c r="L13" s="55">
        <f>SUM(F13:K13)</f>
        <v>9</v>
      </c>
      <c r="M13" s="54">
        <f t="shared" si="0"/>
        <v>9</v>
      </c>
    </row>
    <row r="14" spans="1:13">
      <c r="A14" s="1" t="s">
        <v>3</v>
      </c>
      <c r="B14" s="4" t="s">
        <v>29</v>
      </c>
      <c r="C14" s="10">
        <v>0</v>
      </c>
      <c r="D14" s="11">
        <v>0</v>
      </c>
      <c r="E14" s="64"/>
      <c r="F14" s="9">
        <v>2</v>
      </c>
      <c r="G14" s="10">
        <v>3</v>
      </c>
      <c r="H14" s="10">
        <v>1</v>
      </c>
      <c r="I14" s="10">
        <v>3</v>
      </c>
      <c r="J14" s="10">
        <v>0</v>
      </c>
      <c r="K14" s="46">
        <v>0</v>
      </c>
      <c r="L14" s="55">
        <f>SUM(F14:K14)</f>
        <v>9</v>
      </c>
      <c r="M14" s="54">
        <f t="shared" si="0"/>
        <v>9</v>
      </c>
    </row>
    <row r="15" spans="1:13">
      <c r="A15" s="1" t="s">
        <v>3</v>
      </c>
      <c r="B15" s="4" t="s">
        <v>30</v>
      </c>
      <c r="C15" s="13">
        <v>0</v>
      </c>
      <c r="D15" s="14">
        <v>3.5416666666666665</v>
      </c>
      <c r="E15" s="65">
        <f>SUM(C15:D15)</f>
        <v>3.5416666666666665</v>
      </c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47">
        <v>0</v>
      </c>
      <c r="L15" s="56"/>
      <c r="M15" s="56">
        <f t="shared" si="0"/>
        <v>3.5416666666666665</v>
      </c>
    </row>
    <row r="16" spans="1:13">
      <c r="A16" s="1" t="s">
        <v>3</v>
      </c>
      <c r="B16" s="4" t="s">
        <v>31</v>
      </c>
      <c r="C16" s="13">
        <v>0</v>
      </c>
      <c r="D16" s="14">
        <v>0</v>
      </c>
      <c r="E16" s="65"/>
      <c r="F16" s="12">
        <v>0</v>
      </c>
      <c r="G16" s="13">
        <v>0</v>
      </c>
      <c r="H16" s="13">
        <v>0</v>
      </c>
      <c r="I16" s="13">
        <v>0</v>
      </c>
      <c r="J16" s="13">
        <v>0</v>
      </c>
      <c r="K16" s="47">
        <v>0</v>
      </c>
      <c r="L16" s="56"/>
      <c r="M16" s="54">
        <f t="shared" si="0"/>
        <v>0</v>
      </c>
    </row>
    <row r="17" spans="1:13">
      <c r="A17" s="1" t="s">
        <v>3</v>
      </c>
      <c r="B17" s="4" t="s">
        <v>32</v>
      </c>
      <c r="C17" s="13">
        <v>0</v>
      </c>
      <c r="D17" s="14">
        <v>0</v>
      </c>
      <c r="E17" s="65"/>
      <c r="F17" s="12">
        <v>1.5</v>
      </c>
      <c r="G17" s="13">
        <v>1.4583333333333333</v>
      </c>
      <c r="H17" s="13">
        <v>0.45833333333333331</v>
      </c>
      <c r="I17" s="13">
        <v>1.5</v>
      </c>
      <c r="J17" s="13">
        <v>1.3333333333333333</v>
      </c>
      <c r="K17" s="47">
        <v>1.2916666666666667</v>
      </c>
      <c r="L17" s="56">
        <f>SUM(F17:K17)</f>
        <v>7.5416666666666661</v>
      </c>
      <c r="M17" s="56">
        <f t="shared" si="0"/>
        <v>7.5416666666666661</v>
      </c>
    </row>
    <row r="18" spans="1:13">
      <c r="A18" s="1" t="s">
        <v>3</v>
      </c>
      <c r="B18" s="4" t="s">
        <v>33</v>
      </c>
      <c r="C18" s="13">
        <v>0</v>
      </c>
      <c r="D18" s="14">
        <v>0</v>
      </c>
      <c r="E18" s="65"/>
      <c r="F18" s="12">
        <v>0.16666666666666666</v>
      </c>
      <c r="G18" s="13">
        <v>0.16666666666666666</v>
      </c>
      <c r="H18" s="13">
        <v>0</v>
      </c>
      <c r="I18" s="13">
        <v>0.16666666666666666</v>
      </c>
      <c r="J18" s="13">
        <v>1.0833333333333333</v>
      </c>
      <c r="K18" s="47">
        <v>0.70833333333333337</v>
      </c>
      <c r="L18" s="56">
        <f>SUM(F18:K18)</f>
        <v>2.2916666666666665</v>
      </c>
      <c r="M18" s="56">
        <f t="shared" si="0"/>
        <v>2.2916666666666665</v>
      </c>
    </row>
    <row r="19" spans="1:13">
      <c r="A19" s="1" t="s">
        <v>3</v>
      </c>
      <c r="B19" s="4" t="s">
        <v>34</v>
      </c>
      <c r="C19" s="13">
        <v>0</v>
      </c>
      <c r="D19" s="14">
        <v>0</v>
      </c>
      <c r="E19" s="6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47">
        <v>0</v>
      </c>
      <c r="L19" s="56"/>
      <c r="M19" s="54">
        <f t="shared" si="0"/>
        <v>0</v>
      </c>
    </row>
    <row r="20" spans="1:13">
      <c r="A20" s="1" t="s">
        <v>3</v>
      </c>
      <c r="B20" s="4" t="s">
        <v>35</v>
      </c>
      <c r="C20" s="13">
        <v>0</v>
      </c>
      <c r="D20" s="14">
        <v>0</v>
      </c>
      <c r="E20" s="6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47">
        <v>0</v>
      </c>
      <c r="L20" s="56"/>
      <c r="M20" s="54">
        <f t="shared" si="0"/>
        <v>0</v>
      </c>
    </row>
    <row r="21" spans="1:13">
      <c r="A21" s="1" t="s">
        <v>3</v>
      </c>
      <c r="B21" s="4" t="s">
        <v>36</v>
      </c>
      <c r="C21" s="13">
        <v>0</v>
      </c>
      <c r="D21" s="14">
        <v>0</v>
      </c>
      <c r="E21" s="6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47">
        <v>0</v>
      </c>
      <c r="L21" s="56"/>
      <c r="M21" s="54">
        <f t="shared" si="0"/>
        <v>0</v>
      </c>
    </row>
    <row r="22" spans="1:13">
      <c r="A22" s="1" t="s">
        <v>3</v>
      </c>
      <c r="B22" s="4" t="s">
        <v>37</v>
      </c>
      <c r="C22" s="13">
        <v>0</v>
      </c>
      <c r="D22" s="14">
        <v>0</v>
      </c>
      <c r="E22" s="65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47">
        <v>0</v>
      </c>
      <c r="L22" s="56"/>
      <c r="M22" s="54">
        <f t="shared" si="0"/>
        <v>0</v>
      </c>
    </row>
    <row r="23" spans="1:13">
      <c r="A23" s="1" t="s">
        <v>3</v>
      </c>
      <c r="B23" s="4" t="s">
        <v>38</v>
      </c>
      <c r="C23" s="13">
        <v>0</v>
      </c>
      <c r="D23" s="14">
        <v>0</v>
      </c>
      <c r="E23" s="65"/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47">
        <v>0</v>
      </c>
      <c r="L23" s="56"/>
      <c r="M23" s="54">
        <f t="shared" si="0"/>
        <v>0</v>
      </c>
    </row>
    <row r="24" spans="1:13">
      <c r="A24" s="1" t="s">
        <v>3</v>
      </c>
      <c r="B24" s="4" t="s">
        <v>39</v>
      </c>
      <c r="C24" s="13">
        <v>0</v>
      </c>
      <c r="D24" s="14">
        <v>0</v>
      </c>
      <c r="E24" s="65"/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47">
        <v>0</v>
      </c>
      <c r="L24" s="56"/>
      <c r="M24" s="54">
        <f t="shared" si="0"/>
        <v>0</v>
      </c>
    </row>
    <row r="25" spans="1:13">
      <c r="A25" s="1" t="s">
        <v>3</v>
      </c>
      <c r="B25" s="4" t="s">
        <v>40</v>
      </c>
      <c r="C25" s="13">
        <v>0</v>
      </c>
      <c r="D25" s="14">
        <v>0</v>
      </c>
      <c r="E25" s="65"/>
      <c r="F25" s="12">
        <v>0</v>
      </c>
      <c r="G25" s="13">
        <v>0</v>
      </c>
      <c r="H25" s="13">
        <v>0</v>
      </c>
      <c r="I25" s="13">
        <v>0</v>
      </c>
      <c r="J25" s="13">
        <v>0</v>
      </c>
      <c r="K25" s="47">
        <v>0</v>
      </c>
      <c r="L25" s="56"/>
      <c r="M25" s="54">
        <f t="shared" si="0"/>
        <v>0</v>
      </c>
    </row>
    <row r="26" spans="1:13">
      <c r="A26" s="1" t="s">
        <v>3</v>
      </c>
      <c r="B26" s="4" t="s">
        <v>41</v>
      </c>
      <c r="C26" s="13">
        <v>0</v>
      </c>
      <c r="D26" s="14">
        <v>0</v>
      </c>
      <c r="E26" s="65"/>
      <c r="F26" s="12">
        <v>0.58333333333333337</v>
      </c>
      <c r="G26" s="13">
        <v>0.5</v>
      </c>
      <c r="H26" s="13">
        <v>0.20833333333333334</v>
      </c>
      <c r="I26" s="13">
        <v>0.75</v>
      </c>
      <c r="J26" s="13">
        <v>0.20833333333333334</v>
      </c>
      <c r="K26" s="47">
        <v>0.20833333333333334</v>
      </c>
      <c r="L26" s="56">
        <f>SUM(F26:K26)</f>
        <v>2.4583333333333339</v>
      </c>
      <c r="M26" s="56">
        <f t="shared" si="0"/>
        <v>2.4583333333333339</v>
      </c>
    </row>
    <row r="27" spans="1:13" ht="19.5" thickBot="1">
      <c r="A27" s="1" t="s">
        <v>3</v>
      </c>
      <c r="B27" s="5" t="s">
        <v>42</v>
      </c>
      <c r="C27" s="33">
        <v>40</v>
      </c>
      <c r="D27" s="34">
        <v>20</v>
      </c>
      <c r="E27" s="66">
        <f>SUM(C27:D27)</f>
        <v>60</v>
      </c>
      <c r="F27" s="32">
        <v>40</v>
      </c>
      <c r="G27" s="33">
        <v>40</v>
      </c>
      <c r="H27" s="33">
        <v>37</v>
      </c>
      <c r="I27" s="33">
        <v>30</v>
      </c>
      <c r="J27" s="33">
        <v>30</v>
      </c>
      <c r="K27" s="48">
        <v>30</v>
      </c>
      <c r="L27" s="57">
        <f>SUM(F27:K27)</f>
        <v>207</v>
      </c>
      <c r="M27" s="57">
        <f t="shared" si="0"/>
        <v>267</v>
      </c>
    </row>
    <row r="28" spans="1:13">
      <c r="A28" s="1" t="s">
        <v>3</v>
      </c>
      <c r="B28" s="21" t="s">
        <v>43</v>
      </c>
      <c r="C28" s="30">
        <v>355000</v>
      </c>
      <c r="D28" s="31">
        <v>0</v>
      </c>
      <c r="E28" s="31">
        <f>SUM(C28:D28)</f>
        <v>355000</v>
      </c>
      <c r="F28" s="29">
        <v>177000</v>
      </c>
      <c r="G28" s="30">
        <v>192000</v>
      </c>
      <c r="H28" s="30">
        <v>177000</v>
      </c>
      <c r="I28" s="30">
        <v>175000</v>
      </c>
      <c r="J28" s="30">
        <v>177000</v>
      </c>
      <c r="K28" s="49">
        <v>165000</v>
      </c>
      <c r="L28" s="58">
        <f>SUM(F28:K28)</f>
        <v>1063000</v>
      </c>
      <c r="M28" s="58">
        <f t="shared" si="0"/>
        <v>1418000</v>
      </c>
    </row>
    <row r="29" spans="1:13">
      <c r="A29" s="1" t="s">
        <v>3</v>
      </c>
      <c r="B29" s="4" t="s">
        <v>44</v>
      </c>
      <c r="C29" s="16">
        <v>0</v>
      </c>
      <c r="D29" s="17">
        <v>0</v>
      </c>
      <c r="E29" s="17"/>
      <c r="F29" s="15">
        <v>0</v>
      </c>
      <c r="G29" s="16">
        <v>5000</v>
      </c>
      <c r="H29" s="16">
        <v>0</v>
      </c>
      <c r="I29" s="16">
        <v>0</v>
      </c>
      <c r="J29" s="16">
        <v>0</v>
      </c>
      <c r="K29" s="50">
        <v>0</v>
      </c>
      <c r="L29" s="59">
        <f t="shared" ref="L29:L55" si="1">SUM(F29:K29)</f>
        <v>5000</v>
      </c>
      <c r="M29" s="59">
        <f t="shared" si="0"/>
        <v>5000</v>
      </c>
    </row>
    <row r="30" spans="1:13">
      <c r="A30" s="1" t="s">
        <v>3</v>
      </c>
      <c r="B30" s="4" t="s">
        <v>45</v>
      </c>
      <c r="C30" s="16">
        <v>0</v>
      </c>
      <c r="D30" s="17">
        <v>0</v>
      </c>
      <c r="E30" s="17"/>
      <c r="F30" s="15">
        <v>6000</v>
      </c>
      <c r="G30" s="16">
        <v>0</v>
      </c>
      <c r="H30" s="16">
        <v>3000</v>
      </c>
      <c r="I30" s="16">
        <v>0</v>
      </c>
      <c r="J30" s="16">
        <v>0</v>
      </c>
      <c r="K30" s="50">
        <v>0</v>
      </c>
      <c r="L30" s="59">
        <f t="shared" si="1"/>
        <v>9000</v>
      </c>
      <c r="M30" s="59">
        <f t="shared" si="0"/>
        <v>9000</v>
      </c>
    </row>
    <row r="31" spans="1:13">
      <c r="A31" s="1" t="s">
        <v>3</v>
      </c>
      <c r="B31" s="4" t="s">
        <v>46</v>
      </c>
      <c r="C31" s="16">
        <v>50000</v>
      </c>
      <c r="D31" s="17">
        <v>0</v>
      </c>
      <c r="E31" s="17">
        <f>SUM(C31:D31)</f>
        <v>50000</v>
      </c>
      <c r="F31" s="15">
        <v>50000</v>
      </c>
      <c r="G31" s="16">
        <v>50000</v>
      </c>
      <c r="H31" s="16">
        <v>50000</v>
      </c>
      <c r="I31" s="16">
        <v>50000</v>
      </c>
      <c r="J31" s="16">
        <v>50000</v>
      </c>
      <c r="K31" s="50">
        <v>50000</v>
      </c>
      <c r="L31" s="59">
        <f t="shared" si="1"/>
        <v>300000</v>
      </c>
      <c r="M31" s="59">
        <f t="shared" si="0"/>
        <v>350000</v>
      </c>
    </row>
    <row r="32" spans="1:13">
      <c r="A32" s="1" t="s">
        <v>3</v>
      </c>
      <c r="B32" s="4" t="s">
        <v>47</v>
      </c>
      <c r="C32" s="16">
        <v>0</v>
      </c>
      <c r="D32" s="17">
        <v>93925</v>
      </c>
      <c r="E32" s="17">
        <f>SUM(C32:D32)</f>
        <v>93925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0">
        <v>0</v>
      </c>
      <c r="L32" s="59">
        <f t="shared" si="1"/>
        <v>0</v>
      </c>
      <c r="M32" s="59">
        <f t="shared" si="0"/>
        <v>93925</v>
      </c>
    </row>
    <row r="33" spans="1:13">
      <c r="A33" s="1" t="s">
        <v>3</v>
      </c>
      <c r="B33" s="4" t="s">
        <v>48</v>
      </c>
      <c r="C33" s="16">
        <v>0</v>
      </c>
      <c r="D33" s="17">
        <v>0</v>
      </c>
      <c r="E33" s="17"/>
      <c r="F33" s="15">
        <v>30500</v>
      </c>
      <c r="G33" s="16">
        <v>10500</v>
      </c>
      <c r="H33" s="16">
        <v>13500</v>
      </c>
      <c r="I33" s="16">
        <v>15000</v>
      </c>
      <c r="J33" s="16">
        <v>13000</v>
      </c>
      <c r="K33" s="50">
        <v>15000</v>
      </c>
      <c r="L33" s="59">
        <f t="shared" si="1"/>
        <v>97500</v>
      </c>
      <c r="M33" s="59">
        <f t="shared" si="0"/>
        <v>97500</v>
      </c>
    </row>
    <row r="34" spans="1:13">
      <c r="A34" s="1" t="s">
        <v>3</v>
      </c>
      <c r="B34" s="4" t="s">
        <v>49</v>
      </c>
      <c r="C34" s="16">
        <v>0</v>
      </c>
      <c r="D34" s="17">
        <v>0</v>
      </c>
      <c r="E34" s="17"/>
      <c r="F34" s="15">
        <v>-25214</v>
      </c>
      <c r="G34" s="16">
        <v>-36960</v>
      </c>
      <c r="H34" s="16">
        <v>-11650</v>
      </c>
      <c r="I34" s="16">
        <v>-34449</v>
      </c>
      <c r="J34" s="16">
        <v>0</v>
      </c>
      <c r="K34" s="50">
        <v>0</v>
      </c>
      <c r="L34" s="59">
        <f t="shared" si="1"/>
        <v>-108273</v>
      </c>
      <c r="M34" s="59">
        <f t="shared" si="0"/>
        <v>-108273</v>
      </c>
    </row>
    <row r="35" spans="1:13">
      <c r="A35" s="1" t="s">
        <v>3</v>
      </c>
      <c r="B35" s="4" t="s">
        <v>32</v>
      </c>
      <c r="C35" s="16">
        <v>0</v>
      </c>
      <c r="D35" s="17">
        <v>0</v>
      </c>
      <c r="E35" s="17"/>
      <c r="F35" s="15">
        <v>71028</v>
      </c>
      <c r="G35" s="16">
        <v>67480</v>
      </c>
      <c r="H35" s="16">
        <v>20053</v>
      </c>
      <c r="I35" s="16">
        <v>64656</v>
      </c>
      <c r="J35" s="16">
        <v>57472</v>
      </c>
      <c r="K35" s="50">
        <v>53351</v>
      </c>
      <c r="L35" s="59">
        <f t="shared" si="1"/>
        <v>334040</v>
      </c>
      <c r="M35" s="59">
        <f t="shared" si="0"/>
        <v>334040</v>
      </c>
    </row>
    <row r="36" spans="1:13">
      <c r="A36" s="1" t="s">
        <v>3</v>
      </c>
      <c r="B36" s="4" t="s">
        <v>50</v>
      </c>
      <c r="C36" s="16">
        <v>0</v>
      </c>
      <c r="D36" s="17">
        <v>0</v>
      </c>
      <c r="E36" s="17"/>
      <c r="F36" s="15">
        <v>8520</v>
      </c>
      <c r="G36" s="16">
        <v>8328</v>
      </c>
      <c r="H36" s="16">
        <v>0</v>
      </c>
      <c r="I36" s="16">
        <v>7760</v>
      </c>
      <c r="J36" s="16">
        <v>50440</v>
      </c>
      <c r="K36" s="50">
        <v>31603</v>
      </c>
      <c r="L36" s="59">
        <f t="shared" si="1"/>
        <v>106651</v>
      </c>
      <c r="M36" s="59">
        <f t="shared" si="0"/>
        <v>106651</v>
      </c>
    </row>
    <row r="37" spans="1:13">
      <c r="A37" s="1" t="s">
        <v>3</v>
      </c>
      <c r="B37" s="4" t="s">
        <v>51</v>
      </c>
      <c r="C37" s="16">
        <v>0</v>
      </c>
      <c r="D37" s="17">
        <v>0</v>
      </c>
      <c r="E37" s="17"/>
      <c r="F37" s="15">
        <v>25214</v>
      </c>
      <c r="G37" s="16">
        <v>36960</v>
      </c>
      <c r="H37" s="16">
        <v>11650</v>
      </c>
      <c r="I37" s="16">
        <v>34449</v>
      </c>
      <c r="J37" s="16">
        <v>0</v>
      </c>
      <c r="K37" s="50">
        <v>0</v>
      </c>
      <c r="L37" s="59">
        <f t="shared" si="1"/>
        <v>108273</v>
      </c>
      <c r="M37" s="59">
        <f t="shared" si="0"/>
        <v>108273</v>
      </c>
    </row>
    <row r="38" spans="1:13" ht="19.5" thickBot="1">
      <c r="A38" s="1" t="s">
        <v>3</v>
      </c>
      <c r="B38" s="35" t="s">
        <v>41</v>
      </c>
      <c r="C38" s="37">
        <v>0</v>
      </c>
      <c r="D38" s="38">
        <v>0</v>
      </c>
      <c r="E38" s="38"/>
      <c r="F38" s="36">
        <v>5530</v>
      </c>
      <c r="G38" s="37">
        <v>4632</v>
      </c>
      <c r="H38" s="37">
        <v>1825</v>
      </c>
      <c r="I38" s="37">
        <v>6462</v>
      </c>
      <c r="J38" s="37">
        <v>1795</v>
      </c>
      <c r="K38" s="51">
        <v>1720</v>
      </c>
      <c r="L38" s="60">
        <f t="shared" si="1"/>
        <v>21964</v>
      </c>
      <c r="M38" s="60">
        <f t="shared" si="0"/>
        <v>21964</v>
      </c>
    </row>
    <row r="39" spans="1:13" ht="19.5" thickBot="1">
      <c r="A39" s="1" t="s">
        <v>3</v>
      </c>
      <c r="B39" s="39" t="s">
        <v>52</v>
      </c>
      <c r="C39" s="41">
        <v>405000</v>
      </c>
      <c r="D39" s="42">
        <v>93925</v>
      </c>
      <c r="E39" s="42">
        <f>SUM(C39:D39)</f>
        <v>498925</v>
      </c>
      <c r="F39" s="40">
        <v>348578</v>
      </c>
      <c r="G39" s="41">
        <v>337940</v>
      </c>
      <c r="H39" s="41">
        <v>265378</v>
      </c>
      <c r="I39" s="41">
        <v>318878</v>
      </c>
      <c r="J39" s="41">
        <v>349707</v>
      </c>
      <c r="K39" s="52">
        <v>316674</v>
      </c>
      <c r="L39" s="61">
        <f t="shared" si="1"/>
        <v>1937155</v>
      </c>
      <c r="M39" s="61">
        <f t="shared" si="0"/>
        <v>2436080</v>
      </c>
    </row>
    <row r="40" spans="1:13" ht="19.5" thickBot="1">
      <c r="A40" s="1" t="s">
        <v>3</v>
      </c>
      <c r="B40" s="21" t="s">
        <v>53</v>
      </c>
      <c r="C40" s="30">
        <v>11584</v>
      </c>
      <c r="D40" s="31">
        <v>4320</v>
      </c>
      <c r="E40" s="31">
        <f t="shared" ref="E40:E55" si="2">SUM(C40:D40)</f>
        <v>15904</v>
      </c>
      <c r="F40" s="29">
        <v>5310</v>
      </c>
      <c r="G40" s="30">
        <v>4608</v>
      </c>
      <c r="H40" s="30">
        <v>7537</v>
      </c>
      <c r="I40" s="30">
        <v>4240</v>
      </c>
      <c r="J40" s="30">
        <v>3993</v>
      </c>
      <c r="K40" s="49">
        <v>5704</v>
      </c>
      <c r="L40" s="58">
        <f t="shared" si="1"/>
        <v>31392</v>
      </c>
      <c r="M40" s="58">
        <f t="shared" si="0"/>
        <v>47296</v>
      </c>
    </row>
    <row r="41" spans="1:13" ht="19.5" thickBot="1">
      <c r="A41" s="1" t="s">
        <v>3</v>
      </c>
      <c r="B41" s="39" t="s">
        <v>54</v>
      </c>
      <c r="C41" s="41">
        <v>11584</v>
      </c>
      <c r="D41" s="42">
        <v>4320</v>
      </c>
      <c r="E41" s="42">
        <f t="shared" si="2"/>
        <v>15904</v>
      </c>
      <c r="F41" s="40">
        <v>5310</v>
      </c>
      <c r="G41" s="41">
        <v>4608</v>
      </c>
      <c r="H41" s="41">
        <v>7537</v>
      </c>
      <c r="I41" s="41">
        <v>4240</v>
      </c>
      <c r="J41" s="41">
        <v>3993</v>
      </c>
      <c r="K41" s="52">
        <v>5704</v>
      </c>
      <c r="L41" s="61">
        <f t="shared" si="1"/>
        <v>31392</v>
      </c>
      <c r="M41" s="61">
        <f t="shared" si="0"/>
        <v>47296</v>
      </c>
    </row>
    <row r="42" spans="1:13" ht="19.5" thickBot="1">
      <c r="A42" s="1" t="s">
        <v>3</v>
      </c>
      <c r="B42" s="39" t="s">
        <v>55</v>
      </c>
      <c r="C42" s="41">
        <v>416584</v>
      </c>
      <c r="D42" s="42">
        <v>98245</v>
      </c>
      <c r="E42" s="42">
        <f t="shared" si="2"/>
        <v>514829</v>
      </c>
      <c r="F42" s="40">
        <v>353888</v>
      </c>
      <c r="G42" s="41">
        <v>342548</v>
      </c>
      <c r="H42" s="41">
        <v>272915</v>
      </c>
      <c r="I42" s="41">
        <v>323118</v>
      </c>
      <c r="J42" s="41">
        <v>353700</v>
      </c>
      <c r="K42" s="52">
        <v>322378</v>
      </c>
      <c r="L42" s="61">
        <f t="shared" si="1"/>
        <v>1968547</v>
      </c>
      <c r="M42" s="61">
        <f t="shared" si="0"/>
        <v>2483376</v>
      </c>
    </row>
    <row r="43" spans="1:13">
      <c r="A43" s="1" t="s">
        <v>3</v>
      </c>
      <c r="B43" s="21" t="s">
        <v>56</v>
      </c>
      <c r="C43" s="30">
        <v>20910</v>
      </c>
      <c r="D43" s="31">
        <v>0</v>
      </c>
      <c r="E43" s="31">
        <f t="shared" si="2"/>
        <v>20910</v>
      </c>
      <c r="F43" s="29">
        <v>20910</v>
      </c>
      <c r="G43" s="30">
        <v>19380</v>
      </c>
      <c r="H43" s="30">
        <v>18360</v>
      </c>
      <c r="I43" s="30">
        <v>18360</v>
      </c>
      <c r="J43" s="30">
        <v>19380</v>
      </c>
      <c r="K43" s="49">
        <v>19380</v>
      </c>
      <c r="L43" s="58">
        <f t="shared" si="1"/>
        <v>115770</v>
      </c>
      <c r="M43" s="58">
        <f t="shared" si="0"/>
        <v>136680</v>
      </c>
    </row>
    <row r="44" spans="1:13">
      <c r="A44" s="1" t="s">
        <v>3</v>
      </c>
      <c r="B44" s="4" t="s">
        <v>57</v>
      </c>
      <c r="C44" s="16">
        <v>3690</v>
      </c>
      <c r="D44" s="17">
        <v>0</v>
      </c>
      <c r="E44" s="17">
        <f t="shared" si="2"/>
        <v>3690</v>
      </c>
      <c r="F44" s="15">
        <v>3690</v>
      </c>
      <c r="G44" s="16">
        <v>3420</v>
      </c>
      <c r="H44" s="16">
        <v>3240</v>
      </c>
      <c r="I44" s="16">
        <v>3240</v>
      </c>
      <c r="J44" s="16">
        <v>3420</v>
      </c>
      <c r="K44" s="50">
        <v>3420</v>
      </c>
      <c r="L44" s="59">
        <f t="shared" si="1"/>
        <v>20430</v>
      </c>
      <c r="M44" s="59">
        <f t="shared" si="0"/>
        <v>24120</v>
      </c>
    </row>
    <row r="45" spans="1:13">
      <c r="A45" s="1" t="s">
        <v>3</v>
      </c>
      <c r="B45" s="4" t="s">
        <v>58</v>
      </c>
      <c r="C45" s="16">
        <v>37515</v>
      </c>
      <c r="D45" s="17">
        <v>0</v>
      </c>
      <c r="E45" s="17">
        <f t="shared" si="2"/>
        <v>37515</v>
      </c>
      <c r="F45" s="15">
        <v>37515</v>
      </c>
      <c r="G45" s="16">
        <v>34770</v>
      </c>
      <c r="H45" s="16">
        <v>32940</v>
      </c>
      <c r="I45" s="16">
        <v>32940</v>
      </c>
      <c r="J45" s="16">
        <v>34770</v>
      </c>
      <c r="K45" s="50">
        <v>34770</v>
      </c>
      <c r="L45" s="59">
        <f t="shared" si="1"/>
        <v>207705</v>
      </c>
      <c r="M45" s="59">
        <f t="shared" si="0"/>
        <v>245220</v>
      </c>
    </row>
    <row r="46" spans="1:13">
      <c r="A46" s="1" t="s">
        <v>3</v>
      </c>
      <c r="B46" s="4" t="s">
        <v>59</v>
      </c>
      <c r="C46" s="16">
        <v>1250</v>
      </c>
      <c r="D46" s="17">
        <v>295</v>
      </c>
      <c r="E46" s="17">
        <f t="shared" si="2"/>
        <v>1545</v>
      </c>
      <c r="F46" s="15">
        <v>1062</v>
      </c>
      <c r="G46" s="16">
        <v>1028</v>
      </c>
      <c r="H46" s="16">
        <v>819</v>
      </c>
      <c r="I46" s="16">
        <v>969</v>
      </c>
      <c r="J46" s="16">
        <v>1061</v>
      </c>
      <c r="K46" s="50">
        <v>967</v>
      </c>
      <c r="L46" s="59">
        <f t="shared" si="1"/>
        <v>5906</v>
      </c>
      <c r="M46" s="59">
        <f t="shared" si="0"/>
        <v>7451</v>
      </c>
    </row>
    <row r="47" spans="1:13" ht="19.5" thickBot="1">
      <c r="A47" s="1" t="s">
        <v>3</v>
      </c>
      <c r="B47" s="35" t="s">
        <v>60</v>
      </c>
      <c r="C47" s="37">
        <v>0</v>
      </c>
      <c r="D47" s="38">
        <v>0</v>
      </c>
      <c r="E47" s="38">
        <f t="shared" si="2"/>
        <v>0</v>
      </c>
      <c r="F47" s="36">
        <v>0</v>
      </c>
      <c r="G47" s="37">
        <v>0</v>
      </c>
      <c r="H47" s="37">
        <v>0</v>
      </c>
      <c r="I47" s="37">
        <v>0</v>
      </c>
      <c r="J47" s="37">
        <v>0</v>
      </c>
      <c r="K47" s="51">
        <v>0</v>
      </c>
      <c r="L47" s="60">
        <f t="shared" si="1"/>
        <v>0</v>
      </c>
      <c r="M47" s="60">
        <f t="shared" si="0"/>
        <v>0</v>
      </c>
    </row>
    <row r="48" spans="1:13" ht="19.5" thickBot="1">
      <c r="A48" s="1" t="s">
        <v>3</v>
      </c>
      <c r="B48" s="39" t="s">
        <v>61</v>
      </c>
      <c r="C48" s="41">
        <v>63365</v>
      </c>
      <c r="D48" s="42">
        <v>295</v>
      </c>
      <c r="E48" s="42">
        <f t="shared" si="2"/>
        <v>63660</v>
      </c>
      <c r="F48" s="40">
        <v>63177</v>
      </c>
      <c r="G48" s="41">
        <v>58598</v>
      </c>
      <c r="H48" s="41">
        <v>55359</v>
      </c>
      <c r="I48" s="41">
        <v>55509</v>
      </c>
      <c r="J48" s="41">
        <v>58631</v>
      </c>
      <c r="K48" s="52">
        <v>58537</v>
      </c>
      <c r="L48" s="61">
        <f t="shared" si="1"/>
        <v>349811</v>
      </c>
      <c r="M48" s="61">
        <f t="shared" si="0"/>
        <v>413471</v>
      </c>
    </row>
    <row r="49" spans="1:13">
      <c r="A49" s="1" t="s">
        <v>3</v>
      </c>
      <c r="B49" s="21" t="s">
        <v>62</v>
      </c>
      <c r="C49" s="30">
        <v>8550</v>
      </c>
      <c r="D49" s="31">
        <v>400</v>
      </c>
      <c r="E49" s="31">
        <f t="shared" si="2"/>
        <v>8950</v>
      </c>
      <c r="F49" s="29">
        <v>6200</v>
      </c>
      <c r="G49" s="30">
        <v>7600</v>
      </c>
      <c r="H49" s="30">
        <v>3510</v>
      </c>
      <c r="I49" s="30">
        <v>5410</v>
      </c>
      <c r="J49" s="30">
        <v>8020</v>
      </c>
      <c r="K49" s="49">
        <v>6840</v>
      </c>
      <c r="L49" s="58">
        <f t="shared" si="1"/>
        <v>37580</v>
      </c>
      <c r="M49" s="58">
        <f t="shared" si="0"/>
        <v>46530</v>
      </c>
    </row>
    <row r="50" spans="1:13">
      <c r="A50" s="1" t="s">
        <v>3</v>
      </c>
      <c r="B50" s="4" t="s">
        <v>63</v>
      </c>
      <c r="C50" s="16">
        <v>26200</v>
      </c>
      <c r="D50" s="17">
        <v>1400</v>
      </c>
      <c r="E50" s="17">
        <f t="shared" si="2"/>
        <v>27600</v>
      </c>
      <c r="F50" s="15">
        <v>15300</v>
      </c>
      <c r="G50" s="16">
        <v>18300</v>
      </c>
      <c r="H50" s="16">
        <v>0</v>
      </c>
      <c r="I50" s="16">
        <v>6200</v>
      </c>
      <c r="J50" s="16">
        <v>18200</v>
      </c>
      <c r="K50" s="50">
        <v>2500</v>
      </c>
      <c r="L50" s="59">
        <f t="shared" si="1"/>
        <v>60500</v>
      </c>
      <c r="M50" s="59">
        <f t="shared" ref="M50:M55" si="3">E50+L50</f>
        <v>88100</v>
      </c>
    </row>
    <row r="51" spans="1:13" ht="19.5" thickBot="1">
      <c r="A51" s="1" t="s">
        <v>3</v>
      </c>
      <c r="B51" s="4" t="s">
        <v>64</v>
      </c>
      <c r="C51" s="16">
        <v>0</v>
      </c>
      <c r="D51" s="17">
        <v>0</v>
      </c>
      <c r="E51" s="17">
        <f t="shared" si="2"/>
        <v>0</v>
      </c>
      <c r="F51" s="15">
        <v>0</v>
      </c>
      <c r="G51" s="16">
        <v>0</v>
      </c>
      <c r="H51" s="16">
        <v>0</v>
      </c>
      <c r="I51" s="16">
        <v>0</v>
      </c>
      <c r="J51" s="16">
        <v>0</v>
      </c>
      <c r="K51" s="50">
        <v>6000</v>
      </c>
      <c r="L51" s="59">
        <f t="shared" si="1"/>
        <v>6000</v>
      </c>
      <c r="M51" s="59">
        <f t="shared" si="3"/>
        <v>6000</v>
      </c>
    </row>
    <row r="52" spans="1:13" ht="19.5" thickBot="1">
      <c r="A52" s="1" t="s">
        <v>3</v>
      </c>
      <c r="B52" s="39" t="s">
        <v>65</v>
      </c>
      <c r="C52" s="41">
        <v>98115</v>
      </c>
      <c r="D52" s="42">
        <v>2095</v>
      </c>
      <c r="E52" s="42">
        <f t="shared" si="2"/>
        <v>100210</v>
      </c>
      <c r="F52" s="40">
        <v>84677</v>
      </c>
      <c r="G52" s="41">
        <v>84498</v>
      </c>
      <c r="H52" s="41">
        <v>58869</v>
      </c>
      <c r="I52" s="41">
        <v>67119</v>
      </c>
      <c r="J52" s="41">
        <v>84851</v>
      </c>
      <c r="K52" s="52">
        <v>73877</v>
      </c>
      <c r="L52" s="61">
        <f t="shared" si="1"/>
        <v>453891</v>
      </c>
      <c r="M52" s="61">
        <f t="shared" si="3"/>
        <v>554101</v>
      </c>
    </row>
    <row r="53" spans="1:13" ht="19.5" thickBot="1">
      <c r="A53" s="1" t="s">
        <v>3</v>
      </c>
      <c r="B53" s="39" t="s">
        <v>66</v>
      </c>
      <c r="C53" s="41">
        <v>341635</v>
      </c>
      <c r="D53" s="42">
        <v>93630</v>
      </c>
      <c r="E53" s="42">
        <f t="shared" si="2"/>
        <v>435265</v>
      </c>
      <c r="F53" s="40">
        <v>285401</v>
      </c>
      <c r="G53" s="41">
        <v>279342</v>
      </c>
      <c r="H53" s="41">
        <v>210019</v>
      </c>
      <c r="I53" s="41">
        <v>263369</v>
      </c>
      <c r="J53" s="41">
        <v>291076</v>
      </c>
      <c r="K53" s="52">
        <v>258137</v>
      </c>
      <c r="L53" s="61">
        <f t="shared" si="1"/>
        <v>1587344</v>
      </c>
      <c r="M53" s="61">
        <f t="shared" si="3"/>
        <v>2022609</v>
      </c>
    </row>
    <row r="54" spans="1:13" ht="19.5" thickBot="1">
      <c r="A54" s="1" t="s">
        <v>3</v>
      </c>
      <c r="B54" s="39" t="s">
        <v>67</v>
      </c>
      <c r="C54" s="41">
        <v>318469</v>
      </c>
      <c r="D54" s="42">
        <v>96150</v>
      </c>
      <c r="E54" s="42">
        <f t="shared" si="2"/>
        <v>414619</v>
      </c>
      <c r="F54" s="40">
        <v>269211</v>
      </c>
      <c r="G54" s="41">
        <v>258050</v>
      </c>
      <c r="H54" s="41">
        <v>214046</v>
      </c>
      <c r="I54" s="41">
        <v>255999</v>
      </c>
      <c r="J54" s="41">
        <v>268849</v>
      </c>
      <c r="K54" s="52">
        <v>248501</v>
      </c>
      <c r="L54" s="61">
        <f t="shared" si="1"/>
        <v>1514656</v>
      </c>
      <c r="M54" s="61">
        <f t="shared" si="3"/>
        <v>1929275</v>
      </c>
    </row>
    <row r="55" spans="1:13">
      <c r="A55" s="1" t="s">
        <v>3</v>
      </c>
      <c r="B55" s="4" t="s">
        <v>68</v>
      </c>
      <c r="C55" s="16">
        <v>318469</v>
      </c>
      <c r="D55" s="17">
        <v>96150</v>
      </c>
      <c r="E55" s="17">
        <f t="shared" si="2"/>
        <v>414619</v>
      </c>
      <c r="F55" s="15">
        <v>269211</v>
      </c>
      <c r="G55" s="16">
        <v>258050</v>
      </c>
      <c r="H55" s="16">
        <v>214046</v>
      </c>
      <c r="I55" s="16">
        <v>255999</v>
      </c>
      <c r="J55" s="16">
        <v>268849</v>
      </c>
      <c r="K55" s="50">
        <v>248501</v>
      </c>
      <c r="L55" s="59">
        <f t="shared" si="1"/>
        <v>1514656</v>
      </c>
      <c r="M55" s="59">
        <f t="shared" si="3"/>
        <v>1929275</v>
      </c>
    </row>
    <row r="56" spans="1:13">
      <c r="A56" s="1" t="s">
        <v>3</v>
      </c>
      <c r="B56" s="4" t="s">
        <v>69</v>
      </c>
      <c r="C56" s="16">
        <v>1</v>
      </c>
      <c r="D56" s="17">
        <v>0</v>
      </c>
      <c r="E56" s="17"/>
      <c r="F56" s="15">
        <v>1</v>
      </c>
      <c r="G56" s="16">
        <v>0</v>
      </c>
      <c r="H56" s="16">
        <v>1</v>
      </c>
      <c r="I56" s="16">
        <v>1</v>
      </c>
      <c r="J56" s="16">
        <v>0</v>
      </c>
      <c r="K56" s="50">
        <v>0</v>
      </c>
      <c r="L56" s="59"/>
      <c r="M56" s="59"/>
    </row>
    <row r="57" spans="1:13" ht="19.5" thickBot="1">
      <c r="A57" s="1" t="s">
        <v>3</v>
      </c>
      <c r="B57" s="5" t="s">
        <v>70</v>
      </c>
      <c r="C57" s="19" t="s">
        <v>71</v>
      </c>
      <c r="D57" s="20" t="s">
        <v>71</v>
      </c>
      <c r="E57" s="20"/>
      <c r="F57" s="18" t="s">
        <v>71</v>
      </c>
      <c r="G57" s="19" t="s">
        <v>71</v>
      </c>
      <c r="H57" s="19" t="s">
        <v>71</v>
      </c>
      <c r="I57" s="19" t="s">
        <v>71</v>
      </c>
      <c r="J57" s="19" t="s">
        <v>71</v>
      </c>
      <c r="K57" s="53" t="s">
        <v>71</v>
      </c>
      <c r="L57" s="62"/>
      <c r="M57" s="62"/>
    </row>
  </sheetData>
  <phoneticPr fontId="4"/>
  <pageMargins left="0.11811023622047245" right="0.11811023622047245" top="0.15748031496062992" bottom="0.15748031496062992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BDD0-2F75-4C4D-A2E8-1A0C4CB29041}">
  <sheetPr>
    <pageSetUpPr fitToPage="1"/>
  </sheetPr>
  <dimension ref="A1:M56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.5" style="2" customWidth="1"/>
    <col min="14" max="258" width="9" style="2"/>
    <col min="259" max="259" width="2.375" style="2" customWidth="1"/>
    <col min="260" max="260" width="13.25" style="2" bestFit="1" customWidth="1"/>
    <col min="261" max="262" width="9" style="2"/>
    <col min="263" max="264" width="8" style="2" bestFit="1" customWidth="1"/>
    <col min="265" max="268" width="9" style="2"/>
    <col min="269" max="269" width="9.625" style="2" bestFit="1" customWidth="1"/>
    <col min="270" max="514" width="9" style="2"/>
    <col min="515" max="515" width="2.375" style="2" customWidth="1"/>
    <col min="516" max="516" width="13.25" style="2" bestFit="1" customWidth="1"/>
    <col min="517" max="518" width="9" style="2"/>
    <col min="519" max="520" width="8" style="2" bestFit="1" customWidth="1"/>
    <col min="521" max="524" width="9" style="2"/>
    <col min="525" max="525" width="9.625" style="2" bestFit="1" customWidth="1"/>
    <col min="526" max="770" width="9" style="2"/>
    <col min="771" max="771" width="2.375" style="2" customWidth="1"/>
    <col min="772" max="772" width="13.25" style="2" bestFit="1" customWidth="1"/>
    <col min="773" max="774" width="9" style="2"/>
    <col min="775" max="776" width="8" style="2" bestFit="1" customWidth="1"/>
    <col min="777" max="780" width="9" style="2"/>
    <col min="781" max="781" width="9.625" style="2" bestFit="1" customWidth="1"/>
    <col min="782" max="1026" width="9" style="2"/>
    <col min="1027" max="1027" width="2.375" style="2" customWidth="1"/>
    <col min="1028" max="1028" width="13.25" style="2" bestFit="1" customWidth="1"/>
    <col min="1029" max="1030" width="9" style="2"/>
    <col min="1031" max="1032" width="8" style="2" bestFit="1" customWidth="1"/>
    <col min="1033" max="1036" width="9" style="2"/>
    <col min="1037" max="1037" width="9.625" style="2" bestFit="1" customWidth="1"/>
    <col min="1038" max="1282" width="9" style="2"/>
    <col min="1283" max="1283" width="2.375" style="2" customWidth="1"/>
    <col min="1284" max="1284" width="13.25" style="2" bestFit="1" customWidth="1"/>
    <col min="1285" max="1286" width="9" style="2"/>
    <col min="1287" max="1288" width="8" style="2" bestFit="1" customWidth="1"/>
    <col min="1289" max="1292" width="9" style="2"/>
    <col min="1293" max="1293" width="9.625" style="2" bestFit="1" customWidth="1"/>
    <col min="1294" max="1538" width="9" style="2"/>
    <col min="1539" max="1539" width="2.375" style="2" customWidth="1"/>
    <col min="1540" max="1540" width="13.25" style="2" bestFit="1" customWidth="1"/>
    <col min="1541" max="1542" width="9" style="2"/>
    <col min="1543" max="1544" width="8" style="2" bestFit="1" customWidth="1"/>
    <col min="1545" max="1548" width="9" style="2"/>
    <col min="1549" max="1549" width="9.625" style="2" bestFit="1" customWidth="1"/>
    <col min="1550" max="1794" width="9" style="2"/>
    <col min="1795" max="1795" width="2.375" style="2" customWidth="1"/>
    <col min="1796" max="1796" width="13.25" style="2" bestFit="1" customWidth="1"/>
    <col min="1797" max="1798" width="9" style="2"/>
    <col min="1799" max="1800" width="8" style="2" bestFit="1" customWidth="1"/>
    <col min="1801" max="1804" width="9" style="2"/>
    <col min="1805" max="1805" width="9.625" style="2" bestFit="1" customWidth="1"/>
    <col min="1806" max="2050" width="9" style="2"/>
    <col min="2051" max="2051" width="2.375" style="2" customWidth="1"/>
    <col min="2052" max="2052" width="13.25" style="2" bestFit="1" customWidth="1"/>
    <col min="2053" max="2054" width="9" style="2"/>
    <col min="2055" max="2056" width="8" style="2" bestFit="1" customWidth="1"/>
    <col min="2057" max="2060" width="9" style="2"/>
    <col min="2061" max="2061" width="9.625" style="2" bestFit="1" customWidth="1"/>
    <col min="2062" max="2306" width="9" style="2"/>
    <col min="2307" max="2307" width="2.375" style="2" customWidth="1"/>
    <col min="2308" max="2308" width="13.25" style="2" bestFit="1" customWidth="1"/>
    <col min="2309" max="2310" width="9" style="2"/>
    <col min="2311" max="2312" width="8" style="2" bestFit="1" customWidth="1"/>
    <col min="2313" max="2316" width="9" style="2"/>
    <col min="2317" max="2317" width="9.625" style="2" bestFit="1" customWidth="1"/>
    <col min="2318" max="2562" width="9" style="2"/>
    <col min="2563" max="2563" width="2.375" style="2" customWidth="1"/>
    <col min="2564" max="2564" width="13.25" style="2" bestFit="1" customWidth="1"/>
    <col min="2565" max="2566" width="9" style="2"/>
    <col min="2567" max="2568" width="8" style="2" bestFit="1" customWidth="1"/>
    <col min="2569" max="2572" width="9" style="2"/>
    <col min="2573" max="2573" width="9.625" style="2" bestFit="1" customWidth="1"/>
    <col min="2574" max="2818" width="9" style="2"/>
    <col min="2819" max="2819" width="2.375" style="2" customWidth="1"/>
    <col min="2820" max="2820" width="13.25" style="2" bestFit="1" customWidth="1"/>
    <col min="2821" max="2822" width="9" style="2"/>
    <col min="2823" max="2824" width="8" style="2" bestFit="1" customWidth="1"/>
    <col min="2825" max="2828" width="9" style="2"/>
    <col min="2829" max="2829" width="9.625" style="2" bestFit="1" customWidth="1"/>
    <col min="2830" max="3074" width="9" style="2"/>
    <col min="3075" max="3075" width="2.375" style="2" customWidth="1"/>
    <col min="3076" max="3076" width="13.25" style="2" bestFit="1" customWidth="1"/>
    <col min="3077" max="3078" width="9" style="2"/>
    <col min="3079" max="3080" width="8" style="2" bestFit="1" customWidth="1"/>
    <col min="3081" max="3084" width="9" style="2"/>
    <col min="3085" max="3085" width="9.625" style="2" bestFit="1" customWidth="1"/>
    <col min="3086" max="3330" width="9" style="2"/>
    <col min="3331" max="3331" width="2.375" style="2" customWidth="1"/>
    <col min="3332" max="3332" width="13.25" style="2" bestFit="1" customWidth="1"/>
    <col min="3333" max="3334" width="9" style="2"/>
    <col min="3335" max="3336" width="8" style="2" bestFit="1" customWidth="1"/>
    <col min="3337" max="3340" width="9" style="2"/>
    <col min="3341" max="3341" width="9.625" style="2" bestFit="1" customWidth="1"/>
    <col min="3342" max="3586" width="9" style="2"/>
    <col min="3587" max="3587" width="2.375" style="2" customWidth="1"/>
    <col min="3588" max="3588" width="13.25" style="2" bestFit="1" customWidth="1"/>
    <col min="3589" max="3590" width="9" style="2"/>
    <col min="3591" max="3592" width="8" style="2" bestFit="1" customWidth="1"/>
    <col min="3593" max="3596" width="9" style="2"/>
    <col min="3597" max="3597" width="9.625" style="2" bestFit="1" customWidth="1"/>
    <col min="3598" max="3842" width="9" style="2"/>
    <col min="3843" max="3843" width="2.375" style="2" customWidth="1"/>
    <col min="3844" max="3844" width="13.25" style="2" bestFit="1" customWidth="1"/>
    <col min="3845" max="3846" width="9" style="2"/>
    <col min="3847" max="3848" width="8" style="2" bestFit="1" customWidth="1"/>
    <col min="3849" max="3852" width="9" style="2"/>
    <col min="3853" max="3853" width="9.625" style="2" bestFit="1" customWidth="1"/>
    <col min="3854" max="4098" width="9" style="2"/>
    <col min="4099" max="4099" width="2.375" style="2" customWidth="1"/>
    <col min="4100" max="4100" width="13.25" style="2" bestFit="1" customWidth="1"/>
    <col min="4101" max="4102" width="9" style="2"/>
    <col min="4103" max="4104" width="8" style="2" bestFit="1" customWidth="1"/>
    <col min="4105" max="4108" width="9" style="2"/>
    <col min="4109" max="4109" width="9.625" style="2" bestFit="1" customWidth="1"/>
    <col min="4110" max="4354" width="9" style="2"/>
    <col min="4355" max="4355" width="2.375" style="2" customWidth="1"/>
    <col min="4356" max="4356" width="13.25" style="2" bestFit="1" customWidth="1"/>
    <col min="4357" max="4358" width="9" style="2"/>
    <col min="4359" max="4360" width="8" style="2" bestFit="1" customWidth="1"/>
    <col min="4361" max="4364" width="9" style="2"/>
    <col min="4365" max="4365" width="9.625" style="2" bestFit="1" customWidth="1"/>
    <col min="4366" max="4610" width="9" style="2"/>
    <col min="4611" max="4611" width="2.375" style="2" customWidth="1"/>
    <col min="4612" max="4612" width="13.25" style="2" bestFit="1" customWidth="1"/>
    <col min="4613" max="4614" width="9" style="2"/>
    <col min="4615" max="4616" width="8" style="2" bestFit="1" customWidth="1"/>
    <col min="4617" max="4620" width="9" style="2"/>
    <col min="4621" max="4621" width="9.625" style="2" bestFit="1" customWidth="1"/>
    <col min="4622" max="4866" width="9" style="2"/>
    <col min="4867" max="4867" width="2.375" style="2" customWidth="1"/>
    <col min="4868" max="4868" width="13.25" style="2" bestFit="1" customWidth="1"/>
    <col min="4869" max="4870" width="9" style="2"/>
    <col min="4871" max="4872" width="8" style="2" bestFit="1" customWidth="1"/>
    <col min="4873" max="4876" width="9" style="2"/>
    <col min="4877" max="4877" width="9.625" style="2" bestFit="1" customWidth="1"/>
    <col min="4878" max="5122" width="9" style="2"/>
    <col min="5123" max="5123" width="2.375" style="2" customWidth="1"/>
    <col min="5124" max="5124" width="13.25" style="2" bestFit="1" customWidth="1"/>
    <col min="5125" max="5126" width="9" style="2"/>
    <col min="5127" max="5128" width="8" style="2" bestFit="1" customWidth="1"/>
    <col min="5129" max="5132" width="9" style="2"/>
    <col min="5133" max="5133" width="9.625" style="2" bestFit="1" customWidth="1"/>
    <col min="5134" max="5378" width="9" style="2"/>
    <col min="5379" max="5379" width="2.375" style="2" customWidth="1"/>
    <col min="5380" max="5380" width="13.25" style="2" bestFit="1" customWidth="1"/>
    <col min="5381" max="5382" width="9" style="2"/>
    <col min="5383" max="5384" width="8" style="2" bestFit="1" customWidth="1"/>
    <col min="5385" max="5388" width="9" style="2"/>
    <col min="5389" max="5389" width="9.625" style="2" bestFit="1" customWidth="1"/>
    <col min="5390" max="5634" width="9" style="2"/>
    <col min="5635" max="5635" width="2.375" style="2" customWidth="1"/>
    <col min="5636" max="5636" width="13.25" style="2" bestFit="1" customWidth="1"/>
    <col min="5637" max="5638" width="9" style="2"/>
    <col min="5639" max="5640" width="8" style="2" bestFit="1" customWidth="1"/>
    <col min="5641" max="5644" width="9" style="2"/>
    <col min="5645" max="5645" width="9.625" style="2" bestFit="1" customWidth="1"/>
    <col min="5646" max="5890" width="9" style="2"/>
    <col min="5891" max="5891" width="2.375" style="2" customWidth="1"/>
    <col min="5892" max="5892" width="13.25" style="2" bestFit="1" customWidth="1"/>
    <col min="5893" max="5894" width="9" style="2"/>
    <col min="5895" max="5896" width="8" style="2" bestFit="1" customWidth="1"/>
    <col min="5897" max="5900" width="9" style="2"/>
    <col min="5901" max="5901" width="9.625" style="2" bestFit="1" customWidth="1"/>
    <col min="5902" max="6146" width="9" style="2"/>
    <col min="6147" max="6147" width="2.375" style="2" customWidth="1"/>
    <col min="6148" max="6148" width="13.25" style="2" bestFit="1" customWidth="1"/>
    <col min="6149" max="6150" width="9" style="2"/>
    <col min="6151" max="6152" width="8" style="2" bestFit="1" customWidth="1"/>
    <col min="6153" max="6156" width="9" style="2"/>
    <col min="6157" max="6157" width="9.625" style="2" bestFit="1" customWidth="1"/>
    <col min="6158" max="6402" width="9" style="2"/>
    <col min="6403" max="6403" width="2.375" style="2" customWidth="1"/>
    <col min="6404" max="6404" width="13.25" style="2" bestFit="1" customWidth="1"/>
    <col min="6405" max="6406" width="9" style="2"/>
    <col min="6407" max="6408" width="8" style="2" bestFit="1" customWidth="1"/>
    <col min="6409" max="6412" width="9" style="2"/>
    <col min="6413" max="6413" width="9.625" style="2" bestFit="1" customWidth="1"/>
    <col min="6414" max="6658" width="9" style="2"/>
    <col min="6659" max="6659" width="2.375" style="2" customWidth="1"/>
    <col min="6660" max="6660" width="13.25" style="2" bestFit="1" customWidth="1"/>
    <col min="6661" max="6662" width="9" style="2"/>
    <col min="6663" max="6664" width="8" style="2" bestFit="1" customWidth="1"/>
    <col min="6665" max="6668" width="9" style="2"/>
    <col min="6669" max="6669" width="9.625" style="2" bestFit="1" customWidth="1"/>
    <col min="6670" max="6914" width="9" style="2"/>
    <col min="6915" max="6915" width="2.375" style="2" customWidth="1"/>
    <col min="6916" max="6916" width="13.25" style="2" bestFit="1" customWidth="1"/>
    <col min="6917" max="6918" width="9" style="2"/>
    <col min="6919" max="6920" width="8" style="2" bestFit="1" customWidth="1"/>
    <col min="6921" max="6924" width="9" style="2"/>
    <col min="6925" max="6925" width="9.625" style="2" bestFit="1" customWidth="1"/>
    <col min="6926" max="7170" width="9" style="2"/>
    <col min="7171" max="7171" width="2.375" style="2" customWidth="1"/>
    <col min="7172" max="7172" width="13.25" style="2" bestFit="1" customWidth="1"/>
    <col min="7173" max="7174" width="9" style="2"/>
    <col min="7175" max="7176" width="8" style="2" bestFit="1" customWidth="1"/>
    <col min="7177" max="7180" width="9" style="2"/>
    <col min="7181" max="7181" width="9.625" style="2" bestFit="1" customWidth="1"/>
    <col min="7182" max="7426" width="9" style="2"/>
    <col min="7427" max="7427" width="2.375" style="2" customWidth="1"/>
    <col min="7428" max="7428" width="13.25" style="2" bestFit="1" customWidth="1"/>
    <col min="7429" max="7430" width="9" style="2"/>
    <col min="7431" max="7432" width="8" style="2" bestFit="1" customWidth="1"/>
    <col min="7433" max="7436" width="9" style="2"/>
    <col min="7437" max="7437" width="9.625" style="2" bestFit="1" customWidth="1"/>
    <col min="7438" max="7682" width="9" style="2"/>
    <col min="7683" max="7683" width="2.375" style="2" customWidth="1"/>
    <col min="7684" max="7684" width="13.25" style="2" bestFit="1" customWidth="1"/>
    <col min="7685" max="7686" width="9" style="2"/>
    <col min="7687" max="7688" width="8" style="2" bestFit="1" customWidth="1"/>
    <col min="7689" max="7692" width="9" style="2"/>
    <col min="7693" max="7693" width="9.625" style="2" bestFit="1" customWidth="1"/>
    <col min="7694" max="7938" width="9" style="2"/>
    <col min="7939" max="7939" width="2.375" style="2" customWidth="1"/>
    <col min="7940" max="7940" width="13.25" style="2" bestFit="1" customWidth="1"/>
    <col min="7941" max="7942" width="9" style="2"/>
    <col min="7943" max="7944" width="8" style="2" bestFit="1" customWidth="1"/>
    <col min="7945" max="7948" width="9" style="2"/>
    <col min="7949" max="7949" width="9.625" style="2" bestFit="1" customWidth="1"/>
    <col min="7950" max="8194" width="9" style="2"/>
    <col min="8195" max="8195" width="2.375" style="2" customWidth="1"/>
    <col min="8196" max="8196" width="13.25" style="2" bestFit="1" customWidth="1"/>
    <col min="8197" max="8198" width="9" style="2"/>
    <col min="8199" max="8200" width="8" style="2" bestFit="1" customWidth="1"/>
    <col min="8201" max="8204" width="9" style="2"/>
    <col min="8205" max="8205" width="9.625" style="2" bestFit="1" customWidth="1"/>
    <col min="8206" max="8450" width="9" style="2"/>
    <col min="8451" max="8451" width="2.375" style="2" customWidth="1"/>
    <col min="8452" max="8452" width="13.25" style="2" bestFit="1" customWidth="1"/>
    <col min="8453" max="8454" width="9" style="2"/>
    <col min="8455" max="8456" width="8" style="2" bestFit="1" customWidth="1"/>
    <col min="8457" max="8460" width="9" style="2"/>
    <col min="8461" max="8461" width="9.625" style="2" bestFit="1" customWidth="1"/>
    <col min="8462" max="8706" width="9" style="2"/>
    <col min="8707" max="8707" width="2.375" style="2" customWidth="1"/>
    <col min="8708" max="8708" width="13.25" style="2" bestFit="1" customWidth="1"/>
    <col min="8709" max="8710" width="9" style="2"/>
    <col min="8711" max="8712" width="8" style="2" bestFit="1" customWidth="1"/>
    <col min="8713" max="8716" width="9" style="2"/>
    <col min="8717" max="8717" width="9.625" style="2" bestFit="1" customWidth="1"/>
    <col min="8718" max="8962" width="9" style="2"/>
    <col min="8963" max="8963" width="2.375" style="2" customWidth="1"/>
    <col min="8964" max="8964" width="13.25" style="2" bestFit="1" customWidth="1"/>
    <col min="8965" max="8966" width="9" style="2"/>
    <col min="8967" max="8968" width="8" style="2" bestFit="1" customWidth="1"/>
    <col min="8969" max="8972" width="9" style="2"/>
    <col min="8973" max="8973" width="9.625" style="2" bestFit="1" customWidth="1"/>
    <col min="8974" max="9218" width="9" style="2"/>
    <col min="9219" max="9219" width="2.375" style="2" customWidth="1"/>
    <col min="9220" max="9220" width="13.25" style="2" bestFit="1" customWidth="1"/>
    <col min="9221" max="9222" width="9" style="2"/>
    <col min="9223" max="9224" width="8" style="2" bestFit="1" customWidth="1"/>
    <col min="9225" max="9228" width="9" style="2"/>
    <col min="9229" max="9229" width="9.625" style="2" bestFit="1" customWidth="1"/>
    <col min="9230" max="9474" width="9" style="2"/>
    <col min="9475" max="9475" width="2.375" style="2" customWidth="1"/>
    <col min="9476" max="9476" width="13.25" style="2" bestFit="1" customWidth="1"/>
    <col min="9477" max="9478" width="9" style="2"/>
    <col min="9479" max="9480" width="8" style="2" bestFit="1" customWidth="1"/>
    <col min="9481" max="9484" width="9" style="2"/>
    <col min="9485" max="9485" width="9.625" style="2" bestFit="1" customWidth="1"/>
    <col min="9486" max="9730" width="9" style="2"/>
    <col min="9731" max="9731" width="2.375" style="2" customWidth="1"/>
    <col min="9732" max="9732" width="13.25" style="2" bestFit="1" customWidth="1"/>
    <col min="9733" max="9734" width="9" style="2"/>
    <col min="9735" max="9736" width="8" style="2" bestFit="1" customWidth="1"/>
    <col min="9737" max="9740" width="9" style="2"/>
    <col min="9741" max="9741" width="9.625" style="2" bestFit="1" customWidth="1"/>
    <col min="9742" max="9986" width="9" style="2"/>
    <col min="9987" max="9987" width="2.375" style="2" customWidth="1"/>
    <col min="9988" max="9988" width="13.25" style="2" bestFit="1" customWidth="1"/>
    <col min="9989" max="9990" width="9" style="2"/>
    <col min="9991" max="9992" width="8" style="2" bestFit="1" customWidth="1"/>
    <col min="9993" max="9996" width="9" style="2"/>
    <col min="9997" max="9997" width="9.625" style="2" bestFit="1" customWidth="1"/>
    <col min="9998" max="10242" width="9" style="2"/>
    <col min="10243" max="10243" width="2.375" style="2" customWidth="1"/>
    <col min="10244" max="10244" width="13.25" style="2" bestFit="1" customWidth="1"/>
    <col min="10245" max="10246" width="9" style="2"/>
    <col min="10247" max="10248" width="8" style="2" bestFit="1" customWidth="1"/>
    <col min="10249" max="10252" width="9" style="2"/>
    <col min="10253" max="10253" width="9.625" style="2" bestFit="1" customWidth="1"/>
    <col min="10254" max="10498" width="9" style="2"/>
    <col min="10499" max="10499" width="2.375" style="2" customWidth="1"/>
    <col min="10500" max="10500" width="13.25" style="2" bestFit="1" customWidth="1"/>
    <col min="10501" max="10502" width="9" style="2"/>
    <col min="10503" max="10504" width="8" style="2" bestFit="1" customWidth="1"/>
    <col min="10505" max="10508" width="9" style="2"/>
    <col min="10509" max="10509" width="9.625" style="2" bestFit="1" customWidth="1"/>
    <col min="10510" max="10754" width="9" style="2"/>
    <col min="10755" max="10755" width="2.375" style="2" customWidth="1"/>
    <col min="10756" max="10756" width="13.25" style="2" bestFit="1" customWidth="1"/>
    <col min="10757" max="10758" width="9" style="2"/>
    <col min="10759" max="10760" width="8" style="2" bestFit="1" customWidth="1"/>
    <col min="10761" max="10764" width="9" style="2"/>
    <col min="10765" max="10765" width="9.625" style="2" bestFit="1" customWidth="1"/>
    <col min="10766" max="11010" width="9" style="2"/>
    <col min="11011" max="11011" width="2.375" style="2" customWidth="1"/>
    <col min="11012" max="11012" width="13.25" style="2" bestFit="1" customWidth="1"/>
    <col min="11013" max="11014" width="9" style="2"/>
    <col min="11015" max="11016" width="8" style="2" bestFit="1" customWidth="1"/>
    <col min="11017" max="11020" width="9" style="2"/>
    <col min="11021" max="11021" width="9.625" style="2" bestFit="1" customWidth="1"/>
    <col min="11022" max="11266" width="9" style="2"/>
    <col min="11267" max="11267" width="2.375" style="2" customWidth="1"/>
    <col min="11268" max="11268" width="13.25" style="2" bestFit="1" customWidth="1"/>
    <col min="11269" max="11270" width="9" style="2"/>
    <col min="11271" max="11272" width="8" style="2" bestFit="1" customWidth="1"/>
    <col min="11273" max="11276" width="9" style="2"/>
    <col min="11277" max="11277" width="9.625" style="2" bestFit="1" customWidth="1"/>
    <col min="11278" max="11522" width="9" style="2"/>
    <col min="11523" max="11523" width="2.375" style="2" customWidth="1"/>
    <col min="11524" max="11524" width="13.25" style="2" bestFit="1" customWidth="1"/>
    <col min="11525" max="11526" width="9" style="2"/>
    <col min="11527" max="11528" width="8" style="2" bestFit="1" customWidth="1"/>
    <col min="11529" max="11532" width="9" style="2"/>
    <col min="11533" max="11533" width="9.625" style="2" bestFit="1" customWidth="1"/>
    <col min="11534" max="11778" width="9" style="2"/>
    <col min="11779" max="11779" width="2.375" style="2" customWidth="1"/>
    <col min="11780" max="11780" width="13.25" style="2" bestFit="1" customWidth="1"/>
    <col min="11781" max="11782" width="9" style="2"/>
    <col min="11783" max="11784" width="8" style="2" bestFit="1" customWidth="1"/>
    <col min="11785" max="11788" width="9" style="2"/>
    <col min="11789" max="11789" width="9.625" style="2" bestFit="1" customWidth="1"/>
    <col min="11790" max="12034" width="9" style="2"/>
    <col min="12035" max="12035" width="2.375" style="2" customWidth="1"/>
    <col min="12036" max="12036" width="13.25" style="2" bestFit="1" customWidth="1"/>
    <col min="12037" max="12038" width="9" style="2"/>
    <col min="12039" max="12040" width="8" style="2" bestFit="1" customWidth="1"/>
    <col min="12041" max="12044" width="9" style="2"/>
    <col min="12045" max="12045" width="9.625" style="2" bestFit="1" customWidth="1"/>
    <col min="12046" max="12290" width="9" style="2"/>
    <col min="12291" max="12291" width="2.375" style="2" customWidth="1"/>
    <col min="12292" max="12292" width="13.25" style="2" bestFit="1" customWidth="1"/>
    <col min="12293" max="12294" width="9" style="2"/>
    <col min="12295" max="12296" width="8" style="2" bestFit="1" customWidth="1"/>
    <col min="12297" max="12300" width="9" style="2"/>
    <col min="12301" max="12301" width="9.625" style="2" bestFit="1" customWidth="1"/>
    <col min="12302" max="12546" width="9" style="2"/>
    <col min="12547" max="12547" width="2.375" style="2" customWidth="1"/>
    <col min="12548" max="12548" width="13.25" style="2" bestFit="1" customWidth="1"/>
    <col min="12549" max="12550" width="9" style="2"/>
    <col min="12551" max="12552" width="8" style="2" bestFit="1" customWidth="1"/>
    <col min="12553" max="12556" width="9" style="2"/>
    <col min="12557" max="12557" width="9.625" style="2" bestFit="1" customWidth="1"/>
    <col min="12558" max="12802" width="9" style="2"/>
    <col min="12803" max="12803" width="2.375" style="2" customWidth="1"/>
    <col min="12804" max="12804" width="13.25" style="2" bestFit="1" customWidth="1"/>
    <col min="12805" max="12806" width="9" style="2"/>
    <col min="12807" max="12808" width="8" style="2" bestFit="1" customWidth="1"/>
    <col min="12809" max="12812" width="9" style="2"/>
    <col min="12813" max="12813" width="9.625" style="2" bestFit="1" customWidth="1"/>
    <col min="12814" max="13058" width="9" style="2"/>
    <col min="13059" max="13059" width="2.375" style="2" customWidth="1"/>
    <col min="13060" max="13060" width="13.25" style="2" bestFit="1" customWidth="1"/>
    <col min="13061" max="13062" width="9" style="2"/>
    <col min="13063" max="13064" width="8" style="2" bestFit="1" customWidth="1"/>
    <col min="13065" max="13068" width="9" style="2"/>
    <col min="13069" max="13069" width="9.625" style="2" bestFit="1" customWidth="1"/>
    <col min="13070" max="13314" width="9" style="2"/>
    <col min="13315" max="13315" width="2.375" style="2" customWidth="1"/>
    <col min="13316" max="13316" width="13.25" style="2" bestFit="1" customWidth="1"/>
    <col min="13317" max="13318" width="9" style="2"/>
    <col min="13319" max="13320" width="8" style="2" bestFit="1" customWidth="1"/>
    <col min="13321" max="13324" width="9" style="2"/>
    <col min="13325" max="13325" width="9.625" style="2" bestFit="1" customWidth="1"/>
    <col min="13326" max="13570" width="9" style="2"/>
    <col min="13571" max="13571" width="2.375" style="2" customWidth="1"/>
    <col min="13572" max="13572" width="13.25" style="2" bestFit="1" customWidth="1"/>
    <col min="13573" max="13574" width="9" style="2"/>
    <col min="13575" max="13576" width="8" style="2" bestFit="1" customWidth="1"/>
    <col min="13577" max="13580" width="9" style="2"/>
    <col min="13581" max="13581" width="9.625" style="2" bestFit="1" customWidth="1"/>
    <col min="13582" max="13826" width="9" style="2"/>
    <col min="13827" max="13827" width="2.375" style="2" customWidth="1"/>
    <col min="13828" max="13828" width="13.25" style="2" bestFit="1" customWidth="1"/>
    <col min="13829" max="13830" width="9" style="2"/>
    <col min="13831" max="13832" width="8" style="2" bestFit="1" customWidth="1"/>
    <col min="13833" max="13836" width="9" style="2"/>
    <col min="13837" max="13837" width="9.625" style="2" bestFit="1" customWidth="1"/>
    <col min="13838" max="14082" width="9" style="2"/>
    <col min="14083" max="14083" width="2.375" style="2" customWidth="1"/>
    <col min="14084" max="14084" width="13.25" style="2" bestFit="1" customWidth="1"/>
    <col min="14085" max="14086" width="9" style="2"/>
    <col min="14087" max="14088" width="8" style="2" bestFit="1" customWidth="1"/>
    <col min="14089" max="14092" width="9" style="2"/>
    <col min="14093" max="14093" width="9.625" style="2" bestFit="1" customWidth="1"/>
    <col min="14094" max="14338" width="9" style="2"/>
    <col min="14339" max="14339" width="2.375" style="2" customWidth="1"/>
    <col min="14340" max="14340" width="13.25" style="2" bestFit="1" customWidth="1"/>
    <col min="14341" max="14342" width="9" style="2"/>
    <col min="14343" max="14344" width="8" style="2" bestFit="1" customWidth="1"/>
    <col min="14345" max="14348" width="9" style="2"/>
    <col min="14349" max="14349" width="9.625" style="2" bestFit="1" customWidth="1"/>
    <col min="14350" max="14594" width="9" style="2"/>
    <col min="14595" max="14595" width="2.375" style="2" customWidth="1"/>
    <col min="14596" max="14596" width="13.25" style="2" bestFit="1" customWidth="1"/>
    <col min="14597" max="14598" width="9" style="2"/>
    <col min="14599" max="14600" width="8" style="2" bestFit="1" customWidth="1"/>
    <col min="14601" max="14604" width="9" style="2"/>
    <col min="14605" max="14605" width="9.625" style="2" bestFit="1" customWidth="1"/>
    <col min="14606" max="14850" width="9" style="2"/>
    <col min="14851" max="14851" width="2.375" style="2" customWidth="1"/>
    <col min="14852" max="14852" width="13.25" style="2" bestFit="1" customWidth="1"/>
    <col min="14853" max="14854" width="9" style="2"/>
    <col min="14855" max="14856" width="8" style="2" bestFit="1" customWidth="1"/>
    <col min="14857" max="14860" width="9" style="2"/>
    <col min="14861" max="14861" width="9.625" style="2" bestFit="1" customWidth="1"/>
    <col min="14862" max="15106" width="9" style="2"/>
    <col min="15107" max="15107" width="2.375" style="2" customWidth="1"/>
    <col min="15108" max="15108" width="13.25" style="2" bestFit="1" customWidth="1"/>
    <col min="15109" max="15110" width="9" style="2"/>
    <col min="15111" max="15112" width="8" style="2" bestFit="1" customWidth="1"/>
    <col min="15113" max="15116" width="9" style="2"/>
    <col min="15117" max="15117" width="9.625" style="2" bestFit="1" customWidth="1"/>
    <col min="15118" max="15362" width="9" style="2"/>
    <col min="15363" max="15363" width="2.375" style="2" customWidth="1"/>
    <col min="15364" max="15364" width="13.25" style="2" bestFit="1" customWidth="1"/>
    <col min="15365" max="15366" width="9" style="2"/>
    <col min="15367" max="15368" width="8" style="2" bestFit="1" customWidth="1"/>
    <col min="15369" max="15372" width="9" style="2"/>
    <col min="15373" max="15373" width="9.625" style="2" bestFit="1" customWidth="1"/>
    <col min="15374" max="15618" width="9" style="2"/>
    <col min="15619" max="15619" width="2.375" style="2" customWidth="1"/>
    <col min="15620" max="15620" width="13.25" style="2" bestFit="1" customWidth="1"/>
    <col min="15621" max="15622" width="9" style="2"/>
    <col min="15623" max="15624" width="8" style="2" bestFit="1" customWidth="1"/>
    <col min="15625" max="15628" width="9" style="2"/>
    <col min="15629" max="15629" width="9.625" style="2" bestFit="1" customWidth="1"/>
    <col min="15630" max="15874" width="9" style="2"/>
    <col min="15875" max="15875" width="2.375" style="2" customWidth="1"/>
    <col min="15876" max="15876" width="13.25" style="2" bestFit="1" customWidth="1"/>
    <col min="15877" max="15878" width="9" style="2"/>
    <col min="15879" max="15880" width="8" style="2" bestFit="1" customWidth="1"/>
    <col min="15881" max="15884" width="9" style="2"/>
    <col min="15885" max="15885" width="9.625" style="2" bestFit="1" customWidth="1"/>
    <col min="15886" max="16130" width="9" style="2"/>
    <col min="16131" max="16131" width="2.375" style="2" customWidth="1"/>
    <col min="16132" max="16132" width="13.25" style="2" bestFit="1" customWidth="1"/>
    <col min="16133" max="16134" width="9" style="2"/>
    <col min="16135" max="16136" width="8" style="2" bestFit="1" customWidth="1"/>
    <col min="16137" max="16140" width="9" style="2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4" spans="1:13" ht="19.5" thickBot="1">
      <c r="A4" s="1" t="s">
        <v>72</v>
      </c>
    </row>
    <row r="5" spans="1:13">
      <c r="B5" s="3"/>
      <c r="C5" s="7" t="s">
        <v>6</v>
      </c>
      <c r="D5" s="8" t="s">
        <v>11</v>
      </c>
      <c r="E5" s="67" t="s">
        <v>73</v>
      </c>
      <c r="F5" s="6" t="s">
        <v>4</v>
      </c>
      <c r="G5" s="7" t="s">
        <v>5</v>
      </c>
      <c r="H5" s="7" t="s">
        <v>7</v>
      </c>
      <c r="I5" s="7" t="s">
        <v>8</v>
      </c>
      <c r="J5" s="7" t="s">
        <v>9</v>
      </c>
      <c r="K5" s="43" t="s">
        <v>10</v>
      </c>
      <c r="L5" s="69" t="s">
        <v>73</v>
      </c>
      <c r="M5" s="71"/>
    </row>
    <row r="6" spans="1:13" ht="19.5" thickBot="1">
      <c r="A6" s="73"/>
      <c r="B6" s="25" t="s">
        <v>12</v>
      </c>
      <c r="C6" s="27" t="s">
        <v>15</v>
      </c>
      <c r="D6" s="28" t="s">
        <v>20</v>
      </c>
      <c r="E6" s="68" t="s">
        <v>74</v>
      </c>
      <c r="F6" s="26" t="s">
        <v>13</v>
      </c>
      <c r="G6" s="27" t="s">
        <v>14</v>
      </c>
      <c r="H6" s="27" t="s">
        <v>16</v>
      </c>
      <c r="I6" s="27" t="s">
        <v>17</v>
      </c>
      <c r="J6" s="27" t="s">
        <v>18</v>
      </c>
      <c r="K6" s="44" t="s">
        <v>19</v>
      </c>
      <c r="L6" s="70" t="s">
        <v>75</v>
      </c>
      <c r="M6" s="72" t="s">
        <v>21</v>
      </c>
    </row>
    <row r="7" spans="1:13">
      <c r="A7" s="1" t="s">
        <v>3</v>
      </c>
      <c r="B7" s="21" t="s">
        <v>22</v>
      </c>
      <c r="C7" s="23">
        <v>22</v>
      </c>
      <c r="D7" s="24">
        <v>13</v>
      </c>
      <c r="E7" s="63">
        <f>SUM(C7:D7)</f>
        <v>35</v>
      </c>
      <c r="F7" s="22">
        <v>21</v>
      </c>
      <c r="G7" s="23">
        <v>20</v>
      </c>
      <c r="H7" s="23">
        <v>22</v>
      </c>
      <c r="I7" s="23">
        <v>20</v>
      </c>
      <c r="J7" s="23">
        <v>23</v>
      </c>
      <c r="K7" s="45">
        <v>23</v>
      </c>
      <c r="L7" s="54">
        <f>SUM(F7:K7)</f>
        <v>129</v>
      </c>
      <c r="M7" s="54">
        <f>E7+L7</f>
        <v>164</v>
      </c>
    </row>
    <row r="8" spans="1:13">
      <c r="A8" s="1" t="s">
        <v>3</v>
      </c>
      <c r="B8" s="4" t="s">
        <v>23</v>
      </c>
      <c r="C8" s="10">
        <v>0</v>
      </c>
      <c r="D8" s="11">
        <v>0</v>
      </c>
      <c r="E8" s="64"/>
      <c r="F8" s="9">
        <v>1</v>
      </c>
      <c r="G8" s="10">
        <v>1</v>
      </c>
      <c r="H8" s="10">
        <v>0</v>
      </c>
      <c r="I8" s="10">
        <v>1</v>
      </c>
      <c r="J8" s="10">
        <v>3</v>
      </c>
      <c r="K8" s="46">
        <v>3</v>
      </c>
      <c r="L8" s="55">
        <f>SUM(F8:K8)</f>
        <v>9</v>
      </c>
      <c r="M8" s="54">
        <f t="shared" ref="M8:M54" si="0">E8+L8</f>
        <v>9</v>
      </c>
    </row>
    <row r="9" spans="1:13">
      <c r="A9" s="1" t="s">
        <v>3</v>
      </c>
      <c r="B9" s="4" t="s">
        <v>24</v>
      </c>
      <c r="C9" s="10">
        <v>0</v>
      </c>
      <c r="D9" s="11">
        <v>0</v>
      </c>
      <c r="E9" s="64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46">
        <v>0</v>
      </c>
      <c r="L9" s="55"/>
      <c r="M9" s="54">
        <f t="shared" si="0"/>
        <v>0</v>
      </c>
    </row>
    <row r="10" spans="1:13">
      <c r="A10" s="1" t="s">
        <v>3</v>
      </c>
      <c r="B10" s="4" t="s">
        <v>25</v>
      </c>
      <c r="C10" s="10">
        <v>0</v>
      </c>
      <c r="D10" s="11">
        <v>0</v>
      </c>
      <c r="E10" s="6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46">
        <v>0</v>
      </c>
      <c r="L10" s="55"/>
      <c r="M10" s="54">
        <f t="shared" si="0"/>
        <v>0</v>
      </c>
    </row>
    <row r="11" spans="1:13">
      <c r="A11" s="1" t="s">
        <v>3</v>
      </c>
      <c r="B11" s="4" t="s">
        <v>26</v>
      </c>
      <c r="C11" s="10">
        <v>0</v>
      </c>
      <c r="D11" s="11">
        <v>0</v>
      </c>
      <c r="E11" s="6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46">
        <v>0</v>
      </c>
      <c r="L11" s="55"/>
      <c r="M11" s="54">
        <f t="shared" si="0"/>
        <v>0</v>
      </c>
    </row>
    <row r="12" spans="1:13">
      <c r="A12" s="1" t="s">
        <v>3</v>
      </c>
      <c r="B12" s="4" t="s">
        <v>27</v>
      </c>
      <c r="C12" s="10">
        <v>0</v>
      </c>
      <c r="D12" s="11">
        <v>0</v>
      </c>
      <c r="E12" s="6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46">
        <v>0</v>
      </c>
      <c r="L12" s="55"/>
      <c r="M12" s="54">
        <f t="shared" si="0"/>
        <v>0</v>
      </c>
    </row>
    <row r="13" spans="1:13">
      <c r="A13" s="1" t="s">
        <v>3</v>
      </c>
      <c r="B13" s="74" t="s">
        <v>28</v>
      </c>
      <c r="C13" s="80">
        <v>0</v>
      </c>
      <c r="D13" s="81">
        <v>0</v>
      </c>
      <c r="E13" s="82"/>
      <c r="F13" s="83">
        <v>2</v>
      </c>
      <c r="G13" s="80">
        <v>3</v>
      </c>
      <c r="H13" s="80">
        <v>1</v>
      </c>
      <c r="I13" s="80">
        <v>3</v>
      </c>
      <c r="J13" s="80">
        <v>0</v>
      </c>
      <c r="K13" s="84">
        <v>0</v>
      </c>
      <c r="L13" s="85">
        <f>SUM(F13:K13)</f>
        <v>9</v>
      </c>
      <c r="M13" s="86">
        <f t="shared" si="0"/>
        <v>9</v>
      </c>
    </row>
    <row r="14" spans="1:13">
      <c r="A14" s="1" t="s">
        <v>3</v>
      </c>
      <c r="B14" s="4" t="s">
        <v>30</v>
      </c>
      <c r="C14" s="13">
        <v>0</v>
      </c>
      <c r="D14" s="14">
        <v>3.5416666666666665</v>
      </c>
      <c r="E14" s="65">
        <f>SUM(C14:D14)</f>
        <v>3.5416666666666665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47">
        <v>0</v>
      </c>
      <c r="L14" s="56"/>
      <c r="M14" s="56">
        <f t="shared" si="0"/>
        <v>3.5416666666666665</v>
      </c>
    </row>
    <row r="15" spans="1:13">
      <c r="A15" s="1" t="s">
        <v>3</v>
      </c>
      <c r="B15" s="4" t="s">
        <v>31</v>
      </c>
      <c r="C15" s="13">
        <v>0</v>
      </c>
      <c r="D15" s="14">
        <v>0</v>
      </c>
      <c r="E15" s="65"/>
      <c r="F15" s="12">
        <v>0</v>
      </c>
      <c r="G15" s="13">
        <v>0</v>
      </c>
      <c r="H15" s="13">
        <v>0</v>
      </c>
      <c r="I15" s="13">
        <v>0</v>
      </c>
      <c r="J15" s="13">
        <v>0</v>
      </c>
      <c r="K15" s="47">
        <v>0</v>
      </c>
      <c r="L15" s="56"/>
      <c r="M15" s="54">
        <f t="shared" si="0"/>
        <v>0</v>
      </c>
    </row>
    <row r="16" spans="1:13">
      <c r="A16" s="1" t="s">
        <v>3</v>
      </c>
      <c r="B16" s="4" t="s">
        <v>32</v>
      </c>
      <c r="C16" s="13">
        <v>0</v>
      </c>
      <c r="D16" s="14">
        <v>0</v>
      </c>
      <c r="E16" s="65"/>
      <c r="F16" s="12">
        <v>1.5</v>
      </c>
      <c r="G16" s="13">
        <v>1.4583333333333333</v>
      </c>
      <c r="H16" s="13">
        <v>0.45833333333333331</v>
      </c>
      <c r="I16" s="13">
        <v>1.5</v>
      </c>
      <c r="J16" s="13">
        <v>1.3333333333333333</v>
      </c>
      <c r="K16" s="47">
        <v>1.2916666666666667</v>
      </c>
      <c r="L16" s="56">
        <f>SUM(F16:K16)</f>
        <v>7.5416666666666661</v>
      </c>
      <c r="M16" s="56">
        <f t="shared" si="0"/>
        <v>7.5416666666666661</v>
      </c>
    </row>
    <row r="17" spans="1:13">
      <c r="A17" s="1" t="s">
        <v>3</v>
      </c>
      <c r="B17" s="4" t="s">
        <v>33</v>
      </c>
      <c r="C17" s="13">
        <v>0</v>
      </c>
      <c r="D17" s="14">
        <v>0</v>
      </c>
      <c r="E17" s="65"/>
      <c r="F17" s="12">
        <v>0.16666666666666666</v>
      </c>
      <c r="G17" s="13">
        <v>0.16666666666666666</v>
      </c>
      <c r="H17" s="13">
        <v>0</v>
      </c>
      <c r="I17" s="13">
        <v>0.16666666666666666</v>
      </c>
      <c r="J17" s="13">
        <v>1.0833333333333333</v>
      </c>
      <c r="K17" s="47">
        <v>0.70833333333333337</v>
      </c>
      <c r="L17" s="56">
        <f>SUM(F17:K17)</f>
        <v>2.2916666666666665</v>
      </c>
      <c r="M17" s="56">
        <f t="shared" si="0"/>
        <v>2.2916666666666665</v>
      </c>
    </row>
    <row r="18" spans="1:13">
      <c r="A18" s="1" t="s">
        <v>3</v>
      </c>
      <c r="B18" s="4" t="s">
        <v>34</v>
      </c>
      <c r="C18" s="13">
        <v>0</v>
      </c>
      <c r="D18" s="14">
        <v>0</v>
      </c>
      <c r="E18" s="6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47">
        <v>0</v>
      </c>
      <c r="L18" s="56"/>
      <c r="M18" s="54">
        <f t="shared" si="0"/>
        <v>0</v>
      </c>
    </row>
    <row r="19" spans="1:13">
      <c r="A19" s="1" t="s">
        <v>3</v>
      </c>
      <c r="B19" s="4" t="s">
        <v>35</v>
      </c>
      <c r="C19" s="13">
        <v>0</v>
      </c>
      <c r="D19" s="14">
        <v>0</v>
      </c>
      <c r="E19" s="6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47">
        <v>0</v>
      </c>
      <c r="L19" s="56"/>
      <c r="M19" s="54">
        <f t="shared" si="0"/>
        <v>0</v>
      </c>
    </row>
    <row r="20" spans="1:13">
      <c r="A20" s="1" t="s">
        <v>3</v>
      </c>
      <c r="B20" s="4" t="s">
        <v>36</v>
      </c>
      <c r="C20" s="13">
        <v>0</v>
      </c>
      <c r="D20" s="14">
        <v>0</v>
      </c>
      <c r="E20" s="6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47">
        <v>0</v>
      </c>
      <c r="L20" s="56"/>
      <c r="M20" s="54">
        <f t="shared" si="0"/>
        <v>0</v>
      </c>
    </row>
    <row r="21" spans="1:13">
      <c r="A21" s="1" t="s">
        <v>3</v>
      </c>
      <c r="B21" s="4" t="s">
        <v>37</v>
      </c>
      <c r="C21" s="13">
        <v>0</v>
      </c>
      <c r="D21" s="14">
        <v>0</v>
      </c>
      <c r="E21" s="6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47">
        <v>0</v>
      </c>
      <c r="L21" s="56"/>
      <c r="M21" s="54">
        <f t="shared" si="0"/>
        <v>0</v>
      </c>
    </row>
    <row r="22" spans="1:13">
      <c r="A22" s="1" t="s">
        <v>3</v>
      </c>
      <c r="B22" s="4" t="s">
        <v>38</v>
      </c>
      <c r="C22" s="13">
        <v>0</v>
      </c>
      <c r="D22" s="14">
        <v>0</v>
      </c>
      <c r="E22" s="65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47">
        <v>0</v>
      </c>
      <c r="L22" s="56"/>
      <c r="M22" s="54">
        <f t="shared" si="0"/>
        <v>0</v>
      </c>
    </row>
    <row r="23" spans="1:13">
      <c r="A23" s="1" t="s">
        <v>3</v>
      </c>
      <c r="B23" s="4" t="s">
        <v>39</v>
      </c>
      <c r="C23" s="13">
        <v>0</v>
      </c>
      <c r="D23" s="14">
        <v>0</v>
      </c>
      <c r="E23" s="65"/>
      <c r="F23" s="12">
        <v>0</v>
      </c>
      <c r="G23" s="13">
        <v>0</v>
      </c>
      <c r="H23" s="13">
        <v>0</v>
      </c>
      <c r="I23" s="13">
        <v>0</v>
      </c>
      <c r="J23" s="13">
        <v>0</v>
      </c>
      <c r="K23" s="47">
        <v>0</v>
      </c>
      <c r="L23" s="56"/>
      <c r="M23" s="54">
        <f t="shared" si="0"/>
        <v>0</v>
      </c>
    </row>
    <row r="24" spans="1:13">
      <c r="A24" s="1" t="s">
        <v>3</v>
      </c>
      <c r="B24" s="4" t="s">
        <v>40</v>
      </c>
      <c r="C24" s="13">
        <v>0</v>
      </c>
      <c r="D24" s="14">
        <v>0</v>
      </c>
      <c r="E24" s="65"/>
      <c r="F24" s="12">
        <v>0</v>
      </c>
      <c r="G24" s="13">
        <v>0</v>
      </c>
      <c r="H24" s="13">
        <v>0</v>
      </c>
      <c r="I24" s="13">
        <v>0</v>
      </c>
      <c r="J24" s="13">
        <v>0</v>
      </c>
      <c r="K24" s="47">
        <v>0</v>
      </c>
      <c r="L24" s="56"/>
      <c r="M24" s="54">
        <f t="shared" si="0"/>
        <v>0</v>
      </c>
    </row>
    <row r="25" spans="1:13">
      <c r="A25" s="1" t="s">
        <v>3</v>
      </c>
      <c r="B25" s="4" t="s">
        <v>41</v>
      </c>
      <c r="C25" s="13">
        <v>0</v>
      </c>
      <c r="D25" s="14">
        <v>0</v>
      </c>
      <c r="E25" s="65"/>
      <c r="F25" s="12">
        <v>0.58333333333333337</v>
      </c>
      <c r="G25" s="13">
        <v>0.5</v>
      </c>
      <c r="H25" s="13">
        <v>0.20833333333333334</v>
      </c>
      <c r="I25" s="13">
        <v>0.75</v>
      </c>
      <c r="J25" s="13">
        <v>0.20833333333333334</v>
      </c>
      <c r="K25" s="47">
        <v>0.20833333333333334</v>
      </c>
      <c r="L25" s="56">
        <f>SUM(F25:K25)</f>
        <v>2.4583333333333339</v>
      </c>
      <c r="M25" s="56">
        <f t="shared" si="0"/>
        <v>2.4583333333333339</v>
      </c>
    </row>
    <row r="26" spans="1:13" ht="19.5" thickBot="1">
      <c r="A26" s="1" t="s">
        <v>3</v>
      </c>
      <c r="B26" s="5" t="s">
        <v>42</v>
      </c>
      <c r="C26" s="33">
        <v>40</v>
      </c>
      <c r="D26" s="34">
        <v>20</v>
      </c>
      <c r="E26" s="66">
        <f>SUM(C26:D26)</f>
        <v>60</v>
      </c>
      <c r="F26" s="32">
        <v>40</v>
      </c>
      <c r="G26" s="33">
        <v>40</v>
      </c>
      <c r="H26" s="33">
        <v>37</v>
      </c>
      <c r="I26" s="33">
        <v>30</v>
      </c>
      <c r="J26" s="33">
        <v>30</v>
      </c>
      <c r="K26" s="48">
        <v>30</v>
      </c>
      <c r="L26" s="57">
        <f>SUM(F26:K26)</f>
        <v>207</v>
      </c>
      <c r="M26" s="57">
        <f t="shared" si="0"/>
        <v>267</v>
      </c>
    </row>
    <row r="27" spans="1:13">
      <c r="A27" s="1" t="s">
        <v>3</v>
      </c>
      <c r="B27" s="21" t="s">
        <v>43</v>
      </c>
      <c r="C27" s="30">
        <v>355000</v>
      </c>
      <c r="D27" s="31">
        <v>0</v>
      </c>
      <c r="E27" s="31">
        <f>SUM(C27:D27)</f>
        <v>355000</v>
      </c>
      <c r="F27" s="29">
        <v>177000</v>
      </c>
      <c r="G27" s="30">
        <v>192000</v>
      </c>
      <c r="H27" s="30">
        <v>177000</v>
      </c>
      <c r="I27" s="30">
        <v>175000</v>
      </c>
      <c r="J27" s="30">
        <v>177000</v>
      </c>
      <c r="K27" s="49">
        <v>165000</v>
      </c>
      <c r="L27" s="58">
        <f>SUM(F27:K27)</f>
        <v>1063000</v>
      </c>
      <c r="M27" s="58">
        <f t="shared" si="0"/>
        <v>1418000</v>
      </c>
    </row>
    <row r="28" spans="1:13">
      <c r="A28" s="1" t="s">
        <v>3</v>
      </c>
      <c r="B28" s="4" t="s">
        <v>44</v>
      </c>
      <c r="C28" s="16">
        <v>0</v>
      </c>
      <c r="D28" s="17">
        <v>0</v>
      </c>
      <c r="E28" s="17"/>
      <c r="F28" s="15">
        <v>0</v>
      </c>
      <c r="G28" s="16">
        <v>5000</v>
      </c>
      <c r="H28" s="16">
        <v>0</v>
      </c>
      <c r="I28" s="16">
        <v>0</v>
      </c>
      <c r="J28" s="16">
        <v>0</v>
      </c>
      <c r="K28" s="50">
        <v>0</v>
      </c>
      <c r="L28" s="59">
        <f t="shared" ref="L28:L54" si="1">SUM(F28:K28)</f>
        <v>5000</v>
      </c>
      <c r="M28" s="59">
        <f t="shared" si="0"/>
        <v>5000</v>
      </c>
    </row>
    <row r="29" spans="1:13">
      <c r="A29" s="1" t="s">
        <v>3</v>
      </c>
      <c r="B29" s="4" t="s">
        <v>45</v>
      </c>
      <c r="C29" s="16">
        <v>0</v>
      </c>
      <c r="D29" s="17">
        <v>0</v>
      </c>
      <c r="E29" s="17"/>
      <c r="F29" s="15">
        <v>6000</v>
      </c>
      <c r="G29" s="16">
        <v>0</v>
      </c>
      <c r="H29" s="16">
        <v>3000</v>
      </c>
      <c r="I29" s="16">
        <v>0</v>
      </c>
      <c r="J29" s="16">
        <v>0</v>
      </c>
      <c r="K29" s="50">
        <v>0</v>
      </c>
      <c r="L29" s="59">
        <f t="shared" si="1"/>
        <v>9000</v>
      </c>
      <c r="M29" s="59">
        <f t="shared" si="0"/>
        <v>9000</v>
      </c>
    </row>
    <row r="30" spans="1:13">
      <c r="A30" s="1" t="s">
        <v>3</v>
      </c>
      <c r="B30" s="4" t="s">
        <v>46</v>
      </c>
      <c r="C30" s="16">
        <v>50000</v>
      </c>
      <c r="D30" s="17">
        <v>0</v>
      </c>
      <c r="E30" s="17">
        <f>SUM(C30:D30)</f>
        <v>50000</v>
      </c>
      <c r="F30" s="15">
        <v>50000</v>
      </c>
      <c r="G30" s="16">
        <v>50000</v>
      </c>
      <c r="H30" s="16">
        <v>50000</v>
      </c>
      <c r="I30" s="16">
        <v>50000</v>
      </c>
      <c r="J30" s="16">
        <v>50000</v>
      </c>
      <c r="K30" s="50">
        <v>50000</v>
      </c>
      <c r="L30" s="59">
        <f t="shared" si="1"/>
        <v>300000</v>
      </c>
      <c r="M30" s="59">
        <f t="shared" si="0"/>
        <v>350000</v>
      </c>
    </row>
    <row r="31" spans="1:13">
      <c r="A31" s="1" t="s">
        <v>3</v>
      </c>
      <c r="B31" s="4" t="s">
        <v>47</v>
      </c>
      <c r="C31" s="16">
        <v>0</v>
      </c>
      <c r="D31" s="17">
        <v>93925</v>
      </c>
      <c r="E31" s="17">
        <f>SUM(C31:D31)</f>
        <v>93925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0">
        <v>0</v>
      </c>
      <c r="L31" s="59">
        <f t="shared" si="1"/>
        <v>0</v>
      </c>
      <c r="M31" s="59">
        <f t="shared" si="0"/>
        <v>93925</v>
      </c>
    </row>
    <row r="32" spans="1:13">
      <c r="A32" s="1" t="s">
        <v>3</v>
      </c>
      <c r="B32" s="4" t="s">
        <v>48</v>
      </c>
      <c r="C32" s="16">
        <v>0</v>
      </c>
      <c r="D32" s="17">
        <v>0</v>
      </c>
      <c r="E32" s="17"/>
      <c r="F32" s="15">
        <v>30500</v>
      </c>
      <c r="G32" s="16">
        <v>10500</v>
      </c>
      <c r="H32" s="16">
        <v>13500</v>
      </c>
      <c r="I32" s="16">
        <v>15000</v>
      </c>
      <c r="J32" s="16">
        <v>13000</v>
      </c>
      <c r="K32" s="50">
        <v>15000</v>
      </c>
      <c r="L32" s="59">
        <f t="shared" si="1"/>
        <v>97500</v>
      </c>
      <c r="M32" s="59">
        <f t="shared" si="0"/>
        <v>97500</v>
      </c>
    </row>
    <row r="33" spans="1:13">
      <c r="A33" s="1" t="s">
        <v>3</v>
      </c>
      <c r="B33" s="4" t="s">
        <v>49</v>
      </c>
      <c r="C33" s="16">
        <v>0</v>
      </c>
      <c r="D33" s="17">
        <v>0</v>
      </c>
      <c r="E33" s="17"/>
      <c r="F33" s="15">
        <v>-25214</v>
      </c>
      <c r="G33" s="16">
        <v>-36960</v>
      </c>
      <c r="H33" s="16">
        <v>-11650</v>
      </c>
      <c r="I33" s="16">
        <v>-34449</v>
      </c>
      <c r="J33" s="16">
        <v>0</v>
      </c>
      <c r="K33" s="50">
        <v>0</v>
      </c>
      <c r="L33" s="59">
        <f t="shared" si="1"/>
        <v>-108273</v>
      </c>
      <c r="M33" s="59">
        <f t="shared" si="0"/>
        <v>-108273</v>
      </c>
    </row>
    <row r="34" spans="1:13">
      <c r="A34" s="1" t="s">
        <v>3</v>
      </c>
      <c r="B34" s="4" t="s">
        <v>32</v>
      </c>
      <c r="C34" s="16">
        <v>0</v>
      </c>
      <c r="D34" s="17">
        <v>0</v>
      </c>
      <c r="E34" s="17"/>
      <c r="F34" s="15">
        <v>71028</v>
      </c>
      <c r="G34" s="16">
        <v>67480</v>
      </c>
      <c r="H34" s="16">
        <v>20053</v>
      </c>
      <c r="I34" s="16">
        <v>64656</v>
      </c>
      <c r="J34" s="16">
        <v>57472</v>
      </c>
      <c r="K34" s="50">
        <v>53351</v>
      </c>
      <c r="L34" s="59">
        <f t="shared" si="1"/>
        <v>334040</v>
      </c>
      <c r="M34" s="59">
        <f t="shared" si="0"/>
        <v>334040</v>
      </c>
    </row>
    <row r="35" spans="1:13">
      <c r="A35" s="1" t="s">
        <v>3</v>
      </c>
      <c r="B35" s="4" t="s">
        <v>50</v>
      </c>
      <c r="C35" s="16">
        <v>0</v>
      </c>
      <c r="D35" s="17">
        <v>0</v>
      </c>
      <c r="E35" s="17"/>
      <c r="F35" s="15">
        <v>8520</v>
      </c>
      <c r="G35" s="16">
        <v>8328</v>
      </c>
      <c r="H35" s="16">
        <v>0</v>
      </c>
      <c r="I35" s="16">
        <v>7760</v>
      </c>
      <c r="J35" s="16">
        <v>50440</v>
      </c>
      <c r="K35" s="50">
        <v>31603</v>
      </c>
      <c r="L35" s="59">
        <f t="shared" si="1"/>
        <v>106651</v>
      </c>
      <c r="M35" s="59">
        <f t="shared" si="0"/>
        <v>106651</v>
      </c>
    </row>
    <row r="36" spans="1:13">
      <c r="A36" s="1" t="s">
        <v>3</v>
      </c>
      <c r="B36" s="74" t="s">
        <v>51</v>
      </c>
      <c r="C36" s="75">
        <v>0</v>
      </c>
      <c r="D36" s="76">
        <v>0</v>
      </c>
      <c r="E36" s="76"/>
      <c r="F36" s="77">
        <v>25214</v>
      </c>
      <c r="G36" s="75">
        <v>36960</v>
      </c>
      <c r="H36" s="75">
        <v>11650</v>
      </c>
      <c r="I36" s="75">
        <v>34449</v>
      </c>
      <c r="J36" s="75">
        <v>0</v>
      </c>
      <c r="K36" s="78">
        <v>0</v>
      </c>
      <c r="L36" s="79">
        <f t="shared" si="1"/>
        <v>108273</v>
      </c>
      <c r="M36" s="79">
        <f t="shared" si="0"/>
        <v>108273</v>
      </c>
    </row>
    <row r="37" spans="1:13" ht="19.5" thickBot="1">
      <c r="A37" s="1" t="s">
        <v>3</v>
      </c>
      <c r="B37" s="35" t="s">
        <v>41</v>
      </c>
      <c r="C37" s="37">
        <v>0</v>
      </c>
      <c r="D37" s="38">
        <v>0</v>
      </c>
      <c r="E37" s="38"/>
      <c r="F37" s="36">
        <v>5530</v>
      </c>
      <c r="G37" s="37">
        <v>4632</v>
      </c>
      <c r="H37" s="37">
        <v>1825</v>
      </c>
      <c r="I37" s="37">
        <v>6462</v>
      </c>
      <c r="J37" s="37">
        <v>1795</v>
      </c>
      <c r="K37" s="51">
        <v>1720</v>
      </c>
      <c r="L37" s="60">
        <f t="shared" si="1"/>
        <v>21964</v>
      </c>
      <c r="M37" s="60">
        <f t="shared" si="0"/>
        <v>21964</v>
      </c>
    </row>
    <row r="38" spans="1:13" ht="19.5" thickBot="1">
      <c r="A38" s="1" t="s">
        <v>3</v>
      </c>
      <c r="B38" s="39" t="s">
        <v>52</v>
      </c>
      <c r="C38" s="41">
        <v>405000</v>
      </c>
      <c r="D38" s="42">
        <v>93925</v>
      </c>
      <c r="E38" s="42">
        <f>SUM(C38:D38)</f>
        <v>498925</v>
      </c>
      <c r="F38" s="40">
        <v>348578</v>
      </c>
      <c r="G38" s="41">
        <v>337940</v>
      </c>
      <c r="H38" s="41">
        <v>265378</v>
      </c>
      <c r="I38" s="41">
        <v>318878</v>
      </c>
      <c r="J38" s="41">
        <v>349707</v>
      </c>
      <c r="K38" s="52">
        <v>316674</v>
      </c>
      <c r="L38" s="61">
        <f t="shared" si="1"/>
        <v>1937155</v>
      </c>
      <c r="M38" s="61">
        <f t="shared" si="0"/>
        <v>2436080</v>
      </c>
    </row>
    <row r="39" spans="1:13" ht="19.5" thickBot="1">
      <c r="A39" s="1" t="s">
        <v>3</v>
      </c>
      <c r="B39" s="21" t="s">
        <v>53</v>
      </c>
      <c r="C39" s="30">
        <v>11584</v>
      </c>
      <c r="D39" s="31">
        <v>4320</v>
      </c>
      <c r="E39" s="31">
        <f t="shared" ref="E39:E54" si="2">SUM(C39:D39)</f>
        <v>15904</v>
      </c>
      <c r="F39" s="29">
        <v>5310</v>
      </c>
      <c r="G39" s="30">
        <v>4608</v>
      </c>
      <c r="H39" s="30">
        <v>7537</v>
      </c>
      <c r="I39" s="30">
        <v>4240</v>
      </c>
      <c r="J39" s="30">
        <v>3993</v>
      </c>
      <c r="K39" s="49">
        <v>5704</v>
      </c>
      <c r="L39" s="58">
        <f t="shared" si="1"/>
        <v>31392</v>
      </c>
      <c r="M39" s="58">
        <f t="shared" si="0"/>
        <v>47296</v>
      </c>
    </row>
    <row r="40" spans="1:13" ht="19.5" thickBot="1">
      <c r="A40" s="1" t="s">
        <v>3</v>
      </c>
      <c r="B40" s="39" t="s">
        <v>54</v>
      </c>
      <c r="C40" s="41">
        <v>11584</v>
      </c>
      <c r="D40" s="42">
        <v>4320</v>
      </c>
      <c r="E40" s="42">
        <f t="shared" si="2"/>
        <v>15904</v>
      </c>
      <c r="F40" s="40">
        <v>5310</v>
      </c>
      <c r="G40" s="41">
        <v>4608</v>
      </c>
      <c r="H40" s="41">
        <v>7537</v>
      </c>
      <c r="I40" s="41">
        <v>4240</v>
      </c>
      <c r="J40" s="41">
        <v>3993</v>
      </c>
      <c r="K40" s="52">
        <v>5704</v>
      </c>
      <c r="L40" s="61">
        <f t="shared" si="1"/>
        <v>31392</v>
      </c>
      <c r="M40" s="61">
        <f t="shared" si="0"/>
        <v>47296</v>
      </c>
    </row>
    <row r="41" spans="1:13" ht="19.5" thickBot="1">
      <c r="A41" s="1" t="s">
        <v>3</v>
      </c>
      <c r="B41" s="39" t="s">
        <v>55</v>
      </c>
      <c r="C41" s="41">
        <v>416584</v>
      </c>
      <c r="D41" s="42">
        <v>98245</v>
      </c>
      <c r="E41" s="42">
        <f t="shared" si="2"/>
        <v>514829</v>
      </c>
      <c r="F41" s="40">
        <v>353888</v>
      </c>
      <c r="G41" s="41">
        <v>342548</v>
      </c>
      <c r="H41" s="41">
        <v>272915</v>
      </c>
      <c r="I41" s="41">
        <v>323118</v>
      </c>
      <c r="J41" s="41">
        <v>353700</v>
      </c>
      <c r="K41" s="52">
        <v>322378</v>
      </c>
      <c r="L41" s="61">
        <f t="shared" si="1"/>
        <v>1968547</v>
      </c>
      <c r="M41" s="61">
        <f t="shared" si="0"/>
        <v>2483376</v>
      </c>
    </row>
    <row r="42" spans="1:13">
      <c r="A42" s="1" t="s">
        <v>3</v>
      </c>
      <c r="B42" s="21" t="s">
        <v>56</v>
      </c>
      <c r="C42" s="30">
        <v>20910</v>
      </c>
      <c r="D42" s="31">
        <v>0</v>
      </c>
      <c r="E42" s="31">
        <f t="shared" si="2"/>
        <v>20910</v>
      </c>
      <c r="F42" s="29">
        <v>20910</v>
      </c>
      <c r="G42" s="30">
        <v>19380</v>
      </c>
      <c r="H42" s="30">
        <v>18360</v>
      </c>
      <c r="I42" s="30">
        <v>18360</v>
      </c>
      <c r="J42" s="30">
        <v>19380</v>
      </c>
      <c r="K42" s="49">
        <v>19380</v>
      </c>
      <c r="L42" s="58">
        <f t="shared" si="1"/>
        <v>115770</v>
      </c>
      <c r="M42" s="58">
        <f t="shared" si="0"/>
        <v>136680</v>
      </c>
    </row>
    <row r="43" spans="1:13">
      <c r="A43" s="1" t="s">
        <v>3</v>
      </c>
      <c r="B43" s="4" t="s">
        <v>57</v>
      </c>
      <c r="C43" s="16">
        <v>3690</v>
      </c>
      <c r="D43" s="17">
        <v>0</v>
      </c>
      <c r="E43" s="17">
        <f t="shared" si="2"/>
        <v>3690</v>
      </c>
      <c r="F43" s="15">
        <v>3690</v>
      </c>
      <c r="G43" s="16">
        <v>3420</v>
      </c>
      <c r="H43" s="16">
        <v>3240</v>
      </c>
      <c r="I43" s="16">
        <v>3240</v>
      </c>
      <c r="J43" s="16">
        <v>3420</v>
      </c>
      <c r="K43" s="50">
        <v>3420</v>
      </c>
      <c r="L43" s="59">
        <f t="shared" si="1"/>
        <v>20430</v>
      </c>
      <c r="M43" s="59">
        <f t="shared" si="0"/>
        <v>24120</v>
      </c>
    </row>
    <row r="44" spans="1:13">
      <c r="A44" s="1" t="s">
        <v>3</v>
      </c>
      <c r="B44" s="4" t="s">
        <v>58</v>
      </c>
      <c r="C44" s="16">
        <v>37515</v>
      </c>
      <c r="D44" s="17">
        <v>0</v>
      </c>
      <c r="E44" s="17">
        <f t="shared" si="2"/>
        <v>37515</v>
      </c>
      <c r="F44" s="15">
        <v>37515</v>
      </c>
      <c r="G44" s="16">
        <v>34770</v>
      </c>
      <c r="H44" s="16">
        <v>32940</v>
      </c>
      <c r="I44" s="16">
        <v>32940</v>
      </c>
      <c r="J44" s="16">
        <v>34770</v>
      </c>
      <c r="K44" s="50">
        <v>34770</v>
      </c>
      <c r="L44" s="59">
        <f t="shared" si="1"/>
        <v>207705</v>
      </c>
      <c r="M44" s="59">
        <f t="shared" si="0"/>
        <v>245220</v>
      </c>
    </row>
    <row r="45" spans="1:13">
      <c r="A45" s="1" t="s">
        <v>3</v>
      </c>
      <c r="B45" s="4" t="s">
        <v>59</v>
      </c>
      <c r="C45" s="16">
        <v>1250</v>
      </c>
      <c r="D45" s="17">
        <v>295</v>
      </c>
      <c r="E45" s="17">
        <f t="shared" si="2"/>
        <v>1545</v>
      </c>
      <c r="F45" s="15">
        <v>1062</v>
      </c>
      <c r="G45" s="16">
        <v>1028</v>
      </c>
      <c r="H45" s="16">
        <v>819</v>
      </c>
      <c r="I45" s="16">
        <v>969</v>
      </c>
      <c r="J45" s="16">
        <v>1061</v>
      </c>
      <c r="K45" s="50">
        <v>967</v>
      </c>
      <c r="L45" s="59">
        <f t="shared" si="1"/>
        <v>5906</v>
      </c>
      <c r="M45" s="59">
        <f t="shared" si="0"/>
        <v>7451</v>
      </c>
    </row>
    <row r="46" spans="1:13" ht="19.5" thickBot="1">
      <c r="A46" s="1" t="s">
        <v>3</v>
      </c>
      <c r="B46" s="35" t="s">
        <v>60</v>
      </c>
      <c r="C46" s="37">
        <v>0</v>
      </c>
      <c r="D46" s="38">
        <v>0</v>
      </c>
      <c r="E46" s="38">
        <f t="shared" si="2"/>
        <v>0</v>
      </c>
      <c r="F46" s="36">
        <v>0</v>
      </c>
      <c r="G46" s="37">
        <v>0</v>
      </c>
      <c r="H46" s="37">
        <v>0</v>
      </c>
      <c r="I46" s="37">
        <v>0</v>
      </c>
      <c r="J46" s="37">
        <v>0</v>
      </c>
      <c r="K46" s="51">
        <v>0</v>
      </c>
      <c r="L46" s="60">
        <f t="shared" si="1"/>
        <v>0</v>
      </c>
      <c r="M46" s="60">
        <f t="shared" si="0"/>
        <v>0</v>
      </c>
    </row>
    <row r="47" spans="1:13" ht="19.5" thickBot="1">
      <c r="A47" s="1" t="s">
        <v>3</v>
      </c>
      <c r="B47" s="39" t="s">
        <v>61</v>
      </c>
      <c r="C47" s="41">
        <v>63365</v>
      </c>
      <c r="D47" s="42">
        <v>295</v>
      </c>
      <c r="E47" s="42">
        <f t="shared" si="2"/>
        <v>63660</v>
      </c>
      <c r="F47" s="40">
        <v>63177</v>
      </c>
      <c r="G47" s="41">
        <v>58598</v>
      </c>
      <c r="H47" s="41">
        <v>55359</v>
      </c>
      <c r="I47" s="41">
        <v>55509</v>
      </c>
      <c r="J47" s="41">
        <v>58631</v>
      </c>
      <c r="K47" s="52">
        <v>58537</v>
      </c>
      <c r="L47" s="61">
        <f t="shared" si="1"/>
        <v>349811</v>
      </c>
      <c r="M47" s="61">
        <f t="shared" si="0"/>
        <v>413471</v>
      </c>
    </row>
    <row r="48" spans="1:13">
      <c r="A48" s="1" t="s">
        <v>3</v>
      </c>
      <c r="B48" s="21" t="s">
        <v>62</v>
      </c>
      <c r="C48" s="30">
        <v>8550</v>
      </c>
      <c r="D48" s="31">
        <v>400</v>
      </c>
      <c r="E48" s="31">
        <f t="shared" si="2"/>
        <v>8950</v>
      </c>
      <c r="F48" s="29">
        <v>6200</v>
      </c>
      <c r="G48" s="30">
        <v>7600</v>
      </c>
      <c r="H48" s="30">
        <v>3510</v>
      </c>
      <c r="I48" s="30">
        <v>5410</v>
      </c>
      <c r="J48" s="30">
        <v>8020</v>
      </c>
      <c r="K48" s="49">
        <v>6840</v>
      </c>
      <c r="L48" s="58">
        <f t="shared" si="1"/>
        <v>37580</v>
      </c>
      <c r="M48" s="58">
        <f t="shared" si="0"/>
        <v>46530</v>
      </c>
    </row>
    <row r="49" spans="1:13">
      <c r="A49" s="1" t="s">
        <v>3</v>
      </c>
      <c r="B49" s="4" t="s">
        <v>63</v>
      </c>
      <c r="C49" s="16">
        <v>26200</v>
      </c>
      <c r="D49" s="17">
        <v>1400</v>
      </c>
      <c r="E49" s="17">
        <f t="shared" si="2"/>
        <v>27600</v>
      </c>
      <c r="F49" s="15">
        <v>15300</v>
      </c>
      <c r="G49" s="16">
        <v>18300</v>
      </c>
      <c r="H49" s="16">
        <v>0</v>
      </c>
      <c r="I49" s="16">
        <v>6200</v>
      </c>
      <c r="J49" s="16">
        <v>18200</v>
      </c>
      <c r="K49" s="50">
        <v>2500</v>
      </c>
      <c r="L49" s="59">
        <f t="shared" si="1"/>
        <v>60500</v>
      </c>
      <c r="M49" s="59">
        <f t="shared" si="0"/>
        <v>88100</v>
      </c>
    </row>
    <row r="50" spans="1:13" ht="19.5" thickBot="1">
      <c r="A50" s="1" t="s">
        <v>3</v>
      </c>
      <c r="B50" s="4" t="s">
        <v>64</v>
      </c>
      <c r="C50" s="16">
        <v>0</v>
      </c>
      <c r="D50" s="17">
        <v>0</v>
      </c>
      <c r="E50" s="17">
        <f t="shared" si="2"/>
        <v>0</v>
      </c>
      <c r="F50" s="15">
        <v>0</v>
      </c>
      <c r="G50" s="16">
        <v>0</v>
      </c>
      <c r="H50" s="16">
        <v>0</v>
      </c>
      <c r="I50" s="16">
        <v>0</v>
      </c>
      <c r="J50" s="16">
        <v>0</v>
      </c>
      <c r="K50" s="50">
        <v>6000</v>
      </c>
      <c r="L50" s="59">
        <f t="shared" si="1"/>
        <v>6000</v>
      </c>
      <c r="M50" s="59">
        <f t="shared" si="0"/>
        <v>6000</v>
      </c>
    </row>
    <row r="51" spans="1:13" ht="19.5" thickBot="1">
      <c r="A51" s="1" t="s">
        <v>3</v>
      </c>
      <c r="B51" s="39" t="s">
        <v>65</v>
      </c>
      <c r="C51" s="41">
        <v>98115</v>
      </c>
      <c r="D51" s="42">
        <v>2095</v>
      </c>
      <c r="E51" s="42">
        <f t="shared" si="2"/>
        <v>100210</v>
      </c>
      <c r="F51" s="40">
        <v>84677</v>
      </c>
      <c r="G51" s="41">
        <v>84498</v>
      </c>
      <c r="H51" s="41">
        <v>58869</v>
      </c>
      <c r="I51" s="41">
        <v>67119</v>
      </c>
      <c r="J51" s="41">
        <v>84851</v>
      </c>
      <c r="K51" s="52">
        <v>73877</v>
      </c>
      <c r="L51" s="61">
        <f t="shared" si="1"/>
        <v>453891</v>
      </c>
      <c r="M51" s="61">
        <f t="shared" si="0"/>
        <v>554101</v>
      </c>
    </row>
    <row r="52" spans="1:13" ht="19.5" thickBot="1">
      <c r="A52" s="1" t="s">
        <v>3</v>
      </c>
      <c r="B52" s="39" t="s">
        <v>66</v>
      </c>
      <c r="C52" s="41">
        <v>341635</v>
      </c>
      <c r="D52" s="42">
        <v>93630</v>
      </c>
      <c r="E52" s="42">
        <f t="shared" si="2"/>
        <v>435265</v>
      </c>
      <c r="F52" s="40">
        <v>285401</v>
      </c>
      <c r="G52" s="41">
        <v>279342</v>
      </c>
      <c r="H52" s="41">
        <v>210019</v>
      </c>
      <c r="I52" s="41">
        <v>263369</v>
      </c>
      <c r="J52" s="41">
        <v>291076</v>
      </c>
      <c r="K52" s="52">
        <v>258137</v>
      </c>
      <c r="L52" s="61">
        <f t="shared" si="1"/>
        <v>1587344</v>
      </c>
      <c r="M52" s="61">
        <f t="shared" si="0"/>
        <v>2022609</v>
      </c>
    </row>
    <row r="53" spans="1:13" ht="19.5" thickBot="1">
      <c r="A53" s="1" t="s">
        <v>3</v>
      </c>
      <c r="B53" s="39" t="s">
        <v>67</v>
      </c>
      <c r="C53" s="41">
        <v>318469</v>
      </c>
      <c r="D53" s="42">
        <v>96150</v>
      </c>
      <c r="E53" s="42">
        <f t="shared" si="2"/>
        <v>414619</v>
      </c>
      <c r="F53" s="40">
        <v>269211</v>
      </c>
      <c r="G53" s="41">
        <v>258050</v>
      </c>
      <c r="H53" s="41">
        <v>214046</v>
      </c>
      <c r="I53" s="41">
        <v>255999</v>
      </c>
      <c r="J53" s="41">
        <v>268849</v>
      </c>
      <c r="K53" s="52">
        <v>248501</v>
      </c>
      <c r="L53" s="61">
        <f t="shared" si="1"/>
        <v>1514656</v>
      </c>
      <c r="M53" s="61">
        <f t="shared" si="0"/>
        <v>1929275</v>
      </c>
    </row>
    <row r="54" spans="1:13">
      <c r="A54" s="1" t="s">
        <v>3</v>
      </c>
      <c r="B54" s="4" t="s">
        <v>68</v>
      </c>
      <c r="C54" s="16">
        <v>318469</v>
      </c>
      <c r="D54" s="17">
        <v>96150</v>
      </c>
      <c r="E54" s="17">
        <f t="shared" si="2"/>
        <v>414619</v>
      </c>
      <c r="F54" s="15">
        <v>269211</v>
      </c>
      <c r="G54" s="16">
        <v>258050</v>
      </c>
      <c r="H54" s="16">
        <v>214046</v>
      </c>
      <c r="I54" s="16">
        <v>255999</v>
      </c>
      <c r="J54" s="16">
        <v>268849</v>
      </c>
      <c r="K54" s="50">
        <v>248501</v>
      </c>
      <c r="L54" s="59">
        <f t="shared" si="1"/>
        <v>1514656</v>
      </c>
      <c r="M54" s="59">
        <f t="shared" si="0"/>
        <v>1929275</v>
      </c>
    </row>
    <row r="55" spans="1:13">
      <c r="A55" s="1" t="s">
        <v>3</v>
      </c>
      <c r="B55" s="4" t="s">
        <v>69</v>
      </c>
      <c r="C55" s="16">
        <v>1</v>
      </c>
      <c r="D55" s="17">
        <v>0</v>
      </c>
      <c r="E55" s="17"/>
      <c r="F55" s="15">
        <v>1</v>
      </c>
      <c r="G55" s="16">
        <v>0</v>
      </c>
      <c r="H55" s="16">
        <v>1</v>
      </c>
      <c r="I55" s="16">
        <v>1</v>
      </c>
      <c r="J55" s="16">
        <v>0</v>
      </c>
      <c r="K55" s="50">
        <v>0</v>
      </c>
      <c r="L55" s="59"/>
      <c r="M55" s="59"/>
    </row>
    <row r="56" spans="1:13" ht="19.5" thickBot="1">
      <c r="A56" s="1" t="s">
        <v>3</v>
      </c>
      <c r="B56" s="5" t="s">
        <v>70</v>
      </c>
      <c r="C56" s="19" t="s">
        <v>71</v>
      </c>
      <c r="D56" s="20" t="s">
        <v>71</v>
      </c>
      <c r="E56" s="20"/>
      <c r="F56" s="18" t="s">
        <v>71</v>
      </c>
      <c r="G56" s="19" t="s">
        <v>71</v>
      </c>
      <c r="H56" s="19" t="s">
        <v>71</v>
      </c>
      <c r="I56" s="19" t="s">
        <v>71</v>
      </c>
      <c r="J56" s="19" t="s">
        <v>71</v>
      </c>
      <c r="K56" s="53" t="s">
        <v>71</v>
      </c>
      <c r="L56" s="62"/>
      <c r="M56" s="62"/>
    </row>
  </sheetData>
  <phoneticPr fontId="3"/>
  <pageMargins left="0.11811023622047245" right="0.11811023622047245" top="0.15748031496062992" bottom="0.15748031496062992" header="0.31496062992125984" footer="0.31496062992125984"/>
  <pageSetup paperSize="9" scale="53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2021年 7月度給与 (2)</vt:lpstr>
      <vt:lpstr>2021年 7月度給与 (助成金)</vt:lpstr>
      <vt:lpstr>'2021年 7月度給与 (2)'!Print_Area</vt:lpstr>
      <vt:lpstr>'2021年 7月度給与 (助成金)'!Print_Area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2021-07-15T00:20:40Z</cp:lastPrinted>
  <dcterms:created xsi:type="dcterms:W3CDTF">2021-07-08T01:19:12Z</dcterms:created>
  <dcterms:modified xsi:type="dcterms:W3CDTF">2021-09-13T08:05:36Z</dcterms:modified>
</cp:coreProperties>
</file>