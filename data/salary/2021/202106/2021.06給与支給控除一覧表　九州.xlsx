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6\"/>
    </mc:Choice>
  </mc:AlternateContent>
  <xr:revisionPtr revIDLastSave="0" documentId="13_ncr:1_{2E5DDEB5-7858-4B6C-9D52-EDBE15F1375B}" xr6:coauthVersionLast="47" xr6:coauthVersionMax="47" xr10:uidLastSave="{00000000-0000-0000-0000-000000000000}"/>
  <bookViews>
    <workbookView xWindow="-120" yWindow="-120" windowWidth="20730" windowHeight="11160" xr2:uid="{8948385B-2889-4223-9DB1-647DC75A53EE}"/>
  </bookViews>
  <sheets>
    <sheet name="2021年 7月度給与 (2)" sheetId="3" r:id="rId1"/>
  </sheets>
  <definedNames>
    <definedName name="_xlnm.Print_Area" localSheetId="0">'2021年 7月度給与 (2)'!$A$1:$M$60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4" i="3" l="1"/>
  <c r="L54" i="3"/>
  <c r="E54" i="3"/>
  <c r="L53" i="3"/>
  <c r="M53" i="3" s="1"/>
  <c r="E53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5" i="3"/>
  <c r="L56" i="3"/>
  <c r="L57" i="3"/>
  <c r="L58" i="3"/>
  <c r="L28" i="3"/>
  <c r="L27" i="3"/>
  <c r="L26" i="3"/>
  <c r="M26" i="3" s="1"/>
  <c r="L18" i="3"/>
  <c r="M18" i="3" s="1"/>
  <c r="L19" i="3"/>
  <c r="M19" i="3" s="1"/>
  <c r="L17" i="3"/>
  <c r="M17" i="3" s="1"/>
  <c r="L11" i="3"/>
  <c r="L9" i="3"/>
  <c r="M9" i="3" s="1"/>
  <c r="L8" i="3"/>
  <c r="M8" i="3" s="1"/>
  <c r="L7" i="3"/>
  <c r="E29" i="3"/>
  <c r="M29" i="3" s="1"/>
  <c r="E30" i="3"/>
  <c r="E31" i="3"/>
  <c r="M31" i="3" s="1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5" i="3"/>
  <c r="E56" i="3"/>
  <c r="M56" i="3" s="1"/>
  <c r="E57" i="3"/>
  <c r="E58" i="3"/>
  <c r="E28" i="3"/>
  <c r="E27" i="3"/>
  <c r="E15" i="3"/>
  <c r="M15" i="3" s="1"/>
  <c r="E11" i="3"/>
  <c r="M11" i="3" s="1"/>
  <c r="E7" i="3"/>
  <c r="M10" i="3"/>
  <c r="M12" i="3"/>
  <c r="M13" i="3"/>
  <c r="M14" i="3"/>
  <c r="M16" i="3"/>
  <c r="M20" i="3"/>
  <c r="M21" i="3"/>
  <c r="M22" i="3"/>
  <c r="M23" i="3"/>
  <c r="M24" i="3"/>
  <c r="M25" i="3"/>
  <c r="M28" i="3" l="1"/>
  <c r="M55" i="3"/>
  <c r="M42" i="3"/>
  <c r="M38" i="3"/>
  <c r="M34" i="3"/>
  <c r="M30" i="3"/>
  <c r="M52" i="3"/>
  <c r="M48" i="3"/>
  <c r="M44" i="3"/>
  <c r="M40" i="3"/>
  <c r="M7" i="3"/>
  <c r="M41" i="3"/>
  <c r="M36" i="3"/>
  <c r="M58" i="3"/>
  <c r="M51" i="3"/>
  <c r="M47" i="3"/>
  <c r="M57" i="3"/>
  <c r="M49" i="3"/>
  <c r="M45" i="3"/>
  <c r="M37" i="3"/>
  <c r="M27" i="3"/>
  <c r="M50" i="3"/>
  <c r="M46" i="3"/>
  <c r="M43" i="3"/>
  <c r="M39" i="3"/>
  <c r="M35" i="3"/>
  <c r="M33" i="3"/>
  <c r="M32" i="3"/>
</calcChain>
</file>

<file path=xl/sharedStrings.xml><?xml version="1.0" encoding="utf-8"?>
<sst xmlns="http://schemas.openxmlformats.org/spreadsheetml/2006/main" count="141" uniqueCount="78">
  <si>
    <t>支給控除一覧表</t>
    <phoneticPr fontId="4"/>
  </si>
  <si>
    <t>若林運送株式会社</t>
    <phoneticPr fontId="4"/>
  </si>
  <si>
    <t>2021年 7月 7日 作成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</si>
  <si>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</si>
  <si>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</si>
  <si>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</si>
  <si>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</si>
  <si>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</si>
  <si>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</si>
  <si>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1092</t>
    <phoneticPr fontId="4"/>
  </si>
  <si>
    <t>1097</t>
    <phoneticPr fontId="4"/>
  </si>
  <si>
    <t>1063</t>
    <phoneticPr fontId="4"/>
  </si>
  <si>
    <t>項目名</t>
    <phoneticPr fontId="4"/>
  </si>
  <si>
    <t>河村智春</t>
    <phoneticPr fontId="4"/>
  </si>
  <si>
    <t>赤﨑功幸</t>
    <phoneticPr fontId="4"/>
  </si>
  <si>
    <t>櫻木諭治</t>
    <phoneticPr fontId="4"/>
  </si>
  <si>
    <t>米澤敬</t>
    <phoneticPr fontId="4"/>
  </si>
  <si>
    <t>大賀勇也</t>
    <phoneticPr fontId="4"/>
  </si>
  <si>
    <t>西口真樹</t>
    <phoneticPr fontId="4"/>
  </si>
  <si>
    <t>新田竜二</t>
    <phoneticPr fontId="4"/>
  </si>
  <si>
    <t>木下知美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</si>
  <si>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</si>
  <si>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</si>
  <si>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</si>
  <si>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</si>
  <si>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</si>
  <si>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</si>
  <si>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</si>
  <si>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</si>
  <si>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</si>
  <si>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</si>
  <si>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</si>
  <si>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</si>
  <si>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</si>
  <si>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</si>
  <si>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</si>
  <si>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</si>
  <si>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</si>
  <si>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遅刻早退時間</t>
    <phoneticPr fontId="4"/>
  </si>
  <si>
    <t>有給休暇時間</t>
    <phoneticPr fontId="4"/>
  </si>
  <si>
    <t>有休時間2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</si>
  <si>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</si>
  <si>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</si>
  <si>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</si>
  <si>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</si>
  <si>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</si>
  <si>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</si>
  <si>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</si>
  <si>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</si>
  <si>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</si>
  <si>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</si>
  <si>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</si>
  <si>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</si>
  <si>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</si>
  <si>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</si>
  <si>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</si>
  <si>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</si>
  <si>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</si>
  <si>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</si>
  <si>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</si>
  <si>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</si>
  <si>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</si>
  <si>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</si>
  <si>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</si>
  <si>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</si>
  <si>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</si>
  <si>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</si>
  <si>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</si>
  <si>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</si>
  <si>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</si>
  <si>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</si>
  <si>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</si>
  <si>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</si>
  <si>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</si>
  <si>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 6月度給与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</si>
  <si>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</si>
  <si>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</si>
  <si>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６名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</si>
</sst>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8" xfId="1" applyNumberFormat="1" applyFont="1" applyBorder="1"/>
    <xf numFmtId="49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1" xfId="1" applyNumberFormat="1" applyFont="1" applyBorder="1"/>
    <xf numFmtId="49" fontId="2" fillId="0" borderId="36" xfId="1" applyNumberFormat="1" applyFont="1" applyBorder="1" applyAlignment="1">
      <alignment horizontal="left"/>
    </xf>
    <xf numFmtId="49" fontId="2" fillId="0" borderId="37" xfId="1" applyNumberFormat="1" applyFont="1" applyBorder="1" applyAlignment="1">
      <alignment horizontal="right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29" xfId="1" applyNumberFormat="1" applyFont="1" applyBorder="1"/>
    <xf numFmtId="49" fontId="2" fillId="0" borderId="37" xfId="1" applyNumberFormat="1" applyFont="1" applyBorder="1"/>
    <xf numFmtId="0" fontId="2" fillId="0" borderId="36" xfId="1" applyFont="1" applyBorder="1"/>
    <xf numFmtId="0" fontId="2" fillId="0" borderId="37" xfId="1" applyFont="1" applyBorder="1" applyAlignment="1">
      <alignment horizontal="center"/>
    </xf>
    <xf numFmtId="0" fontId="2" fillId="0" borderId="41" xfId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37" xfId="1" applyNumberFormat="1" applyFont="1" applyBorder="1"/>
  </cellXfs>
  <cellStyles count="2">
    <cellStyle name="標準" xfId="0" builtinId="0"/>
    <cellStyle name="標準 2" xfId="1" xr:uid="{B867B864-F22E-43CB-8997-A89E42EBC8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84FDD-7A85-40EC-9585-31DE3D0BA03D}">
  <sheetPr>
    <pageSetUpPr fitToPage="1"/>
  </sheetPr>
  <dimension ref="A1:M60"/>
  <sheetViews>
    <sheetView showZeros="0" tabSelected="1" topLeftCell="A25" workbookViewId="0">
      <selection activeCell="L52" sqref="L52"/>
    </sheetView>
  </sheetViews>
  <sheetFormatPr defaultRowHeight="18.75"/>
  <cols>
    <col min="1" max="1" width="2.375" style="2" customWidth="1"/>
    <col min="2" max="2" width="13.25" style="2" bestFit="1" customWidth="1"/>
    <col min="3" max="13" width="10.5" style="2" customWidth="1"/>
    <col min="14" max="258" width="9" style="2"/>
    <col min="259" max="259" width="2.375" style="2" customWidth="1"/>
    <col min="260" max="260" width="13.25" style="2" bestFit="1" customWidth="1"/>
    <col min="261" max="263" width="9" style="2"/>
    <col min="264" max="264" width="8" style="2" bestFit="1" customWidth="1"/>
    <col min="265" max="268" width="9" style="2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9" width="9" style="2"/>
    <col min="520" max="520" width="8" style="2" bestFit="1" customWidth="1"/>
    <col min="521" max="524" width="9" style="2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5" width="9" style="2"/>
    <col min="776" max="776" width="8" style="2" bestFit="1" customWidth="1"/>
    <col min="777" max="780" width="9" style="2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1" width="9" style="2"/>
    <col min="1032" max="1032" width="8" style="2" bestFit="1" customWidth="1"/>
    <col min="1033" max="1036" width="9" style="2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7" width="9" style="2"/>
    <col min="1288" max="1288" width="8" style="2" bestFit="1" customWidth="1"/>
    <col min="1289" max="1292" width="9" style="2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3" width="9" style="2"/>
    <col min="1544" max="1544" width="8" style="2" bestFit="1" customWidth="1"/>
    <col min="1545" max="1548" width="9" style="2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9" width="9" style="2"/>
    <col min="1800" max="1800" width="8" style="2" bestFit="1" customWidth="1"/>
    <col min="1801" max="1804" width="9" style="2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5" width="9" style="2"/>
    <col min="2056" max="2056" width="8" style="2" bestFit="1" customWidth="1"/>
    <col min="2057" max="2060" width="9" style="2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1" width="9" style="2"/>
    <col min="2312" max="2312" width="8" style="2" bestFit="1" customWidth="1"/>
    <col min="2313" max="2316" width="9" style="2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7" width="9" style="2"/>
    <col min="2568" max="2568" width="8" style="2" bestFit="1" customWidth="1"/>
    <col min="2569" max="2572" width="9" style="2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3" width="9" style="2"/>
    <col min="2824" max="2824" width="8" style="2" bestFit="1" customWidth="1"/>
    <col min="2825" max="2828" width="9" style="2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9" width="9" style="2"/>
    <col min="3080" max="3080" width="8" style="2" bestFit="1" customWidth="1"/>
    <col min="3081" max="3084" width="9" style="2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5" width="9" style="2"/>
    <col min="3336" max="3336" width="8" style="2" bestFit="1" customWidth="1"/>
    <col min="3337" max="3340" width="9" style="2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1" width="9" style="2"/>
    <col min="3592" max="3592" width="8" style="2" bestFit="1" customWidth="1"/>
    <col min="3593" max="3596" width="9" style="2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7" width="9" style="2"/>
    <col min="3848" max="3848" width="8" style="2" bestFit="1" customWidth="1"/>
    <col min="3849" max="3852" width="9" style="2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3" width="9" style="2"/>
    <col min="4104" max="4104" width="8" style="2" bestFit="1" customWidth="1"/>
    <col min="4105" max="4108" width="9" style="2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9" width="9" style="2"/>
    <col min="4360" max="4360" width="8" style="2" bestFit="1" customWidth="1"/>
    <col min="4361" max="4364" width="9" style="2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5" width="9" style="2"/>
    <col min="4616" max="4616" width="8" style="2" bestFit="1" customWidth="1"/>
    <col min="4617" max="4620" width="9" style="2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1" width="9" style="2"/>
    <col min="4872" max="4872" width="8" style="2" bestFit="1" customWidth="1"/>
    <col min="4873" max="4876" width="9" style="2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7" width="9" style="2"/>
    <col min="5128" max="5128" width="8" style="2" bestFit="1" customWidth="1"/>
    <col min="5129" max="5132" width="9" style="2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3" width="9" style="2"/>
    <col min="5384" max="5384" width="8" style="2" bestFit="1" customWidth="1"/>
    <col min="5385" max="5388" width="9" style="2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9" width="9" style="2"/>
    <col min="5640" max="5640" width="8" style="2" bestFit="1" customWidth="1"/>
    <col min="5641" max="5644" width="9" style="2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5" width="9" style="2"/>
    <col min="5896" max="5896" width="8" style="2" bestFit="1" customWidth="1"/>
    <col min="5897" max="5900" width="9" style="2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1" width="9" style="2"/>
    <col min="6152" max="6152" width="8" style="2" bestFit="1" customWidth="1"/>
    <col min="6153" max="6156" width="9" style="2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7" width="9" style="2"/>
    <col min="6408" max="6408" width="8" style="2" bestFit="1" customWidth="1"/>
    <col min="6409" max="6412" width="9" style="2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3" width="9" style="2"/>
    <col min="6664" max="6664" width="8" style="2" bestFit="1" customWidth="1"/>
    <col min="6665" max="6668" width="9" style="2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9" width="9" style="2"/>
    <col min="6920" max="6920" width="8" style="2" bestFit="1" customWidth="1"/>
    <col min="6921" max="6924" width="9" style="2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5" width="9" style="2"/>
    <col min="7176" max="7176" width="8" style="2" bestFit="1" customWidth="1"/>
    <col min="7177" max="7180" width="9" style="2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1" width="9" style="2"/>
    <col min="7432" max="7432" width="8" style="2" bestFit="1" customWidth="1"/>
    <col min="7433" max="7436" width="9" style="2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7" width="9" style="2"/>
    <col min="7688" max="7688" width="8" style="2" bestFit="1" customWidth="1"/>
    <col min="7689" max="7692" width="9" style="2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3" width="9" style="2"/>
    <col min="7944" max="7944" width="8" style="2" bestFit="1" customWidth="1"/>
    <col min="7945" max="7948" width="9" style="2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9" width="9" style="2"/>
    <col min="8200" max="8200" width="8" style="2" bestFit="1" customWidth="1"/>
    <col min="8201" max="8204" width="9" style="2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5" width="9" style="2"/>
    <col min="8456" max="8456" width="8" style="2" bestFit="1" customWidth="1"/>
    <col min="8457" max="8460" width="9" style="2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1" width="9" style="2"/>
    <col min="8712" max="8712" width="8" style="2" bestFit="1" customWidth="1"/>
    <col min="8713" max="8716" width="9" style="2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7" width="9" style="2"/>
    <col min="8968" max="8968" width="8" style="2" bestFit="1" customWidth="1"/>
    <col min="8969" max="8972" width="9" style="2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3" width="9" style="2"/>
    <col min="9224" max="9224" width="8" style="2" bestFit="1" customWidth="1"/>
    <col min="9225" max="9228" width="9" style="2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9" width="9" style="2"/>
    <col min="9480" max="9480" width="8" style="2" bestFit="1" customWidth="1"/>
    <col min="9481" max="9484" width="9" style="2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5" width="9" style="2"/>
    <col min="9736" max="9736" width="8" style="2" bestFit="1" customWidth="1"/>
    <col min="9737" max="9740" width="9" style="2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1" width="9" style="2"/>
    <col min="9992" max="9992" width="8" style="2" bestFit="1" customWidth="1"/>
    <col min="9993" max="9996" width="9" style="2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7" width="9" style="2"/>
    <col min="10248" max="10248" width="8" style="2" bestFit="1" customWidth="1"/>
    <col min="10249" max="10252" width="9" style="2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3" width="9" style="2"/>
    <col min="10504" max="10504" width="8" style="2" bestFit="1" customWidth="1"/>
    <col min="10505" max="10508" width="9" style="2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9" width="9" style="2"/>
    <col min="10760" max="10760" width="8" style="2" bestFit="1" customWidth="1"/>
    <col min="10761" max="10764" width="9" style="2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5" width="9" style="2"/>
    <col min="11016" max="11016" width="8" style="2" bestFit="1" customWidth="1"/>
    <col min="11017" max="11020" width="9" style="2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1" width="9" style="2"/>
    <col min="11272" max="11272" width="8" style="2" bestFit="1" customWidth="1"/>
    <col min="11273" max="11276" width="9" style="2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7" width="9" style="2"/>
    <col min="11528" max="11528" width="8" style="2" bestFit="1" customWidth="1"/>
    <col min="11529" max="11532" width="9" style="2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3" width="9" style="2"/>
    <col min="11784" max="11784" width="8" style="2" bestFit="1" customWidth="1"/>
    <col min="11785" max="11788" width="9" style="2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9" width="9" style="2"/>
    <col min="12040" max="12040" width="8" style="2" bestFit="1" customWidth="1"/>
    <col min="12041" max="12044" width="9" style="2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5" width="9" style="2"/>
    <col min="12296" max="12296" width="8" style="2" bestFit="1" customWidth="1"/>
    <col min="12297" max="12300" width="9" style="2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1" width="9" style="2"/>
    <col min="12552" max="12552" width="8" style="2" bestFit="1" customWidth="1"/>
    <col min="12553" max="12556" width="9" style="2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7" width="9" style="2"/>
    <col min="12808" max="12808" width="8" style="2" bestFit="1" customWidth="1"/>
    <col min="12809" max="12812" width="9" style="2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3" width="9" style="2"/>
    <col min="13064" max="13064" width="8" style="2" bestFit="1" customWidth="1"/>
    <col min="13065" max="13068" width="9" style="2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9" width="9" style="2"/>
    <col min="13320" max="13320" width="8" style="2" bestFit="1" customWidth="1"/>
    <col min="13321" max="13324" width="9" style="2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5" width="9" style="2"/>
    <col min="13576" max="13576" width="8" style="2" bestFit="1" customWidth="1"/>
    <col min="13577" max="13580" width="9" style="2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1" width="9" style="2"/>
    <col min="13832" max="13832" width="8" style="2" bestFit="1" customWidth="1"/>
    <col min="13833" max="13836" width="9" style="2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7" width="9" style="2"/>
    <col min="14088" max="14088" width="8" style="2" bestFit="1" customWidth="1"/>
    <col min="14089" max="14092" width="9" style="2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3" width="9" style="2"/>
    <col min="14344" max="14344" width="8" style="2" bestFit="1" customWidth="1"/>
    <col min="14345" max="14348" width="9" style="2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9" width="9" style="2"/>
    <col min="14600" max="14600" width="8" style="2" bestFit="1" customWidth="1"/>
    <col min="14601" max="14604" width="9" style="2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5" width="9" style="2"/>
    <col min="14856" max="14856" width="8" style="2" bestFit="1" customWidth="1"/>
    <col min="14857" max="14860" width="9" style="2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1" width="9" style="2"/>
    <col min="15112" max="15112" width="8" style="2" bestFit="1" customWidth="1"/>
    <col min="15113" max="15116" width="9" style="2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7" width="9" style="2"/>
    <col min="15368" max="15368" width="8" style="2" bestFit="1" customWidth="1"/>
    <col min="15369" max="15372" width="9" style="2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3" width="9" style="2"/>
    <col min="15624" max="15624" width="8" style="2" bestFit="1" customWidth="1"/>
    <col min="15625" max="15628" width="9" style="2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9" width="9" style="2"/>
    <col min="15880" max="15880" width="8" style="2" bestFit="1" customWidth="1"/>
    <col min="15881" max="15884" width="9" style="2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5" width="9" style="2"/>
    <col min="16136" max="16136" width="8" style="2" bestFit="1" customWidth="1"/>
    <col min="16137" max="16140" width="9" style="2"/>
    <col min="16141" max="16141" width="9.625" style="2" bestFit="1" customWidth="1"/>
    <col min="16142" max="16384" width="9" style="2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4" spans="1:13" ht="19.5" thickBot="1">
      <c r="A4" s="1" t="s">
        <v>74</v>
      </c>
    </row>
    <row r="5" spans="1:13">
      <c r="B5" s="3"/>
      <c r="C5" s="7" t="s">
        <v>5</v>
      </c>
      <c r="D5" s="8" t="s">
        <v>11</v>
      </c>
      <c r="E5" s="49" t="s">
        <v>75</v>
      </c>
      <c r="F5" s="6" t="s">
        <v>4</v>
      </c>
      <c r="G5" s="7" t="s">
        <v>6</v>
      </c>
      <c r="H5" s="7" t="s">
        <v>7</v>
      </c>
      <c r="I5" s="7" t="s">
        <v>8</v>
      </c>
      <c r="J5" s="7" t="s">
        <v>9</v>
      </c>
      <c r="K5" s="51" t="s">
        <v>10</v>
      </c>
      <c r="L5" s="62" t="s">
        <v>75</v>
      </c>
      <c r="M5" s="73"/>
    </row>
    <row r="6" spans="1:13" ht="19.5" thickBot="1">
      <c r="A6" s="75"/>
      <c r="B6" s="25" t="s">
        <v>12</v>
      </c>
      <c r="C6" s="27" t="s">
        <v>14</v>
      </c>
      <c r="D6" s="28" t="s">
        <v>20</v>
      </c>
      <c r="E6" s="50" t="s">
        <v>76</v>
      </c>
      <c r="F6" s="26" t="s">
        <v>13</v>
      </c>
      <c r="G6" s="27" t="s">
        <v>15</v>
      </c>
      <c r="H6" s="27" t="s">
        <v>16</v>
      </c>
      <c r="I6" s="27" t="s">
        <v>17</v>
      </c>
      <c r="J6" s="27" t="s">
        <v>18</v>
      </c>
      <c r="K6" s="52" t="s">
        <v>19</v>
      </c>
      <c r="L6" s="63" t="s">
        <v>77</v>
      </c>
      <c r="M6" s="74" t="s">
        <v>21</v>
      </c>
    </row>
    <row r="7" spans="1:13">
      <c r="A7" s="1" t="s">
        <v>3</v>
      </c>
      <c r="B7" s="21" t="s">
        <v>22</v>
      </c>
      <c r="C7" s="23">
        <v>22</v>
      </c>
      <c r="D7" s="24">
        <v>20</v>
      </c>
      <c r="E7" s="43">
        <f>SUM(C7:D7)</f>
        <v>42</v>
      </c>
      <c r="F7" s="22">
        <v>20</v>
      </c>
      <c r="G7" s="23">
        <v>21</v>
      </c>
      <c r="H7" s="23">
        <v>21</v>
      </c>
      <c r="I7" s="23">
        <v>21</v>
      </c>
      <c r="J7" s="23">
        <v>22</v>
      </c>
      <c r="K7" s="53">
        <v>23</v>
      </c>
      <c r="L7" s="64">
        <f>SUM(F7:K7)</f>
        <v>128</v>
      </c>
      <c r="M7" s="64">
        <f>E7+L7</f>
        <v>170</v>
      </c>
    </row>
    <row r="8" spans="1:13">
      <c r="A8" s="1" t="s">
        <v>3</v>
      </c>
      <c r="B8" s="4" t="s">
        <v>23</v>
      </c>
      <c r="C8" s="10">
        <v>0</v>
      </c>
      <c r="D8" s="11">
        <v>0</v>
      </c>
      <c r="E8" s="44"/>
      <c r="F8" s="9">
        <v>2</v>
      </c>
      <c r="G8" s="10">
        <v>2</v>
      </c>
      <c r="H8" s="10">
        <v>3</v>
      </c>
      <c r="I8" s="10">
        <v>2</v>
      </c>
      <c r="J8" s="10">
        <v>2</v>
      </c>
      <c r="K8" s="54">
        <v>2</v>
      </c>
      <c r="L8" s="65">
        <f>SUM(F8:K8)</f>
        <v>13</v>
      </c>
      <c r="M8" s="65">
        <f t="shared" ref="M8:M53" si="0">E8+L8</f>
        <v>13</v>
      </c>
    </row>
    <row r="9" spans="1:13">
      <c r="A9" s="1" t="s">
        <v>3</v>
      </c>
      <c r="B9" s="4" t="s">
        <v>24</v>
      </c>
      <c r="C9" s="10">
        <v>0</v>
      </c>
      <c r="D9" s="11">
        <v>0</v>
      </c>
      <c r="E9" s="44"/>
      <c r="F9" s="9">
        <v>1</v>
      </c>
      <c r="G9" s="10">
        <v>1</v>
      </c>
      <c r="H9" s="10">
        <v>0</v>
      </c>
      <c r="I9" s="10">
        <v>0</v>
      </c>
      <c r="J9" s="10">
        <v>1</v>
      </c>
      <c r="K9" s="54">
        <v>0</v>
      </c>
      <c r="L9" s="65">
        <f>SUM(F9:K9)</f>
        <v>3</v>
      </c>
      <c r="M9" s="65">
        <f t="shared" si="0"/>
        <v>3</v>
      </c>
    </row>
    <row r="10" spans="1:13">
      <c r="A10" s="1" t="s">
        <v>3</v>
      </c>
      <c r="B10" s="4" t="s">
        <v>25</v>
      </c>
      <c r="C10" s="10">
        <v>0</v>
      </c>
      <c r="D10" s="11">
        <v>0</v>
      </c>
      <c r="E10" s="44"/>
      <c r="F10" s="9">
        <v>0</v>
      </c>
      <c r="G10" s="10">
        <v>0</v>
      </c>
      <c r="H10" s="10">
        <v>0</v>
      </c>
      <c r="I10" s="10">
        <v>0</v>
      </c>
      <c r="J10" s="10">
        <v>0</v>
      </c>
      <c r="K10" s="54">
        <v>0</v>
      </c>
      <c r="L10" s="65"/>
      <c r="M10" s="65">
        <f t="shared" si="0"/>
        <v>0</v>
      </c>
    </row>
    <row r="11" spans="1:13">
      <c r="A11" s="1" t="s">
        <v>3</v>
      </c>
      <c r="B11" s="4" t="s">
        <v>26</v>
      </c>
      <c r="C11" s="10">
        <v>1</v>
      </c>
      <c r="D11" s="11">
        <v>0</v>
      </c>
      <c r="E11" s="44">
        <f>SUM(C11:D11)</f>
        <v>1</v>
      </c>
      <c r="F11" s="9">
        <v>3</v>
      </c>
      <c r="G11" s="10">
        <v>2</v>
      </c>
      <c r="H11" s="10">
        <v>2</v>
      </c>
      <c r="I11" s="10">
        <v>2</v>
      </c>
      <c r="J11" s="10">
        <v>1</v>
      </c>
      <c r="K11" s="54">
        <v>0</v>
      </c>
      <c r="L11" s="65">
        <f>SUM(F11:K11)</f>
        <v>10</v>
      </c>
      <c r="M11" s="65">
        <f t="shared" si="0"/>
        <v>11</v>
      </c>
    </row>
    <row r="12" spans="1:13">
      <c r="A12" s="1" t="s">
        <v>3</v>
      </c>
      <c r="B12" s="4" t="s">
        <v>27</v>
      </c>
      <c r="C12" s="10">
        <v>0</v>
      </c>
      <c r="D12" s="11">
        <v>0</v>
      </c>
      <c r="E12" s="44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54">
        <v>0</v>
      </c>
      <c r="L12" s="65"/>
      <c r="M12" s="65">
        <f t="shared" si="0"/>
        <v>0</v>
      </c>
    </row>
    <row r="13" spans="1:13">
      <c r="A13" s="1" t="s">
        <v>3</v>
      </c>
      <c r="B13" s="4" t="s">
        <v>28</v>
      </c>
      <c r="C13" s="10">
        <v>0</v>
      </c>
      <c r="D13" s="11">
        <v>0</v>
      </c>
      <c r="E13" s="44"/>
      <c r="F13" s="9">
        <v>0</v>
      </c>
      <c r="G13" s="10">
        <v>0</v>
      </c>
      <c r="H13" s="10">
        <v>0</v>
      </c>
      <c r="I13" s="10">
        <v>0</v>
      </c>
      <c r="J13" s="10">
        <v>0</v>
      </c>
      <c r="K13" s="54">
        <v>0</v>
      </c>
      <c r="L13" s="65"/>
      <c r="M13" s="65">
        <f t="shared" si="0"/>
        <v>0</v>
      </c>
    </row>
    <row r="14" spans="1:13">
      <c r="A14" s="1" t="s">
        <v>3</v>
      </c>
      <c r="B14" s="4" t="s">
        <v>29</v>
      </c>
      <c r="C14" s="10">
        <v>0</v>
      </c>
      <c r="D14" s="11">
        <v>0</v>
      </c>
      <c r="E14" s="44"/>
      <c r="F14" s="9">
        <v>0</v>
      </c>
      <c r="G14" s="10">
        <v>0</v>
      </c>
      <c r="H14" s="10">
        <v>0</v>
      </c>
      <c r="I14" s="10">
        <v>0</v>
      </c>
      <c r="J14" s="10">
        <v>0</v>
      </c>
      <c r="K14" s="54">
        <v>0</v>
      </c>
      <c r="L14" s="65"/>
      <c r="M14" s="65">
        <f t="shared" si="0"/>
        <v>0</v>
      </c>
    </row>
    <row r="15" spans="1:13">
      <c r="A15" s="1" t="s">
        <v>3</v>
      </c>
      <c r="B15" s="4" t="s">
        <v>30</v>
      </c>
      <c r="C15" s="13">
        <v>0</v>
      </c>
      <c r="D15" s="14">
        <v>4.166666666666667</v>
      </c>
      <c r="E15" s="45">
        <f>SUM(C15:D15)</f>
        <v>4.166666666666667</v>
      </c>
      <c r="F15" s="12">
        <v>0</v>
      </c>
      <c r="G15" s="13">
        <v>0</v>
      </c>
      <c r="H15" s="13">
        <v>0</v>
      </c>
      <c r="I15" s="13">
        <v>0</v>
      </c>
      <c r="J15" s="13">
        <v>0</v>
      </c>
      <c r="K15" s="55">
        <v>0</v>
      </c>
      <c r="L15" s="66"/>
      <c r="M15" s="66">
        <f t="shared" si="0"/>
        <v>4.166666666666667</v>
      </c>
    </row>
    <row r="16" spans="1:13">
      <c r="A16" s="1" t="s">
        <v>3</v>
      </c>
      <c r="B16" s="4" t="s">
        <v>31</v>
      </c>
      <c r="C16" s="13">
        <v>0</v>
      </c>
      <c r="D16" s="14">
        <v>0</v>
      </c>
      <c r="E16" s="45"/>
      <c r="F16" s="12">
        <v>0</v>
      </c>
      <c r="G16" s="13">
        <v>0</v>
      </c>
      <c r="H16" s="13">
        <v>0</v>
      </c>
      <c r="I16" s="13">
        <v>0</v>
      </c>
      <c r="J16" s="13">
        <v>0</v>
      </c>
      <c r="K16" s="55">
        <v>0</v>
      </c>
      <c r="L16" s="66"/>
      <c r="M16" s="66">
        <f t="shared" si="0"/>
        <v>0</v>
      </c>
    </row>
    <row r="17" spans="1:13">
      <c r="A17" s="1" t="s">
        <v>3</v>
      </c>
      <c r="B17" s="4" t="s">
        <v>32</v>
      </c>
      <c r="C17" s="13">
        <v>0</v>
      </c>
      <c r="D17" s="14">
        <v>0</v>
      </c>
      <c r="E17" s="45"/>
      <c r="F17" s="12">
        <v>0.66666666666666663</v>
      </c>
      <c r="G17" s="13">
        <v>0.66666666666666663</v>
      </c>
      <c r="H17" s="13">
        <v>1.7083333333333335</v>
      </c>
      <c r="I17" s="13">
        <v>0.875</v>
      </c>
      <c r="J17" s="13">
        <v>0.95833333333333337</v>
      </c>
      <c r="K17" s="55">
        <v>1.5</v>
      </c>
      <c r="L17" s="66">
        <f>SUM(F17:K17)</f>
        <v>6.375</v>
      </c>
      <c r="M17" s="66">
        <f t="shared" si="0"/>
        <v>6.375</v>
      </c>
    </row>
    <row r="18" spans="1:13">
      <c r="A18" s="1" t="s">
        <v>3</v>
      </c>
      <c r="B18" s="4" t="s">
        <v>33</v>
      </c>
      <c r="C18" s="13">
        <v>0</v>
      </c>
      <c r="D18" s="14">
        <v>0</v>
      </c>
      <c r="E18" s="45"/>
      <c r="F18" s="12">
        <v>0.70833333333333337</v>
      </c>
      <c r="G18" s="13">
        <v>0.79166666666666663</v>
      </c>
      <c r="H18" s="13">
        <v>1.2083333333333333</v>
      </c>
      <c r="I18" s="13">
        <v>0.5</v>
      </c>
      <c r="J18" s="13">
        <v>0.875</v>
      </c>
      <c r="K18" s="55">
        <v>0.70833333333333337</v>
      </c>
      <c r="L18" s="66">
        <f t="shared" ref="L18:L19" si="1">SUM(F18:K18)</f>
        <v>4.7916666666666661</v>
      </c>
      <c r="M18" s="66">
        <f t="shared" si="0"/>
        <v>4.7916666666666661</v>
      </c>
    </row>
    <row r="19" spans="1:13">
      <c r="A19" s="1" t="s">
        <v>3</v>
      </c>
      <c r="B19" s="4" t="s">
        <v>34</v>
      </c>
      <c r="C19" s="13">
        <v>0</v>
      </c>
      <c r="D19" s="14">
        <v>0</v>
      </c>
      <c r="E19" s="45"/>
      <c r="F19" s="12">
        <v>0.33333333333333331</v>
      </c>
      <c r="G19" s="13">
        <v>0.33333333333333331</v>
      </c>
      <c r="H19" s="13">
        <v>0</v>
      </c>
      <c r="I19" s="13">
        <v>0</v>
      </c>
      <c r="J19" s="13">
        <v>0.33333333333333331</v>
      </c>
      <c r="K19" s="55">
        <v>0</v>
      </c>
      <c r="L19" s="66">
        <f t="shared" si="1"/>
        <v>1</v>
      </c>
      <c r="M19" s="66">
        <f t="shared" si="0"/>
        <v>1</v>
      </c>
    </row>
    <row r="20" spans="1:13">
      <c r="A20" s="1" t="s">
        <v>3</v>
      </c>
      <c r="B20" s="4" t="s">
        <v>35</v>
      </c>
      <c r="C20" s="13">
        <v>0</v>
      </c>
      <c r="D20" s="14">
        <v>0</v>
      </c>
      <c r="E20" s="45"/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5">
        <v>0</v>
      </c>
      <c r="L20" s="66"/>
      <c r="M20" s="66">
        <f t="shared" si="0"/>
        <v>0</v>
      </c>
    </row>
    <row r="21" spans="1:13">
      <c r="A21" s="1" t="s">
        <v>3</v>
      </c>
      <c r="B21" s="4" t="s">
        <v>36</v>
      </c>
      <c r="C21" s="13">
        <v>0</v>
      </c>
      <c r="D21" s="14">
        <v>0</v>
      </c>
      <c r="E21" s="45"/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55">
        <v>0</v>
      </c>
      <c r="L21" s="66"/>
      <c r="M21" s="66">
        <f t="shared" si="0"/>
        <v>0</v>
      </c>
    </row>
    <row r="22" spans="1:13">
      <c r="A22" s="1" t="s">
        <v>3</v>
      </c>
      <c r="B22" s="4" t="s">
        <v>37</v>
      </c>
      <c r="C22" s="13">
        <v>0</v>
      </c>
      <c r="D22" s="14">
        <v>0</v>
      </c>
      <c r="E22" s="45"/>
      <c r="F22" s="12">
        <v>0</v>
      </c>
      <c r="G22" s="13">
        <v>0</v>
      </c>
      <c r="H22" s="13">
        <v>0</v>
      </c>
      <c r="I22" s="13">
        <v>0</v>
      </c>
      <c r="J22" s="13">
        <v>0</v>
      </c>
      <c r="K22" s="55">
        <v>0</v>
      </c>
      <c r="L22" s="66"/>
      <c r="M22" s="66">
        <f t="shared" si="0"/>
        <v>0</v>
      </c>
    </row>
    <row r="23" spans="1:13">
      <c r="A23" s="1" t="s">
        <v>3</v>
      </c>
      <c r="B23" s="4" t="s">
        <v>38</v>
      </c>
      <c r="C23" s="13">
        <v>0</v>
      </c>
      <c r="D23" s="14">
        <v>0</v>
      </c>
      <c r="E23" s="45"/>
      <c r="F23" s="12">
        <v>0</v>
      </c>
      <c r="G23" s="13">
        <v>0</v>
      </c>
      <c r="H23" s="13">
        <v>0</v>
      </c>
      <c r="I23" s="13">
        <v>0</v>
      </c>
      <c r="J23" s="13">
        <v>0</v>
      </c>
      <c r="K23" s="55">
        <v>0</v>
      </c>
      <c r="L23" s="66"/>
      <c r="M23" s="66">
        <f t="shared" si="0"/>
        <v>0</v>
      </c>
    </row>
    <row r="24" spans="1:13">
      <c r="A24" s="1" t="s">
        <v>3</v>
      </c>
      <c r="B24" s="4" t="s">
        <v>39</v>
      </c>
      <c r="C24" s="13">
        <v>0</v>
      </c>
      <c r="D24" s="14">
        <v>0</v>
      </c>
      <c r="E24" s="45"/>
      <c r="F24" s="12">
        <v>0</v>
      </c>
      <c r="G24" s="13">
        <v>0</v>
      </c>
      <c r="H24" s="13">
        <v>0</v>
      </c>
      <c r="I24" s="13">
        <v>0</v>
      </c>
      <c r="J24" s="13">
        <v>0</v>
      </c>
      <c r="K24" s="55">
        <v>0</v>
      </c>
      <c r="L24" s="66"/>
      <c r="M24" s="66">
        <f t="shared" si="0"/>
        <v>0</v>
      </c>
    </row>
    <row r="25" spans="1:13">
      <c r="A25" s="1" t="s">
        <v>3</v>
      </c>
      <c r="B25" s="4" t="s">
        <v>40</v>
      </c>
      <c r="C25" s="13">
        <v>0</v>
      </c>
      <c r="D25" s="14">
        <v>0</v>
      </c>
      <c r="E25" s="45"/>
      <c r="F25" s="12">
        <v>0</v>
      </c>
      <c r="G25" s="13">
        <v>0</v>
      </c>
      <c r="H25" s="13">
        <v>0</v>
      </c>
      <c r="I25" s="13">
        <v>0</v>
      </c>
      <c r="J25" s="13">
        <v>0</v>
      </c>
      <c r="K25" s="55">
        <v>0</v>
      </c>
      <c r="L25" s="66"/>
      <c r="M25" s="66">
        <f t="shared" si="0"/>
        <v>0</v>
      </c>
    </row>
    <row r="26" spans="1:13">
      <c r="A26" s="1" t="s">
        <v>3</v>
      </c>
      <c r="B26" s="4" t="s">
        <v>41</v>
      </c>
      <c r="C26" s="13">
        <v>0</v>
      </c>
      <c r="D26" s="14">
        <v>0</v>
      </c>
      <c r="E26" s="45"/>
      <c r="F26" s="12">
        <v>4.1666666666666664E-2</v>
      </c>
      <c r="G26" s="13">
        <v>0</v>
      </c>
      <c r="H26" s="13">
        <v>4.1666666666666664E-2</v>
      </c>
      <c r="I26" s="13">
        <v>0.125</v>
      </c>
      <c r="J26" s="13">
        <v>0</v>
      </c>
      <c r="K26" s="55">
        <v>4.1666666666666664E-2</v>
      </c>
      <c r="L26" s="66">
        <f>SUM(F26:K26)</f>
        <v>0.24999999999999997</v>
      </c>
      <c r="M26" s="66">
        <f t="shared" si="0"/>
        <v>0.24999999999999997</v>
      </c>
    </row>
    <row r="27" spans="1:13" ht="19.5" thickBot="1">
      <c r="A27" s="1" t="s">
        <v>3</v>
      </c>
      <c r="B27" s="5" t="s">
        <v>42</v>
      </c>
      <c r="C27" s="33">
        <v>28</v>
      </c>
      <c r="D27" s="34">
        <v>20</v>
      </c>
      <c r="E27" s="46">
        <f>SUM(C27:D27)</f>
        <v>48</v>
      </c>
      <c r="F27" s="32">
        <v>15</v>
      </c>
      <c r="G27" s="33">
        <v>13</v>
      </c>
      <c r="H27" s="33">
        <v>23</v>
      </c>
      <c r="I27" s="33">
        <v>23</v>
      </c>
      <c r="J27" s="33">
        <v>16</v>
      </c>
      <c r="K27" s="56">
        <v>0</v>
      </c>
      <c r="L27" s="67">
        <f>SUM(F27:K27)</f>
        <v>90</v>
      </c>
      <c r="M27" s="67">
        <f t="shared" si="0"/>
        <v>138</v>
      </c>
    </row>
    <row r="28" spans="1:13">
      <c r="A28" s="1" t="s">
        <v>3</v>
      </c>
      <c r="B28" s="21" t="s">
        <v>43</v>
      </c>
      <c r="C28" s="30">
        <v>365000</v>
      </c>
      <c r="D28" s="31">
        <v>0</v>
      </c>
      <c r="E28" s="31">
        <f>SUM(C28:D28)</f>
        <v>365000</v>
      </c>
      <c r="F28" s="29">
        <v>177000</v>
      </c>
      <c r="G28" s="30">
        <v>187000</v>
      </c>
      <c r="H28" s="30">
        <v>177000</v>
      </c>
      <c r="I28" s="30">
        <v>187000</v>
      </c>
      <c r="J28" s="30">
        <v>170000</v>
      </c>
      <c r="K28" s="57">
        <v>170000</v>
      </c>
      <c r="L28" s="68">
        <f>SUM(F28:K28)</f>
        <v>1068000</v>
      </c>
      <c r="M28" s="68">
        <f t="shared" si="0"/>
        <v>1433000</v>
      </c>
    </row>
    <row r="29" spans="1:13">
      <c r="A29" s="1" t="s">
        <v>3</v>
      </c>
      <c r="B29" s="4" t="s">
        <v>44</v>
      </c>
      <c r="C29" s="16">
        <v>0</v>
      </c>
      <c r="D29" s="17">
        <v>0</v>
      </c>
      <c r="E29" s="17">
        <f t="shared" ref="E29:E58" si="2">SUM(C29:D29)</f>
        <v>0</v>
      </c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58">
        <v>0</v>
      </c>
      <c r="L29" s="69">
        <f t="shared" ref="L29:L58" si="3">SUM(F29:K29)</f>
        <v>0</v>
      </c>
      <c r="M29" s="69">
        <f t="shared" si="0"/>
        <v>0</v>
      </c>
    </row>
    <row r="30" spans="1:13">
      <c r="A30" s="1" t="s">
        <v>3</v>
      </c>
      <c r="B30" s="4" t="s">
        <v>45</v>
      </c>
      <c r="C30" s="16">
        <v>0</v>
      </c>
      <c r="D30" s="17">
        <v>0</v>
      </c>
      <c r="E30" s="17">
        <f t="shared" si="2"/>
        <v>0</v>
      </c>
      <c r="F30" s="15">
        <v>0</v>
      </c>
      <c r="G30" s="16">
        <v>0</v>
      </c>
      <c r="H30" s="16">
        <v>6000</v>
      </c>
      <c r="I30" s="16">
        <v>0</v>
      </c>
      <c r="J30" s="16">
        <v>0</v>
      </c>
      <c r="K30" s="58">
        <v>0</v>
      </c>
      <c r="L30" s="69">
        <f t="shared" si="3"/>
        <v>6000</v>
      </c>
      <c r="M30" s="69">
        <f t="shared" si="0"/>
        <v>6000</v>
      </c>
    </row>
    <row r="31" spans="1:13">
      <c r="A31" s="1" t="s">
        <v>3</v>
      </c>
      <c r="B31" s="4" t="s">
        <v>46</v>
      </c>
      <c r="C31" s="16">
        <v>0</v>
      </c>
      <c r="D31" s="17">
        <v>0</v>
      </c>
      <c r="E31" s="17">
        <f t="shared" si="2"/>
        <v>0</v>
      </c>
      <c r="F31" s="15">
        <v>0</v>
      </c>
      <c r="G31" s="16">
        <v>0</v>
      </c>
      <c r="H31" s="16">
        <v>0</v>
      </c>
      <c r="I31" s="16">
        <v>0</v>
      </c>
      <c r="J31" s="16">
        <v>0</v>
      </c>
      <c r="K31" s="58">
        <v>0</v>
      </c>
      <c r="L31" s="69">
        <f t="shared" si="3"/>
        <v>0</v>
      </c>
      <c r="M31" s="69">
        <f t="shared" si="0"/>
        <v>0</v>
      </c>
    </row>
    <row r="32" spans="1:13">
      <c r="A32" s="1" t="s">
        <v>3</v>
      </c>
      <c r="B32" s="4" t="s">
        <v>47</v>
      </c>
      <c r="C32" s="16">
        <v>0</v>
      </c>
      <c r="D32" s="17">
        <v>0</v>
      </c>
      <c r="E32" s="17">
        <f t="shared" si="2"/>
        <v>0</v>
      </c>
      <c r="F32" s="15">
        <v>82150</v>
      </c>
      <c r="G32" s="16">
        <v>74200</v>
      </c>
      <c r="H32" s="16">
        <v>41100</v>
      </c>
      <c r="I32" s="16">
        <v>67200</v>
      </c>
      <c r="J32" s="16">
        <v>47101</v>
      </c>
      <c r="K32" s="58">
        <v>30552</v>
      </c>
      <c r="L32" s="69">
        <f t="shared" si="3"/>
        <v>342303</v>
      </c>
      <c r="M32" s="69">
        <f t="shared" si="0"/>
        <v>342303</v>
      </c>
    </row>
    <row r="33" spans="1:13">
      <c r="A33" s="1" t="s">
        <v>3</v>
      </c>
      <c r="B33" s="4" t="s">
        <v>48</v>
      </c>
      <c r="C33" s="16">
        <v>0</v>
      </c>
      <c r="D33" s="17">
        <v>92500</v>
      </c>
      <c r="E33" s="17">
        <f t="shared" si="2"/>
        <v>92500</v>
      </c>
      <c r="F33" s="15">
        <v>0</v>
      </c>
      <c r="G33" s="16">
        <v>0</v>
      </c>
      <c r="H33" s="16">
        <v>0</v>
      </c>
      <c r="I33" s="16">
        <v>0</v>
      </c>
      <c r="J33" s="16">
        <v>0</v>
      </c>
      <c r="K33" s="58">
        <v>0</v>
      </c>
      <c r="L33" s="69">
        <f t="shared" si="3"/>
        <v>0</v>
      </c>
      <c r="M33" s="69">
        <f t="shared" si="0"/>
        <v>92500</v>
      </c>
    </row>
    <row r="34" spans="1:13">
      <c r="A34" s="1" t="s">
        <v>3</v>
      </c>
      <c r="B34" s="4" t="s">
        <v>32</v>
      </c>
      <c r="C34" s="16">
        <v>0</v>
      </c>
      <c r="D34" s="17">
        <v>0</v>
      </c>
      <c r="E34" s="17">
        <f t="shared" si="2"/>
        <v>0</v>
      </c>
      <c r="F34" s="15">
        <v>21200</v>
      </c>
      <c r="G34" s="16">
        <v>22400</v>
      </c>
      <c r="H34" s="16">
        <v>56170</v>
      </c>
      <c r="I34" s="16">
        <v>29400</v>
      </c>
      <c r="J34" s="16">
        <v>29279</v>
      </c>
      <c r="K34" s="58">
        <v>45828</v>
      </c>
      <c r="L34" s="69">
        <f t="shared" si="3"/>
        <v>204277</v>
      </c>
      <c r="M34" s="69">
        <f t="shared" si="0"/>
        <v>204277</v>
      </c>
    </row>
    <row r="35" spans="1:13">
      <c r="A35" s="1" t="s">
        <v>3</v>
      </c>
      <c r="B35" s="4" t="s">
        <v>49</v>
      </c>
      <c r="C35" s="16">
        <v>0</v>
      </c>
      <c r="D35" s="17">
        <v>0</v>
      </c>
      <c r="E35" s="17">
        <f t="shared" si="2"/>
        <v>0</v>
      </c>
      <c r="F35" s="15">
        <v>24327</v>
      </c>
      <c r="G35" s="16">
        <v>28728</v>
      </c>
      <c r="H35" s="16">
        <v>42920</v>
      </c>
      <c r="I35" s="16">
        <v>18144</v>
      </c>
      <c r="J35" s="16">
        <v>28854</v>
      </c>
      <c r="K35" s="58">
        <v>23358</v>
      </c>
      <c r="L35" s="69">
        <f t="shared" si="3"/>
        <v>166331</v>
      </c>
      <c r="M35" s="69">
        <f t="shared" si="0"/>
        <v>166331</v>
      </c>
    </row>
    <row r="36" spans="1:13">
      <c r="A36" s="1" t="s">
        <v>3</v>
      </c>
      <c r="B36" s="4" t="s">
        <v>50</v>
      </c>
      <c r="C36" s="16">
        <v>0</v>
      </c>
      <c r="D36" s="17">
        <v>0</v>
      </c>
      <c r="E36" s="17">
        <f t="shared" si="2"/>
        <v>0</v>
      </c>
      <c r="F36" s="15">
        <v>11448</v>
      </c>
      <c r="G36" s="16">
        <v>12096</v>
      </c>
      <c r="H36" s="16">
        <v>0</v>
      </c>
      <c r="I36" s="16">
        <v>0</v>
      </c>
      <c r="J36" s="16">
        <v>10992</v>
      </c>
      <c r="K36" s="58">
        <v>0</v>
      </c>
      <c r="L36" s="69">
        <f t="shared" si="3"/>
        <v>34536</v>
      </c>
      <c r="M36" s="69">
        <f t="shared" si="0"/>
        <v>34536</v>
      </c>
    </row>
    <row r="37" spans="1:13">
      <c r="A37" s="1" t="s">
        <v>3</v>
      </c>
      <c r="B37" s="4" t="s">
        <v>51</v>
      </c>
      <c r="C37" s="16">
        <v>0</v>
      </c>
      <c r="D37" s="17">
        <v>0</v>
      </c>
      <c r="E37" s="17">
        <f t="shared" si="2"/>
        <v>0</v>
      </c>
      <c r="F37" s="15">
        <v>0</v>
      </c>
      <c r="G37" s="16">
        <v>0</v>
      </c>
      <c r="H37" s="16">
        <v>0</v>
      </c>
      <c r="I37" s="16">
        <v>0</v>
      </c>
      <c r="J37" s="16">
        <v>0</v>
      </c>
      <c r="K37" s="58">
        <v>0</v>
      </c>
      <c r="L37" s="69">
        <f t="shared" si="3"/>
        <v>0</v>
      </c>
      <c r="M37" s="69">
        <f t="shared" si="0"/>
        <v>0</v>
      </c>
    </row>
    <row r="38" spans="1:13">
      <c r="A38" s="1" t="s">
        <v>3</v>
      </c>
      <c r="B38" s="4" t="s">
        <v>52</v>
      </c>
      <c r="C38" s="16">
        <v>0</v>
      </c>
      <c r="D38" s="17">
        <v>0</v>
      </c>
      <c r="E38" s="17">
        <f t="shared" si="2"/>
        <v>0</v>
      </c>
      <c r="F38" s="15">
        <v>0</v>
      </c>
      <c r="G38" s="16">
        <v>0</v>
      </c>
      <c r="H38" s="16">
        <v>0</v>
      </c>
      <c r="I38" s="16">
        <v>0</v>
      </c>
      <c r="J38" s="16">
        <v>0</v>
      </c>
      <c r="K38" s="58">
        <v>0</v>
      </c>
      <c r="L38" s="69">
        <f t="shared" si="3"/>
        <v>0</v>
      </c>
      <c r="M38" s="69">
        <f t="shared" si="0"/>
        <v>0</v>
      </c>
    </row>
    <row r="39" spans="1:13">
      <c r="A39" s="1" t="s">
        <v>3</v>
      </c>
      <c r="B39" s="4" t="s">
        <v>53</v>
      </c>
      <c r="C39" s="16">
        <v>0</v>
      </c>
      <c r="D39" s="17">
        <v>0</v>
      </c>
      <c r="E39" s="17">
        <f t="shared" si="2"/>
        <v>0</v>
      </c>
      <c r="F39" s="15">
        <v>0</v>
      </c>
      <c r="G39" s="16">
        <v>0</v>
      </c>
      <c r="H39" s="16">
        <v>0</v>
      </c>
      <c r="I39" s="16">
        <v>0</v>
      </c>
      <c r="J39" s="16">
        <v>0</v>
      </c>
      <c r="K39" s="58">
        <v>0</v>
      </c>
      <c r="L39" s="69">
        <f t="shared" si="3"/>
        <v>0</v>
      </c>
      <c r="M39" s="69">
        <f t="shared" si="0"/>
        <v>0</v>
      </c>
    </row>
    <row r="40" spans="1:13">
      <c r="A40" s="1" t="s">
        <v>3</v>
      </c>
      <c r="B40" s="4" t="s">
        <v>37</v>
      </c>
      <c r="C40" s="16">
        <v>0</v>
      </c>
      <c r="D40" s="17">
        <v>0</v>
      </c>
      <c r="E40" s="17">
        <f t="shared" si="2"/>
        <v>0</v>
      </c>
      <c r="F40" s="15">
        <v>0</v>
      </c>
      <c r="G40" s="16">
        <v>0</v>
      </c>
      <c r="H40" s="16">
        <v>0</v>
      </c>
      <c r="I40" s="16">
        <v>0</v>
      </c>
      <c r="J40" s="16">
        <v>0</v>
      </c>
      <c r="K40" s="58">
        <v>0</v>
      </c>
      <c r="L40" s="69">
        <f t="shared" si="3"/>
        <v>0</v>
      </c>
      <c r="M40" s="69">
        <f t="shared" si="0"/>
        <v>0</v>
      </c>
    </row>
    <row r="41" spans="1:13" ht="19.5" thickBot="1">
      <c r="A41" s="1" t="s">
        <v>3</v>
      </c>
      <c r="B41" s="35" t="s">
        <v>41</v>
      </c>
      <c r="C41" s="37">
        <v>0</v>
      </c>
      <c r="D41" s="38">
        <v>0</v>
      </c>
      <c r="E41" s="38">
        <f t="shared" si="2"/>
        <v>0</v>
      </c>
      <c r="F41" s="36">
        <v>265</v>
      </c>
      <c r="G41" s="37">
        <v>0</v>
      </c>
      <c r="H41" s="37">
        <v>274</v>
      </c>
      <c r="I41" s="37">
        <v>840</v>
      </c>
      <c r="J41" s="37">
        <v>0</v>
      </c>
      <c r="K41" s="59">
        <v>255</v>
      </c>
      <c r="L41" s="70">
        <f t="shared" si="3"/>
        <v>1634</v>
      </c>
      <c r="M41" s="70">
        <f t="shared" si="0"/>
        <v>1634</v>
      </c>
    </row>
    <row r="42" spans="1:13" ht="19.5" thickBot="1">
      <c r="A42" s="1" t="s">
        <v>3</v>
      </c>
      <c r="B42" s="39" t="s">
        <v>54</v>
      </c>
      <c r="C42" s="41">
        <v>365000</v>
      </c>
      <c r="D42" s="42">
        <v>92500</v>
      </c>
      <c r="E42" s="42">
        <f t="shared" si="2"/>
        <v>457500</v>
      </c>
      <c r="F42" s="40">
        <v>316390</v>
      </c>
      <c r="G42" s="41">
        <v>324424</v>
      </c>
      <c r="H42" s="41">
        <v>323464</v>
      </c>
      <c r="I42" s="41">
        <v>302584</v>
      </c>
      <c r="J42" s="41">
        <v>286226</v>
      </c>
      <c r="K42" s="60">
        <v>269993</v>
      </c>
      <c r="L42" s="71">
        <f t="shared" si="3"/>
        <v>1823081</v>
      </c>
      <c r="M42" s="71">
        <f t="shared" si="0"/>
        <v>2280581</v>
      </c>
    </row>
    <row r="43" spans="1:13" ht="19.5" thickBot="1">
      <c r="A43" s="1" t="s">
        <v>3</v>
      </c>
      <c r="B43" s="21" t="s">
        <v>55</v>
      </c>
      <c r="C43" s="30">
        <v>4496</v>
      </c>
      <c r="D43" s="31">
        <v>3147</v>
      </c>
      <c r="E43" s="31">
        <f t="shared" si="2"/>
        <v>7643</v>
      </c>
      <c r="F43" s="29">
        <v>6204</v>
      </c>
      <c r="G43" s="30">
        <v>4856</v>
      </c>
      <c r="H43" s="30">
        <v>9171</v>
      </c>
      <c r="I43" s="30">
        <v>1551</v>
      </c>
      <c r="J43" s="30">
        <v>13487</v>
      </c>
      <c r="K43" s="57">
        <v>6744</v>
      </c>
      <c r="L43" s="68">
        <f t="shared" si="3"/>
        <v>42013</v>
      </c>
      <c r="M43" s="68">
        <f t="shared" si="0"/>
        <v>49656</v>
      </c>
    </row>
    <row r="44" spans="1:13" ht="19.5" thickBot="1">
      <c r="A44" s="1" t="s">
        <v>3</v>
      </c>
      <c r="B44" s="39" t="s">
        <v>56</v>
      </c>
      <c r="C44" s="41">
        <v>4496</v>
      </c>
      <c r="D44" s="42">
        <v>3147</v>
      </c>
      <c r="E44" s="42">
        <f t="shared" si="2"/>
        <v>7643</v>
      </c>
      <c r="F44" s="40">
        <v>6204</v>
      </c>
      <c r="G44" s="41">
        <v>4856</v>
      </c>
      <c r="H44" s="41">
        <v>9171</v>
      </c>
      <c r="I44" s="41">
        <v>1551</v>
      </c>
      <c r="J44" s="41">
        <v>13487</v>
      </c>
      <c r="K44" s="60">
        <v>6744</v>
      </c>
      <c r="L44" s="71">
        <f t="shared" si="3"/>
        <v>42013</v>
      </c>
      <c r="M44" s="71">
        <f t="shared" si="0"/>
        <v>49656</v>
      </c>
    </row>
    <row r="45" spans="1:13" ht="19.5" thickBot="1">
      <c r="A45" s="1" t="s">
        <v>3</v>
      </c>
      <c r="B45" s="39" t="s">
        <v>57</v>
      </c>
      <c r="C45" s="41">
        <v>369496</v>
      </c>
      <c r="D45" s="42">
        <v>95647</v>
      </c>
      <c r="E45" s="42">
        <f t="shared" si="2"/>
        <v>465143</v>
      </c>
      <c r="F45" s="40">
        <v>322594</v>
      </c>
      <c r="G45" s="41">
        <v>329280</v>
      </c>
      <c r="H45" s="41">
        <v>332635</v>
      </c>
      <c r="I45" s="41">
        <v>304135</v>
      </c>
      <c r="J45" s="41">
        <v>299713</v>
      </c>
      <c r="K45" s="60">
        <v>276737</v>
      </c>
      <c r="L45" s="71">
        <f t="shared" si="3"/>
        <v>1865094</v>
      </c>
      <c r="M45" s="71">
        <f t="shared" si="0"/>
        <v>2330237</v>
      </c>
    </row>
    <row r="46" spans="1:13">
      <c r="A46" s="1" t="s">
        <v>3</v>
      </c>
      <c r="B46" s="21" t="s">
        <v>58</v>
      </c>
      <c r="C46" s="30">
        <v>18360</v>
      </c>
      <c r="D46" s="31">
        <v>0</v>
      </c>
      <c r="E46" s="31">
        <f t="shared" si="2"/>
        <v>18360</v>
      </c>
      <c r="F46" s="29">
        <v>15300</v>
      </c>
      <c r="G46" s="30">
        <v>16320</v>
      </c>
      <c r="H46" s="30">
        <v>16320</v>
      </c>
      <c r="I46" s="30">
        <v>16320</v>
      </c>
      <c r="J46" s="30">
        <v>13260</v>
      </c>
      <c r="K46" s="57">
        <v>13260</v>
      </c>
      <c r="L46" s="68">
        <f t="shared" si="3"/>
        <v>90780</v>
      </c>
      <c r="M46" s="68">
        <f t="shared" si="0"/>
        <v>109140</v>
      </c>
    </row>
    <row r="47" spans="1:13">
      <c r="A47" s="1" t="s">
        <v>3</v>
      </c>
      <c r="B47" s="4" t="s">
        <v>59</v>
      </c>
      <c r="C47" s="16">
        <v>3240</v>
      </c>
      <c r="D47" s="17">
        <v>0</v>
      </c>
      <c r="E47" s="17">
        <f t="shared" si="2"/>
        <v>3240</v>
      </c>
      <c r="F47" s="15">
        <v>0</v>
      </c>
      <c r="G47" s="16">
        <v>2880</v>
      </c>
      <c r="H47" s="16">
        <v>2880</v>
      </c>
      <c r="I47" s="16">
        <v>2880</v>
      </c>
      <c r="J47" s="16">
        <v>2340</v>
      </c>
      <c r="K47" s="58">
        <v>2340</v>
      </c>
      <c r="L47" s="69">
        <f t="shared" si="3"/>
        <v>13320</v>
      </c>
      <c r="M47" s="69">
        <f t="shared" si="0"/>
        <v>16560</v>
      </c>
    </row>
    <row r="48" spans="1:13">
      <c r="A48" s="1" t="s">
        <v>3</v>
      </c>
      <c r="B48" s="4" t="s">
        <v>60</v>
      </c>
      <c r="C48" s="16">
        <v>32940</v>
      </c>
      <c r="D48" s="17">
        <v>0</v>
      </c>
      <c r="E48" s="17">
        <f t="shared" si="2"/>
        <v>32940</v>
      </c>
      <c r="F48" s="15">
        <v>27450</v>
      </c>
      <c r="G48" s="16">
        <v>29280</v>
      </c>
      <c r="H48" s="16">
        <v>29280</v>
      </c>
      <c r="I48" s="16">
        <v>29280</v>
      </c>
      <c r="J48" s="16">
        <v>23790</v>
      </c>
      <c r="K48" s="58">
        <v>23790</v>
      </c>
      <c r="L48" s="69">
        <f t="shared" si="3"/>
        <v>162870</v>
      </c>
      <c r="M48" s="69">
        <f t="shared" si="0"/>
        <v>195810</v>
      </c>
    </row>
    <row r="49" spans="1:13">
      <c r="A49" s="1" t="s">
        <v>3</v>
      </c>
      <c r="B49" s="4" t="s">
        <v>61</v>
      </c>
      <c r="C49" s="16">
        <v>1108</v>
      </c>
      <c r="D49" s="17">
        <v>287</v>
      </c>
      <c r="E49" s="17">
        <f t="shared" si="2"/>
        <v>1395</v>
      </c>
      <c r="F49" s="15">
        <v>968</v>
      </c>
      <c r="G49" s="16">
        <v>988</v>
      </c>
      <c r="H49" s="16">
        <v>998</v>
      </c>
      <c r="I49" s="16">
        <v>912</v>
      </c>
      <c r="J49" s="16">
        <v>899</v>
      </c>
      <c r="K49" s="58">
        <v>830</v>
      </c>
      <c r="L49" s="69">
        <f t="shared" si="3"/>
        <v>5595</v>
      </c>
      <c r="M49" s="69">
        <f t="shared" si="0"/>
        <v>6990</v>
      </c>
    </row>
    <row r="50" spans="1:13" ht="19.5" thickBot="1">
      <c r="A50" s="1" t="s">
        <v>3</v>
      </c>
      <c r="B50" s="35" t="s">
        <v>62</v>
      </c>
      <c r="C50" s="37">
        <v>0</v>
      </c>
      <c r="D50" s="38">
        <v>0</v>
      </c>
      <c r="E50" s="38">
        <f t="shared" si="2"/>
        <v>0</v>
      </c>
      <c r="F50" s="36">
        <v>0</v>
      </c>
      <c r="G50" s="37">
        <v>0</v>
      </c>
      <c r="H50" s="37">
        <v>0</v>
      </c>
      <c r="I50" s="37">
        <v>0</v>
      </c>
      <c r="J50" s="37">
        <v>0</v>
      </c>
      <c r="K50" s="59">
        <v>0</v>
      </c>
      <c r="L50" s="70">
        <f t="shared" si="3"/>
        <v>0</v>
      </c>
      <c r="M50" s="70">
        <f t="shared" si="0"/>
        <v>0</v>
      </c>
    </row>
    <row r="51" spans="1:13" ht="19.5" thickBot="1">
      <c r="A51" s="1" t="s">
        <v>3</v>
      </c>
      <c r="B51" s="39" t="s">
        <v>63</v>
      </c>
      <c r="C51" s="41">
        <v>55648</v>
      </c>
      <c r="D51" s="42">
        <v>287</v>
      </c>
      <c r="E51" s="42">
        <f t="shared" si="2"/>
        <v>55935</v>
      </c>
      <c r="F51" s="40">
        <v>43718</v>
      </c>
      <c r="G51" s="41">
        <v>49468</v>
      </c>
      <c r="H51" s="41">
        <v>49478</v>
      </c>
      <c r="I51" s="41">
        <v>49392</v>
      </c>
      <c r="J51" s="41">
        <v>40289</v>
      </c>
      <c r="K51" s="60">
        <v>40220</v>
      </c>
      <c r="L51" s="71">
        <f t="shared" si="3"/>
        <v>272565</v>
      </c>
      <c r="M51" s="71">
        <f t="shared" si="0"/>
        <v>328500</v>
      </c>
    </row>
    <row r="52" spans="1:13">
      <c r="A52" s="1" t="s">
        <v>3</v>
      </c>
      <c r="B52" s="21" t="s">
        <v>64</v>
      </c>
      <c r="C52" s="30">
        <v>9140</v>
      </c>
      <c r="D52" s="31">
        <v>330</v>
      </c>
      <c r="E52" s="31">
        <f t="shared" si="2"/>
        <v>9470</v>
      </c>
      <c r="F52" s="29">
        <v>7360</v>
      </c>
      <c r="G52" s="30">
        <v>5830</v>
      </c>
      <c r="H52" s="30">
        <v>7410</v>
      </c>
      <c r="I52" s="30">
        <v>5050</v>
      </c>
      <c r="J52" s="30">
        <v>4790</v>
      </c>
      <c r="K52" s="57">
        <v>5830</v>
      </c>
      <c r="L52" s="68">
        <f t="shared" si="3"/>
        <v>36270</v>
      </c>
      <c r="M52" s="68">
        <f t="shared" si="0"/>
        <v>45740</v>
      </c>
    </row>
    <row r="53" spans="1:13">
      <c r="A53" s="1"/>
      <c r="B53" s="4" t="s">
        <v>65</v>
      </c>
      <c r="C53" s="16">
        <v>19300</v>
      </c>
      <c r="D53" s="17">
        <v>700</v>
      </c>
      <c r="E53" s="17">
        <f t="shared" ref="E53" si="4">SUM(C53:D53)</f>
        <v>20000</v>
      </c>
      <c r="F53" s="15">
        <v>12700</v>
      </c>
      <c r="G53" s="16">
        <v>6400</v>
      </c>
      <c r="H53" s="16">
        <v>6800</v>
      </c>
      <c r="I53" s="16">
        <v>11700</v>
      </c>
      <c r="J53" s="16">
        <v>2000</v>
      </c>
      <c r="K53" s="58">
        <v>0</v>
      </c>
      <c r="L53" s="69">
        <f t="shared" ref="L53" si="5">SUM(F53:K53)</f>
        <v>39600</v>
      </c>
      <c r="M53" s="69">
        <f t="shared" si="0"/>
        <v>59600</v>
      </c>
    </row>
    <row r="54" spans="1:13" ht="19.5" thickBot="1">
      <c r="A54" s="1" t="s">
        <v>3</v>
      </c>
      <c r="B54" s="4" t="s">
        <v>66</v>
      </c>
      <c r="C54" s="76">
        <v>0</v>
      </c>
      <c r="D54" s="58">
        <v>0</v>
      </c>
      <c r="E54" s="78">
        <f>SUM(C54:D54)</f>
        <v>0</v>
      </c>
      <c r="F54" s="47">
        <v>0</v>
      </c>
      <c r="G54" s="16">
        <v>5000</v>
      </c>
      <c r="H54" s="16">
        <v>0</v>
      </c>
      <c r="I54" s="16">
        <v>0</v>
      </c>
      <c r="J54" s="58">
        <v>0</v>
      </c>
      <c r="K54" s="77"/>
      <c r="L54" s="69">
        <f>SUM(F54:K54)</f>
        <v>5000</v>
      </c>
      <c r="M54" s="69">
        <f>E54+L54</f>
        <v>5000</v>
      </c>
    </row>
    <row r="55" spans="1:13" ht="19.5" thickBot="1">
      <c r="A55" s="1" t="s">
        <v>3</v>
      </c>
      <c r="B55" s="39" t="s">
        <v>67</v>
      </c>
      <c r="C55" s="41">
        <v>84088</v>
      </c>
      <c r="D55" s="42">
        <v>1317</v>
      </c>
      <c r="E55" s="42">
        <f t="shared" si="2"/>
        <v>85405</v>
      </c>
      <c r="F55" s="40">
        <v>63778</v>
      </c>
      <c r="G55" s="41">
        <v>66698</v>
      </c>
      <c r="H55" s="41">
        <v>63688</v>
      </c>
      <c r="I55" s="41">
        <v>66142</v>
      </c>
      <c r="J55" s="41">
        <v>47079</v>
      </c>
      <c r="K55" s="60">
        <v>46050</v>
      </c>
      <c r="L55" s="71">
        <f t="shared" si="3"/>
        <v>353435</v>
      </c>
      <c r="M55" s="71">
        <f t="shared" ref="M55:M58" si="6">E55+L55</f>
        <v>438840</v>
      </c>
    </row>
    <row r="56" spans="1:13" ht="19.5" thickBot="1">
      <c r="A56" s="1" t="s">
        <v>3</v>
      </c>
      <c r="B56" s="39" t="s">
        <v>68</v>
      </c>
      <c r="C56" s="41">
        <v>309352</v>
      </c>
      <c r="D56" s="42">
        <v>92213</v>
      </c>
      <c r="E56" s="42">
        <f t="shared" si="2"/>
        <v>401565</v>
      </c>
      <c r="F56" s="40">
        <v>272672</v>
      </c>
      <c r="G56" s="41">
        <v>274956</v>
      </c>
      <c r="H56" s="41">
        <v>273986</v>
      </c>
      <c r="I56" s="41">
        <v>253192</v>
      </c>
      <c r="J56" s="41">
        <v>245937</v>
      </c>
      <c r="K56" s="60">
        <v>229773</v>
      </c>
      <c r="L56" s="71">
        <f t="shared" si="3"/>
        <v>1550516</v>
      </c>
      <c r="M56" s="71">
        <f t="shared" si="6"/>
        <v>1952081</v>
      </c>
    </row>
    <row r="57" spans="1:13" ht="19.5" thickBot="1">
      <c r="A57" s="1" t="s">
        <v>3</v>
      </c>
      <c r="B57" s="39" t="s">
        <v>69</v>
      </c>
      <c r="C57" s="41">
        <v>285408</v>
      </c>
      <c r="D57" s="42">
        <v>94330</v>
      </c>
      <c r="E57" s="42">
        <f t="shared" si="2"/>
        <v>379738</v>
      </c>
      <c r="F57" s="40">
        <v>258816</v>
      </c>
      <c r="G57" s="41">
        <v>262582</v>
      </c>
      <c r="H57" s="41">
        <v>268947</v>
      </c>
      <c r="I57" s="41">
        <v>237993</v>
      </c>
      <c r="J57" s="41">
        <v>252634</v>
      </c>
      <c r="K57" s="60">
        <v>230687</v>
      </c>
      <c r="L57" s="71">
        <f t="shared" si="3"/>
        <v>1511659</v>
      </c>
      <c r="M57" s="71">
        <f t="shared" si="6"/>
        <v>1891397</v>
      </c>
    </row>
    <row r="58" spans="1:13">
      <c r="A58" s="1" t="s">
        <v>3</v>
      </c>
      <c r="B58" s="4" t="s">
        <v>70</v>
      </c>
      <c r="C58" s="16">
        <v>285408</v>
      </c>
      <c r="D58" s="17">
        <v>94330</v>
      </c>
      <c r="E58" s="17">
        <f t="shared" si="2"/>
        <v>379738</v>
      </c>
      <c r="F58" s="15">
        <v>258816</v>
      </c>
      <c r="G58" s="16">
        <v>262582</v>
      </c>
      <c r="H58" s="16">
        <v>268947</v>
      </c>
      <c r="I58" s="16">
        <v>237993</v>
      </c>
      <c r="J58" s="16">
        <v>252634</v>
      </c>
      <c r="K58" s="58">
        <v>230687</v>
      </c>
      <c r="L58" s="69">
        <f t="shared" si="3"/>
        <v>1511659</v>
      </c>
      <c r="M58" s="69">
        <f t="shared" si="6"/>
        <v>1891397</v>
      </c>
    </row>
    <row r="59" spans="1:13">
      <c r="A59" s="1" t="s">
        <v>3</v>
      </c>
      <c r="B59" s="4" t="s">
        <v>71</v>
      </c>
      <c r="C59" s="16">
        <v>0</v>
      </c>
      <c r="D59" s="17">
        <v>0</v>
      </c>
      <c r="E59" s="47"/>
      <c r="F59" s="15">
        <v>0</v>
      </c>
      <c r="G59" s="16">
        <v>1</v>
      </c>
      <c r="H59" s="16">
        <v>0</v>
      </c>
      <c r="I59" s="16">
        <v>1</v>
      </c>
      <c r="J59" s="16">
        <v>1</v>
      </c>
      <c r="K59" s="58">
        <v>0</v>
      </c>
      <c r="L59" s="69"/>
      <c r="M59" s="69"/>
    </row>
    <row r="60" spans="1:13" ht="19.5" thickBot="1">
      <c r="A60" s="1" t="s">
        <v>3</v>
      </c>
      <c r="B60" s="5" t="s">
        <v>72</v>
      </c>
      <c r="C60" s="19" t="s">
        <v>73</v>
      </c>
      <c r="D60" s="20" t="s">
        <v>73</v>
      </c>
      <c r="E60" s="48"/>
      <c r="F60" s="18" t="s">
        <v>73</v>
      </c>
      <c r="G60" s="19" t="s">
        <v>73</v>
      </c>
      <c r="H60" s="19" t="s">
        <v>73</v>
      </c>
      <c r="I60" s="19" t="s">
        <v>73</v>
      </c>
      <c r="J60" s="19" t="s">
        <v>73</v>
      </c>
      <c r="K60" s="61" t="s">
        <v>73</v>
      </c>
      <c r="L60" s="72"/>
      <c r="M60" s="72"/>
    </row>
  </sheetData>
  <phoneticPr fontId="3"/>
  <pageMargins left="0.11811023622047245" right="0.11811023622047245" top="0.15748031496062992" bottom="0.15748031496062992" header="0.31496062992125984" footer="0.31496062992125984"/>
  <pageSetup paperSize="9" scale="51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2021年 7月度給与 (2)</vt:lpstr>
      <vt:lpstr>'2021年 7月度給与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2021-07-12T06:51:20Z</cp:lastPrinted>
  <dcterms:created xsi:type="dcterms:W3CDTF">2021-07-07T05:19:04Z</dcterms:created>
  <dcterms:modified xsi:type="dcterms:W3CDTF">2021-07-12T07:27:30Z</dcterms:modified>
</cp:coreProperties>
</file>