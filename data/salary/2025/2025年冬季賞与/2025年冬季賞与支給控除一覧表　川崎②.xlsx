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年冬季賞与\"/>
    </mc:Choice>
  </mc:AlternateContent>
  <xr:revisionPtr revIDLastSave="0" documentId="13_ncr:1_{4C4E747F-2A25-4027-A49D-D76E1C48C7D6}" xr6:coauthVersionLast="47" xr6:coauthVersionMax="47" xr10:uidLastSave="{00000000-0000-0000-0000-000000000000}"/>
  <bookViews>
    <workbookView xWindow="-120" yWindow="-120" windowWidth="20730" windowHeight="11160" xr2:uid="{D2822644-3266-4067-BD47-5AC6C66D2B11}"/>
  </bookViews>
  <sheets>
    <sheet name="R7年冬賞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2" l="1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J13" i="2"/>
  <c r="I13" i="2"/>
  <c r="I12" i="2"/>
  <c r="J12" i="2" s="1"/>
  <c r="J11" i="2"/>
  <c r="I11" i="2"/>
  <c r="I10" i="2"/>
  <c r="J10" i="2" s="1"/>
  <c r="J9" i="2"/>
  <c r="I9" i="2"/>
  <c r="G10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9" i="2"/>
</calcChain>
</file>

<file path=xl/sharedStrings.xml><?xml version="1.0" encoding="utf-8"?>
<sst xmlns="http://schemas.openxmlformats.org/spreadsheetml/2006/main" count="52" uniqueCount="36">
  <si>
    <t>賞与支給控除一覧表</t>
    <phoneticPr fontId="4"/>
  </si>
  <si>
    <t>若林運送株式会社</t>
    <phoneticPr fontId="4"/>
  </si>
  <si>
    <t>2025年12月15日 作成</t>
    <phoneticPr fontId="4"/>
  </si>
  <si>
    <t/>
  </si>
  <si>
    <t>R7年冬賞与</t>
    <phoneticPr fontId="4"/>
  </si>
  <si>
    <t>1049</t>
    <phoneticPr fontId="4"/>
  </si>
  <si>
    <t>1050</t>
    <phoneticPr fontId="4"/>
  </si>
  <si>
    <t>1078</t>
    <phoneticPr fontId="4"/>
  </si>
  <si>
    <t>1114</t>
    <phoneticPr fontId="4"/>
  </si>
  <si>
    <t>1211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</si>
  <si>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</si>
  <si>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</si>
  <si>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</si>
  <si>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</si>
  <si>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</si>
  <si>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黒川　仁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</si>
  <si>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</si>
  <si>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</si>
  <si>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</si>
  <si>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</si>
  <si>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</si>
  <si>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</si>
  <si>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</si>
  <si>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</si>
  <si>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</si>
  <si>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</si>
  <si>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</si>
  <si>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</si>
  <si>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</si>
  <si>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年末調整還付</t>
    <phoneticPr fontId="4"/>
  </si>
  <si>
    <t>差引支給合計</t>
    <phoneticPr fontId="4"/>
  </si>
  <si>
    <t>振込支給１</t>
    <phoneticPr fontId="4"/>
  </si>
  <si>
    <t>小計</t>
    <rPh sb="0" eb="2">
      <t>ショウケイ</t>
    </rPh>
    <phoneticPr fontId="3"/>
  </si>
  <si>
    <t>4名</t>
    <rPh sb="1" eb="2">
      <t>メイ</t>
    </rPh>
    <phoneticPr fontId="4"/>
  </si>
  <si>
    <t>1名</t>
    <rPh sb="1" eb="2">
      <t>メイ</t>
    </rPh>
    <phoneticPr fontId="4"/>
  </si>
  <si>
    <t>5名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</si>
</sst>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7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0" fontId="2" fillId="0" borderId="15" xfId="1" applyFont="1" applyBorder="1" applyAlignment="1">
      <alignment horizontal="center"/>
    </xf>
    <xf numFmtId="49" fontId="2" fillId="0" borderId="16" xfId="1" applyNumberFormat="1" applyFont="1" applyBorder="1" applyAlignment="1">
      <alignment horizontal="left"/>
    </xf>
    <xf numFmtId="3" fontId="2" fillId="0" borderId="19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3" fontId="2" fillId="0" borderId="9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0" fontId="2" fillId="0" borderId="17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2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0" fontId="2" fillId="0" borderId="18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0" fontId="2" fillId="0" borderId="52" xfId="1" applyFont="1" applyBorder="1" applyAlignment="1">
      <alignment horizontal="center"/>
    </xf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55" xfId="1" applyNumberFormat="1" applyFont="1" applyBorder="1"/>
    <xf numFmtId="3" fontId="2" fillId="0" borderId="26" xfId="1" applyNumberFormat="1" applyFont="1" applyBorder="1"/>
    <xf numFmtId="3" fontId="2" fillId="0" borderId="56" xfId="1" applyNumberFormat="1" applyFont="1" applyBorder="1"/>
    <xf numFmtId="3" fontId="2" fillId="0" borderId="57" xfId="1" applyNumberFormat="1" applyFont="1" applyBorder="1"/>
  </cellXfs>
  <cellStyles count="2">
    <cellStyle name="標準" xfId="0" builtinId="0"/>
    <cellStyle name="標準 2" xfId="1" xr:uid="{C6726FEA-127A-4155-845C-AF016CDC6A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3483-89EB-4402-9BF1-10140FB113CF}">
  <dimension ref="A1:J23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15" sqref="H15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6" width="9" style="2" bestFit="1" customWidth="1"/>
    <col min="7" max="7" width="9" style="2"/>
    <col min="8" max="8" width="9" style="2" bestFit="1" customWidth="1"/>
    <col min="9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5" width="9" style="2" bestFit="1"/>
    <col min="266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1" width="9" style="2" bestFit="1"/>
    <col min="522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7" width="9" style="2" bestFit="1"/>
    <col min="778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3" width="9" style="2" bestFit="1"/>
    <col min="1034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9" width="9" style="2" bestFit="1"/>
    <col min="1290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5" width="9" style="2" bestFit="1"/>
    <col min="1546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1" width="9" style="2" bestFit="1"/>
    <col min="1802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7" width="9" style="2" bestFit="1"/>
    <col min="2058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3" width="9" style="2" bestFit="1"/>
    <col min="2314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9" width="9" style="2" bestFit="1"/>
    <col min="2570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5" width="9" style="2" bestFit="1"/>
    <col min="2826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1" width="9" style="2" bestFit="1"/>
    <col min="3082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7" width="9" style="2" bestFit="1"/>
    <col min="3338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3" width="9" style="2" bestFit="1"/>
    <col min="3594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9" width="9" style="2" bestFit="1"/>
    <col min="3850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5" width="9" style="2" bestFit="1"/>
    <col min="4106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1" width="9" style="2" bestFit="1"/>
    <col min="4362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7" width="9" style="2" bestFit="1"/>
    <col min="4618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3" width="9" style="2" bestFit="1"/>
    <col min="4874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9" width="9" style="2" bestFit="1"/>
    <col min="5130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5" width="9" style="2" bestFit="1"/>
    <col min="5386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1" width="9" style="2" bestFit="1"/>
    <col min="5642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7" width="9" style="2" bestFit="1"/>
    <col min="5898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3" width="9" style="2" bestFit="1"/>
    <col min="6154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9" width="9" style="2" bestFit="1"/>
    <col min="6410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5" width="9" style="2" bestFit="1"/>
    <col min="6666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1" width="9" style="2" bestFit="1"/>
    <col min="6922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7" width="9" style="2" bestFit="1"/>
    <col min="7178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3" width="9" style="2" bestFit="1"/>
    <col min="7434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9" width="9" style="2" bestFit="1"/>
    <col min="7690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5" width="9" style="2" bestFit="1"/>
    <col min="7946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1" width="9" style="2" bestFit="1"/>
    <col min="8202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7" width="9" style="2" bestFit="1"/>
    <col min="8458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3" width="9" style="2" bestFit="1"/>
    <col min="8714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9" width="9" style="2" bestFit="1"/>
    <col min="8970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5" width="9" style="2" bestFit="1"/>
    <col min="9226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1" width="9" style="2" bestFit="1"/>
    <col min="9482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7" width="9" style="2" bestFit="1"/>
    <col min="9738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3" width="9" style="2" bestFit="1"/>
    <col min="9994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9" width="9" style="2" bestFit="1"/>
    <col min="10250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5" width="9" style="2" bestFit="1"/>
    <col min="10506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1" width="9" style="2" bestFit="1"/>
    <col min="10762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7" width="9" style="2" bestFit="1"/>
    <col min="11018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3" width="9" style="2" bestFit="1"/>
    <col min="11274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9" width="9" style="2" bestFit="1"/>
    <col min="11530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5" width="9" style="2" bestFit="1"/>
    <col min="11786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1" width="9" style="2" bestFit="1"/>
    <col min="12042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7" width="9" style="2" bestFit="1"/>
    <col min="12298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3" width="9" style="2" bestFit="1"/>
    <col min="12554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9" width="9" style="2" bestFit="1"/>
    <col min="12810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5" width="9" style="2" bestFit="1"/>
    <col min="13066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1" width="9" style="2" bestFit="1"/>
    <col min="13322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7" width="9" style="2" bestFit="1"/>
    <col min="13578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3" width="9" style="2" bestFit="1"/>
    <col min="13834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9" width="9" style="2" bestFit="1"/>
    <col min="14090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5" width="9" style="2" bestFit="1"/>
    <col min="14346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1" width="9" style="2" bestFit="1"/>
    <col min="14602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7" width="9" style="2" bestFit="1"/>
    <col min="14858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3" width="9" style="2" bestFit="1"/>
    <col min="15114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9" width="9" style="2" bestFit="1"/>
    <col min="15370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5" width="9" style="2" bestFit="1"/>
    <col min="15626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1" width="9" style="2" bestFit="1"/>
    <col min="15882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7" width="9" style="2" bestFit="1"/>
    <col min="16138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4" spans="1:10">
      <c r="A4" s="1" t="s">
        <v>2</v>
      </c>
    </row>
    <row r="5" spans="1:10">
      <c r="A5" s="1" t="s">
        <v>3</v>
      </c>
    </row>
    <row r="6" spans="1:10" ht="19.5" thickBot="1">
      <c r="A6" s="1" t="s">
        <v>4</v>
      </c>
    </row>
    <row r="7" spans="1:10">
      <c r="B7" s="7"/>
      <c r="C7" s="10" t="s">
        <v>5</v>
      </c>
      <c r="D7" s="4" t="s">
        <v>6</v>
      </c>
      <c r="E7" s="4" t="s">
        <v>8</v>
      </c>
      <c r="F7" s="43" t="s">
        <v>9</v>
      </c>
      <c r="G7" s="52" t="s">
        <v>32</v>
      </c>
      <c r="H7" s="11" t="s">
        <v>7</v>
      </c>
      <c r="I7" s="51" t="s">
        <v>32</v>
      </c>
      <c r="J7" s="51" t="s">
        <v>16</v>
      </c>
    </row>
    <row r="8" spans="1:10" ht="19.5" thickBot="1">
      <c r="A8" s="3"/>
      <c r="B8" s="18" t="s">
        <v>10</v>
      </c>
      <c r="C8" s="19" t="s">
        <v>11</v>
      </c>
      <c r="D8" s="20" t="s">
        <v>12</v>
      </c>
      <c r="E8" s="20" t="s">
        <v>14</v>
      </c>
      <c r="F8" s="44" t="s">
        <v>15</v>
      </c>
      <c r="G8" s="53" t="s">
        <v>33</v>
      </c>
      <c r="H8" s="21" t="s">
        <v>13</v>
      </c>
      <c r="I8" s="22" t="s">
        <v>34</v>
      </c>
      <c r="J8" s="22" t="s">
        <v>35</v>
      </c>
    </row>
    <row r="9" spans="1:10">
      <c r="A9" s="1" t="s">
        <v>3</v>
      </c>
      <c r="B9" s="13" t="s">
        <v>17</v>
      </c>
      <c r="C9" s="14">
        <v>71000</v>
      </c>
      <c r="D9" s="15">
        <v>83000</v>
      </c>
      <c r="E9" s="15">
        <v>71000</v>
      </c>
      <c r="F9" s="45">
        <v>0</v>
      </c>
      <c r="G9" s="54">
        <f>SUM(A9:F9)</f>
        <v>225000</v>
      </c>
      <c r="H9" s="16">
        <v>370000</v>
      </c>
      <c r="I9" s="17">
        <f>H9</f>
        <v>370000</v>
      </c>
      <c r="J9" s="17">
        <f>G9+I9</f>
        <v>595000</v>
      </c>
    </row>
    <row r="10" spans="1:10">
      <c r="A10" s="1" t="s">
        <v>3</v>
      </c>
      <c r="B10" s="8" t="s">
        <v>18</v>
      </c>
      <c r="C10" s="12">
        <v>15000</v>
      </c>
      <c r="D10" s="5">
        <v>0</v>
      </c>
      <c r="E10" s="5">
        <v>0</v>
      </c>
      <c r="F10" s="46">
        <v>0</v>
      </c>
      <c r="G10" s="55">
        <f>SUM(A10:F10)</f>
        <v>15000</v>
      </c>
      <c r="H10" s="6">
        <v>0</v>
      </c>
      <c r="I10" s="9">
        <f t="shared" ref="I10:I23" si="0">H10</f>
        <v>0</v>
      </c>
      <c r="J10" s="9">
        <f t="shared" ref="J10:J23" si="1">G10+I10</f>
        <v>15000</v>
      </c>
    </row>
    <row r="11" spans="1:10">
      <c r="A11" s="1" t="s">
        <v>3</v>
      </c>
      <c r="B11" s="23" t="s">
        <v>19</v>
      </c>
      <c r="C11" s="24">
        <v>500</v>
      </c>
      <c r="D11" s="25">
        <v>3000</v>
      </c>
      <c r="E11" s="25">
        <v>5500</v>
      </c>
      <c r="F11" s="47">
        <v>0</v>
      </c>
      <c r="G11" s="56">
        <f>SUM(A11:F11)</f>
        <v>9000</v>
      </c>
      <c r="H11" s="26">
        <v>0</v>
      </c>
      <c r="I11" s="27">
        <f t="shared" si="0"/>
        <v>0</v>
      </c>
      <c r="J11" s="27">
        <f t="shared" si="1"/>
        <v>9000</v>
      </c>
    </row>
    <row r="12" spans="1:10">
      <c r="A12" s="1" t="s">
        <v>3</v>
      </c>
      <c r="B12" s="28" t="s">
        <v>20</v>
      </c>
      <c r="C12" s="29">
        <v>86500</v>
      </c>
      <c r="D12" s="30">
        <v>86000</v>
      </c>
      <c r="E12" s="30">
        <v>76500</v>
      </c>
      <c r="F12" s="48">
        <v>0</v>
      </c>
      <c r="G12" s="57">
        <f>SUM(A12:F12)</f>
        <v>249000</v>
      </c>
      <c r="H12" s="31">
        <v>370000</v>
      </c>
      <c r="I12" s="32">
        <f t="shared" si="0"/>
        <v>370000</v>
      </c>
      <c r="J12" s="32">
        <f t="shared" si="1"/>
        <v>619000</v>
      </c>
    </row>
    <row r="13" spans="1:10">
      <c r="A13" s="1" t="s">
        <v>3</v>
      </c>
      <c r="B13" s="28" t="s">
        <v>21</v>
      </c>
      <c r="C13" s="29">
        <v>86500</v>
      </c>
      <c r="D13" s="30">
        <v>86000</v>
      </c>
      <c r="E13" s="30">
        <v>76500</v>
      </c>
      <c r="F13" s="48">
        <v>0</v>
      </c>
      <c r="G13" s="57">
        <f>SUM(A13:F13)</f>
        <v>249000</v>
      </c>
      <c r="H13" s="31">
        <v>370000</v>
      </c>
      <c r="I13" s="32">
        <f t="shared" si="0"/>
        <v>370000</v>
      </c>
      <c r="J13" s="32">
        <f t="shared" si="1"/>
        <v>619000</v>
      </c>
    </row>
    <row r="14" spans="1:10">
      <c r="A14" s="1" t="s">
        <v>3</v>
      </c>
      <c r="B14" s="13" t="s">
        <v>22</v>
      </c>
      <c r="C14" s="14">
        <v>4386</v>
      </c>
      <c r="D14" s="15">
        <v>4386</v>
      </c>
      <c r="E14" s="15">
        <v>3876</v>
      </c>
      <c r="F14" s="45">
        <v>0</v>
      </c>
      <c r="G14" s="54">
        <f>SUM(A14:F14)</f>
        <v>12648</v>
      </c>
      <c r="H14" s="16">
        <v>18870</v>
      </c>
      <c r="I14" s="17">
        <f t="shared" si="0"/>
        <v>18870</v>
      </c>
      <c r="J14" s="17">
        <f t="shared" si="1"/>
        <v>31518</v>
      </c>
    </row>
    <row r="15" spans="1:10">
      <c r="A15" s="1" t="s">
        <v>3</v>
      </c>
      <c r="B15" s="8" t="s">
        <v>23</v>
      </c>
      <c r="C15" s="12">
        <v>0</v>
      </c>
      <c r="D15" s="5">
        <v>774</v>
      </c>
      <c r="E15" s="5">
        <v>684</v>
      </c>
      <c r="F15" s="46">
        <v>0</v>
      </c>
      <c r="G15" s="55">
        <f>SUM(A15:F15)</f>
        <v>1458</v>
      </c>
      <c r="H15" s="6">
        <v>3330</v>
      </c>
      <c r="I15" s="9">
        <f t="shared" si="0"/>
        <v>3330</v>
      </c>
      <c r="J15" s="9">
        <f t="shared" si="1"/>
        <v>4788</v>
      </c>
    </row>
    <row r="16" spans="1:10">
      <c r="A16" s="1" t="s">
        <v>3</v>
      </c>
      <c r="B16" s="8" t="s">
        <v>24</v>
      </c>
      <c r="C16" s="12">
        <v>7869</v>
      </c>
      <c r="D16" s="5">
        <v>7869</v>
      </c>
      <c r="E16" s="5">
        <v>6954</v>
      </c>
      <c r="F16" s="46">
        <v>0</v>
      </c>
      <c r="G16" s="55">
        <f>SUM(A16:F16)</f>
        <v>22692</v>
      </c>
      <c r="H16" s="6">
        <v>33855</v>
      </c>
      <c r="I16" s="9">
        <f t="shared" si="0"/>
        <v>33855</v>
      </c>
      <c r="J16" s="9">
        <f t="shared" si="1"/>
        <v>56547</v>
      </c>
    </row>
    <row r="17" spans="1:10">
      <c r="A17" s="1" t="s">
        <v>3</v>
      </c>
      <c r="B17" s="23" t="s">
        <v>25</v>
      </c>
      <c r="C17" s="24">
        <v>476</v>
      </c>
      <c r="D17" s="25">
        <v>473</v>
      </c>
      <c r="E17" s="25">
        <v>421</v>
      </c>
      <c r="F17" s="47">
        <v>0</v>
      </c>
      <c r="G17" s="56">
        <f>SUM(A17:F17)</f>
        <v>1370</v>
      </c>
      <c r="H17" s="26">
        <v>2035</v>
      </c>
      <c r="I17" s="27">
        <f t="shared" si="0"/>
        <v>2035</v>
      </c>
      <c r="J17" s="27">
        <f t="shared" si="1"/>
        <v>3405</v>
      </c>
    </row>
    <row r="18" spans="1:10">
      <c r="A18" s="1" t="s">
        <v>3</v>
      </c>
      <c r="B18" s="28" t="s">
        <v>26</v>
      </c>
      <c r="C18" s="29">
        <v>73769</v>
      </c>
      <c r="D18" s="30">
        <v>72498</v>
      </c>
      <c r="E18" s="30">
        <v>64565</v>
      </c>
      <c r="F18" s="48">
        <v>0</v>
      </c>
      <c r="G18" s="57">
        <f>SUM(A18:F18)</f>
        <v>210832</v>
      </c>
      <c r="H18" s="31">
        <v>311910</v>
      </c>
      <c r="I18" s="32">
        <f t="shared" si="0"/>
        <v>311910</v>
      </c>
      <c r="J18" s="32">
        <f t="shared" si="1"/>
        <v>522742</v>
      </c>
    </row>
    <row r="19" spans="1:10">
      <c r="A19" s="1" t="s">
        <v>3</v>
      </c>
      <c r="B19" s="33" t="s">
        <v>27</v>
      </c>
      <c r="C19" s="34">
        <v>3012</v>
      </c>
      <c r="D19" s="35">
        <v>5921</v>
      </c>
      <c r="E19" s="35">
        <v>6592</v>
      </c>
      <c r="F19" s="49">
        <v>0</v>
      </c>
      <c r="G19" s="58">
        <f>SUM(A19:F19)</f>
        <v>15525</v>
      </c>
      <c r="H19" s="36">
        <v>31846</v>
      </c>
      <c r="I19" s="37">
        <f t="shared" si="0"/>
        <v>31846</v>
      </c>
      <c r="J19" s="37">
        <f t="shared" si="1"/>
        <v>47371</v>
      </c>
    </row>
    <row r="20" spans="1:10">
      <c r="A20" s="1" t="s">
        <v>3</v>
      </c>
      <c r="B20" s="28" t="s">
        <v>28</v>
      </c>
      <c r="C20" s="29">
        <v>12731</v>
      </c>
      <c r="D20" s="30">
        <v>13502</v>
      </c>
      <c r="E20" s="30">
        <v>11935</v>
      </c>
      <c r="F20" s="48">
        <v>0</v>
      </c>
      <c r="G20" s="57">
        <f>SUM(A20:F20)</f>
        <v>38168</v>
      </c>
      <c r="H20" s="31">
        <v>58090</v>
      </c>
      <c r="I20" s="32">
        <f t="shared" si="0"/>
        <v>58090</v>
      </c>
      <c r="J20" s="32">
        <f t="shared" si="1"/>
        <v>96258</v>
      </c>
    </row>
    <row r="21" spans="1:10">
      <c r="A21" s="1" t="s">
        <v>3</v>
      </c>
      <c r="B21" s="28" t="s">
        <v>29</v>
      </c>
      <c r="C21" s="29">
        <v>31368</v>
      </c>
      <c r="D21" s="30">
        <v>47696</v>
      </c>
      <c r="E21" s="30">
        <v>47981</v>
      </c>
      <c r="F21" s="48">
        <v>41970</v>
      </c>
      <c r="G21" s="57">
        <f>SUM(A21:F21)</f>
        <v>169015</v>
      </c>
      <c r="H21" s="31">
        <v>62762</v>
      </c>
      <c r="I21" s="32">
        <f t="shared" si="0"/>
        <v>62762</v>
      </c>
      <c r="J21" s="32">
        <f t="shared" si="1"/>
        <v>231777</v>
      </c>
    </row>
    <row r="22" spans="1:10">
      <c r="A22" s="1" t="s">
        <v>3</v>
      </c>
      <c r="B22" s="28" t="s">
        <v>30</v>
      </c>
      <c r="C22" s="29">
        <v>102125</v>
      </c>
      <c r="D22" s="30">
        <v>114273</v>
      </c>
      <c r="E22" s="30">
        <v>105954</v>
      </c>
      <c r="F22" s="48">
        <v>41970</v>
      </c>
      <c r="G22" s="57">
        <f>SUM(A22:F22)</f>
        <v>364322</v>
      </c>
      <c r="H22" s="31">
        <v>342826</v>
      </c>
      <c r="I22" s="32">
        <f t="shared" si="0"/>
        <v>342826</v>
      </c>
      <c r="J22" s="32">
        <f t="shared" si="1"/>
        <v>707148</v>
      </c>
    </row>
    <row r="23" spans="1:10" ht="19.5" thickBot="1">
      <c r="A23" s="1" t="s">
        <v>3</v>
      </c>
      <c r="B23" s="38" t="s">
        <v>31</v>
      </c>
      <c r="C23" s="39">
        <v>102125</v>
      </c>
      <c r="D23" s="40">
        <v>114273</v>
      </c>
      <c r="E23" s="40">
        <v>105954</v>
      </c>
      <c r="F23" s="50">
        <v>41970</v>
      </c>
      <c r="G23" s="59">
        <f>SUM(A23:F23)</f>
        <v>364322</v>
      </c>
      <c r="H23" s="41">
        <v>342826</v>
      </c>
      <c r="I23" s="42">
        <f t="shared" si="0"/>
        <v>342826</v>
      </c>
      <c r="J23" s="42">
        <f t="shared" si="1"/>
        <v>707148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R7年冬賞与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asada</cp:lastModifiedBy>
  <dcterms:created xsi:type="dcterms:W3CDTF">2025-12-15T03:07:39Z</dcterms:created>
  <dcterms:modified xsi:type="dcterms:W3CDTF">2025-12-15T07:02:00Z</dcterms:modified>
</cp:coreProperties>
</file>