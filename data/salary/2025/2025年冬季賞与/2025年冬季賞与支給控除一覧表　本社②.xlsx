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年冬季賞与\"/>
    </mc:Choice>
  </mc:AlternateContent>
  <xr:revisionPtr revIDLastSave="0" documentId="13_ncr:1_{A421FF3B-78DB-4618-AB42-841C1EAC7A31}" xr6:coauthVersionLast="47" xr6:coauthVersionMax="47" xr10:uidLastSave="{00000000-0000-0000-0000-000000000000}"/>
  <bookViews>
    <workbookView xWindow="-120" yWindow="-120" windowWidth="20730" windowHeight="11160" xr2:uid="{603354A6-F4C1-476B-9071-E0CE416FABF3}"/>
  </bookViews>
  <sheets>
    <sheet name="R7年冬賞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2" l="1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I9" i="2"/>
  <c r="H9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</calcChain>
</file>

<file path=xl/sharedStrings.xml><?xml version="1.0" encoding="utf-8"?>
<sst xmlns="http://schemas.openxmlformats.org/spreadsheetml/2006/main" count="46" uniqueCount="30">
  <si>
    <t>賞与支給控除一覧表</t>
    <phoneticPr fontId="4"/>
  </si>
  <si>
    <t>若林運送株式会社</t>
    <phoneticPr fontId="4"/>
  </si>
  <si>
    <t>2025年12月15日 作成</t>
    <phoneticPr fontId="4"/>
  </si>
  <si>
    <t/>
  </si>
  <si>
    <t>R7年冬賞与</t>
    <phoneticPr fontId="4"/>
  </si>
  <si>
    <t>1019</t>
    <phoneticPr fontId="4"/>
  </si>
  <si>
    <t>1024</t>
    <phoneticPr fontId="4"/>
  </si>
  <si>
    <t>1036</t>
    <phoneticPr fontId="4"/>
  </si>
  <si>
    <t>1041</t>
    <phoneticPr fontId="4"/>
  </si>
  <si>
    <t>項目名</t>
    <phoneticPr fontId="4"/>
  </si>
  <si>
    <t>若林　孝次郎</t>
    <phoneticPr fontId="4"/>
  </si>
  <si>
    <t>若林　裕子</t>
    <phoneticPr fontId="4"/>
  </si>
  <si>
    <t>渋谷　晶子</t>
    <phoneticPr fontId="4"/>
  </si>
  <si>
    <t>浅田　恵美子</t>
    <phoneticPr fontId="4"/>
  </si>
  <si>
    <t>合計</t>
    <phoneticPr fontId="4"/>
  </si>
  <si>
    <t>賞与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</si>
  <si>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</si>
  <si>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</si>
  <si>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</si>
  <si>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</si>
  <si>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</si>
  <si>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</si>
  <si>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</si>
  <si>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</si>
  <si>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</si>
  <si>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年末調整還付</t>
    <phoneticPr fontId="4"/>
  </si>
  <si>
    <t>差引支給合計</t>
    <phoneticPr fontId="4"/>
  </si>
  <si>
    <t>振込支給１</t>
    <phoneticPr fontId="4"/>
  </si>
  <si>
    <t>小計</t>
    <rPh sb="0" eb="2">
      <t>ショウケイ</t>
    </rPh>
    <phoneticPr fontId="3"/>
  </si>
  <si>
    <t>2名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</si>
</sst>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7" xfId="1" applyNumberFormat="1" applyFont="1" applyBorder="1" applyAlignment="1">
      <alignment horizontal="center"/>
    </xf>
    <xf numFmtId="3" fontId="2" fillId="0" borderId="10" xfId="1" applyNumberFormat="1" applyFont="1" applyBorder="1"/>
    <xf numFmtId="3" fontId="2" fillId="0" borderId="11" xfId="1" applyNumberFormat="1" applyFont="1" applyBorder="1"/>
    <xf numFmtId="0" fontId="2" fillId="0" borderId="15" xfId="1" applyFont="1" applyBorder="1" applyAlignment="1">
      <alignment horizontal="center"/>
    </xf>
    <xf numFmtId="49" fontId="2" fillId="0" borderId="16" xfId="1" applyNumberFormat="1" applyFont="1" applyBorder="1" applyAlignment="1">
      <alignment horizontal="left"/>
    </xf>
    <xf numFmtId="3" fontId="2" fillId="0" borderId="19" xfId="1" applyNumberFormat="1" applyFont="1" applyBorder="1"/>
    <xf numFmtId="49" fontId="2" fillId="0" borderId="6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3" fontId="2" fillId="0" borderId="9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0" fontId="2" fillId="0" borderId="17" xfId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0" fontId="2" fillId="0" borderId="20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4" xfId="1" applyNumberFormat="1" applyFont="1" applyBorder="1"/>
    <xf numFmtId="49" fontId="2" fillId="0" borderId="29" xfId="1" applyNumberFormat="1" applyFont="1" applyBorder="1" applyAlignment="1">
      <alignment horizontal="left"/>
    </xf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4" xfId="1" applyNumberFormat="1" applyFont="1" applyBorder="1" applyAlignment="1">
      <alignment horizontal="left"/>
    </xf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2" xfId="1" applyNumberFormat="1" applyFont="1" applyBorder="1"/>
    <xf numFmtId="0" fontId="2" fillId="0" borderId="18" xfId="1" applyFont="1" applyBorder="1" applyAlignment="1">
      <alignment horizontal="center"/>
    </xf>
  </cellXfs>
  <cellStyles count="2">
    <cellStyle name="標準" xfId="0" builtinId="0"/>
    <cellStyle name="標準 2" xfId="1" xr:uid="{15CBEB63-645B-456C-B20A-CDDBA0F951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713A-9D4E-4C54-AFE6-3DED465F7621}">
  <dimension ref="A1:I21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F11" sqref="F11"/>
    </sheetView>
  </sheetViews>
  <sheetFormatPr defaultRowHeight="18.75"/>
  <cols>
    <col min="1" max="1" width="2.375" style="2" customWidth="1"/>
    <col min="2" max="3" width="13.25" style="2" bestFit="1" customWidth="1"/>
    <col min="4" max="4" width="11.125" style="2" bestFit="1" customWidth="1"/>
    <col min="5" max="5" width="9.625" style="2" bestFit="1" customWidth="1"/>
    <col min="6" max="6" width="11.125" style="2" bestFit="1" customWidth="1"/>
    <col min="7" max="7" width="13.25" style="2" bestFit="1" customWidth="1"/>
    <col min="8" max="9" width="9.625" style="2" bestFit="1" customWidth="1"/>
    <col min="10" max="258" width="9" style="2"/>
    <col min="259" max="259" width="2.375" style="2" customWidth="1"/>
    <col min="260" max="261" width="13.25" style="2" bestFit="1" customWidth="1"/>
    <col min="262" max="263" width="11.125" style="2" bestFit="1" customWidth="1"/>
    <col min="264" max="264" width="13.25" style="2" bestFit="1" customWidth="1"/>
    <col min="265" max="265" width="9.625" style="2" bestFit="1" customWidth="1"/>
    <col min="266" max="514" width="9" style="2"/>
    <col min="515" max="515" width="2.375" style="2" customWidth="1"/>
    <col min="516" max="517" width="13.25" style="2" bestFit="1" customWidth="1"/>
    <col min="518" max="519" width="11.125" style="2" bestFit="1" customWidth="1"/>
    <col min="520" max="520" width="13.25" style="2" bestFit="1" customWidth="1"/>
    <col min="521" max="521" width="9.625" style="2" bestFit="1" customWidth="1"/>
    <col min="522" max="770" width="9" style="2"/>
    <col min="771" max="771" width="2.375" style="2" customWidth="1"/>
    <col min="772" max="773" width="13.25" style="2" bestFit="1" customWidth="1"/>
    <col min="774" max="775" width="11.125" style="2" bestFit="1" customWidth="1"/>
    <col min="776" max="776" width="13.25" style="2" bestFit="1" customWidth="1"/>
    <col min="777" max="777" width="9.625" style="2" bestFit="1" customWidth="1"/>
    <col min="778" max="1026" width="9" style="2"/>
    <col min="1027" max="1027" width="2.375" style="2" customWidth="1"/>
    <col min="1028" max="1029" width="13.25" style="2" bestFit="1" customWidth="1"/>
    <col min="1030" max="1031" width="11.125" style="2" bestFit="1" customWidth="1"/>
    <col min="1032" max="1032" width="13.25" style="2" bestFit="1" customWidth="1"/>
    <col min="1033" max="1033" width="9.625" style="2" bestFit="1" customWidth="1"/>
    <col min="1034" max="1282" width="9" style="2"/>
    <col min="1283" max="1283" width="2.375" style="2" customWidth="1"/>
    <col min="1284" max="1285" width="13.25" style="2" bestFit="1" customWidth="1"/>
    <col min="1286" max="1287" width="11.125" style="2" bestFit="1" customWidth="1"/>
    <col min="1288" max="1288" width="13.25" style="2" bestFit="1" customWidth="1"/>
    <col min="1289" max="1289" width="9.625" style="2" bestFit="1" customWidth="1"/>
    <col min="1290" max="1538" width="9" style="2"/>
    <col min="1539" max="1539" width="2.375" style="2" customWidth="1"/>
    <col min="1540" max="1541" width="13.25" style="2" bestFit="1" customWidth="1"/>
    <col min="1542" max="1543" width="11.125" style="2" bestFit="1" customWidth="1"/>
    <col min="1544" max="1544" width="13.25" style="2" bestFit="1" customWidth="1"/>
    <col min="1545" max="1545" width="9.625" style="2" bestFit="1" customWidth="1"/>
    <col min="1546" max="1794" width="9" style="2"/>
    <col min="1795" max="1795" width="2.375" style="2" customWidth="1"/>
    <col min="1796" max="1797" width="13.25" style="2" bestFit="1" customWidth="1"/>
    <col min="1798" max="1799" width="11.125" style="2" bestFit="1" customWidth="1"/>
    <col min="1800" max="1800" width="13.25" style="2" bestFit="1" customWidth="1"/>
    <col min="1801" max="1801" width="9.625" style="2" bestFit="1" customWidth="1"/>
    <col min="1802" max="2050" width="9" style="2"/>
    <col min="2051" max="2051" width="2.375" style="2" customWidth="1"/>
    <col min="2052" max="2053" width="13.25" style="2" bestFit="1" customWidth="1"/>
    <col min="2054" max="2055" width="11.125" style="2" bestFit="1" customWidth="1"/>
    <col min="2056" max="2056" width="13.25" style="2" bestFit="1" customWidth="1"/>
    <col min="2057" max="2057" width="9.625" style="2" bestFit="1" customWidth="1"/>
    <col min="2058" max="2306" width="9" style="2"/>
    <col min="2307" max="2307" width="2.375" style="2" customWidth="1"/>
    <col min="2308" max="2309" width="13.25" style="2" bestFit="1" customWidth="1"/>
    <col min="2310" max="2311" width="11.125" style="2" bestFit="1" customWidth="1"/>
    <col min="2312" max="2312" width="13.25" style="2" bestFit="1" customWidth="1"/>
    <col min="2313" max="2313" width="9.625" style="2" bestFit="1" customWidth="1"/>
    <col min="2314" max="2562" width="9" style="2"/>
    <col min="2563" max="2563" width="2.375" style="2" customWidth="1"/>
    <col min="2564" max="2565" width="13.25" style="2" bestFit="1" customWidth="1"/>
    <col min="2566" max="2567" width="11.125" style="2" bestFit="1" customWidth="1"/>
    <col min="2568" max="2568" width="13.25" style="2" bestFit="1" customWidth="1"/>
    <col min="2569" max="2569" width="9.625" style="2" bestFit="1" customWidth="1"/>
    <col min="2570" max="2818" width="9" style="2"/>
    <col min="2819" max="2819" width="2.375" style="2" customWidth="1"/>
    <col min="2820" max="2821" width="13.25" style="2" bestFit="1" customWidth="1"/>
    <col min="2822" max="2823" width="11.125" style="2" bestFit="1" customWidth="1"/>
    <col min="2824" max="2824" width="13.25" style="2" bestFit="1" customWidth="1"/>
    <col min="2825" max="2825" width="9.625" style="2" bestFit="1" customWidth="1"/>
    <col min="2826" max="3074" width="9" style="2"/>
    <col min="3075" max="3075" width="2.375" style="2" customWidth="1"/>
    <col min="3076" max="3077" width="13.25" style="2" bestFit="1" customWidth="1"/>
    <col min="3078" max="3079" width="11.125" style="2" bestFit="1" customWidth="1"/>
    <col min="3080" max="3080" width="13.25" style="2" bestFit="1" customWidth="1"/>
    <col min="3081" max="3081" width="9.625" style="2" bestFit="1" customWidth="1"/>
    <col min="3082" max="3330" width="9" style="2"/>
    <col min="3331" max="3331" width="2.375" style="2" customWidth="1"/>
    <col min="3332" max="3333" width="13.25" style="2" bestFit="1" customWidth="1"/>
    <col min="3334" max="3335" width="11.125" style="2" bestFit="1" customWidth="1"/>
    <col min="3336" max="3336" width="13.25" style="2" bestFit="1" customWidth="1"/>
    <col min="3337" max="3337" width="9.625" style="2" bestFit="1" customWidth="1"/>
    <col min="3338" max="3586" width="9" style="2"/>
    <col min="3587" max="3587" width="2.375" style="2" customWidth="1"/>
    <col min="3588" max="3589" width="13.25" style="2" bestFit="1" customWidth="1"/>
    <col min="3590" max="3591" width="11.125" style="2" bestFit="1" customWidth="1"/>
    <col min="3592" max="3592" width="13.25" style="2" bestFit="1" customWidth="1"/>
    <col min="3593" max="3593" width="9.625" style="2" bestFit="1" customWidth="1"/>
    <col min="3594" max="3842" width="9" style="2"/>
    <col min="3843" max="3843" width="2.375" style="2" customWidth="1"/>
    <col min="3844" max="3845" width="13.25" style="2" bestFit="1" customWidth="1"/>
    <col min="3846" max="3847" width="11.125" style="2" bestFit="1" customWidth="1"/>
    <col min="3848" max="3848" width="13.25" style="2" bestFit="1" customWidth="1"/>
    <col min="3849" max="3849" width="9.625" style="2" bestFit="1" customWidth="1"/>
    <col min="3850" max="4098" width="9" style="2"/>
    <col min="4099" max="4099" width="2.375" style="2" customWidth="1"/>
    <col min="4100" max="4101" width="13.25" style="2" bestFit="1" customWidth="1"/>
    <col min="4102" max="4103" width="11.125" style="2" bestFit="1" customWidth="1"/>
    <col min="4104" max="4104" width="13.25" style="2" bestFit="1" customWidth="1"/>
    <col min="4105" max="4105" width="9.625" style="2" bestFit="1" customWidth="1"/>
    <col min="4106" max="4354" width="9" style="2"/>
    <col min="4355" max="4355" width="2.375" style="2" customWidth="1"/>
    <col min="4356" max="4357" width="13.25" style="2" bestFit="1" customWidth="1"/>
    <col min="4358" max="4359" width="11.125" style="2" bestFit="1" customWidth="1"/>
    <col min="4360" max="4360" width="13.25" style="2" bestFit="1" customWidth="1"/>
    <col min="4361" max="4361" width="9.625" style="2" bestFit="1" customWidth="1"/>
    <col min="4362" max="4610" width="9" style="2"/>
    <col min="4611" max="4611" width="2.375" style="2" customWidth="1"/>
    <col min="4612" max="4613" width="13.25" style="2" bestFit="1" customWidth="1"/>
    <col min="4614" max="4615" width="11.125" style="2" bestFit="1" customWidth="1"/>
    <col min="4616" max="4616" width="13.25" style="2" bestFit="1" customWidth="1"/>
    <col min="4617" max="4617" width="9.625" style="2" bestFit="1" customWidth="1"/>
    <col min="4618" max="4866" width="9" style="2"/>
    <col min="4867" max="4867" width="2.375" style="2" customWidth="1"/>
    <col min="4868" max="4869" width="13.25" style="2" bestFit="1" customWidth="1"/>
    <col min="4870" max="4871" width="11.125" style="2" bestFit="1" customWidth="1"/>
    <col min="4872" max="4872" width="13.25" style="2" bestFit="1" customWidth="1"/>
    <col min="4873" max="4873" width="9.625" style="2" bestFit="1" customWidth="1"/>
    <col min="4874" max="5122" width="9" style="2"/>
    <col min="5123" max="5123" width="2.375" style="2" customWidth="1"/>
    <col min="5124" max="5125" width="13.25" style="2" bestFit="1" customWidth="1"/>
    <col min="5126" max="5127" width="11.125" style="2" bestFit="1" customWidth="1"/>
    <col min="5128" max="5128" width="13.25" style="2" bestFit="1" customWidth="1"/>
    <col min="5129" max="5129" width="9.625" style="2" bestFit="1" customWidth="1"/>
    <col min="5130" max="5378" width="9" style="2"/>
    <col min="5379" max="5379" width="2.375" style="2" customWidth="1"/>
    <col min="5380" max="5381" width="13.25" style="2" bestFit="1" customWidth="1"/>
    <col min="5382" max="5383" width="11.125" style="2" bestFit="1" customWidth="1"/>
    <col min="5384" max="5384" width="13.25" style="2" bestFit="1" customWidth="1"/>
    <col min="5385" max="5385" width="9.625" style="2" bestFit="1" customWidth="1"/>
    <col min="5386" max="5634" width="9" style="2"/>
    <col min="5635" max="5635" width="2.375" style="2" customWidth="1"/>
    <col min="5636" max="5637" width="13.25" style="2" bestFit="1" customWidth="1"/>
    <col min="5638" max="5639" width="11.125" style="2" bestFit="1" customWidth="1"/>
    <col min="5640" max="5640" width="13.25" style="2" bestFit="1" customWidth="1"/>
    <col min="5641" max="5641" width="9.625" style="2" bestFit="1" customWidth="1"/>
    <col min="5642" max="5890" width="9" style="2"/>
    <col min="5891" max="5891" width="2.375" style="2" customWidth="1"/>
    <col min="5892" max="5893" width="13.25" style="2" bestFit="1" customWidth="1"/>
    <col min="5894" max="5895" width="11.125" style="2" bestFit="1" customWidth="1"/>
    <col min="5896" max="5896" width="13.25" style="2" bestFit="1" customWidth="1"/>
    <col min="5897" max="5897" width="9.625" style="2" bestFit="1" customWidth="1"/>
    <col min="5898" max="6146" width="9" style="2"/>
    <col min="6147" max="6147" width="2.375" style="2" customWidth="1"/>
    <col min="6148" max="6149" width="13.25" style="2" bestFit="1" customWidth="1"/>
    <col min="6150" max="6151" width="11.125" style="2" bestFit="1" customWidth="1"/>
    <col min="6152" max="6152" width="13.25" style="2" bestFit="1" customWidth="1"/>
    <col min="6153" max="6153" width="9.625" style="2" bestFit="1" customWidth="1"/>
    <col min="6154" max="6402" width="9" style="2"/>
    <col min="6403" max="6403" width="2.375" style="2" customWidth="1"/>
    <col min="6404" max="6405" width="13.25" style="2" bestFit="1" customWidth="1"/>
    <col min="6406" max="6407" width="11.125" style="2" bestFit="1" customWidth="1"/>
    <col min="6408" max="6408" width="13.25" style="2" bestFit="1" customWidth="1"/>
    <col min="6409" max="6409" width="9.625" style="2" bestFit="1" customWidth="1"/>
    <col min="6410" max="6658" width="9" style="2"/>
    <col min="6659" max="6659" width="2.375" style="2" customWidth="1"/>
    <col min="6660" max="6661" width="13.25" style="2" bestFit="1" customWidth="1"/>
    <col min="6662" max="6663" width="11.125" style="2" bestFit="1" customWidth="1"/>
    <col min="6664" max="6664" width="13.25" style="2" bestFit="1" customWidth="1"/>
    <col min="6665" max="6665" width="9.625" style="2" bestFit="1" customWidth="1"/>
    <col min="6666" max="6914" width="9" style="2"/>
    <col min="6915" max="6915" width="2.375" style="2" customWidth="1"/>
    <col min="6916" max="6917" width="13.25" style="2" bestFit="1" customWidth="1"/>
    <col min="6918" max="6919" width="11.125" style="2" bestFit="1" customWidth="1"/>
    <col min="6920" max="6920" width="13.25" style="2" bestFit="1" customWidth="1"/>
    <col min="6921" max="6921" width="9.625" style="2" bestFit="1" customWidth="1"/>
    <col min="6922" max="7170" width="9" style="2"/>
    <col min="7171" max="7171" width="2.375" style="2" customWidth="1"/>
    <col min="7172" max="7173" width="13.25" style="2" bestFit="1" customWidth="1"/>
    <col min="7174" max="7175" width="11.125" style="2" bestFit="1" customWidth="1"/>
    <col min="7176" max="7176" width="13.25" style="2" bestFit="1" customWidth="1"/>
    <col min="7177" max="7177" width="9.625" style="2" bestFit="1" customWidth="1"/>
    <col min="7178" max="7426" width="9" style="2"/>
    <col min="7427" max="7427" width="2.375" style="2" customWidth="1"/>
    <col min="7428" max="7429" width="13.25" style="2" bestFit="1" customWidth="1"/>
    <col min="7430" max="7431" width="11.125" style="2" bestFit="1" customWidth="1"/>
    <col min="7432" max="7432" width="13.25" style="2" bestFit="1" customWidth="1"/>
    <col min="7433" max="7433" width="9.625" style="2" bestFit="1" customWidth="1"/>
    <col min="7434" max="7682" width="9" style="2"/>
    <col min="7683" max="7683" width="2.375" style="2" customWidth="1"/>
    <col min="7684" max="7685" width="13.25" style="2" bestFit="1" customWidth="1"/>
    <col min="7686" max="7687" width="11.125" style="2" bestFit="1" customWidth="1"/>
    <col min="7688" max="7688" width="13.25" style="2" bestFit="1" customWidth="1"/>
    <col min="7689" max="7689" width="9.625" style="2" bestFit="1" customWidth="1"/>
    <col min="7690" max="7938" width="9" style="2"/>
    <col min="7939" max="7939" width="2.375" style="2" customWidth="1"/>
    <col min="7940" max="7941" width="13.25" style="2" bestFit="1" customWidth="1"/>
    <col min="7942" max="7943" width="11.125" style="2" bestFit="1" customWidth="1"/>
    <col min="7944" max="7944" width="13.25" style="2" bestFit="1" customWidth="1"/>
    <col min="7945" max="7945" width="9.625" style="2" bestFit="1" customWidth="1"/>
    <col min="7946" max="8194" width="9" style="2"/>
    <col min="8195" max="8195" width="2.375" style="2" customWidth="1"/>
    <col min="8196" max="8197" width="13.25" style="2" bestFit="1" customWidth="1"/>
    <col min="8198" max="8199" width="11.125" style="2" bestFit="1" customWidth="1"/>
    <col min="8200" max="8200" width="13.25" style="2" bestFit="1" customWidth="1"/>
    <col min="8201" max="8201" width="9.625" style="2" bestFit="1" customWidth="1"/>
    <col min="8202" max="8450" width="9" style="2"/>
    <col min="8451" max="8451" width="2.375" style="2" customWidth="1"/>
    <col min="8452" max="8453" width="13.25" style="2" bestFit="1" customWidth="1"/>
    <col min="8454" max="8455" width="11.125" style="2" bestFit="1" customWidth="1"/>
    <col min="8456" max="8456" width="13.25" style="2" bestFit="1" customWidth="1"/>
    <col min="8457" max="8457" width="9.625" style="2" bestFit="1" customWidth="1"/>
    <col min="8458" max="8706" width="9" style="2"/>
    <col min="8707" max="8707" width="2.375" style="2" customWidth="1"/>
    <col min="8708" max="8709" width="13.25" style="2" bestFit="1" customWidth="1"/>
    <col min="8710" max="8711" width="11.125" style="2" bestFit="1" customWidth="1"/>
    <col min="8712" max="8712" width="13.25" style="2" bestFit="1" customWidth="1"/>
    <col min="8713" max="8713" width="9.625" style="2" bestFit="1" customWidth="1"/>
    <col min="8714" max="8962" width="9" style="2"/>
    <col min="8963" max="8963" width="2.375" style="2" customWidth="1"/>
    <col min="8964" max="8965" width="13.25" style="2" bestFit="1" customWidth="1"/>
    <col min="8966" max="8967" width="11.125" style="2" bestFit="1" customWidth="1"/>
    <col min="8968" max="8968" width="13.25" style="2" bestFit="1" customWidth="1"/>
    <col min="8969" max="8969" width="9.625" style="2" bestFit="1" customWidth="1"/>
    <col min="8970" max="9218" width="9" style="2"/>
    <col min="9219" max="9219" width="2.375" style="2" customWidth="1"/>
    <col min="9220" max="9221" width="13.25" style="2" bestFit="1" customWidth="1"/>
    <col min="9222" max="9223" width="11.125" style="2" bestFit="1" customWidth="1"/>
    <col min="9224" max="9224" width="13.25" style="2" bestFit="1" customWidth="1"/>
    <col min="9225" max="9225" width="9.625" style="2" bestFit="1" customWidth="1"/>
    <col min="9226" max="9474" width="9" style="2"/>
    <col min="9475" max="9475" width="2.375" style="2" customWidth="1"/>
    <col min="9476" max="9477" width="13.25" style="2" bestFit="1" customWidth="1"/>
    <col min="9478" max="9479" width="11.125" style="2" bestFit="1" customWidth="1"/>
    <col min="9480" max="9480" width="13.25" style="2" bestFit="1" customWidth="1"/>
    <col min="9481" max="9481" width="9.625" style="2" bestFit="1" customWidth="1"/>
    <col min="9482" max="9730" width="9" style="2"/>
    <col min="9731" max="9731" width="2.375" style="2" customWidth="1"/>
    <col min="9732" max="9733" width="13.25" style="2" bestFit="1" customWidth="1"/>
    <col min="9734" max="9735" width="11.125" style="2" bestFit="1" customWidth="1"/>
    <col min="9736" max="9736" width="13.25" style="2" bestFit="1" customWidth="1"/>
    <col min="9737" max="9737" width="9.625" style="2" bestFit="1" customWidth="1"/>
    <col min="9738" max="9986" width="9" style="2"/>
    <col min="9987" max="9987" width="2.375" style="2" customWidth="1"/>
    <col min="9988" max="9989" width="13.25" style="2" bestFit="1" customWidth="1"/>
    <col min="9990" max="9991" width="11.125" style="2" bestFit="1" customWidth="1"/>
    <col min="9992" max="9992" width="13.25" style="2" bestFit="1" customWidth="1"/>
    <col min="9993" max="9993" width="9.625" style="2" bestFit="1" customWidth="1"/>
    <col min="9994" max="10242" width="9" style="2"/>
    <col min="10243" max="10243" width="2.375" style="2" customWidth="1"/>
    <col min="10244" max="10245" width="13.25" style="2" bestFit="1" customWidth="1"/>
    <col min="10246" max="10247" width="11.125" style="2" bestFit="1" customWidth="1"/>
    <col min="10248" max="10248" width="13.25" style="2" bestFit="1" customWidth="1"/>
    <col min="10249" max="10249" width="9.625" style="2" bestFit="1" customWidth="1"/>
    <col min="10250" max="10498" width="9" style="2"/>
    <col min="10499" max="10499" width="2.375" style="2" customWidth="1"/>
    <col min="10500" max="10501" width="13.25" style="2" bestFit="1" customWidth="1"/>
    <col min="10502" max="10503" width="11.125" style="2" bestFit="1" customWidth="1"/>
    <col min="10504" max="10504" width="13.25" style="2" bestFit="1" customWidth="1"/>
    <col min="10505" max="10505" width="9.625" style="2" bestFit="1" customWidth="1"/>
    <col min="10506" max="10754" width="9" style="2"/>
    <col min="10755" max="10755" width="2.375" style="2" customWidth="1"/>
    <col min="10756" max="10757" width="13.25" style="2" bestFit="1" customWidth="1"/>
    <col min="10758" max="10759" width="11.125" style="2" bestFit="1" customWidth="1"/>
    <col min="10760" max="10760" width="13.25" style="2" bestFit="1" customWidth="1"/>
    <col min="10761" max="10761" width="9.625" style="2" bestFit="1" customWidth="1"/>
    <col min="10762" max="11010" width="9" style="2"/>
    <col min="11011" max="11011" width="2.375" style="2" customWidth="1"/>
    <col min="11012" max="11013" width="13.25" style="2" bestFit="1" customWidth="1"/>
    <col min="11014" max="11015" width="11.125" style="2" bestFit="1" customWidth="1"/>
    <col min="11016" max="11016" width="13.25" style="2" bestFit="1" customWidth="1"/>
    <col min="11017" max="11017" width="9.625" style="2" bestFit="1" customWidth="1"/>
    <col min="11018" max="11266" width="9" style="2"/>
    <col min="11267" max="11267" width="2.375" style="2" customWidth="1"/>
    <col min="11268" max="11269" width="13.25" style="2" bestFit="1" customWidth="1"/>
    <col min="11270" max="11271" width="11.125" style="2" bestFit="1" customWidth="1"/>
    <col min="11272" max="11272" width="13.25" style="2" bestFit="1" customWidth="1"/>
    <col min="11273" max="11273" width="9.625" style="2" bestFit="1" customWidth="1"/>
    <col min="11274" max="11522" width="9" style="2"/>
    <col min="11523" max="11523" width="2.375" style="2" customWidth="1"/>
    <col min="11524" max="11525" width="13.25" style="2" bestFit="1" customWidth="1"/>
    <col min="11526" max="11527" width="11.125" style="2" bestFit="1" customWidth="1"/>
    <col min="11528" max="11528" width="13.25" style="2" bestFit="1" customWidth="1"/>
    <col min="11529" max="11529" width="9.625" style="2" bestFit="1" customWidth="1"/>
    <col min="11530" max="11778" width="9" style="2"/>
    <col min="11779" max="11779" width="2.375" style="2" customWidth="1"/>
    <col min="11780" max="11781" width="13.25" style="2" bestFit="1" customWidth="1"/>
    <col min="11782" max="11783" width="11.125" style="2" bestFit="1" customWidth="1"/>
    <col min="11784" max="11784" width="13.25" style="2" bestFit="1" customWidth="1"/>
    <col min="11785" max="11785" width="9.625" style="2" bestFit="1" customWidth="1"/>
    <col min="11786" max="12034" width="9" style="2"/>
    <col min="12035" max="12035" width="2.375" style="2" customWidth="1"/>
    <col min="12036" max="12037" width="13.25" style="2" bestFit="1" customWidth="1"/>
    <col min="12038" max="12039" width="11.125" style="2" bestFit="1" customWidth="1"/>
    <col min="12040" max="12040" width="13.25" style="2" bestFit="1" customWidth="1"/>
    <col min="12041" max="12041" width="9.625" style="2" bestFit="1" customWidth="1"/>
    <col min="12042" max="12290" width="9" style="2"/>
    <col min="12291" max="12291" width="2.375" style="2" customWidth="1"/>
    <col min="12292" max="12293" width="13.25" style="2" bestFit="1" customWidth="1"/>
    <col min="12294" max="12295" width="11.125" style="2" bestFit="1" customWidth="1"/>
    <col min="12296" max="12296" width="13.25" style="2" bestFit="1" customWidth="1"/>
    <col min="12297" max="12297" width="9.625" style="2" bestFit="1" customWidth="1"/>
    <col min="12298" max="12546" width="9" style="2"/>
    <col min="12547" max="12547" width="2.375" style="2" customWidth="1"/>
    <col min="12548" max="12549" width="13.25" style="2" bestFit="1" customWidth="1"/>
    <col min="12550" max="12551" width="11.125" style="2" bestFit="1" customWidth="1"/>
    <col min="12552" max="12552" width="13.25" style="2" bestFit="1" customWidth="1"/>
    <col min="12553" max="12553" width="9.625" style="2" bestFit="1" customWidth="1"/>
    <col min="12554" max="12802" width="9" style="2"/>
    <col min="12803" max="12803" width="2.375" style="2" customWidth="1"/>
    <col min="12804" max="12805" width="13.25" style="2" bestFit="1" customWidth="1"/>
    <col min="12806" max="12807" width="11.125" style="2" bestFit="1" customWidth="1"/>
    <col min="12808" max="12808" width="13.25" style="2" bestFit="1" customWidth="1"/>
    <col min="12809" max="12809" width="9.625" style="2" bestFit="1" customWidth="1"/>
    <col min="12810" max="13058" width="9" style="2"/>
    <col min="13059" max="13059" width="2.375" style="2" customWidth="1"/>
    <col min="13060" max="13061" width="13.25" style="2" bestFit="1" customWidth="1"/>
    <col min="13062" max="13063" width="11.125" style="2" bestFit="1" customWidth="1"/>
    <col min="13064" max="13064" width="13.25" style="2" bestFit="1" customWidth="1"/>
    <col min="13065" max="13065" width="9.625" style="2" bestFit="1" customWidth="1"/>
    <col min="13066" max="13314" width="9" style="2"/>
    <col min="13315" max="13315" width="2.375" style="2" customWidth="1"/>
    <col min="13316" max="13317" width="13.25" style="2" bestFit="1" customWidth="1"/>
    <col min="13318" max="13319" width="11.125" style="2" bestFit="1" customWidth="1"/>
    <col min="13320" max="13320" width="13.25" style="2" bestFit="1" customWidth="1"/>
    <col min="13321" max="13321" width="9.625" style="2" bestFit="1" customWidth="1"/>
    <col min="13322" max="13570" width="9" style="2"/>
    <col min="13571" max="13571" width="2.375" style="2" customWidth="1"/>
    <col min="13572" max="13573" width="13.25" style="2" bestFit="1" customWidth="1"/>
    <col min="13574" max="13575" width="11.125" style="2" bestFit="1" customWidth="1"/>
    <col min="13576" max="13576" width="13.25" style="2" bestFit="1" customWidth="1"/>
    <col min="13577" max="13577" width="9.625" style="2" bestFit="1" customWidth="1"/>
    <col min="13578" max="13826" width="9" style="2"/>
    <col min="13827" max="13827" width="2.375" style="2" customWidth="1"/>
    <col min="13828" max="13829" width="13.25" style="2" bestFit="1" customWidth="1"/>
    <col min="13830" max="13831" width="11.125" style="2" bestFit="1" customWidth="1"/>
    <col min="13832" max="13832" width="13.25" style="2" bestFit="1" customWidth="1"/>
    <col min="13833" max="13833" width="9.625" style="2" bestFit="1" customWidth="1"/>
    <col min="13834" max="14082" width="9" style="2"/>
    <col min="14083" max="14083" width="2.375" style="2" customWidth="1"/>
    <col min="14084" max="14085" width="13.25" style="2" bestFit="1" customWidth="1"/>
    <col min="14086" max="14087" width="11.125" style="2" bestFit="1" customWidth="1"/>
    <col min="14088" max="14088" width="13.25" style="2" bestFit="1" customWidth="1"/>
    <col min="14089" max="14089" width="9.625" style="2" bestFit="1" customWidth="1"/>
    <col min="14090" max="14338" width="9" style="2"/>
    <col min="14339" max="14339" width="2.375" style="2" customWidth="1"/>
    <col min="14340" max="14341" width="13.25" style="2" bestFit="1" customWidth="1"/>
    <col min="14342" max="14343" width="11.125" style="2" bestFit="1" customWidth="1"/>
    <col min="14344" max="14344" width="13.25" style="2" bestFit="1" customWidth="1"/>
    <col min="14345" max="14345" width="9.625" style="2" bestFit="1" customWidth="1"/>
    <col min="14346" max="14594" width="9" style="2"/>
    <col min="14595" max="14595" width="2.375" style="2" customWidth="1"/>
    <col min="14596" max="14597" width="13.25" style="2" bestFit="1" customWidth="1"/>
    <col min="14598" max="14599" width="11.125" style="2" bestFit="1" customWidth="1"/>
    <col min="14600" max="14600" width="13.25" style="2" bestFit="1" customWidth="1"/>
    <col min="14601" max="14601" width="9.625" style="2" bestFit="1" customWidth="1"/>
    <col min="14602" max="14850" width="9" style="2"/>
    <col min="14851" max="14851" width="2.375" style="2" customWidth="1"/>
    <col min="14852" max="14853" width="13.25" style="2" bestFit="1" customWidth="1"/>
    <col min="14854" max="14855" width="11.125" style="2" bestFit="1" customWidth="1"/>
    <col min="14856" max="14856" width="13.25" style="2" bestFit="1" customWidth="1"/>
    <col min="14857" max="14857" width="9.625" style="2" bestFit="1" customWidth="1"/>
    <col min="14858" max="15106" width="9" style="2"/>
    <col min="15107" max="15107" width="2.375" style="2" customWidth="1"/>
    <col min="15108" max="15109" width="13.25" style="2" bestFit="1" customWidth="1"/>
    <col min="15110" max="15111" width="11.125" style="2" bestFit="1" customWidth="1"/>
    <col min="15112" max="15112" width="13.25" style="2" bestFit="1" customWidth="1"/>
    <col min="15113" max="15113" width="9.625" style="2" bestFit="1" customWidth="1"/>
    <col min="15114" max="15362" width="9" style="2"/>
    <col min="15363" max="15363" width="2.375" style="2" customWidth="1"/>
    <col min="15364" max="15365" width="13.25" style="2" bestFit="1" customWidth="1"/>
    <col min="15366" max="15367" width="11.125" style="2" bestFit="1" customWidth="1"/>
    <col min="15368" max="15368" width="13.25" style="2" bestFit="1" customWidth="1"/>
    <col min="15369" max="15369" width="9.625" style="2" bestFit="1" customWidth="1"/>
    <col min="15370" max="15618" width="9" style="2"/>
    <col min="15619" max="15619" width="2.375" style="2" customWidth="1"/>
    <col min="15620" max="15621" width="13.25" style="2" bestFit="1" customWidth="1"/>
    <col min="15622" max="15623" width="11.125" style="2" bestFit="1" customWidth="1"/>
    <col min="15624" max="15624" width="13.25" style="2" bestFit="1" customWidth="1"/>
    <col min="15625" max="15625" width="9.625" style="2" bestFit="1" customWidth="1"/>
    <col min="15626" max="15874" width="9" style="2"/>
    <col min="15875" max="15875" width="2.375" style="2" customWidth="1"/>
    <col min="15876" max="15877" width="13.25" style="2" bestFit="1" customWidth="1"/>
    <col min="15878" max="15879" width="11.125" style="2" bestFit="1" customWidth="1"/>
    <col min="15880" max="15880" width="13.25" style="2" bestFit="1" customWidth="1"/>
    <col min="15881" max="15881" width="9.625" style="2" bestFit="1" customWidth="1"/>
    <col min="15882" max="16130" width="9" style="2"/>
    <col min="16131" max="16131" width="2.375" style="2" customWidth="1"/>
    <col min="16132" max="16133" width="13.25" style="2" bestFit="1" customWidth="1"/>
    <col min="16134" max="16135" width="11.125" style="2" bestFit="1" customWidth="1"/>
    <col min="16136" max="16136" width="13.25" style="2" bestFit="1" customWidth="1"/>
    <col min="16137" max="16137" width="9.625" style="2" bestFit="1" customWidth="1"/>
    <col min="16138" max="16384" width="9" style="2"/>
  </cols>
  <sheetData>
    <row r="1" spans="1:9">
      <c r="A1" s="1" t="s">
        <v>0</v>
      </c>
    </row>
    <row r="2" spans="1:9">
      <c r="A2" s="1"/>
    </row>
    <row r="3" spans="1:9">
      <c r="A3" s="1" t="s">
        <v>1</v>
      </c>
    </row>
    <row r="4" spans="1:9">
      <c r="A4" s="1" t="s">
        <v>2</v>
      </c>
    </row>
    <row r="5" spans="1:9">
      <c r="A5" s="1" t="s">
        <v>3</v>
      </c>
    </row>
    <row r="6" spans="1:9" ht="19.5" thickBot="1">
      <c r="A6" s="1" t="s">
        <v>4</v>
      </c>
    </row>
    <row r="7" spans="1:9">
      <c r="B7" s="7"/>
      <c r="C7" s="10" t="s">
        <v>5</v>
      </c>
      <c r="D7" s="4" t="s">
        <v>6</v>
      </c>
      <c r="E7" s="43" t="s">
        <v>28</v>
      </c>
      <c r="F7" s="4" t="s">
        <v>7</v>
      </c>
      <c r="G7" s="11" t="s">
        <v>8</v>
      </c>
      <c r="H7" s="43" t="s">
        <v>28</v>
      </c>
      <c r="I7" s="43" t="s">
        <v>14</v>
      </c>
    </row>
    <row r="8" spans="1:9" ht="19.5" thickBot="1">
      <c r="A8" s="3"/>
      <c r="B8" s="18" t="s">
        <v>9</v>
      </c>
      <c r="C8" s="19" t="s">
        <v>10</v>
      </c>
      <c r="D8" s="20" t="s">
        <v>11</v>
      </c>
      <c r="E8" s="22" t="s">
        <v>29</v>
      </c>
      <c r="F8" s="20" t="s">
        <v>12</v>
      </c>
      <c r="G8" s="21" t="s">
        <v>13</v>
      </c>
      <c r="H8" s="22" t="s">
        <v>29</v>
      </c>
      <c r="I8" s="22" t="s">
        <v>29</v>
      </c>
    </row>
    <row r="9" spans="1:9">
      <c r="A9" s="1" t="s">
        <v>3</v>
      </c>
      <c r="B9" s="23" t="s">
        <v>15</v>
      </c>
      <c r="C9" s="24">
        <v>0</v>
      </c>
      <c r="D9" s="25">
        <v>0</v>
      </c>
      <c r="E9" s="27">
        <f>SUM(C9:D9)</f>
        <v>0</v>
      </c>
      <c r="F9" s="25">
        <v>0</v>
      </c>
      <c r="G9" s="26">
        <v>390000</v>
      </c>
      <c r="H9" s="27">
        <f>SUM(F9:G9)</f>
        <v>390000</v>
      </c>
      <c r="I9" s="27">
        <f>E9+H9</f>
        <v>390000</v>
      </c>
    </row>
    <row r="10" spans="1:9">
      <c r="A10" s="1" t="s">
        <v>3</v>
      </c>
      <c r="B10" s="28" t="s">
        <v>16</v>
      </c>
      <c r="C10" s="29">
        <v>0</v>
      </c>
      <c r="D10" s="30">
        <v>0</v>
      </c>
      <c r="E10" s="32">
        <f t="shared" ref="E10:E21" si="0">SUM(C10:D10)</f>
        <v>0</v>
      </c>
      <c r="F10" s="30">
        <v>0</v>
      </c>
      <c r="G10" s="31">
        <v>390000</v>
      </c>
      <c r="H10" s="32">
        <f t="shared" ref="H10:H21" si="1">SUM(F10:G10)</f>
        <v>390000</v>
      </c>
      <c r="I10" s="32">
        <f t="shared" ref="I10:I21" si="2">E10+H10</f>
        <v>390000</v>
      </c>
    </row>
    <row r="11" spans="1:9">
      <c r="A11" s="1" t="s">
        <v>3</v>
      </c>
      <c r="B11" s="28" t="s">
        <v>17</v>
      </c>
      <c r="C11" s="29">
        <v>0</v>
      </c>
      <c r="D11" s="30">
        <v>0</v>
      </c>
      <c r="E11" s="32">
        <f t="shared" si="0"/>
        <v>0</v>
      </c>
      <c r="F11" s="30">
        <v>0</v>
      </c>
      <c r="G11" s="31">
        <v>390000</v>
      </c>
      <c r="H11" s="32">
        <f t="shared" si="1"/>
        <v>390000</v>
      </c>
      <c r="I11" s="32">
        <f t="shared" si="2"/>
        <v>390000</v>
      </c>
    </row>
    <row r="12" spans="1:9">
      <c r="A12" s="1" t="s">
        <v>3</v>
      </c>
      <c r="B12" s="13" t="s">
        <v>18</v>
      </c>
      <c r="C12" s="14">
        <v>0</v>
      </c>
      <c r="D12" s="15">
        <v>0</v>
      </c>
      <c r="E12" s="17">
        <f t="shared" si="0"/>
        <v>0</v>
      </c>
      <c r="F12" s="15">
        <v>0</v>
      </c>
      <c r="G12" s="16">
        <v>19890</v>
      </c>
      <c r="H12" s="17">
        <f t="shared" si="1"/>
        <v>19890</v>
      </c>
      <c r="I12" s="17">
        <f t="shared" si="2"/>
        <v>19890</v>
      </c>
    </row>
    <row r="13" spans="1:9">
      <c r="A13" s="1" t="s">
        <v>3</v>
      </c>
      <c r="B13" s="8" t="s">
        <v>19</v>
      </c>
      <c r="C13" s="12">
        <v>0</v>
      </c>
      <c r="D13" s="5">
        <v>0</v>
      </c>
      <c r="E13" s="9">
        <f t="shared" si="0"/>
        <v>0</v>
      </c>
      <c r="F13" s="5">
        <v>0</v>
      </c>
      <c r="G13" s="6">
        <v>3510</v>
      </c>
      <c r="H13" s="9">
        <f t="shared" si="1"/>
        <v>3510</v>
      </c>
      <c r="I13" s="9">
        <f t="shared" si="2"/>
        <v>3510</v>
      </c>
    </row>
    <row r="14" spans="1:9">
      <c r="A14" s="1" t="s">
        <v>3</v>
      </c>
      <c r="B14" s="8" t="s">
        <v>20</v>
      </c>
      <c r="C14" s="12">
        <v>0</v>
      </c>
      <c r="D14" s="5">
        <v>0</v>
      </c>
      <c r="E14" s="9">
        <f t="shared" si="0"/>
        <v>0</v>
      </c>
      <c r="F14" s="5">
        <v>0</v>
      </c>
      <c r="G14" s="6">
        <v>35685</v>
      </c>
      <c r="H14" s="9">
        <f t="shared" si="1"/>
        <v>35685</v>
      </c>
      <c r="I14" s="9">
        <f t="shared" si="2"/>
        <v>35685</v>
      </c>
    </row>
    <row r="15" spans="1:9">
      <c r="A15" s="1" t="s">
        <v>3</v>
      </c>
      <c r="B15" s="33" t="s">
        <v>21</v>
      </c>
      <c r="C15" s="34">
        <v>0</v>
      </c>
      <c r="D15" s="35">
        <v>0</v>
      </c>
      <c r="E15" s="37">
        <f t="shared" si="0"/>
        <v>0</v>
      </c>
      <c r="F15" s="35">
        <v>0</v>
      </c>
      <c r="G15" s="36">
        <v>2145</v>
      </c>
      <c r="H15" s="37">
        <f t="shared" si="1"/>
        <v>2145</v>
      </c>
      <c r="I15" s="37">
        <f t="shared" si="2"/>
        <v>2145</v>
      </c>
    </row>
    <row r="16" spans="1:9">
      <c r="A16" s="1" t="s">
        <v>3</v>
      </c>
      <c r="B16" s="28" t="s">
        <v>22</v>
      </c>
      <c r="C16" s="29">
        <v>0</v>
      </c>
      <c r="D16" s="30">
        <v>0</v>
      </c>
      <c r="E16" s="32">
        <f t="shared" si="0"/>
        <v>0</v>
      </c>
      <c r="F16" s="30">
        <v>0</v>
      </c>
      <c r="G16" s="31">
        <v>328770</v>
      </c>
      <c r="H16" s="32">
        <f t="shared" si="1"/>
        <v>328770</v>
      </c>
      <c r="I16" s="32">
        <f t="shared" si="2"/>
        <v>328770</v>
      </c>
    </row>
    <row r="17" spans="1:9">
      <c r="A17" s="1" t="s">
        <v>3</v>
      </c>
      <c r="B17" s="23" t="s">
        <v>23</v>
      </c>
      <c r="C17" s="24">
        <v>0</v>
      </c>
      <c r="D17" s="25">
        <v>0</v>
      </c>
      <c r="E17" s="27">
        <f t="shared" si="0"/>
        <v>0</v>
      </c>
      <c r="F17" s="25">
        <v>0</v>
      </c>
      <c r="G17" s="26">
        <v>40280</v>
      </c>
      <c r="H17" s="27">
        <f t="shared" si="1"/>
        <v>40280</v>
      </c>
      <c r="I17" s="27">
        <f t="shared" si="2"/>
        <v>40280</v>
      </c>
    </row>
    <row r="18" spans="1:9">
      <c r="A18" s="1" t="s">
        <v>3</v>
      </c>
      <c r="B18" s="28" t="s">
        <v>24</v>
      </c>
      <c r="C18" s="29">
        <v>0</v>
      </c>
      <c r="D18" s="30">
        <v>0</v>
      </c>
      <c r="E18" s="32">
        <f t="shared" si="0"/>
        <v>0</v>
      </c>
      <c r="F18" s="30">
        <v>0</v>
      </c>
      <c r="G18" s="31">
        <v>61230</v>
      </c>
      <c r="H18" s="32">
        <f t="shared" si="1"/>
        <v>61230</v>
      </c>
      <c r="I18" s="32">
        <f t="shared" si="2"/>
        <v>61230</v>
      </c>
    </row>
    <row r="19" spans="1:9">
      <c r="A19" s="1" t="s">
        <v>3</v>
      </c>
      <c r="B19" s="28" t="s">
        <v>25</v>
      </c>
      <c r="C19" s="29">
        <v>1750698</v>
      </c>
      <c r="D19" s="30">
        <v>20420</v>
      </c>
      <c r="E19" s="32">
        <f t="shared" si="0"/>
        <v>1771118</v>
      </c>
      <c r="F19" s="30">
        <v>12610</v>
      </c>
      <c r="G19" s="31">
        <v>71720</v>
      </c>
      <c r="H19" s="32">
        <f t="shared" si="1"/>
        <v>84330</v>
      </c>
      <c r="I19" s="32">
        <f t="shared" si="2"/>
        <v>1855448</v>
      </c>
    </row>
    <row r="20" spans="1:9">
      <c r="A20" s="1" t="s">
        <v>3</v>
      </c>
      <c r="B20" s="28" t="s">
        <v>26</v>
      </c>
      <c r="C20" s="29">
        <v>1750698</v>
      </c>
      <c r="D20" s="30">
        <v>20420</v>
      </c>
      <c r="E20" s="32">
        <f t="shared" si="0"/>
        <v>1771118</v>
      </c>
      <c r="F20" s="30">
        <v>12610</v>
      </c>
      <c r="G20" s="31">
        <v>360210</v>
      </c>
      <c r="H20" s="32">
        <f t="shared" si="1"/>
        <v>372820</v>
      </c>
      <c r="I20" s="32">
        <f t="shared" si="2"/>
        <v>2143938</v>
      </c>
    </row>
    <row r="21" spans="1:9" ht="19.5" thickBot="1">
      <c r="A21" s="1" t="s">
        <v>3</v>
      </c>
      <c r="B21" s="38" t="s">
        <v>27</v>
      </c>
      <c r="C21" s="39">
        <v>1750698</v>
      </c>
      <c r="D21" s="40">
        <v>0</v>
      </c>
      <c r="E21" s="42">
        <f t="shared" si="0"/>
        <v>1750698</v>
      </c>
      <c r="F21" s="40">
        <v>12610</v>
      </c>
      <c r="G21" s="41">
        <v>360210</v>
      </c>
      <c r="H21" s="42">
        <f t="shared" si="1"/>
        <v>372820</v>
      </c>
      <c r="I21" s="42">
        <f t="shared" si="2"/>
        <v>2123518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R7年冬賞与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asada</cp:lastModifiedBy>
  <dcterms:created xsi:type="dcterms:W3CDTF">2025-12-15T03:03:56Z</dcterms:created>
  <dcterms:modified xsi:type="dcterms:W3CDTF">2025-12-15T06:23:51Z</dcterms:modified>
</cp:coreProperties>
</file>