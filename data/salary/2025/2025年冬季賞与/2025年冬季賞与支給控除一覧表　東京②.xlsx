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年冬季賞与\"/>
    </mc:Choice>
  </mc:AlternateContent>
  <xr:revisionPtr revIDLastSave="0" documentId="13_ncr:1_{325D77D0-D0CB-4562-A349-7E08B386F059}" xr6:coauthVersionLast="47" xr6:coauthVersionMax="47" xr10:uidLastSave="{00000000-0000-0000-0000-000000000000}"/>
  <bookViews>
    <workbookView xWindow="-120" yWindow="-120" windowWidth="20730" windowHeight="11160" xr2:uid="{B1789378-8AFF-4BE5-9438-96B7D138955C}"/>
  </bookViews>
  <sheets>
    <sheet name="R7年冬賞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3" i="2" l="1"/>
  <c r="N23" i="2" s="1"/>
  <c r="M22" i="2"/>
  <c r="N22" i="2" s="1"/>
  <c r="M21" i="2"/>
  <c r="N21" i="2" s="1"/>
  <c r="M20" i="2"/>
  <c r="N20" i="2" s="1"/>
  <c r="M19" i="2"/>
  <c r="N19" i="2" s="1"/>
  <c r="M18" i="2"/>
  <c r="N18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M11" i="2"/>
  <c r="N11" i="2" s="1"/>
  <c r="M10" i="2"/>
  <c r="N10" i="2" s="1"/>
  <c r="N9" i="2"/>
  <c r="M9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</calcChain>
</file>

<file path=xl/sharedStrings.xml><?xml version="1.0" encoding="utf-8"?>
<sst xmlns="http://schemas.openxmlformats.org/spreadsheetml/2006/main" count="60" uniqueCount="44">
  <si>
    <t>賞与支給控除一覧表</t>
    <phoneticPr fontId="4"/>
  </si>
  <si>
    <t>若林運送株式会社</t>
    <phoneticPr fontId="4"/>
  </si>
  <si>
    <t>2025年12月15日 作成</t>
    <phoneticPr fontId="4"/>
  </si>
  <si>
    <t/>
  </si>
  <si>
    <t>R7年冬賞与</t>
    <phoneticPr fontId="4"/>
  </si>
  <si>
    <t>1025</t>
    <phoneticPr fontId="4"/>
  </si>
  <si>
    <t>1029</t>
    <phoneticPr fontId="4"/>
  </si>
  <si>
    <t>1030</t>
    <phoneticPr fontId="4"/>
  </si>
  <si>
    <t>1033</t>
    <phoneticPr fontId="4"/>
  </si>
  <si>
    <t>1052</t>
    <phoneticPr fontId="4"/>
  </si>
  <si>
    <t>1054</t>
    <phoneticPr fontId="4"/>
  </si>
  <si>
    <t>1060</t>
    <phoneticPr fontId="4"/>
  </si>
  <si>
    <t>1204</t>
    <phoneticPr fontId="4"/>
  </si>
  <si>
    <t>1208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</si>
  <si>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</si>
  <si>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</si>
  <si>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</si>
  <si>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</si>
  <si>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新治　泰子</t>
    <phoneticPr fontId="4"/>
  </si>
  <si>
    <t>銅谷　和久</t>
    <phoneticPr fontId="4"/>
  </si>
  <si>
    <t>土屋　勝三</t>
    <phoneticPr fontId="4"/>
  </si>
  <si>
    <t>本間　裕康</t>
    <phoneticPr fontId="4"/>
  </si>
  <si>
    <t>伊藤　博一</t>
    <phoneticPr fontId="4"/>
  </si>
  <si>
    <t>石川　雄二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</si>
  <si>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</si>
  <si>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</si>
  <si>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</si>
  <si>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</si>
  <si>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</si>
  <si>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</si>
  <si>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</si>
  <si>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</si>
  <si>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</si>
  <si>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</si>
  <si>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</si>
  <si>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</si>
  <si>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</si>
  <si>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年末調整還付</t>
    <phoneticPr fontId="4"/>
  </si>
  <si>
    <t>差引支給合計</t>
    <phoneticPr fontId="4"/>
  </si>
  <si>
    <t>振込支給１</t>
    <phoneticPr fontId="4"/>
  </si>
  <si>
    <t>小計</t>
    <rPh sb="0" eb="2">
      <t>ショウケイ</t>
    </rPh>
    <phoneticPr fontId="3"/>
  </si>
  <si>
    <t>7名</t>
    <rPh sb="1" eb="2">
      <t>メイ</t>
    </rPh>
    <phoneticPr fontId="4"/>
  </si>
  <si>
    <t>2名</t>
    <rPh sb="1" eb="2">
      <t>メイ</t>
    </rPh>
    <phoneticPr fontId="4"/>
  </si>
  <si>
    <t>9名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</si>
</sst>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7" xfId="1" applyNumberFormat="1" applyFont="1" applyBorder="1" applyAlignment="1">
      <alignment horizontal="center"/>
    </xf>
    <xf numFmtId="3" fontId="2" fillId="0" borderId="10" xfId="1" applyNumberFormat="1" applyFont="1" applyBorder="1"/>
    <xf numFmtId="3" fontId="2" fillId="0" borderId="11" xfId="1" applyNumberFormat="1" applyFont="1" applyBorder="1"/>
    <xf numFmtId="0" fontId="2" fillId="0" borderId="15" xfId="1" applyFont="1" applyBorder="1" applyAlignment="1">
      <alignment horizontal="center"/>
    </xf>
    <xf numFmtId="49" fontId="2" fillId="0" borderId="16" xfId="1" applyNumberFormat="1" applyFont="1" applyBorder="1" applyAlignment="1">
      <alignment horizontal="left"/>
    </xf>
    <xf numFmtId="3" fontId="2" fillId="0" borderId="19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3" fontId="2" fillId="0" borderId="9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0" fontId="2" fillId="0" borderId="17" xfId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0" fontId="2" fillId="0" borderId="20" xfId="1" applyFont="1" applyBorder="1" applyAlignment="1">
      <alignment horizontal="center"/>
    </xf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5" xfId="1" applyNumberFormat="1" applyFont="1" applyBorder="1" applyAlignment="1">
      <alignment horizontal="left"/>
    </xf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2" xfId="1" applyNumberFormat="1" applyFont="1" applyBorder="1"/>
    <xf numFmtId="0" fontId="2" fillId="0" borderId="18" xfId="1" applyFont="1" applyBorder="1" applyAlignment="1">
      <alignment horizontal="center"/>
    </xf>
    <xf numFmtId="49" fontId="2" fillId="0" borderId="43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0" fontId="2" fillId="0" borderId="51" xfId="1" applyFont="1" applyBorder="1" applyAlignment="1">
      <alignment horizontal="center"/>
    </xf>
    <xf numFmtId="0" fontId="2" fillId="0" borderId="52" xfId="1" applyFont="1" applyBorder="1" applyAlignment="1">
      <alignment horizontal="center"/>
    </xf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55" xfId="1" applyNumberFormat="1" applyFont="1" applyBorder="1"/>
    <xf numFmtId="3" fontId="2" fillId="0" borderId="26" xfId="1" applyNumberFormat="1" applyFont="1" applyBorder="1"/>
    <xf numFmtId="3" fontId="2" fillId="0" borderId="56" xfId="1" applyNumberFormat="1" applyFont="1" applyBorder="1"/>
    <xf numFmtId="3" fontId="2" fillId="0" borderId="57" xfId="1" applyNumberFormat="1" applyFont="1" applyBorder="1"/>
  </cellXfs>
  <cellStyles count="2">
    <cellStyle name="標準" xfId="0" builtinId="0"/>
    <cellStyle name="標準 2" xfId="1" xr:uid="{2099A4F1-C319-4C4A-ACE2-2EA4828422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8EC1-6495-4B31-A047-BA27847625A1}">
  <dimension ref="A1:N23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M21" sqref="M21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9" width="11.125" style="2" bestFit="1" customWidth="1"/>
    <col min="10" max="10" width="9.625" style="2" bestFit="1" customWidth="1"/>
    <col min="11" max="11" width="9" style="2" bestFit="1" customWidth="1"/>
    <col min="12" max="12" width="11.125" style="2" bestFit="1" customWidth="1"/>
    <col min="13" max="14" width="9.625" style="2" bestFit="1" customWidth="1"/>
    <col min="15" max="258" width="9" style="2"/>
    <col min="259" max="259" width="2.375" style="2" customWidth="1"/>
    <col min="260" max="260" width="13.25" style="2" bestFit="1" customWidth="1"/>
    <col min="261" max="261" width="11.125" style="2" bestFit="1" customWidth="1"/>
    <col min="262" max="263" width="9" style="2" bestFit="1"/>
    <col min="264" max="269" width="11.125" style="2" bestFit="1" customWidth="1"/>
    <col min="270" max="270" width="9.625" style="2" bestFit="1" customWidth="1"/>
    <col min="271" max="514" width="9" style="2"/>
    <col min="515" max="515" width="2.375" style="2" customWidth="1"/>
    <col min="516" max="516" width="13.25" style="2" bestFit="1" customWidth="1"/>
    <col min="517" max="517" width="11.125" style="2" bestFit="1" customWidth="1"/>
    <col min="518" max="519" width="9" style="2" bestFit="1"/>
    <col min="520" max="525" width="11.125" style="2" bestFit="1" customWidth="1"/>
    <col min="526" max="526" width="9.625" style="2" bestFit="1" customWidth="1"/>
    <col min="527" max="770" width="9" style="2"/>
    <col min="771" max="771" width="2.375" style="2" customWidth="1"/>
    <col min="772" max="772" width="13.25" style="2" bestFit="1" customWidth="1"/>
    <col min="773" max="773" width="11.125" style="2" bestFit="1" customWidth="1"/>
    <col min="774" max="775" width="9" style="2" bestFit="1"/>
    <col min="776" max="781" width="11.125" style="2" bestFit="1" customWidth="1"/>
    <col min="782" max="782" width="9.625" style="2" bestFit="1" customWidth="1"/>
    <col min="783" max="1026" width="9" style="2"/>
    <col min="1027" max="1027" width="2.375" style="2" customWidth="1"/>
    <col min="1028" max="1028" width="13.25" style="2" bestFit="1" customWidth="1"/>
    <col min="1029" max="1029" width="11.125" style="2" bestFit="1" customWidth="1"/>
    <col min="1030" max="1031" width="9" style="2" bestFit="1"/>
    <col min="1032" max="1037" width="11.125" style="2" bestFit="1" customWidth="1"/>
    <col min="1038" max="1038" width="9.625" style="2" bestFit="1" customWidth="1"/>
    <col min="1039" max="1282" width="9" style="2"/>
    <col min="1283" max="1283" width="2.375" style="2" customWidth="1"/>
    <col min="1284" max="1284" width="13.25" style="2" bestFit="1" customWidth="1"/>
    <col min="1285" max="1285" width="11.125" style="2" bestFit="1" customWidth="1"/>
    <col min="1286" max="1287" width="9" style="2" bestFit="1"/>
    <col min="1288" max="1293" width="11.125" style="2" bestFit="1" customWidth="1"/>
    <col min="1294" max="1294" width="9.625" style="2" bestFit="1" customWidth="1"/>
    <col min="1295" max="1538" width="9" style="2"/>
    <col min="1539" max="1539" width="2.375" style="2" customWidth="1"/>
    <col min="1540" max="1540" width="13.25" style="2" bestFit="1" customWidth="1"/>
    <col min="1541" max="1541" width="11.125" style="2" bestFit="1" customWidth="1"/>
    <col min="1542" max="1543" width="9" style="2" bestFit="1"/>
    <col min="1544" max="1549" width="11.125" style="2" bestFit="1" customWidth="1"/>
    <col min="1550" max="1550" width="9.625" style="2" bestFit="1" customWidth="1"/>
    <col min="1551" max="1794" width="9" style="2"/>
    <col min="1795" max="1795" width="2.375" style="2" customWidth="1"/>
    <col min="1796" max="1796" width="13.25" style="2" bestFit="1" customWidth="1"/>
    <col min="1797" max="1797" width="11.125" style="2" bestFit="1" customWidth="1"/>
    <col min="1798" max="1799" width="9" style="2" bestFit="1"/>
    <col min="1800" max="1805" width="11.125" style="2" bestFit="1" customWidth="1"/>
    <col min="1806" max="1806" width="9.625" style="2" bestFit="1" customWidth="1"/>
    <col min="1807" max="2050" width="9" style="2"/>
    <col min="2051" max="2051" width="2.375" style="2" customWidth="1"/>
    <col min="2052" max="2052" width="13.25" style="2" bestFit="1" customWidth="1"/>
    <col min="2053" max="2053" width="11.125" style="2" bestFit="1" customWidth="1"/>
    <col min="2054" max="2055" width="9" style="2" bestFit="1"/>
    <col min="2056" max="2061" width="11.125" style="2" bestFit="1" customWidth="1"/>
    <col min="2062" max="2062" width="9.625" style="2" bestFit="1" customWidth="1"/>
    <col min="2063" max="2306" width="9" style="2"/>
    <col min="2307" max="2307" width="2.375" style="2" customWidth="1"/>
    <col min="2308" max="2308" width="13.25" style="2" bestFit="1" customWidth="1"/>
    <col min="2309" max="2309" width="11.125" style="2" bestFit="1" customWidth="1"/>
    <col min="2310" max="2311" width="9" style="2" bestFit="1"/>
    <col min="2312" max="2317" width="11.125" style="2" bestFit="1" customWidth="1"/>
    <col min="2318" max="2318" width="9.625" style="2" bestFit="1" customWidth="1"/>
    <col min="2319" max="2562" width="9" style="2"/>
    <col min="2563" max="2563" width="2.375" style="2" customWidth="1"/>
    <col min="2564" max="2564" width="13.25" style="2" bestFit="1" customWidth="1"/>
    <col min="2565" max="2565" width="11.125" style="2" bestFit="1" customWidth="1"/>
    <col min="2566" max="2567" width="9" style="2" bestFit="1"/>
    <col min="2568" max="2573" width="11.125" style="2" bestFit="1" customWidth="1"/>
    <col min="2574" max="2574" width="9.625" style="2" bestFit="1" customWidth="1"/>
    <col min="2575" max="2818" width="9" style="2"/>
    <col min="2819" max="2819" width="2.375" style="2" customWidth="1"/>
    <col min="2820" max="2820" width="13.25" style="2" bestFit="1" customWidth="1"/>
    <col min="2821" max="2821" width="11.125" style="2" bestFit="1" customWidth="1"/>
    <col min="2822" max="2823" width="9" style="2" bestFit="1"/>
    <col min="2824" max="2829" width="11.125" style="2" bestFit="1" customWidth="1"/>
    <col min="2830" max="2830" width="9.625" style="2" bestFit="1" customWidth="1"/>
    <col min="2831" max="3074" width="9" style="2"/>
    <col min="3075" max="3075" width="2.375" style="2" customWidth="1"/>
    <col min="3076" max="3076" width="13.25" style="2" bestFit="1" customWidth="1"/>
    <col min="3077" max="3077" width="11.125" style="2" bestFit="1" customWidth="1"/>
    <col min="3078" max="3079" width="9" style="2" bestFit="1"/>
    <col min="3080" max="3085" width="11.125" style="2" bestFit="1" customWidth="1"/>
    <col min="3086" max="3086" width="9.625" style="2" bestFit="1" customWidth="1"/>
    <col min="3087" max="3330" width="9" style="2"/>
    <col min="3331" max="3331" width="2.375" style="2" customWidth="1"/>
    <col min="3332" max="3332" width="13.25" style="2" bestFit="1" customWidth="1"/>
    <col min="3333" max="3333" width="11.125" style="2" bestFit="1" customWidth="1"/>
    <col min="3334" max="3335" width="9" style="2" bestFit="1"/>
    <col min="3336" max="3341" width="11.125" style="2" bestFit="1" customWidth="1"/>
    <col min="3342" max="3342" width="9.625" style="2" bestFit="1" customWidth="1"/>
    <col min="3343" max="3586" width="9" style="2"/>
    <col min="3587" max="3587" width="2.375" style="2" customWidth="1"/>
    <col min="3588" max="3588" width="13.25" style="2" bestFit="1" customWidth="1"/>
    <col min="3589" max="3589" width="11.125" style="2" bestFit="1" customWidth="1"/>
    <col min="3590" max="3591" width="9" style="2" bestFit="1"/>
    <col min="3592" max="3597" width="11.125" style="2" bestFit="1" customWidth="1"/>
    <col min="3598" max="3598" width="9.625" style="2" bestFit="1" customWidth="1"/>
    <col min="3599" max="3842" width="9" style="2"/>
    <col min="3843" max="3843" width="2.375" style="2" customWidth="1"/>
    <col min="3844" max="3844" width="13.25" style="2" bestFit="1" customWidth="1"/>
    <col min="3845" max="3845" width="11.125" style="2" bestFit="1" customWidth="1"/>
    <col min="3846" max="3847" width="9" style="2" bestFit="1"/>
    <col min="3848" max="3853" width="11.125" style="2" bestFit="1" customWidth="1"/>
    <col min="3854" max="3854" width="9.625" style="2" bestFit="1" customWidth="1"/>
    <col min="3855" max="4098" width="9" style="2"/>
    <col min="4099" max="4099" width="2.375" style="2" customWidth="1"/>
    <col min="4100" max="4100" width="13.25" style="2" bestFit="1" customWidth="1"/>
    <col min="4101" max="4101" width="11.125" style="2" bestFit="1" customWidth="1"/>
    <col min="4102" max="4103" width="9" style="2" bestFit="1"/>
    <col min="4104" max="4109" width="11.125" style="2" bestFit="1" customWidth="1"/>
    <col min="4110" max="4110" width="9.625" style="2" bestFit="1" customWidth="1"/>
    <col min="4111" max="4354" width="9" style="2"/>
    <col min="4355" max="4355" width="2.375" style="2" customWidth="1"/>
    <col min="4356" max="4356" width="13.25" style="2" bestFit="1" customWidth="1"/>
    <col min="4357" max="4357" width="11.125" style="2" bestFit="1" customWidth="1"/>
    <col min="4358" max="4359" width="9" style="2" bestFit="1"/>
    <col min="4360" max="4365" width="11.125" style="2" bestFit="1" customWidth="1"/>
    <col min="4366" max="4366" width="9.625" style="2" bestFit="1" customWidth="1"/>
    <col min="4367" max="4610" width="9" style="2"/>
    <col min="4611" max="4611" width="2.375" style="2" customWidth="1"/>
    <col min="4612" max="4612" width="13.25" style="2" bestFit="1" customWidth="1"/>
    <col min="4613" max="4613" width="11.125" style="2" bestFit="1" customWidth="1"/>
    <col min="4614" max="4615" width="9" style="2" bestFit="1"/>
    <col min="4616" max="4621" width="11.125" style="2" bestFit="1" customWidth="1"/>
    <col min="4622" max="4622" width="9.625" style="2" bestFit="1" customWidth="1"/>
    <col min="4623" max="4866" width="9" style="2"/>
    <col min="4867" max="4867" width="2.375" style="2" customWidth="1"/>
    <col min="4868" max="4868" width="13.25" style="2" bestFit="1" customWidth="1"/>
    <col min="4869" max="4869" width="11.125" style="2" bestFit="1" customWidth="1"/>
    <col min="4870" max="4871" width="9" style="2" bestFit="1"/>
    <col min="4872" max="4877" width="11.125" style="2" bestFit="1" customWidth="1"/>
    <col min="4878" max="4878" width="9.625" style="2" bestFit="1" customWidth="1"/>
    <col min="4879" max="5122" width="9" style="2"/>
    <col min="5123" max="5123" width="2.375" style="2" customWidth="1"/>
    <col min="5124" max="5124" width="13.25" style="2" bestFit="1" customWidth="1"/>
    <col min="5125" max="5125" width="11.125" style="2" bestFit="1" customWidth="1"/>
    <col min="5126" max="5127" width="9" style="2" bestFit="1"/>
    <col min="5128" max="5133" width="11.125" style="2" bestFit="1" customWidth="1"/>
    <col min="5134" max="5134" width="9.625" style="2" bestFit="1" customWidth="1"/>
    <col min="5135" max="5378" width="9" style="2"/>
    <col min="5379" max="5379" width="2.375" style="2" customWidth="1"/>
    <col min="5380" max="5380" width="13.25" style="2" bestFit="1" customWidth="1"/>
    <col min="5381" max="5381" width="11.125" style="2" bestFit="1" customWidth="1"/>
    <col min="5382" max="5383" width="9" style="2" bestFit="1"/>
    <col min="5384" max="5389" width="11.125" style="2" bestFit="1" customWidth="1"/>
    <col min="5390" max="5390" width="9.625" style="2" bestFit="1" customWidth="1"/>
    <col min="5391" max="5634" width="9" style="2"/>
    <col min="5635" max="5635" width="2.375" style="2" customWidth="1"/>
    <col min="5636" max="5636" width="13.25" style="2" bestFit="1" customWidth="1"/>
    <col min="5637" max="5637" width="11.125" style="2" bestFit="1" customWidth="1"/>
    <col min="5638" max="5639" width="9" style="2" bestFit="1"/>
    <col min="5640" max="5645" width="11.125" style="2" bestFit="1" customWidth="1"/>
    <col min="5646" max="5646" width="9.625" style="2" bestFit="1" customWidth="1"/>
    <col min="5647" max="5890" width="9" style="2"/>
    <col min="5891" max="5891" width="2.375" style="2" customWidth="1"/>
    <col min="5892" max="5892" width="13.25" style="2" bestFit="1" customWidth="1"/>
    <col min="5893" max="5893" width="11.125" style="2" bestFit="1" customWidth="1"/>
    <col min="5894" max="5895" width="9" style="2" bestFit="1"/>
    <col min="5896" max="5901" width="11.125" style="2" bestFit="1" customWidth="1"/>
    <col min="5902" max="5902" width="9.625" style="2" bestFit="1" customWidth="1"/>
    <col min="5903" max="6146" width="9" style="2"/>
    <col min="6147" max="6147" width="2.375" style="2" customWidth="1"/>
    <col min="6148" max="6148" width="13.25" style="2" bestFit="1" customWidth="1"/>
    <col min="6149" max="6149" width="11.125" style="2" bestFit="1" customWidth="1"/>
    <col min="6150" max="6151" width="9" style="2" bestFit="1"/>
    <col min="6152" max="6157" width="11.125" style="2" bestFit="1" customWidth="1"/>
    <col min="6158" max="6158" width="9.625" style="2" bestFit="1" customWidth="1"/>
    <col min="6159" max="6402" width="9" style="2"/>
    <col min="6403" max="6403" width="2.375" style="2" customWidth="1"/>
    <col min="6404" max="6404" width="13.25" style="2" bestFit="1" customWidth="1"/>
    <col min="6405" max="6405" width="11.125" style="2" bestFit="1" customWidth="1"/>
    <col min="6406" max="6407" width="9" style="2" bestFit="1"/>
    <col min="6408" max="6413" width="11.125" style="2" bestFit="1" customWidth="1"/>
    <col min="6414" max="6414" width="9.625" style="2" bestFit="1" customWidth="1"/>
    <col min="6415" max="6658" width="9" style="2"/>
    <col min="6659" max="6659" width="2.375" style="2" customWidth="1"/>
    <col min="6660" max="6660" width="13.25" style="2" bestFit="1" customWidth="1"/>
    <col min="6661" max="6661" width="11.125" style="2" bestFit="1" customWidth="1"/>
    <col min="6662" max="6663" width="9" style="2" bestFit="1"/>
    <col min="6664" max="6669" width="11.125" style="2" bestFit="1" customWidth="1"/>
    <col min="6670" max="6670" width="9.625" style="2" bestFit="1" customWidth="1"/>
    <col min="6671" max="6914" width="9" style="2"/>
    <col min="6915" max="6915" width="2.375" style="2" customWidth="1"/>
    <col min="6916" max="6916" width="13.25" style="2" bestFit="1" customWidth="1"/>
    <col min="6917" max="6917" width="11.125" style="2" bestFit="1" customWidth="1"/>
    <col min="6918" max="6919" width="9" style="2" bestFit="1"/>
    <col min="6920" max="6925" width="11.125" style="2" bestFit="1" customWidth="1"/>
    <col min="6926" max="6926" width="9.625" style="2" bestFit="1" customWidth="1"/>
    <col min="6927" max="7170" width="9" style="2"/>
    <col min="7171" max="7171" width="2.375" style="2" customWidth="1"/>
    <col min="7172" max="7172" width="13.25" style="2" bestFit="1" customWidth="1"/>
    <col min="7173" max="7173" width="11.125" style="2" bestFit="1" customWidth="1"/>
    <col min="7174" max="7175" width="9" style="2" bestFit="1"/>
    <col min="7176" max="7181" width="11.125" style="2" bestFit="1" customWidth="1"/>
    <col min="7182" max="7182" width="9.625" style="2" bestFit="1" customWidth="1"/>
    <col min="7183" max="7426" width="9" style="2"/>
    <col min="7427" max="7427" width="2.375" style="2" customWidth="1"/>
    <col min="7428" max="7428" width="13.25" style="2" bestFit="1" customWidth="1"/>
    <col min="7429" max="7429" width="11.125" style="2" bestFit="1" customWidth="1"/>
    <col min="7430" max="7431" width="9" style="2" bestFit="1"/>
    <col min="7432" max="7437" width="11.125" style="2" bestFit="1" customWidth="1"/>
    <col min="7438" max="7438" width="9.625" style="2" bestFit="1" customWidth="1"/>
    <col min="7439" max="7682" width="9" style="2"/>
    <col min="7683" max="7683" width="2.375" style="2" customWidth="1"/>
    <col min="7684" max="7684" width="13.25" style="2" bestFit="1" customWidth="1"/>
    <col min="7685" max="7685" width="11.125" style="2" bestFit="1" customWidth="1"/>
    <col min="7686" max="7687" width="9" style="2" bestFit="1"/>
    <col min="7688" max="7693" width="11.125" style="2" bestFit="1" customWidth="1"/>
    <col min="7694" max="7694" width="9.625" style="2" bestFit="1" customWidth="1"/>
    <col min="7695" max="7938" width="9" style="2"/>
    <col min="7939" max="7939" width="2.375" style="2" customWidth="1"/>
    <col min="7940" max="7940" width="13.25" style="2" bestFit="1" customWidth="1"/>
    <col min="7941" max="7941" width="11.125" style="2" bestFit="1" customWidth="1"/>
    <col min="7942" max="7943" width="9" style="2" bestFit="1"/>
    <col min="7944" max="7949" width="11.125" style="2" bestFit="1" customWidth="1"/>
    <col min="7950" max="7950" width="9.625" style="2" bestFit="1" customWidth="1"/>
    <col min="7951" max="8194" width="9" style="2"/>
    <col min="8195" max="8195" width="2.375" style="2" customWidth="1"/>
    <col min="8196" max="8196" width="13.25" style="2" bestFit="1" customWidth="1"/>
    <col min="8197" max="8197" width="11.125" style="2" bestFit="1" customWidth="1"/>
    <col min="8198" max="8199" width="9" style="2" bestFit="1"/>
    <col min="8200" max="8205" width="11.125" style="2" bestFit="1" customWidth="1"/>
    <col min="8206" max="8206" width="9.625" style="2" bestFit="1" customWidth="1"/>
    <col min="8207" max="8450" width="9" style="2"/>
    <col min="8451" max="8451" width="2.375" style="2" customWidth="1"/>
    <col min="8452" max="8452" width="13.25" style="2" bestFit="1" customWidth="1"/>
    <col min="8453" max="8453" width="11.125" style="2" bestFit="1" customWidth="1"/>
    <col min="8454" max="8455" width="9" style="2" bestFit="1"/>
    <col min="8456" max="8461" width="11.125" style="2" bestFit="1" customWidth="1"/>
    <col min="8462" max="8462" width="9.625" style="2" bestFit="1" customWidth="1"/>
    <col min="8463" max="8706" width="9" style="2"/>
    <col min="8707" max="8707" width="2.375" style="2" customWidth="1"/>
    <col min="8708" max="8708" width="13.25" style="2" bestFit="1" customWidth="1"/>
    <col min="8709" max="8709" width="11.125" style="2" bestFit="1" customWidth="1"/>
    <col min="8710" max="8711" width="9" style="2" bestFit="1"/>
    <col min="8712" max="8717" width="11.125" style="2" bestFit="1" customWidth="1"/>
    <col min="8718" max="8718" width="9.625" style="2" bestFit="1" customWidth="1"/>
    <col min="8719" max="8962" width="9" style="2"/>
    <col min="8963" max="8963" width="2.375" style="2" customWidth="1"/>
    <col min="8964" max="8964" width="13.25" style="2" bestFit="1" customWidth="1"/>
    <col min="8965" max="8965" width="11.125" style="2" bestFit="1" customWidth="1"/>
    <col min="8966" max="8967" width="9" style="2" bestFit="1"/>
    <col min="8968" max="8973" width="11.125" style="2" bestFit="1" customWidth="1"/>
    <col min="8974" max="8974" width="9.625" style="2" bestFit="1" customWidth="1"/>
    <col min="8975" max="9218" width="9" style="2"/>
    <col min="9219" max="9219" width="2.375" style="2" customWidth="1"/>
    <col min="9220" max="9220" width="13.25" style="2" bestFit="1" customWidth="1"/>
    <col min="9221" max="9221" width="11.125" style="2" bestFit="1" customWidth="1"/>
    <col min="9222" max="9223" width="9" style="2" bestFit="1"/>
    <col min="9224" max="9229" width="11.125" style="2" bestFit="1" customWidth="1"/>
    <col min="9230" max="9230" width="9.625" style="2" bestFit="1" customWidth="1"/>
    <col min="9231" max="9474" width="9" style="2"/>
    <col min="9475" max="9475" width="2.375" style="2" customWidth="1"/>
    <col min="9476" max="9476" width="13.25" style="2" bestFit="1" customWidth="1"/>
    <col min="9477" max="9477" width="11.125" style="2" bestFit="1" customWidth="1"/>
    <col min="9478" max="9479" width="9" style="2" bestFit="1"/>
    <col min="9480" max="9485" width="11.125" style="2" bestFit="1" customWidth="1"/>
    <col min="9486" max="9486" width="9.625" style="2" bestFit="1" customWidth="1"/>
    <col min="9487" max="9730" width="9" style="2"/>
    <col min="9731" max="9731" width="2.375" style="2" customWidth="1"/>
    <col min="9732" max="9732" width="13.25" style="2" bestFit="1" customWidth="1"/>
    <col min="9733" max="9733" width="11.125" style="2" bestFit="1" customWidth="1"/>
    <col min="9734" max="9735" width="9" style="2" bestFit="1"/>
    <col min="9736" max="9741" width="11.125" style="2" bestFit="1" customWidth="1"/>
    <col min="9742" max="9742" width="9.625" style="2" bestFit="1" customWidth="1"/>
    <col min="9743" max="9986" width="9" style="2"/>
    <col min="9987" max="9987" width="2.375" style="2" customWidth="1"/>
    <col min="9988" max="9988" width="13.25" style="2" bestFit="1" customWidth="1"/>
    <col min="9989" max="9989" width="11.125" style="2" bestFit="1" customWidth="1"/>
    <col min="9990" max="9991" width="9" style="2" bestFit="1"/>
    <col min="9992" max="9997" width="11.125" style="2" bestFit="1" customWidth="1"/>
    <col min="9998" max="9998" width="9.625" style="2" bestFit="1" customWidth="1"/>
    <col min="9999" max="10242" width="9" style="2"/>
    <col min="10243" max="10243" width="2.375" style="2" customWidth="1"/>
    <col min="10244" max="10244" width="13.25" style="2" bestFit="1" customWidth="1"/>
    <col min="10245" max="10245" width="11.125" style="2" bestFit="1" customWidth="1"/>
    <col min="10246" max="10247" width="9" style="2" bestFit="1"/>
    <col min="10248" max="10253" width="11.125" style="2" bestFit="1" customWidth="1"/>
    <col min="10254" max="10254" width="9.625" style="2" bestFit="1" customWidth="1"/>
    <col min="10255" max="10498" width="9" style="2"/>
    <col min="10499" max="10499" width="2.375" style="2" customWidth="1"/>
    <col min="10500" max="10500" width="13.25" style="2" bestFit="1" customWidth="1"/>
    <col min="10501" max="10501" width="11.125" style="2" bestFit="1" customWidth="1"/>
    <col min="10502" max="10503" width="9" style="2" bestFit="1"/>
    <col min="10504" max="10509" width="11.125" style="2" bestFit="1" customWidth="1"/>
    <col min="10510" max="10510" width="9.625" style="2" bestFit="1" customWidth="1"/>
    <col min="10511" max="10754" width="9" style="2"/>
    <col min="10755" max="10755" width="2.375" style="2" customWidth="1"/>
    <col min="10756" max="10756" width="13.25" style="2" bestFit="1" customWidth="1"/>
    <col min="10757" max="10757" width="11.125" style="2" bestFit="1" customWidth="1"/>
    <col min="10758" max="10759" width="9" style="2" bestFit="1"/>
    <col min="10760" max="10765" width="11.125" style="2" bestFit="1" customWidth="1"/>
    <col min="10766" max="10766" width="9.625" style="2" bestFit="1" customWidth="1"/>
    <col min="10767" max="11010" width="9" style="2"/>
    <col min="11011" max="11011" width="2.375" style="2" customWidth="1"/>
    <col min="11012" max="11012" width="13.25" style="2" bestFit="1" customWidth="1"/>
    <col min="11013" max="11013" width="11.125" style="2" bestFit="1" customWidth="1"/>
    <col min="11014" max="11015" width="9" style="2" bestFit="1"/>
    <col min="11016" max="11021" width="11.125" style="2" bestFit="1" customWidth="1"/>
    <col min="11022" max="11022" width="9.625" style="2" bestFit="1" customWidth="1"/>
    <col min="11023" max="11266" width="9" style="2"/>
    <col min="11267" max="11267" width="2.375" style="2" customWidth="1"/>
    <col min="11268" max="11268" width="13.25" style="2" bestFit="1" customWidth="1"/>
    <col min="11269" max="11269" width="11.125" style="2" bestFit="1" customWidth="1"/>
    <col min="11270" max="11271" width="9" style="2" bestFit="1"/>
    <col min="11272" max="11277" width="11.125" style="2" bestFit="1" customWidth="1"/>
    <col min="11278" max="11278" width="9.625" style="2" bestFit="1" customWidth="1"/>
    <col min="11279" max="11522" width="9" style="2"/>
    <col min="11523" max="11523" width="2.375" style="2" customWidth="1"/>
    <col min="11524" max="11524" width="13.25" style="2" bestFit="1" customWidth="1"/>
    <col min="11525" max="11525" width="11.125" style="2" bestFit="1" customWidth="1"/>
    <col min="11526" max="11527" width="9" style="2" bestFit="1"/>
    <col min="11528" max="11533" width="11.125" style="2" bestFit="1" customWidth="1"/>
    <col min="11534" max="11534" width="9.625" style="2" bestFit="1" customWidth="1"/>
    <col min="11535" max="11778" width="9" style="2"/>
    <col min="11779" max="11779" width="2.375" style="2" customWidth="1"/>
    <col min="11780" max="11780" width="13.25" style="2" bestFit="1" customWidth="1"/>
    <col min="11781" max="11781" width="11.125" style="2" bestFit="1" customWidth="1"/>
    <col min="11782" max="11783" width="9" style="2" bestFit="1"/>
    <col min="11784" max="11789" width="11.125" style="2" bestFit="1" customWidth="1"/>
    <col min="11790" max="11790" width="9.625" style="2" bestFit="1" customWidth="1"/>
    <col min="11791" max="12034" width="9" style="2"/>
    <col min="12035" max="12035" width="2.375" style="2" customWidth="1"/>
    <col min="12036" max="12036" width="13.25" style="2" bestFit="1" customWidth="1"/>
    <col min="12037" max="12037" width="11.125" style="2" bestFit="1" customWidth="1"/>
    <col min="12038" max="12039" width="9" style="2" bestFit="1"/>
    <col min="12040" max="12045" width="11.125" style="2" bestFit="1" customWidth="1"/>
    <col min="12046" max="12046" width="9.625" style="2" bestFit="1" customWidth="1"/>
    <col min="12047" max="12290" width="9" style="2"/>
    <col min="12291" max="12291" width="2.375" style="2" customWidth="1"/>
    <col min="12292" max="12292" width="13.25" style="2" bestFit="1" customWidth="1"/>
    <col min="12293" max="12293" width="11.125" style="2" bestFit="1" customWidth="1"/>
    <col min="12294" max="12295" width="9" style="2" bestFit="1"/>
    <col min="12296" max="12301" width="11.125" style="2" bestFit="1" customWidth="1"/>
    <col min="12302" max="12302" width="9.625" style="2" bestFit="1" customWidth="1"/>
    <col min="12303" max="12546" width="9" style="2"/>
    <col min="12547" max="12547" width="2.375" style="2" customWidth="1"/>
    <col min="12548" max="12548" width="13.25" style="2" bestFit="1" customWidth="1"/>
    <col min="12549" max="12549" width="11.125" style="2" bestFit="1" customWidth="1"/>
    <col min="12550" max="12551" width="9" style="2" bestFit="1"/>
    <col min="12552" max="12557" width="11.125" style="2" bestFit="1" customWidth="1"/>
    <col min="12558" max="12558" width="9.625" style="2" bestFit="1" customWidth="1"/>
    <col min="12559" max="12802" width="9" style="2"/>
    <col min="12803" max="12803" width="2.375" style="2" customWidth="1"/>
    <col min="12804" max="12804" width="13.25" style="2" bestFit="1" customWidth="1"/>
    <col min="12805" max="12805" width="11.125" style="2" bestFit="1" customWidth="1"/>
    <col min="12806" max="12807" width="9" style="2" bestFit="1"/>
    <col min="12808" max="12813" width="11.125" style="2" bestFit="1" customWidth="1"/>
    <col min="12814" max="12814" width="9.625" style="2" bestFit="1" customWidth="1"/>
    <col min="12815" max="13058" width="9" style="2"/>
    <col min="13059" max="13059" width="2.375" style="2" customWidth="1"/>
    <col min="13060" max="13060" width="13.25" style="2" bestFit="1" customWidth="1"/>
    <col min="13061" max="13061" width="11.125" style="2" bestFit="1" customWidth="1"/>
    <col min="13062" max="13063" width="9" style="2" bestFit="1"/>
    <col min="13064" max="13069" width="11.125" style="2" bestFit="1" customWidth="1"/>
    <col min="13070" max="13070" width="9.625" style="2" bestFit="1" customWidth="1"/>
    <col min="13071" max="13314" width="9" style="2"/>
    <col min="13315" max="13315" width="2.375" style="2" customWidth="1"/>
    <col min="13316" max="13316" width="13.25" style="2" bestFit="1" customWidth="1"/>
    <col min="13317" max="13317" width="11.125" style="2" bestFit="1" customWidth="1"/>
    <col min="13318" max="13319" width="9" style="2" bestFit="1"/>
    <col min="13320" max="13325" width="11.125" style="2" bestFit="1" customWidth="1"/>
    <col min="13326" max="13326" width="9.625" style="2" bestFit="1" customWidth="1"/>
    <col min="13327" max="13570" width="9" style="2"/>
    <col min="13571" max="13571" width="2.375" style="2" customWidth="1"/>
    <col min="13572" max="13572" width="13.25" style="2" bestFit="1" customWidth="1"/>
    <col min="13573" max="13573" width="11.125" style="2" bestFit="1" customWidth="1"/>
    <col min="13574" max="13575" width="9" style="2" bestFit="1"/>
    <col min="13576" max="13581" width="11.125" style="2" bestFit="1" customWidth="1"/>
    <col min="13582" max="13582" width="9.625" style="2" bestFit="1" customWidth="1"/>
    <col min="13583" max="13826" width="9" style="2"/>
    <col min="13827" max="13827" width="2.375" style="2" customWidth="1"/>
    <col min="13828" max="13828" width="13.25" style="2" bestFit="1" customWidth="1"/>
    <col min="13829" max="13829" width="11.125" style="2" bestFit="1" customWidth="1"/>
    <col min="13830" max="13831" width="9" style="2" bestFit="1"/>
    <col min="13832" max="13837" width="11.125" style="2" bestFit="1" customWidth="1"/>
    <col min="13838" max="13838" width="9.625" style="2" bestFit="1" customWidth="1"/>
    <col min="13839" max="14082" width="9" style="2"/>
    <col min="14083" max="14083" width="2.375" style="2" customWidth="1"/>
    <col min="14084" max="14084" width="13.25" style="2" bestFit="1" customWidth="1"/>
    <col min="14085" max="14085" width="11.125" style="2" bestFit="1" customWidth="1"/>
    <col min="14086" max="14087" width="9" style="2" bestFit="1"/>
    <col min="14088" max="14093" width="11.125" style="2" bestFit="1" customWidth="1"/>
    <col min="14094" max="14094" width="9.625" style="2" bestFit="1" customWidth="1"/>
    <col min="14095" max="14338" width="9" style="2"/>
    <col min="14339" max="14339" width="2.375" style="2" customWidth="1"/>
    <col min="14340" max="14340" width="13.25" style="2" bestFit="1" customWidth="1"/>
    <col min="14341" max="14341" width="11.125" style="2" bestFit="1" customWidth="1"/>
    <col min="14342" max="14343" width="9" style="2" bestFit="1"/>
    <col min="14344" max="14349" width="11.125" style="2" bestFit="1" customWidth="1"/>
    <col min="14350" max="14350" width="9.625" style="2" bestFit="1" customWidth="1"/>
    <col min="14351" max="14594" width="9" style="2"/>
    <col min="14595" max="14595" width="2.375" style="2" customWidth="1"/>
    <col min="14596" max="14596" width="13.25" style="2" bestFit="1" customWidth="1"/>
    <col min="14597" max="14597" width="11.125" style="2" bestFit="1" customWidth="1"/>
    <col min="14598" max="14599" width="9" style="2" bestFit="1"/>
    <col min="14600" max="14605" width="11.125" style="2" bestFit="1" customWidth="1"/>
    <col min="14606" max="14606" width="9.625" style="2" bestFit="1" customWidth="1"/>
    <col min="14607" max="14850" width="9" style="2"/>
    <col min="14851" max="14851" width="2.375" style="2" customWidth="1"/>
    <col min="14852" max="14852" width="13.25" style="2" bestFit="1" customWidth="1"/>
    <col min="14853" max="14853" width="11.125" style="2" bestFit="1" customWidth="1"/>
    <col min="14854" max="14855" width="9" style="2" bestFit="1"/>
    <col min="14856" max="14861" width="11.125" style="2" bestFit="1" customWidth="1"/>
    <col min="14862" max="14862" width="9.625" style="2" bestFit="1" customWidth="1"/>
    <col min="14863" max="15106" width="9" style="2"/>
    <col min="15107" max="15107" width="2.375" style="2" customWidth="1"/>
    <col min="15108" max="15108" width="13.25" style="2" bestFit="1" customWidth="1"/>
    <col min="15109" max="15109" width="11.125" style="2" bestFit="1" customWidth="1"/>
    <col min="15110" max="15111" width="9" style="2" bestFit="1"/>
    <col min="15112" max="15117" width="11.125" style="2" bestFit="1" customWidth="1"/>
    <col min="15118" max="15118" width="9.625" style="2" bestFit="1" customWidth="1"/>
    <col min="15119" max="15362" width="9" style="2"/>
    <col min="15363" max="15363" width="2.375" style="2" customWidth="1"/>
    <col min="15364" max="15364" width="13.25" style="2" bestFit="1" customWidth="1"/>
    <col min="15365" max="15365" width="11.125" style="2" bestFit="1" customWidth="1"/>
    <col min="15366" max="15367" width="9" style="2" bestFit="1"/>
    <col min="15368" max="15373" width="11.125" style="2" bestFit="1" customWidth="1"/>
    <col min="15374" max="15374" width="9.625" style="2" bestFit="1" customWidth="1"/>
    <col min="15375" max="15618" width="9" style="2"/>
    <col min="15619" max="15619" width="2.375" style="2" customWidth="1"/>
    <col min="15620" max="15620" width="13.25" style="2" bestFit="1" customWidth="1"/>
    <col min="15621" max="15621" width="11.125" style="2" bestFit="1" customWidth="1"/>
    <col min="15622" max="15623" width="9" style="2" bestFit="1"/>
    <col min="15624" max="15629" width="11.125" style="2" bestFit="1" customWidth="1"/>
    <col min="15630" max="15630" width="9.625" style="2" bestFit="1" customWidth="1"/>
    <col min="15631" max="15874" width="9" style="2"/>
    <col min="15875" max="15875" width="2.375" style="2" customWidth="1"/>
    <col min="15876" max="15876" width="13.25" style="2" bestFit="1" customWidth="1"/>
    <col min="15877" max="15877" width="11.125" style="2" bestFit="1" customWidth="1"/>
    <col min="15878" max="15879" width="9" style="2" bestFit="1"/>
    <col min="15880" max="15885" width="11.125" style="2" bestFit="1" customWidth="1"/>
    <col min="15886" max="15886" width="9.625" style="2" bestFit="1" customWidth="1"/>
    <col min="15887" max="16130" width="9" style="2"/>
    <col min="16131" max="16131" width="2.375" style="2" customWidth="1"/>
    <col min="16132" max="16132" width="13.25" style="2" bestFit="1" customWidth="1"/>
    <col min="16133" max="16133" width="11.125" style="2" bestFit="1" customWidth="1"/>
    <col min="16134" max="16135" width="9" style="2" bestFit="1"/>
    <col min="16136" max="16141" width="11.125" style="2" bestFit="1" customWidth="1"/>
    <col min="16142" max="16142" width="9.625" style="2" bestFit="1" customWidth="1"/>
    <col min="16143" max="16384" width="9" style="2"/>
  </cols>
  <sheetData>
    <row r="1" spans="1:14">
      <c r="A1" s="1" t="s">
        <v>0</v>
      </c>
    </row>
    <row r="2" spans="1:14">
      <c r="A2" s="1"/>
    </row>
    <row r="3" spans="1:14">
      <c r="A3" s="1" t="s">
        <v>1</v>
      </c>
    </row>
    <row r="4" spans="1:14">
      <c r="A4" s="1" t="s">
        <v>2</v>
      </c>
    </row>
    <row r="5" spans="1:14">
      <c r="A5" s="1" t="s">
        <v>3</v>
      </c>
    </row>
    <row r="6" spans="1:14" ht="19.5" thickBot="1">
      <c r="A6" s="1" t="s">
        <v>4</v>
      </c>
    </row>
    <row r="7" spans="1:14">
      <c r="B7" s="7"/>
      <c r="C7" s="10" t="s">
        <v>5</v>
      </c>
      <c r="D7" s="4" t="s">
        <v>7</v>
      </c>
      <c r="E7" s="4" t="s">
        <v>9</v>
      </c>
      <c r="F7" s="4" t="s">
        <v>10</v>
      </c>
      <c r="G7" s="4" t="s">
        <v>11</v>
      </c>
      <c r="H7" s="4" t="s">
        <v>12</v>
      </c>
      <c r="I7" s="44" t="s">
        <v>13</v>
      </c>
      <c r="J7" s="52" t="s">
        <v>40</v>
      </c>
      <c r="K7" s="4" t="s">
        <v>6</v>
      </c>
      <c r="L7" s="11" t="s">
        <v>8</v>
      </c>
      <c r="M7" s="43" t="s">
        <v>40</v>
      </c>
      <c r="N7" s="43" t="s">
        <v>24</v>
      </c>
    </row>
    <row r="8" spans="1:14" ht="19.5" thickBot="1">
      <c r="A8" s="3"/>
      <c r="B8" s="18" t="s">
        <v>14</v>
      </c>
      <c r="C8" s="19" t="s">
        <v>15</v>
      </c>
      <c r="D8" s="20" t="s">
        <v>17</v>
      </c>
      <c r="E8" s="20" t="s">
        <v>19</v>
      </c>
      <c r="F8" s="20" t="s">
        <v>20</v>
      </c>
      <c r="G8" s="20" t="s">
        <v>21</v>
      </c>
      <c r="H8" s="20" t="s">
        <v>22</v>
      </c>
      <c r="I8" s="45" t="s">
        <v>23</v>
      </c>
      <c r="J8" s="53" t="s">
        <v>41</v>
      </c>
      <c r="K8" s="20" t="s">
        <v>16</v>
      </c>
      <c r="L8" s="21" t="s">
        <v>18</v>
      </c>
      <c r="M8" s="22" t="s">
        <v>42</v>
      </c>
      <c r="N8" s="22" t="s">
        <v>43</v>
      </c>
    </row>
    <row r="9" spans="1:14">
      <c r="A9" s="1" t="s">
        <v>3</v>
      </c>
      <c r="B9" s="13" t="s">
        <v>25</v>
      </c>
      <c r="C9" s="14">
        <v>83000</v>
      </c>
      <c r="D9" s="15">
        <v>59000</v>
      </c>
      <c r="E9" s="15">
        <v>59000</v>
      </c>
      <c r="F9" s="15">
        <v>59000</v>
      </c>
      <c r="G9" s="15">
        <v>59000</v>
      </c>
      <c r="H9" s="15">
        <v>44167</v>
      </c>
      <c r="I9" s="46">
        <v>8834</v>
      </c>
      <c r="J9" s="54">
        <f>SUM(C9:I9)</f>
        <v>372001</v>
      </c>
      <c r="K9" s="15">
        <v>370000</v>
      </c>
      <c r="L9" s="16">
        <v>0</v>
      </c>
      <c r="M9" s="17">
        <f>SUM(K9:L9)</f>
        <v>370000</v>
      </c>
      <c r="N9" s="17">
        <f>J9+M9</f>
        <v>742001</v>
      </c>
    </row>
    <row r="10" spans="1:14">
      <c r="A10" s="1" t="s">
        <v>3</v>
      </c>
      <c r="B10" s="8" t="s">
        <v>26</v>
      </c>
      <c r="C10" s="12">
        <v>15000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47">
        <v>0</v>
      </c>
      <c r="J10" s="55">
        <f t="shared" ref="J10:J23" si="0">SUM(C10:I10)</f>
        <v>15000</v>
      </c>
      <c r="K10" s="5">
        <v>0</v>
      </c>
      <c r="L10" s="6">
        <v>0</v>
      </c>
      <c r="M10" s="9">
        <f t="shared" ref="M10:M23" si="1">SUM(K10:L10)</f>
        <v>0</v>
      </c>
      <c r="N10" s="9">
        <f t="shared" ref="N10:N23" si="2">J10+M10</f>
        <v>15000</v>
      </c>
    </row>
    <row r="11" spans="1:14">
      <c r="A11" s="1" t="s">
        <v>3</v>
      </c>
      <c r="B11" s="23" t="s">
        <v>27</v>
      </c>
      <c r="C11" s="24">
        <v>0</v>
      </c>
      <c r="D11" s="25">
        <v>10000</v>
      </c>
      <c r="E11" s="25">
        <v>0</v>
      </c>
      <c r="F11" s="25">
        <v>0</v>
      </c>
      <c r="G11" s="25">
        <v>3000</v>
      </c>
      <c r="H11" s="25">
        <v>0</v>
      </c>
      <c r="I11" s="48">
        <v>0</v>
      </c>
      <c r="J11" s="56">
        <f t="shared" si="0"/>
        <v>13000</v>
      </c>
      <c r="K11" s="25">
        <v>0</v>
      </c>
      <c r="L11" s="26">
        <v>0</v>
      </c>
      <c r="M11" s="27">
        <f t="shared" si="1"/>
        <v>0</v>
      </c>
      <c r="N11" s="27">
        <f t="shared" si="2"/>
        <v>13000</v>
      </c>
    </row>
    <row r="12" spans="1:14">
      <c r="A12" s="1" t="s">
        <v>3</v>
      </c>
      <c r="B12" s="28" t="s">
        <v>28</v>
      </c>
      <c r="C12" s="29">
        <v>98000</v>
      </c>
      <c r="D12" s="30">
        <v>69000</v>
      </c>
      <c r="E12" s="30">
        <v>59000</v>
      </c>
      <c r="F12" s="30">
        <v>59000</v>
      </c>
      <c r="G12" s="30">
        <v>62000</v>
      </c>
      <c r="H12" s="30">
        <v>44167</v>
      </c>
      <c r="I12" s="49">
        <v>8834</v>
      </c>
      <c r="J12" s="57">
        <f t="shared" si="0"/>
        <v>400001</v>
      </c>
      <c r="K12" s="30">
        <v>370000</v>
      </c>
      <c r="L12" s="31">
        <v>0</v>
      </c>
      <c r="M12" s="32">
        <f t="shared" si="1"/>
        <v>370000</v>
      </c>
      <c r="N12" s="32">
        <f t="shared" si="2"/>
        <v>770001</v>
      </c>
    </row>
    <row r="13" spans="1:14">
      <c r="A13" s="1" t="s">
        <v>3</v>
      </c>
      <c r="B13" s="28" t="s">
        <v>29</v>
      </c>
      <c r="C13" s="29">
        <v>98000</v>
      </c>
      <c r="D13" s="30">
        <v>69000</v>
      </c>
      <c r="E13" s="30">
        <v>59000</v>
      </c>
      <c r="F13" s="30">
        <v>59000</v>
      </c>
      <c r="G13" s="30">
        <v>62000</v>
      </c>
      <c r="H13" s="30">
        <v>44167</v>
      </c>
      <c r="I13" s="49">
        <v>8834</v>
      </c>
      <c r="J13" s="57">
        <f t="shared" si="0"/>
        <v>400001</v>
      </c>
      <c r="K13" s="30">
        <v>370000</v>
      </c>
      <c r="L13" s="31">
        <v>0</v>
      </c>
      <c r="M13" s="32">
        <f t="shared" si="1"/>
        <v>370000</v>
      </c>
      <c r="N13" s="32">
        <f t="shared" si="2"/>
        <v>770001</v>
      </c>
    </row>
    <row r="14" spans="1:14">
      <c r="A14" s="1" t="s">
        <v>3</v>
      </c>
      <c r="B14" s="13" t="s">
        <v>30</v>
      </c>
      <c r="C14" s="14">
        <v>4998</v>
      </c>
      <c r="D14" s="15">
        <v>3519</v>
      </c>
      <c r="E14" s="15">
        <v>3009</v>
      </c>
      <c r="F14" s="15">
        <v>3009</v>
      </c>
      <c r="G14" s="15">
        <v>3162</v>
      </c>
      <c r="H14" s="15">
        <v>2244</v>
      </c>
      <c r="I14" s="46">
        <v>408</v>
      </c>
      <c r="J14" s="54">
        <f t="shared" si="0"/>
        <v>20349</v>
      </c>
      <c r="K14" s="15">
        <v>18870</v>
      </c>
      <c r="L14" s="16">
        <v>0</v>
      </c>
      <c r="M14" s="17">
        <f t="shared" si="1"/>
        <v>18870</v>
      </c>
      <c r="N14" s="17">
        <f t="shared" si="2"/>
        <v>39219</v>
      </c>
    </row>
    <row r="15" spans="1:14">
      <c r="A15" s="1" t="s">
        <v>3</v>
      </c>
      <c r="B15" s="8" t="s">
        <v>31</v>
      </c>
      <c r="C15" s="12">
        <v>882</v>
      </c>
      <c r="D15" s="5">
        <v>621</v>
      </c>
      <c r="E15" s="5">
        <v>531</v>
      </c>
      <c r="F15" s="5">
        <v>531</v>
      </c>
      <c r="G15" s="5">
        <v>558</v>
      </c>
      <c r="H15" s="5">
        <v>396</v>
      </c>
      <c r="I15" s="47">
        <v>72</v>
      </c>
      <c r="J15" s="55">
        <f t="shared" si="0"/>
        <v>3591</v>
      </c>
      <c r="K15" s="5">
        <v>3330</v>
      </c>
      <c r="L15" s="6">
        <v>0</v>
      </c>
      <c r="M15" s="9">
        <f t="shared" si="1"/>
        <v>3330</v>
      </c>
      <c r="N15" s="9">
        <f t="shared" si="2"/>
        <v>6921</v>
      </c>
    </row>
    <row r="16" spans="1:14">
      <c r="A16" s="1" t="s">
        <v>3</v>
      </c>
      <c r="B16" s="8" t="s">
        <v>32</v>
      </c>
      <c r="C16" s="12">
        <v>8967</v>
      </c>
      <c r="D16" s="5">
        <v>6313</v>
      </c>
      <c r="E16" s="5">
        <v>5398</v>
      </c>
      <c r="F16" s="5">
        <v>5398</v>
      </c>
      <c r="G16" s="5">
        <v>5673</v>
      </c>
      <c r="H16" s="5">
        <v>4026</v>
      </c>
      <c r="I16" s="47">
        <v>732</v>
      </c>
      <c r="J16" s="55">
        <f t="shared" si="0"/>
        <v>36507</v>
      </c>
      <c r="K16" s="5">
        <v>33855</v>
      </c>
      <c r="L16" s="6">
        <v>0</v>
      </c>
      <c r="M16" s="9">
        <f t="shared" si="1"/>
        <v>33855</v>
      </c>
      <c r="N16" s="9">
        <f t="shared" si="2"/>
        <v>70362</v>
      </c>
    </row>
    <row r="17" spans="1:14">
      <c r="A17" s="1" t="s">
        <v>3</v>
      </c>
      <c r="B17" s="23" t="s">
        <v>33</v>
      </c>
      <c r="C17" s="24">
        <v>539</v>
      </c>
      <c r="D17" s="25">
        <v>379</v>
      </c>
      <c r="E17" s="25">
        <v>324</v>
      </c>
      <c r="F17" s="25">
        <v>324</v>
      </c>
      <c r="G17" s="25">
        <v>341</v>
      </c>
      <c r="H17" s="25">
        <v>243</v>
      </c>
      <c r="I17" s="48">
        <v>49</v>
      </c>
      <c r="J17" s="56">
        <f t="shared" si="0"/>
        <v>2199</v>
      </c>
      <c r="K17" s="25">
        <v>2035</v>
      </c>
      <c r="L17" s="26">
        <v>0</v>
      </c>
      <c r="M17" s="27">
        <f t="shared" si="1"/>
        <v>2035</v>
      </c>
      <c r="N17" s="27">
        <f t="shared" si="2"/>
        <v>4234</v>
      </c>
    </row>
    <row r="18" spans="1:14">
      <c r="A18" s="1" t="s">
        <v>3</v>
      </c>
      <c r="B18" s="28" t="s">
        <v>34</v>
      </c>
      <c r="C18" s="29">
        <v>82614</v>
      </c>
      <c r="D18" s="30">
        <v>58168</v>
      </c>
      <c r="E18" s="30">
        <v>49738</v>
      </c>
      <c r="F18" s="30">
        <v>49738</v>
      </c>
      <c r="G18" s="30">
        <v>52266</v>
      </c>
      <c r="H18" s="30">
        <v>37258</v>
      </c>
      <c r="I18" s="49">
        <v>7573</v>
      </c>
      <c r="J18" s="57">
        <f t="shared" si="0"/>
        <v>337355</v>
      </c>
      <c r="K18" s="30">
        <v>311910</v>
      </c>
      <c r="L18" s="31">
        <v>0</v>
      </c>
      <c r="M18" s="32">
        <f t="shared" si="1"/>
        <v>311910</v>
      </c>
      <c r="N18" s="32">
        <f t="shared" si="2"/>
        <v>649265</v>
      </c>
    </row>
    <row r="19" spans="1:14">
      <c r="A19" s="1" t="s">
        <v>3</v>
      </c>
      <c r="B19" s="33" t="s">
        <v>35</v>
      </c>
      <c r="C19" s="34">
        <v>5060</v>
      </c>
      <c r="D19" s="35">
        <v>3563</v>
      </c>
      <c r="E19" s="35">
        <v>2031</v>
      </c>
      <c r="F19" s="35">
        <v>3046</v>
      </c>
      <c r="G19" s="35">
        <v>2134</v>
      </c>
      <c r="H19" s="35">
        <v>2282</v>
      </c>
      <c r="I19" s="50">
        <v>309</v>
      </c>
      <c r="J19" s="58">
        <f t="shared" si="0"/>
        <v>18425</v>
      </c>
      <c r="K19" s="35">
        <v>19107</v>
      </c>
      <c r="L19" s="36">
        <v>0</v>
      </c>
      <c r="M19" s="37">
        <f t="shared" si="1"/>
        <v>19107</v>
      </c>
      <c r="N19" s="37">
        <f t="shared" si="2"/>
        <v>37532</v>
      </c>
    </row>
    <row r="20" spans="1:14">
      <c r="A20" s="1" t="s">
        <v>3</v>
      </c>
      <c r="B20" s="28" t="s">
        <v>36</v>
      </c>
      <c r="C20" s="29">
        <v>15386</v>
      </c>
      <c r="D20" s="30">
        <v>10832</v>
      </c>
      <c r="E20" s="30">
        <v>9262</v>
      </c>
      <c r="F20" s="30">
        <v>9262</v>
      </c>
      <c r="G20" s="30">
        <v>9734</v>
      </c>
      <c r="H20" s="30">
        <v>6909</v>
      </c>
      <c r="I20" s="49">
        <v>1261</v>
      </c>
      <c r="J20" s="57">
        <f t="shared" si="0"/>
        <v>62646</v>
      </c>
      <c r="K20" s="30">
        <v>58090</v>
      </c>
      <c r="L20" s="31">
        <v>0</v>
      </c>
      <c r="M20" s="32">
        <f t="shared" si="1"/>
        <v>58090</v>
      </c>
      <c r="N20" s="32">
        <f t="shared" si="2"/>
        <v>120736</v>
      </c>
    </row>
    <row r="21" spans="1:14">
      <c r="A21" s="1" t="s">
        <v>3</v>
      </c>
      <c r="B21" s="28" t="s">
        <v>37</v>
      </c>
      <c r="C21" s="29">
        <v>45934</v>
      </c>
      <c r="D21" s="30">
        <v>33056</v>
      </c>
      <c r="E21" s="30">
        <v>46312</v>
      </c>
      <c r="F21" s="30">
        <v>42698</v>
      </c>
      <c r="G21" s="30">
        <v>72300</v>
      </c>
      <c r="H21" s="30">
        <v>35982</v>
      </c>
      <c r="I21" s="49">
        <v>62025</v>
      </c>
      <c r="J21" s="57">
        <f t="shared" si="0"/>
        <v>338307</v>
      </c>
      <c r="K21" s="30">
        <v>47714</v>
      </c>
      <c r="L21" s="31">
        <v>6970</v>
      </c>
      <c r="M21" s="32">
        <f t="shared" si="1"/>
        <v>54684</v>
      </c>
      <c r="N21" s="32">
        <f t="shared" si="2"/>
        <v>392991</v>
      </c>
    </row>
    <row r="22" spans="1:14">
      <c r="A22" s="1" t="s">
        <v>3</v>
      </c>
      <c r="B22" s="28" t="s">
        <v>38</v>
      </c>
      <c r="C22" s="29">
        <v>123488</v>
      </c>
      <c r="D22" s="30">
        <v>87661</v>
      </c>
      <c r="E22" s="30">
        <v>94019</v>
      </c>
      <c r="F22" s="30">
        <v>89390</v>
      </c>
      <c r="G22" s="30">
        <v>122432</v>
      </c>
      <c r="H22" s="30">
        <v>70958</v>
      </c>
      <c r="I22" s="49">
        <v>69289</v>
      </c>
      <c r="J22" s="57">
        <f t="shared" si="0"/>
        <v>657237</v>
      </c>
      <c r="K22" s="30">
        <v>340517</v>
      </c>
      <c r="L22" s="31">
        <v>6970</v>
      </c>
      <c r="M22" s="32">
        <f t="shared" si="1"/>
        <v>347487</v>
      </c>
      <c r="N22" s="32">
        <f t="shared" si="2"/>
        <v>1004724</v>
      </c>
    </row>
    <row r="23" spans="1:14" ht="19.5" thickBot="1">
      <c r="A23" s="1" t="s">
        <v>3</v>
      </c>
      <c r="B23" s="38" t="s">
        <v>39</v>
      </c>
      <c r="C23" s="39">
        <v>123488</v>
      </c>
      <c r="D23" s="40">
        <v>87661</v>
      </c>
      <c r="E23" s="40">
        <v>94019</v>
      </c>
      <c r="F23" s="40">
        <v>89390</v>
      </c>
      <c r="G23" s="40">
        <v>122432</v>
      </c>
      <c r="H23" s="40">
        <v>70958</v>
      </c>
      <c r="I23" s="51">
        <v>69289</v>
      </c>
      <c r="J23" s="59">
        <f t="shared" si="0"/>
        <v>657237</v>
      </c>
      <c r="K23" s="40">
        <v>340517</v>
      </c>
      <c r="L23" s="41">
        <v>6970</v>
      </c>
      <c r="M23" s="42">
        <f t="shared" si="1"/>
        <v>347487</v>
      </c>
      <c r="N23" s="42">
        <f t="shared" si="2"/>
        <v>1004724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R7年冬賞与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asada</cp:lastModifiedBy>
  <dcterms:created xsi:type="dcterms:W3CDTF">2025-12-15T03:06:52Z</dcterms:created>
  <dcterms:modified xsi:type="dcterms:W3CDTF">2025-12-15T07:47:01Z</dcterms:modified>
</cp:coreProperties>
</file>