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年夏季賞与\"/>
    </mc:Choice>
  </mc:AlternateContent>
  <xr:revisionPtr revIDLastSave="0" documentId="13_ncr:1_{AE6ACD60-4F71-4ACA-A263-644D810D7088}" xr6:coauthVersionLast="47" xr6:coauthVersionMax="47" xr10:uidLastSave="{00000000-0000-0000-0000-000000000000}"/>
  <bookViews>
    <workbookView xWindow="-120" yWindow="-120" windowWidth="20730" windowHeight="11160" xr2:uid="{0A143B8C-B8E7-43B5-8D7F-61CEFBB74783}"/>
  </bookViews>
  <sheets>
    <sheet name="R7年夏賞与" sheetId="2" r:id="rId1"/>
    <sheet name="R7年夏賞与 (2)" sheetId="3" r:id="rId2"/>
    <sheet name="R7年夏賞与 (3)" sheetId="4" r:id="rId3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4" l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</calcChain>
</file>

<file path=xl/sharedStrings.xml><?xml version="1.0" encoding="utf-8"?>
<sst xmlns="http://schemas.openxmlformats.org/spreadsheetml/2006/main" count="134" uniqueCount="34">
  <si>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</si>
  <si>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</si>
  <si>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</si>
  <si>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</si>
  <si>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</si>
  <si>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</si>
  <si>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</si>
  <si>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</si>
  <si>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</si>
  <si>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</si>
  <si>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</si>
  <si>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</si>
  <si>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</si>
  <si>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</si>
  <si>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</si>
  <si>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</si>
  <si>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</si>
  <si>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</si>
  <si>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</si>
  <si>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</si>
  <si>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</si>
  <si>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</si>
  <si>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</si>
  <si>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</si>
  <si>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</si>
  <si>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</si>
  <si>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</si>
  <si>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</si>
  <si>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</si>
  <si>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</si>
  <si>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小計</t>
    <rPh sb="0" eb="2">
      <t>ショウケイ</t>
    </rPh>
    <phoneticPr fontId="3"/>
  </si>
  <si>
    <t>３名</t>
    <rPh sb="1" eb="2">
      <t>メイ</t>
    </rPh>
    <phoneticPr fontId="4"/>
  </si>
  <si>
    <t>1名</t>
    <rPh sb="1" eb="2">
      <t>メイ</t>
    </rPh>
    <phoneticPr fontId="4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</si>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</sst>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5" xfId="1" applyNumberFormat="1" applyFont="1" applyBorder="1" applyAlignment="1">
      <alignment horizontal="center"/>
    </xf>
    <xf numFmtId="3" fontId="2" fillId="0" borderId="8" xfId="1" applyNumberFormat="1" applyFont="1" applyBorder="1"/>
    <xf numFmtId="3" fontId="2" fillId="0" borderId="9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3" fontId="2" fillId="0" borderId="17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3" fontId="2" fillId="0" borderId="7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9" xfId="1" applyNumberFormat="1" applyFont="1" applyBorder="1" applyAlignment="1">
      <alignment horizontal="left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0" fontId="2" fillId="0" borderId="16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</cellXfs>
  <cellStyles count="2">
    <cellStyle name="標準" xfId="0" builtinId="0"/>
    <cellStyle name="標準 2" xfId="1" xr:uid="{E30CE69B-5BA1-4543-B20D-D48B2CF97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86FC-23BD-4A86-A6B8-5AF3B97C538B}">
  <dimension ref="A1:I2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9" sqref="F19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9" style="2"/>
    <col min="7" max="7" width="9" style="2" bestFit="1" customWidth="1"/>
    <col min="8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 bestFit="1"/>
    <col min="265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 bestFit="1"/>
    <col min="521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 bestFit="1"/>
    <col min="777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 bestFit="1"/>
    <col min="1033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 bestFit="1"/>
    <col min="1289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 bestFit="1"/>
    <col min="1545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 bestFit="1"/>
    <col min="1801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 bestFit="1"/>
    <col min="2057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 bestFit="1"/>
    <col min="2313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 bestFit="1"/>
    <col min="2569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 bestFit="1"/>
    <col min="2825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 bestFit="1"/>
    <col min="3081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 bestFit="1"/>
    <col min="3337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 bestFit="1"/>
    <col min="3593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 bestFit="1"/>
    <col min="3849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 bestFit="1"/>
    <col min="4105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 bestFit="1"/>
    <col min="4361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 bestFit="1"/>
    <col min="4617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 bestFit="1"/>
    <col min="4873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 bestFit="1"/>
    <col min="5129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 bestFit="1"/>
    <col min="5385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 bestFit="1"/>
    <col min="5641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 bestFit="1"/>
    <col min="5897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 bestFit="1"/>
    <col min="6153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 bestFit="1"/>
    <col min="6409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 bestFit="1"/>
    <col min="6665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 bestFit="1"/>
    <col min="6921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 bestFit="1"/>
    <col min="7177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 bestFit="1"/>
    <col min="7433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 bestFit="1"/>
    <col min="7689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 bestFit="1"/>
    <col min="7945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 bestFit="1"/>
    <col min="8201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 bestFit="1"/>
    <col min="8457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 bestFit="1"/>
    <col min="8713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 bestFit="1"/>
    <col min="8969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 bestFit="1"/>
    <col min="9225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 bestFit="1"/>
    <col min="9481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 bestFit="1"/>
    <col min="9737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 bestFit="1"/>
    <col min="9993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 bestFit="1"/>
    <col min="10249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 bestFit="1"/>
    <col min="10505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 bestFit="1"/>
    <col min="10761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 bestFit="1"/>
    <col min="11017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 bestFit="1"/>
    <col min="11273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 bestFit="1"/>
    <col min="11529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 bestFit="1"/>
    <col min="11785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 bestFit="1"/>
    <col min="12041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 bestFit="1"/>
    <col min="12297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 bestFit="1"/>
    <col min="12553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 bestFit="1"/>
    <col min="12809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 bestFit="1"/>
    <col min="13065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 bestFit="1"/>
    <col min="13321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 bestFit="1"/>
    <col min="13577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 bestFit="1"/>
    <col min="13833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 bestFit="1"/>
    <col min="14089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 bestFit="1"/>
    <col min="14345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 bestFit="1"/>
    <col min="14601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 bestFit="1"/>
    <col min="14857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 bestFit="1"/>
    <col min="15113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 bestFit="1"/>
    <col min="15369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 bestFit="1"/>
    <col min="15625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 bestFit="1"/>
    <col min="15881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 bestFit="1"/>
    <col min="16137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7"/>
      <c r="C7" s="10" t="s">
        <v>5</v>
      </c>
      <c r="D7" s="4" t="s">
        <v>6</v>
      </c>
      <c r="E7" s="11" t="s">
        <v>8</v>
      </c>
      <c r="F7" s="45" t="s">
        <v>30</v>
      </c>
      <c r="G7" s="38" t="s">
        <v>7</v>
      </c>
      <c r="H7" s="46" t="s">
        <v>30</v>
      </c>
      <c r="I7" s="45" t="s">
        <v>14</v>
      </c>
    </row>
    <row r="8" spans="1:9" ht="19.5" thickBot="1">
      <c r="A8" s="3"/>
      <c r="B8" s="18" t="s">
        <v>9</v>
      </c>
      <c r="C8" s="19" t="s">
        <v>10</v>
      </c>
      <c r="D8" s="20" t="s">
        <v>11</v>
      </c>
      <c r="E8" s="21" t="s">
        <v>13</v>
      </c>
      <c r="F8" s="22" t="s">
        <v>31</v>
      </c>
      <c r="G8" s="39" t="s">
        <v>12</v>
      </c>
      <c r="H8" s="47" t="s">
        <v>32</v>
      </c>
      <c r="I8" s="22" t="s">
        <v>33</v>
      </c>
    </row>
    <row r="9" spans="1:9">
      <c r="A9" s="1" t="s">
        <v>3</v>
      </c>
      <c r="B9" s="13" t="s">
        <v>15</v>
      </c>
      <c r="C9" s="14">
        <v>71000</v>
      </c>
      <c r="D9" s="15">
        <v>71000</v>
      </c>
      <c r="E9" s="16">
        <v>71000</v>
      </c>
      <c r="F9" s="17">
        <f>SUM(C9:E9)</f>
        <v>213000</v>
      </c>
      <c r="G9" s="40">
        <v>370000</v>
      </c>
      <c r="H9" s="48">
        <f>G9</f>
        <v>370000</v>
      </c>
      <c r="I9" s="17">
        <f>F9+H9</f>
        <v>583000</v>
      </c>
    </row>
    <row r="10" spans="1:9">
      <c r="A10" s="1" t="s">
        <v>3</v>
      </c>
      <c r="B10" s="8" t="s">
        <v>16</v>
      </c>
      <c r="C10" s="12">
        <v>15000</v>
      </c>
      <c r="D10" s="5">
        <v>0</v>
      </c>
      <c r="E10" s="6">
        <v>0</v>
      </c>
      <c r="F10" s="9">
        <f t="shared" ref="F10:F23" si="0">SUM(C10:E10)</f>
        <v>15000</v>
      </c>
      <c r="G10" s="41">
        <v>0</v>
      </c>
      <c r="H10" s="49">
        <f t="shared" ref="H10:H23" si="1">G10</f>
        <v>0</v>
      </c>
      <c r="I10" s="9">
        <f t="shared" ref="I10:I23" si="2">F10+H10</f>
        <v>15000</v>
      </c>
    </row>
    <row r="11" spans="1:9">
      <c r="A11" s="1" t="s">
        <v>3</v>
      </c>
      <c r="B11" s="23" t="s">
        <v>17</v>
      </c>
      <c r="C11" s="24">
        <v>3000</v>
      </c>
      <c r="D11" s="25">
        <v>3000</v>
      </c>
      <c r="E11" s="26">
        <v>3000</v>
      </c>
      <c r="F11" s="27">
        <f t="shared" si="0"/>
        <v>9000</v>
      </c>
      <c r="G11" s="42">
        <v>0</v>
      </c>
      <c r="H11" s="50">
        <f t="shared" si="1"/>
        <v>0</v>
      </c>
      <c r="I11" s="27">
        <f t="shared" si="2"/>
        <v>9000</v>
      </c>
    </row>
    <row r="12" spans="1:9">
      <c r="A12" s="1" t="s">
        <v>3</v>
      </c>
      <c r="B12" s="28" t="s">
        <v>18</v>
      </c>
      <c r="C12" s="29">
        <v>89000</v>
      </c>
      <c r="D12" s="30">
        <v>74000</v>
      </c>
      <c r="E12" s="31">
        <v>74000</v>
      </c>
      <c r="F12" s="32">
        <f t="shared" si="0"/>
        <v>237000</v>
      </c>
      <c r="G12" s="43">
        <v>370000</v>
      </c>
      <c r="H12" s="51">
        <f t="shared" si="1"/>
        <v>370000</v>
      </c>
      <c r="I12" s="32">
        <f t="shared" si="2"/>
        <v>607000</v>
      </c>
    </row>
    <row r="13" spans="1:9">
      <c r="A13" s="1" t="s">
        <v>3</v>
      </c>
      <c r="B13" s="28" t="s">
        <v>19</v>
      </c>
      <c r="C13" s="29">
        <v>89000</v>
      </c>
      <c r="D13" s="30">
        <v>74000</v>
      </c>
      <c r="E13" s="31">
        <v>74000</v>
      </c>
      <c r="F13" s="32">
        <f t="shared" si="0"/>
        <v>237000</v>
      </c>
      <c r="G13" s="43">
        <v>370000</v>
      </c>
      <c r="H13" s="51">
        <f t="shared" si="1"/>
        <v>370000</v>
      </c>
      <c r="I13" s="32">
        <f t="shared" si="2"/>
        <v>607000</v>
      </c>
    </row>
    <row r="14" spans="1:9">
      <c r="A14" s="1" t="s">
        <v>3</v>
      </c>
      <c r="B14" s="13" t="s">
        <v>20</v>
      </c>
      <c r="C14" s="14">
        <v>4539</v>
      </c>
      <c r="D14" s="15">
        <v>3774</v>
      </c>
      <c r="E14" s="16">
        <v>3774</v>
      </c>
      <c r="F14" s="17">
        <f t="shared" si="0"/>
        <v>12087</v>
      </c>
      <c r="G14" s="40">
        <v>18870</v>
      </c>
      <c r="H14" s="48">
        <f t="shared" si="1"/>
        <v>18870</v>
      </c>
      <c r="I14" s="17">
        <f t="shared" si="2"/>
        <v>30957</v>
      </c>
    </row>
    <row r="15" spans="1:9">
      <c r="A15" s="1" t="s">
        <v>3</v>
      </c>
      <c r="B15" s="8" t="s">
        <v>21</v>
      </c>
      <c r="C15" s="12">
        <v>0</v>
      </c>
      <c r="D15" s="5">
        <v>666</v>
      </c>
      <c r="E15" s="6">
        <v>666</v>
      </c>
      <c r="F15" s="9">
        <f t="shared" si="0"/>
        <v>1332</v>
      </c>
      <c r="G15" s="41">
        <v>3330</v>
      </c>
      <c r="H15" s="49">
        <f t="shared" si="1"/>
        <v>3330</v>
      </c>
      <c r="I15" s="9">
        <f t="shared" si="2"/>
        <v>4662</v>
      </c>
    </row>
    <row r="16" spans="1:9">
      <c r="A16" s="1" t="s">
        <v>3</v>
      </c>
      <c r="B16" s="8" t="s">
        <v>22</v>
      </c>
      <c r="C16" s="12">
        <v>8143</v>
      </c>
      <c r="D16" s="5">
        <v>6771</v>
      </c>
      <c r="E16" s="6">
        <v>6771</v>
      </c>
      <c r="F16" s="9">
        <f t="shared" si="0"/>
        <v>21685</v>
      </c>
      <c r="G16" s="41">
        <v>33855</v>
      </c>
      <c r="H16" s="49">
        <f t="shared" si="1"/>
        <v>33855</v>
      </c>
      <c r="I16" s="9">
        <f t="shared" si="2"/>
        <v>55540</v>
      </c>
    </row>
    <row r="17" spans="1:9">
      <c r="A17" s="1" t="s">
        <v>3</v>
      </c>
      <c r="B17" s="23" t="s">
        <v>23</v>
      </c>
      <c r="C17" s="24">
        <v>489</v>
      </c>
      <c r="D17" s="25">
        <v>407</v>
      </c>
      <c r="E17" s="26">
        <v>407</v>
      </c>
      <c r="F17" s="27">
        <f t="shared" si="0"/>
        <v>1303</v>
      </c>
      <c r="G17" s="42">
        <v>2035</v>
      </c>
      <c r="H17" s="50">
        <f t="shared" si="1"/>
        <v>2035</v>
      </c>
      <c r="I17" s="27">
        <f t="shared" si="2"/>
        <v>3338</v>
      </c>
    </row>
    <row r="18" spans="1:9">
      <c r="A18" s="1" t="s">
        <v>3</v>
      </c>
      <c r="B18" s="28" t="s">
        <v>24</v>
      </c>
      <c r="C18" s="29">
        <v>75829</v>
      </c>
      <c r="D18" s="30">
        <v>62382</v>
      </c>
      <c r="E18" s="31">
        <v>62382</v>
      </c>
      <c r="F18" s="32">
        <f t="shared" si="0"/>
        <v>200593</v>
      </c>
      <c r="G18" s="43">
        <v>311910</v>
      </c>
      <c r="H18" s="51">
        <f t="shared" si="1"/>
        <v>311910</v>
      </c>
      <c r="I18" s="32">
        <f t="shared" si="2"/>
        <v>512503</v>
      </c>
    </row>
    <row r="19" spans="1:9">
      <c r="A19" s="1" t="s">
        <v>3</v>
      </c>
      <c r="B19" s="28" t="s">
        <v>25</v>
      </c>
      <c r="C19" s="29">
        <v>3096</v>
      </c>
      <c r="D19" s="30">
        <v>5095</v>
      </c>
      <c r="E19" s="31">
        <v>6369</v>
      </c>
      <c r="F19" s="32">
        <f t="shared" si="0"/>
        <v>14560</v>
      </c>
      <c r="G19" s="43">
        <v>31846</v>
      </c>
      <c r="H19" s="51">
        <f t="shared" si="1"/>
        <v>31846</v>
      </c>
      <c r="I19" s="32">
        <f t="shared" si="2"/>
        <v>46406</v>
      </c>
    </row>
    <row r="20" spans="1:9">
      <c r="A20" s="1" t="s">
        <v>3</v>
      </c>
      <c r="B20" s="28" t="s">
        <v>26</v>
      </c>
      <c r="C20" s="29">
        <v>13171</v>
      </c>
      <c r="D20" s="30">
        <v>11618</v>
      </c>
      <c r="E20" s="31">
        <v>11618</v>
      </c>
      <c r="F20" s="32">
        <f t="shared" si="0"/>
        <v>36407</v>
      </c>
      <c r="G20" s="43">
        <v>58090</v>
      </c>
      <c r="H20" s="51">
        <f t="shared" si="1"/>
        <v>58090</v>
      </c>
      <c r="I20" s="32">
        <f t="shared" si="2"/>
        <v>94497</v>
      </c>
    </row>
    <row r="21" spans="1:9">
      <c r="A21" s="1" t="s">
        <v>3</v>
      </c>
      <c r="B21" s="28" t="s">
        <v>27</v>
      </c>
      <c r="C21" s="29">
        <v>72733</v>
      </c>
      <c r="D21" s="30">
        <v>57287</v>
      </c>
      <c r="E21" s="31">
        <v>56013</v>
      </c>
      <c r="F21" s="32">
        <f t="shared" si="0"/>
        <v>186033</v>
      </c>
      <c r="G21" s="43">
        <v>280064</v>
      </c>
      <c r="H21" s="51">
        <f t="shared" si="1"/>
        <v>280064</v>
      </c>
      <c r="I21" s="32">
        <f t="shared" si="2"/>
        <v>466097</v>
      </c>
    </row>
    <row r="22" spans="1:9">
      <c r="A22" s="1" t="s">
        <v>3</v>
      </c>
      <c r="B22" s="28" t="s">
        <v>28</v>
      </c>
      <c r="C22" s="29">
        <v>72733</v>
      </c>
      <c r="D22" s="30">
        <v>57287</v>
      </c>
      <c r="E22" s="31">
        <v>56013</v>
      </c>
      <c r="F22" s="32">
        <f t="shared" si="0"/>
        <v>186033</v>
      </c>
      <c r="G22" s="43">
        <v>280064</v>
      </c>
      <c r="H22" s="51">
        <f t="shared" si="1"/>
        <v>280064</v>
      </c>
      <c r="I22" s="32">
        <f t="shared" si="2"/>
        <v>466097</v>
      </c>
    </row>
    <row r="23" spans="1:9" ht="19.5" thickBot="1">
      <c r="A23" s="1" t="s">
        <v>3</v>
      </c>
      <c r="B23" s="33" t="s">
        <v>29</v>
      </c>
      <c r="C23" s="34">
        <v>3096</v>
      </c>
      <c r="D23" s="35">
        <v>5095</v>
      </c>
      <c r="E23" s="36">
        <v>6369</v>
      </c>
      <c r="F23" s="37">
        <f t="shared" si="0"/>
        <v>14560</v>
      </c>
      <c r="G23" s="44">
        <v>31846</v>
      </c>
      <c r="H23" s="52">
        <f t="shared" si="1"/>
        <v>31846</v>
      </c>
      <c r="I23" s="37">
        <f t="shared" si="2"/>
        <v>46406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7316-8CBC-498E-9F9D-EA6B3B34354C}">
  <dimension ref="A1:D23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1" sqref="E1:E1048576"/>
    </sheetView>
  </sheetViews>
  <sheetFormatPr defaultRowHeight="18.75"/>
  <cols>
    <col min="1" max="1" width="2.375" style="2" customWidth="1"/>
    <col min="2" max="2" width="13.25" style="2" bestFit="1" customWidth="1"/>
    <col min="3" max="3" width="9" style="2" bestFit="1" customWidth="1"/>
    <col min="4" max="253" width="9" style="2"/>
    <col min="254" max="254" width="2.375" style="2" customWidth="1"/>
    <col min="255" max="255" width="13.25" style="2" bestFit="1" customWidth="1"/>
    <col min="256" max="257" width="11.125" style="2" bestFit="1" customWidth="1"/>
    <col min="258" max="509" width="9" style="2"/>
    <col min="510" max="510" width="2.375" style="2" customWidth="1"/>
    <col min="511" max="511" width="13.25" style="2" bestFit="1" customWidth="1"/>
    <col min="512" max="513" width="11.125" style="2" bestFit="1" customWidth="1"/>
    <col min="514" max="765" width="9" style="2"/>
    <col min="766" max="766" width="2.375" style="2" customWidth="1"/>
    <col min="767" max="767" width="13.25" style="2" bestFit="1" customWidth="1"/>
    <col min="768" max="769" width="11.125" style="2" bestFit="1" customWidth="1"/>
    <col min="770" max="1021" width="9" style="2"/>
    <col min="1022" max="1022" width="2.375" style="2" customWidth="1"/>
    <col min="1023" max="1023" width="13.25" style="2" bestFit="1" customWidth="1"/>
    <col min="1024" max="1025" width="11.125" style="2" bestFit="1" customWidth="1"/>
    <col min="1026" max="1277" width="9" style="2"/>
    <col min="1278" max="1278" width="2.375" style="2" customWidth="1"/>
    <col min="1279" max="1279" width="13.25" style="2" bestFit="1" customWidth="1"/>
    <col min="1280" max="1281" width="11.125" style="2" bestFit="1" customWidth="1"/>
    <col min="1282" max="1533" width="9" style="2"/>
    <col min="1534" max="1534" width="2.375" style="2" customWidth="1"/>
    <col min="1535" max="1535" width="13.25" style="2" bestFit="1" customWidth="1"/>
    <col min="1536" max="1537" width="11.125" style="2" bestFit="1" customWidth="1"/>
    <col min="1538" max="1789" width="9" style="2"/>
    <col min="1790" max="1790" width="2.375" style="2" customWidth="1"/>
    <col min="1791" max="1791" width="13.25" style="2" bestFit="1" customWidth="1"/>
    <col min="1792" max="1793" width="11.125" style="2" bestFit="1" customWidth="1"/>
    <col min="1794" max="2045" width="9" style="2"/>
    <col min="2046" max="2046" width="2.375" style="2" customWidth="1"/>
    <col min="2047" max="2047" width="13.25" style="2" bestFit="1" customWidth="1"/>
    <col min="2048" max="2049" width="11.125" style="2" bestFit="1" customWidth="1"/>
    <col min="2050" max="2301" width="9" style="2"/>
    <col min="2302" max="2302" width="2.375" style="2" customWidth="1"/>
    <col min="2303" max="2303" width="13.25" style="2" bestFit="1" customWidth="1"/>
    <col min="2304" max="2305" width="11.125" style="2" bestFit="1" customWidth="1"/>
    <col min="2306" max="2557" width="9" style="2"/>
    <col min="2558" max="2558" width="2.375" style="2" customWidth="1"/>
    <col min="2559" max="2559" width="13.25" style="2" bestFit="1" customWidth="1"/>
    <col min="2560" max="2561" width="11.125" style="2" bestFit="1" customWidth="1"/>
    <col min="2562" max="2813" width="9" style="2"/>
    <col min="2814" max="2814" width="2.375" style="2" customWidth="1"/>
    <col min="2815" max="2815" width="13.25" style="2" bestFit="1" customWidth="1"/>
    <col min="2816" max="2817" width="11.125" style="2" bestFit="1" customWidth="1"/>
    <col min="2818" max="3069" width="9" style="2"/>
    <col min="3070" max="3070" width="2.375" style="2" customWidth="1"/>
    <col min="3071" max="3071" width="13.25" style="2" bestFit="1" customWidth="1"/>
    <col min="3072" max="3073" width="11.125" style="2" bestFit="1" customWidth="1"/>
    <col min="3074" max="3325" width="9" style="2"/>
    <col min="3326" max="3326" width="2.375" style="2" customWidth="1"/>
    <col min="3327" max="3327" width="13.25" style="2" bestFit="1" customWidth="1"/>
    <col min="3328" max="3329" width="11.125" style="2" bestFit="1" customWidth="1"/>
    <col min="3330" max="3581" width="9" style="2"/>
    <col min="3582" max="3582" width="2.375" style="2" customWidth="1"/>
    <col min="3583" max="3583" width="13.25" style="2" bestFit="1" customWidth="1"/>
    <col min="3584" max="3585" width="11.125" style="2" bestFit="1" customWidth="1"/>
    <col min="3586" max="3837" width="9" style="2"/>
    <col min="3838" max="3838" width="2.375" style="2" customWidth="1"/>
    <col min="3839" max="3839" width="13.25" style="2" bestFit="1" customWidth="1"/>
    <col min="3840" max="3841" width="11.125" style="2" bestFit="1" customWidth="1"/>
    <col min="3842" max="4093" width="9" style="2"/>
    <col min="4094" max="4094" width="2.375" style="2" customWidth="1"/>
    <col min="4095" max="4095" width="13.25" style="2" bestFit="1" customWidth="1"/>
    <col min="4096" max="4097" width="11.125" style="2" bestFit="1" customWidth="1"/>
    <col min="4098" max="4349" width="9" style="2"/>
    <col min="4350" max="4350" width="2.375" style="2" customWidth="1"/>
    <col min="4351" max="4351" width="13.25" style="2" bestFit="1" customWidth="1"/>
    <col min="4352" max="4353" width="11.125" style="2" bestFit="1" customWidth="1"/>
    <col min="4354" max="4605" width="9" style="2"/>
    <col min="4606" max="4606" width="2.375" style="2" customWidth="1"/>
    <col min="4607" max="4607" width="13.25" style="2" bestFit="1" customWidth="1"/>
    <col min="4608" max="4609" width="11.125" style="2" bestFit="1" customWidth="1"/>
    <col min="4610" max="4861" width="9" style="2"/>
    <col min="4862" max="4862" width="2.375" style="2" customWidth="1"/>
    <col min="4863" max="4863" width="13.25" style="2" bestFit="1" customWidth="1"/>
    <col min="4864" max="4865" width="11.125" style="2" bestFit="1" customWidth="1"/>
    <col min="4866" max="5117" width="9" style="2"/>
    <col min="5118" max="5118" width="2.375" style="2" customWidth="1"/>
    <col min="5119" max="5119" width="13.25" style="2" bestFit="1" customWidth="1"/>
    <col min="5120" max="5121" width="11.125" style="2" bestFit="1" customWidth="1"/>
    <col min="5122" max="5373" width="9" style="2"/>
    <col min="5374" max="5374" width="2.375" style="2" customWidth="1"/>
    <col min="5375" max="5375" width="13.25" style="2" bestFit="1" customWidth="1"/>
    <col min="5376" max="5377" width="11.125" style="2" bestFit="1" customWidth="1"/>
    <col min="5378" max="5629" width="9" style="2"/>
    <col min="5630" max="5630" width="2.375" style="2" customWidth="1"/>
    <col min="5631" max="5631" width="13.25" style="2" bestFit="1" customWidth="1"/>
    <col min="5632" max="5633" width="11.125" style="2" bestFit="1" customWidth="1"/>
    <col min="5634" max="5885" width="9" style="2"/>
    <col min="5886" max="5886" width="2.375" style="2" customWidth="1"/>
    <col min="5887" max="5887" width="13.25" style="2" bestFit="1" customWidth="1"/>
    <col min="5888" max="5889" width="11.125" style="2" bestFit="1" customWidth="1"/>
    <col min="5890" max="6141" width="9" style="2"/>
    <col min="6142" max="6142" width="2.375" style="2" customWidth="1"/>
    <col min="6143" max="6143" width="13.25" style="2" bestFit="1" customWidth="1"/>
    <col min="6144" max="6145" width="11.125" style="2" bestFit="1" customWidth="1"/>
    <col min="6146" max="6397" width="9" style="2"/>
    <col min="6398" max="6398" width="2.375" style="2" customWidth="1"/>
    <col min="6399" max="6399" width="13.25" style="2" bestFit="1" customWidth="1"/>
    <col min="6400" max="6401" width="11.125" style="2" bestFit="1" customWidth="1"/>
    <col min="6402" max="6653" width="9" style="2"/>
    <col min="6654" max="6654" width="2.375" style="2" customWidth="1"/>
    <col min="6655" max="6655" width="13.25" style="2" bestFit="1" customWidth="1"/>
    <col min="6656" max="6657" width="11.125" style="2" bestFit="1" customWidth="1"/>
    <col min="6658" max="6909" width="9" style="2"/>
    <col min="6910" max="6910" width="2.375" style="2" customWidth="1"/>
    <col min="6911" max="6911" width="13.25" style="2" bestFit="1" customWidth="1"/>
    <col min="6912" max="6913" width="11.125" style="2" bestFit="1" customWidth="1"/>
    <col min="6914" max="7165" width="9" style="2"/>
    <col min="7166" max="7166" width="2.375" style="2" customWidth="1"/>
    <col min="7167" max="7167" width="13.25" style="2" bestFit="1" customWidth="1"/>
    <col min="7168" max="7169" width="11.125" style="2" bestFit="1" customWidth="1"/>
    <col min="7170" max="7421" width="9" style="2"/>
    <col min="7422" max="7422" width="2.375" style="2" customWidth="1"/>
    <col min="7423" max="7423" width="13.25" style="2" bestFit="1" customWidth="1"/>
    <col min="7424" max="7425" width="11.125" style="2" bestFit="1" customWidth="1"/>
    <col min="7426" max="7677" width="9" style="2"/>
    <col min="7678" max="7678" width="2.375" style="2" customWidth="1"/>
    <col min="7679" max="7679" width="13.25" style="2" bestFit="1" customWidth="1"/>
    <col min="7680" max="7681" width="11.125" style="2" bestFit="1" customWidth="1"/>
    <col min="7682" max="7933" width="9" style="2"/>
    <col min="7934" max="7934" width="2.375" style="2" customWidth="1"/>
    <col min="7935" max="7935" width="13.25" style="2" bestFit="1" customWidth="1"/>
    <col min="7936" max="7937" width="11.125" style="2" bestFit="1" customWidth="1"/>
    <col min="7938" max="8189" width="9" style="2"/>
    <col min="8190" max="8190" width="2.375" style="2" customWidth="1"/>
    <col min="8191" max="8191" width="13.25" style="2" bestFit="1" customWidth="1"/>
    <col min="8192" max="8193" width="11.125" style="2" bestFit="1" customWidth="1"/>
    <col min="8194" max="8445" width="9" style="2"/>
    <col min="8446" max="8446" width="2.375" style="2" customWidth="1"/>
    <col min="8447" max="8447" width="13.25" style="2" bestFit="1" customWidth="1"/>
    <col min="8448" max="8449" width="11.125" style="2" bestFit="1" customWidth="1"/>
    <col min="8450" max="8701" width="9" style="2"/>
    <col min="8702" max="8702" width="2.375" style="2" customWidth="1"/>
    <col min="8703" max="8703" width="13.25" style="2" bestFit="1" customWidth="1"/>
    <col min="8704" max="8705" width="11.125" style="2" bestFit="1" customWidth="1"/>
    <col min="8706" max="8957" width="9" style="2"/>
    <col min="8958" max="8958" width="2.375" style="2" customWidth="1"/>
    <col min="8959" max="8959" width="13.25" style="2" bestFit="1" customWidth="1"/>
    <col min="8960" max="8961" width="11.125" style="2" bestFit="1" customWidth="1"/>
    <col min="8962" max="9213" width="9" style="2"/>
    <col min="9214" max="9214" width="2.375" style="2" customWidth="1"/>
    <col min="9215" max="9215" width="13.25" style="2" bestFit="1" customWidth="1"/>
    <col min="9216" max="9217" width="11.125" style="2" bestFit="1" customWidth="1"/>
    <col min="9218" max="9469" width="9" style="2"/>
    <col min="9470" max="9470" width="2.375" style="2" customWidth="1"/>
    <col min="9471" max="9471" width="13.25" style="2" bestFit="1" customWidth="1"/>
    <col min="9472" max="9473" width="11.125" style="2" bestFit="1" customWidth="1"/>
    <col min="9474" max="9725" width="9" style="2"/>
    <col min="9726" max="9726" width="2.375" style="2" customWidth="1"/>
    <col min="9727" max="9727" width="13.25" style="2" bestFit="1" customWidth="1"/>
    <col min="9728" max="9729" width="11.125" style="2" bestFit="1" customWidth="1"/>
    <col min="9730" max="9981" width="9" style="2"/>
    <col min="9982" max="9982" width="2.375" style="2" customWidth="1"/>
    <col min="9983" max="9983" width="13.25" style="2" bestFit="1" customWidth="1"/>
    <col min="9984" max="9985" width="11.125" style="2" bestFit="1" customWidth="1"/>
    <col min="9986" max="10237" width="9" style="2"/>
    <col min="10238" max="10238" width="2.375" style="2" customWidth="1"/>
    <col min="10239" max="10239" width="13.25" style="2" bestFit="1" customWidth="1"/>
    <col min="10240" max="10241" width="11.125" style="2" bestFit="1" customWidth="1"/>
    <col min="10242" max="10493" width="9" style="2"/>
    <col min="10494" max="10494" width="2.375" style="2" customWidth="1"/>
    <col min="10495" max="10495" width="13.25" style="2" bestFit="1" customWidth="1"/>
    <col min="10496" max="10497" width="11.125" style="2" bestFit="1" customWidth="1"/>
    <col min="10498" max="10749" width="9" style="2"/>
    <col min="10750" max="10750" width="2.375" style="2" customWidth="1"/>
    <col min="10751" max="10751" width="13.25" style="2" bestFit="1" customWidth="1"/>
    <col min="10752" max="10753" width="11.125" style="2" bestFit="1" customWidth="1"/>
    <col min="10754" max="11005" width="9" style="2"/>
    <col min="11006" max="11006" width="2.375" style="2" customWidth="1"/>
    <col min="11007" max="11007" width="13.25" style="2" bestFit="1" customWidth="1"/>
    <col min="11008" max="11009" width="11.125" style="2" bestFit="1" customWidth="1"/>
    <col min="11010" max="11261" width="9" style="2"/>
    <col min="11262" max="11262" width="2.375" style="2" customWidth="1"/>
    <col min="11263" max="11263" width="13.25" style="2" bestFit="1" customWidth="1"/>
    <col min="11264" max="11265" width="11.125" style="2" bestFit="1" customWidth="1"/>
    <col min="11266" max="11517" width="9" style="2"/>
    <col min="11518" max="11518" width="2.375" style="2" customWidth="1"/>
    <col min="11519" max="11519" width="13.25" style="2" bestFit="1" customWidth="1"/>
    <col min="11520" max="11521" width="11.125" style="2" bestFit="1" customWidth="1"/>
    <col min="11522" max="11773" width="9" style="2"/>
    <col min="11774" max="11774" width="2.375" style="2" customWidth="1"/>
    <col min="11775" max="11775" width="13.25" style="2" bestFit="1" customWidth="1"/>
    <col min="11776" max="11777" width="11.125" style="2" bestFit="1" customWidth="1"/>
    <col min="11778" max="12029" width="9" style="2"/>
    <col min="12030" max="12030" width="2.375" style="2" customWidth="1"/>
    <col min="12031" max="12031" width="13.25" style="2" bestFit="1" customWidth="1"/>
    <col min="12032" max="12033" width="11.125" style="2" bestFit="1" customWidth="1"/>
    <col min="12034" max="12285" width="9" style="2"/>
    <col min="12286" max="12286" width="2.375" style="2" customWidth="1"/>
    <col min="12287" max="12287" width="13.25" style="2" bestFit="1" customWidth="1"/>
    <col min="12288" max="12289" width="11.125" style="2" bestFit="1" customWidth="1"/>
    <col min="12290" max="12541" width="9" style="2"/>
    <col min="12542" max="12542" width="2.375" style="2" customWidth="1"/>
    <col min="12543" max="12543" width="13.25" style="2" bestFit="1" customWidth="1"/>
    <col min="12544" max="12545" width="11.125" style="2" bestFit="1" customWidth="1"/>
    <col min="12546" max="12797" width="9" style="2"/>
    <col min="12798" max="12798" width="2.375" style="2" customWidth="1"/>
    <col min="12799" max="12799" width="13.25" style="2" bestFit="1" customWidth="1"/>
    <col min="12800" max="12801" width="11.125" style="2" bestFit="1" customWidth="1"/>
    <col min="12802" max="13053" width="9" style="2"/>
    <col min="13054" max="13054" width="2.375" style="2" customWidth="1"/>
    <col min="13055" max="13055" width="13.25" style="2" bestFit="1" customWidth="1"/>
    <col min="13056" max="13057" width="11.125" style="2" bestFit="1" customWidth="1"/>
    <col min="13058" max="13309" width="9" style="2"/>
    <col min="13310" max="13310" width="2.375" style="2" customWidth="1"/>
    <col min="13311" max="13311" width="13.25" style="2" bestFit="1" customWidth="1"/>
    <col min="13312" max="13313" width="11.125" style="2" bestFit="1" customWidth="1"/>
    <col min="13314" max="13565" width="9" style="2"/>
    <col min="13566" max="13566" width="2.375" style="2" customWidth="1"/>
    <col min="13567" max="13567" width="13.25" style="2" bestFit="1" customWidth="1"/>
    <col min="13568" max="13569" width="11.125" style="2" bestFit="1" customWidth="1"/>
    <col min="13570" max="13821" width="9" style="2"/>
    <col min="13822" max="13822" width="2.375" style="2" customWidth="1"/>
    <col min="13823" max="13823" width="13.25" style="2" bestFit="1" customWidth="1"/>
    <col min="13824" max="13825" width="11.125" style="2" bestFit="1" customWidth="1"/>
    <col min="13826" max="14077" width="9" style="2"/>
    <col min="14078" max="14078" width="2.375" style="2" customWidth="1"/>
    <col min="14079" max="14079" width="13.25" style="2" bestFit="1" customWidth="1"/>
    <col min="14080" max="14081" width="11.125" style="2" bestFit="1" customWidth="1"/>
    <col min="14082" max="14333" width="9" style="2"/>
    <col min="14334" max="14334" width="2.375" style="2" customWidth="1"/>
    <col min="14335" max="14335" width="13.25" style="2" bestFit="1" customWidth="1"/>
    <col min="14336" max="14337" width="11.125" style="2" bestFit="1" customWidth="1"/>
    <col min="14338" max="14589" width="9" style="2"/>
    <col min="14590" max="14590" width="2.375" style="2" customWidth="1"/>
    <col min="14591" max="14591" width="13.25" style="2" bestFit="1" customWidth="1"/>
    <col min="14592" max="14593" width="11.125" style="2" bestFit="1" customWidth="1"/>
    <col min="14594" max="14845" width="9" style="2"/>
    <col min="14846" max="14846" width="2.375" style="2" customWidth="1"/>
    <col min="14847" max="14847" width="13.25" style="2" bestFit="1" customWidth="1"/>
    <col min="14848" max="14849" width="11.125" style="2" bestFit="1" customWidth="1"/>
    <col min="14850" max="15101" width="9" style="2"/>
    <col min="15102" max="15102" width="2.375" style="2" customWidth="1"/>
    <col min="15103" max="15103" width="13.25" style="2" bestFit="1" customWidth="1"/>
    <col min="15104" max="15105" width="11.125" style="2" bestFit="1" customWidth="1"/>
    <col min="15106" max="15357" width="9" style="2"/>
    <col min="15358" max="15358" width="2.375" style="2" customWidth="1"/>
    <col min="15359" max="15359" width="13.25" style="2" bestFit="1" customWidth="1"/>
    <col min="15360" max="15361" width="11.125" style="2" bestFit="1" customWidth="1"/>
    <col min="15362" max="15613" width="9" style="2"/>
    <col min="15614" max="15614" width="2.375" style="2" customWidth="1"/>
    <col min="15615" max="15615" width="13.25" style="2" bestFit="1" customWidth="1"/>
    <col min="15616" max="15617" width="11.125" style="2" bestFit="1" customWidth="1"/>
    <col min="15618" max="15869" width="9" style="2"/>
    <col min="15870" max="15870" width="2.375" style="2" customWidth="1"/>
    <col min="15871" max="15871" width="13.25" style="2" bestFit="1" customWidth="1"/>
    <col min="15872" max="15873" width="11.125" style="2" bestFit="1" customWidth="1"/>
    <col min="15874" max="16125" width="9" style="2"/>
    <col min="16126" max="16126" width="2.375" style="2" customWidth="1"/>
    <col min="16127" max="16127" width="13.25" style="2" bestFit="1" customWidth="1"/>
    <col min="16128" max="16129" width="11.125" style="2" bestFit="1" customWidth="1"/>
    <col min="16130" max="16384" width="9" style="2"/>
  </cols>
  <sheetData>
    <row r="1" spans="1:4">
      <c r="A1" s="1" t="s">
        <v>0</v>
      </c>
    </row>
    <row r="2" spans="1:4">
      <c r="A2" s="1"/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 ht="19.5" thickBot="1">
      <c r="A6" s="1" t="s">
        <v>4</v>
      </c>
    </row>
    <row r="7" spans="1:4">
      <c r="B7" s="7"/>
      <c r="C7" s="38" t="s">
        <v>7</v>
      </c>
      <c r="D7" s="46" t="s">
        <v>30</v>
      </c>
    </row>
    <row r="8" spans="1:4" ht="19.5" thickBot="1">
      <c r="A8" s="3"/>
      <c r="B8" s="18" t="s">
        <v>9</v>
      </c>
      <c r="C8" s="39" t="s">
        <v>12</v>
      </c>
      <c r="D8" s="47" t="s">
        <v>32</v>
      </c>
    </row>
    <row r="9" spans="1:4">
      <c r="A9" s="1" t="s">
        <v>3</v>
      </c>
      <c r="B9" s="13" t="s">
        <v>15</v>
      </c>
      <c r="C9" s="40">
        <v>370000</v>
      </c>
      <c r="D9" s="48">
        <f>C9</f>
        <v>370000</v>
      </c>
    </row>
    <row r="10" spans="1:4">
      <c r="A10" s="1" t="s">
        <v>3</v>
      </c>
      <c r="B10" s="8" t="s">
        <v>16</v>
      </c>
      <c r="C10" s="41">
        <v>0</v>
      </c>
      <c r="D10" s="49">
        <f t="shared" ref="D10:D23" si="0">C10</f>
        <v>0</v>
      </c>
    </row>
    <row r="11" spans="1:4">
      <c r="A11" s="1" t="s">
        <v>3</v>
      </c>
      <c r="B11" s="23" t="s">
        <v>17</v>
      </c>
      <c r="C11" s="42">
        <v>0</v>
      </c>
      <c r="D11" s="50">
        <f t="shared" si="0"/>
        <v>0</v>
      </c>
    </row>
    <row r="12" spans="1:4">
      <c r="A12" s="1" t="s">
        <v>3</v>
      </c>
      <c r="B12" s="28" t="s">
        <v>18</v>
      </c>
      <c r="C12" s="43">
        <v>370000</v>
      </c>
      <c r="D12" s="51">
        <f t="shared" si="0"/>
        <v>370000</v>
      </c>
    </row>
    <row r="13" spans="1:4">
      <c r="A13" s="1" t="s">
        <v>3</v>
      </c>
      <c r="B13" s="28" t="s">
        <v>19</v>
      </c>
      <c r="C13" s="43">
        <v>370000</v>
      </c>
      <c r="D13" s="51">
        <f t="shared" si="0"/>
        <v>370000</v>
      </c>
    </row>
    <row r="14" spans="1:4">
      <c r="A14" s="1" t="s">
        <v>3</v>
      </c>
      <c r="B14" s="13" t="s">
        <v>20</v>
      </c>
      <c r="C14" s="40">
        <v>18870</v>
      </c>
      <c r="D14" s="48">
        <f t="shared" si="0"/>
        <v>18870</v>
      </c>
    </row>
    <row r="15" spans="1:4">
      <c r="A15" s="1" t="s">
        <v>3</v>
      </c>
      <c r="B15" s="8" t="s">
        <v>21</v>
      </c>
      <c r="C15" s="41">
        <v>3330</v>
      </c>
      <c r="D15" s="49">
        <f t="shared" si="0"/>
        <v>3330</v>
      </c>
    </row>
    <row r="16" spans="1:4">
      <c r="A16" s="1" t="s">
        <v>3</v>
      </c>
      <c r="B16" s="8" t="s">
        <v>22</v>
      </c>
      <c r="C16" s="41">
        <v>33855</v>
      </c>
      <c r="D16" s="49">
        <f t="shared" si="0"/>
        <v>33855</v>
      </c>
    </row>
    <row r="17" spans="1:4">
      <c r="A17" s="1" t="s">
        <v>3</v>
      </c>
      <c r="B17" s="23" t="s">
        <v>23</v>
      </c>
      <c r="C17" s="42">
        <v>2035</v>
      </c>
      <c r="D17" s="50">
        <f t="shared" si="0"/>
        <v>2035</v>
      </c>
    </row>
    <row r="18" spans="1:4">
      <c r="A18" s="1" t="s">
        <v>3</v>
      </c>
      <c r="B18" s="28" t="s">
        <v>24</v>
      </c>
      <c r="C18" s="43">
        <v>311910</v>
      </c>
      <c r="D18" s="51">
        <f t="shared" si="0"/>
        <v>311910</v>
      </c>
    </row>
    <row r="19" spans="1:4">
      <c r="A19" s="1" t="s">
        <v>3</v>
      </c>
      <c r="B19" s="28" t="s">
        <v>25</v>
      </c>
      <c r="C19" s="43">
        <v>31846</v>
      </c>
      <c r="D19" s="51">
        <f t="shared" si="0"/>
        <v>31846</v>
      </c>
    </row>
    <row r="20" spans="1:4">
      <c r="A20" s="1" t="s">
        <v>3</v>
      </c>
      <c r="B20" s="28" t="s">
        <v>26</v>
      </c>
      <c r="C20" s="43">
        <v>58090</v>
      </c>
      <c r="D20" s="51">
        <f t="shared" si="0"/>
        <v>58090</v>
      </c>
    </row>
    <row r="21" spans="1:4">
      <c r="A21" s="1" t="s">
        <v>3</v>
      </c>
      <c r="B21" s="28" t="s">
        <v>27</v>
      </c>
      <c r="C21" s="43">
        <v>280064</v>
      </c>
      <c r="D21" s="51">
        <f t="shared" si="0"/>
        <v>280064</v>
      </c>
    </row>
    <row r="22" spans="1:4">
      <c r="A22" s="1" t="s">
        <v>3</v>
      </c>
      <c r="B22" s="28" t="s">
        <v>28</v>
      </c>
      <c r="C22" s="43">
        <v>280064</v>
      </c>
      <c r="D22" s="51">
        <f t="shared" si="0"/>
        <v>280064</v>
      </c>
    </row>
    <row r="23" spans="1:4" ht="19.5" thickBot="1">
      <c r="A23" s="1" t="s">
        <v>3</v>
      </c>
      <c r="B23" s="33" t="s">
        <v>29</v>
      </c>
      <c r="C23" s="44">
        <v>31846</v>
      </c>
      <c r="D23" s="52">
        <f t="shared" si="0"/>
        <v>31846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38E4-F386-486C-AD60-A6F1D80BF1DF}">
  <dimension ref="A1:F23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" sqref="G1:I104857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255" width="9" style="2"/>
    <col min="256" max="256" width="2.375" style="2" customWidth="1"/>
    <col min="257" max="257" width="13.25" style="2" bestFit="1" customWidth="1"/>
    <col min="258" max="259" width="11.125" style="2" bestFit="1" customWidth="1"/>
    <col min="260" max="511" width="9" style="2"/>
    <col min="512" max="512" width="2.375" style="2" customWidth="1"/>
    <col min="513" max="513" width="13.25" style="2" bestFit="1" customWidth="1"/>
    <col min="514" max="515" width="11.125" style="2" bestFit="1" customWidth="1"/>
    <col min="516" max="767" width="9" style="2"/>
    <col min="768" max="768" width="2.375" style="2" customWidth="1"/>
    <col min="769" max="769" width="13.25" style="2" bestFit="1" customWidth="1"/>
    <col min="770" max="771" width="11.125" style="2" bestFit="1" customWidth="1"/>
    <col min="772" max="1023" width="9" style="2"/>
    <col min="1024" max="1024" width="2.375" style="2" customWidth="1"/>
    <col min="1025" max="1025" width="13.25" style="2" bestFit="1" customWidth="1"/>
    <col min="1026" max="1027" width="11.125" style="2" bestFit="1" customWidth="1"/>
    <col min="1028" max="1279" width="9" style="2"/>
    <col min="1280" max="1280" width="2.375" style="2" customWidth="1"/>
    <col min="1281" max="1281" width="13.25" style="2" bestFit="1" customWidth="1"/>
    <col min="1282" max="1283" width="11.125" style="2" bestFit="1" customWidth="1"/>
    <col min="1284" max="1535" width="9" style="2"/>
    <col min="1536" max="1536" width="2.375" style="2" customWidth="1"/>
    <col min="1537" max="1537" width="13.25" style="2" bestFit="1" customWidth="1"/>
    <col min="1538" max="1539" width="11.125" style="2" bestFit="1" customWidth="1"/>
    <col min="1540" max="1791" width="9" style="2"/>
    <col min="1792" max="1792" width="2.375" style="2" customWidth="1"/>
    <col min="1793" max="1793" width="13.25" style="2" bestFit="1" customWidth="1"/>
    <col min="1794" max="1795" width="11.125" style="2" bestFit="1" customWidth="1"/>
    <col min="1796" max="2047" width="9" style="2"/>
    <col min="2048" max="2048" width="2.375" style="2" customWidth="1"/>
    <col min="2049" max="2049" width="13.25" style="2" bestFit="1" customWidth="1"/>
    <col min="2050" max="2051" width="11.125" style="2" bestFit="1" customWidth="1"/>
    <col min="2052" max="2303" width="9" style="2"/>
    <col min="2304" max="2304" width="2.375" style="2" customWidth="1"/>
    <col min="2305" max="2305" width="13.25" style="2" bestFit="1" customWidth="1"/>
    <col min="2306" max="2307" width="11.125" style="2" bestFit="1" customWidth="1"/>
    <col min="2308" max="2559" width="9" style="2"/>
    <col min="2560" max="2560" width="2.375" style="2" customWidth="1"/>
    <col min="2561" max="2561" width="13.25" style="2" bestFit="1" customWidth="1"/>
    <col min="2562" max="2563" width="11.125" style="2" bestFit="1" customWidth="1"/>
    <col min="2564" max="2815" width="9" style="2"/>
    <col min="2816" max="2816" width="2.375" style="2" customWidth="1"/>
    <col min="2817" max="2817" width="13.25" style="2" bestFit="1" customWidth="1"/>
    <col min="2818" max="2819" width="11.125" style="2" bestFit="1" customWidth="1"/>
    <col min="2820" max="3071" width="9" style="2"/>
    <col min="3072" max="3072" width="2.375" style="2" customWidth="1"/>
    <col min="3073" max="3073" width="13.25" style="2" bestFit="1" customWidth="1"/>
    <col min="3074" max="3075" width="11.125" style="2" bestFit="1" customWidth="1"/>
    <col min="3076" max="3327" width="9" style="2"/>
    <col min="3328" max="3328" width="2.375" style="2" customWidth="1"/>
    <col min="3329" max="3329" width="13.25" style="2" bestFit="1" customWidth="1"/>
    <col min="3330" max="3331" width="11.125" style="2" bestFit="1" customWidth="1"/>
    <col min="3332" max="3583" width="9" style="2"/>
    <col min="3584" max="3584" width="2.375" style="2" customWidth="1"/>
    <col min="3585" max="3585" width="13.25" style="2" bestFit="1" customWidth="1"/>
    <col min="3586" max="3587" width="11.125" style="2" bestFit="1" customWidth="1"/>
    <col min="3588" max="3839" width="9" style="2"/>
    <col min="3840" max="3840" width="2.375" style="2" customWidth="1"/>
    <col min="3841" max="3841" width="13.25" style="2" bestFit="1" customWidth="1"/>
    <col min="3842" max="3843" width="11.125" style="2" bestFit="1" customWidth="1"/>
    <col min="3844" max="4095" width="9" style="2"/>
    <col min="4096" max="4096" width="2.375" style="2" customWidth="1"/>
    <col min="4097" max="4097" width="13.25" style="2" bestFit="1" customWidth="1"/>
    <col min="4098" max="4099" width="11.125" style="2" bestFit="1" customWidth="1"/>
    <col min="4100" max="4351" width="9" style="2"/>
    <col min="4352" max="4352" width="2.375" style="2" customWidth="1"/>
    <col min="4353" max="4353" width="13.25" style="2" bestFit="1" customWidth="1"/>
    <col min="4354" max="4355" width="11.125" style="2" bestFit="1" customWidth="1"/>
    <col min="4356" max="4607" width="9" style="2"/>
    <col min="4608" max="4608" width="2.375" style="2" customWidth="1"/>
    <col min="4609" max="4609" width="13.25" style="2" bestFit="1" customWidth="1"/>
    <col min="4610" max="4611" width="11.125" style="2" bestFit="1" customWidth="1"/>
    <col min="4612" max="4863" width="9" style="2"/>
    <col min="4864" max="4864" width="2.375" style="2" customWidth="1"/>
    <col min="4865" max="4865" width="13.25" style="2" bestFit="1" customWidth="1"/>
    <col min="4866" max="4867" width="11.125" style="2" bestFit="1" customWidth="1"/>
    <col min="4868" max="5119" width="9" style="2"/>
    <col min="5120" max="5120" width="2.375" style="2" customWidth="1"/>
    <col min="5121" max="5121" width="13.25" style="2" bestFit="1" customWidth="1"/>
    <col min="5122" max="5123" width="11.125" style="2" bestFit="1" customWidth="1"/>
    <col min="5124" max="5375" width="9" style="2"/>
    <col min="5376" max="5376" width="2.375" style="2" customWidth="1"/>
    <col min="5377" max="5377" width="13.25" style="2" bestFit="1" customWidth="1"/>
    <col min="5378" max="5379" width="11.125" style="2" bestFit="1" customWidth="1"/>
    <col min="5380" max="5631" width="9" style="2"/>
    <col min="5632" max="5632" width="2.375" style="2" customWidth="1"/>
    <col min="5633" max="5633" width="13.25" style="2" bestFit="1" customWidth="1"/>
    <col min="5634" max="5635" width="11.125" style="2" bestFit="1" customWidth="1"/>
    <col min="5636" max="5887" width="9" style="2"/>
    <col min="5888" max="5888" width="2.375" style="2" customWidth="1"/>
    <col min="5889" max="5889" width="13.25" style="2" bestFit="1" customWidth="1"/>
    <col min="5890" max="5891" width="11.125" style="2" bestFit="1" customWidth="1"/>
    <col min="5892" max="6143" width="9" style="2"/>
    <col min="6144" max="6144" width="2.375" style="2" customWidth="1"/>
    <col min="6145" max="6145" width="13.25" style="2" bestFit="1" customWidth="1"/>
    <col min="6146" max="6147" width="11.125" style="2" bestFit="1" customWidth="1"/>
    <col min="6148" max="6399" width="9" style="2"/>
    <col min="6400" max="6400" width="2.375" style="2" customWidth="1"/>
    <col min="6401" max="6401" width="13.25" style="2" bestFit="1" customWidth="1"/>
    <col min="6402" max="6403" width="11.125" style="2" bestFit="1" customWidth="1"/>
    <col min="6404" max="6655" width="9" style="2"/>
    <col min="6656" max="6656" width="2.375" style="2" customWidth="1"/>
    <col min="6657" max="6657" width="13.25" style="2" bestFit="1" customWidth="1"/>
    <col min="6658" max="6659" width="11.125" style="2" bestFit="1" customWidth="1"/>
    <col min="6660" max="6911" width="9" style="2"/>
    <col min="6912" max="6912" width="2.375" style="2" customWidth="1"/>
    <col min="6913" max="6913" width="13.25" style="2" bestFit="1" customWidth="1"/>
    <col min="6914" max="6915" width="11.125" style="2" bestFit="1" customWidth="1"/>
    <col min="6916" max="7167" width="9" style="2"/>
    <col min="7168" max="7168" width="2.375" style="2" customWidth="1"/>
    <col min="7169" max="7169" width="13.25" style="2" bestFit="1" customWidth="1"/>
    <col min="7170" max="7171" width="11.125" style="2" bestFit="1" customWidth="1"/>
    <col min="7172" max="7423" width="9" style="2"/>
    <col min="7424" max="7424" width="2.375" style="2" customWidth="1"/>
    <col min="7425" max="7425" width="13.25" style="2" bestFit="1" customWidth="1"/>
    <col min="7426" max="7427" width="11.125" style="2" bestFit="1" customWidth="1"/>
    <col min="7428" max="7679" width="9" style="2"/>
    <col min="7680" max="7680" width="2.375" style="2" customWidth="1"/>
    <col min="7681" max="7681" width="13.25" style="2" bestFit="1" customWidth="1"/>
    <col min="7682" max="7683" width="11.125" style="2" bestFit="1" customWidth="1"/>
    <col min="7684" max="7935" width="9" style="2"/>
    <col min="7936" max="7936" width="2.375" style="2" customWidth="1"/>
    <col min="7937" max="7937" width="13.25" style="2" bestFit="1" customWidth="1"/>
    <col min="7938" max="7939" width="11.125" style="2" bestFit="1" customWidth="1"/>
    <col min="7940" max="8191" width="9" style="2"/>
    <col min="8192" max="8192" width="2.375" style="2" customWidth="1"/>
    <col min="8193" max="8193" width="13.25" style="2" bestFit="1" customWidth="1"/>
    <col min="8194" max="8195" width="11.125" style="2" bestFit="1" customWidth="1"/>
    <col min="8196" max="8447" width="9" style="2"/>
    <col min="8448" max="8448" width="2.375" style="2" customWidth="1"/>
    <col min="8449" max="8449" width="13.25" style="2" bestFit="1" customWidth="1"/>
    <col min="8450" max="8451" width="11.125" style="2" bestFit="1" customWidth="1"/>
    <col min="8452" max="8703" width="9" style="2"/>
    <col min="8704" max="8704" width="2.375" style="2" customWidth="1"/>
    <col min="8705" max="8705" width="13.25" style="2" bestFit="1" customWidth="1"/>
    <col min="8706" max="8707" width="11.125" style="2" bestFit="1" customWidth="1"/>
    <col min="8708" max="8959" width="9" style="2"/>
    <col min="8960" max="8960" width="2.375" style="2" customWidth="1"/>
    <col min="8961" max="8961" width="13.25" style="2" bestFit="1" customWidth="1"/>
    <col min="8962" max="8963" width="11.125" style="2" bestFit="1" customWidth="1"/>
    <col min="8964" max="9215" width="9" style="2"/>
    <col min="9216" max="9216" width="2.375" style="2" customWidth="1"/>
    <col min="9217" max="9217" width="13.25" style="2" bestFit="1" customWidth="1"/>
    <col min="9218" max="9219" width="11.125" style="2" bestFit="1" customWidth="1"/>
    <col min="9220" max="9471" width="9" style="2"/>
    <col min="9472" max="9472" width="2.375" style="2" customWidth="1"/>
    <col min="9473" max="9473" width="13.25" style="2" bestFit="1" customWidth="1"/>
    <col min="9474" max="9475" width="11.125" style="2" bestFit="1" customWidth="1"/>
    <col min="9476" max="9727" width="9" style="2"/>
    <col min="9728" max="9728" width="2.375" style="2" customWidth="1"/>
    <col min="9729" max="9729" width="13.25" style="2" bestFit="1" customWidth="1"/>
    <col min="9730" max="9731" width="11.125" style="2" bestFit="1" customWidth="1"/>
    <col min="9732" max="9983" width="9" style="2"/>
    <col min="9984" max="9984" width="2.375" style="2" customWidth="1"/>
    <col min="9985" max="9985" width="13.25" style="2" bestFit="1" customWidth="1"/>
    <col min="9986" max="9987" width="11.125" style="2" bestFit="1" customWidth="1"/>
    <col min="9988" max="10239" width="9" style="2"/>
    <col min="10240" max="10240" width="2.375" style="2" customWidth="1"/>
    <col min="10241" max="10241" width="13.25" style="2" bestFit="1" customWidth="1"/>
    <col min="10242" max="10243" width="11.125" style="2" bestFit="1" customWidth="1"/>
    <col min="10244" max="10495" width="9" style="2"/>
    <col min="10496" max="10496" width="2.375" style="2" customWidth="1"/>
    <col min="10497" max="10497" width="13.25" style="2" bestFit="1" customWidth="1"/>
    <col min="10498" max="10499" width="11.125" style="2" bestFit="1" customWidth="1"/>
    <col min="10500" max="10751" width="9" style="2"/>
    <col min="10752" max="10752" width="2.375" style="2" customWidth="1"/>
    <col min="10753" max="10753" width="13.25" style="2" bestFit="1" customWidth="1"/>
    <col min="10754" max="10755" width="11.125" style="2" bestFit="1" customWidth="1"/>
    <col min="10756" max="11007" width="9" style="2"/>
    <col min="11008" max="11008" width="2.375" style="2" customWidth="1"/>
    <col min="11009" max="11009" width="13.25" style="2" bestFit="1" customWidth="1"/>
    <col min="11010" max="11011" width="11.125" style="2" bestFit="1" customWidth="1"/>
    <col min="11012" max="11263" width="9" style="2"/>
    <col min="11264" max="11264" width="2.375" style="2" customWidth="1"/>
    <col min="11265" max="11265" width="13.25" style="2" bestFit="1" customWidth="1"/>
    <col min="11266" max="11267" width="11.125" style="2" bestFit="1" customWidth="1"/>
    <col min="11268" max="11519" width="9" style="2"/>
    <col min="11520" max="11520" width="2.375" style="2" customWidth="1"/>
    <col min="11521" max="11521" width="13.25" style="2" bestFit="1" customWidth="1"/>
    <col min="11522" max="11523" width="11.125" style="2" bestFit="1" customWidth="1"/>
    <col min="11524" max="11775" width="9" style="2"/>
    <col min="11776" max="11776" width="2.375" style="2" customWidth="1"/>
    <col min="11777" max="11777" width="13.25" style="2" bestFit="1" customWidth="1"/>
    <col min="11778" max="11779" width="11.125" style="2" bestFit="1" customWidth="1"/>
    <col min="11780" max="12031" width="9" style="2"/>
    <col min="12032" max="12032" width="2.375" style="2" customWidth="1"/>
    <col min="12033" max="12033" width="13.25" style="2" bestFit="1" customWidth="1"/>
    <col min="12034" max="12035" width="11.125" style="2" bestFit="1" customWidth="1"/>
    <col min="12036" max="12287" width="9" style="2"/>
    <col min="12288" max="12288" width="2.375" style="2" customWidth="1"/>
    <col min="12289" max="12289" width="13.25" style="2" bestFit="1" customWidth="1"/>
    <col min="12290" max="12291" width="11.125" style="2" bestFit="1" customWidth="1"/>
    <col min="12292" max="12543" width="9" style="2"/>
    <col min="12544" max="12544" width="2.375" style="2" customWidth="1"/>
    <col min="12545" max="12545" width="13.25" style="2" bestFit="1" customWidth="1"/>
    <col min="12546" max="12547" width="11.125" style="2" bestFit="1" customWidth="1"/>
    <col min="12548" max="12799" width="9" style="2"/>
    <col min="12800" max="12800" width="2.375" style="2" customWidth="1"/>
    <col min="12801" max="12801" width="13.25" style="2" bestFit="1" customWidth="1"/>
    <col min="12802" max="12803" width="11.125" style="2" bestFit="1" customWidth="1"/>
    <col min="12804" max="13055" width="9" style="2"/>
    <col min="13056" max="13056" width="2.375" style="2" customWidth="1"/>
    <col min="13057" max="13057" width="13.25" style="2" bestFit="1" customWidth="1"/>
    <col min="13058" max="13059" width="11.125" style="2" bestFit="1" customWidth="1"/>
    <col min="13060" max="13311" width="9" style="2"/>
    <col min="13312" max="13312" width="2.375" style="2" customWidth="1"/>
    <col min="13313" max="13313" width="13.25" style="2" bestFit="1" customWidth="1"/>
    <col min="13314" max="13315" width="11.125" style="2" bestFit="1" customWidth="1"/>
    <col min="13316" max="13567" width="9" style="2"/>
    <col min="13568" max="13568" width="2.375" style="2" customWidth="1"/>
    <col min="13569" max="13569" width="13.25" style="2" bestFit="1" customWidth="1"/>
    <col min="13570" max="13571" width="11.125" style="2" bestFit="1" customWidth="1"/>
    <col min="13572" max="13823" width="9" style="2"/>
    <col min="13824" max="13824" width="2.375" style="2" customWidth="1"/>
    <col min="13825" max="13825" width="13.25" style="2" bestFit="1" customWidth="1"/>
    <col min="13826" max="13827" width="11.125" style="2" bestFit="1" customWidth="1"/>
    <col min="13828" max="14079" width="9" style="2"/>
    <col min="14080" max="14080" width="2.375" style="2" customWidth="1"/>
    <col min="14081" max="14081" width="13.25" style="2" bestFit="1" customWidth="1"/>
    <col min="14082" max="14083" width="11.125" style="2" bestFit="1" customWidth="1"/>
    <col min="14084" max="14335" width="9" style="2"/>
    <col min="14336" max="14336" width="2.375" style="2" customWidth="1"/>
    <col min="14337" max="14337" width="13.25" style="2" bestFit="1" customWidth="1"/>
    <col min="14338" max="14339" width="11.125" style="2" bestFit="1" customWidth="1"/>
    <col min="14340" max="14591" width="9" style="2"/>
    <col min="14592" max="14592" width="2.375" style="2" customWidth="1"/>
    <col min="14593" max="14593" width="13.25" style="2" bestFit="1" customWidth="1"/>
    <col min="14594" max="14595" width="11.125" style="2" bestFit="1" customWidth="1"/>
    <col min="14596" max="14847" width="9" style="2"/>
    <col min="14848" max="14848" width="2.375" style="2" customWidth="1"/>
    <col min="14849" max="14849" width="13.25" style="2" bestFit="1" customWidth="1"/>
    <col min="14850" max="14851" width="11.125" style="2" bestFit="1" customWidth="1"/>
    <col min="14852" max="15103" width="9" style="2"/>
    <col min="15104" max="15104" width="2.375" style="2" customWidth="1"/>
    <col min="15105" max="15105" width="13.25" style="2" bestFit="1" customWidth="1"/>
    <col min="15106" max="15107" width="11.125" style="2" bestFit="1" customWidth="1"/>
    <col min="15108" max="15359" width="9" style="2"/>
    <col min="15360" max="15360" width="2.375" style="2" customWidth="1"/>
    <col min="15361" max="15361" width="13.25" style="2" bestFit="1" customWidth="1"/>
    <col min="15362" max="15363" width="11.125" style="2" bestFit="1" customWidth="1"/>
    <col min="15364" max="15615" width="9" style="2"/>
    <col min="15616" max="15616" width="2.375" style="2" customWidth="1"/>
    <col min="15617" max="15617" width="13.25" style="2" bestFit="1" customWidth="1"/>
    <col min="15618" max="15619" width="11.125" style="2" bestFit="1" customWidth="1"/>
    <col min="15620" max="15871" width="9" style="2"/>
    <col min="15872" max="15872" width="2.375" style="2" customWidth="1"/>
    <col min="15873" max="15873" width="13.25" style="2" bestFit="1" customWidth="1"/>
    <col min="15874" max="15875" width="11.125" style="2" bestFit="1" customWidth="1"/>
    <col min="15876" max="16127" width="9" style="2"/>
    <col min="16128" max="16128" width="2.375" style="2" customWidth="1"/>
    <col min="16129" max="16129" width="13.25" style="2" bestFit="1" customWidth="1"/>
    <col min="16130" max="16131" width="11.125" style="2" bestFit="1" customWidth="1"/>
    <col min="16132" max="16384" width="9" style="2"/>
  </cols>
  <sheetData>
    <row r="1" spans="1:6">
      <c r="A1" s="1" t="s">
        <v>0</v>
      </c>
    </row>
    <row r="2" spans="1:6">
      <c r="A2" s="1"/>
    </row>
    <row r="3" spans="1:6">
      <c r="A3" s="1" t="s">
        <v>1</v>
      </c>
    </row>
    <row r="4" spans="1:6">
      <c r="A4" s="1" t="s">
        <v>2</v>
      </c>
    </row>
    <row r="5" spans="1:6">
      <c r="A5" s="1" t="s">
        <v>3</v>
      </c>
    </row>
    <row r="6" spans="1:6" ht="19.5" thickBot="1">
      <c r="A6" s="1" t="s">
        <v>4</v>
      </c>
    </row>
    <row r="7" spans="1:6">
      <c r="B7" s="7"/>
      <c r="C7" s="10" t="s">
        <v>5</v>
      </c>
      <c r="D7" s="4" t="s">
        <v>6</v>
      </c>
      <c r="E7" s="11" t="s">
        <v>8</v>
      </c>
      <c r="F7" s="45" t="s">
        <v>30</v>
      </c>
    </row>
    <row r="8" spans="1:6" ht="19.5" thickBot="1">
      <c r="A8" s="3"/>
      <c r="B8" s="18" t="s">
        <v>9</v>
      </c>
      <c r="C8" s="19" t="s">
        <v>10</v>
      </c>
      <c r="D8" s="20" t="s">
        <v>11</v>
      </c>
      <c r="E8" s="21" t="s">
        <v>13</v>
      </c>
      <c r="F8" s="22" t="s">
        <v>31</v>
      </c>
    </row>
    <row r="9" spans="1:6">
      <c r="A9" s="1" t="s">
        <v>3</v>
      </c>
      <c r="B9" s="13" t="s">
        <v>15</v>
      </c>
      <c r="C9" s="14">
        <v>71000</v>
      </c>
      <c r="D9" s="15">
        <v>71000</v>
      </c>
      <c r="E9" s="16">
        <v>71000</v>
      </c>
      <c r="F9" s="17">
        <f>SUM(C9:E9)</f>
        <v>213000</v>
      </c>
    </row>
    <row r="10" spans="1:6">
      <c r="A10" s="1" t="s">
        <v>3</v>
      </c>
      <c r="B10" s="8" t="s">
        <v>16</v>
      </c>
      <c r="C10" s="12">
        <v>15000</v>
      </c>
      <c r="D10" s="5">
        <v>0</v>
      </c>
      <c r="E10" s="6">
        <v>0</v>
      </c>
      <c r="F10" s="9">
        <f t="shared" ref="F10:F23" si="0">SUM(C10:E10)</f>
        <v>15000</v>
      </c>
    </row>
    <row r="11" spans="1:6">
      <c r="A11" s="1" t="s">
        <v>3</v>
      </c>
      <c r="B11" s="23" t="s">
        <v>17</v>
      </c>
      <c r="C11" s="24">
        <v>3000</v>
      </c>
      <c r="D11" s="25">
        <v>3000</v>
      </c>
      <c r="E11" s="26">
        <v>3000</v>
      </c>
      <c r="F11" s="27">
        <f t="shared" si="0"/>
        <v>9000</v>
      </c>
    </row>
    <row r="12" spans="1:6">
      <c r="A12" s="1" t="s">
        <v>3</v>
      </c>
      <c r="B12" s="28" t="s">
        <v>18</v>
      </c>
      <c r="C12" s="29">
        <v>89000</v>
      </c>
      <c r="D12" s="30">
        <v>74000</v>
      </c>
      <c r="E12" s="31">
        <v>74000</v>
      </c>
      <c r="F12" s="32">
        <f t="shared" si="0"/>
        <v>237000</v>
      </c>
    </row>
    <row r="13" spans="1:6">
      <c r="A13" s="1" t="s">
        <v>3</v>
      </c>
      <c r="B13" s="28" t="s">
        <v>19</v>
      </c>
      <c r="C13" s="29">
        <v>89000</v>
      </c>
      <c r="D13" s="30">
        <v>74000</v>
      </c>
      <c r="E13" s="31">
        <v>74000</v>
      </c>
      <c r="F13" s="32">
        <f t="shared" si="0"/>
        <v>237000</v>
      </c>
    </row>
    <row r="14" spans="1:6">
      <c r="A14" s="1" t="s">
        <v>3</v>
      </c>
      <c r="B14" s="13" t="s">
        <v>20</v>
      </c>
      <c r="C14" s="14">
        <v>4539</v>
      </c>
      <c r="D14" s="15">
        <v>3774</v>
      </c>
      <c r="E14" s="16">
        <v>3774</v>
      </c>
      <c r="F14" s="17">
        <f t="shared" si="0"/>
        <v>12087</v>
      </c>
    </row>
    <row r="15" spans="1:6">
      <c r="A15" s="1" t="s">
        <v>3</v>
      </c>
      <c r="B15" s="8" t="s">
        <v>21</v>
      </c>
      <c r="C15" s="12">
        <v>0</v>
      </c>
      <c r="D15" s="5">
        <v>666</v>
      </c>
      <c r="E15" s="6">
        <v>666</v>
      </c>
      <c r="F15" s="9">
        <f t="shared" si="0"/>
        <v>1332</v>
      </c>
    </row>
    <row r="16" spans="1:6">
      <c r="A16" s="1" t="s">
        <v>3</v>
      </c>
      <c r="B16" s="8" t="s">
        <v>22</v>
      </c>
      <c r="C16" s="12">
        <v>8143</v>
      </c>
      <c r="D16" s="5">
        <v>6771</v>
      </c>
      <c r="E16" s="6">
        <v>6771</v>
      </c>
      <c r="F16" s="9">
        <f t="shared" si="0"/>
        <v>21685</v>
      </c>
    </row>
    <row r="17" spans="1:6">
      <c r="A17" s="1" t="s">
        <v>3</v>
      </c>
      <c r="B17" s="23" t="s">
        <v>23</v>
      </c>
      <c r="C17" s="24">
        <v>489</v>
      </c>
      <c r="D17" s="25">
        <v>407</v>
      </c>
      <c r="E17" s="26">
        <v>407</v>
      </c>
      <c r="F17" s="27">
        <f t="shared" si="0"/>
        <v>1303</v>
      </c>
    </row>
    <row r="18" spans="1:6">
      <c r="A18" s="1" t="s">
        <v>3</v>
      </c>
      <c r="B18" s="28" t="s">
        <v>24</v>
      </c>
      <c r="C18" s="29">
        <v>75829</v>
      </c>
      <c r="D18" s="30">
        <v>62382</v>
      </c>
      <c r="E18" s="31">
        <v>62382</v>
      </c>
      <c r="F18" s="32">
        <f t="shared" si="0"/>
        <v>200593</v>
      </c>
    </row>
    <row r="19" spans="1:6">
      <c r="A19" s="1" t="s">
        <v>3</v>
      </c>
      <c r="B19" s="28" t="s">
        <v>25</v>
      </c>
      <c r="C19" s="29">
        <v>3096</v>
      </c>
      <c r="D19" s="30">
        <v>5095</v>
      </c>
      <c r="E19" s="31">
        <v>6369</v>
      </c>
      <c r="F19" s="32">
        <f t="shared" si="0"/>
        <v>14560</v>
      </c>
    </row>
    <row r="20" spans="1:6">
      <c r="A20" s="1" t="s">
        <v>3</v>
      </c>
      <c r="B20" s="28" t="s">
        <v>26</v>
      </c>
      <c r="C20" s="29">
        <v>13171</v>
      </c>
      <c r="D20" s="30">
        <v>11618</v>
      </c>
      <c r="E20" s="31">
        <v>11618</v>
      </c>
      <c r="F20" s="32">
        <f t="shared" si="0"/>
        <v>36407</v>
      </c>
    </row>
    <row r="21" spans="1:6">
      <c r="A21" s="1" t="s">
        <v>3</v>
      </c>
      <c r="B21" s="28" t="s">
        <v>27</v>
      </c>
      <c r="C21" s="29">
        <v>72733</v>
      </c>
      <c r="D21" s="30">
        <v>57287</v>
      </c>
      <c r="E21" s="31">
        <v>56013</v>
      </c>
      <c r="F21" s="32">
        <f t="shared" si="0"/>
        <v>186033</v>
      </c>
    </row>
    <row r="22" spans="1:6">
      <c r="A22" s="1" t="s">
        <v>3</v>
      </c>
      <c r="B22" s="28" t="s">
        <v>28</v>
      </c>
      <c r="C22" s="29">
        <v>72733</v>
      </c>
      <c r="D22" s="30">
        <v>57287</v>
      </c>
      <c r="E22" s="31">
        <v>56013</v>
      </c>
      <c r="F22" s="32">
        <f t="shared" si="0"/>
        <v>186033</v>
      </c>
    </row>
    <row r="23" spans="1:6" ht="19.5" thickBot="1">
      <c r="A23" s="1" t="s">
        <v>3</v>
      </c>
      <c r="B23" s="33" t="s">
        <v>29</v>
      </c>
      <c r="C23" s="34">
        <v>3096</v>
      </c>
      <c r="D23" s="35">
        <v>5095</v>
      </c>
      <c r="E23" s="36">
        <v>6369</v>
      </c>
      <c r="F23" s="37">
        <f t="shared" si="0"/>
        <v>14560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R7年夏賞与</vt:lpstr>
      <vt:lpstr>R7年夏賞与 (2)</vt:lpstr>
      <vt:lpstr>R7年夏賞与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2025-06-16T04:56:13Z</dcterms:created>
  <dcterms:modified xsi:type="dcterms:W3CDTF">2025-06-16T05:47:09Z</dcterms:modified>
</cp:coreProperties>
</file>