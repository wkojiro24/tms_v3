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年夏季賞与\"/>
    </mc:Choice>
  </mc:AlternateContent>
  <xr:revisionPtr revIDLastSave="0" documentId="13_ncr:1_{7C8D7CD6-14CC-4711-855A-70EF8508E518}" xr6:coauthVersionLast="47" xr6:coauthVersionMax="47" xr10:uidLastSave="{00000000-0000-0000-0000-000000000000}"/>
  <bookViews>
    <workbookView xWindow="-120" yWindow="-120" windowWidth="20730" windowHeight="11160" xr2:uid="{E7044D2F-4293-4A36-B5F3-62F8C6102AD1}"/>
  </bookViews>
  <sheets>
    <sheet name="R7年夏賞与" sheetId="2" r:id="rId1"/>
    <sheet name="R7年夏賞与 (2)" sheetId="4" r:id="rId2"/>
    <sheet name="R7年夏賞与 (3)" sheetId="5" r:id="rId3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5" l="1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H23" i="4"/>
  <c r="F23" i="4"/>
  <c r="I23" i="4" s="1"/>
  <c r="H22" i="4"/>
  <c r="F22" i="4"/>
  <c r="I22" i="4" s="1"/>
  <c r="H21" i="4"/>
  <c r="F21" i="4"/>
  <c r="I21" i="4" s="1"/>
  <c r="H20" i="4"/>
  <c r="F20" i="4"/>
  <c r="I20" i="4" s="1"/>
  <c r="H19" i="4"/>
  <c r="F19" i="4"/>
  <c r="I19" i="4" s="1"/>
  <c r="H18" i="4"/>
  <c r="F18" i="4"/>
  <c r="I18" i="4" s="1"/>
  <c r="H17" i="4"/>
  <c r="F17" i="4"/>
  <c r="I17" i="4" s="1"/>
  <c r="H16" i="4"/>
  <c r="F16" i="4"/>
  <c r="I16" i="4" s="1"/>
  <c r="H15" i="4"/>
  <c r="F15" i="4"/>
  <c r="I15" i="4" s="1"/>
  <c r="H14" i="4"/>
  <c r="F14" i="4"/>
  <c r="I14" i="4" s="1"/>
  <c r="H13" i="4"/>
  <c r="F13" i="4"/>
  <c r="I13" i="4" s="1"/>
  <c r="H12" i="4"/>
  <c r="F12" i="4"/>
  <c r="I12" i="4" s="1"/>
  <c r="H11" i="4"/>
  <c r="F11" i="4"/>
  <c r="I11" i="4" s="1"/>
  <c r="H10" i="4"/>
  <c r="F10" i="4"/>
  <c r="I10" i="4" s="1"/>
  <c r="H9" i="4"/>
  <c r="F9" i="4"/>
  <c r="I9" i="4" s="1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R23" i="2"/>
  <c r="Y23" i="2" s="1"/>
  <c r="R22" i="2"/>
  <c r="Y22" i="2" s="1"/>
  <c r="R21" i="2"/>
  <c r="Y21" i="2" s="1"/>
  <c r="R20" i="2"/>
  <c r="Y20" i="2" s="1"/>
  <c r="R19" i="2"/>
  <c r="Y19" i="2" s="1"/>
  <c r="R18" i="2"/>
  <c r="Y18" i="2" s="1"/>
  <c r="R17" i="2"/>
  <c r="Y17" i="2" s="1"/>
  <c r="R16" i="2"/>
  <c r="Y16" i="2" s="1"/>
  <c r="R15" i="2"/>
  <c r="Y15" i="2" s="1"/>
  <c r="R14" i="2"/>
  <c r="Y14" i="2" s="1"/>
  <c r="R13" i="2"/>
  <c r="Y13" i="2" s="1"/>
  <c r="R12" i="2"/>
  <c r="Y12" i="2" s="1"/>
  <c r="R11" i="2"/>
  <c r="Y11" i="2" s="1"/>
  <c r="R10" i="2"/>
  <c r="Y10" i="2" s="1"/>
  <c r="R9" i="2"/>
  <c r="Y9" i="2" s="1"/>
</calcChain>
</file>

<file path=xl/sharedStrings.xml><?xml version="1.0" encoding="utf-8"?>
<sst xmlns="http://schemas.openxmlformats.org/spreadsheetml/2006/main" count="200" uniqueCount="66">
  <si>
    <t>賞与支給控除一覧表</t>
    <phoneticPr fontId="4"/>
  </si>
  <si>
    <t>若林運送株式会社</t>
    <phoneticPr fontId="4"/>
  </si>
  <si>
    <t>2025年 6月16日 作成</t>
    <phoneticPr fontId="4"/>
  </si>
  <si>
    <t/>
  </si>
  <si>
    <t>R7年夏賞与</t>
    <phoneticPr fontId="4"/>
  </si>
  <si>
    <t>1006</t>
    <phoneticPr fontId="4"/>
  </si>
  <si>
    <t>1007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</si>
  <si>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</si>
  <si>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</si>
  <si>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</si>
  <si>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</si>
  <si>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</si>
  <si>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</si>
  <si>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</si>
  <si>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</si>
  <si>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</si>
  <si>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</si>
  <si>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</si>
  <si>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</si>
  <si>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</si>
  <si>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小計</t>
    <rPh sb="0" eb="2">
      <t>ショウケイ</t>
    </rPh>
    <phoneticPr fontId="3"/>
  </si>
  <si>
    <t>1080</t>
    <phoneticPr fontId="4"/>
  </si>
  <si>
    <t>1013</t>
    <phoneticPr fontId="4"/>
  </si>
  <si>
    <t>1119</t>
    <phoneticPr fontId="4"/>
  </si>
  <si>
    <t>1014</t>
    <phoneticPr fontId="4"/>
  </si>
  <si>
    <t>合計</t>
    <phoneticPr fontId="4"/>
  </si>
  <si>
    <t>項目名</t>
    <phoneticPr fontId="4"/>
  </si>
  <si>
    <t>小林　啓一</t>
    <phoneticPr fontId="4"/>
  </si>
  <si>
    <t>鈴木　富雄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</si>
  <si>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</si>
  <si>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</si>
  <si>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</si>
  <si>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</si>
  <si>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</si>
  <si>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</si>
  <si>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</si>
  <si>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</si>
  <si>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</si>
  <si>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</si>
  <si>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</si>
  <si>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</si>
  <si>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</si>
  <si>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１５名</t>
    <rPh sb="2" eb="3">
      <t>メイ</t>
    </rPh>
    <phoneticPr fontId="4"/>
  </si>
  <si>
    <t>若松　美宏</t>
    <phoneticPr fontId="4"/>
  </si>
  <si>
    <t>下山田　英治</t>
    <phoneticPr fontId="4"/>
  </si>
  <si>
    <t>水町　賢土</t>
    <phoneticPr fontId="4"/>
  </si>
  <si>
    <t>3名</t>
    <rPh sb="1" eb="2">
      <t>メイ</t>
    </rPh>
    <phoneticPr fontId="4"/>
  </si>
  <si>
    <t>金山　岳夫</t>
    <phoneticPr fontId="4"/>
  </si>
  <si>
    <t>1名</t>
    <rPh sb="1" eb="2">
      <t>メイ</t>
    </rPh>
    <phoneticPr fontId="4"/>
  </si>
  <si>
    <t>19名</t>
    <rPh sb="2" eb="3">
      <t>メイ</t>
    </rPh>
    <phoneticPr fontId="4"/>
  </si>
  <si>
    <t>賞与</t>
    <phoneticPr fontId="4"/>
  </si>
  <si>
    <t>職位加算</t>
    <phoneticPr fontId="4"/>
  </si>
  <si>
    <t>職責加算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</si>
  <si>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</si>
  <si>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</si>
  <si>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</si>
  <si>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</si>
  <si>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</si>
  <si>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</si>
  <si>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</si>
  <si>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</si>
  <si>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</si>
  <si>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</si>
  <si>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</si>
  <si>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</si>
  <si>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4名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</si>
</sst>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7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0" fontId="2" fillId="0" borderId="15" xfId="1" applyFont="1" applyBorder="1" applyAlignment="1">
      <alignment horizontal="center"/>
    </xf>
    <xf numFmtId="49" fontId="2" fillId="0" borderId="16" xfId="1" applyNumberFormat="1" applyFont="1" applyBorder="1" applyAlignment="1">
      <alignment horizontal="left"/>
    </xf>
    <xf numFmtId="3" fontId="2" fillId="0" borderId="19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3" fontId="2" fillId="0" borderId="9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0" fontId="2" fillId="0" borderId="17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31" xfId="1" applyNumberFormat="1" applyFont="1" applyBorder="1" applyAlignment="1">
      <alignment horizontal="left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2" xfId="1" applyNumberFormat="1" applyFont="1" applyBorder="1"/>
    <xf numFmtId="49" fontId="2" fillId="0" borderId="42" xfId="1" applyNumberFormat="1" applyFont="1" applyBorder="1" applyAlignment="1">
      <alignment horizontal="center"/>
    </xf>
    <xf numFmtId="49" fontId="2" fillId="0" borderId="43" xfId="1" applyNumberFormat="1" applyFont="1" applyBorder="1" applyAlignment="1">
      <alignment horizontal="center"/>
    </xf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0" fontId="2" fillId="0" borderId="51" xfId="1" applyFont="1" applyBorder="1" applyAlignment="1">
      <alignment horizontal="center"/>
    </xf>
    <xf numFmtId="3" fontId="2" fillId="0" borderId="52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55" xfId="1" applyNumberFormat="1" applyFont="1" applyBorder="1"/>
    <xf numFmtId="3" fontId="2" fillId="0" borderId="56" xfId="1" applyNumberFormat="1" applyFont="1" applyBorder="1"/>
    <xf numFmtId="3" fontId="2" fillId="0" borderId="57" xfId="1" applyNumberFormat="1" applyFont="1" applyBorder="1"/>
    <xf numFmtId="0" fontId="2" fillId="0" borderId="50" xfId="1" applyFont="1" applyBorder="1" applyAlignment="1">
      <alignment horizontal="center"/>
    </xf>
    <xf numFmtId="0" fontId="2" fillId="0" borderId="18" xfId="1" applyFont="1" applyBorder="1" applyAlignment="1">
      <alignment horizontal="center"/>
    </xf>
  </cellXfs>
  <cellStyles count="2">
    <cellStyle name="標準" xfId="0" builtinId="0"/>
    <cellStyle name="標準 2" xfId="1" xr:uid="{11AE7A5E-8393-4BDB-A26F-F8BC66CFBD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8D32-2018-4B71-A548-81D61DD62865}">
  <dimension ref="A1:Y23"/>
  <sheetViews>
    <sheetView showZeros="0" tabSelected="1" workbookViewId="0">
      <pane xSplit="2" ySplit="8" topLeftCell="N15" activePane="bottomRight" state="frozen"/>
      <selection pane="bottomRight" activeCell="X19" sqref="X19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.625" style="2" bestFit="1" customWidth="1"/>
    <col min="19" max="19" width="11.125" style="2" bestFit="1" customWidth="1"/>
    <col min="20" max="20" width="13.25" style="2" bestFit="1" customWidth="1"/>
    <col min="21" max="21" width="11.125" style="2" bestFit="1" customWidth="1"/>
    <col min="22" max="22" width="9.625" style="2" bestFit="1" customWidth="1"/>
    <col min="23" max="23" width="11.125" style="2" bestFit="1" customWidth="1"/>
    <col min="24" max="25" width="9.625" style="2" bestFit="1" customWidth="1"/>
    <col min="26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 bestFit="1"/>
    <col min="267" max="277" width="11.125" style="2" bestFit="1" customWidth="1"/>
    <col min="278" max="278" width="9" style="2" bestFit="1"/>
    <col min="279" max="280" width="11.125" style="2" bestFit="1" customWidth="1"/>
    <col min="281" max="281" width="9.625" style="2" bestFit="1" customWidth="1"/>
    <col min="282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 bestFit="1"/>
    <col min="523" max="533" width="11.125" style="2" bestFit="1" customWidth="1"/>
    <col min="534" max="534" width="9" style="2" bestFit="1"/>
    <col min="535" max="536" width="11.125" style="2" bestFit="1" customWidth="1"/>
    <col min="537" max="537" width="9.625" style="2" bestFit="1" customWidth="1"/>
    <col min="538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 bestFit="1"/>
    <col min="779" max="789" width="11.125" style="2" bestFit="1" customWidth="1"/>
    <col min="790" max="790" width="9" style="2" bestFit="1"/>
    <col min="791" max="792" width="11.125" style="2" bestFit="1" customWidth="1"/>
    <col min="793" max="793" width="9.625" style="2" bestFit="1" customWidth="1"/>
    <col min="794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 bestFit="1"/>
    <col min="1035" max="1045" width="11.125" style="2" bestFit="1" customWidth="1"/>
    <col min="1046" max="1046" width="9" style="2" bestFit="1"/>
    <col min="1047" max="1048" width="11.125" style="2" bestFit="1" customWidth="1"/>
    <col min="1049" max="1049" width="9.625" style="2" bestFit="1" customWidth="1"/>
    <col min="1050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 bestFit="1"/>
    <col min="1291" max="1301" width="11.125" style="2" bestFit="1" customWidth="1"/>
    <col min="1302" max="1302" width="9" style="2" bestFit="1"/>
    <col min="1303" max="1304" width="11.125" style="2" bestFit="1" customWidth="1"/>
    <col min="1305" max="1305" width="9.625" style="2" bestFit="1" customWidth="1"/>
    <col min="1306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 bestFit="1"/>
    <col min="1547" max="1557" width="11.125" style="2" bestFit="1" customWidth="1"/>
    <col min="1558" max="1558" width="9" style="2" bestFit="1"/>
    <col min="1559" max="1560" width="11.125" style="2" bestFit="1" customWidth="1"/>
    <col min="1561" max="1561" width="9.625" style="2" bestFit="1" customWidth="1"/>
    <col min="1562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 bestFit="1"/>
    <col min="1803" max="1813" width="11.125" style="2" bestFit="1" customWidth="1"/>
    <col min="1814" max="1814" width="9" style="2" bestFit="1"/>
    <col min="1815" max="1816" width="11.125" style="2" bestFit="1" customWidth="1"/>
    <col min="1817" max="1817" width="9.625" style="2" bestFit="1" customWidth="1"/>
    <col min="1818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 bestFit="1"/>
    <col min="2059" max="2069" width="11.125" style="2" bestFit="1" customWidth="1"/>
    <col min="2070" max="2070" width="9" style="2" bestFit="1"/>
    <col min="2071" max="2072" width="11.125" style="2" bestFit="1" customWidth="1"/>
    <col min="2073" max="2073" width="9.625" style="2" bestFit="1" customWidth="1"/>
    <col min="2074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 bestFit="1"/>
    <col min="2315" max="2325" width="11.125" style="2" bestFit="1" customWidth="1"/>
    <col min="2326" max="2326" width="9" style="2" bestFit="1"/>
    <col min="2327" max="2328" width="11.125" style="2" bestFit="1" customWidth="1"/>
    <col min="2329" max="2329" width="9.625" style="2" bestFit="1" customWidth="1"/>
    <col min="2330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 bestFit="1"/>
    <col min="2571" max="2581" width="11.125" style="2" bestFit="1" customWidth="1"/>
    <col min="2582" max="2582" width="9" style="2" bestFit="1"/>
    <col min="2583" max="2584" width="11.125" style="2" bestFit="1" customWidth="1"/>
    <col min="2585" max="2585" width="9.625" style="2" bestFit="1" customWidth="1"/>
    <col min="2586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 bestFit="1"/>
    <col min="2827" max="2837" width="11.125" style="2" bestFit="1" customWidth="1"/>
    <col min="2838" max="2838" width="9" style="2" bestFit="1"/>
    <col min="2839" max="2840" width="11.125" style="2" bestFit="1" customWidth="1"/>
    <col min="2841" max="2841" width="9.625" style="2" bestFit="1" customWidth="1"/>
    <col min="2842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 bestFit="1"/>
    <col min="3083" max="3093" width="11.125" style="2" bestFit="1" customWidth="1"/>
    <col min="3094" max="3094" width="9" style="2" bestFit="1"/>
    <col min="3095" max="3096" width="11.125" style="2" bestFit="1" customWidth="1"/>
    <col min="3097" max="3097" width="9.625" style="2" bestFit="1" customWidth="1"/>
    <col min="3098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 bestFit="1"/>
    <col min="3339" max="3349" width="11.125" style="2" bestFit="1" customWidth="1"/>
    <col min="3350" max="3350" width="9" style="2" bestFit="1"/>
    <col min="3351" max="3352" width="11.125" style="2" bestFit="1" customWidth="1"/>
    <col min="3353" max="3353" width="9.625" style="2" bestFit="1" customWidth="1"/>
    <col min="3354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 bestFit="1"/>
    <col min="3595" max="3605" width="11.125" style="2" bestFit="1" customWidth="1"/>
    <col min="3606" max="3606" width="9" style="2" bestFit="1"/>
    <col min="3607" max="3608" width="11.125" style="2" bestFit="1" customWidth="1"/>
    <col min="3609" max="3609" width="9.625" style="2" bestFit="1" customWidth="1"/>
    <col min="3610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 bestFit="1"/>
    <col min="3851" max="3861" width="11.125" style="2" bestFit="1" customWidth="1"/>
    <col min="3862" max="3862" width="9" style="2" bestFit="1"/>
    <col min="3863" max="3864" width="11.125" style="2" bestFit="1" customWidth="1"/>
    <col min="3865" max="3865" width="9.625" style="2" bestFit="1" customWidth="1"/>
    <col min="3866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 bestFit="1"/>
    <col min="4107" max="4117" width="11.125" style="2" bestFit="1" customWidth="1"/>
    <col min="4118" max="4118" width="9" style="2" bestFit="1"/>
    <col min="4119" max="4120" width="11.125" style="2" bestFit="1" customWidth="1"/>
    <col min="4121" max="4121" width="9.625" style="2" bestFit="1" customWidth="1"/>
    <col min="4122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 bestFit="1"/>
    <col min="4363" max="4373" width="11.125" style="2" bestFit="1" customWidth="1"/>
    <col min="4374" max="4374" width="9" style="2" bestFit="1"/>
    <col min="4375" max="4376" width="11.125" style="2" bestFit="1" customWidth="1"/>
    <col min="4377" max="4377" width="9.625" style="2" bestFit="1" customWidth="1"/>
    <col min="4378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 bestFit="1"/>
    <col min="4619" max="4629" width="11.125" style="2" bestFit="1" customWidth="1"/>
    <col min="4630" max="4630" width="9" style="2" bestFit="1"/>
    <col min="4631" max="4632" width="11.125" style="2" bestFit="1" customWidth="1"/>
    <col min="4633" max="4633" width="9.625" style="2" bestFit="1" customWidth="1"/>
    <col min="4634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 bestFit="1"/>
    <col min="4875" max="4885" width="11.125" style="2" bestFit="1" customWidth="1"/>
    <col min="4886" max="4886" width="9" style="2" bestFit="1"/>
    <col min="4887" max="4888" width="11.125" style="2" bestFit="1" customWidth="1"/>
    <col min="4889" max="4889" width="9.625" style="2" bestFit="1" customWidth="1"/>
    <col min="4890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 bestFit="1"/>
    <col min="5131" max="5141" width="11.125" style="2" bestFit="1" customWidth="1"/>
    <col min="5142" max="5142" width="9" style="2" bestFit="1"/>
    <col min="5143" max="5144" width="11.125" style="2" bestFit="1" customWidth="1"/>
    <col min="5145" max="5145" width="9.625" style="2" bestFit="1" customWidth="1"/>
    <col min="5146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 bestFit="1"/>
    <col min="5387" max="5397" width="11.125" style="2" bestFit="1" customWidth="1"/>
    <col min="5398" max="5398" width="9" style="2" bestFit="1"/>
    <col min="5399" max="5400" width="11.125" style="2" bestFit="1" customWidth="1"/>
    <col min="5401" max="5401" width="9.625" style="2" bestFit="1" customWidth="1"/>
    <col min="5402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 bestFit="1"/>
    <col min="5643" max="5653" width="11.125" style="2" bestFit="1" customWidth="1"/>
    <col min="5654" max="5654" width="9" style="2" bestFit="1"/>
    <col min="5655" max="5656" width="11.125" style="2" bestFit="1" customWidth="1"/>
    <col min="5657" max="5657" width="9.625" style="2" bestFit="1" customWidth="1"/>
    <col min="5658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 bestFit="1"/>
    <col min="5899" max="5909" width="11.125" style="2" bestFit="1" customWidth="1"/>
    <col min="5910" max="5910" width="9" style="2" bestFit="1"/>
    <col min="5911" max="5912" width="11.125" style="2" bestFit="1" customWidth="1"/>
    <col min="5913" max="5913" width="9.625" style="2" bestFit="1" customWidth="1"/>
    <col min="5914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 bestFit="1"/>
    <col min="6155" max="6165" width="11.125" style="2" bestFit="1" customWidth="1"/>
    <col min="6166" max="6166" width="9" style="2" bestFit="1"/>
    <col min="6167" max="6168" width="11.125" style="2" bestFit="1" customWidth="1"/>
    <col min="6169" max="6169" width="9.625" style="2" bestFit="1" customWidth="1"/>
    <col min="6170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 bestFit="1"/>
    <col min="6411" max="6421" width="11.125" style="2" bestFit="1" customWidth="1"/>
    <col min="6422" max="6422" width="9" style="2" bestFit="1"/>
    <col min="6423" max="6424" width="11.125" style="2" bestFit="1" customWidth="1"/>
    <col min="6425" max="6425" width="9.625" style="2" bestFit="1" customWidth="1"/>
    <col min="6426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 bestFit="1"/>
    <col min="6667" max="6677" width="11.125" style="2" bestFit="1" customWidth="1"/>
    <col min="6678" max="6678" width="9" style="2" bestFit="1"/>
    <col min="6679" max="6680" width="11.125" style="2" bestFit="1" customWidth="1"/>
    <col min="6681" max="6681" width="9.625" style="2" bestFit="1" customWidth="1"/>
    <col min="6682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 bestFit="1"/>
    <col min="6923" max="6933" width="11.125" style="2" bestFit="1" customWidth="1"/>
    <col min="6934" max="6934" width="9" style="2" bestFit="1"/>
    <col min="6935" max="6936" width="11.125" style="2" bestFit="1" customWidth="1"/>
    <col min="6937" max="6937" width="9.625" style="2" bestFit="1" customWidth="1"/>
    <col min="6938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 bestFit="1"/>
    <col min="7179" max="7189" width="11.125" style="2" bestFit="1" customWidth="1"/>
    <col min="7190" max="7190" width="9" style="2" bestFit="1"/>
    <col min="7191" max="7192" width="11.125" style="2" bestFit="1" customWidth="1"/>
    <col min="7193" max="7193" width="9.625" style="2" bestFit="1" customWidth="1"/>
    <col min="7194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 bestFit="1"/>
    <col min="7435" max="7445" width="11.125" style="2" bestFit="1" customWidth="1"/>
    <col min="7446" max="7446" width="9" style="2" bestFit="1"/>
    <col min="7447" max="7448" width="11.125" style="2" bestFit="1" customWidth="1"/>
    <col min="7449" max="7449" width="9.625" style="2" bestFit="1" customWidth="1"/>
    <col min="7450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 bestFit="1"/>
    <col min="7691" max="7701" width="11.125" style="2" bestFit="1" customWidth="1"/>
    <col min="7702" max="7702" width="9" style="2" bestFit="1"/>
    <col min="7703" max="7704" width="11.125" style="2" bestFit="1" customWidth="1"/>
    <col min="7705" max="7705" width="9.625" style="2" bestFit="1" customWidth="1"/>
    <col min="7706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 bestFit="1"/>
    <col min="7947" max="7957" width="11.125" style="2" bestFit="1" customWidth="1"/>
    <col min="7958" max="7958" width="9" style="2" bestFit="1"/>
    <col min="7959" max="7960" width="11.125" style="2" bestFit="1" customWidth="1"/>
    <col min="7961" max="7961" width="9.625" style="2" bestFit="1" customWidth="1"/>
    <col min="7962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 bestFit="1"/>
    <col min="8203" max="8213" width="11.125" style="2" bestFit="1" customWidth="1"/>
    <col min="8214" max="8214" width="9" style="2" bestFit="1"/>
    <col min="8215" max="8216" width="11.125" style="2" bestFit="1" customWidth="1"/>
    <col min="8217" max="8217" width="9.625" style="2" bestFit="1" customWidth="1"/>
    <col min="8218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 bestFit="1"/>
    <col min="8459" max="8469" width="11.125" style="2" bestFit="1" customWidth="1"/>
    <col min="8470" max="8470" width="9" style="2" bestFit="1"/>
    <col min="8471" max="8472" width="11.125" style="2" bestFit="1" customWidth="1"/>
    <col min="8473" max="8473" width="9.625" style="2" bestFit="1" customWidth="1"/>
    <col min="8474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 bestFit="1"/>
    <col min="8715" max="8725" width="11.125" style="2" bestFit="1" customWidth="1"/>
    <col min="8726" max="8726" width="9" style="2" bestFit="1"/>
    <col min="8727" max="8728" width="11.125" style="2" bestFit="1" customWidth="1"/>
    <col min="8729" max="8729" width="9.625" style="2" bestFit="1" customWidth="1"/>
    <col min="8730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 bestFit="1"/>
    <col min="8971" max="8981" width="11.125" style="2" bestFit="1" customWidth="1"/>
    <col min="8982" max="8982" width="9" style="2" bestFit="1"/>
    <col min="8983" max="8984" width="11.125" style="2" bestFit="1" customWidth="1"/>
    <col min="8985" max="8985" width="9.625" style="2" bestFit="1" customWidth="1"/>
    <col min="8986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 bestFit="1"/>
    <col min="9227" max="9237" width="11.125" style="2" bestFit="1" customWidth="1"/>
    <col min="9238" max="9238" width="9" style="2" bestFit="1"/>
    <col min="9239" max="9240" width="11.125" style="2" bestFit="1" customWidth="1"/>
    <col min="9241" max="9241" width="9.625" style="2" bestFit="1" customWidth="1"/>
    <col min="9242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 bestFit="1"/>
    <col min="9483" max="9493" width="11.125" style="2" bestFit="1" customWidth="1"/>
    <col min="9494" max="9494" width="9" style="2" bestFit="1"/>
    <col min="9495" max="9496" width="11.125" style="2" bestFit="1" customWidth="1"/>
    <col min="9497" max="9497" width="9.625" style="2" bestFit="1" customWidth="1"/>
    <col min="9498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 bestFit="1"/>
    <col min="9739" max="9749" width="11.125" style="2" bestFit="1" customWidth="1"/>
    <col min="9750" max="9750" width="9" style="2" bestFit="1"/>
    <col min="9751" max="9752" width="11.125" style="2" bestFit="1" customWidth="1"/>
    <col min="9753" max="9753" width="9.625" style="2" bestFit="1" customWidth="1"/>
    <col min="9754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 bestFit="1"/>
    <col min="9995" max="10005" width="11.125" style="2" bestFit="1" customWidth="1"/>
    <col min="10006" max="10006" width="9" style="2" bestFit="1"/>
    <col min="10007" max="10008" width="11.125" style="2" bestFit="1" customWidth="1"/>
    <col min="10009" max="10009" width="9.625" style="2" bestFit="1" customWidth="1"/>
    <col min="10010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 bestFit="1"/>
    <col min="10251" max="10261" width="11.125" style="2" bestFit="1" customWidth="1"/>
    <col min="10262" max="10262" width="9" style="2" bestFit="1"/>
    <col min="10263" max="10264" width="11.125" style="2" bestFit="1" customWidth="1"/>
    <col min="10265" max="10265" width="9.625" style="2" bestFit="1" customWidth="1"/>
    <col min="10266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 bestFit="1"/>
    <col min="10507" max="10517" width="11.125" style="2" bestFit="1" customWidth="1"/>
    <col min="10518" max="10518" width="9" style="2" bestFit="1"/>
    <col min="10519" max="10520" width="11.125" style="2" bestFit="1" customWidth="1"/>
    <col min="10521" max="10521" width="9.625" style="2" bestFit="1" customWidth="1"/>
    <col min="10522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 bestFit="1"/>
    <col min="10763" max="10773" width="11.125" style="2" bestFit="1" customWidth="1"/>
    <col min="10774" max="10774" width="9" style="2" bestFit="1"/>
    <col min="10775" max="10776" width="11.125" style="2" bestFit="1" customWidth="1"/>
    <col min="10777" max="10777" width="9.625" style="2" bestFit="1" customWidth="1"/>
    <col min="10778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 bestFit="1"/>
    <col min="11019" max="11029" width="11.125" style="2" bestFit="1" customWidth="1"/>
    <col min="11030" max="11030" width="9" style="2" bestFit="1"/>
    <col min="11031" max="11032" width="11.125" style="2" bestFit="1" customWidth="1"/>
    <col min="11033" max="11033" width="9.625" style="2" bestFit="1" customWidth="1"/>
    <col min="11034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 bestFit="1"/>
    <col min="11275" max="11285" width="11.125" style="2" bestFit="1" customWidth="1"/>
    <col min="11286" max="11286" width="9" style="2" bestFit="1"/>
    <col min="11287" max="11288" width="11.125" style="2" bestFit="1" customWidth="1"/>
    <col min="11289" max="11289" width="9.625" style="2" bestFit="1" customWidth="1"/>
    <col min="11290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 bestFit="1"/>
    <col min="11531" max="11541" width="11.125" style="2" bestFit="1" customWidth="1"/>
    <col min="11542" max="11542" width="9" style="2" bestFit="1"/>
    <col min="11543" max="11544" width="11.125" style="2" bestFit="1" customWidth="1"/>
    <col min="11545" max="11545" width="9.625" style="2" bestFit="1" customWidth="1"/>
    <col min="11546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 bestFit="1"/>
    <col min="11787" max="11797" width="11.125" style="2" bestFit="1" customWidth="1"/>
    <col min="11798" max="11798" width="9" style="2" bestFit="1"/>
    <col min="11799" max="11800" width="11.125" style="2" bestFit="1" customWidth="1"/>
    <col min="11801" max="11801" width="9.625" style="2" bestFit="1" customWidth="1"/>
    <col min="11802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 bestFit="1"/>
    <col min="12043" max="12053" width="11.125" style="2" bestFit="1" customWidth="1"/>
    <col min="12054" max="12054" width="9" style="2" bestFit="1"/>
    <col min="12055" max="12056" width="11.125" style="2" bestFit="1" customWidth="1"/>
    <col min="12057" max="12057" width="9.625" style="2" bestFit="1" customWidth="1"/>
    <col min="12058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 bestFit="1"/>
    <col min="12299" max="12309" width="11.125" style="2" bestFit="1" customWidth="1"/>
    <col min="12310" max="12310" width="9" style="2" bestFit="1"/>
    <col min="12311" max="12312" width="11.125" style="2" bestFit="1" customWidth="1"/>
    <col min="12313" max="12313" width="9.625" style="2" bestFit="1" customWidth="1"/>
    <col min="12314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 bestFit="1"/>
    <col min="12555" max="12565" width="11.125" style="2" bestFit="1" customWidth="1"/>
    <col min="12566" max="12566" width="9" style="2" bestFit="1"/>
    <col min="12567" max="12568" width="11.125" style="2" bestFit="1" customWidth="1"/>
    <col min="12569" max="12569" width="9.625" style="2" bestFit="1" customWidth="1"/>
    <col min="12570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 bestFit="1"/>
    <col min="12811" max="12821" width="11.125" style="2" bestFit="1" customWidth="1"/>
    <col min="12822" max="12822" width="9" style="2" bestFit="1"/>
    <col min="12823" max="12824" width="11.125" style="2" bestFit="1" customWidth="1"/>
    <col min="12825" max="12825" width="9.625" style="2" bestFit="1" customWidth="1"/>
    <col min="12826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 bestFit="1"/>
    <col min="13067" max="13077" width="11.125" style="2" bestFit="1" customWidth="1"/>
    <col min="13078" max="13078" width="9" style="2" bestFit="1"/>
    <col min="13079" max="13080" width="11.125" style="2" bestFit="1" customWidth="1"/>
    <col min="13081" max="13081" width="9.625" style="2" bestFit="1" customWidth="1"/>
    <col min="13082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 bestFit="1"/>
    <col min="13323" max="13333" width="11.125" style="2" bestFit="1" customWidth="1"/>
    <col min="13334" max="13334" width="9" style="2" bestFit="1"/>
    <col min="13335" max="13336" width="11.125" style="2" bestFit="1" customWidth="1"/>
    <col min="13337" max="13337" width="9.625" style="2" bestFit="1" customWidth="1"/>
    <col min="13338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 bestFit="1"/>
    <col min="13579" max="13589" width="11.125" style="2" bestFit="1" customWidth="1"/>
    <col min="13590" max="13590" width="9" style="2" bestFit="1"/>
    <col min="13591" max="13592" width="11.125" style="2" bestFit="1" customWidth="1"/>
    <col min="13593" max="13593" width="9.625" style="2" bestFit="1" customWidth="1"/>
    <col min="13594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 bestFit="1"/>
    <col min="13835" max="13845" width="11.125" style="2" bestFit="1" customWidth="1"/>
    <col min="13846" max="13846" width="9" style="2" bestFit="1"/>
    <col min="13847" max="13848" width="11.125" style="2" bestFit="1" customWidth="1"/>
    <col min="13849" max="13849" width="9.625" style="2" bestFit="1" customWidth="1"/>
    <col min="13850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 bestFit="1"/>
    <col min="14091" max="14101" width="11.125" style="2" bestFit="1" customWidth="1"/>
    <col min="14102" max="14102" width="9" style="2" bestFit="1"/>
    <col min="14103" max="14104" width="11.125" style="2" bestFit="1" customWidth="1"/>
    <col min="14105" max="14105" width="9.625" style="2" bestFit="1" customWidth="1"/>
    <col min="14106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 bestFit="1"/>
    <col min="14347" max="14357" width="11.125" style="2" bestFit="1" customWidth="1"/>
    <col min="14358" max="14358" width="9" style="2" bestFit="1"/>
    <col min="14359" max="14360" width="11.125" style="2" bestFit="1" customWidth="1"/>
    <col min="14361" max="14361" width="9.625" style="2" bestFit="1" customWidth="1"/>
    <col min="14362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 bestFit="1"/>
    <col min="14603" max="14613" width="11.125" style="2" bestFit="1" customWidth="1"/>
    <col min="14614" max="14614" width="9" style="2" bestFit="1"/>
    <col min="14615" max="14616" width="11.125" style="2" bestFit="1" customWidth="1"/>
    <col min="14617" max="14617" width="9.625" style="2" bestFit="1" customWidth="1"/>
    <col min="14618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 bestFit="1"/>
    <col min="14859" max="14869" width="11.125" style="2" bestFit="1" customWidth="1"/>
    <col min="14870" max="14870" width="9" style="2" bestFit="1"/>
    <col min="14871" max="14872" width="11.125" style="2" bestFit="1" customWidth="1"/>
    <col min="14873" max="14873" width="9.625" style="2" bestFit="1" customWidth="1"/>
    <col min="14874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 bestFit="1"/>
    <col min="15115" max="15125" width="11.125" style="2" bestFit="1" customWidth="1"/>
    <col min="15126" max="15126" width="9" style="2" bestFit="1"/>
    <col min="15127" max="15128" width="11.125" style="2" bestFit="1" customWidth="1"/>
    <col min="15129" max="15129" width="9.625" style="2" bestFit="1" customWidth="1"/>
    <col min="15130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 bestFit="1"/>
    <col min="15371" max="15381" width="11.125" style="2" bestFit="1" customWidth="1"/>
    <col min="15382" max="15382" width="9" style="2" bestFit="1"/>
    <col min="15383" max="15384" width="11.125" style="2" bestFit="1" customWidth="1"/>
    <col min="15385" max="15385" width="9.625" style="2" bestFit="1" customWidth="1"/>
    <col min="15386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 bestFit="1"/>
    <col min="15627" max="15637" width="11.125" style="2" bestFit="1" customWidth="1"/>
    <col min="15638" max="15638" width="9" style="2" bestFit="1"/>
    <col min="15639" max="15640" width="11.125" style="2" bestFit="1" customWidth="1"/>
    <col min="15641" max="15641" width="9.625" style="2" bestFit="1" customWidth="1"/>
    <col min="15642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 bestFit="1"/>
    <col min="15883" max="15893" width="11.125" style="2" bestFit="1" customWidth="1"/>
    <col min="15894" max="15894" width="9" style="2" bestFit="1"/>
    <col min="15895" max="15896" width="11.125" style="2" bestFit="1" customWidth="1"/>
    <col min="15897" max="15897" width="9.625" style="2" bestFit="1" customWidth="1"/>
    <col min="15898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 bestFit="1"/>
    <col min="16139" max="16149" width="11.125" style="2" bestFit="1" customWidth="1"/>
    <col min="16150" max="16150" width="9" style="2" bestFit="1"/>
    <col min="16151" max="16152" width="11.125" style="2" bestFit="1" customWidth="1"/>
    <col min="16153" max="16153" width="9.625" style="2" bestFit="1" customWidth="1"/>
    <col min="16154" max="16384" width="9" style="2"/>
  </cols>
  <sheetData>
    <row r="1" spans="1:25">
      <c r="A1" s="1" t="s">
        <v>0</v>
      </c>
    </row>
    <row r="2" spans="1:25">
      <c r="A2" s="1"/>
    </row>
    <row r="3" spans="1:25">
      <c r="A3" s="1" t="s">
        <v>1</v>
      </c>
    </row>
    <row r="4" spans="1:25">
      <c r="A4" s="1" t="s">
        <v>2</v>
      </c>
    </row>
    <row r="5" spans="1:25">
      <c r="A5" s="1" t="s">
        <v>3</v>
      </c>
    </row>
    <row r="6" spans="1:25" ht="19.5" thickBot="1">
      <c r="A6" s="1" t="s">
        <v>4</v>
      </c>
    </row>
    <row r="7" spans="1:25">
      <c r="B7" s="7"/>
      <c r="C7" s="10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3" t="s">
        <v>19</v>
      </c>
      <c r="R7" s="58" t="s">
        <v>20</v>
      </c>
      <c r="S7" s="4" t="s">
        <v>21</v>
      </c>
      <c r="T7" s="4" t="s">
        <v>22</v>
      </c>
      <c r="U7" s="11" t="s">
        <v>23</v>
      </c>
      <c r="V7" s="59" t="s">
        <v>20</v>
      </c>
      <c r="W7" s="43" t="s">
        <v>24</v>
      </c>
      <c r="X7" s="58" t="s">
        <v>20</v>
      </c>
      <c r="Y7" s="59" t="s">
        <v>25</v>
      </c>
    </row>
    <row r="8" spans="1:25" ht="19.5" thickBot="1">
      <c r="A8" s="3"/>
      <c r="B8" s="18" t="s">
        <v>26</v>
      </c>
      <c r="C8" s="19" t="s">
        <v>27</v>
      </c>
      <c r="D8" s="20" t="s">
        <v>28</v>
      </c>
      <c r="E8" s="20" t="s">
        <v>29</v>
      </c>
      <c r="F8" s="20" t="s">
        <v>30</v>
      </c>
      <c r="G8" s="20" t="s">
        <v>31</v>
      </c>
      <c r="H8" s="20" t="s">
        <v>32</v>
      </c>
      <c r="I8" s="20" t="s">
        <v>33</v>
      </c>
      <c r="J8" s="20" t="s">
        <v>34</v>
      </c>
      <c r="K8" s="20" t="s">
        <v>35</v>
      </c>
      <c r="L8" s="20" t="s">
        <v>36</v>
      </c>
      <c r="M8" s="20" t="s">
        <v>37</v>
      </c>
      <c r="N8" s="20" t="s">
        <v>38</v>
      </c>
      <c r="O8" s="20" t="s">
        <v>39</v>
      </c>
      <c r="P8" s="20" t="s">
        <v>40</v>
      </c>
      <c r="Q8" s="44" t="s">
        <v>41</v>
      </c>
      <c r="R8" s="51" t="s">
        <v>42</v>
      </c>
      <c r="S8" s="20" t="s">
        <v>43</v>
      </c>
      <c r="T8" s="20" t="s">
        <v>44</v>
      </c>
      <c r="U8" s="21" t="s">
        <v>45</v>
      </c>
      <c r="V8" s="22" t="s">
        <v>46</v>
      </c>
      <c r="W8" s="44" t="s">
        <v>47</v>
      </c>
      <c r="X8" s="51" t="s">
        <v>48</v>
      </c>
      <c r="Y8" s="22" t="s">
        <v>49</v>
      </c>
    </row>
    <row r="9" spans="1:25">
      <c r="A9" s="1" t="s">
        <v>3</v>
      </c>
      <c r="B9" s="13" t="s">
        <v>50</v>
      </c>
      <c r="C9" s="14">
        <v>59000</v>
      </c>
      <c r="D9" s="15">
        <v>59000</v>
      </c>
      <c r="E9" s="15">
        <v>83000</v>
      </c>
      <c r="F9" s="15">
        <v>83000</v>
      </c>
      <c r="G9" s="15">
        <v>83000</v>
      </c>
      <c r="H9" s="15">
        <v>59000</v>
      </c>
      <c r="I9" s="15">
        <v>71000</v>
      </c>
      <c r="J9" s="15">
        <v>53000</v>
      </c>
      <c r="K9" s="15">
        <v>83000</v>
      </c>
      <c r="L9" s="15">
        <v>83000</v>
      </c>
      <c r="M9" s="15">
        <v>83000</v>
      </c>
      <c r="N9" s="15">
        <v>71000</v>
      </c>
      <c r="O9" s="15">
        <v>59000</v>
      </c>
      <c r="P9" s="15">
        <v>53000</v>
      </c>
      <c r="Q9" s="45">
        <v>59000</v>
      </c>
      <c r="R9" s="52">
        <f>SUM(C9:Q9)</f>
        <v>1041000</v>
      </c>
      <c r="S9" s="15">
        <v>360000</v>
      </c>
      <c r="T9" s="15">
        <v>120000</v>
      </c>
      <c r="U9" s="16">
        <v>35334</v>
      </c>
      <c r="V9" s="17">
        <f>SUM(S9:U9)</f>
        <v>515334</v>
      </c>
      <c r="W9" s="45">
        <v>380000</v>
      </c>
      <c r="X9" s="52">
        <f>W9</f>
        <v>380000</v>
      </c>
      <c r="Y9" s="17">
        <f>R9+V9+X9</f>
        <v>1936334</v>
      </c>
    </row>
    <row r="10" spans="1:25">
      <c r="A10" s="1" t="s">
        <v>3</v>
      </c>
      <c r="B10" s="8" t="s">
        <v>51</v>
      </c>
      <c r="C10" s="12">
        <v>0</v>
      </c>
      <c r="D10" s="5">
        <v>0</v>
      </c>
      <c r="E10" s="5">
        <v>30000</v>
      </c>
      <c r="F10" s="5">
        <v>30000</v>
      </c>
      <c r="G10" s="5">
        <v>0</v>
      </c>
      <c r="H10" s="5">
        <v>0</v>
      </c>
      <c r="I10" s="5">
        <v>15000</v>
      </c>
      <c r="J10" s="5">
        <v>0</v>
      </c>
      <c r="K10" s="5">
        <v>0</v>
      </c>
      <c r="L10" s="5">
        <v>0</v>
      </c>
      <c r="M10" s="5">
        <v>15000</v>
      </c>
      <c r="N10" s="5">
        <v>0</v>
      </c>
      <c r="O10" s="5">
        <v>0</v>
      </c>
      <c r="P10" s="5">
        <v>0</v>
      </c>
      <c r="Q10" s="46">
        <v>0</v>
      </c>
      <c r="R10" s="53">
        <f t="shared" ref="R10:R23" si="0">SUM(C10:Q10)</f>
        <v>90000</v>
      </c>
      <c r="S10" s="5">
        <v>0</v>
      </c>
      <c r="T10" s="5">
        <v>0</v>
      </c>
      <c r="U10" s="6">
        <v>0</v>
      </c>
      <c r="V10" s="9">
        <f t="shared" ref="V10:V23" si="1">SUM(S10:U10)</f>
        <v>0</v>
      </c>
      <c r="W10" s="46">
        <v>0</v>
      </c>
      <c r="X10" s="53">
        <f t="shared" ref="X10:X23" si="2">W10</f>
        <v>0</v>
      </c>
      <c r="Y10" s="9">
        <f t="shared" ref="Y10:Y23" si="3">R10+V10+X10</f>
        <v>90000</v>
      </c>
    </row>
    <row r="11" spans="1:25">
      <c r="A11" s="1" t="s">
        <v>3</v>
      </c>
      <c r="B11" s="23" t="s">
        <v>52</v>
      </c>
      <c r="C11" s="24">
        <v>0</v>
      </c>
      <c r="D11" s="25">
        <v>0</v>
      </c>
      <c r="E11" s="25">
        <v>3000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47">
        <v>0</v>
      </c>
      <c r="R11" s="54">
        <f t="shared" si="0"/>
        <v>3000</v>
      </c>
      <c r="S11" s="25">
        <v>0</v>
      </c>
      <c r="T11" s="25">
        <v>13000</v>
      </c>
      <c r="U11" s="26">
        <v>0</v>
      </c>
      <c r="V11" s="27">
        <f t="shared" si="1"/>
        <v>13000</v>
      </c>
      <c r="W11" s="47">
        <v>0</v>
      </c>
      <c r="X11" s="54">
        <f t="shared" si="2"/>
        <v>0</v>
      </c>
      <c r="Y11" s="27">
        <f t="shared" si="3"/>
        <v>16000</v>
      </c>
    </row>
    <row r="12" spans="1:25">
      <c r="A12" s="1" t="s">
        <v>3</v>
      </c>
      <c r="B12" s="28" t="s">
        <v>53</v>
      </c>
      <c r="C12" s="29">
        <v>59000</v>
      </c>
      <c r="D12" s="30">
        <v>59000</v>
      </c>
      <c r="E12" s="30">
        <v>116000</v>
      </c>
      <c r="F12" s="30">
        <v>113000</v>
      </c>
      <c r="G12" s="30">
        <v>83000</v>
      </c>
      <c r="H12" s="30">
        <v>59000</v>
      </c>
      <c r="I12" s="30">
        <v>86000</v>
      </c>
      <c r="J12" s="30">
        <v>53000</v>
      </c>
      <c r="K12" s="30">
        <v>83000</v>
      </c>
      <c r="L12" s="30">
        <v>83000</v>
      </c>
      <c r="M12" s="30">
        <v>98000</v>
      </c>
      <c r="N12" s="30">
        <v>71000</v>
      </c>
      <c r="O12" s="30">
        <v>59000</v>
      </c>
      <c r="P12" s="30">
        <v>53000</v>
      </c>
      <c r="Q12" s="48">
        <v>59000</v>
      </c>
      <c r="R12" s="55">
        <f t="shared" si="0"/>
        <v>1134000</v>
      </c>
      <c r="S12" s="30">
        <v>360000</v>
      </c>
      <c r="T12" s="30">
        <v>133000</v>
      </c>
      <c r="U12" s="31">
        <v>35334</v>
      </c>
      <c r="V12" s="32">
        <f t="shared" si="1"/>
        <v>528334</v>
      </c>
      <c r="W12" s="48">
        <v>380000</v>
      </c>
      <c r="X12" s="55">
        <f t="shared" si="2"/>
        <v>380000</v>
      </c>
      <c r="Y12" s="32">
        <f t="shared" si="3"/>
        <v>2042334</v>
      </c>
    </row>
    <row r="13" spans="1:25">
      <c r="A13" s="1" t="s">
        <v>3</v>
      </c>
      <c r="B13" s="28" t="s">
        <v>54</v>
      </c>
      <c r="C13" s="29">
        <v>59000</v>
      </c>
      <c r="D13" s="30">
        <v>59000</v>
      </c>
      <c r="E13" s="30">
        <v>116000</v>
      </c>
      <c r="F13" s="30">
        <v>113000</v>
      </c>
      <c r="G13" s="30">
        <v>83000</v>
      </c>
      <c r="H13" s="30">
        <v>59000</v>
      </c>
      <c r="I13" s="30">
        <v>86000</v>
      </c>
      <c r="J13" s="30">
        <v>53000</v>
      </c>
      <c r="K13" s="30">
        <v>83000</v>
      </c>
      <c r="L13" s="30">
        <v>83000</v>
      </c>
      <c r="M13" s="30">
        <v>98000</v>
      </c>
      <c r="N13" s="30">
        <v>71000</v>
      </c>
      <c r="O13" s="30">
        <v>59000</v>
      </c>
      <c r="P13" s="30">
        <v>53000</v>
      </c>
      <c r="Q13" s="48">
        <v>59000</v>
      </c>
      <c r="R13" s="55">
        <f t="shared" si="0"/>
        <v>1134000</v>
      </c>
      <c r="S13" s="30">
        <v>360000</v>
      </c>
      <c r="T13" s="30">
        <v>133000</v>
      </c>
      <c r="U13" s="31">
        <v>35334</v>
      </c>
      <c r="V13" s="32">
        <f t="shared" si="1"/>
        <v>528334</v>
      </c>
      <c r="W13" s="48">
        <v>380000</v>
      </c>
      <c r="X13" s="55">
        <f t="shared" si="2"/>
        <v>380000</v>
      </c>
      <c r="Y13" s="32">
        <f t="shared" si="3"/>
        <v>2042334</v>
      </c>
    </row>
    <row r="14" spans="1:25">
      <c r="A14" s="1" t="s">
        <v>3</v>
      </c>
      <c r="B14" s="13" t="s">
        <v>55</v>
      </c>
      <c r="C14" s="14">
        <v>3009</v>
      </c>
      <c r="D14" s="15">
        <v>3009</v>
      </c>
      <c r="E14" s="15">
        <v>5916</v>
      </c>
      <c r="F14" s="15">
        <v>5763</v>
      </c>
      <c r="G14" s="15">
        <v>4233</v>
      </c>
      <c r="H14" s="15">
        <v>3009</v>
      </c>
      <c r="I14" s="15">
        <v>4386</v>
      </c>
      <c r="J14" s="15">
        <v>2703</v>
      </c>
      <c r="K14" s="15">
        <v>4233</v>
      </c>
      <c r="L14" s="15">
        <v>4233</v>
      </c>
      <c r="M14" s="15">
        <v>4998</v>
      </c>
      <c r="N14" s="15">
        <v>3621</v>
      </c>
      <c r="O14" s="15">
        <v>3009</v>
      </c>
      <c r="P14" s="15">
        <v>2703</v>
      </c>
      <c r="Q14" s="45">
        <v>3009</v>
      </c>
      <c r="R14" s="52">
        <f t="shared" si="0"/>
        <v>57834</v>
      </c>
      <c r="S14" s="15">
        <v>18360</v>
      </c>
      <c r="T14" s="15">
        <v>6783</v>
      </c>
      <c r="U14" s="16">
        <v>1785</v>
      </c>
      <c r="V14" s="17">
        <f t="shared" si="1"/>
        <v>26928</v>
      </c>
      <c r="W14" s="45">
        <v>19380</v>
      </c>
      <c r="X14" s="52">
        <f t="shared" si="2"/>
        <v>19380</v>
      </c>
      <c r="Y14" s="17">
        <f t="shared" si="3"/>
        <v>104142</v>
      </c>
    </row>
    <row r="15" spans="1:25">
      <c r="A15" s="1" t="s">
        <v>3</v>
      </c>
      <c r="B15" s="8" t="s">
        <v>56</v>
      </c>
      <c r="C15" s="12">
        <v>531</v>
      </c>
      <c r="D15" s="5">
        <v>531</v>
      </c>
      <c r="E15" s="5">
        <v>0</v>
      </c>
      <c r="F15" s="5">
        <v>1017</v>
      </c>
      <c r="G15" s="5">
        <v>0</v>
      </c>
      <c r="H15" s="5">
        <v>531</v>
      </c>
      <c r="I15" s="5">
        <v>774</v>
      </c>
      <c r="J15" s="5">
        <v>477</v>
      </c>
      <c r="K15" s="5">
        <v>747</v>
      </c>
      <c r="L15" s="5">
        <v>747</v>
      </c>
      <c r="M15" s="5">
        <v>882</v>
      </c>
      <c r="N15" s="5">
        <v>639</v>
      </c>
      <c r="O15" s="5">
        <v>531</v>
      </c>
      <c r="P15" s="5">
        <v>477</v>
      </c>
      <c r="Q15" s="46">
        <v>531</v>
      </c>
      <c r="R15" s="53">
        <f t="shared" si="0"/>
        <v>8415</v>
      </c>
      <c r="S15" s="5">
        <v>3240</v>
      </c>
      <c r="T15" s="5">
        <v>1197</v>
      </c>
      <c r="U15" s="6">
        <v>0</v>
      </c>
      <c r="V15" s="9">
        <f t="shared" si="1"/>
        <v>4437</v>
      </c>
      <c r="W15" s="46">
        <v>3420</v>
      </c>
      <c r="X15" s="53">
        <f t="shared" si="2"/>
        <v>3420</v>
      </c>
      <c r="Y15" s="9">
        <f t="shared" si="3"/>
        <v>16272</v>
      </c>
    </row>
    <row r="16" spans="1:25">
      <c r="A16" s="1" t="s">
        <v>3</v>
      </c>
      <c r="B16" s="8" t="s">
        <v>57</v>
      </c>
      <c r="C16" s="12">
        <v>5398</v>
      </c>
      <c r="D16" s="5">
        <v>5398</v>
      </c>
      <c r="E16" s="5">
        <v>10614</v>
      </c>
      <c r="F16" s="5">
        <v>10339</v>
      </c>
      <c r="G16" s="5">
        <v>7594</v>
      </c>
      <c r="H16" s="5">
        <v>5398</v>
      </c>
      <c r="I16" s="5">
        <v>7869</v>
      </c>
      <c r="J16" s="5">
        <v>4849</v>
      </c>
      <c r="K16" s="5">
        <v>7594</v>
      </c>
      <c r="L16" s="5">
        <v>7594</v>
      </c>
      <c r="M16" s="5">
        <v>8967</v>
      </c>
      <c r="N16" s="5">
        <v>6496</v>
      </c>
      <c r="O16" s="5">
        <v>5398</v>
      </c>
      <c r="P16" s="5">
        <v>4849</v>
      </c>
      <c r="Q16" s="46">
        <v>5398</v>
      </c>
      <c r="R16" s="53">
        <f t="shared" si="0"/>
        <v>103755</v>
      </c>
      <c r="S16" s="5">
        <v>32940</v>
      </c>
      <c r="T16" s="5">
        <v>12169</v>
      </c>
      <c r="U16" s="6">
        <v>3202</v>
      </c>
      <c r="V16" s="9">
        <f t="shared" si="1"/>
        <v>48311</v>
      </c>
      <c r="W16" s="46">
        <v>34770</v>
      </c>
      <c r="X16" s="53">
        <f t="shared" si="2"/>
        <v>34770</v>
      </c>
      <c r="Y16" s="9">
        <f t="shared" si="3"/>
        <v>186836</v>
      </c>
    </row>
    <row r="17" spans="1:25">
      <c r="A17" s="1" t="s">
        <v>3</v>
      </c>
      <c r="B17" s="23" t="s">
        <v>58</v>
      </c>
      <c r="C17" s="24">
        <v>324</v>
      </c>
      <c r="D17" s="25">
        <v>324</v>
      </c>
      <c r="E17" s="25">
        <v>638</v>
      </c>
      <c r="F17" s="25">
        <v>621</v>
      </c>
      <c r="G17" s="25">
        <v>456</v>
      </c>
      <c r="H17" s="25">
        <v>324</v>
      </c>
      <c r="I17" s="25">
        <v>473</v>
      </c>
      <c r="J17" s="25">
        <v>291</v>
      </c>
      <c r="K17" s="25">
        <v>456</v>
      </c>
      <c r="L17" s="25">
        <v>456</v>
      </c>
      <c r="M17" s="25">
        <v>539</v>
      </c>
      <c r="N17" s="25">
        <v>390</v>
      </c>
      <c r="O17" s="25">
        <v>324</v>
      </c>
      <c r="P17" s="25">
        <v>291</v>
      </c>
      <c r="Q17" s="47">
        <v>324</v>
      </c>
      <c r="R17" s="54">
        <f t="shared" si="0"/>
        <v>6231</v>
      </c>
      <c r="S17" s="25">
        <v>1980</v>
      </c>
      <c r="T17" s="25">
        <v>731</v>
      </c>
      <c r="U17" s="26">
        <v>194</v>
      </c>
      <c r="V17" s="27">
        <f t="shared" si="1"/>
        <v>2905</v>
      </c>
      <c r="W17" s="47">
        <v>2090</v>
      </c>
      <c r="X17" s="54">
        <f t="shared" si="2"/>
        <v>2090</v>
      </c>
      <c r="Y17" s="27">
        <f t="shared" si="3"/>
        <v>11226</v>
      </c>
    </row>
    <row r="18" spans="1:25">
      <c r="A18" s="1" t="s">
        <v>3</v>
      </c>
      <c r="B18" s="28" t="s">
        <v>59</v>
      </c>
      <c r="C18" s="29">
        <v>49738</v>
      </c>
      <c r="D18" s="30">
        <v>49738</v>
      </c>
      <c r="E18" s="30">
        <v>98832</v>
      </c>
      <c r="F18" s="30">
        <v>95260</v>
      </c>
      <c r="G18" s="30">
        <v>70717</v>
      </c>
      <c r="H18" s="30">
        <v>49738</v>
      </c>
      <c r="I18" s="30">
        <v>72498</v>
      </c>
      <c r="J18" s="30">
        <v>44680</v>
      </c>
      <c r="K18" s="30">
        <v>69970</v>
      </c>
      <c r="L18" s="30">
        <v>69970</v>
      </c>
      <c r="M18" s="30">
        <v>82614</v>
      </c>
      <c r="N18" s="30">
        <v>59854</v>
      </c>
      <c r="O18" s="30">
        <v>49738</v>
      </c>
      <c r="P18" s="30">
        <v>44680</v>
      </c>
      <c r="Q18" s="48">
        <v>49738</v>
      </c>
      <c r="R18" s="55">
        <f t="shared" si="0"/>
        <v>957765</v>
      </c>
      <c r="S18" s="30">
        <v>303480</v>
      </c>
      <c r="T18" s="30">
        <v>112120</v>
      </c>
      <c r="U18" s="31">
        <v>30153</v>
      </c>
      <c r="V18" s="32">
        <f t="shared" si="1"/>
        <v>445753</v>
      </c>
      <c r="W18" s="48">
        <v>320340</v>
      </c>
      <c r="X18" s="55">
        <f t="shared" si="2"/>
        <v>320340</v>
      </c>
      <c r="Y18" s="32">
        <f t="shared" si="3"/>
        <v>1723858</v>
      </c>
    </row>
    <row r="19" spans="1:25">
      <c r="A19" s="1" t="s">
        <v>3</v>
      </c>
      <c r="B19" s="33" t="s">
        <v>60</v>
      </c>
      <c r="C19" s="34">
        <v>2031</v>
      </c>
      <c r="D19" s="35">
        <v>3046</v>
      </c>
      <c r="E19" s="35">
        <v>6054</v>
      </c>
      <c r="F19" s="35">
        <v>7780</v>
      </c>
      <c r="G19" s="35">
        <v>4332</v>
      </c>
      <c r="H19" s="35">
        <v>3046</v>
      </c>
      <c r="I19" s="35">
        <v>4441</v>
      </c>
      <c r="J19" s="35">
        <v>2737</v>
      </c>
      <c r="K19" s="35">
        <v>4286</v>
      </c>
      <c r="L19" s="35">
        <v>4286</v>
      </c>
      <c r="M19" s="35">
        <v>3373</v>
      </c>
      <c r="N19" s="35">
        <v>3666</v>
      </c>
      <c r="O19" s="35">
        <v>3046</v>
      </c>
      <c r="P19" s="35">
        <v>2737</v>
      </c>
      <c r="Q19" s="49">
        <v>3046</v>
      </c>
      <c r="R19" s="56">
        <f t="shared" si="0"/>
        <v>57907</v>
      </c>
      <c r="S19" s="35">
        <v>18591</v>
      </c>
      <c r="T19" s="35">
        <v>9157</v>
      </c>
      <c r="U19" s="36">
        <v>1231</v>
      </c>
      <c r="V19" s="37">
        <f t="shared" si="1"/>
        <v>28979</v>
      </c>
      <c r="W19" s="49">
        <v>26165</v>
      </c>
      <c r="X19" s="56">
        <f t="shared" si="2"/>
        <v>26165</v>
      </c>
      <c r="Y19" s="37">
        <f t="shared" si="3"/>
        <v>113051</v>
      </c>
    </row>
    <row r="20" spans="1:25">
      <c r="A20" s="1" t="s">
        <v>3</v>
      </c>
      <c r="B20" s="28" t="s">
        <v>61</v>
      </c>
      <c r="C20" s="29">
        <v>9262</v>
      </c>
      <c r="D20" s="30">
        <v>9262</v>
      </c>
      <c r="E20" s="30">
        <v>17168</v>
      </c>
      <c r="F20" s="30">
        <v>17740</v>
      </c>
      <c r="G20" s="30">
        <v>12283</v>
      </c>
      <c r="H20" s="30">
        <v>9262</v>
      </c>
      <c r="I20" s="30">
        <v>13502</v>
      </c>
      <c r="J20" s="30">
        <v>8320</v>
      </c>
      <c r="K20" s="30">
        <v>13030</v>
      </c>
      <c r="L20" s="30">
        <v>13030</v>
      </c>
      <c r="M20" s="30">
        <v>15386</v>
      </c>
      <c r="N20" s="30">
        <v>11146</v>
      </c>
      <c r="O20" s="30">
        <v>9262</v>
      </c>
      <c r="P20" s="30">
        <v>8320</v>
      </c>
      <c r="Q20" s="48">
        <v>9262</v>
      </c>
      <c r="R20" s="55">
        <f t="shared" si="0"/>
        <v>176235</v>
      </c>
      <c r="S20" s="30">
        <v>56520</v>
      </c>
      <c r="T20" s="30">
        <v>20880</v>
      </c>
      <c r="U20" s="31">
        <v>5181</v>
      </c>
      <c r="V20" s="32">
        <f t="shared" si="1"/>
        <v>82581</v>
      </c>
      <c r="W20" s="48">
        <v>59660</v>
      </c>
      <c r="X20" s="55">
        <f t="shared" si="2"/>
        <v>59660</v>
      </c>
      <c r="Y20" s="32">
        <f t="shared" si="3"/>
        <v>318476</v>
      </c>
    </row>
    <row r="21" spans="1:25">
      <c r="A21" s="1" t="s">
        <v>3</v>
      </c>
      <c r="B21" s="28" t="s">
        <v>62</v>
      </c>
      <c r="C21" s="29">
        <v>47707</v>
      </c>
      <c r="D21" s="30">
        <v>46692</v>
      </c>
      <c r="E21" s="30">
        <v>92778</v>
      </c>
      <c r="F21" s="30">
        <v>87480</v>
      </c>
      <c r="G21" s="30">
        <v>66385</v>
      </c>
      <c r="H21" s="30">
        <v>46692</v>
      </c>
      <c r="I21" s="30">
        <v>68057</v>
      </c>
      <c r="J21" s="30">
        <v>41943</v>
      </c>
      <c r="K21" s="30">
        <v>65684</v>
      </c>
      <c r="L21" s="30">
        <v>65684</v>
      </c>
      <c r="M21" s="30">
        <v>79241</v>
      </c>
      <c r="N21" s="30">
        <v>56188</v>
      </c>
      <c r="O21" s="30">
        <v>46692</v>
      </c>
      <c r="P21" s="30">
        <v>41943</v>
      </c>
      <c r="Q21" s="48">
        <v>46692</v>
      </c>
      <c r="R21" s="55">
        <f t="shared" si="0"/>
        <v>899858</v>
      </c>
      <c r="S21" s="30">
        <v>284889</v>
      </c>
      <c r="T21" s="30">
        <v>102963</v>
      </c>
      <c r="U21" s="31">
        <v>28922</v>
      </c>
      <c r="V21" s="32">
        <f t="shared" si="1"/>
        <v>416774</v>
      </c>
      <c r="W21" s="48">
        <v>294175</v>
      </c>
      <c r="X21" s="55">
        <f t="shared" si="2"/>
        <v>294175</v>
      </c>
      <c r="Y21" s="32">
        <f t="shared" si="3"/>
        <v>1610807</v>
      </c>
    </row>
    <row r="22" spans="1:25">
      <c r="A22" s="1" t="s">
        <v>3</v>
      </c>
      <c r="B22" s="28" t="s">
        <v>63</v>
      </c>
      <c r="C22" s="29">
        <v>47707</v>
      </c>
      <c r="D22" s="30">
        <v>46692</v>
      </c>
      <c r="E22" s="30">
        <v>92778</v>
      </c>
      <c r="F22" s="30">
        <v>87480</v>
      </c>
      <c r="G22" s="30">
        <v>66385</v>
      </c>
      <c r="H22" s="30">
        <v>46692</v>
      </c>
      <c r="I22" s="30">
        <v>68057</v>
      </c>
      <c r="J22" s="30">
        <v>41943</v>
      </c>
      <c r="K22" s="30">
        <v>65684</v>
      </c>
      <c r="L22" s="30">
        <v>65684</v>
      </c>
      <c r="M22" s="30">
        <v>79241</v>
      </c>
      <c r="N22" s="30">
        <v>56188</v>
      </c>
      <c r="O22" s="30">
        <v>46692</v>
      </c>
      <c r="P22" s="30">
        <v>41943</v>
      </c>
      <c r="Q22" s="48">
        <v>46692</v>
      </c>
      <c r="R22" s="55">
        <f t="shared" si="0"/>
        <v>899858</v>
      </c>
      <c r="S22" s="30">
        <v>284889</v>
      </c>
      <c r="T22" s="30">
        <v>102963</v>
      </c>
      <c r="U22" s="31">
        <v>28922</v>
      </c>
      <c r="V22" s="32">
        <f t="shared" si="1"/>
        <v>416774</v>
      </c>
      <c r="W22" s="48">
        <v>294175</v>
      </c>
      <c r="X22" s="55">
        <f t="shared" si="2"/>
        <v>294175</v>
      </c>
      <c r="Y22" s="32">
        <f t="shared" si="3"/>
        <v>1610807</v>
      </c>
    </row>
    <row r="23" spans="1:25" ht="19.5" thickBot="1">
      <c r="A23" s="1" t="s">
        <v>3</v>
      </c>
      <c r="B23" s="38" t="s">
        <v>64</v>
      </c>
      <c r="C23" s="39">
        <v>2031</v>
      </c>
      <c r="D23" s="40">
        <v>3046</v>
      </c>
      <c r="E23" s="40">
        <v>6054</v>
      </c>
      <c r="F23" s="40">
        <v>7780</v>
      </c>
      <c r="G23" s="40">
        <v>4332</v>
      </c>
      <c r="H23" s="40">
        <v>3046</v>
      </c>
      <c r="I23" s="40">
        <v>4441</v>
      </c>
      <c r="J23" s="40">
        <v>2737</v>
      </c>
      <c r="K23" s="40">
        <v>4286</v>
      </c>
      <c r="L23" s="40">
        <v>4286</v>
      </c>
      <c r="M23" s="40">
        <v>3373</v>
      </c>
      <c r="N23" s="40">
        <v>3666</v>
      </c>
      <c r="O23" s="40">
        <v>3046</v>
      </c>
      <c r="P23" s="40">
        <v>2737</v>
      </c>
      <c r="Q23" s="50">
        <v>3046</v>
      </c>
      <c r="R23" s="57">
        <f t="shared" si="0"/>
        <v>57907</v>
      </c>
      <c r="S23" s="40">
        <v>18591</v>
      </c>
      <c r="T23" s="40">
        <v>9157</v>
      </c>
      <c r="U23" s="41">
        <v>1231</v>
      </c>
      <c r="V23" s="42">
        <f t="shared" si="1"/>
        <v>28979</v>
      </c>
      <c r="W23" s="50">
        <v>26165</v>
      </c>
      <c r="X23" s="57">
        <f t="shared" si="2"/>
        <v>26165</v>
      </c>
      <c r="Y23" s="42">
        <f t="shared" si="3"/>
        <v>113051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F576-EC8D-4DC2-B3BD-12BD8399743D}">
  <dimension ref="A1:I23"/>
  <sheetViews>
    <sheetView showZeros="0" workbookViewId="0">
      <pane xSplit="2" ySplit="8" topLeftCell="C9" activePane="bottomRight" state="frozen"/>
      <selection pane="bottomRight" activeCell="I10" sqref="I10:I2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5" width="11.125" style="2" bestFit="1" customWidth="1"/>
    <col min="6" max="6" width="9.625" style="2" bestFit="1" customWidth="1"/>
    <col min="7" max="7" width="11.125" style="2" bestFit="1" customWidth="1"/>
    <col min="8" max="9" width="9.625" style="2" bestFit="1" customWidth="1"/>
    <col min="10" max="243" width="9" style="2"/>
    <col min="244" max="244" width="2.375" style="2" customWidth="1"/>
    <col min="245" max="245" width="13.25" style="2" bestFit="1" customWidth="1"/>
    <col min="246" max="247" width="11.125" style="2" bestFit="1" customWidth="1"/>
    <col min="248" max="248" width="13.25" style="2" bestFit="1" customWidth="1"/>
    <col min="249" max="249" width="11.125" style="2" bestFit="1" customWidth="1"/>
    <col min="250" max="250" width="9" style="2"/>
    <col min="251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499" width="9" style="2"/>
    <col min="500" max="500" width="2.375" style="2" customWidth="1"/>
    <col min="501" max="501" width="13.25" style="2" bestFit="1" customWidth="1"/>
    <col min="502" max="503" width="11.125" style="2" bestFit="1" customWidth="1"/>
    <col min="504" max="504" width="13.25" style="2" bestFit="1" customWidth="1"/>
    <col min="505" max="505" width="11.125" style="2" bestFit="1" customWidth="1"/>
    <col min="506" max="506" width="9" style="2"/>
    <col min="507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55" width="9" style="2"/>
    <col min="756" max="756" width="2.375" style="2" customWidth="1"/>
    <col min="757" max="757" width="13.25" style="2" bestFit="1" customWidth="1"/>
    <col min="758" max="759" width="11.125" style="2" bestFit="1" customWidth="1"/>
    <col min="760" max="760" width="13.25" style="2" bestFit="1" customWidth="1"/>
    <col min="761" max="761" width="11.125" style="2" bestFit="1" customWidth="1"/>
    <col min="762" max="762" width="9" style="2"/>
    <col min="763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11" width="9" style="2"/>
    <col min="1012" max="1012" width="2.375" style="2" customWidth="1"/>
    <col min="1013" max="1013" width="13.25" style="2" bestFit="1" customWidth="1"/>
    <col min="1014" max="1015" width="11.125" style="2" bestFit="1" customWidth="1"/>
    <col min="1016" max="1016" width="13.25" style="2" bestFit="1" customWidth="1"/>
    <col min="1017" max="1017" width="11.125" style="2" bestFit="1" customWidth="1"/>
    <col min="1018" max="1018" width="9" style="2"/>
    <col min="1019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67" width="9" style="2"/>
    <col min="1268" max="1268" width="2.375" style="2" customWidth="1"/>
    <col min="1269" max="1269" width="13.25" style="2" bestFit="1" customWidth="1"/>
    <col min="1270" max="1271" width="11.125" style="2" bestFit="1" customWidth="1"/>
    <col min="1272" max="1272" width="13.25" style="2" bestFit="1" customWidth="1"/>
    <col min="1273" max="1273" width="11.125" style="2" bestFit="1" customWidth="1"/>
    <col min="1274" max="1274" width="9" style="2"/>
    <col min="1275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23" width="9" style="2"/>
    <col min="1524" max="1524" width="2.375" style="2" customWidth="1"/>
    <col min="1525" max="1525" width="13.25" style="2" bestFit="1" customWidth="1"/>
    <col min="1526" max="1527" width="11.125" style="2" bestFit="1" customWidth="1"/>
    <col min="1528" max="1528" width="13.25" style="2" bestFit="1" customWidth="1"/>
    <col min="1529" max="1529" width="11.125" style="2" bestFit="1" customWidth="1"/>
    <col min="1530" max="1530" width="9" style="2"/>
    <col min="1531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79" width="9" style="2"/>
    <col min="1780" max="1780" width="2.375" style="2" customWidth="1"/>
    <col min="1781" max="1781" width="13.25" style="2" bestFit="1" customWidth="1"/>
    <col min="1782" max="1783" width="11.125" style="2" bestFit="1" customWidth="1"/>
    <col min="1784" max="1784" width="13.25" style="2" bestFit="1" customWidth="1"/>
    <col min="1785" max="1785" width="11.125" style="2" bestFit="1" customWidth="1"/>
    <col min="1786" max="1786" width="9" style="2"/>
    <col min="1787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35" width="9" style="2"/>
    <col min="2036" max="2036" width="2.375" style="2" customWidth="1"/>
    <col min="2037" max="2037" width="13.25" style="2" bestFit="1" customWidth="1"/>
    <col min="2038" max="2039" width="11.125" style="2" bestFit="1" customWidth="1"/>
    <col min="2040" max="2040" width="13.25" style="2" bestFit="1" customWidth="1"/>
    <col min="2041" max="2041" width="11.125" style="2" bestFit="1" customWidth="1"/>
    <col min="2042" max="2042" width="9" style="2"/>
    <col min="2043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291" width="9" style="2"/>
    <col min="2292" max="2292" width="2.375" style="2" customWidth="1"/>
    <col min="2293" max="2293" width="13.25" style="2" bestFit="1" customWidth="1"/>
    <col min="2294" max="2295" width="11.125" style="2" bestFit="1" customWidth="1"/>
    <col min="2296" max="2296" width="13.25" style="2" bestFit="1" customWidth="1"/>
    <col min="2297" max="2297" width="11.125" style="2" bestFit="1" customWidth="1"/>
    <col min="2298" max="2298" width="9" style="2"/>
    <col min="2299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47" width="9" style="2"/>
    <col min="2548" max="2548" width="2.375" style="2" customWidth="1"/>
    <col min="2549" max="2549" width="13.25" style="2" bestFit="1" customWidth="1"/>
    <col min="2550" max="2551" width="11.125" style="2" bestFit="1" customWidth="1"/>
    <col min="2552" max="2552" width="13.25" style="2" bestFit="1" customWidth="1"/>
    <col min="2553" max="2553" width="11.125" style="2" bestFit="1" customWidth="1"/>
    <col min="2554" max="2554" width="9" style="2"/>
    <col min="2555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03" width="9" style="2"/>
    <col min="2804" max="2804" width="2.375" style="2" customWidth="1"/>
    <col min="2805" max="2805" width="13.25" style="2" bestFit="1" customWidth="1"/>
    <col min="2806" max="2807" width="11.125" style="2" bestFit="1" customWidth="1"/>
    <col min="2808" max="2808" width="13.25" style="2" bestFit="1" customWidth="1"/>
    <col min="2809" max="2809" width="11.125" style="2" bestFit="1" customWidth="1"/>
    <col min="2810" max="2810" width="9" style="2"/>
    <col min="2811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59" width="9" style="2"/>
    <col min="3060" max="3060" width="2.375" style="2" customWidth="1"/>
    <col min="3061" max="3061" width="13.25" style="2" bestFit="1" customWidth="1"/>
    <col min="3062" max="3063" width="11.125" style="2" bestFit="1" customWidth="1"/>
    <col min="3064" max="3064" width="13.25" style="2" bestFit="1" customWidth="1"/>
    <col min="3065" max="3065" width="11.125" style="2" bestFit="1" customWidth="1"/>
    <col min="3066" max="3066" width="9" style="2"/>
    <col min="3067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15" width="9" style="2"/>
    <col min="3316" max="3316" width="2.375" style="2" customWidth="1"/>
    <col min="3317" max="3317" width="13.25" style="2" bestFit="1" customWidth="1"/>
    <col min="3318" max="3319" width="11.125" style="2" bestFit="1" customWidth="1"/>
    <col min="3320" max="3320" width="13.25" style="2" bestFit="1" customWidth="1"/>
    <col min="3321" max="3321" width="11.125" style="2" bestFit="1" customWidth="1"/>
    <col min="3322" max="3322" width="9" style="2"/>
    <col min="3323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71" width="9" style="2"/>
    <col min="3572" max="3572" width="2.375" style="2" customWidth="1"/>
    <col min="3573" max="3573" width="13.25" style="2" bestFit="1" customWidth="1"/>
    <col min="3574" max="3575" width="11.125" style="2" bestFit="1" customWidth="1"/>
    <col min="3576" max="3576" width="13.25" style="2" bestFit="1" customWidth="1"/>
    <col min="3577" max="3577" width="11.125" style="2" bestFit="1" customWidth="1"/>
    <col min="3578" max="3578" width="9" style="2"/>
    <col min="3579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27" width="9" style="2"/>
    <col min="3828" max="3828" width="2.375" style="2" customWidth="1"/>
    <col min="3829" max="3829" width="13.25" style="2" bestFit="1" customWidth="1"/>
    <col min="3830" max="3831" width="11.125" style="2" bestFit="1" customWidth="1"/>
    <col min="3832" max="3832" width="13.25" style="2" bestFit="1" customWidth="1"/>
    <col min="3833" max="3833" width="11.125" style="2" bestFit="1" customWidth="1"/>
    <col min="3834" max="3834" width="9" style="2"/>
    <col min="3835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83" width="9" style="2"/>
    <col min="4084" max="4084" width="2.375" style="2" customWidth="1"/>
    <col min="4085" max="4085" width="13.25" style="2" bestFit="1" customWidth="1"/>
    <col min="4086" max="4087" width="11.125" style="2" bestFit="1" customWidth="1"/>
    <col min="4088" max="4088" width="13.25" style="2" bestFit="1" customWidth="1"/>
    <col min="4089" max="4089" width="11.125" style="2" bestFit="1" customWidth="1"/>
    <col min="4090" max="4090" width="9" style="2"/>
    <col min="4091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39" width="9" style="2"/>
    <col min="4340" max="4340" width="2.375" style="2" customWidth="1"/>
    <col min="4341" max="4341" width="13.25" style="2" bestFit="1" customWidth="1"/>
    <col min="4342" max="4343" width="11.125" style="2" bestFit="1" customWidth="1"/>
    <col min="4344" max="4344" width="13.25" style="2" bestFit="1" customWidth="1"/>
    <col min="4345" max="4345" width="11.125" style="2" bestFit="1" customWidth="1"/>
    <col min="4346" max="4346" width="9" style="2"/>
    <col min="4347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595" width="9" style="2"/>
    <col min="4596" max="4596" width="2.375" style="2" customWidth="1"/>
    <col min="4597" max="4597" width="13.25" style="2" bestFit="1" customWidth="1"/>
    <col min="4598" max="4599" width="11.125" style="2" bestFit="1" customWidth="1"/>
    <col min="4600" max="4600" width="13.25" style="2" bestFit="1" customWidth="1"/>
    <col min="4601" max="4601" width="11.125" style="2" bestFit="1" customWidth="1"/>
    <col min="4602" max="4602" width="9" style="2"/>
    <col min="4603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51" width="9" style="2"/>
    <col min="4852" max="4852" width="2.375" style="2" customWidth="1"/>
    <col min="4853" max="4853" width="13.25" style="2" bestFit="1" customWidth="1"/>
    <col min="4854" max="4855" width="11.125" style="2" bestFit="1" customWidth="1"/>
    <col min="4856" max="4856" width="13.25" style="2" bestFit="1" customWidth="1"/>
    <col min="4857" max="4857" width="11.125" style="2" bestFit="1" customWidth="1"/>
    <col min="4858" max="4858" width="9" style="2"/>
    <col min="4859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07" width="9" style="2"/>
    <col min="5108" max="5108" width="2.375" style="2" customWidth="1"/>
    <col min="5109" max="5109" width="13.25" style="2" bestFit="1" customWidth="1"/>
    <col min="5110" max="5111" width="11.125" style="2" bestFit="1" customWidth="1"/>
    <col min="5112" max="5112" width="13.25" style="2" bestFit="1" customWidth="1"/>
    <col min="5113" max="5113" width="11.125" style="2" bestFit="1" customWidth="1"/>
    <col min="5114" max="5114" width="9" style="2"/>
    <col min="5115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63" width="9" style="2"/>
    <col min="5364" max="5364" width="2.375" style="2" customWidth="1"/>
    <col min="5365" max="5365" width="13.25" style="2" bestFit="1" customWidth="1"/>
    <col min="5366" max="5367" width="11.125" style="2" bestFit="1" customWidth="1"/>
    <col min="5368" max="5368" width="13.25" style="2" bestFit="1" customWidth="1"/>
    <col min="5369" max="5369" width="11.125" style="2" bestFit="1" customWidth="1"/>
    <col min="5370" max="5370" width="9" style="2"/>
    <col min="5371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19" width="9" style="2"/>
    <col min="5620" max="5620" width="2.375" style="2" customWidth="1"/>
    <col min="5621" max="5621" width="13.25" style="2" bestFit="1" customWidth="1"/>
    <col min="5622" max="5623" width="11.125" style="2" bestFit="1" customWidth="1"/>
    <col min="5624" max="5624" width="13.25" style="2" bestFit="1" customWidth="1"/>
    <col min="5625" max="5625" width="11.125" style="2" bestFit="1" customWidth="1"/>
    <col min="5626" max="5626" width="9" style="2"/>
    <col min="5627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75" width="9" style="2"/>
    <col min="5876" max="5876" width="2.375" style="2" customWidth="1"/>
    <col min="5877" max="5877" width="13.25" style="2" bestFit="1" customWidth="1"/>
    <col min="5878" max="5879" width="11.125" style="2" bestFit="1" customWidth="1"/>
    <col min="5880" max="5880" width="13.25" style="2" bestFit="1" customWidth="1"/>
    <col min="5881" max="5881" width="11.125" style="2" bestFit="1" customWidth="1"/>
    <col min="5882" max="5882" width="9" style="2"/>
    <col min="5883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31" width="9" style="2"/>
    <col min="6132" max="6132" width="2.375" style="2" customWidth="1"/>
    <col min="6133" max="6133" width="13.25" style="2" bestFit="1" customWidth="1"/>
    <col min="6134" max="6135" width="11.125" style="2" bestFit="1" customWidth="1"/>
    <col min="6136" max="6136" width="13.25" style="2" bestFit="1" customWidth="1"/>
    <col min="6137" max="6137" width="11.125" style="2" bestFit="1" customWidth="1"/>
    <col min="6138" max="6138" width="9" style="2"/>
    <col min="6139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387" width="9" style="2"/>
    <col min="6388" max="6388" width="2.375" style="2" customWidth="1"/>
    <col min="6389" max="6389" width="13.25" style="2" bestFit="1" customWidth="1"/>
    <col min="6390" max="6391" width="11.125" style="2" bestFit="1" customWidth="1"/>
    <col min="6392" max="6392" width="13.25" style="2" bestFit="1" customWidth="1"/>
    <col min="6393" max="6393" width="11.125" style="2" bestFit="1" customWidth="1"/>
    <col min="6394" max="6394" width="9" style="2"/>
    <col min="6395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43" width="9" style="2"/>
    <col min="6644" max="6644" width="2.375" style="2" customWidth="1"/>
    <col min="6645" max="6645" width="13.25" style="2" bestFit="1" customWidth="1"/>
    <col min="6646" max="6647" width="11.125" style="2" bestFit="1" customWidth="1"/>
    <col min="6648" max="6648" width="13.25" style="2" bestFit="1" customWidth="1"/>
    <col min="6649" max="6649" width="11.125" style="2" bestFit="1" customWidth="1"/>
    <col min="6650" max="6650" width="9" style="2"/>
    <col min="6651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899" width="9" style="2"/>
    <col min="6900" max="6900" width="2.375" style="2" customWidth="1"/>
    <col min="6901" max="6901" width="13.25" style="2" bestFit="1" customWidth="1"/>
    <col min="6902" max="6903" width="11.125" style="2" bestFit="1" customWidth="1"/>
    <col min="6904" max="6904" width="13.25" style="2" bestFit="1" customWidth="1"/>
    <col min="6905" max="6905" width="11.125" style="2" bestFit="1" customWidth="1"/>
    <col min="6906" max="6906" width="9" style="2"/>
    <col min="6907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55" width="9" style="2"/>
    <col min="7156" max="7156" width="2.375" style="2" customWidth="1"/>
    <col min="7157" max="7157" width="13.25" style="2" bestFit="1" customWidth="1"/>
    <col min="7158" max="7159" width="11.125" style="2" bestFit="1" customWidth="1"/>
    <col min="7160" max="7160" width="13.25" style="2" bestFit="1" customWidth="1"/>
    <col min="7161" max="7161" width="11.125" style="2" bestFit="1" customWidth="1"/>
    <col min="7162" max="7162" width="9" style="2"/>
    <col min="7163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11" width="9" style="2"/>
    <col min="7412" max="7412" width="2.375" style="2" customWidth="1"/>
    <col min="7413" max="7413" width="13.25" style="2" bestFit="1" customWidth="1"/>
    <col min="7414" max="7415" width="11.125" style="2" bestFit="1" customWidth="1"/>
    <col min="7416" max="7416" width="13.25" style="2" bestFit="1" customWidth="1"/>
    <col min="7417" max="7417" width="11.125" style="2" bestFit="1" customWidth="1"/>
    <col min="7418" max="7418" width="9" style="2"/>
    <col min="7419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67" width="9" style="2"/>
    <col min="7668" max="7668" width="2.375" style="2" customWidth="1"/>
    <col min="7669" max="7669" width="13.25" style="2" bestFit="1" customWidth="1"/>
    <col min="7670" max="7671" width="11.125" style="2" bestFit="1" customWidth="1"/>
    <col min="7672" max="7672" width="13.25" style="2" bestFit="1" customWidth="1"/>
    <col min="7673" max="7673" width="11.125" style="2" bestFit="1" customWidth="1"/>
    <col min="7674" max="7674" width="9" style="2"/>
    <col min="7675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23" width="9" style="2"/>
    <col min="7924" max="7924" width="2.375" style="2" customWidth="1"/>
    <col min="7925" max="7925" width="13.25" style="2" bestFit="1" customWidth="1"/>
    <col min="7926" max="7927" width="11.125" style="2" bestFit="1" customWidth="1"/>
    <col min="7928" max="7928" width="13.25" style="2" bestFit="1" customWidth="1"/>
    <col min="7929" max="7929" width="11.125" style="2" bestFit="1" customWidth="1"/>
    <col min="7930" max="7930" width="9" style="2"/>
    <col min="7931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79" width="9" style="2"/>
    <col min="8180" max="8180" width="2.375" style="2" customWidth="1"/>
    <col min="8181" max="8181" width="13.25" style="2" bestFit="1" customWidth="1"/>
    <col min="8182" max="8183" width="11.125" style="2" bestFit="1" customWidth="1"/>
    <col min="8184" max="8184" width="13.25" style="2" bestFit="1" customWidth="1"/>
    <col min="8185" max="8185" width="11.125" style="2" bestFit="1" customWidth="1"/>
    <col min="8186" max="8186" width="9" style="2"/>
    <col min="8187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35" width="9" style="2"/>
    <col min="8436" max="8436" width="2.375" style="2" customWidth="1"/>
    <col min="8437" max="8437" width="13.25" style="2" bestFit="1" customWidth="1"/>
    <col min="8438" max="8439" width="11.125" style="2" bestFit="1" customWidth="1"/>
    <col min="8440" max="8440" width="13.25" style="2" bestFit="1" customWidth="1"/>
    <col min="8441" max="8441" width="11.125" style="2" bestFit="1" customWidth="1"/>
    <col min="8442" max="8442" width="9" style="2"/>
    <col min="8443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691" width="9" style="2"/>
    <col min="8692" max="8692" width="2.375" style="2" customWidth="1"/>
    <col min="8693" max="8693" width="13.25" style="2" bestFit="1" customWidth="1"/>
    <col min="8694" max="8695" width="11.125" style="2" bestFit="1" customWidth="1"/>
    <col min="8696" max="8696" width="13.25" style="2" bestFit="1" customWidth="1"/>
    <col min="8697" max="8697" width="11.125" style="2" bestFit="1" customWidth="1"/>
    <col min="8698" max="8698" width="9" style="2"/>
    <col min="8699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47" width="9" style="2"/>
    <col min="8948" max="8948" width="2.375" style="2" customWidth="1"/>
    <col min="8949" max="8949" width="13.25" style="2" bestFit="1" customWidth="1"/>
    <col min="8950" max="8951" width="11.125" style="2" bestFit="1" customWidth="1"/>
    <col min="8952" max="8952" width="13.25" style="2" bestFit="1" customWidth="1"/>
    <col min="8953" max="8953" width="11.125" style="2" bestFit="1" customWidth="1"/>
    <col min="8954" max="8954" width="9" style="2"/>
    <col min="8955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03" width="9" style="2"/>
    <col min="9204" max="9204" width="2.375" style="2" customWidth="1"/>
    <col min="9205" max="9205" width="13.25" style="2" bestFit="1" customWidth="1"/>
    <col min="9206" max="9207" width="11.125" style="2" bestFit="1" customWidth="1"/>
    <col min="9208" max="9208" width="13.25" style="2" bestFit="1" customWidth="1"/>
    <col min="9209" max="9209" width="11.125" style="2" bestFit="1" customWidth="1"/>
    <col min="9210" max="9210" width="9" style="2"/>
    <col min="9211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59" width="9" style="2"/>
    <col min="9460" max="9460" width="2.375" style="2" customWidth="1"/>
    <col min="9461" max="9461" width="13.25" style="2" bestFit="1" customWidth="1"/>
    <col min="9462" max="9463" width="11.125" style="2" bestFit="1" customWidth="1"/>
    <col min="9464" max="9464" width="13.25" style="2" bestFit="1" customWidth="1"/>
    <col min="9465" max="9465" width="11.125" style="2" bestFit="1" customWidth="1"/>
    <col min="9466" max="9466" width="9" style="2"/>
    <col min="9467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15" width="9" style="2"/>
    <col min="9716" max="9716" width="2.375" style="2" customWidth="1"/>
    <col min="9717" max="9717" width="13.25" style="2" bestFit="1" customWidth="1"/>
    <col min="9718" max="9719" width="11.125" style="2" bestFit="1" customWidth="1"/>
    <col min="9720" max="9720" width="13.25" style="2" bestFit="1" customWidth="1"/>
    <col min="9721" max="9721" width="11.125" style="2" bestFit="1" customWidth="1"/>
    <col min="9722" max="9722" width="9" style="2"/>
    <col min="9723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71" width="9" style="2"/>
    <col min="9972" max="9972" width="2.375" style="2" customWidth="1"/>
    <col min="9973" max="9973" width="13.25" style="2" bestFit="1" customWidth="1"/>
    <col min="9974" max="9975" width="11.125" style="2" bestFit="1" customWidth="1"/>
    <col min="9976" max="9976" width="13.25" style="2" bestFit="1" customWidth="1"/>
    <col min="9977" max="9977" width="11.125" style="2" bestFit="1" customWidth="1"/>
    <col min="9978" max="9978" width="9" style="2"/>
    <col min="9979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27" width="9" style="2"/>
    <col min="10228" max="10228" width="2.375" style="2" customWidth="1"/>
    <col min="10229" max="10229" width="13.25" style="2" bestFit="1" customWidth="1"/>
    <col min="10230" max="10231" width="11.125" style="2" bestFit="1" customWidth="1"/>
    <col min="10232" max="10232" width="13.25" style="2" bestFit="1" customWidth="1"/>
    <col min="10233" max="10233" width="11.125" style="2" bestFit="1" customWidth="1"/>
    <col min="10234" max="10234" width="9" style="2"/>
    <col min="10235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83" width="9" style="2"/>
    <col min="10484" max="10484" width="2.375" style="2" customWidth="1"/>
    <col min="10485" max="10485" width="13.25" style="2" bestFit="1" customWidth="1"/>
    <col min="10486" max="10487" width="11.125" style="2" bestFit="1" customWidth="1"/>
    <col min="10488" max="10488" width="13.25" style="2" bestFit="1" customWidth="1"/>
    <col min="10489" max="10489" width="11.125" style="2" bestFit="1" customWidth="1"/>
    <col min="10490" max="10490" width="9" style="2"/>
    <col min="10491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39" width="9" style="2"/>
    <col min="10740" max="10740" width="2.375" style="2" customWidth="1"/>
    <col min="10741" max="10741" width="13.25" style="2" bestFit="1" customWidth="1"/>
    <col min="10742" max="10743" width="11.125" style="2" bestFit="1" customWidth="1"/>
    <col min="10744" max="10744" width="13.25" style="2" bestFit="1" customWidth="1"/>
    <col min="10745" max="10745" width="11.125" style="2" bestFit="1" customWidth="1"/>
    <col min="10746" max="10746" width="9" style="2"/>
    <col min="10747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0995" width="9" style="2"/>
    <col min="10996" max="10996" width="2.375" style="2" customWidth="1"/>
    <col min="10997" max="10997" width="13.25" style="2" bestFit="1" customWidth="1"/>
    <col min="10998" max="10999" width="11.125" style="2" bestFit="1" customWidth="1"/>
    <col min="11000" max="11000" width="13.25" style="2" bestFit="1" customWidth="1"/>
    <col min="11001" max="11001" width="11.125" style="2" bestFit="1" customWidth="1"/>
    <col min="11002" max="11002" width="9" style="2"/>
    <col min="11003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51" width="9" style="2"/>
    <col min="11252" max="11252" width="2.375" style="2" customWidth="1"/>
    <col min="11253" max="11253" width="13.25" style="2" bestFit="1" customWidth="1"/>
    <col min="11254" max="11255" width="11.125" style="2" bestFit="1" customWidth="1"/>
    <col min="11256" max="11256" width="13.25" style="2" bestFit="1" customWidth="1"/>
    <col min="11257" max="11257" width="11.125" style="2" bestFit="1" customWidth="1"/>
    <col min="11258" max="11258" width="9" style="2"/>
    <col min="11259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07" width="9" style="2"/>
    <col min="11508" max="11508" width="2.375" style="2" customWidth="1"/>
    <col min="11509" max="11509" width="13.25" style="2" bestFit="1" customWidth="1"/>
    <col min="11510" max="11511" width="11.125" style="2" bestFit="1" customWidth="1"/>
    <col min="11512" max="11512" width="13.25" style="2" bestFit="1" customWidth="1"/>
    <col min="11513" max="11513" width="11.125" style="2" bestFit="1" customWidth="1"/>
    <col min="11514" max="11514" width="9" style="2"/>
    <col min="11515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63" width="9" style="2"/>
    <col min="11764" max="11764" width="2.375" style="2" customWidth="1"/>
    <col min="11765" max="11765" width="13.25" style="2" bestFit="1" customWidth="1"/>
    <col min="11766" max="11767" width="11.125" style="2" bestFit="1" customWidth="1"/>
    <col min="11768" max="11768" width="13.25" style="2" bestFit="1" customWidth="1"/>
    <col min="11769" max="11769" width="11.125" style="2" bestFit="1" customWidth="1"/>
    <col min="11770" max="11770" width="9" style="2"/>
    <col min="11771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19" width="9" style="2"/>
    <col min="12020" max="12020" width="2.375" style="2" customWidth="1"/>
    <col min="12021" max="12021" width="13.25" style="2" bestFit="1" customWidth="1"/>
    <col min="12022" max="12023" width="11.125" style="2" bestFit="1" customWidth="1"/>
    <col min="12024" max="12024" width="13.25" style="2" bestFit="1" customWidth="1"/>
    <col min="12025" max="12025" width="11.125" style="2" bestFit="1" customWidth="1"/>
    <col min="12026" max="12026" width="9" style="2"/>
    <col min="12027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75" width="9" style="2"/>
    <col min="12276" max="12276" width="2.375" style="2" customWidth="1"/>
    <col min="12277" max="12277" width="13.25" style="2" bestFit="1" customWidth="1"/>
    <col min="12278" max="12279" width="11.125" style="2" bestFit="1" customWidth="1"/>
    <col min="12280" max="12280" width="13.25" style="2" bestFit="1" customWidth="1"/>
    <col min="12281" max="12281" width="11.125" style="2" bestFit="1" customWidth="1"/>
    <col min="12282" max="12282" width="9" style="2"/>
    <col min="12283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31" width="9" style="2"/>
    <col min="12532" max="12532" width="2.375" style="2" customWidth="1"/>
    <col min="12533" max="12533" width="13.25" style="2" bestFit="1" customWidth="1"/>
    <col min="12534" max="12535" width="11.125" style="2" bestFit="1" customWidth="1"/>
    <col min="12536" max="12536" width="13.25" style="2" bestFit="1" customWidth="1"/>
    <col min="12537" max="12537" width="11.125" style="2" bestFit="1" customWidth="1"/>
    <col min="12538" max="12538" width="9" style="2"/>
    <col min="12539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787" width="9" style="2"/>
    <col min="12788" max="12788" width="2.375" style="2" customWidth="1"/>
    <col min="12789" max="12789" width="13.25" style="2" bestFit="1" customWidth="1"/>
    <col min="12790" max="12791" width="11.125" style="2" bestFit="1" customWidth="1"/>
    <col min="12792" max="12792" width="13.25" style="2" bestFit="1" customWidth="1"/>
    <col min="12793" max="12793" width="11.125" style="2" bestFit="1" customWidth="1"/>
    <col min="12794" max="12794" width="9" style="2"/>
    <col min="12795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43" width="9" style="2"/>
    <col min="13044" max="13044" width="2.375" style="2" customWidth="1"/>
    <col min="13045" max="13045" width="13.25" style="2" bestFit="1" customWidth="1"/>
    <col min="13046" max="13047" width="11.125" style="2" bestFit="1" customWidth="1"/>
    <col min="13048" max="13048" width="13.25" style="2" bestFit="1" customWidth="1"/>
    <col min="13049" max="13049" width="11.125" style="2" bestFit="1" customWidth="1"/>
    <col min="13050" max="13050" width="9" style="2"/>
    <col min="13051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299" width="9" style="2"/>
    <col min="13300" max="13300" width="2.375" style="2" customWidth="1"/>
    <col min="13301" max="13301" width="13.25" style="2" bestFit="1" customWidth="1"/>
    <col min="13302" max="13303" width="11.125" style="2" bestFit="1" customWidth="1"/>
    <col min="13304" max="13304" width="13.25" style="2" bestFit="1" customWidth="1"/>
    <col min="13305" max="13305" width="11.125" style="2" bestFit="1" customWidth="1"/>
    <col min="13306" max="13306" width="9" style="2"/>
    <col min="13307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55" width="9" style="2"/>
    <col min="13556" max="13556" width="2.375" style="2" customWidth="1"/>
    <col min="13557" max="13557" width="13.25" style="2" bestFit="1" customWidth="1"/>
    <col min="13558" max="13559" width="11.125" style="2" bestFit="1" customWidth="1"/>
    <col min="13560" max="13560" width="13.25" style="2" bestFit="1" customWidth="1"/>
    <col min="13561" max="13561" width="11.125" style="2" bestFit="1" customWidth="1"/>
    <col min="13562" max="13562" width="9" style="2"/>
    <col min="13563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11" width="9" style="2"/>
    <col min="13812" max="13812" width="2.375" style="2" customWidth="1"/>
    <col min="13813" max="13813" width="13.25" style="2" bestFit="1" customWidth="1"/>
    <col min="13814" max="13815" width="11.125" style="2" bestFit="1" customWidth="1"/>
    <col min="13816" max="13816" width="13.25" style="2" bestFit="1" customWidth="1"/>
    <col min="13817" max="13817" width="11.125" style="2" bestFit="1" customWidth="1"/>
    <col min="13818" max="13818" width="9" style="2"/>
    <col min="13819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67" width="9" style="2"/>
    <col min="14068" max="14068" width="2.375" style="2" customWidth="1"/>
    <col min="14069" max="14069" width="13.25" style="2" bestFit="1" customWidth="1"/>
    <col min="14070" max="14071" width="11.125" style="2" bestFit="1" customWidth="1"/>
    <col min="14072" max="14072" width="13.25" style="2" bestFit="1" customWidth="1"/>
    <col min="14073" max="14073" width="11.125" style="2" bestFit="1" customWidth="1"/>
    <col min="14074" max="14074" width="9" style="2"/>
    <col min="14075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23" width="9" style="2"/>
    <col min="14324" max="14324" width="2.375" style="2" customWidth="1"/>
    <col min="14325" max="14325" width="13.25" style="2" bestFit="1" customWidth="1"/>
    <col min="14326" max="14327" width="11.125" style="2" bestFit="1" customWidth="1"/>
    <col min="14328" max="14328" width="13.25" style="2" bestFit="1" customWidth="1"/>
    <col min="14329" max="14329" width="11.125" style="2" bestFit="1" customWidth="1"/>
    <col min="14330" max="14330" width="9" style="2"/>
    <col min="14331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79" width="9" style="2"/>
    <col min="14580" max="14580" width="2.375" style="2" customWidth="1"/>
    <col min="14581" max="14581" width="13.25" style="2" bestFit="1" customWidth="1"/>
    <col min="14582" max="14583" width="11.125" style="2" bestFit="1" customWidth="1"/>
    <col min="14584" max="14584" width="13.25" style="2" bestFit="1" customWidth="1"/>
    <col min="14585" max="14585" width="11.125" style="2" bestFit="1" customWidth="1"/>
    <col min="14586" max="14586" width="9" style="2"/>
    <col min="14587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35" width="9" style="2"/>
    <col min="14836" max="14836" width="2.375" style="2" customWidth="1"/>
    <col min="14837" max="14837" width="13.25" style="2" bestFit="1" customWidth="1"/>
    <col min="14838" max="14839" width="11.125" style="2" bestFit="1" customWidth="1"/>
    <col min="14840" max="14840" width="13.25" style="2" bestFit="1" customWidth="1"/>
    <col min="14841" max="14841" width="11.125" style="2" bestFit="1" customWidth="1"/>
    <col min="14842" max="14842" width="9" style="2"/>
    <col min="14843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091" width="9" style="2"/>
    <col min="15092" max="15092" width="2.375" style="2" customWidth="1"/>
    <col min="15093" max="15093" width="13.25" style="2" bestFit="1" customWidth="1"/>
    <col min="15094" max="15095" width="11.125" style="2" bestFit="1" customWidth="1"/>
    <col min="15096" max="15096" width="13.25" style="2" bestFit="1" customWidth="1"/>
    <col min="15097" max="15097" width="11.125" style="2" bestFit="1" customWidth="1"/>
    <col min="15098" max="15098" width="9" style="2"/>
    <col min="15099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47" width="9" style="2"/>
    <col min="15348" max="15348" width="2.375" style="2" customWidth="1"/>
    <col min="15349" max="15349" width="13.25" style="2" bestFit="1" customWidth="1"/>
    <col min="15350" max="15351" width="11.125" style="2" bestFit="1" customWidth="1"/>
    <col min="15352" max="15352" width="13.25" style="2" bestFit="1" customWidth="1"/>
    <col min="15353" max="15353" width="11.125" style="2" bestFit="1" customWidth="1"/>
    <col min="15354" max="15354" width="9" style="2"/>
    <col min="15355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03" width="9" style="2"/>
    <col min="15604" max="15604" width="2.375" style="2" customWidth="1"/>
    <col min="15605" max="15605" width="13.25" style="2" bestFit="1" customWidth="1"/>
    <col min="15606" max="15607" width="11.125" style="2" bestFit="1" customWidth="1"/>
    <col min="15608" max="15608" width="13.25" style="2" bestFit="1" customWidth="1"/>
    <col min="15609" max="15609" width="11.125" style="2" bestFit="1" customWidth="1"/>
    <col min="15610" max="15610" width="9" style="2"/>
    <col min="15611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59" width="9" style="2"/>
    <col min="15860" max="15860" width="2.375" style="2" customWidth="1"/>
    <col min="15861" max="15861" width="13.25" style="2" bestFit="1" customWidth="1"/>
    <col min="15862" max="15863" width="11.125" style="2" bestFit="1" customWidth="1"/>
    <col min="15864" max="15864" width="13.25" style="2" bestFit="1" customWidth="1"/>
    <col min="15865" max="15865" width="11.125" style="2" bestFit="1" customWidth="1"/>
    <col min="15866" max="15866" width="9" style="2"/>
    <col min="15867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15" width="9" style="2"/>
    <col min="16116" max="16116" width="2.375" style="2" customWidth="1"/>
    <col min="16117" max="16117" width="13.25" style="2" bestFit="1" customWidth="1"/>
    <col min="16118" max="16119" width="11.125" style="2" bestFit="1" customWidth="1"/>
    <col min="16120" max="16120" width="13.25" style="2" bestFit="1" customWidth="1"/>
    <col min="16121" max="16121" width="11.125" style="2" bestFit="1" customWidth="1"/>
    <col min="16122" max="16122" width="9" style="2"/>
    <col min="16123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4</v>
      </c>
    </row>
    <row r="7" spans="1:9">
      <c r="B7" s="7"/>
      <c r="C7" s="4" t="s">
        <v>21</v>
      </c>
      <c r="D7" s="4" t="s">
        <v>22</v>
      </c>
      <c r="E7" s="11" t="s">
        <v>23</v>
      </c>
      <c r="F7" s="59" t="s">
        <v>20</v>
      </c>
      <c r="G7" s="43" t="s">
        <v>24</v>
      </c>
      <c r="H7" s="58" t="s">
        <v>20</v>
      </c>
      <c r="I7" s="59" t="s">
        <v>25</v>
      </c>
    </row>
    <row r="8" spans="1:9" ht="19.5" thickBot="1">
      <c r="A8" s="3"/>
      <c r="B8" s="18" t="s">
        <v>26</v>
      </c>
      <c r="C8" s="20" t="s">
        <v>43</v>
      </c>
      <c r="D8" s="20" t="s">
        <v>44</v>
      </c>
      <c r="E8" s="21" t="s">
        <v>45</v>
      </c>
      <c r="F8" s="22" t="s">
        <v>46</v>
      </c>
      <c r="G8" s="44" t="s">
        <v>47</v>
      </c>
      <c r="H8" s="51" t="s">
        <v>48</v>
      </c>
      <c r="I8" s="22" t="s">
        <v>65</v>
      </c>
    </row>
    <row r="9" spans="1:9">
      <c r="A9" s="1" t="s">
        <v>3</v>
      </c>
      <c r="B9" s="13" t="s">
        <v>50</v>
      </c>
      <c r="C9" s="15">
        <v>360000</v>
      </c>
      <c r="D9" s="15">
        <v>120000</v>
      </c>
      <c r="E9" s="16">
        <v>35334</v>
      </c>
      <c r="F9" s="17">
        <f>SUM(C9:E9)</f>
        <v>515334</v>
      </c>
      <c r="G9" s="45">
        <v>380000</v>
      </c>
      <c r="H9" s="52">
        <f>G9</f>
        <v>380000</v>
      </c>
      <c r="I9" s="17">
        <f>F9+H9</f>
        <v>895334</v>
      </c>
    </row>
    <row r="10" spans="1:9">
      <c r="A10" s="1" t="s">
        <v>3</v>
      </c>
      <c r="B10" s="8" t="s">
        <v>51</v>
      </c>
      <c r="C10" s="5">
        <v>0</v>
      </c>
      <c r="D10" s="5">
        <v>0</v>
      </c>
      <c r="E10" s="6">
        <v>0</v>
      </c>
      <c r="F10" s="9">
        <f t="shared" ref="F10:F23" si="0">SUM(C10:E10)</f>
        <v>0</v>
      </c>
      <c r="G10" s="46">
        <v>0</v>
      </c>
      <c r="H10" s="53">
        <f t="shared" ref="H10:H23" si="1">G10</f>
        <v>0</v>
      </c>
      <c r="I10" s="9">
        <f t="shared" ref="I10:I23" si="2">F10+H10</f>
        <v>0</v>
      </c>
    </row>
    <row r="11" spans="1:9">
      <c r="A11" s="1" t="s">
        <v>3</v>
      </c>
      <c r="B11" s="23" t="s">
        <v>52</v>
      </c>
      <c r="C11" s="25">
        <v>0</v>
      </c>
      <c r="D11" s="25">
        <v>13000</v>
      </c>
      <c r="E11" s="26">
        <v>0</v>
      </c>
      <c r="F11" s="27">
        <f t="shared" si="0"/>
        <v>13000</v>
      </c>
      <c r="G11" s="47">
        <v>0</v>
      </c>
      <c r="H11" s="54">
        <f t="shared" si="1"/>
        <v>0</v>
      </c>
      <c r="I11" s="27">
        <f t="shared" si="2"/>
        <v>13000</v>
      </c>
    </row>
    <row r="12" spans="1:9">
      <c r="A12" s="1" t="s">
        <v>3</v>
      </c>
      <c r="B12" s="28" t="s">
        <v>53</v>
      </c>
      <c r="C12" s="30">
        <v>360000</v>
      </c>
      <c r="D12" s="30">
        <v>133000</v>
      </c>
      <c r="E12" s="31">
        <v>35334</v>
      </c>
      <c r="F12" s="32">
        <f t="shared" si="0"/>
        <v>528334</v>
      </c>
      <c r="G12" s="48">
        <v>380000</v>
      </c>
      <c r="H12" s="55">
        <f t="shared" si="1"/>
        <v>380000</v>
      </c>
      <c r="I12" s="32">
        <f t="shared" si="2"/>
        <v>908334</v>
      </c>
    </row>
    <row r="13" spans="1:9">
      <c r="A13" s="1" t="s">
        <v>3</v>
      </c>
      <c r="B13" s="28" t="s">
        <v>54</v>
      </c>
      <c r="C13" s="30">
        <v>360000</v>
      </c>
      <c r="D13" s="30">
        <v>133000</v>
      </c>
      <c r="E13" s="31">
        <v>35334</v>
      </c>
      <c r="F13" s="32">
        <f t="shared" si="0"/>
        <v>528334</v>
      </c>
      <c r="G13" s="48">
        <v>380000</v>
      </c>
      <c r="H13" s="55">
        <f t="shared" si="1"/>
        <v>380000</v>
      </c>
      <c r="I13" s="32">
        <f t="shared" si="2"/>
        <v>908334</v>
      </c>
    </row>
    <row r="14" spans="1:9">
      <c r="A14" s="1" t="s">
        <v>3</v>
      </c>
      <c r="B14" s="13" t="s">
        <v>55</v>
      </c>
      <c r="C14" s="15">
        <v>18360</v>
      </c>
      <c r="D14" s="15">
        <v>6783</v>
      </c>
      <c r="E14" s="16">
        <v>1785</v>
      </c>
      <c r="F14" s="17">
        <f t="shared" si="0"/>
        <v>26928</v>
      </c>
      <c r="G14" s="45">
        <v>19380</v>
      </c>
      <c r="H14" s="52">
        <f t="shared" si="1"/>
        <v>19380</v>
      </c>
      <c r="I14" s="17">
        <f t="shared" si="2"/>
        <v>46308</v>
      </c>
    </row>
    <row r="15" spans="1:9">
      <c r="A15" s="1" t="s">
        <v>3</v>
      </c>
      <c r="B15" s="8" t="s">
        <v>56</v>
      </c>
      <c r="C15" s="5">
        <v>3240</v>
      </c>
      <c r="D15" s="5">
        <v>1197</v>
      </c>
      <c r="E15" s="6">
        <v>0</v>
      </c>
      <c r="F15" s="9">
        <f t="shared" si="0"/>
        <v>4437</v>
      </c>
      <c r="G15" s="46">
        <v>3420</v>
      </c>
      <c r="H15" s="53">
        <f t="shared" si="1"/>
        <v>3420</v>
      </c>
      <c r="I15" s="9">
        <f t="shared" si="2"/>
        <v>7857</v>
      </c>
    </row>
    <row r="16" spans="1:9">
      <c r="A16" s="1" t="s">
        <v>3</v>
      </c>
      <c r="B16" s="8" t="s">
        <v>57</v>
      </c>
      <c r="C16" s="5">
        <v>32940</v>
      </c>
      <c r="D16" s="5">
        <v>12169</v>
      </c>
      <c r="E16" s="6">
        <v>3202</v>
      </c>
      <c r="F16" s="9">
        <f t="shared" si="0"/>
        <v>48311</v>
      </c>
      <c r="G16" s="46">
        <v>34770</v>
      </c>
      <c r="H16" s="53">
        <f t="shared" si="1"/>
        <v>34770</v>
      </c>
      <c r="I16" s="9">
        <f t="shared" si="2"/>
        <v>83081</v>
      </c>
    </row>
    <row r="17" spans="1:9">
      <c r="A17" s="1" t="s">
        <v>3</v>
      </c>
      <c r="B17" s="23" t="s">
        <v>58</v>
      </c>
      <c r="C17" s="25">
        <v>1980</v>
      </c>
      <c r="D17" s="25">
        <v>731</v>
      </c>
      <c r="E17" s="26">
        <v>194</v>
      </c>
      <c r="F17" s="27">
        <f t="shared" si="0"/>
        <v>2905</v>
      </c>
      <c r="G17" s="47">
        <v>2090</v>
      </c>
      <c r="H17" s="54">
        <f t="shared" si="1"/>
        <v>2090</v>
      </c>
      <c r="I17" s="27">
        <f t="shared" si="2"/>
        <v>4995</v>
      </c>
    </row>
    <row r="18" spans="1:9">
      <c r="A18" s="1" t="s">
        <v>3</v>
      </c>
      <c r="B18" s="28" t="s">
        <v>59</v>
      </c>
      <c r="C18" s="30">
        <v>303480</v>
      </c>
      <c r="D18" s="30">
        <v>112120</v>
      </c>
      <c r="E18" s="31">
        <v>30153</v>
      </c>
      <c r="F18" s="32">
        <f t="shared" si="0"/>
        <v>445753</v>
      </c>
      <c r="G18" s="48">
        <v>320340</v>
      </c>
      <c r="H18" s="55">
        <f t="shared" si="1"/>
        <v>320340</v>
      </c>
      <c r="I18" s="32">
        <f t="shared" si="2"/>
        <v>766093</v>
      </c>
    </row>
    <row r="19" spans="1:9">
      <c r="A19" s="1" t="s">
        <v>3</v>
      </c>
      <c r="B19" s="33" t="s">
        <v>60</v>
      </c>
      <c r="C19" s="35">
        <v>18591</v>
      </c>
      <c r="D19" s="35">
        <v>9157</v>
      </c>
      <c r="E19" s="36">
        <v>1231</v>
      </c>
      <c r="F19" s="37">
        <f t="shared" si="0"/>
        <v>28979</v>
      </c>
      <c r="G19" s="49">
        <v>26165</v>
      </c>
      <c r="H19" s="56">
        <f t="shared" si="1"/>
        <v>26165</v>
      </c>
      <c r="I19" s="37">
        <f t="shared" si="2"/>
        <v>55144</v>
      </c>
    </row>
    <row r="20" spans="1:9">
      <c r="A20" s="1" t="s">
        <v>3</v>
      </c>
      <c r="B20" s="28" t="s">
        <v>61</v>
      </c>
      <c r="C20" s="30">
        <v>56520</v>
      </c>
      <c r="D20" s="30">
        <v>20880</v>
      </c>
      <c r="E20" s="31">
        <v>5181</v>
      </c>
      <c r="F20" s="32">
        <f t="shared" si="0"/>
        <v>82581</v>
      </c>
      <c r="G20" s="48">
        <v>59660</v>
      </c>
      <c r="H20" s="55">
        <f t="shared" si="1"/>
        <v>59660</v>
      </c>
      <c r="I20" s="32">
        <f t="shared" si="2"/>
        <v>142241</v>
      </c>
    </row>
    <row r="21" spans="1:9">
      <c r="A21" s="1" t="s">
        <v>3</v>
      </c>
      <c r="B21" s="28" t="s">
        <v>62</v>
      </c>
      <c r="C21" s="30">
        <v>284889</v>
      </c>
      <c r="D21" s="30">
        <v>102963</v>
      </c>
      <c r="E21" s="31">
        <v>28922</v>
      </c>
      <c r="F21" s="32">
        <f t="shared" si="0"/>
        <v>416774</v>
      </c>
      <c r="G21" s="48">
        <v>294175</v>
      </c>
      <c r="H21" s="55">
        <f t="shared" si="1"/>
        <v>294175</v>
      </c>
      <c r="I21" s="32">
        <f t="shared" si="2"/>
        <v>710949</v>
      </c>
    </row>
    <row r="22" spans="1:9">
      <c r="A22" s="1" t="s">
        <v>3</v>
      </c>
      <c r="B22" s="28" t="s">
        <v>63</v>
      </c>
      <c r="C22" s="30">
        <v>284889</v>
      </c>
      <c r="D22" s="30">
        <v>102963</v>
      </c>
      <c r="E22" s="31">
        <v>28922</v>
      </c>
      <c r="F22" s="32">
        <f t="shared" si="0"/>
        <v>416774</v>
      </c>
      <c r="G22" s="48">
        <v>294175</v>
      </c>
      <c r="H22" s="55">
        <f t="shared" si="1"/>
        <v>294175</v>
      </c>
      <c r="I22" s="32">
        <f t="shared" si="2"/>
        <v>710949</v>
      </c>
    </row>
    <row r="23" spans="1:9" ht="19.5" thickBot="1">
      <c r="A23" s="1" t="s">
        <v>3</v>
      </c>
      <c r="B23" s="38" t="s">
        <v>64</v>
      </c>
      <c r="C23" s="40">
        <v>18591</v>
      </c>
      <c r="D23" s="40">
        <v>9157</v>
      </c>
      <c r="E23" s="41">
        <v>1231</v>
      </c>
      <c r="F23" s="42">
        <f t="shared" si="0"/>
        <v>28979</v>
      </c>
      <c r="G23" s="50">
        <v>26165</v>
      </c>
      <c r="H23" s="57">
        <f t="shared" si="1"/>
        <v>26165</v>
      </c>
      <c r="I23" s="42">
        <f t="shared" si="2"/>
        <v>55144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F880-EDCC-44FA-AFA8-D37928CE09CD}">
  <dimension ref="A1:R23"/>
  <sheetViews>
    <sheetView showZeros="0" workbookViewId="0">
      <pane xSplit="2" ySplit="8" topLeftCell="C9" activePane="bottomRight" state="frozen"/>
      <selection pane="bottomRight" activeCell="S1" sqref="S1:Y1048576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.625" style="2" bestFit="1" customWidth="1"/>
    <col min="19" max="252" width="9" style="2"/>
    <col min="253" max="253" width="2.375" style="2" customWidth="1"/>
    <col min="254" max="254" width="13.25" style="2" bestFit="1" customWidth="1"/>
    <col min="255" max="256" width="11.125" style="2" bestFit="1" customWidth="1"/>
    <col min="257" max="257" width="13.25" style="2" bestFit="1" customWidth="1"/>
    <col min="258" max="258" width="11.125" style="2" bestFit="1" customWidth="1"/>
    <col min="259" max="259" width="9" style="2"/>
    <col min="260" max="270" width="11.125" style="2" bestFit="1" customWidth="1"/>
    <col min="271" max="271" width="9" style="2"/>
    <col min="272" max="273" width="11.125" style="2" bestFit="1" customWidth="1"/>
    <col min="274" max="274" width="9.625" style="2" bestFit="1" customWidth="1"/>
    <col min="275" max="508" width="9" style="2"/>
    <col min="509" max="509" width="2.375" style="2" customWidth="1"/>
    <col min="510" max="510" width="13.25" style="2" bestFit="1" customWidth="1"/>
    <col min="511" max="512" width="11.125" style="2" bestFit="1" customWidth="1"/>
    <col min="513" max="513" width="13.25" style="2" bestFit="1" customWidth="1"/>
    <col min="514" max="514" width="11.125" style="2" bestFit="1" customWidth="1"/>
    <col min="515" max="515" width="9" style="2"/>
    <col min="516" max="526" width="11.125" style="2" bestFit="1" customWidth="1"/>
    <col min="527" max="527" width="9" style="2"/>
    <col min="528" max="529" width="11.125" style="2" bestFit="1" customWidth="1"/>
    <col min="530" max="530" width="9.625" style="2" bestFit="1" customWidth="1"/>
    <col min="531" max="764" width="9" style="2"/>
    <col min="765" max="765" width="2.375" style="2" customWidth="1"/>
    <col min="766" max="766" width="13.25" style="2" bestFit="1" customWidth="1"/>
    <col min="767" max="768" width="11.125" style="2" bestFit="1" customWidth="1"/>
    <col min="769" max="769" width="13.25" style="2" bestFit="1" customWidth="1"/>
    <col min="770" max="770" width="11.125" style="2" bestFit="1" customWidth="1"/>
    <col min="771" max="771" width="9" style="2"/>
    <col min="772" max="782" width="11.125" style="2" bestFit="1" customWidth="1"/>
    <col min="783" max="783" width="9" style="2"/>
    <col min="784" max="785" width="11.125" style="2" bestFit="1" customWidth="1"/>
    <col min="786" max="786" width="9.625" style="2" bestFit="1" customWidth="1"/>
    <col min="787" max="1020" width="9" style="2"/>
    <col min="1021" max="1021" width="2.375" style="2" customWidth="1"/>
    <col min="1022" max="1022" width="13.25" style="2" bestFit="1" customWidth="1"/>
    <col min="1023" max="1024" width="11.125" style="2" bestFit="1" customWidth="1"/>
    <col min="1025" max="1025" width="13.25" style="2" bestFit="1" customWidth="1"/>
    <col min="1026" max="1026" width="11.125" style="2" bestFit="1" customWidth="1"/>
    <col min="1027" max="1027" width="9" style="2"/>
    <col min="1028" max="1038" width="11.125" style="2" bestFit="1" customWidth="1"/>
    <col min="1039" max="1039" width="9" style="2"/>
    <col min="1040" max="1041" width="11.125" style="2" bestFit="1" customWidth="1"/>
    <col min="1042" max="1042" width="9.625" style="2" bestFit="1" customWidth="1"/>
    <col min="1043" max="1276" width="9" style="2"/>
    <col min="1277" max="1277" width="2.375" style="2" customWidth="1"/>
    <col min="1278" max="1278" width="13.25" style="2" bestFit="1" customWidth="1"/>
    <col min="1279" max="1280" width="11.125" style="2" bestFit="1" customWidth="1"/>
    <col min="1281" max="1281" width="13.25" style="2" bestFit="1" customWidth="1"/>
    <col min="1282" max="1282" width="11.125" style="2" bestFit="1" customWidth="1"/>
    <col min="1283" max="1283" width="9" style="2"/>
    <col min="1284" max="1294" width="11.125" style="2" bestFit="1" customWidth="1"/>
    <col min="1295" max="1295" width="9" style="2"/>
    <col min="1296" max="1297" width="11.125" style="2" bestFit="1" customWidth="1"/>
    <col min="1298" max="1298" width="9.625" style="2" bestFit="1" customWidth="1"/>
    <col min="1299" max="1532" width="9" style="2"/>
    <col min="1533" max="1533" width="2.375" style="2" customWidth="1"/>
    <col min="1534" max="1534" width="13.25" style="2" bestFit="1" customWidth="1"/>
    <col min="1535" max="1536" width="11.125" style="2" bestFit="1" customWidth="1"/>
    <col min="1537" max="1537" width="13.25" style="2" bestFit="1" customWidth="1"/>
    <col min="1538" max="1538" width="11.125" style="2" bestFit="1" customWidth="1"/>
    <col min="1539" max="1539" width="9" style="2"/>
    <col min="1540" max="1550" width="11.125" style="2" bestFit="1" customWidth="1"/>
    <col min="1551" max="1551" width="9" style="2"/>
    <col min="1552" max="1553" width="11.125" style="2" bestFit="1" customWidth="1"/>
    <col min="1554" max="1554" width="9.625" style="2" bestFit="1" customWidth="1"/>
    <col min="1555" max="1788" width="9" style="2"/>
    <col min="1789" max="1789" width="2.375" style="2" customWidth="1"/>
    <col min="1790" max="1790" width="13.25" style="2" bestFit="1" customWidth="1"/>
    <col min="1791" max="1792" width="11.125" style="2" bestFit="1" customWidth="1"/>
    <col min="1793" max="1793" width="13.25" style="2" bestFit="1" customWidth="1"/>
    <col min="1794" max="1794" width="11.125" style="2" bestFit="1" customWidth="1"/>
    <col min="1795" max="1795" width="9" style="2"/>
    <col min="1796" max="1806" width="11.125" style="2" bestFit="1" customWidth="1"/>
    <col min="1807" max="1807" width="9" style="2"/>
    <col min="1808" max="1809" width="11.125" style="2" bestFit="1" customWidth="1"/>
    <col min="1810" max="1810" width="9.625" style="2" bestFit="1" customWidth="1"/>
    <col min="1811" max="2044" width="9" style="2"/>
    <col min="2045" max="2045" width="2.375" style="2" customWidth="1"/>
    <col min="2046" max="2046" width="13.25" style="2" bestFit="1" customWidth="1"/>
    <col min="2047" max="2048" width="11.125" style="2" bestFit="1" customWidth="1"/>
    <col min="2049" max="2049" width="13.25" style="2" bestFit="1" customWidth="1"/>
    <col min="2050" max="2050" width="11.125" style="2" bestFit="1" customWidth="1"/>
    <col min="2051" max="2051" width="9" style="2"/>
    <col min="2052" max="2062" width="11.125" style="2" bestFit="1" customWidth="1"/>
    <col min="2063" max="2063" width="9" style="2"/>
    <col min="2064" max="2065" width="11.125" style="2" bestFit="1" customWidth="1"/>
    <col min="2066" max="2066" width="9.625" style="2" bestFit="1" customWidth="1"/>
    <col min="2067" max="2300" width="9" style="2"/>
    <col min="2301" max="2301" width="2.375" style="2" customWidth="1"/>
    <col min="2302" max="2302" width="13.25" style="2" bestFit="1" customWidth="1"/>
    <col min="2303" max="2304" width="11.125" style="2" bestFit="1" customWidth="1"/>
    <col min="2305" max="2305" width="13.25" style="2" bestFit="1" customWidth="1"/>
    <col min="2306" max="2306" width="11.125" style="2" bestFit="1" customWidth="1"/>
    <col min="2307" max="2307" width="9" style="2"/>
    <col min="2308" max="2318" width="11.125" style="2" bestFit="1" customWidth="1"/>
    <col min="2319" max="2319" width="9" style="2"/>
    <col min="2320" max="2321" width="11.125" style="2" bestFit="1" customWidth="1"/>
    <col min="2322" max="2322" width="9.625" style="2" bestFit="1" customWidth="1"/>
    <col min="2323" max="2556" width="9" style="2"/>
    <col min="2557" max="2557" width="2.375" style="2" customWidth="1"/>
    <col min="2558" max="2558" width="13.25" style="2" bestFit="1" customWidth="1"/>
    <col min="2559" max="2560" width="11.125" style="2" bestFit="1" customWidth="1"/>
    <col min="2561" max="2561" width="13.25" style="2" bestFit="1" customWidth="1"/>
    <col min="2562" max="2562" width="11.125" style="2" bestFit="1" customWidth="1"/>
    <col min="2563" max="2563" width="9" style="2"/>
    <col min="2564" max="2574" width="11.125" style="2" bestFit="1" customWidth="1"/>
    <col min="2575" max="2575" width="9" style="2"/>
    <col min="2576" max="2577" width="11.125" style="2" bestFit="1" customWidth="1"/>
    <col min="2578" max="2578" width="9.625" style="2" bestFit="1" customWidth="1"/>
    <col min="2579" max="2812" width="9" style="2"/>
    <col min="2813" max="2813" width="2.375" style="2" customWidth="1"/>
    <col min="2814" max="2814" width="13.25" style="2" bestFit="1" customWidth="1"/>
    <col min="2815" max="2816" width="11.125" style="2" bestFit="1" customWidth="1"/>
    <col min="2817" max="2817" width="13.25" style="2" bestFit="1" customWidth="1"/>
    <col min="2818" max="2818" width="11.125" style="2" bestFit="1" customWidth="1"/>
    <col min="2819" max="2819" width="9" style="2"/>
    <col min="2820" max="2830" width="11.125" style="2" bestFit="1" customWidth="1"/>
    <col min="2831" max="2831" width="9" style="2"/>
    <col min="2832" max="2833" width="11.125" style="2" bestFit="1" customWidth="1"/>
    <col min="2834" max="2834" width="9.625" style="2" bestFit="1" customWidth="1"/>
    <col min="2835" max="3068" width="9" style="2"/>
    <col min="3069" max="3069" width="2.375" style="2" customWidth="1"/>
    <col min="3070" max="3070" width="13.25" style="2" bestFit="1" customWidth="1"/>
    <col min="3071" max="3072" width="11.125" style="2" bestFit="1" customWidth="1"/>
    <col min="3073" max="3073" width="13.25" style="2" bestFit="1" customWidth="1"/>
    <col min="3074" max="3074" width="11.125" style="2" bestFit="1" customWidth="1"/>
    <col min="3075" max="3075" width="9" style="2"/>
    <col min="3076" max="3086" width="11.125" style="2" bestFit="1" customWidth="1"/>
    <col min="3087" max="3087" width="9" style="2"/>
    <col min="3088" max="3089" width="11.125" style="2" bestFit="1" customWidth="1"/>
    <col min="3090" max="3090" width="9.625" style="2" bestFit="1" customWidth="1"/>
    <col min="3091" max="3324" width="9" style="2"/>
    <col min="3325" max="3325" width="2.375" style="2" customWidth="1"/>
    <col min="3326" max="3326" width="13.25" style="2" bestFit="1" customWidth="1"/>
    <col min="3327" max="3328" width="11.125" style="2" bestFit="1" customWidth="1"/>
    <col min="3329" max="3329" width="13.25" style="2" bestFit="1" customWidth="1"/>
    <col min="3330" max="3330" width="11.125" style="2" bestFit="1" customWidth="1"/>
    <col min="3331" max="3331" width="9" style="2"/>
    <col min="3332" max="3342" width="11.125" style="2" bestFit="1" customWidth="1"/>
    <col min="3343" max="3343" width="9" style="2"/>
    <col min="3344" max="3345" width="11.125" style="2" bestFit="1" customWidth="1"/>
    <col min="3346" max="3346" width="9.625" style="2" bestFit="1" customWidth="1"/>
    <col min="3347" max="3580" width="9" style="2"/>
    <col min="3581" max="3581" width="2.375" style="2" customWidth="1"/>
    <col min="3582" max="3582" width="13.25" style="2" bestFit="1" customWidth="1"/>
    <col min="3583" max="3584" width="11.125" style="2" bestFit="1" customWidth="1"/>
    <col min="3585" max="3585" width="13.25" style="2" bestFit="1" customWidth="1"/>
    <col min="3586" max="3586" width="11.125" style="2" bestFit="1" customWidth="1"/>
    <col min="3587" max="3587" width="9" style="2"/>
    <col min="3588" max="3598" width="11.125" style="2" bestFit="1" customWidth="1"/>
    <col min="3599" max="3599" width="9" style="2"/>
    <col min="3600" max="3601" width="11.125" style="2" bestFit="1" customWidth="1"/>
    <col min="3602" max="3602" width="9.625" style="2" bestFit="1" customWidth="1"/>
    <col min="3603" max="3836" width="9" style="2"/>
    <col min="3837" max="3837" width="2.375" style="2" customWidth="1"/>
    <col min="3838" max="3838" width="13.25" style="2" bestFit="1" customWidth="1"/>
    <col min="3839" max="3840" width="11.125" style="2" bestFit="1" customWidth="1"/>
    <col min="3841" max="3841" width="13.25" style="2" bestFit="1" customWidth="1"/>
    <col min="3842" max="3842" width="11.125" style="2" bestFit="1" customWidth="1"/>
    <col min="3843" max="3843" width="9" style="2"/>
    <col min="3844" max="3854" width="11.125" style="2" bestFit="1" customWidth="1"/>
    <col min="3855" max="3855" width="9" style="2"/>
    <col min="3856" max="3857" width="11.125" style="2" bestFit="1" customWidth="1"/>
    <col min="3858" max="3858" width="9.625" style="2" bestFit="1" customWidth="1"/>
    <col min="3859" max="4092" width="9" style="2"/>
    <col min="4093" max="4093" width="2.375" style="2" customWidth="1"/>
    <col min="4094" max="4094" width="13.25" style="2" bestFit="1" customWidth="1"/>
    <col min="4095" max="4096" width="11.125" style="2" bestFit="1" customWidth="1"/>
    <col min="4097" max="4097" width="13.25" style="2" bestFit="1" customWidth="1"/>
    <col min="4098" max="4098" width="11.125" style="2" bestFit="1" customWidth="1"/>
    <col min="4099" max="4099" width="9" style="2"/>
    <col min="4100" max="4110" width="11.125" style="2" bestFit="1" customWidth="1"/>
    <col min="4111" max="4111" width="9" style="2"/>
    <col min="4112" max="4113" width="11.125" style="2" bestFit="1" customWidth="1"/>
    <col min="4114" max="4114" width="9.625" style="2" bestFit="1" customWidth="1"/>
    <col min="4115" max="4348" width="9" style="2"/>
    <col min="4349" max="4349" width="2.375" style="2" customWidth="1"/>
    <col min="4350" max="4350" width="13.25" style="2" bestFit="1" customWidth="1"/>
    <col min="4351" max="4352" width="11.125" style="2" bestFit="1" customWidth="1"/>
    <col min="4353" max="4353" width="13.25" style="2" bestFit="1" customWidth="1"/>
    <col min="4354" max="4354" width="11.125" style="2" bestFit="1" customWidth="1"/>
    <col min="4355" max="4355" width="9" style="2"/>
    <col min="4356" max="4366" width="11.125" style="2" bestFit="1" customWidth="1"/>
    <col min="4367" max="4367" width="9" style="2"/>
    <col min="4368" max="4369" width="11.125" style="2" bestFit="1" customWidth="1"/>
    <col min="4370" max="4370" width="9.625" style="2" bestFit="1" customWidth="1"/>
    <col min="4371" max="4604" width="9" style="2"/>
    <col min="4605" max="4605" width="2.375" style="2" customWidth="1"/>
    <col min="4606" max="4606" width="13.25" style="2" bestFit="1" customWidth="1"/>
    <col min="4607" max="4608" width="11.125" style="2" bestFit="1" customWidth="1"/>
    <col min="4609" max="4609" width="13.25" style="2" bestFit="1" customWidth="1"/>
    <col min="4610" max="4610" width="11.125" style="2" bestFit="1" customWidth="1"/>
    <col min="4611" max="4611" width="9" style="2"/>
    <col min="4612" max="4622" width="11.125" style="2" bestFit="1" customWidth="1"/>
    <col min="4623" max="4623" width="9" style="2"/>
    <col min="4624" max="4625" width="11.125" style="2" bestFit="1" customWidth="1"/>
    <col min="4626" max="4626" width="9.625" style="2" bestFit="1" customWidth="1"/>
    <col min="4627" max="4860" width="9" style="2"/>
    <col min="4861" max="4861" width="2.375" style="2" customWidth="1"/>
    <col min="4862" max="4862" width="13.25" style="2" bestFit="1" customWidth="1"/>
    <col min="4863" max="4864" width="11.125" style="2" bestFit="1" customWidth="1"/>
    <col min="4865" max="4865" width="13.25" style="2" bestFit="1" customWidth="1"/>
    <col min="4866" max="4866" width="11.125" style="2" bestFit="1" customWidth="1"/>
    <col min="4867" max="4867" width="9" style="2"/>
    <col min="4868" max="4878" width="11.125" style="2" bestFit="1" customWidth="1"/>
    <col min="4879" max="4879" width="9" style="2"/>
    <col min="4880" max="4881" width="11.125" style="2" bestFit="1" customWidth="1"/>
    <col min="4882" max="4882" width="9.625" style="2" bestFit="1" customWidth="1"/>
    <col min="4883" max="5116" width="9" style="2"/>
    <col min="5117" max="5117" width="2.375" style="2" customWidth="1"/>
    <col min="5118" max="5118" width="13.25" style="2" bestFit="1" customWidth="1"/>
    <col min="5119" max="5120" width="11.125" style="2" bestFit="1" customWidth="1"/>
    <col min="5121" max="5121" width="13.25" style="2" bestFit="1" customWidth="1"/>
    <col min="5122" max="5122" width="11.125" style="2" bestFit="1" customWidth="1"/>
    <col min="5123" max="5123" width="9" style="2"/>
    <col min="5124" max="5134" width="11.125" style="2" bestFit="1" customWidth="1"/>
    <col min="5135" max="5135" width="9" style="2"/>
    <col min="5136" max="5137" width="11.125" style="2" bestFit="1" customWidth="1"/>
    <col min="5138" max="5138" width="9.625" style="2" bestFit="1" customWidth="1"/>
    <col min="5139" max="5372" width="9" style="2"/>
    <col min="5373" max="5373" width="2.375" style="2" customWidth="1"/>
    <col min="5374" max="5374" width="13.25" style="2" bestFit="1" customWidth="1"/>
    <col min="5375" max="5376" width="11.125" style="2" bestFit="1" customWidth="1"/>
    <col min="5377" max="5377" width="13.25" style="2" bestFit="1" customWidth="1"/>
    <col min="5378" max="5378" width="11.125" style="2" bestFit="1" customWidth="1"/>
    <col min="5379" max="5379" width="9" style="2"/>
    <col min="5380" max="5390" width="11.125" style="2" bestFit="1" customWidth="1"/>
    <col min="5391" max="5391" width="9" style="2"/>
    <col min="5392" max="5393" width="11.125" style="2" bestFit="1" customWidth="1"/>
    <col min="5394" max="5394" width="9.625" style="2" bestFit="1" customWidth="1"/>
    <col min="5395" max="5628" width="9" style="2"/>
    <col min="5629" max="5629" width="2.375" style="2" customWidth="1"/>
    <col min="5630" max="5630" width="13.25" style="2" bestFit="1" customWidth="1"/>
    <col min="5631" max="5632" width="11.125" style="2" bestFit="1" customWidth="1"/>
    <col min="5633" max="5633" width="13.25" style="2" bestFit="1" customWidth="1"/>
    <col min="5634" max="5634" width="11.125" style="2" bestFit="1" customWidth="1"/>
    <col min="5635" max="5635" width="9" style="2"/>
    <col min="5636" max="5646" width="11.125" style="2" bestFit="1" customWidth="1"/>
    <col min="5647" max="5647" width="9" style="2"/>
    <col min="5648" max="5649" width="11.125" style="2" bestFit="1" customWidth="1"/>
    <col min="5650" max="5650" width="9.625" style="2" bestFit="1" customWidth="1"/>
    <col min="5651" max="5884" width="9" style="2"/>
    <col min="5885" max="5885" width="2.375" style="2" customWidth="1"/>
    <col min="5886" max="5886" width="13.25" style="2" bestFit="1" customWidth="1"/>
    <col min="5887" max="5888" width="11.125" style="2" bestFit="1" customWidth="1"/>
    <col min="5889" max="5889" width="13.25" style="2" bestFit="1" customWidth="1"/>
    <col min="5890" max="5890" width="11.125" style="2" bestFit="1" customWidth="1"/>
    <col min="5891" max="5891" width="9" style="2"/>
    <col min="5892" max="5902" width="11.125" style="2" bestFit="1" customWidth="1"/>
    <col min="5903" max="5903" width="9" style="2"/>
    <col min="5904" max="5905" width="11.125" style="2" bestFit="1" customWidth="1"/>
    <col min="5906" max="5906" width="9.625" style="2" bestFit="1" customWidth="1"/>
    <col min="5907" max="6140" width="9" style="2"/>
    <col min="6141" max="6141" width="2.375" style="2" customWidth="1"/>
    <col min="6142" max="6142" width="13.25" style="2" bestFit="1" customWidth="1"/>
    <col min="6143" max="6144" width="11.125" style="2" bestFit="1" customWidth="1"/>
    <col min="6145" max="6145" width="13.25" style="2" bestFit="1" customWidth="1"/>
    <col min="6146" max="6146" width="11.125" style="2" bestFit="1" customWidth="1"/>
    <col min="6147" max="6147" width="9" style="2"/>
    <col min="6148" max="6158" width="11.125" style="2" bestFit="1" customWidth="1"/>
    <col min="6159" max="6159" width="9" style="2"/>
    <col min="6160" max="6161" width="11.125" style="2" bestFit="1" customWidth="1"/>
    <col min="6162" max="6162" width="9.625" style="2" bestFit="1" customWidth="1"/>
    <col min="6163" max="6396" width="9" style="2"/>
    <col min="6397" max="6397" width="2.375" style="2" customWidth="1"/>
    <col min="6398" max="6398" width="13.25" style="2" bestFit="1" customWidth="1"/>
    <col min="6399" max="6400" width="11.125" style="2" bestFit="1" customWidth="1"/>
    <col min="6401" max="6401" width="13.25" style="2" bestFit="1" customWidth="1"/>
    <col min="6402" max="6402" width="11.125" style="2" bestFit="1" customWidth="1"/>
    <col min="6403" max="6403" width="9" style="2"/>
    <col min="6404" max="6414" width="11.125" style="2" bestFit="1" customWidth="1"/>
    <col min="6415" max="6415" width="9" style="2"/>
    <col min="6416" max="6417" width="11.125" style="2" bestFit="1" customWidth="1"/>
    <col min="6418" max="6418" width="9.625" style="2" bestFit="1" customWidth="1"/>
    <col min="6419" max="6652" width="9" style="2"/>
    <col min="6653" max="6653" width="2.375" style="2" customWidth="1"/>
    <col min="6654" max="6654" width="13.25" style="2" bestFit="1" customWidth="1"/>
    <col min="6655" max="6656" width="11.125" style="2" bestFit="1" customWidth="1"/>
    <col min="6657" max="6657" width="13.25" style="2" bestFit="1" customWidth="1"/>
    <col min="6658" max="6658" width="11.125" style="2" bestFit="1" customWidth="1"/>
    <col min="6659" max="6659" width="9" style="2"/>
    <col min="6660" max="6670" width="11.125" style="2" bestFit="1" customWidth="1"/>
    <col min="6671" max="6671" width="9" style="2"/>
    <col min="6672" max="6673" width="11.125" style="2" bestFit="1" customWidth="1"/>
    <col min="6674" max="6674" width="9.625" style="2" bestFit="1" customWidth="1"/>
    <col min="6675" max="6908" width="9" style="2"/>
    <col min="6909" max="6909" width="2.375" style="2" customWidth="1"/>
    <col min="6910" max="6910" width="13.25" style="2" bestFit="1" customWidth="1"/>
    <col min="6911" max="6912" width="11.125" style="2" bestFit="1" customWidth="1"/>
    <col min="6913" max="6913" width="13.25" style="2" bestFit="1" customWidth="1"/>
    <col min="6914" max="6914" width="11.125" style="2" bestFit="1" customWidth="1"/>
    <col min="6915" max="6915" width="9" style="2"/>
    <col min="6916" max="6926" width="11.125" style="2" bestFit="1" customWidth="1"/>
    <col min="6927" max="6927" width="9" style="2"/>
    <col min="6928" max="6929" width="11.125" style="2" bestFit="1" customWidth="1"/>
    <col min="6930" max="6930" width="9.625" style="2" bestFit="1" customWidth="1"/>
    <col min="6931" max="7164" width="9" style="2"/>
    <col min="7165" max="7165" width="2.375" style="2" customWidth="1"/>
    <col min="7166" max="7166" width="13.25" style="2" bestFit="1" customWidth="1"/>
    <col min="7167" max="7168" width="11.125" style="2" bestFit="1" customWidth="1"/>
    <col min="7169" max="7169" width="13.25" style="2" bestFit="1" customWidth="1"/>
    <col min="7170" max="7170" width="11.125" style="2" bestFit="1" customWidth="1"/>
    <col min="7171" max="7171" width="9" style="2"/>
    <col min="7172" max="7182" width="11.125" style="2" bestFit="1" customWidth="1"/>
    <col min="7183" max="7183" width="9" style="2"/>
    <col min="7184" max="7185" width="11.125" style="2" bestFit="1" customWidth="1"/>
    <col min="7186" max="7186" width="9.625" style="2" bestFit="1" customWidth="1"/>
    <col min="7187" max="7420" width="9" style="2"/>
    <col min="7421" max="7421" width="2.375" style="2" customWidth="1"/>
    <col min="7422" max="7422" width="13.25" style="2" bestFit="1" customWidth="1"/>
    <col min="7423" max="7424" width="11.125" style="2" bestFit="1" customWidth="1"/>
    <col min="7425" max="7425" width="13.25" style="2" bestFit="1" customWidth="1"/>
    <col min="7426" max="7426" width="11.125" style="2" bestFit="1" customWidth="1"/>
    <col min="7427" max="7427" width="9" style="2"/>
    <col min="7428" max="7438" width="11.125" style="2" bestFit="1" customWidth="1"/>
    <col min="7439" max="7439" width="9" style="2"/>
    <col min="7440" max="7441" width="11.125" style="2" bestFit="1" customWidth="1"/>
    <col min="7442" max="7442" width="9.625" style="2" bestFit="1" customWidth="1"/>
    <col min="7443" max="7676" width="9" style="2"/>
    <col min="7677" max="7677" width="2.375" style="2" customWidth="1"/>
    <col min="7678" max="7678" width="13.25" style="2" bestFit="1" customWidth="1"/>
    <col min="7679" max="7680" width="11.125" style="2" bestFit="1" customWidth="1"/>
    <col min="7681" max="7681" width="13.25" style="2" bestFit="1" customWidth="1"/>
    <col min="7682" max="7682" width="11.125" style="2" bestFit="1" customWidth="1"/>
    <col min="7683" max="7683" width="9" style="2"/>
    <col min="7684" max="7694" width="11.125" style="2" bestFit="1" customWidth="1"/>
    <col min="7695" max="7695" width="9" style="2"/>
    <col min="7696" max="7697" width="11.125" style="2" bestFit="1" customWidth="1"/>
    <col min="7698" max="7698" width="9.625" style="2" bestFit="1" customWidth="1"/>
    <col min="7699" max="7932" width="9" style="2"/>
    <col min="7933" max="7933" width="2.375" style="2" customWidth="1"/>
    <col min="7934" max="7934" width="13.25" style="2" bestFit="1" customWidth="1"/>
    <col min="7935" max="7936" width="11.125" style="2" bestFit="1" customWidth="1"/>
    <col min="7937" max="7937" width="13.25" style="2" bestFit="1" customWidth="1"/>
    <col min="7938" max="7938" width="11.125" style="2" bestFit="1" customWidth="1"/>
    <col min="7939" max="7939" width="9" style="2"/>
    <col min="7940" max="7950" width="11.125" style="2" bestFit="1" customWidth="1"/>
    <col min="7951" max="7951" width="9" style="2"/>
    <col min="7952" max="7953" width="11.125" style="2" bestFit="1" customWidth="1"/>
    <col min="7954" max="7954" width="9.625" style="2" bestFit="1" customWidth="1"/>
    <col min="7955" max="8188" width="9" style="2"/>
    <col min="8189" max="8189" width="2.375" style="2" customWidth="1"/>
    <col min="8190" max="8190" width="13.25" style="2" bestFit="1" customWidth="1"/>
    <col min="8191" max="8192" width="11.125" style="2" bestFit="1" customWidth="1"/>
    <col min="8193" max="8193" width="13.25" style="2" bestFit="1" customWidth="1"/>
    <col min="8194" max="8194" width="11.125" style="2" bestFit="1" customWidth="1"/>
    <col min="8195" max="8195" width="9" style="2"/>
    <col min="8196" max="8206" width="11.125" style="2" bestFit="1" customWidth="1"/>
    <col min="8207" max="8207" width="9" style="2"/>
    <col min="8208" max="8209" width="11.125" style="2" bestFit="1" customWidth="1"/>
    <col min="8210" max="8210" width="9.625" style="2" bestFit="1" customWidth="1"/>
    <col min="8211" max="8444" width="9" style="2"/>
    <col min="8445" max="8445" width="2.375" style="2" customWidth="1"/>
    <col min="8446" max="8446" width="13.25" style="2" bestFit="1" customWidth="1"/>
    <col min="8447" max="8448" width="11.125" style="2" bestFit="1" customWidth="1"/>
    <col min="8449" max="8449" width="13.25" style="2" bestFit="1" customWidth="1"/>
    <col min="8450" max="8450" width="11.125" style="2" bestFit="1" customWidth="1"/>
    <col min="8451" max="8451" width="9" style="2"/>
    <col min="8452" max="8462" width="11.125" style="2" bestFit="1" customWidth="1"/>
    <col min="8463" max="8463" width="9" style="2"/>
    <col min="8464" max="8465" width="11.125" style="2" bestFit="1" customWidth="1"/>
    <col min="8466" max="8466" width="9.625" style="2" bestFit="1" customWidth="1"/>
    <col min="8467" max="8700" width="9" style="2"/>
    <col min="8701" max="8701" width="2.375" style="2" customWidth="1"/>
    <col min="8702" max="8702" width="13.25" style="2" bestFit="1" customWidth="1"/>
    <col min="8703" max="8704" width="11.125" style="2" bestFit="1" customWidth="1"/>
    <col min="8705" max="8705" width="13.25" style="2" bestFit="1" customWidth="1"/>
    <col min="8706" max="8706" width="11.125" style="2" bestFit="1" customWidth="1"/>
    <col min="8707" max="8707" width="9" style="2"/>
    <col min="8708" max="8718" width="11.125" style="2" bestFit="1" customWidth="1"/>
    <col min="8719" max="8719" width="9" style="2"/>
    <col min="8720" max="8721" width="11.125" style="2" bestFit="1" customWidth="1"/>
    <col min="8722" max="8722" width="9.625" style="2" bestFit="1" customWidth="1"/>
    <col min="8723" max="8956" width="9" style="2"/>
    <col min="8957" max="8957" width="2.375" style="2" customWidth="1"/>
    <col min="8958" max="8958" width="13.25" style="2" bestFit="1" customWidth="1"/>
    <col min="8959" max="8960" width="11.125" style="2" bestFit="1" customWidth="1"/>
    <col min="8961" max="8961" width="13.25" style="2" bestFit="1" customWidth="1"/>
    <col min="8962" max="8962" width="11.125" style="2" bestFit="1" customWidth="1"/>
    <col min="8963" max="8963" width="9" style="2"/>
    <col min="8964" max="8974" width="11.125" style="2" bestFit="1" customWidth="1"/>
    <col min="8975" max="8975" width="9" style="2"/>
    <col min="8976" max="8977" width="11.125" style="2" bestFit="1" customWidth="1"/>
    <col min="8978" max="8978" width="9.625" style="2" bestFit="1" customWidth="1"/>
    <col min="8979" max="9212" width="9" style="2"/>
    <col min="9213" max="9213" width="2.375" style="2" customWidth="1"/>
    <col min="9214" max="9214" width="13.25" style="2" bestFit="1" customWidth="1"/>
    <col min="9215" max="9216" width="11.125" style="2" bestFit="1" customWidth="1"/>
    <col min="9217" max="9217" width="13.25" style="2" bestFit="1" customWidth="1"/>
    <col min="9218" max="9218" width="11.125" style="2" bestFit="1" customWidth="1"/>
    <col min="9219" max="9219" width="9" style="2"/>
    <col min="9220" max="9230" width="11.125" style="2" bestFit="1" customWidth="1"/>
    <col min="9231" max="9231" width="9" style="2"/>
    <col min="9232" max="9233" width="11.125" style="2" bestFit="1" customWidth="1"/>
    <col min="9234" max="9234" width="9.625" style="2" bestFit="1" customWidth="1"/>
    <col min="9235" max="9468" width="9" style="2"/>
    <col min="9469" max="9469" width="2.375" style="2" customWidth="1"/>
    <col min="9470" max="9470" width="13.25" style="2" bestFit="1" customWidth="1"/>
    <col min="9471" max="9472" width="11.125" style="2" bestFit="1" customWidth="1"/>
    <col min="9473" max="9473" width="13.25" style="2" bestFit="1" customWidth="1"/>
    <col min="9474" max="9474" width="11.125" style="2" bestFit="1" customWidth="1"/>
    <col min="9475" max="9475" width="9" style="2"/>
    <col min="9476" max="9486" width="11.125" style="2" bestFit="1" customWidth="1"/>
    <col min="9487" max="9487" width="9" style="2"/>
    <col min="9488" max="9489" width="11.125" style="2" bestFit="1" customWidth="1"/>
    <col min="9490" max="9490" width="9.625" style="2" bestFit="1" customWidth="1"/>
    <col min="9491" max="9724" width="9" style="2"/>
    <col min="9725" max="9725" width="2.375" style="2" customWidth="1"/>
    <col min="9726" max="9726" width="13.25" style="2" bestFit="1" customWidth="1"/>
    <col min="9727" max="9728" width="11.125" style="2" bestFit="1" customWidth="1"/>
    <col min="9729" max="9729" width="13.25" style="2" bestFit="1" customWidth="1"/>
    <col min="9730" max="9730" width="11.125" style="2" bestFit="1" customWidth="1"/>
    <col min="9731" max="9731" width="9" style="2"/>
    <col min="9732" max="9742" width="11.125" style="2" bestFit="1" customWidth="1"/>
    <col min="9743" max="9743" width="9" style="2"/>
    <col min="9744" max="9745" width="11.125" style="2" bestFit="1" customWidth="1"/>
    <col min="9746" max="9746" width="9.625" style="2" bestFit="1" customWidth="1"/>
    <col min="9747" max="9980" width="9" style="2"/>
    <col min="9981" max="9981" width="2.375" style="2" customWidth="1"/>
    <col min="9982" max="9982" width="13.25" style="2" bestFit="1" customWidth="1"/>
    <col min="9983" max="9984" width="11.125" style="2" bestFit="1" customWidth="1"/>
    <col min="9985" max="9985" width="13.25" style="2" bestFit="1" customWidth="1"/>
    <col min="9986" max="9986" width="11.125" style="2" bestFit="1" customWidth="1"/>
    <col min="9987" max="9987" width="9" style="2"/>
    <col min="9988" max="9998" width="11.125" style="2" bestFit="1" customWidth="1"/>
    <col min="9999" max="9999" width="9" style="2"/>
    <col min="10000" max="10001" width="11.125" style="2" bestFit="1" customWidth="1"/>
    <col min="10002" max="10002" width="9.625" style="2" bestFit="1" customWidth="1"/>
    <col min="10003" max="10236" width="9" style="2"/>
    <col min="10237" max="10237" width="2.375" style="2" customWidth="1"/>
    <col min="10238" max="10238" width="13.25" style="2" bestFit="1" customWidth="1"/>
    <col min="10239" max="10240" width="11.125" style="2" bestFit="1" customWidth="1"/>
    <col min="10241" max="10241" width="13.25" style="2" bestFit="1" customWidth="1"/>
    <col min="10242" max="10242" width="11.125" style="2" bestFit="1" customWidth="1"/>
    <col min="10243" max="10243" width="9" style="2"/>
    <col min="10244" max="10254" width="11.125" style="2" bestFit="1" customWidth="1"/>
    <col min="10255" max="10255" width="9" style="2"/>
    <col min="10256" max="10257" width="11.125" style="2" bestFit="1" customWidth="1"/>
    <col min="10258" max="10258" width="9.625" style="2" bestFit="1" customWidth="1"/>
    <col min="10259" max="10492" width="9" style="2"/>
    <col min="10493" max="10493" width="2.375" style="2" customWidth="1"/>
    <col min="10494" max="10494" width="13.25" style="2" bestFit="1" customWidth="1"/>
    <col min="10495" max="10496" width="11.125" style="2" bestFit="1" customWidth="1"/>
    <col min="10497" max="10497" width="13.25" style="2" bestFit="1" customWidth="1"/>
    <col min="10498" max="10498" width="11.125" style="2" bestFit="1" customWidth="1"/>
    <col min="10499" max="10499" width="9" style="2"/>
    <col min="10500" max="10510" width="11.125" style="2" bestFit="1" customWidth="1"/>
    <col min="10511" max="10511" width="9" style="2"/>
    <col min="10512" max="10513" width="11.125" style="2" bestFit="1" customWidth="1"/>
    <col min="10514" max="10514" width="9.625" style="2" bestFit="1" customWidth="1"/>
    <col min="10515" max="10748" width="9" style="2"/>
    <col min="10749" max="10749" width="2.375" style="2" customWidth="1"/>
    <col min="10750" max="10750" width="13.25" style="2" bestFit="1" customWidth="1"/>
    <col min="10751" max="10752" width="11.125" style="2" bestFit="1" customWidth="1"/>
    <col min="10753" max="10753" width="13.25" style="2" bestFit="1" customWidth="1"/>
    <col min="10754" max="10754" width="11.125" style="2" bestFit="1" customWidth="1"/>
    <col min="10755" max="10755" width="9" style="2"/>
    <col min="10756" max="10766" width="11.125" style="2" bestFit="1" customWidth="1"/>
    <col min="10767" max="10767" width="9" style="2"/>
    <col min="10768" max="10769" width="11.125" style="2" bestFit="1" customWidth="1"/>
    <col min="10770" max="10770" width="9.625" style="2" bestFit="1" customWidth="1"/>
    <col min="10771" max="11004" width="9" style="2"/>
    <col min="11005" max="11005" width="2.375" style="2" customWidth="1"/>
    <col min="11006" max="11006" width="13.25" style="2" bestFit="1" customWidth="1"/>
    <col min="11007" max="11008" width="11.125" style="2" bestFit="1" customWidth="1"/>
    <col min="11009" max="11009" width="13.25" style="2" bestFit="1" customWidth="1"/>
    <col min="11010" max="11010" width="11.125" style="2" bestFit="1" customWidth="1"/>
    <col min="11011" max="11011" width="9" style="2"/>
    <col min="11012" max="11022" width="11.125" style="2" bestFit="1" customWidth="1"/>
    <col min="11023" max="11023" width="9" style="2"/>
    <col min="11024" max="11025" width="11.125" style="2" bestFit="1" customWidth="1"/>
    <col min="11026" max="11026" width="9.625" style="2" bestFit="1" customWidth="1"/>
    <col min="11027" max="11260" width="9" style="2"/>
    <col min="11261" max="11261" width="2.375" style="2" customWidth="1"/>
    <col min="11262" max="11262" width="13.25" style="2" bestFit="1" customWidth="1"/>
    <col min="11263" max="11264" width="11.125" style="2" bestFit="1" customWidth="1"/>
    <col min="11265" max="11265" width="13.25" style="2" bestFit="1" customWidth="1"/>
    <col min="11266" max="11266" width="11.125" style="2" bestFit="1" customWidth="1"/>
    <col min="11267" max="11267" width="9" style="2"/>
    <col min="11268" max="11278" width="11.125" style="2" bestFit="1" customWidth="1"/>
    <col min="11279" max="11279" width="9" style="2"/>
    <col min="11280" max="11281" width="11.125" style="2" bestFit="1" customWidth="1"/>
    <col min="11282" max="11282" width="9.625" style="2" bestFit="1" customWidth="1"/>
    <col min="11283" max="11516" width="9" style="2"/>
    <col min="11517" max="11517" width="2.375" style="2" customWidth="1"/>
    <col min="11518" max="11518" width="13.25" style="2" bestFit="1" customWidth="1"/>
    <col min="11519" max="11520" width="11.125" style="2" bestFit="1" customWidth="1"/>
    <col min="11521" max="11521" width="13.25" style="2" bestFit="1" customWidth="1"/>
    <col min="11522" max="11522" width="11.125" style="2" bestFit="1" customWidth="1"/>
    <col min="11523" max="11523" width="9" style="2"/>
    <col min="11524" max="11534" width="11.125" style="2" bestFit="1" customWidth="1"/>
    <col min="11535" max="11535" width="9" style="2"/>
    <col min="11536" max="11537" width="11.125" style="2" bestFit="1" customWidth="1"/>
    <col min="11538" max="11538" width="9.625" style="2" bestFit="1" customWidth="1"/>
    <col min="11539" max="11772" width="9" style="2"/>
    <col min="11773" max="11773" width="2.375" style="2" customWidth="1"/>
    <col min="11774" max="11774" width="13.25" style="2" bestFit="1" customWidth="1"/>
    <col min="11775" max="11776" width="11.125" style="2" bestFit="1" customWidth="1"/>
    <col min="11777" max="11777" width="13.25" style="2" bestFit="1" customWidth="1"/>
    <col min="11778" max="11778" width="11.125" style="2" bestFit="1" customWidth="1"/>
    <col min="11779" max="11779" width="9" style="2"/>
    <col min="11780" max="11790" width="11.125" style="2" bestFit="1" customWidth="1"/>
    <col min="11791" max="11791" width="9" style="2"/>
    <col min="11792" max="11793" width="11.125" style="2" bestFit="1" customWidth="1"/>
    <col min="11794" max="11794" width="9.625" style="2" bestFit="1" customWidth="1"/>
    <col min="11795" max="12028" width="9" style="2"/>
    <col min="12029" max="12029" width="2.375" style="2" customWidth="1"/>
    <col min="12030" max="12030" width="13.25" style="2" bestFit="1" customWidth="1"/>
    <col min="12031" max="12032" width="11.125" style="2" bestFit="1" customWidth="1"/>
    <col min="12033" max="12033" width="13.25" style="2" bestFit="1" customWidth="1"/>
    <col min="12034" max="12034" width="11.125" style="2" bestFit="1" customWidth="1"/>
    <col min="12035" max="12035" width="9" style="2"/>
    <col min="12036" max="12046" width="11.125" style="2" bestFit="1" customWidth="1"/>
    <col min="12047" max="12047" width="9" style="2"/>
    <col min="12048" max="12049" width="11.125" style="2" bestFit="1" customWidth="1"/>
    <col min="12050" max="12050" width="9.625" style="2" bestFit="1" customWidth="1"/>
    <col min="12051" max="12284" width="9" style="2"/>
    <col min="12285" max="12285" width="2.375" style="2" customWidth="1"/>
    <col min="12286" max="12286" width="13.25" style="2" bestFit="1" customWidth="1"/>
    <col min="12287" max="12288" width="11.125" style="2" bestFit="1" customWidth="1"/>
    <col min="12289" max="12289" width="13.25" style="2" bestFit="1" customWidth="1"/>
    <col min="12290" max="12290" width="11.125" style="2" bestFit="1" customWidth="1"/>
    <col min="12291" max="12291" width="9" style="2"/>
    <col min="12292" max="12302" width="11.125" style="2" bestFit="1" customWidth="1"/>
    <col min="12303" max="12303" width="9" style="2"/>
    <col min="12304" max="12305" width="11.125" style="2" bestFit="1" customWidth="1"/>
    <col min="12306" max="12306" width="9.625" style="2" bestFit="1" customWidth="1"/>
    <col min="12307" max="12540" width="9" style="2"/>
    <col min="12541" max="12541" width="2.375" style="2" customWidth="1"/>
    <col min="12542" max="12542" width="13.25" style="2" bestFit="1" customWidth="1"/>
    <col min="12543" max="12544" width="11.125" style="2" bestFit="1" customWidth="1"/>
    <col min="12545" max="12545" width="13.25" style="2" bestFit="1" customWidth="1"/>
    <col min="12546" max="12546" width="11.125" style="2" bestFit="1" customWidth="1"/>
    <col min="12547" max="12547" width="9" style="2"/>
    <col min="12548" max="12558" width="11.125" style="2" bestFit="1" customWidth="1"/>
    <col min="12559" max="12559" width="9" style="2"/>
    <col min="12560" max="12561" width="11.125" style="2" bestFit="1" customWidth="1"/>
    <col min="12562" max="12562" width="9.625" style="2" bestFit="1" customWidth="1"/>
    <col min="12563" max="12796" width="9" style="2"/>
    <col min="12797" max="12797" width="2.375" style="2" customWidth="1"/>
    <col min="12798" max="12798" width="13.25" style="2" bestFit="1" customWidth="1"/>
    <col min="12799" max="12800" width="11.125" style="2" bestFit="1" customWidth="1"/>
    <col min="12801" max="12801" width="13.25" style="2" bestFit="1" customWidth="1"/>
    <col min="12802" max="12802" width="11.125" style="2" bestFit="1" customWidth="1"/>
    <col min="12803" max="12803" width="9" style="2"/>
    <col min="12804" max="12814" width="11.125" style="2" bestFit="1" customWidth="1"/>
    <col min="12815" max="12815" width="9" style="2"/>
    <col min="12816" max="12817" width="11.125" style="2" bestFit="1" customWidth="1"/>
    <col min="12818" max="12818" width="9.625" style="2" bestFit="1" customWidth="1"/>
    <col min="12819" max="13052" width="9" style="2"/>
    <col min="13053" max="13053" width="2.375" style="2" customWidth="1"/>
    <col min="13054" max="13054" width="13.25" style="2" bestFit="1" customWidth="1"/>
    <col min="13055" max="13056" width="11.125" style="2" bestFit="1" customWidth="1"/>
    <col min="13057" max="13057" width="13.25" style="2" bestFit="1" customWidth="1"/>
    <col min="13058" max="13058" width="11.125" style="2" bestFit="1" customWidth="1"/>
    <col min="13059" max="13059" width="9" style="2"/>
    <col min="13060" max="13070" width="11.125" style="2" bestFit="1" customWidth="1"/>
    <col min="13071" max="13071" width="9" style="2"/>
    <col min="13072" max="13073" width="11.125" style="2" bestFit="1" customWidth="1"/>
    <col min="13074" max="13074" width="9.625" style="2" bestFit="1" customWidth="1"/>
    <col min="13075" max="13308" width="9" style="2"/>
    <col min="13309" max="13309" width="2.375" style="2" customWidth="1"/>
    <col min="13310" max="13310" width="13.25" style="2" bestFit="1" customWidth="1"/>
    <col min="13311" max="13312" width="11.125" style="2" bestFit="1" customWidth="1"/>
    <col min="13313" max="13313" width="13.25" style="2" bestFit="1" customWidth="1"/>
    <col min="13314" max="13314" width="11.125" style="2" bestFit="1" customWidth="1"/>
    <col min="13315" max="13315" width="9" style="2"/>
    <col min="13316" max="13326" width="11.125" style="2" bestFit="1" customWidth="1"/>
    <col min="13327" max="13327" width="9" style="2"/>
    <col min="13328" max="13329" width="11.125" style="2" bestFit="1" customWidth="1"/>
    <col min="13330" max="13330" width="9.625" style="2" bestFit="1" customWidth="1"/>
    <col min="13331" max="13564" width="9" style="2"/>
    <col min="13565" max="13565" width="2.375" style="2" customWidth="1"/>
    <col min="13566" max="13566" width="13.25" style="2" bestFit="1" customWidth="1"/>
    <col min="13567" max="13568" width="11.125" style="2" bestFit="1" customWidth="1"/>
    <col min="13569" max="13569" width="13.25" style="2" bestFit="1" customWidth="1"/>
    <col min="13570" max="13570" width="11.125" style="2" bestFit="1" customWidth="1"/>
    <col min="13571" max="13571" width="9" style="2"/>
    <col min="13572" max="13582" width="11.125" style="2" bestFit="1" customWidth="1"/>
    <col min="13583" max="13583" width="9" style="2"/>
    <col min="13584" max="13585" width="11.125" style="2" bestFit="1" customWidth="1"/>
    <col min="13586" max="13586" width="9.625" style="2" bestFit="1" customWidth="1"/>
    <col min="13587" max="13820" width="9" style="2"/>
    <col min="13821" max="13821" width="2.375" style="2" customWidth="1"/>
    <col min="13822" max="13822" width="13.25" style="2" bestFit="1" customWidth="1"/>
    <col min="13823" max="13824" width="11.125" style="2" bestFit="1" customWidth="1"/>
    <col min="13825" max="13825" width="13.25" style="2" bestFit="1" customWidth="1"/>
    <col min="13826" max="13826" width="11.125" style="2" bestFit="1" customWidth="1"/>
    <col min="13827" max="13827" width="9" style="2"/>
    <col min="13828" max="13838" width="11.125" style="2" bestFit="1" customWidth="1"/>
    <col min="13839" max="13839" width="9" style="2"/>
    <col min="13840" max="13841" width="11.125" style="2" bestFit="1" customWidth="1"/>
    <col min="13842" max="13842" width="9.625" style="2" bestFit="1" customWidth="1"/>
    <col min="13843" max="14076" width="9" style="2"/>
    <col min="14077" max="14077" width="2.375" style="2" customWidth="1"/>
    <col min="14078" max="14078" width="13.25" style="2" bestFit="1" customWidth="1"/>
    <col min="14079" max="14080" width="11.125" style="2" bestFit="1" customWidth="1"/>
    <col min="14081" max="14081" width="13.25" style="2" bestFit="1" customWidth="1"/>
    <col min="14082" max="14082" width="11.125" style="2" bestFit="1" customWidth="1"/>
    <col min="14083" max="14083" width="9" style="2"/>
    <col min="14084" max="14094" width="11.125" style="2" bestFit="1" customWidth="1"/>
    <col min="14095" max="14095" width="9" style="2"/>
    <col min="14096" max="14097" width="11.125" style="2" bestFit="1" customWidth="1"/>
    <col min="14098" max="14098" width="9.625" style="2" bestFit="1" customWidth="1"/>
    <col min="14099" max="14332" width="9" style="2"/>
    <col min="14333" max="14333" width="2.375" style="2" customWidth="1"/>
    <col min="14334" max="14334" width="13.25" style="2" bestFit="1" customWidth="1"/>
    <col min="14335" max="14336" width="11.125" style="2" bestFit="1" customWidth="1"/>
    <col min="14337" max="14337" width="13.25" style="2" bestFit="1" customWidth="1"/>
    <col min="14338" max="14338" width="11.125" style="2" bestFit="1" customWidth="1"/>
    <col min="14339" max="14339" width="9" style="2"/>
    <col min="14340" max="14350" width="11.125" style="2" bestFit="1" customWidth="1"/>
    <col min="14351" max="14351" width="9" style="2"/>
    <col min="14352" max="14353" width="11.125" style="2" bestFit="1" customWidth="1"/>
    <col min="14354" max="14354" width="9.625" style="2" bestFit="1" customWidth="1"/>
    <col min="14355" max="14588" width="9" style="2"/>
    <col min="14589" max="14589" width="2.375" style="2" customWidth="1"/>
    <col min="14590" max="14590" width="13.25" style="2" bestFit="1" customWidth="1"/>
    <col min="14591" max="14592" width="11.125" style="2" bestFit="1" customWidth="1"/>
    <col min="14593" max="14593" width="13.25" style="2" bestFit="1" customWidth="1"/>
    <col min="14594" max="14594" width="11.125" style="2" bestFit="1" customWidth="1"/>
    <col min="14595" max="14595" width="9" style="2"/>
    <col min="14596" max="14606" width="11.125" style="2" bestFit="1" customWidth="1"/>
    <col min="14607" max="14607" width="9" style="2"/>
    <col min="14608" max="14609" width="11.125" style="2" bestFit="1" customWidth="1"/>
    <col min="14610" max="14610" width="9.625" style="2" bestFit="1" customWidth="1"/>
    <col min="14611" max="14844" width="9" style="2"/>
    <col min="14845" max="14845" width="2.375" style="2" customWidth="1"/>
    <col min="14846" max="14846" width="13.25" style="2" bestFit="1" customWidth="1"/>
    <col min="14847" max="14848" width="11.125" style="2" bestFit="1" customWidth="1"/>
    <col min="14849" max="14849" width="13.25" style="2" bestFit="1" customWidth="1"/>
    <col min="14850" max="14850" width="11.125" style="2" bestFit="1" customWidth="1"/>
    <col min="14851" max="14851" width="9" style="2"/>
    <col min="14852" max="14862" width="11.125" style="2" bestFit="1" customWidth="1"/>
    <col min="14863" max="14863" width="9" style="2"/>
    <col min="14864" max="14865" width="11.125" style="2" bestFit="1" customWidth="1"/>
    <col min="14866" max="14866" width="9.625" style="2" bestFit="1" customWidth="1"/>
    <col min="14867" max="15100" width="9" style="2"/>
    <col min="15101" max="15101" width="2.375" style="2" customWidth="1"/>
    <col min="15102" max="15102" width="13.25" style="2" bestFit="1" customWidth="1"/>
    <col min="15103" max="15104" width="11.125" style="2" bestFit="1" customWidth="1"/>
    <col min="15105" max="15105" width="13.25" style="2" bestFit="1" customWidth="1"/>
    <col min="15106" max="15106" width="11.125" style="2" bestFit="1" customWidth="1"/>
    <col min="15107" max="15107" width="9" style="2"/>
    <col min="15108" max="15118" width="11.125" style="2" bestFit="1" customWidth="1"/>
    <col min="15119" max="15119" width="9" style="2"/>
    <col min="15120" max="15121" width="11.125" style="2" bestFit="1" customWidth="1"/>
    <col min="15122" max="15122" width="9.625" style="2" bestFit="1" customWidth="1"/>
    <col min="15123" max="15356" width="9" style="2"/>
    <col min="15357" max="15357" width="2.375" style="2" customWidth="1"/>
    <col min="15358" max="15358" width="13.25" style="2" bestFit="1" customWidth="1"/>
    <col min="15359" max="15360" width="11.125" style="2" bestFit="1" customWidth="1"/>
    <col min="15361" max="15361" width="13.25" style="2" bestFit="1" customWidth="1"/>
    <col min="15362" max="15362" width="11.125" style="2" bestFit="1" customWidth="1"/>
    <col min="15363" max="15363" width="9" style="2"/>
    <col min="15364" max="15374" width="11.125" style="2" bestFit="1" customWidth="1"/>
    <col min="15375" max="15375" width="9" style="2"/>
    <col min="15376" max="15377" width="11.125" style="2" bestFit="1" customWidth="1"/>
    <col min="15378" max="15378" width="9.625" style="2" bestFit="1" customWidth="1"/>
    <col min="15379" max="15612" width="9" style="2"/>
    <col min="15613" max="15613" width="2.375" style="2" customWidth="1"/>
    <col min="15614" max="15614" width="13.25" style="2" bestFit="1" customWidth="1"/>
    <col min="15615" max="15616" width="11.125" style="2" bestFit="1" customWidth="1"/>
    <col min="15617" max="15617" width="13.25" style="2" bestFit="1" customWidth="1"/>
    <col min="15618" max="15618" width="11.125" style="2" bestFit="1" customWidth="1"/>
    <col min="15619" max="15619" width="9" style="2"/>
    <col min="15620" max="15630" width="11.125" style="2" bestFit="1" customWidth="1"/>
    <col min="15631" max="15631" width="9" style="2"/>
    <col min="15632" max="15633" width="11.125" style="2" bestFit="1" customWidth="1"/>
    <col min="15634" max="15634" width="9.625" style="2" bestFit="1" customWidth="1"/>
    <col min="15635" max="15868" width="9" style="2"/>
    <col min="15869" max="15869" width="2.375" style="2" customWidth="1"/>
    <col min="15870" max="15870" width="13.25" style="2" bestFit="1" customWidth="1"/>
    <col min="15871" max="15872" width="11.125" style="2" bestFit="1" customWidth="1"/>
    <col min="15873" max="15873" width="13.25" style="2" bestFit="1" customWidth="1"/>
    <col min="15874" max="15874" width="11.125" style="2" bestFit="1" customWidth="1"/>
    <col min="15875" max="15875" width="9" style="2"/>
    <col min="15876" max="15886" width="11.125" style="2" bestFit="1" customWidth="1"/>
    <col min="15887" max="15887" width="9" style="2"/>
    <col min="15888" max="15889" width="11.125" style="2" bestFit="1" customWidth="1"/>
    <col min="15890" max="15890" width="9.625" style="2" bestFit="1" customWidth="1"/>
    <col min="15891" max="16124" width="9" style="2"/>
    <col min="16125" max="16125" width="2.375" style="2" customWidth="1"/>
    <col min="16126" max="16126" width="13.25" style="2" bestFit="1" customWidth="1"/>
    <col min="16127" max="16128" width="11.125" style="2" bestFit="1" customWidth="1"/>
    <col min="16129" max="16129" width="13.25" style="2" bestFit="1" customWidth="1"/>
    <col min="16130" max="16130" width="11.125" style="2" bestFit="1" customWidth="1"/>
    <col min="16131" max="16131" width="9" style="2"/>
    <col min="16132" max="16142" width="11.125" style="2" bestFit="1" customWidth="1"/>
    <col min="16143" max="16143" width="9" style="2"/>
    <col min="16144" max="16145" width="11.125" style="2" bestFit="1" customWidth="1"/>
    <col min="16146" max="16146" width="9.625" style="2" bestFit="1" customWidth="1"/>
    <col min="16147" max="16384" width="9" style="2"/>
  </cols>
  <sheetData>
    <row r="1" spans="1:18">
      <c r="A1" s="1" t="s">
        <v>0</v>
      </c>
    </row>
    <row r="2" spans="1:18">
      <c r="A2" s="1"/>
    </row>
    <row r="3" spans="1:18">
      <c r="A3" s="1" t="s">
        <v>1</v>
      </c>
    </row>
    <row r="4" spans="1:18">
      <c r="A4" s="1" t="s">
        <v>2</v>
      </c>
    </row>
    <row r="5" spans="1:18">
      <c r="A5" s="1" t="s">
        <v>3</v>
      </c>
    </row>
    <row r="6" spans="1:18" ht="19.5" thickBot="1">
      <c r="A6" s="1" t="s">
        <v>4</v>
      </c>
    </row>
    <row r="7" spans="1:18">
      <c r="B7" s="7"/>
      <c r="C7" s="10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3" t="s">
        <v>19</v>
      </c>
      <c r="R7" s="58" t="s">
        <v>20</v>
      </c>
    </row>
    <row r="8" spans="1:18" ht="19.5" thickBot="1">
      <c r="A8" s="3"/>
      <c r="B8" s="18" t="s">
        <v>26</v>
      </c>
      <c r="C8" s="19" t="s">
        <v>27</v>
      </c>
      <c r="D8" s="20" t="s">
        <v>28</v>
      </c>
      <c r="E8" s="20" t="s">
        <v>29</v>
      </c>
      <c r="F8" s="20" t="s">
        <v>30</v>
      </c>
      <c r="G8" s="20" t="s">
        <v>31</v>
      </c>
      <c r="H8" s="20" t="s">
        <v>32</v>
      </c>
      <c r="I8" s="20" t="s">
        <v>33</v>
      </c>
      <c r="J8" s="20" t="s">
        <v>34</v>
      </c>
      <c r="K8" s="20" t="s">
        <v>35</v>
      </c>
      <c r="L8" s="20" t="s">
        <v>36</v>
      </c>
      <c r="M8" s="20" t="s">
        <v>37</v>
      </c>
      <c r="N8" s="20" t="s">
        <v>38</v>
      </c>
      <c r="O8" s="20" t="s">
        <v>39</v>
      </c>
      <c r="P8" s="20" t="s">
        <v>40</v>
      </c>
      <c r="Q8" s="44" t="s">
        <v>41</v>
      </c>
      <c r="R8" s="51" t="s">
        <v>42</v>
      </c>
    </row>
    <row r="9" spans="1:18">
      <c r="A9" s="1" t="s">
        <v>3</v>
      </c>
      <c r="B9" s="13" t="s">
        <v>50</v>
      </c>
      <c r="C9" s="14">
        <v>59000</v>
      </c>
      <c r="D9" s="15">
        <v>59000</v>
      </c>
      <c r="E9" s="15">
        <v>83000</v>
      </c>
      <c r="F9" s="15">
        <v>83000</v>
      </c>
      <c r="G9" s="15">
        <v>83000</v>
      </c>
      <c r="H9" s="15">
        <v>59000</v>
      </c>
      <c r="I9" s="15">
        <v>71000</v>
      </c>
      <c r="J9" s="15">
        <v>53000</v>
      </c>
      <c r="K9" s="15">
        <v>83000</v>
      </c>
      <c r="L9" s="15">
        <v>83000</v>
      </c>
      <c r="M9" s="15">
        <v>83000</v>
      </c>
      <c r="N9" s="15">
        <v>71000</v>
      </c>
      <c r="O9" s="15">
        <v>59000</v>
      </c>
      <c r="P9" s="15">
        <v>53000</v>
      </c>
      <c r="Q9" s="45">
        <v>59000</v>
      </c>
      <c r="R9" s="52">
        <f>SUM(C9:Q9)</f>
        <v>1041000</v>
      </c>
    </row>
    <row r="10" spans="1:18">
      <c r="A10" s="1" t="s">
        <v>3</v>
      </c>
      <c r="B10" s="8" t="s">
        <v>51</v>
      </c>
      <c r="C10" s="12">
        <v>0</v>
      </c>
      <c r="D10" s="5">
        <v>0</v>
      </c>
      <c r="E10" s="5">
        <v>30000</v>
      </c>
      <c r="F10" s="5">
        <v>30000</v>
      </c>
      <c r="G10" s="5">
        <v>0</v>
      </c>
      <c r="H10" s="5">
        <v>0</v>
      </c>
      <c r="I10" s="5">
        <v>15000</v>
      </c>
      <c r="J10" s="5">
        <v>0</v>
      </c>
      <c r="K10" s="5">
        <v>0</v>
      </c>
      <c r="L10" s="5">
        <v>0</v>
      </c>
      <c r="M10" s="5">
        <v>15000</v>
      </c>
      <c r="N10" s="5">
        <v>0</v>
      </c>
      <c r="O10" s="5">
        <v>0</v>
      </c>
      <c r="P10" s="5">
        <v>0</v>
      </c>
      <c r="Q10" s="46">
        <v>0</v>
      </c>
      <c r="R10" s="53">
        <f t="shared" ref="R10:R23" si="0">SUM(C10:Q10)</f>
        <v>90000</v>
      </c>
    </row>
    <row r="11" spans="1:18">
      <c r="A11" s="1" t="s">
        <v>3</v>
      </c>
      <c r="B11" s="23" t="s">
        <v>52</v>
      </c>
      <c r="C11" s="24">
        <v>0</v>
      </c>
      <c r="D11" s="25">
        <v>0</v>
      </c>
      <c r="E11" s="25">
        <v>3000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47">
        <v>0</v>
      </c>
      <c r="R11" s="54">
        <f t="shared" si="0"/>
        <v>3000</v>
      </c>
    </row>
    <row r="12" spans="1:18">
      <c r="A12" s="1" t="s">
        <v>3</v>
      </c>
      <c r="B12" s="28" t="s">
        <v>53</v>
      </c>
      <c r="C12" s="29">
        <v>59000</v>
      </c>
      <c r="D12" s="30">
        <v>59000</v>
      </c>
      <c r="E12" s="30">
        <v>116000</v>
      </c>
      <c r="F12" s="30">
        <v>113000</v>
      </c>
      <c r="G12" s="30">
        <v>83000</v>
      </c>
      <c r="H12" s="30">
        <v>59000</v>
      </c>
      <c r="I12" s="30">
        <v>86000</v>
      </c>
      <c r="J12" s="30">
        <v>53000</v>
      </c>
      <c r="K12" s="30">
        <v>83000</v>
      </c>
      <c r="L12" s="30">
        <v>83000</v>
      </c>
      <c r="M12" s="30">
        <v>98000</v>
      </c>
      <c r="N12" s="30">
        <v>71000</v>
      </c>
      <c r="O12" s="30">
        <v>59000</v>
      </c>
      <c r="P12" s="30">
        <v>53000</v>
      </c>
      <c r="Q12" s="48">
        <v>59000</v>
      </c>
      <c r="R12" s="55">
        <f t="shared" si="0"/>
        <v>1134000</v>
      </c>
    </row>
    <row r="13" spans="1:18">
      <c r="A13" s="1" t="s">
        <v>3</v>
      </c>
      <c r="B13" s="28" t="s">
        <v>54</v>
      </c>
      <c r="C13" s="29">
        <v>59000</v>
      </c>
      <c r="D13" s="30">
        <v>59000</v>
      </c>
      <c r="E13" s="30">
        <v>116000</v>
      </c>
      <c r="F13" s="30">
        <v>113000</v>
      </c>
      <c r="G13" s="30">
        <v>83000</v>
      </c>
      <c r="H13" s="30">
        <v>59000</v>
      </c>
      <c r="I13" s="30">
        <v>86000</v>
      </c>
      <c r="J13" s="30">
        <v>53000</v>
      </c>
      <c r="K13" s="30">
        <v>83000</v>
      </c>
      <c r="L13" s="30">
        <v>83000</v>
      </c>
      <c r="M13" s="30">
        <v>98000</v>
      </c>
      <c r="N13" s="30">
        <v>71000</v>
      </c>
      <c r="O13" s="30">
        <v>59000</v>
      </c>
      <c r="P13" s="30">
        <v>53000</v>
      </c>
      <c r="Q13" s="48">
        <v>59000</v>
      </c>
      <c r="R13" s="55">
        <f t="shared" si="0"/>
        <v>1134000</v>
      </c>
    </row>
    <row r="14" spans="1:18">
      <c r="A14" s="1" t="s">
        <v>3</v>
      </c>
      <c r="B14" s="13" t="s">
        <v>55</v>
      </c>
      <c r="C14" s="14">
        <v>3009</v>
      </c>
      <c r="D14" s="15">
        <v>3009</v>
      </c>
      <c r="E14" s="15">
        <v>5916</v>
      </c>
      <c r="F14" s="15">
        <v>5763</v>
      </c>
      <c r="G14" s="15">
        <v>4233</v>
      </c>
      <c r="H14" s="15">
        <v>3009</v>
      </c>
      <c r="I14" s="15">
        <v>4386</v>
      </c>
      <c r="J14" s="15">
        <v>2703</v>
      </c>
      <c r="K14" s="15">
        <v>4233</v>
      </c>
      <c r="L14" s="15">
        <v>4233</v>
      </c>
      <c r="M14" s="15">
        <v>4998</v>
      </c>
      <c r="N14" s="15">
        <v>3621</v>
      </c>
      <c r="O14" s="15">
        <v>3009</v>
      </c>
      <c r="P14" s="15">
        <v>2703</v>
      </c>
      <c r="Q14" s="45">
        <v>3009</v>
      </c>
      <c r="R14" s="52">
        <f t="shared" si="0"/>
        <v>57834</v>
      </c>
    </row>
    <row r="15" spans="1:18">
      <c r="A15" s="1" t="s">
        <v>3</v>
      </c>
      <c r="B15" s="8" t="s">
        <v>56</v>
      </c>
      <c r="C15" s="12">
        <v>531</v>
      </c>
      <c r="D15" s="5">
        <v>531</v>
      </c>
      <c r="E15" s="5">
        <v>0</v>
      </c>
      <c r="F15" s="5">
        <v>1017</v>
      </c>
      <c r="G15" s="5">
        <v>0</v>
      </c>
      <c r="H15" s="5">
        <v>531</v>
      </c>
      <c r="I15" s="5">
        <v>774</v>
      </c>
      <c r="J15" s="5">
        <v>477</v>
      </c>
      <c r="K15" s="5">
        <v>747</v>
      </c>
      <c r="L15" s="5">
        <v>747</v>
      </c>
      <c r="M15" s="5">
        <v>882</v>
      </c>
      <c r="N15" s="5">
        <v>639</v>
      </c>
      <c r="O15" s="5">
        <v>531</v>
      </c>
      <c r="P15" s="5">
        <v>477</v>
      </c>
      <c r="Q15" s="46">
        <v>531</v>
      </c>
      <c r="R15" s="53">
        <f t="shared" si="0"/>
        <v>8415</v>
      </c>
    </row>
    <row r="16" spans="1:18">
      <c r="A16" s="1" t="s">
        <v>3</v>
      </c>
      <c r="B16" s="8" t="s">
        <v>57</v>
      </c>
      <c r="C16" s="12">
        <v>5398</v>
      </c>
      <c r="D16" s="5">
        <v>5398</v>
      </c>
      <c r="E16" s="5">
        <v>10614</v>
      </c>
      <c r="F16" s="5">
        <v>10339</v>
      </c>
      <c r="G16" s="5">
        <v>7594</v>
      </c>
      <c r="H16" s="5">
        <v>5398</v>
      </c>
      <c r="I16" s="5">
        <v>7869</v>
      </c>
      <c r="J16" s="5">
        <v>4849</v>
      </c>
      <c r="K16" s="5">
        <v>7594</v>
      </c>
      <c r="L16" s="5">
        <v>7594</v>
      </c>
      <c r="M16" s="5">
        <v>8967</v>
      </c>
      <c r="N16" s="5">
        <v>6496</v>
      </c>
      <c r="O16" s="5">
        <v>5398</v>
      </c>
      <c r="P16" s="5">
        <v>4849</v>
      </c>
      <c r="Q16" s="46">
        <v>5398</v>
      </c>
      <c r="R16" s="53">
        <f t="shared" si="0"/>
        <v>103755</v>
      </c>
    </row>
    <row r="17" spans="1:18">
      <c r="A17" s="1" t="s">
        <v>3</v>
      </c>
      <c r="B17" s="23" t="s">
        <v>58</v>
      </c>
      <c r="C17" s="24">
        <v>324</v>
      </c>
      <c r="D17" s="25">
        <v>324</v>
      </c>
      <c r="E17" s="25">
        <v>638</v>
      </c>
      <c r="F17" s="25">
        <v>621</v>
      </c>
      <c r="G17" s="25">
        <v>456</v>
      </c>
      <c r="H17" s="25">
        <v>324</v>
      </c>
      <c r="I17" s="25">
        <v>473</v>
      </c>
      <c r="J17" s="25">
        <v>291</v>
      </c>
      <c r="K17" s="25">
        <v>456</v>
      </c>
      <c r="L17" s="25">
        <v>456</v>
      </c>
      <c r="M17" s="25">
        <v>539</v>
      </c>
      <c r="N17" s="25">
        <v>390</v>
      </c>
      <c r="O17" s="25">
        <v>324</v>
      </c>
      <c r="P17" s="25">
        <v>291</v>
      </c>
      <c r="Q17" s="47">
        <v>324</v>
      </c>
      <c r="R17" s="54">
        <f t="shared" si="0"/>
        <v>6231</v>
      </c>
    </row>
    <row r="18" spans="1:18">
      <c r="A18" s="1" t="s">
        <v>3</v>
      </c>
      <c r="B18" s="28" t="s">
        <v>59</v>
      </c>
      <c r="C18" s="29">
        <v>49738</v>
      </c>
      <c r="D18" s="30">
        <v>49738</v>
      </c>
      <c r="E18" s="30">
        <v>98832</v>
      </c>
      <c r="F18" s="30">
        <v>95260</v>
      </c>
      <c r="G18" s="30">
        <v>70717</v>
      </c>
      <c r="H18" s="30">
        <v>49738</v>
      </c>
      <c r="I18" s="30">
        <v>72498</v>
      </c>
      <c r="J18" s="30">
        <v>44680</v>
      </c>
      <c r="K18" s="30">
        <v>69970</v>
      </c>
      <c r="L18" s="30">
        <v>69970</v>
      </c>
      <c r="M18" s="30">
        <v>82614</v>
      </c>
      <c r="N18" s="30">
        <v>59854</v>
      </c>
      <c r="O18" s="30">
        <v>49738</v>
      </c>
      <c r="P18" s="30">
        <v>44680</v>
      </c>
      <c r="Q18" s="48">
        <v>49738</v>
      </c>
      <c r="R18" s="55">
        <f t="shared" si="0"/>
        <v>957765</v>
      </c>
    </row>
    <row r="19" spans="1:18">
      <c r="A19" s="1" t="s">
        <v>3</v>
      </c>
      <c r="B19" s="33" t="s">
        <v>60</v>
      </c>
      <c r="C19" s="34">
        <v>2031</v>
      </c>
      <c r="D19" s="35">
        <v>3046</v>
      </c>
      <c r="E19" s="35">
        <v>6054</v>
      </c>
      <c r="F19" s="35">
        <v>7780</v>
      </c>
      <c r="G19" s="35">
        <v>4332</v>
      </c>
      <c r="H19" s="35">
        <v>3046</v>
      </c>
      <c r="I19" s="35">
        <v>4441</v>
      </c>
      <c r="J19" s="35">
        <v>2737</v>
      </c>
      <c r="K19" s="35">
        <v>4286</v>
      </c>
      <c r="L19" s="35">
        <v>4286</v>
      </c>
      <c r="M19" s="35">
        <v>3373</v>
      </c>
      <c r="N19" s="35">
        <v>3666</v>
      </c>
      <c r="O19" s="35">
        <v>3046</v>
      </c>
      <c r="P19" s="35">
        <v>2737</v>
      </c>
      <c r="Q19" s="49">
        <v>3046</v>
      </c>
      <c r="R19" s="56">
        <f t="shared" si="0"/>
        <v>57907</v>
      </c>
    </row>
    <row r="20" spans="1:18">
      <c r="A20" s="1" t="s">
        <v>3</v>
      </c>
      <c r="B20" s="28" t="s">
        <v>61</v>
      </c>
      <c r="C20" s="29">
        <v>9262</v>
      </c>
      <c r="D20" s="30">
        <v>9262</v>
      </c>
      <c r="E20" s="30">
        <v>17168</v>
      </c>
      <c r="F20" s="30">
        <v>17740</v>
      </c>
      <c r="G20" s="30">
        <v>12283</v>
      </c>
      <c r="H20" s="30">
        <v>9262</v>
      </c>
      <c r="I20" s="30">
        <v>13502</v>
      </c>
      <c r="J20" s="30">
        <v>8320</v>
      </c>
      <c r="K20" s="30">
        <v>13030</v>
      </c>
      <c r="L20" s="30">
        <v>13030</v>
      </c>
      <c r="M20" s="30">
        <v>15386</v>
      </c>
      <c r="N20" s="30">
        <v>11146</v>
      </c>
      <c r="O20" s="30">
        <v>9262</v>
      </c>
      <c r="P20" s="30">
        <v>8320</v>
      </c>
      <c r="Q20" s="48">
        <v>9262</v>
      </c>
      <c r="R20" s="55">
        <f t="shared" si="0"/>
        <v>176235</v>
      </c>
    </row>
    <row r="21" spans="1:18">
      <c r="A21" s="1" t="s">
        <v>3</v>
      </c>
      <c r="B21" s="28" t="s">
        <v>62</v>
      </c>
      <c r="C21" s="29">
        <v>47707</v>
      </c>
      <c r="D21" s="30">
        <v>46692</v>
      </c>
      <c r="E21" s="30">
        <v>92778</v>
      </c>
      <c r="F21" s="30">
        <v>87480</v>
      </c>
      <c r="G21" s="30">
        <v>66385</v>
      </c>
      <c r="H21" s="30">
        <v>46692</v>
      </c>
      <c r="I21" s="30">
        <v>68057</v>
      </c>
      <c r="J21" s="30">
        <v>41943</v>
      </c>
      <c r="K21" s="30">
        <v>65684</v>
      </c>
      <c r="L21" s="30">
        <v>65684</v>
      </c>
      <c r="M21" s="30">
        <v>79241</v>
      </c>
      <c r="N21" s="30">
        <v>56188</v>
      </c>
      <c r="O21" s="30">
        <v>46692</v>
      </c>
      <c r="P21" s="30">
        <v>41943</v>
      </c>
      <c r="Q21" s="48">
        <v>46692</v>
      </c>
      <c r="R21" s="55">
        <f t="shared" si="0"/>
        <v>899858</v>
      </c>
    </row>
    <row r="22" spans="1:18">
      <c r="A22" s="1" t="s">
        <v>3</v>
      </c>
      <c r="B22" s="28" t="s">
        <v>63</v>
      </c>
      <c r="C22" s="29">
        <v>47707</v>
      </c>
      <c r="D22" s="30">
        <v>46692</v>
      </c>
      <c r="E22" s="30">
        <v>92778</v>
      </c>
      <c r="F22" s="30">
        <v>87480</v>
      </c>
      <c r="G22" s="30">
        <v>66385</v>
      </c>
      <c r="H22" s="30">
        <v>46692</v>
      </c>
      <c r="I22" s="30">
        <v>68057</v>
      </c>
      <c r="J22" s="30">
        <v>41943</v>
      </c>
      <c r="K22" s="30">
        <v>65684</v>
      </c>
      <c r="L22" s="30">
        <v>65684</v>
      </c>
      <c r="M22" s="30">
        <v>79241</v>
      </c>
      <c r="N22" s="30">
        <v>56188</v>
      </c>
      <c r="O22" s="30">
        <v>46692</v>
      </c>
      <c r="P22" s="30">
        <v>41943</v>
      </c>
      <c r="Q22" s="48">
        <v>46692</v>
      </c>
      <c r="R22" s="55">
        <f t="shared" si="0"/>
        <v>899858</v>
      </c>
    </row>
    <row r="23" spans="1:18" ht="19.5" thickBot="1">
      <c r="A23" s="1" t="s">
        <v>3</v>
      </c>
      <c r="B23" s="38" t="s">
        <v>64</v>
      </c>
      <c r="C23" s="39">
        <v>2031</v>
      </c>
      <c r="D23" s="40">
        <v>3046</v>
      </c>
      <c r="E23" s="40">
        <v>6054</v>
      </c>
      <c r="F23" s="40">
        <v>7780</v>
      </c>
      <c r="G23" s="40">
        <v>4332</v>
      </c>
      <c r="H23" s="40">
        <v>3046</v>
      </c>
      <c r="I23" s="40">
        <v>4441</v>
      </c>
      <c r="J23" s="40">
        <v>2737</v>
      </c>
      <c r="K23" s="40">
        <v>4286</v>
      </c>
      <c r="L23" s="40">
        <v>4286</v>
      </c>
      <c r="M23" s="40">
        <v>3373</v>
      </c>
      <c r="N23" s="40">
        <v>3666</v>
      </c>
      <c r="O23" s="40">
        <v>3046</v>
      </c>
      <c r="P23" s="40">
        <v>2737</v>
      </c>
      <c r="Q23" s="50">
        <v>3046</v>
      </c>
      <c r="R23" s="57">
        <f t="shared" si="0"/>
        <v>57907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2025-06-16T04:46:59Z</dcterms:created>
  <dcterms:modified xsi:type="dcterms:W3CDTF">2025-09-24T04:41:27Z</dcterms:modified>
  <cp:category/>
  <cp:contentStatus/>
</cp:coreProperties>
</file>