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年夏季賞与\"/>
    </mc:Choice>
  </mc:AlternateContent>
  <xr:revisionPtr revIDLastSave="0" documentId="13_ncr:1_{0E5EE542-B6C4-460E-9A3B-7E0A77AC531C}" xr6:coauthVersionLast="47" xr6:coauthVersionMax="47" xr10:uidLastSave="{00000000-0000-0000-0000-000000000000}"/>
  <bookViews>
    <workbookView xWindow="-120" yWindow="-120" windowWidth="20730" windowHeight="11160" xr2:uid="{9EDBBE15-260B-422A-AAC2-1FFB051A0FFD}"/>
  </bookViews>
  <sheets>
    <sheet name="R7年夏賞与" sheetId="2" r:id="rId1"/>
    <sheet name="R7年夏賞与 (2)" sheetId="3" r:id="rId2"/>
    <sheet name="R7年夏賞与 (3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" l="1"/>
  <c r="L14" i="2" s="1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L23" i="2"/>
  <c r="L22" i="2"/>
  <c r="L21" i="2"/>
  <c r="L20" i="2"/>
  <c r="L19" i="2"/>
  <c r="L18" i="2"/>
  <c r="L17" i="2"/>
  <c r="L16" i="2"/>
  <c r="L15" i="2"/>
  <c r="L13" i="2"/>
  <c r="L12" i="2"/>
  <c r="L11" i="2"/>
  <c r="L10" i="2"/>
  <c r="L9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I9" i="2"/>
  <c r="I23" i="2"/>
  <c r="I22" i="2"/>
  <c r="I21" i="2"/>
  <c r="I20" i="2"/>
  <c r="I19" i="2"/>
  <c r="I18" i="2"/>
  <c r="I17" i="2"/>
  <c r="I16" i="2"/>
  <c r="I15" i="2"/>
  <c r="I13" i="2"/>
  <c r="I12" i="2"/>
  <c r="I11" i="2"/>
  <c r="I10" i="2"/>
</calcChain>
</file>

<file path=xl/sharedStrings.xml><?xml version="1.0" encoding="utf-8"?>
<sst xmlns="http://schemas.openxmlformats.org/spreadsheetml/2006/main" count="146" uniqueCount="40">
  <si>
    <t>賞与支給控除一覧表</t>
    <phoneticPr fontId="4"/>
  </si>
  <si>
    <t>若林運送株式会社</t>
    <phoneticPr fontId="4"/>
  </si>
  <si>
    <t>2025年 6月16日 作成</t>
    <phoneticPr fontId="4"/>
  </si>
  <si>
    <t/>
  </si>
  <si>
    <t>R7年夏賞与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</si>
  <si>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</si>
  <si>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</si>
  <si>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</si>
  <si>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</si>
  <si>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</si>
  <si>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</si>
  <si>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1201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</si>
  <si>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</si>
  <si>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</si>
  <si>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</si>
  <si>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</si>
  <si>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</si>
  <si>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</si>
  <si>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</si>
  <si>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小幡　泰寛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</si>
  <si>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</si>
  <si>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</si>
  <si>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</si>
  <si>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</si>
  <si>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</si>
  <si>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</si>
  <si>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</si>
  <si>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</si>
  <si>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</si>
  <si>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</si>
  <si>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</si>
  <si>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</si>
  <si>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</si>
  <si>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</si>
  <si>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</si>
  <si>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</si>
  <si>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小計</t>
    <rPh sb="0" eb="2">
      <t>ショウケイ</t>
    </rPh>
    <phoneticPr fontId="3"/>
  </si>
  <si>
    <t>6名</t>
    <rPh sb="1" eb="2">
      <t>メイ</t>
    </rPh>
    <phoneticPr fontId="4"/>
  </si>
  <si>
    <t>1名</t>
    <rPh sb="1" eb="2">
      <t>メイ</t>
    </rPh>
    <phoneticPr fontId="4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</si>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</sst>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5" xfId="1" applyNumberFormat="1" applyFont="1" applyBorder="1" applyAlignment="1">
      <alignment horizontal="center"/>
    </xf>
    <xf numFmtId="3" fontId="2" fillId="0" borderId="8" xfId="1" applyNumberFormat="1" applyFont="1" applyBorder="1"/>
    <xf numFmtId="3" fontId="2" fillId="0" borderId="9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left"/>
    </xf>
    <xf numFmtId="3" fontId="2" fillId="0" borderId="17" xfId="1" applyNumberFormat="1" applyFont="1" applyBorder="1"/>
    <xf numFmtId="49" fontId="2" fillId="0" borderId="4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3" fontId="2" fillId="0" borderId="7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29" xfId="1" applyNumberFormat="1" applyFont="1" applyBorder="1" applyAlignment="1">
      <alignment horizontal="left"/>
    </xf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0" fontId="2" fillId="0" borderId="16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</cellXfs>
  <cellStyles count="2">
    <cellStyle name="標準" xfId="0" builtinId="0"/>
    <cellStyle name="標準 2" xfId="1" xr:uid="{DDE51FC3-0FBA-4B25-A19F-1240128A3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9F31-082E-42C7-B229-D46E734F7A4A}">
  <dimension ref="A1:L23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I15" sqref="I15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8" width="11.125" style="2" bestFit="1" customWidth="1"/>
    <col min="9" max="9" width="9" style="2"/>
    <col min="10" max="10" width="9" style="2" bestFit="1" customWidth="1"/>
    <col min="11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67" width="11.125" style="2" bestFit="1" customWidth="1"/>
    <col min="268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3" width="11.125" style="2" bestFit="1" customWidth="1"/>
    <col min="524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79" width="11.125" style="2" bestFit="1" customWidth="1"/>
    <col min="780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5" width="11.125" style="2" bestFit="1" customWidth="1"/>
    <col min="1036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1" width="11.125" style="2" bestFit="1" customWidth="1"/>
    <col min="1292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47" width="11.125" style="2" bestFit="1" customWidth="1"/>
    <col min="1548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3" width="11.125" style="2" bestFit="1" customWidth="1"/>
    <col min="1804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59" width="11.125" style="2" bestFit="1" customWidth="1"/>
    <col min="2060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5" width="11.125" style="2" bestFit="1" customWidth="1"/>
    <col min="2316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1" width="11.125" style="2" bestFit="1" customWidth="1"/>
    <col min="2572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27" width="11.125" style="2" bestFit="1" customWidth="1"/>
    <col min="2828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3" width="11.125" style="2" bestFit="1" customWidth="1"/>
    <col min="3084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39" width="11.125" style="2" bestFit="1" customWidth="1"/>
    <col min="3340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5" width="11.125" style="2" bestFit="1" customWidth="1"/>
    <col min="3596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1" width="11.125" style="2" bestFit="1" customWidth="1"/>
    <col min="3852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07" width="11.125" style="2" bestFit="1" customWidth="1"/>
    <col min="4108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3" width="11.125" style="2" bestFit="1" customWidth="1"/>
    <col min="4364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19" width="11.125" style="2" bestFit="1" customWidth="1"/>
    <col min="4620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5" width="11.125" style="2" bestFit="1" customWidth="1"/>
    <col min="4876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1" width="11.125" style="2" bestFit="1" customWidth="1"/>
    <col min="5132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87" width="11.125" style="2" bestFit="1" customWidth="1"/>
    <col min="5388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3" width="11.125" style="2" bestFit="1" customWidth="1"/>
    <col min="5644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899" width="11.125" style="2" bestFit="1" customWidth="1"/>
    <col min="5900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5" width="11.125" style="2" bestFit="1" customWidth="1"/>
    <col min="6156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1" width="11.125" style="2" bestFit="1" customWidth="1"/>
    <col min="6412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67" width="11.125" style="2" bestFit="1" customWidth="1"/>
    <col min="6668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3" width="11.125" style="2" bestFit="1" customWidth="1"/>
    <col min="6924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79" width="11.125" style="2" bestFit="1" customWidth="1"/>
    <col min="7180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5" width="11.125" style="2" bestFit="1" customWidth="1"/>
    <col min="7436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1" width="11.125" style="2" bestFit="1" customWidth="1"/>
    <col min="7692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47" width="11.125" style="2" bestFit="1" customWidth="1"/>
    <col min="7948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3" width="11.125" style="2" bestFit="1" customWidth="1"/>
    <col min="8204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59" width="11.125" style="2" bestFit="1" customWidth="1"/>
    <col min="8460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5" width="11.125" style="2" bestFit="1" customWidth="1"/>
    <col min="8716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1" width="11.125" style="2" bestFit="1" customWidth="1"/>
    <col min="8972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27" width="11.125" style="2" bestFit="1" customWidth="1"/>
    <col min="9228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3" width="11.125" style="2" bestFit="1" customWidth="1"/>
    <col min="9484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39" width="11.125" style="2" bestFit="1" customWidth="1"/>
    <col min="9740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5" width="11.125" style="2" bestFit="1" customWidth="1"/>
    <col min="9996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1" width="11.125" style="2" bestFit="1" customWidth="1"/>
    <col min="10252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07" width="11.125" style="2" bestFit="1" customWidth="1"/>
    <col min="10508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3" width="11.125" style="2" bestFit="1" customWidth="1"/>
    <col min="10764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19" width="11.125" style="2" bestFit="1" customWidth="1"/>
    <col min="11020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5" width="11.125" style="2" bestFit="1" customWidth="1"/>
    <col min="11276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1" width="11.125" style="2" bestFit="1" customWidth="1"/>
    <col min="11532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87" width="11.125" style="2" bestFit="1" customWidth="1"/>
    <col min="11788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3" width="11.125" style="2" bestFit="1" customWidth="1"/>
    <col min="12044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299" width="11.125" style="2" bestFit="1" customWidth="1"/>
    <col min="12300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5" width="11.125" style="2" bestFit="1" customWidth="1"/>
    <col min="12556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1" width="11.125" style="2" bestFit="1" customWidth="1"/>
    <col min="12812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67" width="11.125" style="2" bestFit="1" customWidth="1"/>
    <col min="13068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3" width="11.125" style="2" bestFit="1" customWidth="1"/>
    <col min="13324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79" width="11.125" style="2" bestFit="1" customWidth="1"/>
    <col min="13580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5" width="11.125" style="2" bestFit="1" customWidth="1"/>
    <col min="13836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1" width="11.125" style="2" bestFit="1" customWidth="1"/>
    <col min="14092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47" width="11.125" style="2" bestFit="1" customWidth="1"/>
    <col min="14348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3" width="11.125" style="2" bestFit="1" customWidth="1"/>
    <col min="14604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59" width="11.125" style="2" bestFit="1" customWidth="1"/>
    <col min="14860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5" width="11.125" style="2" bestFit="1" customWidth="1"/>
    <col min="15116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1" width="11.125" style="2" bestFit="1" customWidth="1"/>
    <col min="15372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27" width="11.125" style="2" bestFit="1" customWidth="1"/>
    <col min="15628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3" width="11.125" style="2" bestFit="1" customWidth="1"/>
    <col min="15884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39" width="11.125" style="2" bestFit="1" customWidth="1"/>
    <col min="16140" max="16384" width="9" style="2"/>
  </cols>
  <sheetData>
    <row r="1" spans="1:12">
      <c r="A1" s="1" t="s">
        <v>0</v>
      </c>
    </row>
    <row r="2" spans="1:12">
      <c r="A2" s="1"/>
    </row>
    <row r="3" spans="1:12">
      <c r="A3" s="1" t="s">
        <v>1</v>
      </c>
    </row>
    <row r="4" spans="1:12">
      <c r="A4" s="1" t="s">
        <v>2</v>
      </c>
    </row>
    <row r="5" spans="1:12">
      <c r="A5" s="1" t="s">
        <v>3</v>
      </c>
    </row>
    <row r="6" spans="1:12" ht="19.5" thickBot="1">
      <c r="A6" s="1" t="s">
        <v>4</v>
      </c>
    </row>
    <row r="7" spans="1:12">
      <c r="B7" s="7"/>
      <c r="C7" s="10" t="s">
        <v>5</v>
      </c>
      <c r="D7" s="4" t="s">
        <v>7</v>
      </c>
      <c r="E7" s="4" t="s">
        <v>8</v>
      </c>
      <c r="F7" s="4" t="s">
        <v>9</v>
      </c>
      <c r="G7" s="4" t="s">
        <v>10</v>
      </c>
      <c r="H7" s="11" t="s">
        <v>11</v>
      </c>
      <c r="I7" s="45" t="s">
        <v>36</v>
      </c>
      <c r="J7" s="38" t="s">
        <v>6</v>
      </c>
      <c r="K7" s="46" t="s">
        <v>36</v>
      </c>
      <c r="L7" s="45" t="s">
        <v>20</v>
      </c>
    </row>
    <row r="8" spans="1:12" ht="19.5" thickBot="1">
      <c r="A8" s="3"/>
      <c r="B8" s="18" t="s">
        <v>12</v>
      </c>
      <c r="C8" s="19" t="s">
        <v>13</v>
      </c>
      <c r="D8" s="20" t="s">
        <v>15</v>
      </c>
      <c r="E8" s="20" t="s">
        <v>16</v>
      </c>
      <c r="F8" s="20" t="s">
        <v>17</v>
      </c>
      <c r="G8" s="20" t="s">
        <v>18</v>
      </c>
      <c r="H8" s="21" t="s">
        <v>19</v>
      </c>
      <c r="I8" s="22" t="s">
        <v>37</v>
      </c>
      <c r="J8" s="39" t="s">
        <v>14</v>
      </c>
      <c r="K8" s="47" t="s">
        <v>38</v>
      </c>
      <c r="L8" s="22" t="s">
        <v>39</v>
      </c>
    </row>
    <row r="9" spans="1:12">
      <c r="A9" s="1" t="s">
        <v>3</v>
      </c>
      <c r="B9" s="13" t="s">
        <v>21</v>
      </c>
      <c r="C9" s="14">
        <v>83000</v>
      </c>
      <c r="D9" s="15">
        <v>59000</v>
      </c>
      <c r="E9" s="15">
        <v>59000</v>
      </c>
      <c r="F9" s="15">
        <v>59000</v>
      </c>
      <c r="G9" s="15">
        <v>59000</v>
      </c>
      <c r="H9" s="16">
        <v>21500</v>
      </c>
      <c r="I9" s="17">
        <f>SUM(C9:H9)</f>
        <v>340500</v>
      </c>
      <c r="J9" s="40">
        <v>370000</v>
      </c>
      <c r="K9" s="48">
        <f>J9</f>
        <v>370000</v>
      </c>
      <c r="L9" s="17">
        <f>I9+K9</f>
        <v>710500</v>
      </c>
    </row>
    <row r="10" spans="1:12">
      <c r="A10" s="1" t="s">
        <v>3</v>
      </c>
      <c r="B10" s="8" t="s">
        <v>22</v>
      </c>
      <c r="C10" s="12">
        <v>15000</v>
      </c>
      <c r="D10" s="5">
        <v>0</v>
      </c>
      <c r="E10" s="5">
        <v>0</v>
      </c>
      <c r="F10" s="5">
        <v>0</v>
      </c>
      <c r="G10" s="5">
        <v>0</v>
      </c>
      <c r="H10" s="6">
        <v>0</v>
      </c>
      <c r="I10" s="9">
        <f t="shared" ref="I10:I23" si="0">SUM(C10:H10)</f>
        <v>15000</v>
      </c>
      <c r="J10" s="41">
        <v>0</v>
      </c>
      <c r="K10" s="49">
        <f t="shared" ref="K10:K23" si="1">J10</f>
        <v>0</v>
      </c>
      <c r="L10" s="9">
        <f t="shared" ref="L10:L23" si="2">I10+K10</f>
        <v>15000</v>
      </c>
    </row>
    <row r="11" spans="1:12">
      <c r="A11" s="1" t="s">
        <v>3</v>
      </c>
      <c r="B11" s="23" t="s">
        <v>23</v>
      </c>
      <c r="C11" s="24">
        <v>0</v>
      </c>
      <c r="D11" s="25">
        <v>10000</v>
      </c>
      <c r="E11" s="25">
        <v>0</v>
      </c>
      <c r="F11" s="25">
        <v>0</v>
      </c>
      <c r="G11" s="25">
        <v>0</v>
      </c>
      <c r="H11" s="26">
        <v>0</v>
      </c>
      <c r="I11" s="27">
        <f t="shared" si="0"/>
        <v>10000</v>
      </c>
      <c r="J11" s="42">
        <v>0</v>
      </c>
      <c r="K11" s="50">
        <f t="shared" si="1"/>
        <v>0</v>
      </c>
      <c r="L11" s="27">
        <f t="shared" si="2"/>
        <v>10000</v>
      </c>
    </row>
    <row r="12" spans="1:12">
      <c r="A12" s="1" t="s">
        <v>3</v>
      </c>
      <c r="B12" s="28" t="s">
        <v>24</v>
      </c>
      <c r="C12" s="29">
        <v>98000</v>
      </c>
      <c r="D12" s="30">
        <v>69000</v>
      </c>
      <c r="E12" s="30">
        <v>59000</v>
      </c>
      <c r="F12" s="30">
        <v>59000</v>
      </c>
      <c r="G12" s="30">
        <v>59000</v>
      </c>
      <c r="H12" s="31">
        <v>21500</v>
      </c>
      <c r="I12" s="32">
        <f t="shared" si="0"/>
        <v>365500</v>
      </c>
      <c r="J12" s="43">
        <v>370000</v>
      </c>
      <c r="K12" s="51">
        <f t="shared" si="1"/>
        <v>370000</v>
      </c>
      <c r="L12" s="32">
        <f t="shared" si="2"/>
        <v>735500</v>
      </c>
    </row>
    <row r="13" spans="1:12">
      <c r="A13" s="1" t="s">
        <v>3</v>
      </c>
      <c r="B13" s="28" t="s">
        <v>25</v>
      </c>
      <c r="C13" s="29">
        <v>98000</v>
      </c>
      <c r="D13" s="30">
        <v>69000</v>
      </c>
      <c r="E13" s="30">
        <v>59000</v>
      </c>
      <c r="F13" s="30">
        <v>59000</v>
      </c>
      <c r="G13" s="30">
        <v>59000</v>
      </c>
      <c r="H13" s="31">
        <v>21500</v>
      </c>
      <c r="I13" s="32">
        <f t="shared" si="0"/>
        <v>365500</v>
      </c>
      <c r="J13" s="43">
        <v>370000</v>
      </c>
      <c r="K13" s="51">
        <f t="shared" si="1"/>
        <v>370000</v>
      </c>
      <c r="L13" s="32">
        <f t="shared" si="2"/>
        <v>735500</v>
      </c>
    </row>
    <row r="14" spans="1:12">
      <c r="A14" s="1" t="s">
        <v>3</v>
      </c>
      <c r="B14" s="13" t="s">
        <v>26</v>
      </c>
      <c r="C14" s="14">
        <v>4998</v>
      </c>
      <c r="D14" s="15">
        <v>3519</v>
      </c>
      <c r="E14" s="15">
        <v>3009</v>
      </c>
      <c r="F14" s="15">
        <v>3009</v>
      </c>
      <c r="G14" s="15">
        <v>3009</v>
      </c>
      <c r="H14" s="16">
        <v>1071</v>
      </c>
      <c r="I14" s="17">
        <f>SUM(C14:H14)</f>
        <v>18615</v>
      </c>
      <c r="J14" s="40">
        <v>18870</v>
      </c>
      <c r="K14" s="48">
        <f t="shared" si="1"/>
        <v>18870</v>
      </c>
      <c r="L14" s="17">
        <f t="shared" si="2"/>
        <v>37485</v>
      </c>
    </row>
    <row r="15" spans="1:12">
      <c r="A15" s="1" t="s">
        <v>3</v>
      </c>
      <c r="B15" s="8" t="s">
        <v>27</v>
      </c>
      <c r="C15" s="12">
        <v>882</v>
      </c>
      <c r="D15" s="5">
        <v>621</v>
      </c>
      <c r="E15" s="5">
        <v>531</v>
      </c>
      <c r="F15" s="5">
        <v>531</v>
      </c>
      <c r="G15" s="5">
        <v>531</v>
      </c>
      <c r="H15" s="6">
        <v>189</v>
      </c>
      <c r="I15" s="9">
        <f t="shared" si="0"/>
        <v>3285</v>
      </c>
      <c r="J15" s="41">
        <v>3330</v>
      </c>
      <c r="K15" s="49">
        <f t="shared" si="1"/>
        <v>3330</v>
      </c>
      <c r="L15" s="9">
        <f t="shared" si="2"/>
        <v>6615</v>
      </c>
    </row>
    <row r="16" spans="1:12">
      <c r="A16" s="1" t="s">
        <v>3</v>
      </c>
      <c r="B16" s="8" t="s">
        <v>28</v>
      </c>
      <c r="C16" s="12">
        <v>8967</v>
      </c>
      <c r="D16" s="5">
        <v>6313</v>
      </c>
      <c r="E16" s="5">
        <v>5398</v>
      </c>
      <c r="F16" s="5">
        <v>5398</v>
      </c>
      <c r="G16" s="5">
        <v>5398</v>
      </c>
      <c r="H16" s="6">
        <v>1921</v>
      </c>
      <c r="I16" s="9">
        <f t="shared" si="0"/>
        <v>33395</v>
      </c>
      <c r="J16" s="41">
        <v>33855</v>
      </c>
      <c r="K16" s="49">
        <f t="shared" si="1"/>
        <v>33855</v>
      </c>
      <c r="L16" s="9">
        <f t="shared" si="2"/>
        <v>67250</v>
      </c>
    </row>
    <row r="17" spans="1:12">
      <c r="A17" s="1" t="s">
        <v>3</v>
      </c>
      <c r="B17" s="23" t="s">
        <v>29</v>
      </c>
      <c r="C17" s="24">
        <v>539</v>
      </c>
      <c r="D17" s="25">
        <v>379</v>
      </c>
      <c r="E17" s="25">
        <v>324</v>
      </c>
      <c r="F17" s="25">
        <v>324</v>
      </c>
      <c r="G17" s="25">
        <v>324</v>
      </c>
      <c r="H17" s="26">
        <v>118</v>
      </c>
      <c r="I17" s="27">
        <f t="shared" si="0"/>
        <v>2008</v>
      </c>
      <c r="J17" s="42">
        <v>2035</v>
      </c>
      <c r="K17" s="50">
        <f t="shared" si="1"/>
        <v>2035</v>
      </c>
      <c r="L17" s="27">
        <f t="shared" si="2"/>
        <v>4043</v>
      </c>
    </row>
    <row r="18" spans="1:12">
      <c r="A18" s="1" t="s">
        <v>3</v>
      </c>
      <c r="B18" s="28" t="s">
        <v>30</v>
      </c>
      <c r="C18" s="29">
        <v>82614</v>
      </c>
      <c r="D18" s="30">
        <v>58168</v>
      </c>
      <c r="E18" s="30">
        <v>49738</v>
      </c>
      <c r="F18" s="30">
        <v>49738</v>
      </c>
      <c r="G18" s="30">
        <v>49738</v>
      </c>
      <c r="H18" s="31">
        <v>18201</v>
      </c>
      <c r="I18" s="32">
        <f t="shared" si="0"/>
        <v>308197</v>
      </c>
      <c r="J18" s="43">
        <v>311910</v>
      </c>
      <c r="K18" s="51">
        <f t="shared" si="1"/>
        <v>311910</v>
      </c>
      <c r="L18" s="32">
        <f t="shared" si="2"/>
        <v>620107</v>
      </c>
    </row>
    <row r="19" spans="1:12">
      <c r="A19" s="1" t="s">
        <v>3</v>
      </c>
      <c r="B19" s="28" t="s">
        <v>31</v>
      </c>
      <c r="C19" s="29">
        <v>8434</v>
      </c>
      <c r="D19" s="30">
        <v>3563</v>
      </c>
      <c r="E19" s="30">
        <v>2031</v>
      </c>
      <c r="F19" s="30">
        <v>4062</v>
      </c>
      <c r="G19" s="30">
        <v>3046</v>
      </c>
      <c r="H19" s="31">
        <v>743</v>
      </c>
      <c r="I19" s="32">
        <f t="shared" si="0"/>
        <v>21879</v>
      </c>
      <c r="J19" s="43">
        <v>19107</v>
      </c>
      <c r="K19" s="51">
        <f t="shared" si="1"/>
        <v>19107</v>
      </c>
      <c r="L19" s="32">
        <f t="shared" si="2"/>
        <v>40986</v>
      </c>
    </row>
    <row r="20" spans="1:12">
      <c r="A20" s="1" t="s">
        <v>3</v>
      </c>
      <c r="B20" s="28" t="s">
        <v>32</v>
      </c>
      <c r="C20" s="29">
        <v>15386</v>
      </c>
      <c r="D20" s="30">
        <v>10832</v>
      </c>
      <c r="E20" s="30">
        <v>9262</v>
      </c>
      <c r="F20" s="30">
        <v>9262</v>
      </c>
      <c r="G20" s="30">
        <v>9262</v>
      </c>
      <c r="H20" s="31">
        <v>3299</v>
      </c>
      <c r="I20" s="32">
        <f t="shared" si="0"/>
        <v>57303</v>
      </c>
      <c r="J20" s="43">
        <v>58090</v>
      </c>
      <c r="K20" s="51">
        <f t="shared" si="1"/>
        <v>58090</v>
      </c>
      <c r="L20" s="32">
        <f t="shared" si="2"/>
        <v>115393</v>
      </c>
    </row>
    <row r="21" spans="1:12">
      <c r="A21" s="1" t="s">
        <v>3</v>
      </c>
      <c r="B21" s="28" t="s">
        <v>33</v>
      </c>
      <c r="C21" s="29">
        <v>74180</v>
      </c>
      <c r="D21" s="30">
        <v>54605</v>
      </c>
      <c r="E21" s="30">
        <v>47707</v>
      </c>
      <c r="F21" s="30">
        <v>45676</v>
      </c>
      <c r="G21" s="30">
        <v>46692</v>
      </c>
      <c r="H21" s="31">
        <v>17458</v>
      </c>
      <c r="I21" s="32">
        <f t="shared" si="0"/>
        <v>286318</v>
      </c>
      <c r="J21" s="43">
        <v>292803</v>
      </c>
      <c r="K21" s="51">
        <f t="shared" si="1"/>
        <v>292803</v>
      </c>
      <c r="L21" s="32">
        <f t="shared" si="2"/>
        <v>579121</v>
      </c>
    </row>
    <row r="22" spans="1:12">
      <c r="A22" s="1" t="s">
        <v>3</v>
      </c>
      <c r="B22" s="28" t="s">
        <v>34</v>
      </c>
      <c r="C22" s="29">
        <v>74180</v>
      </c>
      <c r="D22" s="30">
        <v>54605</v>
      </c>
      <c r="E22" s="30">
        <v>47707</v>
      </c>
      <c r="F22" s="30">
        <v>45676</v>
      </c>
      <c r="G22" s="30">
        <v>46692</v>
      </c>
      <c r="H22" s="31">
        <v>17458</v>
      </c>
      <c r="I22" s="32">
        <f t="shared" si="0"/>
        <v>286318</v>
      </c>
      <c r="J22" s="43">
        <v>292803</v>
      </c>
      <c r="K22" s="51">
        <f t="shared" si="1"/>
        <v>292803</v>
      </c>
      <c r="L22" s="32">
        <f t="shared" si="2"/>
        <v>579121</v>
      </c>
    </row>
    <row r="23" spans="1:12" ht="19.5" thickBot="1">
      <c r="A23" s="1" t="s">
        <v>3</v>
      </c>
      <c r="B23" s="33" t="s">
        <v>35</v>
      </c>
      <c r="C23" s="34">
        <v>8434</v>
      </c>
      <c r="D23" s="35">
        <v>3563</v>
      </c>
      <c r="E23" s="35">
        <v>2031</v>
      </c>
      <c r="F23" s="35">
        <v>4062</v>
      </c>
      <c r="G23" s="35">
        <v>3046</v>
      </c>
      <c r="H23" s="36">
        <v>743</v>
      </c>
      <c r="I23" s="37">
        <f t="shared" si="0"/>
        <v>21879</v>
      </c>
      <c r="J23" s="44">
        <v>19107</v>
      </c>
      <c r="K23" s="52">
        <f t="shared" si="1"/>
        <v>19107</v>
      </c>
      <c r="L23" s="37">
        <f t="shared" si="2"/>
        <v>40986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3F89-4842-485C-9135-83A24236FE6F}">
  <dimension ref="A1:D23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1" sqref="E1:E1048576"/>
    </sheetView>
  </sheetViews>
  <sheetFormatPr defaultRowHeight="18.75"/>
  <cols>
    <col min="1" max="1" width="2.375" style="2" customWidth="1"/>
    <col min="2" max="2" width="13.25" style="2" bestFit="1" customWidth="1"/>
    <col min="3" max="3" width="9" style="2" bestFit="1" customWidth="1"/>
    <col min="4" max="250" width="9" style="2"/>
    <col min="251" max="251" width="2.375" style="2" customWidth="1"/>
    <col min="252" max="252" width="13.25" style="2" bestFit="1" customWidth="1"/>
    <col min="253" max="253" width="11.125" style="2" bestFit="1" customWidth="1"/>
    <col min="254" max="255" width="9" style="2"/>
    <col min="256" max="259" width="11.125" style="2" bestFit="1" customWidth="1"/>
    <col min="260" max="506" width="9" style="2"/>
    <col min="507" max="507" width="2.375" style="2" customWidth="1"/>
    <col min="508" max="508" width="13.25" style="2" bestFit="1" customWidth="1"/>
    <col min="509" max="509" width="11.125" style="2" bestFit="1" customWidth="1"/>
    <col min="510" max="511" width="9" style="2"/>
    <col min="512" max="515" width="11.125" style="2" bestFit="1" customWidth="1"/>
    <col min="516" max="762" width="9" style="2"/>
    <col min="763" max="763" width="2.375" style="2" customWidth="1"/>
    <col min="764" max="764" width="13.25" style="2" bestFit="1" customWidth="1"/>
    <col min="765" max="765" width="11.125" style="2" bestFit="1" customWidth="1"/>
    <col min="766" max="767" width="9" style="2"/>
    <col min="768" max="771" width="11.125" style="2" bestFit="1" customWidth="1"/>
    <col min="772" max="1018" width="9" style="2"/>
    <col min="1019" max="1019" width="2.375" style="2" customWidth="1"/>
    <col min="1020" max="1020" width="13.25" style="2" bestFit="1" customWidth="1"/>
    <col min="1021" max="1021" width="11.125" style="2" bestFit="1" customWidth="1"/>
    <col min="1022" max="1023" width="9" style="2"/>
    <col min="1024" max="1027" width="11.125" style="2" bestFit="1" customWidth="1"/>
    <col min="1028" max="1274" width="9" style="2"/>
    <col min="1275" max="1275" width="2.375" style="2" customWidth="1"/>
    <col min="1276" max="1276" width="13.25" style="2" bestFit="1" customWidth="1"/>
    <col min="1277" max="1277" width="11.125" style="2" bestFit="1" customWidth="1"/>
    <col min="1278" max="1279" width="9" style="2"/>
    <col min="1280" max="1283" width="11.125" style="2" bestFit="1" customWidth="1"/>
    <col min="1284" max="1530" width="9" style="2"/>
    <col min="1531" max="1531" width="2.375" style="2" customWidth="1"/>
    <col min="1532" max="1532" width="13.25" style="2" bestFit="1" customWidth="1"/>
    <col min="1533" max="1533" width="11.125" style="2" bestFit="1" customWidth="1"/>
    <col min="1534" max="1535" width="9" style="2"/>
    <col min="1536" max="1539" width="11.125" style="2" bestFit="1" customWidth="1"/>
    <col min="1540" max="1786" width="9" style="2"/>
    <col min="1787" max="1787" width="2.375" style="2" customWidth="1"/>
    <col min="1788" max="1788" width="13.25" style="2" bestFit="1" customWidth="1"/>
    <col min="1789" max="1789" width="11.125" style="2" bestFit="1" customWidth="1"/>
    <col min="1790" max="1791" width="9" style="2"/>
    <col min="1792" max="1795" width="11.125" style="2" bestFit="1" customWidth="1"/>
    <col min="1796" max="2042" width="9" style="2"/>
    <col min="2043" max="2043" width="2.375" style="2" customWidth="1"/>
    <col min="2044" max="2044" width="13.25" style="2" bestFit="1" customWidth="1"/>
    <col min="2045" max="2045" width="11.125" style="2" bestFit="1" customWidth="1"/>
    <col min="2046" max="2047" width="9" style="2"/>
    <col min="2048" max="2051" width="11.125" style="2" bestFit="1" customWidth="1"/>
    <col min="2052" max="2298" width="9" style="2"/>
    <col min="2299" max="2299" width="2.375" style="2" customWidth="1"/>
    <col min="2300" max="2300" width="13.25" style="2" bestFit="1" customWidth="1"/>
    <col min="2301" max="2301" width="11.125" style="2" bestFit="1" customWidth="1"/>
    <col min="2302" max="2303" width="9" style="2"/>
    <col min="2304" max="2307" width="11.125" style="2" bestFit="1" customWidth="1"/>
    <col min="2308" max="2554" width="9" style="2"/>
    <col min="2555" max="2555" width="2.375" style="2" customWidth="1"/>
    <col min="2556" max="2556" width="13.25" style="2" bestFit="1" customWidth="1"/>
    <col min="2557" max="2557" width="11.125" style="2" bestFit="1" customWidth="1"/>
    <col min="2558" max="2559" width="9" style="2"/>
    <col min="2560" max="2563" width="11.125" style="2" bestFit="1" customWidth="1"/>
    <col min="2564" max="2810" width="9" style="2"/>
    <col min="2811" max="2811" width="2.375" style="2" customWidth="1"/>
    <col min="2812" max="2812" width="13.25" style="2" bestFit="1" customWidth="1"/>
    <col min="2813" max="2813" width="11.125" style="2" bestFit="1" customWidth="1"/>
    <col min="2814" max="2815" width="9" style="2"/>
    <col min="2816" max="2819" width="11.125" style="2" bestFit="1" customWidth="1"/>
    <col min="2820" max="3066" width="9" style="2"/>
    <col min="3067" max="3067" width="2.375" style="2" customWidth="1"/>
    <col min="3068" max="3068" width="13.25" style="2" bestFit="1" customWidth="1"/>
    <col min="3069" max="3069" width="11.125" style="2" bestFit="1" customWidth="1"/>
    <col min="3070" max="3071" width="9" style="2"/>
    <col min="3072" max="3075" width="11.125" style="2" bestFit="1" customWidth="1"/>
    <col min="3076" max="3322" width="9" style="2"/>
    <col min="3323" max="3323" width="2.375" style="2" customWidth="1"/>
    <col min="3324" max="3324" width="13.25" style="2" bestFit="1" customWidth="1"/>
    <col min="3325" max="3325" width="11.125" style="2" bestFit="1" customWidth="1"/>
    <col min="3326" max="3327" width="9" style="2"/>
    <col min="3328" max="3331" width="11.125" style="2" bestFit="1" customWidth="1"/>
    <col min="3332" max="3578" width="9" style="2"/>
    <col min="3579" max="3579" width="2.375" style="2" customWidth="1"/>
    <col min="3580" max="3580" width="13.25" style="2" bestFit="1" customWidth="1"/>
    <col min="3581" max="3581" width="11.125" style="2" bestFit="1" customWidth="1"/>
    <col min="3582" max="3583" width="9" style="2"/>
    <col min="3584" max="3587" width="11.125" style="2" bestFit="1" customWidth="1"/>
    <col min="3588" max="3834" width="9" style="2"/>
    <col min="3835" max="3835" width="2.375" style="2" customWidth="1"/>
    <col min="3836" max="3836" width="13.25" style="2" bestFit="1" customWidth="1"/>
    <col min="3837" max="3837" width="11.125" style="2" bestFit="1" customWidth="1"/>
    <col min="3838" max="3839" width="9" style="2"/>
    <col min="3840" max="3843" width="11.125" style="2" bestFit="1" customWidth="1"/>
    <col min="3844" max="4090" width="9" style="2"/>
    <col min="4091" max="4091" width="2.375" style="2" customWidth="1"/>
    <col min="4092" max="4092" width="13.25" style="2" bestFit="1" customWidth="1"/>
    <col min="4093" max="4093" width="11.125" style="2" bestFit="1" customWidth="1"/>
    <col min="4094" max="4095" width="9" style="2"/>
    <col min="4096" max="4099" width="11.125" style="2" bestFit="1" customWidth="1"/>
    <col min="4100" max="4346" width="9" style="2"/>
    <col min="4347" max="4347" width="2.375" style="2" customWidth="1"/>
    <col min="4348" max="4348" width="13.25" style="2" bestFit="1" customWidth="1"/>
    <col min="4349" max="4349" width="11.125" style="2" bestFit="1" customWidth="1"/>
    <col min="4350" max="4351" width="9" style="2"/>
    <col min="4352" max="4355" width="11.125" style="2" bestFit="1" customWidth="1"/>
    <col min="4356" max="4602" width="9" style="2"/>
    <col min="4603" max="4603" width="2.375" style="2" customWidth="1"/>
    <col min="4604" max="4604" width="13.25" style="2" bestFit="1" customWidth="1"/>
    <col min="4605" max="4605" width="11.125" style="2" bestFit="1" customWidth="1"/>
    <col min="4606" max="4607" width="9" style="2"/>
    <col min="4608" max="4611" width="11.125" style="2" bestFit="1" customWidth="1"/>
    <col min="4612" max="4858" width="9" style="2"/>
    <col min="4859" max="4859" width="2.375" style="2" customWidth="1"/>
    <col min="4860" max="4860" width="13.25" style="2" bestFit="1" customWidth="1"/>
    <col min="4861" max="4861" width="11.125" style="2" bestFit="1" customWidth="1"/>
    <col min="4862" max="4863" width="9" style="2"/>
    <col min="4864" max="4867" width="11.125" style="2" bestFit="1" customWidth="1"/>
    <col min="4868" max="5114" width="9" style="2"/>
    <col min="5115" max="5115" width="2.375" style="2" customWidth="1"/>
    <col min="5116" max="5116" width="13.25" style="2" bestFit="1" customWidth="1"/>
    <col min="5117" max="5117" width="11.125" style="2" bestFit="1" customWidth="1"/>
    <col min="5118" max="5119" width="9" style="2"/>
    <col min="5120" max="5123" width="11.125" style="2" bestFit="1" customWidth="1"/>
    <col min="5124" max="5370" width="9" style="2"/>
    <col min="5371" max="5371" width="2.375" style="2" customWidth="1"/>
    <col min="5372" max="5372" width="13.25" style="2" bestFit="1" customWidth="1"/>
    <col min="5373" max="5373" width="11.125" style="2" bestFit="1" customWidth="1"/>
    <col min="5374" max="5375" width="9" style="2"/>
    <col min="5376" max="5379" width="11.125" style="2" bestFit="1" customWidth="1"/>
    <col min="5380" max="5626" width="9" style="2"/>
    <col min="5627" max="5627" width="2.375" style="2" customWidth="1"/>
    <col min="5628" max="5628" width="13.25" style="2" bestFit="1" customWidth="1"/>
    <col min="5629" max="5629" width="11.125" style="2" bestFit="1" customWidth="1"/>
    <col min="5630" max="5631" width="9" style="2"/>
    <col min="5632" max="5635" width="11.125" style="2" bestFit="1" customWidth="1"/>
    <col min="5636" max="5882" width="9" style="2"/>
    <col min="5883" max="5883" width="2.375" style="2" customWidth="1"/>
    <col min="5884" max="5884" width="13.25" style="2" bestFit="1" customWidth="1"/>
    <col min="5885" max="5885" width="11.125" style="2" bestFit="1" customWidth="1"/>
    <col min="5886" max="5887" width="9" style="2"/>
    <col min="5888" max="5891" width="11.125" style="2" bestFit="1" customWidth="1"/>
    <col min="5892" max="6138" width="9" style="2"/>
    <col min="6139" max="6139" width="2.375" style="2" customWidth="1"/>
    <col min="6140" max="6140" width="13.25" style="2" bestFit="1" customWidth="1"/>
    <col min="6141" max="6141" width="11.125" style="2" bestFit="1" customWidth="1"/>
    <col min="6142" max="6143" width="9" style="2"/>
    <col min="6144" max="6147" width="11.125" style="2" bestFit="1" customWidth="1"/>
    <col min="6148" max="6394" width="9" style="2"/>
    <col min="6395" max="6395" width="2.375" style="2" customWidth="1"/>
    <col min="6396" max="6396" width="13.25" style="2" bestFit="1" customWidth="1"/>
    <col min="6397" max="6397" width="11.125" style="2" bestFit="1" customWidth="1"/>
    <col min="6398" max="6399" width="9" style="2"/>
    <col min="6400" max="6403" width="11.125" style="2" bestFit="1" customWidth="1"/>
    <col min="6404" max="6650" width="9" style="2"/>
    <col min="6651" max="6651" width="2.375" style="2" customWidth="1"/>
    <col min="6652" max="6652" width="13.25" style="2" bestFit="1" customWidth="1"/>
    <col min="6653" max="6653" width="11.125" style="2" bestFit="1" customWidth="1"/>
    <col min="6654" max="6655" width="9" style="2"/>
    <col min="6656" max="6659" width="11.125" style="2" bestFit="1" customWidth="1"/>
    <col min="6660" max="6906" width="9" style="2"/>
    <col min="6907" max="6907" width="2.375" style="2" customWidth="1"/>
    <col min="6908" max="6908" width="13.25" style="2" bestFit="1" customWidth="1"/>
    <col min="6909" max="6909" width="11.125" style="2" bestFit="1" customWidth="1"/>
    <col min="6910" max="6911" width="9" style="2"/>
    <col min="6912" max="6915" width="11.125" style="2" bestFit="1" customWidth="1"/>
    <col min="6916" max="7162" width="9" style="2"/>
    <col min="7163" max="7163" width="2.375" style="2" customWidth="1"/>
    <col min="7164" max="7164" width="13.25" style="2" bestFit="1" customWidth="1"/>
    <col min="7165" max="7165" width="11.125" style="2" bestFit="1" customWidth="1"/>
    <col min="7166" max="7167" width="9" style="2"/>
    <col min="7168" max="7171" width="11.125" style="2" bestFit="1" customWidth="1"/>
    <col min="7172" max="7418" width="9" style="2"/>
    <col min="7419" max="7419" width="2.375" style="2" customWidth="1"/>
    <col min="7420" max="7420" width="13.25" style="2" bestFit="1" customWidth="1"/>
    <col min="7421" max="7421" width="11.125" style="2" bestFit="1" customWidth="1"/>
    <col min="7422" max="7423" width="9" style="2"/>
    <col min="7424" max="7427" width="11.125" style="2" bestFit="1" customWidth="1"/>
    <col min="7428" max="7674" width="9" style="2"/>
    <col min="7675" max="7675" width="2.375" style="2" customWidth="1"/>
    <col min="7676" max="7676" width="13.25" style="2" bestFit="1" customWidth="1"/>
    <col min="7677" max="7677" width="11.125" style="2" bestFit="1" customWidth="1"/>
    <col min="7678" max="7679" width="9" style="2"/>
    <col min="7680" max="7683" width="11.125" style="2" bestFit="1" customWidth="1"/>
    <col min="7684" max="7930" width="9" style="2"/>
    <col min="7931" max="7931" width="2.375" style="2" customWidth="1"/>
    <col min="7932" max="7932" width="13.25" style="2" bestFit="1" customWidth="1"/>
    <col min="7933" max="7933" width="11.125" style="2" bestFit="1" customWidth="1"/>
    <col min="7934" max="7935" width="9" style="2"/>
    <col min="7936" max="7939" width="11.125" style="2" bestFit="1" customWidth="1"/>
    <col min="7940" max="8186" width="9" style="2"/>
    <col min="8187" max="8187" width="2.375" style="2" customWidth="1"/>
    <col min="8188" max="8188" width="13.25" style="2" bestFit="1" customWidth="1"/>
    <col min="8189" max="8189" width="11.125" style="2" bestFit="1" customWidth="1"/>
    <col min="8190" max="8191" width="9" style="2"/>
    <col min="8192" max="8195" width="11.125" style="2" bestFit="1" customWidth="1"/>
    <col min="8196" max="8442" width="9" style="2"/>
    <col min="8443" max="8443" width="2.375" style="2" customWidth="1"/>
    <col min="8444" max="8444" width="13.25" style="2" bestFit="1" customWidth="1"/>
    <col min="8445" max="8445" width="11.125" style="2" bestFit="1" customWidth="1"/>
    <col min="8446" max="8447" width="9" style="2"/>
    <col min="8448" max="8451" width="11.125" style="2" bestFit="1" customWidth="1"/>
    <col min="8452" max="8698" width="9" style="2"/>
    <col min="8699" max="8699" width="2.375" style="2" customWidth="1"/>
    <col min="8700" max="8700" width="13.25" style="2" bestFit="1" customWidth="1"/>
    <col min="8701" max="8701" width="11.125" style="2" bestFit="1" customWidth="1"/>
    <col min="8702" max="8703" width="9" style="2"/>
    <col min="8704" max="8707" width="11.125" style="2" bestFit="1" customWidth="1"/>
    <col min="8708" max="8954" width="9" style="2"/>
    <col min="8955" max="8955" width="2.375" style="2" customWidth="1"/>
    <col min="8956" max="8956" width="13.25" style="2" bestFit="1" customWidth="1"/>
    <col min="8957" max="8957" width="11.125" style="2" bestFit="1" customWidth="1"/>
    <col min="8958" max="8959" width="9" style="2"/>
    <col min="8960" max="8963" width="11.125" style="2" bestFit="1" customWidth="1"/>
    <col min="8964" max="9210" width="9" style="2"/>
    <col min="9211" max="9211" width="2.375" style="2" customWidth="1"/>
    <col min="9212" max="9212" width="13.25" style="2" bestFit="1" customWidth="1"/>
    <col min="9213" max="9213" width="11.125" style="2" bestFit="1" customWidth="1"/>
    <col min="9214" max="9215" width="9" style="2"/>
    <col min="9216" max="9219" width="11.125" style="2" bestFit="1" customWidth="1"/>
    <col min="9220" max="9466" width="9" style="2"/>
    <col min="9467" max="9467" width="2.375" style="2" customWidth="1"/>
    <col min="9468" max="9468" width="13.25" style="2" bestFit="1" customWidth="1"/>
    <col min="9469" max="9469" width="11.125" style="2" bestFit="1" customWidth="1"/>
    <col min="9470" max="9471" width="9" style="2"/>
    <col min="9472" max="9475" width="11.125" style="2" bestFit="1" customWidth="1"/>
    <col min="9476" max="9722" width="9" style="2"/>
    <col min="9723" max="9723" width="2.375" style="2" customWidth="1"/>
    <col min="9724" max="9724" width="13.25" style="2" bestFit="1" customWidth="1"/>
    <col min="9725" max="9725" width="11.125" style="2" bestFit="1" customWidth="1"/>
    <col min="9726" max="9727" width="9" style="2"/>
    <col min="9728" max="9731" width="11.125" style="2" bestFit="1" customWidth="1"/>
    <col min="9732" max="9978" width="9" style="2"/>
    <col min="9979" max="9979" width="2.375" style="2" customWidth="1"/>
    <col min="9980" max="9980" width="13.25" style="2" bestFit="1" customWidth="1"/>
    <col min="9981" max="9981" width="11.125" style="2" bestFit="1" customWidth="1"/>
    <col min="9982" max="9983" width="9" style="2"/>
    <col min="9984" max="9987" width="11.125" style="2" bestFit="1" customWidth="1"/>
    <col min="9988" max="10234" width="9" style="2"/>
    <col min="10235" max="10235" width="2.375" style="2" customWidth="1"/>
    <col min="10236" max="10236" width="13.25" style="2" bestFit="1" customWidth="1"/>
    <col min="10237" max="10237" width="11.125" style="2" bestFit="1" customWidth="1"/>
    <col min="10238" max="10239" width="9" style="2"/>
    <col min="10240" max="10243" width="11.125" style="2" bestFit="1" customWidth="1"/>
    <col min="10244" max="10490" width="9" style="2"/>
    <col min="10491" max="10491" width="2.375" style="2" customWidth="1"/>
    <col min="10492" max="10492" width="13.25" style="2" bestFit="1" customWidth="1"/>
    <col min="10493" max="10493" width="11.125" style="2" bestFit="1" customWidth="1"/>
    <col min="10494" max="10495" width="9" style="2"/>
    <col min="10496" max="10499" width="11.125" style="2" bestFit="1" customWidth="1"/>
    <col min="10500" max="10746" width="9" style="2"/>
    <col min="10747" max="10747" width="2.375" style="2" customWidth="1"/>
    <col min="10748" max="10748" width="13.25" style="2" bestFit="1" customWidth="1"/>
    <col min="10749" max="10749" width="11.125" style="2" bestFit="1" customWidth="1"/>
    <col min="10750" max="10751" width="9" style="2"/>
    <col min="10752" max="10755" width="11.125" style="2" bestFit="1" customWidth="1"/>
    <col min="10756" max="11002" width="9" style="2"/>
    <col min="11003" max="11003" width="2.375" style="2" customWidth="1"/>
    <col min="11004" max="11004" width="13.25" style="2" bestFit="1" customWidth="1"/>
    <col min="11005" max="11005" width="11.125" style="2" bestFit="1" customWidth="1"/>
    <col min="11006" max="11007" width="9" style="2"/>
    <col min="11008" max="11011" width="11.125" style="2" bestFit="1" customWidth="1"/>
    <col min="11012" max="11258" width="9" style="2"/>
    <col min="11259" max="11259" width="2.375" style="2" customWidth="1"/>
    <col min="11260" max="11260" width="13.25" style="2" bestFit="1" customWidth="1"/>
    <col min="11261" max="11261" width="11.125" style="2" bestFit="1" customWidth="1"/>
    <col min="11262" max="11263" width="9" style="2"/>
    <col min="11264" max="11267" width="11.125" style="2" bestFit="1" customWidth="1"/>
    <col min="11268" max="11514" width="9" style="2"/>
    <col min="11515" max="11515" width="2.375" style="2" customWidth="1"/>
    <col min="11516" max="11516" width="13.25" style="2" bestFit="1" customWidth="1"/>
    <col min="11517" max="11517" width="11.125" style="2" bestFit="1" customWidth="1"/>
    <col min="11518" max="11519" width="9" style="2"/>
    <col min="11520" max="11523" width="11.125" style="2" bestFit="1" customWidth="1"/>
    <col min="11524" max="11770" width="9" style="2"/>
    <col min="11771" max="11771" width="2.375" style="2" customWidth="1"/>
    <col min="11772" max="11772" width="13.25" style="2" bestFit="1" customWidth="1"/>
    <col min="11773" max="11773" width="11.125" style="2" bestFit="1" customWidth="1"/>
    <col min="11774" max="11775" width="9" style="2"/>
    <col min="11776" max="11779" width="11.125" style="2" bestFit="1" customWidth="1"/>
    <col min="11780" max="12026" width="9" style="2"/>
    <col min="12027" max="12027" width="2.375" style="2" customWidth="1"/>
    <col min="12028" max="12028" width="13.25" style="2" bestFit="1" customWidth="1"/>
    <col min="12029" max="12029" width="11.125" style="2" bestFit="1" customWidth="1"/>
    <col min="12030" max="12031" width="9" style="2"/>
    <col min="12032" max="12035" width="11.125" style="2" bestFit="1" customWidth="1"/>
    <col min="12036" max="12282" width="9" style="2"/>
    <col min="12283" max="12283" width="2.375" style="2" customWidth="1"/>
    <col min="12284" max="12284" width="13.25" style="2" bestFit="1" customWidth="1"/>
    <col min="12285" max="12285" width="11.125" style="2" bestFit="1" customWidth="1"/>
    <col min="12286" max="12287" width="9" style="2"/>
    <col min="12288" max="12291" width="11.125" style="2" bestFit="1" customWidth="1"/>
    <col min="12292" max="12538" width="9" style="2"/>
    <col min="12539" max="12539" width="2.375" style="2" customWidth="1"/>
    <col min="12540" max="12540" width="13.25" style="2" bestFit="1" customWidth="1"/>
    <col min="12541" max="12541" width="11.125" style="2" bestFit="1" customWidth="1"/>
    <col min="12542" max="12543" width="9" style="2"/>
    <col min="12544" max="12547" width="11.125" style="2" bestFit="1" customWidth="1"/>
    <col min="12548" max="12794" width="9" style="2"/>
    <col min="12795" max="12795" width="2.375" style="2" customWidth="1"/>
    <col min="12796" max="12796" width="13.25" style="2" bestFit="1" customWidth="1"/>
    <col min="12797" max="12797" width="11.125" style="2" bestFit="1" customWidth="1"/>
    <col min="12798" max="12799" width="9" style="2"/>
    <col min="12800" max="12803" width="11.125" style="2" bestFit="1" customWidth="1"/>
    <col min="12804" max="13050" width="9" style="2"/>
    <col min="13051" max="13051" width="2.375" style="2" customWidth="1"/>
    <col min="13052" max="13052" width="13.25" style="2" bestFit="1" customWidth="1"/>
    <col min="13053" max="13053" width="11.125" style="2" bestFit="1" customWidth="1"/>
    <col min="13054" max="13055" width="9" style="2"/>
    <col min="13056" max="13059" width="11.125" style="2" bestFit="1" customWidth="1"/>
    <col min="13060" max="13306" width="9" style="2"/>
    <col min="13307" max="13307" width="2.375" style="2" customWidth="1"/>
    <col min="13308" max="13308" width="13.25" style="2" bestFit="1" customWidth="1"/>
    <col min="13309" max="13309" width="11.125" style="2" bestFit="1" customWidth="1"/>
    <col min="13310" max="13311" width="9" style="2"/>
    <col min="13312" max="13315" width="11.125" style="2" bestFit="1" customWidth="1"/>
    <col min="13316" max="13562" width="9" style="2"/>
    <col min="13563" max="13563" width="2.375" style="2" customWidth="1"/>
    <col min="13564" max="13564" width="13.25" style="2" bestFit="1" customWidth="1"/>
    <col min="13565" max="13565" width="11.125" style="2" bestFit="1" customWidth="1"/>
    <col min="13566" max="13567" width="9" style="2"/>
    <col min="13568" max="13571" width="11.125" style="2" bestFit="1" customWidth="1"/>
    <col min="13572" max="13818" width="9" style="2"/>
    <col min="13819" max="13819" width="2.375" style="2" customWidth="1"/>
    <col min="13820" max="13820" width="13.25" style="2" bestFit="1" customWidth="1"/>
    <col min="13821" max="13821" width="11.125" style="2" bestFit="1" customWidth="1"/>
    <col min="13822" max="13823" width="9" style="2"/>
    <col min="13824" max="13827" width="11.125" style="2" bestFit="1" customWidth="1"/>
    <col min="13828" max="14074" width="9" style="2"/>
    <col min="14075" max="14075" width="2.375" style="2" customWidth="1"/>
    <col min="14076" max="14076" width="13.25" style="2" bestFit="1" customWidth="1"/>
    <col min="14077" max="14077" width="11.125" style="2" bestFit="1" customWidth="1"/>
    <col min="14078" max="14079" width="9" style="2"/>
    <col min="14080" max="14083" width="11.125" style="2" bestFit="1" customWidth="1"/>
    <col min="14084" max="14330" width="9" style="2"/>
    <col min="14331" max="14331" width="2.375" style="2" customWidth="1"/>
    <col min="14332" max="14332" width="13.25" style="2" bestFit="1" customWidth="1"/>
    <col min="14333" max="14333" width="11.125" style="2" bestFit="1" customWidth="1"/>
    <col min="14334" max="14335" width="9" style="2"/>
    <col min="14336" max="14339" width="11.125" style="2" bestFit="1" customWidth="1"/>
    <col min="14340" max="14586" width="9" style="2"/>
    <col min="14587" max="14587" width="2.375" style="2" customWidth="1"/>
    <col min="14588" max="14588" width="13.25" style="2" bestFit="1" customWidth="1"/>
    <col min="14589" max="14589" width="11.125" style="2" bestFit="1" customWidth="1"/>
    <col min="14590" max="14591" width="9" style="2"/>
    <col min="14592" max="14595" width="11.125" style="2" bestFit="1" customWidth="1"/>
    <col min="14596" max="14842" width="9" style="2"/>
    <col min="14843" max="14843" width="2.375" style="2" customWidth="1"/>
    <col min="14844" max="14844" width="13.25" style="2" bestFit="1" customWidth="1"/>
    <col min="14845" max="14845" width="11.125" style="2" bestFit="1" customWidth="1"/>
    <col min="14846" max="14847" width="9" style="2"/>
    <col min="14848" max="14851" width="11.125" style="2" bestFit="1" customWidth="1"/>
    <col min="14852" max="15098" width="9" style="2"/>
    <col min="15099" max="15099" width="2.375" style="2" customWidth="1"/>
    <col min="15100" max="15100" width="13.25" style="2" bestFit="1" customWidth="1"/>
    <col min="15101" max="15101" width="11.125" style="2" bestFit="1" customWidth="1"/>
    <col min="15102" max="15103" width="9" style="2"/>
    <col min="15104" max="15107" width="11.125" style="2" bestFit="1" customWidth="1"/>
    <col min="15108" max="15354" width="9" style="2"/>
    <col min="15355" max="15355" width="2.375" style="2" customWidth="1"/>
    <col min="15356" max="15356" width="13.25" style="2" bestFit="1" customWidth="1"/>
    <col min="15357" max="15357" width="11.125" style="2" bestFit="1" customWidth="1"/>
    <col min="15358" max="15359" width="9" style="2"/>
    <col min="15360" max="15363" width="11.125" style="2" bestFit="1" customWidth="1"/>
    <col min="15364" max="15610" width="9" style="2"/>
    <col min="15611" max="15611" width="2.375" style="2" customWidth="1"/>
    <col min="15612" max="15612" width="13.25" style="2" bestFit="1" customWidth="1"/>
    <col min="15613" max="15613" width="11.125" style="2" bestFit="1" customWidth="1"/>
    <col min="15614" max="15615" width="9" style="2"/>
    <col min="15616" max="15619" width="11.125" style="2" bestFit="1" customWidth="1"/>
    <col min="15620" max="15866" width="9" style="2"/>
    <col min="15867" max="15867" width="2.375" style="2" customWidth="1"/>
    <col min="15868" max="15868" width="13.25" style="2" bestFit="1" customWidth="1"/>
    <col min="15869" max="15869" width="11.125" style="2" bestFit="1" customWidth="1"/>
    <col min="15870" max="15871" width="9" style="2"/>
    <col min="15872" max="15875" width="11.125" style="2" bestFit="1" customWidth="1"/>
    <col min="15876" max="16122" width="9" style="2"/>
    <col min="16123" max="16123" width="2.375" style="2" customWidth="1"/>
    <col min="16124" max="16124" width="13.25" style="2" bestFit="1" customWidth="1"/>
    <col min="16125" max="16125" width="11.125" style="2" bestFit="1" customWidth="1"/>
    <col min="16126" max="16127" width="9" style="2"/>
    <col min="16128" max="16131" width="11.125" style="2" bestFit="1" customWidth="1"/>
    <col min="16132" max="16384" width="9" style="2"/>
  </cols>
  <sheetData>
    <row r="1" spans="1:4">
      <c r="A1" s="1" t="s">
        <v>0</v>
      </c>
    </row>
    <row r="2" spans="1:4">
      <c r="A2" s="1"/>
    </row>
    <row r="3" spans="1:4">
      <c r="A3" s="1" t="s">
        <v>1</v>
      </c>
    </row>
    <row r="4" spans="1:4">
      <c r="A4" s="1" t="s">
        <v>2</v>
      </c>
    </row>
    <row r="5" spans="1:4">
      <c r="A5" s="1" t="s">
        <v>3</v>
      </c>
    </row>
    <row r="6" spans="1:4" ht="19.5" thickBot="1">
      <c r="A6" s="1" t="s">
        <v>4</v>
      </c>
    </row>
    <row r="7" spans="1:4">
      <c r="B7" s="7"/>
      <c r="C7" s="38" t="s">
        <v>6</v>
      </c>
      <c r="D7" s="46" t="s">
        <v>36</v>
      </c>
    </row>
    <row r="8" spans="1:4" ht="19.5" thickBot="1">
      <c r="A8" s="3"/>
      <c r="B8" s="18" t="s">
        <v>12</v>
      </c>
      <c r="C8" s="39" t="s">
        <v>14</v>
      </c>
      <c r="D8" s="47" t="s">
        <v>38</v>
      </c>
    </row>
    <row r="9" spans="1:4">
      <c r="A9" s="1" t="s">
        <v>3</v>
      </c>
      <c r="B9" s="13" t="s">
        <v>21</v>
      </c>
      <c r="C9" s="40">
        <v>370000</v>
      </c>
      <c r="D9" s="48">
        <f>C9</f>
        <v>370000</v>
      </c>
    </row>
    <row r="10" spans="1:4">
      <c r="A10" s="1" t="s">
        <v>3</v>
      </c>
      <c r="B10" s="8" t="s">
        <v>22</v>
      </c>
      <c r="C10" s="41">
        <v>0</v>
      </c>
      <c r="D10" s="49">
        <f t="shared" ref="D10:D23" si="0">C10</f>
        <v>0</v>
      </c>
    </row>
    <row r="11" spans="1:4">
      <c r="A11" s="1" t="s">
        <v>3</v>
      </c>
      <c r="B11" s="23" t="s">
        <v>23</v>
      </c>
      <c r="C11" s="42">
        <v>0</v>
      </c>
      <c r="D11" s="50">
        <f t="shared" si="0"/>
        <v>0</v>
      </c>
    </row>
    <row r="12" spans="1:4">
      <c r="A12" s="1" t="s">
        <v>3</v>
      </c>
      <c r="B12" s="28" t="s">
        <v>24</v>
      </c>
      <c r="C12" s="43">
        <v>370000</v>
      </c>
      <c r="D12" s="51">
        <f t="shared" si="0"/>
        <v>370000</v>
      </c>
    </row>
    <row r="13" spans="1:4">
      <c r="A13" s="1" t="s">
        <v>3</v>
      </c>
      <c r="B13" s="28" t="s">
        <v>25</v>
      </c>
      <c r="C13" s="43">
        <v>370000</v>
      </c>
      <c r="D13" s="51">
        <f t="shared" si="0"/>
        <v>370000</v>
      </c>
    </row>
    <row r="14" spans="1:4">
      <c r="A14" s="1" t="s">
        <v>3</v>
      </c>
      <c r="B14" s="13" t="s">
        <v>26</v>
      </c>
      <c r="C14" s="40">
        <v>18870</v>
      </c>
      <c r="D14" s="48">
        <f t="shared" si="0"/>
        <v>18870</v>
      </c>
    </row>
    <row r="15" spans="1:4">
      <c r="A15" s="1" t="s">
        <v>3</v>
      </c>
      <c r="B15" s="8" t="s">
        <v>27</v>
      </c>
      <c r="C15" s="41">
        <v>3330</v>
      </c>
      <c r="D15" s="49">
        <f t="shared" si="0"/>
        <v>3330</v>
      </c>
    </row>
    <row r="16" spans="1:4">
      <c r="A16" s="1" t="s">
        <v>3</v>
      </c>
      <c r="B16" s="8" t="s">
        <v>28</v>
      </c>
      <c r="C16" s="41">
        <v>33855</v>
      </c>
      <c r="D16" s="49">
        <f t="shared" si="0"/>
        <v>33855</v>
      </c>
    </row>
    <row r="17" spans="1:4">
      <c r="A17" s="1" t="s">
        <v>3</v>
      </c>
      <c r="B17" s="23" t="s">
        <v>29</v>
      </c>
      <c r="C17" s="42">
        <v>2035</v>
      </c>
      <c r="D17" s="50">
        <f t="shared" si="0"/>
        <v>2035</v>
      </c>
    </row>
    <row r="18" spans="1:4">
      <c r="A18" s="1" t="s">
        <v>3</v>
      </c>
      <c r="B18" s="28" t="s">
        <v>30</v>
      </c>
      <c r="C18" s="43">
        <v>311910</v>
      </c>
      <c r="D18" s="51">
        <f t="shared" si="0"/>
        <v>311910</v>
      </c>
    </row>
    <row r="19" spans="1:4">
      <c r="A19" s="1" t="s">
        <v>3</v>
      </c>
      <c r="B19" s="28" t="s">
        <v>31</v>
      </c>
      <c r="C19" s="43">
        <v>19107</v>
      </c>
      <c r="D19" s="51">
        <f t="shared" si="0"/>
        <v>19107</v>
      </c>
    </row>
    <row r="20" spans="1:4">
      <c r="A20" s="1" t="s">
        <v>3</v>
      </c>
      <c r="B20" s="28" t="s">
        <v>32</v>
      </c>
      <c r="C20" s="43">
        <v>58090</v>
      </c>
      <c r="D20" s="51">
        <f t="shared" si="0"/>
        <v>58090</v>
      </c>
    </row>
    <row r="21" spans="1:4">
      <c r="A21" s="1" t="s">
        <v>3</v>
      </c>
      <c r="B21" s="28" t="s">
        <v>33</v>
      </c>
      <c r="C21" s="43">
        <v>292803</v>
      </c>
      <c r="D21" s="51">
        <f t="shared" si="0"/>
        <v>292803</v>
      </c>
    </row>
    <row r="22" spans="1:4">
      <c r="A22" s="1" t="s">
        <v>3</v>
      </c>
      <c r="B22" s="28" t="s">
        <v>34</v>
      </c>
      <c r="C22" s="43">
        <v>292803</v>
      </c>
      <c r="D22" s="51">
        <f t="shared" si="0"/>
        <v>292803</v>
      </c>
    </row>
    <row r="23" spans="1:4" ht="19.5" thickBot="1">
      <c r="A23" s="1" t="s">
        <v>3</v>
      </c>
      <c r="B23" s="33" t="s">
        <v>35</v>
      </c>
      <c r="C23" s="44">
        <v>19107</v>
      </c>
      <c r="D23" s="52">
        <f t="shared" si="0"/>
        <v>19107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D8B6-C6F7-4C99-AEF7-6F6295D4EF30}">
  <dimension ref="A1:I23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1" sqref="J1:L1048576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8" width="11.125" style="2" bestFit="1" customWidth="1"/>
    <col min="9" max="255" width="9" style="2"/>
    <col min="256" max="256" width="2.375" style="2" customWidth="1"/>
    <col min="257" max="257" width="13.25" style="2" bestFit="1" customWidth="1"/>
    <col min="258" max="258" width="11.125" style="2" bestFit="1" customWidth="1"/>
    <col min="259" max="260" width="9" style="2"/>
    <col min="261" max="264" width="11.125" style="2" bestFit="1" customWidth="1"/>
    <col min="265" max="511" width="9" style="2"/>
    <col min="512" max="512" width="2.375" style="2" customWidth="1"/>
    <col min="513" max="513" width="13.25" style="2" bestFit="1" customWidth="1"/>
    <col min="514" max="514" width="11.125" style="2" bestFit="1" customWidth="1"/>
    <col min="515" max="516" width="9" style="2"/>
    <col min="517" max="520" width="11.125" style="2" bestFit="1" customWidth="1"/>
    <col min="521" max="767" width="9" style="2"/>
    <col min="768" max="768" width="2.375" style="2" customWidth="1"/>
    <col min="769" max="769" width="13.25" style="2" bestFit="1" customWidth="1"/>
    <col min="770" max="770" width="11.125" style="2" bestFit="1" customWidth="1"/>
    <col min="771" max="772" width="9" style="2"/>
    <col min="773" max="776" width="11.125" style="2" bestFit="1" customWidth="1"/>
    <col min="777" max="1023" width="9" style="2"/>
    <col min="1024" max="1024" width="2.375" style="2" customWidth="1"/>
    <col min="1025" max="1025" width="13.25" style="2" bestFit="1" customWidth="1"/>
    <col min="1026" max="1026" width="11.125" style="2" bestFit="1" customWidth="1"/>
    <col min="1027" max="1028" width="9" style="2"/>
    <col min="1029" max="1032" width="11.125" style="2" bestFit="1" customWidth="1"/>
    <col min="1033" max="1279" width="9" style="2"/>
    <col min="1280" max="1280" width="2.375" style="2" customWidth="1"/>
    <col min="1281" max="1281" width="13.25" style="2" bestFit="1" customWidth="1"/>
    <col min="1282" max="1282" width="11.125" style="2" bestFit="1" customWidth="1"/>
    <col min="1283" max="1284" width="9" style="2"/>
    <col min="1285" max="1288" width="11.125" style="2" bestFit="1" customWidth="1"/>
    <col min="1289" max="1535" width="9" style="2"/>
    <col min="1536" max="1536" width="2.375" style="2" customWidth="1"/>
    <col min="1537" max="1537" width="13.25" style="2" bestFit="1" customWidth="1"/>
    <col min="1538" max="1538" width="11.125" style="2" bestFit="1" customWidth="1"/>
    <col min="1539" max="1540" width="9" style="2"/>
    <col min="1541" max="1544" width="11.125" style="2" bestFit="1" customWidth="1"/>
    <col min="1545" max="1791" width="9" style="2"/>
    <col min="1792" max="1792" width="2.375" style="2" customWidth="1"/>
    <col min="1793" max="1793" width="13.25" style="2" bestFit="1" customWidth="1"/>
    <col min="1794" max="1794" width="11.125" style="2" bestFit="1" customWidth="1"/>
    <col min="1795" max="1796" width="9" style="2"/>
    <col min="1797" max="1800" width="11.125" style="2" bestFit="1" customWidth="1"/>
    <col min="1801" max="2047" width="9" style="2"/>
    <col min="2048" max="2048" width="2.375" style="2" customWidth="1"/>
    <col min="2049" max="2049" width="13.25" style="2" bestFit="1" customWidth="1"/>
    <col min="2050" max="2050" width="11.125" style="2" bestFit="1" customWidth="1"/>
    <col min="2051" max="2052" width="9" style="2"/>
    <col min="2053" max="2056" width="11.125" style="2" bestFit="1" customWidth="1"/>
    <col min="2057" max="2303" width="9" style="2"/>
    <col min="2304" max="2304" width="2.375" style="2" customWidth="1"/>
    <col min="2305" max="2305" width="13.25" style="2" bestFit="1" customWidth="1"/>
    <col min="2306" max="2306" width="11.125" style="2" bestFit="1" customWidth="1"/>
    <col min="2307" max="2308" width="9" style="2"/>
    <col min="2309" max="2312" width="11.125" style="2" bestFit="1" customWidth="1"/>
    <col min="2313" max="2559" width="9" style="2"/>
    <col min="2560" max="2560" width="2.375" style="2" customWidth="1"/>
    <col min="2561" max="2561" width="13.25" style="2" bestFit="1" customWidth="1"/>
    <col min="2562" max="2562" width="11.125" style="2" bestFit="1" customWidth="1"/>
    <col min="2563" max="2564" width="9" style="2"/>
    <col min="2565" max="2568" width="11.125" style="2" bestFit="1" customWidth="1"/>
    <col min="2569" max="2815" width="9" style="2"/>
    <col min="2816" max="2816" width="2.375" style="2" customWidth="1"/>
    <col min="2817" max="2817" width="13.25" style="2" bestFit="1" customWidth="1"/>
    <col min="2818" max="2818" width="11.125" style="2" bestFit="1" customWidth="1"/>
    <col min="2819" max="2820" width="9" style="2"/>
    <col min="2821" max="2824" width="11.125" style="2" bestFit="1" customWidth="1"/>
    <col min="2825" max="3071" width="9" style="2"/>
    <col min="3072" max="3072" width="2.375" style="2" customWidth="1"/>
    <col min="3073" max="3073" width="13.25" style="2" bestFit="1" customWidth="1"/>
    <col min="3074" max="3074" width="11.125" style="2" bestFit="1" customWidth="1"/>
    <col min="3075" max="3076" width="9" style="2"/>
    <col min="3077" max="3080" width="11.125" style="2" bestFit="1" customWidth="1"/>
    <col min="3081" max="3327" width="9" style="2"/>
    <col min="3328" max="3328" width="2.375" style="2" customWidth="1"/>
    <col min="3329" max="3329" width="13.25" style="2" bestFit="1" customWidth="1"/>
    <col min="3330" max="3330" width="11.125" style="2" bestFit="1" customWidth="1"/>
    <col min="3331" max="3332" width="9" style="2"/>
    <col min="3333" max="3336" width="11.125" style="2" bestFit="1" customWidth="1"/>
    <col min="3337" max="3583" width="9" style="2"/>
    <col min="3584" max="3584" width="2.375" style="2" customWidth="1"/>
    <col min="3585" max="3585" width="13.25" style="2" bestFit="1" customWidth="1"/>
    <col min="3586" max="3586" width="11.125" style="2" bestFit="1" customWidth="1"/>
    <col min="3587" max="3588" width="9" style="2"/>
    <col min="3589" max="3592" width="11.125" style="2" bestFit="1" customWidth="1"/>
    <col min="3593" max="3839" width="9" style="2"/>
    <col min="3840" max="3840" width="2.375" style="2" customWidth="1"/>
    <col min="3841" max="3841" width="13.25" style="2" bestFit="1" customWidth="1"/>
    <col min="3842" max="3842" width="11.125" style="2" bestFit="1" customWidth="1"/>
    <col min="3843" max="3844" width="9" style="2"/>
    <col min="3845" max="3848" width="11.125" style="2" bestFit="1" customWidth="1"/>
    <col min="3849" max="4095" width="9" style="2"/>
    <col min="4096" max="4096" width="2.375" style="2" customWidth="1"/>
    <col min="4097" max="4097" width="13.25" style="2" bestFit="1" customWidth="1"/>
    <col min="4098" max="4098" width="11.125" style="2" bestFit="1" customWidth="1"/>
    <col min="4099" max="4100" width="9" style="2"/>
    <col min="4101" max="4104" width="11.125" style="2" bestFit="1" customWidth="1"/>
    <col min="4105" max="4351" width="9" style="2"/>
    <col min="4352" max="4352" width="2.375" style="2" customWidth="1"/>
    <col min="4353" max="4353" width="13.25" style="2" bestFit="1" customWidth="1"/>
    <col min="4354" max="4354" width="11.125" style="2" bestFit="1" customWidth="1"/>
    <col min="4355" max="4356" width="9" style="2"/>
    <col min="4357" max="4360" width="11.125" style="2" bestFit="1" customWidth="1"/>
    <col min="4361" max="4607" width="9" style="2"/>
    <col min="4608" max="4608" width="2.375" style="2" customWidth="1"/>
    <col min="4609" max="4609" width="13.25" style="2" bestFit="1" customWidth="1"/>
    <col min="4610" max="4610" width="11.125" style="2" bestFit="1" customWidth="1"/>
    <col min="4611" max="4612" width="9" style="2"/>
    <col min="4613" max="4616" width="11.125" style="2" bestFit="1" customWidth="1"/>
    <col min="4617" max="4863" width="9" style="2"/>
    <col min="4864" max="4864" width="2.375" style="2" customWidth="1"/>
    <col min="4865" max="4865" width="13.25" style="2" bestFit="1" customWidth="1"/>
    <col min="4866" max="4866" width="11.125" style="2" bestFit="1" customWidth="1"/>
    <col min="4867" max="4868" width="9" style="2"/>
    <col min="4869" max="4872" width="11.125" style="2" bestFit="1" customWidth="1"/>
    <col min="4873" max="5119" width="9" style="2"/>
    <col min="5120" max="5120" width="2.375" style="2" customWidth="1"/>
    <col min="5121" max="5121" width="13.25" style="2" bestFit="1" customWidth="1"/>
    <col min="5122" max="5122" width="11.125" style="2" bestFit="1" customWidth="1"/>
    <col min="5123" max="5124" width="9" style="2"/>
    <col min="5125" max="5128" width="11.125" style="2" bestFit="1" customWidth="1"/>
    <col min="5129" max="5375" width="9" style="2"/>
    <col min="5376" max="5376" width="2.375" style="2" customWidth="1"/>
    <col min="5377" max="5377" width="13.25" style="2" bestFit="1" customWidth="1"/>
    <col min="5378" max="5378" width="11.125" style="2" bestFit="1" customWidth="1"/>
    <col min="5379" max="5380" width="9" style="2"/>
    <col min="5381" max="5384" width="11.125" style="2" bestFit="1" customWidth="1"/>
    <col min="5385" max="5631" width="9" style="2"/>
    <col min="5632" max="5632" width="2.375" style="2" customWidth="1"/>
    <col min="5633" max="5633" width="13.25" style="2" bestFit="1" customWidth="1"/>
    <col min="5634" max="5634" width="11.125" style="2" bestFit="1" customWidth="1"/>
    <col min="5635" max="5636" width="9" style="2"/>
    <col min="5637" max="5640" width="11.125" style="2" bestFit="1" customWidth="1"/>
    <col min="5641" max="5887" width="9" style="2"/>
    <col min="5888" max="5888" width="2.375" style="2" customWidth="1"/>
    <col min="5889" max="5889" width="13.25" style="2" bestFit="1" customWidth="1"/>
    <col min="5890" max="5890" width="11.125" style="2" bestFit="1" customWidth="1"/>
    <col min="5891" max="5892" width="9" style="2"/>
    <col min="5893" max="5896" width="11.125" style="2" bestFit="1" customWidth="1"/>
    <col min="5897" max="6143" width="9" style="2"/>
    <col min="6144" max="6144" width="2.375" style="2" customWidth="1"/>
    <col min="6145" max="6145" width="13.25" style="2" bestFit="1" customWidth="1"/>
    <col min="6146" max="6146" width="11.125" style="2" bestFit="1" customWidth="1"/>
    <col min="6147" max="6148" width="9" style="2"/>
    <col min="6149" max="6152" width="11.125" style="2" bestFit="1" customWidth="1"/>
    <col min="6153" max="6399" width="9" style="2"/>
    <col min="6400" max="6400" width="2.375" style="2" customWidth="1"/>
    <col min="6401" max="6401" width="13.25" style="2" bestFit="1" customWidth="1"/>
    <col min="6402" max="6402" width="11.125" style="2" bestFit="1" customWidth="1"/>
    <col min="6403" max="6404" width="9" style="2"/>
    <col min="6405" max="6408" width="11.125" style="2" bestFit="1" customWidth="1"/>
    <col min="6409" max="6655" width="9" style="2"/>
    <col min="6656" max="6656" width="2.375" style="2" customWidth="1"/>
    <col min="6657" max="6657" width="13.25" style="2" bestFit="1" customWidth="1"/>
    <col min="6658" max="6658" width="11.125" style="2" bestFit="1" customWidth="1"/>
    <col min="6659" max="6660" width="9" style="2"/>
    <col min="6661" max="6664" width="11.125" style="2" bestFit="1" customWidth="1"/>
    <col min="6665" max="6911" width="9" style="2"/>
    <col min="6912" max="6912" width="2.375" style="2" customWidth="1"/>
    <col min="6913" max="6913" width="13.25" style="2" bestFit="1" customWidth="1"/>
    <col min="6914" max="6914" width="11.125" style="2" bestFit="1" customWidth="1"/>
    <col min="6915" max="6916" width="9" style="2"/>
    <col min="6917" max="6920" width="11.125" style="2" bestFit="1" customWidth="1"/>
    <col min="6921" max="7167" width="9" style="2"/>
    <col min="7168" max="7168" width="2.375" style="2" customWidth="1"/>
    <col min="7169" max="7169" width="13.25" style="2" bestFit="1" customWidth="1"/>
    <col min="7170" max="7170" width="11.125" style="2" bestFit="1" customWidth="1"/>
    <col min="7171" max="7172" width="9" style="2"/>
    <col min="7173" max="7176" width="11.125" style="2" bestFit="1" customWidth="1"/>
    <col min="7177" max="7423" width="9" style="2"/>
    <col min="7424" max="7424" width="2.375" style="2" customWidth="1"/>
    <col min="7425" max="7425" width="13.25" style="2" bestFit="1" customWidth="1"/>
    <col min="7426" max="7426" width="11.125" style="2" bestFit="1" customWidth="1"/>
    <col min="7427" max="7428" width="9" style="2"/>
    <col min="7429" max="7432" width="11.125" style="2" bestFit="1" customWidth="1"/>
    <col min="7433" max="7679" width="9" style="2"/>
    <col min="7680" max="7680" width="2.375" style="2" customWidth="1"/>
    <col min="7681" max="7681" width="13.25" style="2" bestFit="1" customWidth="1"/>
    <col min="7682" max="7682" width="11.125" style="2" bestFit="1" customWidth="1"/>
    <col min="7683" max="7684" width="9" style="2"/>
    <col min="7685" max="7688" width="11.125" style="2" bestFit="1" customWidth="1"/>
    <col min="7689" max="7935" width="9" style="2"/>
    <col min="7936" max="7936" width="2.375" style="2" customWidth="1"/>
    <col min="7937" max="7937" width="13.25" style="2" bestFit="1" customWidth="1"/>
    <col min="7938" max="7938" width="11.125" style="2" bestFit="1" customWidth="1"/>
    <col min="7939" max="7940" width="9" style="2"/>
    <col min="7941" max="7944" width="11.125" style="2" bestFit="1" customWidth="1"/>
    <col min="7945" max="8191" width="9" style="2"/>
    <col min="8192" max="8192" width="2.375" style="2" customWidth="1"/>
    <col min="8193" max="8193" width="13.25" style="2" bestFit="1" customWidth="1"/>
    <col min="8194" max="8194" width="11.125" style="2" bestFit="1" customWidth="1"/>
    <col min="8195" max="8196" width="9" style="2"/>
    <col min="8197" max="8200" width="11.125" style="2" bestFit="1" customWidth="1"/>
    <col min="8201" max="8447" width="9" style="2"/>
    <col min="8448" max="8448" width="2.375" style="2" customWidth="1"/>
    <col min="8449" max="8449" width="13.25" style="2" bestFit="1" customWidth="1"/>
    <col min="8450" max="8450" width="11.125" style="2" bestFit="1" customWidth="1"/>
    <col min="8451" max="8452" width="9" style="2"/>
    <col min="8453" max="8456" width="11.125" style="2" bestFit="1" customWidth="1"/>
    <col min="8457" max="8703" width="9" style="2"/>
    <col min="8704" max="8704" width="2.375" style="2" customWidth="1"/>
    <col min="8705" max="8705" width="13.25" style="2" bestFit="1" customWidth="1"/>
    <col min="8706" max="8706" width="11.125" style="2" bestFit="1" customWidth="1"/>
    <col min="8707" max="8708" width="9" style="2"/>
    <col min="8709" max="8712" width="11.125" style="2" bestFit="1" customWidth="1"/>
    <col min="8713" max="8959" width="9" style="2"/>
    <col min="8960" max="8960" width="2.375" style="2" customWidth="1"/>
    <col min="8961" max="8961" width="13.25" style="2" bestFit="1" customWidth="1"/>
    <col min="8962" max="8962" width="11.125" style="2" bestFit="1" customWidth="1"/>
    <col min="8963" max="8964" width="9" style="2"/>
    <col min="8965" max="8968" width="11.125" style="2" bestFit="1" customWidth="1"/>
    <col min="8969" max="9215" width="9" style="2"/>
    <col min="9216" max="9216" width="2.375" style="2" customWidth="1"/>
    <col min="9217" max="9217" width="13.25" style="2" bestFit="1" customWidth="1"/>
    <col min="9218" max="9218" width="11.125" style="2" bestFit="1" customWidth="1"/>
    <col min="9219" max="9220" width="9" style="2"/>
    <col min="9221" max="9224" width="11.125" style="2" bestFit="1" customWidth="1"/>
    <col min="9225" max="9471" width="9" style="2"/>
    <col min="9472" max="9472" width="2.375" style="2" customWidth="1"/>
    <col min="9473" max="9473" width="13.25" style="2" bestFit="1" customWidth="1"/>
    <col min="9474" max="9474" width="11.125" style="2" bestFit="1" customWidth="1"/>
    <col min="9475" max="9476" width="9" style="2"/>
    <col min="9477" max="9480" width="11.125" style="2" bestFit="1" customWidth="1"/>
    <col min="9481" max="9727" width="9" style="2"/>
    <col min="9728" max="9728" width="2.375" style="2" customWidth="1"/>
    <col min="9729" max="9729" width="13.25" style="2" bestFit="1" customWidth="1"/>
    <col min="9730" max="9730" width="11.125" style="2" bestFit="1" customWidth="1"/>
    <col min="9731" max="9732" width="9" style="2"/>
    <col min="9733" max="9736" width="11.125" style="2" bestFit="1" customWidth="1"/>
    <col min="9737" max="9983" width="9" style="2"/>
    <col min="9984" max="9984" width="2.375" style="2" customWidth="1"/>
    <col min="9985" max="9985" width="13.25" style="2" bestFit="1" customWidth="1"/>
    <col min="9986" max="9986" width="11.125" style="2" bestFit="1" customWidth="1"/>
    <col min="9987" max="9988" width="9" style="2"/>
    <col min="9989" max="9992" width="11.125" style="2" bestFit="1" customWidth="1"/>
    <col min="9993" max="10239" width="9" style="2"/>
    <col min="10240" max="10240" width="2.375" style="2" customWidth="1"/>
    <col min="10241" max="10241" width="13.25" style="2" bestFit="1" customWidth="1"/>
    <col min="10242" max="10242" width="11.125" style="2" bestFit="1" customWidth="1"/>
    <col min="10243" max="10244" width="9" style="2"/>
    <col min="10245" max="10248" width="11.125" style="2" bestFit="1" customWidth="1"/>
    <col min="10249" max="10495" width="9" style="2"/>
    <col min="10496" max="10496" width="2.375" style="2" customWidth="1"/>
    <col min="10497" max="10497" width="13.25" style="2" bestFit="1" customWidth="1"/>
    <col min="10498" max="10498" width="11.125" style="2" bestFit="1" customWidth="1"/>
    <col min="10499" max="10500" width="9" style="2"/>
    <col min="10501" max="10504" width="11.125" style="2" bestFit="1" customWidth="1"/>
    <col min="10505" max="10751" width="9" style="2"/>
    <col min="10752" max="10752" width="2.375" style="2" customWidth="1"/>
    <col min="10753" max="10753" width="13.25" style="2" bestFit="1" customWidth="1"/>
    <col min="10754" max="10754" width="11.125" style="2" bestFit="1" customWidth="1"/>
    <col min="10755" max="10756" width="9" style="2"/>
    <col min="10757" max="10760" width="11.125" style="2" bestFit="1" customWidth="1"/>
    <col min="10761" max="11007" width="9" style="2"/>
    <col min="11008" max="11008" width="2.375" style="2" customWidth="1"/>
    <col min="11009" max="11009" width="13.25" style="2" bestFit="1" customWidth="1"/>
    <col min="11010" max="11010" width="11.125" style="2" bestFit="1" customWidth="1"/>
    <col min="11011" max="11012" width="9" style="2"/>
    <col min="11013" max="11016" width="11.125" style="2" bestFit="1" customWidth="1"/>
    <col min="11017" max="11263" width="9" style="2"/>
    <col min="11264" max="11264" width="2.375" style="2" customWidth="1"/>
    <col min="11265" max="11265" width="13.25" style="2" bestFit="1" customWidth="1"/>
    <col min="11266" max="11266" width="11.125" style="2" bestFit="1" customWidth="1"/>
    <col min="11267" max="11268" width="9" style="2"/>
    <col min="11269" max="11272" width="11.125" style="2" bestFit="1" customWidth="1"/>
    <col min="11273" max="11519" width="9" style="2"/>
    <col min="11520" max="11520" width="2.375" style="2" customWidth="1"/>
    <col min="11521" max="11521" width="13.25" style="2" bestFit="1" customWidth="1"/>
    <col min="11522" max="11522" width="11.125" style="2" bestFit="1" customWidth="1"/>
    <col min="11523" max="11524" width="9" style="2"/>
    <col min="11525" max="11528" width="11.125" style="2" bestFit="1" customWidth="1"/>
    <col min="11529" max="11775" width="9" style="2"/>
    <col min="11776" max="11776" width="2.375" style="2" customWidth="1"/>
    <col min="11777" max="11777" width="13.25" style="2" bestFit="1" customWidth="1"/>
    <col min="11778" max="11778" width="11.125" style="2" bestFit="1" customWidth="1"/>
    <col min="11779" max="11780" width="9" style="2"/>
    <col min="11781" max="11784" width="11.125" style="2" bestFit="1" customWidth="1"/>
    <col min="11785" max="12031" width="9" style="2"/>
    <col min="12032" max="12032" width="2.375" style="2" customWidth="1"/>
    <col min="12033" max="12033" width="13.25" style="2" bestFit="1" customWidth="1"/>
    <col min="12034" max="12034" width="11.125" style="2" bestFit="1" customWidth="1"/>
    <col min="12035" max="12036" width="9" style="2"/>
    <col min="12037" max="12040" width="11.125" style="2" bestFit="1" customWidth="1"/>
    <col min="12041" max="12287" width="9" style="2"/>
    <col min="12288" max="12288" width="2.375" style="2" customWidth="1"/>
    <col min="12289" max="12289" width="13.25" style="2" bestFit="1" customWidth="1"/>
    <col min="12290" max="12290" width="11.125" style="2" bestFit="1" customWidth="1"/>
    <col min="12291" max="12292" width="9" style="2"/>
    <col min="12293" max="12296" width="11.125" style="2" bestFit="1" customWidth="1"/>
    <col min="12297" max="12543" width="9" style="2"/>
    <col min="12544" max="12544" width="2.375" style="2" customWidth="1"/>
    <col min="12545" max="12545" width="13.25" style="2" bestFit="1" customWidth="1"/>
    <col min="12546" max="12546" width="11.125" style="2" bestFit="1" customWidth="1"/>
    <col min="12547" max="12548" width="9" style="2"/>
    <col min="12549" max="12552" width="11.125" style="2" bestFit="1" customWidth="1"/>
    <col min="12553" max="12799" width="9" style="2"/>
    <col min="12800" max="12800" width="2.375" style="2" customWidth="1"/>
    <col min="12801" max="12801" width="13.25" style="2" bestFit="1" customWidth="1"/>
    <col min="12802" max="12802" width="11.125" style="2" bestFit="1" customWidth="1"/>
    <col min="12803" max="12804" width="9" style="2"/>
    <col min="12805" max="12808" width="11.125" style="2" bestFit="1" customWidth="1"/>
    <col min="12809" max="13055" width="9" style="2"/>
    <col min="13056" max="13056" width="2.375" style="2" customWidth="1"/>
    <col min="13057" max="13057" width="13.25" style="2" bestFit="1" customWidth="1"/>
    <col min="13058" max="13058" width="11.125" style="2" bestFit="1" customWidth="1"/>
    <col min="13059" max="13060" width="9" style="2"/>
    <col min="13061" max="13064" width="11.125" style="2" bestFit="1" customWidth="1"/>
    <col min="13065" max="13311" width="9" style="2"/>
    <col min="13312" max="13312" width="2.375" style="2" customWidth="1"/>
    <col min="13313" max="13313" width="13.25" style="2" bestFit="1" customWidth="1"/>
    <col min="13314" max="13314" width="11.125" style="2" bestFit="1" customWidth="1"/>
    <col min="13315" max="13316" width="9" style="2"/>
    <col min="13317" max="13320" width="11.125" style="2" bestFit="1" customWidth="1"/>
    <col min="13321" max="13567" width="9" style="2"/>
    <col min="13568" max="13568" width="2.375" style="2" customWidth="1"/>
    <col min="13569" max="13569" width="13.25" style="2" bestFit="1" customWidth="1"/>
    <col min="13570" max="13570" width="11.125" style="2" bestFit="1" customWidth="1"/>
    <col min="13571" max="13572" width="9" style="2"/>
    <col min="13573" max="13576" width="11.125" style="2" bestFit="1" customWidth="1"/>
    <col min="13577" max="13823" width="9" style="2"/>
    <col min="13824" max="13824" width="2.375" style="2" customWidth="1"/>
    <col min="13825" max="13825" width="13.25" style="2" bestFit="1" customWidth="1"/>
    <col min="13826" max="13826" width="11.125" style="2" bestFit="1" customWidth="1"/>
    <col min="13827" max="13828" width="9" style="2"/>
    <col min="13829" max="13832" width="11.125" style="2" bestFit="1" customWidth="1"/>
    <col min="13833" max="14079" width="9" style="2"/>
    <col min="14080" max="14080" width="2.375" style="2" customWidth="1"/>
    <col min="14081" max="14081" width="13.25" style="2" bestFit="1" customWidth="1"/>
    <col min="14082" max="14082" width="11.125" style="2" bestFit="1" customWidth="1"/>
    <col min="14083" max="14084" width="9" style="2"/>
    <col min="14085" max="14088" width="11.125" style="2" bestFit="1" customWidth="1"/>
    <col min="14089" max="14335" width="9" style="2"/>
    <col min="14336" max="14336" width="2.375" style="2" customWidth="1"/>
    <col min="14337" max="14337" width="13.25" style="2" bestFit="1" customWidth="1"/>
    <col min="14338" max="14338" width="11.125" style="2" bestFit="1" customWidth="1"/>
    <col min="14339" max="14340" width="9" style="2"/>
    <col min="14341" max="14344" width="11.125" style="2" bestFit="1" customWidth="1"/>
    <col min="14345" max="14591" width="9" style="2"/>
    <col min="14592" max="14592" width="2.375" style="2" customWidth="1"/>
    <col min="14593" max="14593" width="13.25" style="2" bestFit="1" customWidth="1"/>
    <col min="14594" max="14594" width="11.125" style="2" bestFit="1" customWidth="1"/>
    <col min="14595" max="14596" width="9" style="2"/>
    <col min="14597" max="14600" width="11.125" style="2" bestFit="1" customWidth="1"/>
    <col min="14601" max="14847" width="9" style="2"/>
    <col min="14848" max="14848" width="2.375" style="2" customWidth="1"/>
    <col min="14849" max="14849" width="13.25" style="2" bestFit="1" customWidth="1"/>
    <col min="14850" max="14850" width="11.125" style="2" bestFit="1" customWidth="1"/>
    <col min="14851" max="14852" width="9" style="2"/>
    <col min="14853" max="14856" width="11.125" style="2" bestFit="1" customWidth="1"/>
    <col min="14857" max="15103" width="9" style="2"/>
    <col min="15104" max="15104" width="2.375" style="2" customWidth="1"/>
    <col min="15105" max="15105" width="13.25" style="2" bestFit="1" customWidth="1"/>
    <col min="15106" max="15106" width="11.125" style="2" bestFit="1" customWidth="1"/>
    <col min="15107" max="15108" width="9" style="2"/>
    <col min="15109" max="15112" width="11.125" style="2" bestFit="1" customWidth="1"/>
    <col min="15113" max="15359" width="9" style="2"/>
    <col min="15360" max="15360" width="2.375" style="2" customWidth="1"/>
    <col min="15361" max="15361" width="13.25" style="2" bestFit="1" customWidth="1"/>
    <col min="15362" max="15362" width="11.125" style="2" bestFit="1" customWidth="1"/>
    <col min="15363" max="15364" width="9" style="2"/>
    <col min="15365" max="15368" width="11.125" style="2" bestFit="1" customWidth="1"/>
    <col min="15369" max="15615" width="9" style="2"/>
    <col min="15616" max="15616" width="2.375" style="2" customWidth="1"/>
    <col min="15617" max="15617" width="13.25" style="2" bestFit="1" customWidth="1"/>
    <col min="15618" max="15618" width="11.125" style="2" bestFit="1" customWidth="1"/>
    <col min="15619" max="15620" width="9" style="2"/>
    <col min="15621" max="15624" width="11.125" style="2" bestFit="1" customWidth="1"/>
    <col min="15625" max="15871" width="9" style="2"/>
    <col min="15872" max="15872" width="2.375" style="2" customWidth="1"/>
    <col min="15873" max="15873" width="13.25" style="2" bestFit="1" customWidth="1"/>
    <col min="15874" max="15874" width="11.125" style="2" bestFit="1" customWidth="1"/>
    <col min="15875" max="15876" width="9" style="2"/>
    <col min="15877" max="15880" width="11.125" style="2" bestFit="1" customWidth="1"/>
    <col min="15881" max="16127" width="9" style="2"/>
    <col min="16128" max="16128" width="2.375" style="2" customWidth="1"/>
    <col min="16129" max="16129" width="13.25" style="2" bestFit="1" customWidth="1"/>
    <col min="16130" max="16130" width="11.125" style="2" bestFit="1" customWidth="1"/>
    <col min="16131" max="16132" width="9" style="2"/>
    <col min="16133" max="16136" width="11.125" style="2" bestFit="1" customWidth="1"/>
    <col min="16137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</v>
      </c>
    </row>
    <row r="7" spans="1:9">
      <c r="B7" s="7"/>
      <c r="C7" s="10" t="s">
        <v>5</v>
      </c>
      <c r="D7" s="4" t="s">
        <v>7</v>
      </c>
      <c r="E7" s="4" t="s">
        <v>8</v>
      </c>
      <c r="F7" s="4" t="s">
        <v>9</v>
      </c>
      <c r="G7" s="4" t="s">
        <v>10</v>
      </c>
      <c r="H7" s="11" t="s">
        <v>11</v>
      </c>
      <c r="I7" s="45" t="s">
        <v>36</v>
      </c>
    </row>
    <row r="8" spans="1:9" ht="19.5" thickBot="1">
      <c r="A8" s="3"/>
      <c r="B8" s="18" t="s">
        <v>12</v>
      </c>
      <c r="C8" s="19" t="s">
        <v>13</v>
      </c>
      <c r="D8" s="20" t="s">
        <v>15</v>
      </c>
      <c r="E8" s="20" t="s">
        <v>16</v>
      </c>
      <c r="F8" s="20" t="s">
        <v>17</v>
      </c>
      <c r="G8" s="20" t="s">
        <v>18</v>
      </c>
      <c r="H8" s="21" t="s">
        <v>19</v>
      </c>
      <c r="I8" s="22" t="s">
        <v>37</v>
      </c>
    </row>
    <row r="9" spans="1:9">
      <c r="A9" s="1" t="s">
        <v>3</v>
      </c>
      <c r="B9" s="13" t="s">
        <v>21</v>
      </c>
      <c r="C9" s="14">
        <v>83000</v>
      </c>
      <c r="D9" s="15">
        <v>59000</v>
      </c>
      <c r="E9" s="15">
        <v>59000</v>
      </c>
      <c r="F9" s="15">
        <v>59000</v>
      </c>
      <c r="G9" s="15">
        <v>59000</v>
      </c>
      <c r="H9" s="16">
        <v>21500</v>
      </c>
      <c r="I9" s="17">
        <f>SUM(C9:H9)</f>
        <v>340500</v>
      </c>
    </row>
    <row r="10" spans="1:9">
      <c r="A10" s="1" t="s">
        <v>3</v>
      </c>
      <c r="B10" s="8" t="s">
        <v>22</v>
      </c>
      <c r="C10" s="12">
        <v>15000</v>
      </c>
      <c r="D10" s="5">
        <v>0</v>
      </c>
      <c r="E10" s="5">
        <v>0</v>
      </c>
      <c r="F10" s="5">
        <v>0</v>
      </c>
      <c r="G10" s="5">
        <v>0</v>
      </c>
      <c r="H10" s="6">
        <v>0</v>
      </c>
      <c r="I10" s="9">
        <f t="shared" ref="I10:I23" si="0">SUM(C10:H10)</f>
        <v>15000</v>
      </c>
    </row>
    <row r="11" spans="1:9">
      <c r="A11" s="1" t="s">
        <v>3</v>
      </c>
      <c r="B11" s="23" t="s">
        <v>23</v>
      </c>
      <c r="C11" s="24">
        <v>0</v>
      </c>
      <c r="D11" s="25">
        <v>10000</v>
      </c>
      <c r="E11" s="25">
        <v>0</v>
      </c>
      <c r="F11" s="25">
        <v>0</v>
      </c>
      <c r="G11" s="25">
        <v>0</v>
      </c>
      <c r="H11" s="26">
        <v>0</v>
      </c>
      <c r="I11" s="27">
        <f t="shared" si="0"/>
        <v>10000</v>
      </c>
    </row>
    <row r="12" spans="1:9">
      <c r="A12" s="1" t="s">
        <v>3</v>
      </c>
      <c r="B12" s="28" t="s">
        <v>24</v>
      </c>
      <c r="C12" s="29">
        <v>98000</v>
      </c>
      <c r="D12" s="30">
        <v>69000</v>
      </c>
      <c r="E12" s="30">
        <v>59000</v>
      </c>
      <c r="F12" s="30">
        <v>59000</v>
      </c>
      <c r="G12" s="30">
        <v>59000</v>
      </c>
      <c r="H12" s="31">
        <v>21500</v>
      </c>
      <c r="I12" s="32">
        <f t="shared" si="0"/>
        <v>365500</v>
      </c>
    </row>
    <row r="13" spans="1:9">
      <c r="A13" s="1" t="s">
        <v>3</v>
      </c>
      <c r="B13" s="28" t="s">
        <v>25</v>
      </c>
      <c r="C13" s="29">
        <v>98000</v>
      </c>
      <c r="D13" s="30">
        <v>69000</v>
      </c>
      <c r="E13" s="30">
        <v>59000</v>
      </c>
      <c r="F13" s="30">
        <v>59000</v>
      </c>
      <c r="G13" s="30">
        <v>59000</v>
      </c>
      <c r="H13" s="31">
        <v>21500</v>
      </c>
      <c r="I13" s="32">
        <f t="shared" si="0"/>
        <v>365500</v>
      </c>
    </row>
    <row r="14" spans="1:9">
      <c r="A14" s="1" t="s">
        <v>3</v>
      </c>
      <c r="B14" s="13" t="s">
        <v>26</v>
      </c>
      <c r="C14" s="14">
        <v>4998</v>
      </c>
      <c r="D14" s="15">
        <v>3519</v>
      </c>
      <c r="E14" s="15">
        <v>3009</v>
      </c>
      <c r="F14" s="15">
        <v>3009</v>
      </c>
      <c r="G14" s="15">
        <v>3009</v>
      </c>
      <c r="H14" s="16">
        <v>1071</v>
      </c>
      <c r="I14" s="17">
        <f t="shared" si="0"/>
        <v>18615</v>
      </c>
    </row>
    <row r="15" spans="1:9">
      <c r="A15" s="1" t="s">
        <v>3</v>
      </c>
      <c r="B15" s="8" t="s">
        <v>27</v>
      </c>
      <c r="C15" s="12">
        <v>882</v>
      </c>
      <c r="D15" s="5">
        <v>621</v>
      </c>
      <c r="E15" s="5">
        <v>531</v>
      </c>
      <c r="F15" s="5">
        <v>531</v>
      </c>
      <c r="G15" s="5">
        <v>531</v>
      </c>
      <c r="H15" s="6">
        <v>189</v>
      </c>
      <c r="I15" s="9">
        <f t="shared" si="0"/>
        <v>3285</v>
      </c>
    </row>
    <row r="16" spans="1:9">
      <c r="A16" s="1" t="s">
        <v>3</v>
      </c>
      <c r="B16" s="8" t="s">
        <v>28</v>
      </c>
      <c r="C16" s="12">
        <v>8967</v>
      </c>
      <c r="D16" s="5">
        <v>6313</v>
      </c>
      <c r="E16" s="5">
        <v>5398</v>
      </c>
      <c r="F16" s="5">
        <v>5398</v>
      </c>
      <c r="G16" s="5">
        <v>5398</v>
      </c>
      <c r="H16" s="6">
        <v>1921</v>
      </c>
      <c r="I16" s="9">
        <f t="shared" si="0"/>
        <v>33395</v>
      </c>
    </row>
    <row r="17" spans="1:9">
      <c r="A17" s="1" t="s">
        <v>3</v>
      </c>
      <c r="B17" s="23" t="s">
        <v>29</v>
      </c>
      <c r="C17" s="24">
        <v>539</v>
      </c>
      <c r="D17" s="25">
        <v>379</v>
      </c>
      <c r="E17" s="25">
        <v>324</v>
      </c>
      <c r="F17" s="25">
        <v>324</v>
      </c>
      <c r="G17" s="25">
        <v>324</v>
      </c>
      <c r="H17" s="26">
        <v>118</v>
      </c>
      <c r="I17" s="27">
        <f t="shared" si="0"/>
        <v>2008</v>
      </c>
    </row>
    <row r="18" spans="1:9">
      <c r="A18" s="1" t="s">
        <v>3</v>
      </c>
      <c r="B18" s="28" t="s">
        <v>30</v>
      </c>
      <c r="C18" s="29">
        <v>82614</v>
      </c>
      <c r="D18" s="30">
        <v>58168</v>
      </c>
      <c r="E18" s="30">
        <v>49738</v>
      </c>
      <c r="F18" s="30">
        <v>49738</v>
      </c>
      <c r="G18" s="30">
        <v>49738</v>
      </c>
      <c r="H18" s="31">
        <v>18201</v>
      </c>
      <c r="I18" s="32">
        <f t="shared" si="0"/>
        <v>308197</v>
      </c>
    </row>
    <row r="19" spans="1:9">
      <c r="A19" s="1" t="s">
        <v>3</v>
      </c>
      <c r="B19" s="28" t="s">
        <v>31</v>
      </c>
      <c r="C19" s="29">
        <v>8434</v>
      </c>
      <c r="D19" s="30">
        <v>3563</v>
      </c>
      <c r="E19" s="30">
        <v>2031</v>
      </c>
      <c r="F19" s="30">
        <v>4062</v>
      </c>
      <c r="G19" s="30">
        <v>3046</v>
      </c>
      <c r="H19" s="31">
        <v>743</v>
      </c>
      <c r="I19" s="32">
        <f t="shared" si="0"/>
        <v>21879</v>
      </c>
    </row>
    <row r="20" spans="1:9">
      <c r="A20" s="1" t="s">
        <v>3</v>
      </c>
      <c r="B20" s="28" t="s">
        <v>32</v>
      </c>
      <c r="C20" s="29">
        <v>15386</v>
      </c>
      <c r="D20" s="30">
        <v>10832</v>
      </c>
      <c r="E20" s="30">
        <v>9262</v>
      </c>
      <c r="F20" s="30">
        <v>9262</v>
      </c>
      <c r="G20" s="30">
        <v>9262</v>
      </c>
      <c r="H20" s="31">
        <v>3299</v>
      </c>
      <c r="I20" s="32">
        <f t="shared" si="0"/>
        <v>57303</v>
      </c>
    </row>
    <row r="21" spans="1:9">
      <c r="A21" s="1" t="s">
        <v>3</v>
      </c>
      <c r="B21" s="28" t="s">
        <v>33</v>
      </c>
      <c r="C21" s="29">
        <v>74180</v>
      </c>
      <c r="D21" s="30">
        <v>54605</v>
      </c>
      <c r="E21" s="30">
        <v>47707</v>
      </c>
      <c r="F21" s="30">
        <v>45676</v>
      </c>
      <c r="G21" s="30">
        <v>46692</v>
      </c>
      <c r="H21" s="31">
        <v>17458</v>
      </c>
      <c r="I21" s="32">
        <f t="shared" si="0"/>
        <v>286318</v>
      </c>
    </row>
    <row r="22" spans="1:9">
      <c r="A22" s="1" t="s">
        <v>3</v>
      </c>
      <c r="B22" s="28" t="s">
        <v>34</v>
      </c>
      <c r="C22" s="29">
        <v>74180</v>
      </c>
      <c r="D22" s="30">
        <v>54605</v>
      </c>
      <c r="E22" s="30">
        <v>47707</v>
      </c>
      <c r="F22" s="30">
        <v>45676</v>
      </c>
      <c r="G22" s="30">
        <v>46692</v>
      </c>
      <c r="H22" s="31">
        <v>17458</v>
      </c>
      <c r="I22" s="32">
        <f t="shared" si="0"/>
        <v>286318</v>
      </c>
    </row>
    <row r="23" spans="1:9" ht="19.5" thickBot="1">
      <c r="A23" s="1" t="s">
        <v>3</v>
      </c>
      <c r="B23" s="33" t="s">
        <v>35</v>
      </c>
      <c r="C23" s="34">
        <v>8434</v>
      </c>
      <c r="D23" s="35">
        <v>3563</v>
      </c>
      <c r="E23" s="35">
        <v>2031</v>
      </c>
      <c r="F23" s="35">
        <v>4062</v>
      </c>
      <c r="G23" s="35">
        <v>3046</v>
      </c>
      <c r="H23" s="36">
        <v>743</v>
      </c>
      <c r="I23" s="37">
        <f t="shared" si="0"/>
        <v>21879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R7年夏賞与</vt:lpstr>
      <vt:lpstr>R7年夏賞与 (2)</vt:lpstr>
      <vt:lpstr>R7年夏賞与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2025-06-16T04:53:16Z</dcterms:created>
  <dcterms:modified xsi:type="dcterms:W3CDTF">2025-06-16T10:11:48Z</dcterms:modified>
</cp:coreProperties>
</file>