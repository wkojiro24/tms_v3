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0" documentId="13_ncr:1_{C2DB2B88-6676-4406-A344-6C183AA22AAA}" xr6:coauthVersionLast="47" xr6:coauthVersionMax="47" xr10:uidLastSave="{00000000-0000-0000-0000-000000000000}"/>
  <bookViews>
    <workbookView xWindow="-120" yWindow="-120" windowWidth="20730" windowHeight="11160" xr2:uid="{675F8029-89F2-4C51-9B8C-76AB5A46DA1A}"/>
  </bookViews>
  <sheets>
    <sheet name="2025年 7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" l="1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0" i="2"/>
  <c r="J9" i="2"/>
  <c r="G35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0" i="2"/>
  <c r="G9" i="2"/>
  <c r="K9" i="2" s="1"/>
  <c r="K10" i="2" l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5" i="2"/>
</calcChain>
</file>

<file path=xl/sharedStrings.xml><?xml version="1.0" encoding="utf-8"?>
<sst xmlns="http://schemas.openxmlformats.org/spreadsheetml/2006/main" count="84" uniqueCount="52">
  <si>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</si>
  <si>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</si>
  <si>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</si>
  <si>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</si>
  <si>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</si>
  <si>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1019</t>
    <phoneticPr fontId="4"/>
  </si>
  <si>
    <t>1024</t>
    <phoneticPr fontId="4"/>
  </si>
  <si>
    <t>1111</t>
    <phoneticPr fontId="4"/>
  </si>
  <si>
    <t>1200</t>
    <phoneticPr fontId="4"/>
  </si>
  <si>
    <t>小計</t>
    <rPh sb="0" eb="2">
      <t>ショウケイ</t>
    </rPh>
    <phoneticPr fontId="3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</si>
  <si>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</si>
  <si>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</si>
  <si>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</si>
  <si>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</si>
  <si>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</si>
  <si>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</si>
  <si>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</si>
  <si>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</si>
  <si>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4名</t>
    <rPh sb="1" eb="2">
      <t>メイ</t>
    </rPh>
    <phoneticPr fontId="4"/>
  </si>
  <si>
    <t>浅田　恵美子</t>
    <phoneticPr fontId="4"/>
  </si>
  <si>
    <t>渋谷　晶子</t>
    <phoneticPr fontId="4"/>
  </si>
  <si>
    <t>2名</t>
    <rPh sb="1" eb="2">
      <t>メイ</t>
    </rPh>
    <phoneticPr fontId="4"/>
  </si>
  <si>
    <t>6名</t>
    <rPh sb="1" eb="2">
      <t>メイ</t>
    </rPh>
    <phoneticPr fontId="4"/>
  </si>
  <si>
    <t>平日出勤日数</t>
    <phoneticPr fontId="4"/>
  </si>
  <si>
    <t>就労時間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</si>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</sst>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9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0" fontId="2" fillId="0" borderId="31" xfId="1" applyFont="1" applyBorder="1" applyAlignment="1">
      <alignment horizontal="center"/>
    </xf>
    <xf numFmtId="2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176" fontId="2" fillId="0" borderId="5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5" xfId="1" applyNumberFormat="1" applyFont="1" applyBorder="1"/>
    <xf numFmtId="3" fontId="2" fillId="0" borderId="17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0" fontId="2" fillId="0" borderId="30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D1F19814-3871-4E90-8B30-ECB7902E5C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7342-78DD-41B6-AF15-B85AE060A27C}">
  <dimension ref="A1:K35"/>
  <sheetViews>
    <sheetView showZeros="0" tabSelected="1" workbookViewId="0">
      <pane xSplit="2" ySplit="8" topLeftCell="C27" activePane="bottomRight" state="frozen"/>
      <selection pane="bottomRight" activeCell="D2" sqref="D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1" width="9.625" style="2" bestFit="1" customWidth="1"/>
    <col min="12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5" width="13.25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1" width="13.25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7" width="13.25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3" width="13.25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9" width="13.25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5" width="13.25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1" width="13.25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7" width="13.25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3" width="13.25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9" width="13.25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5" width="13.25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1" width="13.25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7" width="13.25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3" width="13.25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9" width="13.25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5" width="13.25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1" width="13.25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7" width="13.25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3" width="13.25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9" width="13.25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5" width="13.25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1" width="13.25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7" width="13.25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3" width="13.25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9" width="13.25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5" width="13.25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1" width="13.25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7" width="13.25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3" width="13.25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9" width="13.25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5" width="13.25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1" width="13.25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7" width="13.25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3" width="13.25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9" width="13.25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5" width="13.25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1" width="13.25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7" width="13.25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3" width="13.25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9" width="13.25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5" width="13.25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1" width="13.25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7" width="13.25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3" width="13.25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9" width="13.25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5" width="13.25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1" width="13.25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7" width="13.25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3" width="13.25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9" width="13.25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5" width="13.25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1" width="13.25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7" width="13.25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3" width="13.25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9" width="13.25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5" width="13.25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1" width="13.25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7" width="13.25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3" width="13.25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9" width="13.25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5" width="13.25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1" width="13.25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4</v>
      </c>
    </row>
    <row r="7" spans="1:11">
      <c r="B7" s="24"/>
      <c r="C7" s="42" t="s">
        <v>5</v>
      </c>
      <c r="D7" s="4" t="s">
        <v>6</v>
      </c>
      <c r="E7" s="4" t="s">
        <v>7</v>
      </c>
      <c r="F7" s="56" t="s">
        <v>8</v>
      </c>
      <c r="G7" s="67" t="s">
        <v>9</v>
      </c>
      <c r="H7" s="4" t="s">
        <v>10</v>
      </c>
      <c r="I7" s="43" t="s">
        <v>11</v>
      </c>
      <c r="J7" s="55" t="s">
        <v>9</v>
      </c>
      <c r="K7" s="55" t="s">
        <v>12</v>
      </c>
    </row>
    <row r="8" spans="1:11" ht="19.5" thickBot="1">
      <c r="A8" s="3"/>
      <c r="B8" s="25" t="s">
        <v>13</v>
      </c>
      <c r="C8" s="44" t="s">
        <v>14</v>
      </c>
      <c r="D8" s="23" t="s">
        <v>15</v>
      </c>
      <c r="E8" s="23" t="s">
        <v>16</v>
      </c>
      <c r="F8" s="57" t="s">
        <v>17</v>
      </c>
      <c r="G8" s="68" t="s">
        <v>18</v>
      </c>
      <c r="H8" s="23" t="s">
        <v>19</v>
      </c>
      <c r="I8" s="45" t="s">
        <v>20</v>
      </c>
      <c r="J8" s="32" t="s">
        <v>21</v>
      </c>
      <c r="K8" s="32" t="s">
        <v>22</v>
      </c>
    </row>
    <row r="9" spans="1:11">
      <c r="A9" s="1" t="s">
        <v>3</v>
      </c>
      <c r="B9" s="26" t="s">
        <v>23</v>
      </c>
      <c r="C9" s="46">
        <v>0</v>
      </c>
      <c r="D9" s="13">
        <v>0</v>
      </c>
      <c r="E9" s="13">
        <v>0</v>
      </c>
      <c r="F9" s="58">
        <v>0</v>
      </c>
      <c r="G9" s="69">
        <f>SUM(C9:F9)</f>
        <v>0</v>
      </c>
      <c r="H9" s="13">
        <v>22</v>
      </c>
      <c r="I9" s="14">
        <v>17</v>
      </c>
      <c r="J9" s="33">
        <f>SUM(H9:I9)</f>
        <v>39</v>
      </c>
      <c r="K9" s="33">
        <f>G9+J9</f>
        <v>39</v>
      </c>
    </row>
    <row r="10" spans="1:11">
      <c r="A10" s="1" t="s">
        <v>3</v>
      </c>
      <c r="B10" s="27" t="s">
        <v>24</v>
      </c>
      <c r="C10" s="47">
        <v>0</v>
      </c>
      <c r="D10" s="5">
        <v>0</v>
      </c>
      <c r="E10" s="5">
        <v>0</v>
      </c>
      <c r="F10" s="59">
        <v>0</v>
      </c>
      <c r="G10" s="70">
        <f>SUM(C10:F10)</f>
        <v>0</v>
      </c>
      <c r="H10" s="5">
        <v>0</v>
      </c>
      <c r="I10" s="6">
        <v>3.6666666666666665</v>
      </c>
      <c r="J10" s="34">
        <f>SUM(H10:I10)</f>
        <v>3.6666666666666665</v>
      </c>
      <c r="K10" s="34">
        <f>G10+J10</f>
        <v>3.6666666666666665</v>
      </c>
    </row>
    <row r="11" spans="1:11">
      <c r="A11" s="1" t="s">
        <v>3</v>
      </c>
      <c r="B11" s="28" t="s">
        <v>25</v>
      </c>
      <c r="C11" s="48">
        <v>0</v>
      </c>
      <c r="D11" s="17">
        <v>0</v>
      </c>
      <c r="E11" s="17">
        <v>0</v>
      </c>
      <c r="F11" s="60">
        <v>0</v>
      </c>
      <c r="G11" s="71"/>
      <c r="H11" s="17">
        <v>40</v>
      </c>
      <c r="I11" s="18">
        <v>38</v>
      </c>
      <c r="J11" s="35"/>
      <c r="K11" s="35"/>
    </row>
    <row r="12" spans="1:11">
      <c r="A12" s="1" t="s">
        <v>3</v>
      </c>
      <c r="B12" s="26" t="s">
        <v>26</v>
      </c>
      <c r="C12" s="49">
        <v>0</v>
      </c>
      <c r="D12" s="15">
        <v>0</v>
      </c>
      <c r="E12" s="15">
        <v>0</v>
      </c>
      <c r="F12" s="61">
        <v>0</v>
      </c>
      <c r="G12" s="72">
        <f t="shared" ref="G12:G32" si="0">SUM(C12:F12)</f>
        <v>0</v>
      </c>
      <c r="H12" s="15">
        <v>390000</v>
      </c>
      <c r="I12" s="16">
        <v>0</v>
      </c>
      <c r="J12" s="36">
        <f t="shared" ref="J12:J32" si="1">SUM(H12:I12)</f>
        <v>390000</v>
      </c>
      <c r="K12" s="36">
        <f t="shared" ref="K12:K32" si="2">G12+J12</f>
        <v>390000</v>
      </c>
    </row>
    <row r="13" spans="1:11">
      <c r="A13" s="1" t="s">
        <v>3</v>
      </c>
      <c r="B13" s="27" t="s">
        <v>27</v>
      </c>
      <c r="C13" s="50">
        <v>0</v>
      </c>
      <c r="D13" s="7">
        <v>0</v>
      </c>
      <c r="E13" s="7">
        <v>0</v>
      </c>
      <c r="F13" s="62">
        <v>0</v>
      </c>
      <c r="G13" s="73">
        <f t="shared" si="0"/>
        <v>0</v>
      </c>
      <c r="H13" s="7">
        <v>50000</v>
      </c>
      <c r="I13" s="8">
        <v>0</v>
      </c>
      <c r="J13" s="37">
        <f t="shared" si="1"/>
        <v>50000</v>
      </c>
      <c r="K13" s="37">
        <f t="shared" si="2"/>
        <v>50000</v>
      </c>
    </row>
    <row r="14" spans="1:11">
      <c r="A14" s="1" t="s">
        <v>3</v>
      </c>
      <c r="B14" s="27" t="s">
        <v>28</v>
      </c>
      <c r="C14" s="50">
        <v>0</v>
      </c>
      <c r="D14" s="7">
        <v>0</v>
      </c>
      <c r="E14" s="7">
        <v>0</v>
      </c>
      <c r="F14" s="62">
        <v>0</v>
      </c>
      <c r="G14" s="73">
        <f t="shared" si="0"/>
        <v>0</v>
      </c>
      <c r="H14" s="7">
        <v>0</v>
      </c>
      <c r="I14" s="8">
        <v>113080</v>
      </c>
      <c r="J14" s="37">
        <f t="shared" si="1"/>
        <v>113080</v>
      </c>
      <c r="K14" s="37">
        <f t="shared" si="2"/>
        <v>113080</v>
      </c>
    </row>
    <row r="15" spans="1:11">
      <c r="A15" s="1" t="s">
        <v>3</v>
      </c>
      <c r="B15" s="29" t="s">
        <v>29</v>
      </c>
      <c r="C15" s="51">
        <v>1000000</v>
      </c>
      <c r="D15" s="19">
        <v>200000</v>
      </c>
      <c r="E15" s="19">
        <v>300000</v>
      </c>
      <c r="F15" s="63">
        <v>100000</v>
      </c>
      <c r="G15" s="74">
        <f t="shared" si="0"/>
        <v>1600000</v>
      </c>
      <c r="H15" s="19">
        <v>0</v>
      </c>
      <c r="I15" s="20">
        <v>0</v>
      </c>
      <c r="J15" s="38">
        <f t="shared" si="1"/>
        <v>0</v>
      </c>
      <c r="K15" s="38">
        <f t="shared" si="2"/>
        <v>1600000</v>
      </c>
    </row>
    <row r="16" spans="1:11">
      <c r="A16" s="1" t="s">
        <v>3</v>
      </c>
      <c r="B16" s="30" t="s">
        <v>30</v>
      </c>
      <c r="C16" s="52">
        <v>1000000</v>
      </c>
      <c r="D16" s="21">
        <v>200000</v>
      </c>
      <c r="E16" s="21">
        <v>300000</v>
      </c>
      <c r="F16" s="64">
        <v>100000</v>
      </c>
      <c r="G16" s="75">
        <f t="shared" si="0"/>
        <v>1600000</v>
      </c>
      <c r="H16" s="21">
        <v>440000</v>
      </c>
      <c r="I16" s="22">
        <v>113080</v>
      </c>
      <c r="J16" s="39">
        <f t="shared" si="1"/>
        <v>553080</v>
      </c>
      <c r="K16" s="39">
        <f t="shared" si="2"/>
        <v>2153080</v>
      </c>
    </row>
    <row r="17" spans="1:11">
      <c r="A17" s="1" t="s">
        <v>3</v>
      </c>
      <c r="B17" s="30" t="s">
        <v>31</v>
      </c>
      <c r="C17" s="52">
        <v>0</v>
      </c>
      <c r="D17" s="21">
        <v>0</v>
      </c>
      <c r="E17" s="21">
        <v>0</v>
      </c>
      <c r="F17" s="64">
        <v>0</v>
      </c>
      <c r="G17" s="75">
        <f t="shared" si="0"/>
        <v>0</v>
      </c>
      <c r="H17" s="21">
        <v>11740</v>
      </c>
      <c r="I17" s="22">
        <v>1320</v>
      </c>
      <c r="J17" s="39">
        <f t="shared" si="1"/>
        <v>13060</v>
      </c>
      <c r="K17" s="39">
        <f t="shared" si="2"/>
        <v>13060</v>
      </c>
    </row>
    <row r="18" spans="1:11">
      <c r="A18" s="1" t="s">
        <v>3</v>
      </c>
      <c r="B18" s="30" t="s">
        <v>32</v>
      </c>
      <c r="C18" s="52">
        <v>0</v>
      </c>
      <c r="D18" s="21">
        <v>0</v>
      </c>
      <c r="E18" s="21">
        <v>0</v>
      </c>
      <c r="F18" s="64">
        <v>0</v>
      </c>
      <c r="G18" s="75">
        <f t="shared" si="0"/>
        <v>0</v>
      </c>
      <c r="H18" s="21">
        <v>11740</v>
      </c>
      <c r="I18" s="22">
        <v>1320</v>
      </c>
      <c r="J18" s="39">
        <f t="shared" si="1"/>
        <v>13060</v>
      </c>
      <c r="K18" s="39">
        <f t="shared" si="2"/>
        <v>13060</v>
      </c>
    </row>
    <row r="19" spans="1:11">
      <c r="A19" s="1" t="s">
        <v>3</v>
      </c>
      <c r="B19" s="30" t="s">
        <v>33</v>
      </c>
      <c r="C19" s="52">
        <v>1000000</v>
      </c>
      <c r="D19" s="21">
        <v>200000</v>
      </c>
      <c r="E19" s="21">
        <v>300000</v>
      </c>
      <c r="F19" s="64">
        <v>100000</v>
      </c>
      <c r="G19" s="75">
        <f t="shared" si="0"/>
        <v>1600000</v>
      </c>
      <c r="H19" s="21">
        <v>451740</v>
      </c>
      <c r="I19" s="22">
        <v>114400</v>
      </c>
      <c r="J19" s="39">
        <f t="shared" si="1"/>
        <v>566140</v>
      </c>
      <c r="K19" s="39">
        <f t="shared" si="2"/>
        <v>2166140</v>
      </c>
    </row>
    <row r="20" spans="1:11">
      <c r="A20" s="1" t="s">
        <v>3</v>
      </c>
      <c r="B20" s="26" t="s">
        <v>34</v>
      </c>
      <c r="C20" s="49">
        <v>49980</v>
      </c>
      <c r="D20" s="15">
        <v>0</v>
      </c>
      <c r="E20" s="15">
        <v>0</v>
      </c>
      <c r="F20" s="61">
        <v>0</v>
      </c>
      <c r="G20" s="72">
        <f t="shared" si="0"/>
        <v>49980</v>
      </c>
      <c r="H20" s="15">
        <v>22440</v>
      </c>
      <c r="I20" s="16">
        <v>0</v>
      </c>
      <c r="J20" s="36">
        <f t="shared" si="1"/>
        <v>22440</v>
      </c>
      <c r="K20" s="36">
        <f t="shared" si="2"/>
        <v>72420</v>
      </c>
    </row>
    <row r="21" spans="1:11">
      <c r="A21" s="1" t="s">
        <v>3</v>
      </c>
      <c r="B21" s="27" t="s">
        <v>35</v>
      </c>
      <c r="C21" s="50">
        <v>8820</v>
      </c>
      <c r="D21" s="7">
        <v>0</v>
      </c>
      <c r="E21" s="7">
        <v>0</v>
      </c>
      <c r="F21" s="62">
        <v>0</v>
      </c>
      <c r="G21" s="73">
        <f t="shared" si="0"/>
        <v>8820</v>
      </c>
      <c r="H21" s="7">
        <v>3960</v>
      </c>
      <c r="I21" s="8">
        <v>0</v>
      </c>
      <c r="J21" s="37">
        <f t="shared" si="1"/>
        <v>3960</v>
      </c>
      <c r="K21" s="37">
        <f t="shared" si="2"/>
        <v>12780</v>
      </c>
    </row>
    <row r="22" spans="1:11">
      <c r="A22" s="1" t="s">
        <v>3</v>
      </c>
      <c r="B22" s="27" t="s">
        <v>36</v>
      </c>
      <c r="C22" s="50">
        <v>59475</v>
      </c>
      <c r="D22" s="7">
        <v>0</v>
      </c>
      <c r="E22" s="7">
        <v>0</v>
      </c>
      <c r="F22" s="62">
        <v>0</v>
      </c>
      <c r="G22" s="73">
        <f t="shared" si="0"/>
        <v>59475</v>
      </c>
      <c r="H22" s="7">
        <v>40260</v>
      </c>
      <c r="I22" s="8">
        <v>0</v>
      </c>
      <c r="J22" s="37">
        <f t="shared" si="1"/>
        <v>40260</v>
      </c>
      <c r="K22" s="37">
        <f t="shared" si="2"/>
        <v>99735</v>
      </c>
    </row>
    <row r="23" spans="1:11">
      <c r="A23" s="1" t="s">
        <v>3</v>
      </c>
      <c r="B23" s="27" t="s">
        <v>37</v>
      </c>
      <c r="C23" s="50">
        <v>0</v>
      </c>
      <c r="D23" s="7">
        <v>0</v>
      </c>
      <c r="E23" s="7">
        <v>0</v>
      </c>
      <c r="F23" s="62">
        <v>0</v>
      </c>
      <c r="G23" s="73">
        <f t="shared" si="0"/>
        <v>0</v>
      </c>
      <c r="H23" s="7">
        <v>2485</v>
      </c>
      <c r="I23" s="8">
        <v>629</v>
      </c>
      <c r="J23" s="37">
        <f t="shared" si="1"/>
        <v>3114</v>
      </c>
      <c r="K23" s="37">
        <f t="shared" si="2"/>
        <v>3114</v>
      </c>
    </row>
    <row r="24" spans="1:11">
      <c r="A24" s="1" t="s">
        <v>3</v>
      </c>
      <c r="B24" s="29" t="s">
        <v>38</v>
      </c>
      <c r="C24" s="51">
        <v>150000</v>
      </c>
      <c r="D24" s="19">
        <v>0</v>
      </c>
      <c r="E24" s="19">
        <v>0</v>
      </c>
      <c r="F24" s="63">
        <v>0</v>
      </c>
      <c r="G24" s="74">
        <f t="shared" si="0"/>
        <v>150000</v>
      </c>
      <c r="H24" s="19">
        <v>0</v>
      </c>
      <c r="I24" s="20">
        <v>0</v>
      </c>
      <c r="J24" s="38">
        <f t="shared" si="1"/>
        <v>0</v>
      </c>
      <c r="K24" s="38">
        <f t="shared" si="2"/>
        <v>150000</v>
      </c>
    </row>
    <row r="25" spans="1:11">
      <c r="A25" s="1" t="s">
        <v>3</v>
      </c>
      <c r="B25" s="30" t="s">
        <v>39</v>
      </c>
      <c r="C25" s="52">
        <v>268275</v>
      </c>
      <c r="D25" s="21">
        <v>0</v>
      </c>
      <c r="E25" s="21">
        <v>0</v>
      </c>
      <c r="F25" s="64">
        <v>0</v>
      </c>
      <c r="G25" s="75">
        <f t="shared" si="0"/>
        <v>268275</v>
      </c>
      <c r="H25" s="21">
        <v>69145</v>
      </c>
      <c r="I25" s="22">
        <v>629</v>
      </c>
      <c r="J25" s="39">
        <f t="shared" si="1"/>
        <v>69774</v>
      </c>
      <c r="K25" s="39">
        <f t="shared" si="2"/>
        <v>338049</v>
      </c>
    </row>
    <row r="26" spans="1:11">
      <c r="A26" s="1" t="s">
        <v>3</v>
      </c>
      <c r="B26" s="26" t="s">
        <v>40</v>
      </c>
      <c r="C26" s="49">
        <v>65230</v>
      </c>
      <c r="D26" s="15">
        <v>4760</v>
      </c>
      <c r="E26" s="15">
        <v>53700</v>
      </c>
      <c r="F26" s="61">
        <v>3600</v>
      </c>
      <c r="G26" s="72">
        <f t="shared" si="0"/>
        <v>127290</v>
      </c>
      <c r="H26" s="15">
        <v>14170</v>
      </c>
      <c r="I26" s="16">
        <v>1360</v>
      </c>
      <c r="J26" s="36">
        <f t="shared" si="1"/>
        <v>15530</v>
      </c>
      <c r="K26" s="36">
        <f t="shared" si="2"/>
        <v>142820</v>
      </c>
    </row>
    <row r="27" spans="1:11">
      <c r="A27" s="1" t="s">
        <v>3</v>
      </c>
      <c r="B27" s="29" t="s">
        <v>41</v>
      </c>
      <c r="C27" s="51">
        <v>0</v>
      </c>
      <c r="D27" s="19">
        <v>1700</v>
      </c>
      <c r="E27" s="19">
        <v>0</v>
      </c>
      <c r="F27" s="63">
        <v>0</v>
      </c>
      <c r="G27" s="74">
        <f t="shared" si="0"/>
        <v>1700</v>
      </c>
      <c r="H27" s="19">
        <v>18300</v>
      </c>
      <c r="I27" s="20">
        <v>2200</v>
      </c>
      <c r="J27" s="38">
        <f t="shared" si="1"/>
        <v>20500</v>
      </c>
      <c r="K27" s="38">
        <f t="shared" si="2"/>
        <v>22200</v>
      </c>
    </row>
    <row r="28" spans="1:11">
      <c r="A28" s="1" t="s">
        <v>3</v>
      </c>
      <c r="B28" s="30" t="s">
        <v>42</v>
      </c>
      <c r="C28" s="52">
        <v>333505</v>
      </c>
      <c r="D28" s="21">
        <v>6460</v>
      </c>
      <c r="E28" s="21">
        <v>53700</v>
      </c>
      <c r="F28" s="64">
        <v>3600</v>
      </c>
      <c r="G28" s="75">
        <f t="shared" si="0"/>
        <v>397265</v>
      </c>
      <c r="H28" s="21">
        <v>101615</v>
      </c>
      <c r="I28" s="22">
        <v>4189</v>
      </c>
      <c r="J28" s="39">
        <f t="shared" si="1"/>
        <v>105804</v>
      </c>
      <c r="K28" s="39">
        <f t="shared" si="2"/>
        <v>503069</v>
      </c>
    </row>
    <row r="29" spans="1:11">
      <c r="A29" s="1" t="s">
        <v>3</v>
      </c>
      <c r="B29" s="30" t="s">
        <v>43</v>
      </c>
      <c r="C29" s="52">
        <v>731725</v>
      </c>
      <c r="D29" s="21">
        <v>200000</v>
      </c>
      <c r="E29" s="21">
        <v>300000</v>
      </c>
      <c r="F29" s="64">
        <v>100000</v>
      </c>
      <c r="G29" s="75">
        <f t="shared" si="0"/>
        <v>1331725</v>
      </c>
      <c r="H29" s="21">
        <v>370855</v>
      </c>
      <c r="I29" s="22">
        <v>112451</v>
      </c>
      <c r="J29" s="39">
        <f t="shared" si="1"/>
        <v>483306</v>
      </c>
      <c r="K29" s="39">
        <f t="shared" si="2"/>
        <v>1815031</v>
      </c>
    </row>
    <row r="30" spans="1:11">
      <c r="A30" s="1" t="s">
        <v>3</v>
      </c>
      <c r="B30" s="30" t="s">
        <v>44</v>
      </c>
      <c r="C30" s="52">
        <v>666495</v>
      </c>
      <c r="D30" s="21">
        <v>193540</v>
      </c>
      <c r="E30" s="21">
        <v>246300</v>
      </c>
      <c r="F30" s="64">
        <v>96400</v>
      </c>
      <c r="G30" s="75">
        <f t="shared" si="0"/>
        <v>1202735</v>
      </c>
      <c r="H30" s="21">
        <v>350125</v>
      </c>
      <c r="I30" s="22">
        <v>110211</v>
      </c>
      <c r="J30" s="39">
        <f t="shared" si="1"/>
        <v>460336</v>
      </c>
      <c r="K30" s="39">
        <f t="shared" si="2"/>
        <v>1663071</v>
      </c>
    </row>
    <row r="31" spans="1:11">
      <c r="A31" s="1" t="s">
        <v>3</v>
      </c>
      <c r="B31" s="30" t="s">
        <v>45</v>
      </c>
      <c r="C31" s="52">
        <v>0</v>
      </c>
      <c r="D31" s="21">
        <v>193540</v>
      </c>
      <c r="E31" s="21">
        <v>0</v>
      </c>
      <c r="F31" s="64">
        <v>0</v>
      </c>
      <c r="G31" s="75">
        <f t="shared" si="0"/>
        <v>193540</v>
      </c>
      <c r="H31" s="21">
        <v>0</v>
      </c>
      <c r="I31" s="22">
        <v>0</v>
      </c>
      <c r="J31" s="39">
        <f t="shared" si="1"/>
        <v>0</v>
      </c>
      <c r="K31" s="39">
        <f t="shared" si="2"/>
        <v>193540</v>
      </c>
    </row>
    <row r="32" spans="1:11">
      <c r="A32" s="1" t="s">
        <v>3</v>
      </c>
      <c r="B32" s="30" t="s">
        <v>46</v>
      </c>
      <c r="C32" s="52">
        <v>666495</v>
      </c>
      <c r="D32" s="21">
        <v>0</v>
      </c>
      <c r="E32" s="21">
        <v>246300</v>
      </c>
      <c r="F32" s="64">
        <v>96400</v>
      </c>
      <c r="G32" s="75">
        <f t="shared" si="0"/>
        <v>1009195</v>
      </c>
      <c r="H32" s="21">
        <v>350125</v>
      </c>
      <c r="I32" s="22">
        <v>110211</v>
      </c>
      <c r="J32" s="39">
        <f t="shared" si="1"/>
        <v>460336</v>
      </c>
      <c r="K32" s="39">
        <f t="shared" si="2"/>
        <v>1469531</v>
      </c>
    </row>
    <row r="33" spans="1:11">
      <c r="A33" s="1" t="s">
        <v>3</v>
      </c>
      <c r="B33" s="26" t="s">
        <v>47</v>
      </c>
      <c r="C33" s="49">
        <v>1</v>
      </c>
      <c r="D33" s="15">
        <v>0</v>
      </c>
      <c r="E33" s="15">
        <v>0</v>
      </c>
      <c r="F33" s="61">
        <v>0</v>
      </c>
      <c r="G33" s="72"/>
      <c r="H33" s="15">
        <v>0</v>
      </c>
      <c r="I33" s="16">
        <v>0</v>
      </c>
      <c r="J33" s="36"/>
      <c r="K33" s="36"/>
    </row>
    <row r="34" spans="1:11">
      <c r="A34" s="1" t="s">
        <v>3</v>
      </c>
      <c r="B34" s="27" t="s">
        <v>48</v>
      </c>
      <c r="C34" s="53" t="s">
        <v>49</v>
      </c>
      <c r="D34" s="9" t="s">
        <v>49</v>
      </c>
      <c r="E34" s="9" t="s">
        <v>50</v>
      </c>
      <c r="F34" s="65" t="s">
        <v>50</v>
      </c>
      <c r="G34" s="76"/>
      <c r="H34" s="9" t="s">
        <v>49</v>
      </c>
      <c r="I34" s="10" t="s">
        <v>49</v>
      </c>
      <c r="J34" s="40"/>
      <c r="K34" s="40"/>
    </row>
    <row r="35" spans="1:11" ht="19.5" thickBot="1">
      <c r="A35" s="1" t="s">
        <v>3</v>
      </c>
      <c r="B35" s="31" t="s">
        <v>51</v>
      </c>
      <c r="C35" s="54">
        <v>65230</v>
      </c>
      <c r="D35" s="11">
        <v>4760</v>
      </c>
      <c r="E35" s="11">
        <v>53700</v>
      </c>
      <c r="F35" s="66">
        <v>3600</v>
      </c>
      <c r="G35" s="77">
        <f>SUM(C35:F35)</f>
        <v>127290</v>
      </c>
      <c r="H35" s="11">
        <v>14170</v>
      </c>
      <c r="I35" s="12">
        <v>1360</v>
      </c>
      <c r="J35" s="41">
        <f>SUM(H35:I35)</f>
        <v>15530</v>
      </c>
      <c r="K35" s="41">
        <f>G35+J35</f>
        <v>142820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2025-08-12T01:30:11Z</dcterms:created>
  <dcterms:modified xsi:type="dcterms:W3CDTF">2025-09-09T00:46:15Z</dcterms:modified>
  <cp:category/>
  <cp:contentStatus/>
</cp:coreProperties>
</file>