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7月分\"/>
    </mc:Choice>
  </mc:AlternateContent>
  <xr:revisionPtr revIDLastSave="2" documentId="13_ncr:1_{32C1C6EC-11D4-42FE-BB3A-10F405D89DAB}" xr6:coauthVersionLast="47" xr6:coauthVersionMax="47" xr10:uidLastSave="{F7F490B0-FF1B-4CFA-AD5D-5055F35617EE}"/>
  <bookViews>
    <workbookView xWindow="-120" yWindow="-120" windowWidth="20730" windowHeight="11160" firstSheet="2" activeTab="1" xr2:uid="{B6AC07F3-2AA3-4464-95D6-2B855364707B}"/>
  </bookViews>
  <sheets>
    <sheet name="2025年 7月度給与" sheetId="2" r:id="rId1"/>
    <sheet name="2025年 7月度給与 (2)" sheetId="6" r:id="rId2"/>
    <sheet name="2025年 7月度給与 (3)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2" i="7" l="1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N62" i="6"/>
  <c r="L62" i="6"/>
  <c r="O62" i="6" s="1"/>
  <c r="N59" i="6"/>
  <c r="L59" i="6"/>
  <c r="O59" i="6" s="1"/>
  <c r="N58" i="6"/>
  <c r="L58" i="6"/>
  <c r="O58" i="6" s="1"/>
  <c r="N57" i="6"/>
  <c r="L57" i="6"/>
  <c r="O57" i="6" s="1"/>
  <c r="N56" i="6"/>
  <c r="L56" i="6"/>
  <c r="O56" i="6" s="1"/>
  <c r="N55" i="6"/>
  <c r="L55" i="6"/>
  <c r="O55" i="6" s="1"/>
  <c r="N54" i="6"/>
  <c r="L54" i="6"/>
  <c r="O54" i="6" s="1"/>
  <c r="N53" i="6"/>
  <c r="L53" i="6"/>
  <c r="O53" i="6" s="1"/>
  <c r="N52" i="6"/>
  <c r="L52" i="6"/>
  <c r="O52" i="6" s="1"/>
  <c r="N51" i="6"/>
  <c r="L51" i="6"/>
  <c r="O51" i="6" s="1"/>
  <c r="N50" i="6"/>
  <c r="L50" i="6"/>
  <c r="O50" i="6" s="1"/>
  <c r="N49" i="6"/>
  <c r="L49" i="6"/>
  <c r="O49" i="6" s="1"/>
  <c r="N48" i="6"/>
  <c r="L48" i="6"/>
  <c r="O48" i="6" s="1"/>
  <c r="N47" i="6"/>
  <c r="L47" i="6"/>
  <c r="O47" i="6" s="1"/>
  <c r="N46" i="6"/>
  <c r="L46" i="6"/>
  <c r="O46" i="6" s="1"/>
  <c r="N45" i="6"/>
  <c r="L45" i="6"/>
  <c r="O45" i="6" s="1"/>
  <c r="N44" i="6"/>
  <c r="L44" i="6"/>
  <c r="O44" i="6" s="1"/>
  <c r="N43" i="6"/>
  <c r="L43" i="6"/>
  <c r="O43" i="6" s="1"/>
  <c r="N42" i="6"/>
  <c r="L42" i="6"/>
  <c r="O42" i="6" s="1"/>
  <c r="N41" i="6"/>
  <c r="L41" i="6"/>
  <c r="O41" i="6" s="1"/>
  <c r="N40" i="6"/>
  <c r="L40" i="6"/>
  <c r="O40" i="6" s="1"/>
  <c r="N39" i="6"/>
  <c r="L39" i="6"/>
  <c r="O39" i="6" s="1"/>
  <c r="N38" i="6"/>
  <c r="L38" i="6"/>
  <c r="O38" i="6" s="1"/>
  <c r="N37" i="6"/>
  <c r="L37" i="6"/>
  <c r="O37" i="6" s="1"/>
  <c r="N36" i="6"/>
  <c r="L36" i="6"/>
  <c r="O36" i="6" s="1"/>
  <c r="N35" i="6"/>
  <c r="L35" i="6"/>
  <c r="O35" i="6" s="1"/>
  <c r="N34" i="6"/>
  <c r="L34" i="6"/>
  <c r="O34" i="6" s="1"/>
  <c r="N33" i="6"/>
  <c r="L33" i="6"/>
  <c r="O33" i="6" s="1"/>
  <c r="N32" i="6"/>
  <c r="L32" i="6"/>
  <c r="O32" i="6" s="1"/>
  <c r="N31" i="6"/>
  <c r="L31" i="6"/>
  <c r="O31" i="6" s="1"/>
  <c r="N30" i="6"/>
  <c r="L30" i="6"/>
  <c r="O30" i="6" s="1"/>
  <c r="N29" i="6"/>
  <c r="L29" i="6"/>
  <c r="O29" i="6" s="1"/>
  <c r="N28" i="6"/>
  <c r="L28" i="6"/>
  <c r="O28" i="6" s="1"/>
  <c r="N27" i="6"/>
  <c r="L27" i="6"/>
  <c r="O27" i="6" s="1"/>
  <c r="N26" i="6"/>
  <c r="L26" i="6"/>
  <c r="O26" i="6" s="1"/>
  <c r="N24" i="6"/>
  <c r="L24" i="6"/>
  <c r="O24" i="6" s="1"/>
  <c r="N23" i="6"/>
  <c r="L23" i="6"/>
  <c r="O23" i="6" s="1"/>
  <c r="N22" i="6"/>
  <c r="L22" i="6"/>
  <c r="O22" i="6" s="1"/>
  <c r="N21" i="6"/>
  <c r="L21" i="6"/>
  <c r="O21" i="6" s="1"/>
  <c r="N20" i="6"/>
  <c r="L20" i="6"/>
  <c r="O20" i="6" s="1"/>
  <c r="N19" i="6"/>
  <c r="L19" i="6"/>
  <c r="O19" i="6" s="1"/>
  <c r="N18" i="6"/>
  <c r="L18" i="6"/>
  <c r="O18" i="6" s="1"/>
  <c r="N17" i="6"/>
  <c r="L17" i="6"/>
  <c r="O17" i="6" s="1"/>
  <c r="N16" i="6"/>
  <c r="L16" i="6"/>
  <c r="O16" i="6" s="1"/>
  <c r="N15" i="6"/>
  <c r="L15" i="6"/>
  <c r="O15" i="6" s="1"/>
  <c r="N14" i="6"/>
  <c r="L14" i="6"/>
  <c r="O14" i="6" s="1"/>
  <c r="N13" i="6"/>
  <c r="L13" i="6"/>
  <c r="O13" i="6" s="1"/>
  <c r="N12" i="6"/>
  <c r="L12" i="6"/>
  <c r="O12" i="6" s="1"/>
  <c r="N11" i="6"/>
  <c r="L11" i="6"/>
  <c r="O11" i="6" s="1"/>
  <c r="N10" i="6"/>
  <c r="L10" i="6"/>
  <c r="O10" i="6" s="1"/>
  <c r="N9" i="6"/>
  <c r="L9" i="6"/>
  <c r="O9" i="6" s="1"/>
  <c r="AF62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D62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T62" i="2"/>
  <c r="AG62" i="2" s="1"/>
  <c r="T59" i="2"/>
  <c r="AG59" i="2" s="1"/>
  <c r="T58" i="2"/>
  <c r="AG58" i="2" s="1"/>
  <c r="T57" i="2"/>
  <c r="AG57" i="2" s="1"/>
  <c r="T56" i="2"/>
  <c r="AG56" i="2" s="1"/>
  <c r="T55" i="2"/>
  <c r="AG55" i="2" s="1"/>
  <c r="T54" i="2"/>
  <c r="AG54" i="2" s="1"/>
  <c r="T53" i="2"/>
  <c r="AG53" i="2" s="1"/>
  <c r="T52" i="2"/>
  <c r="AG52" i="2" s="1"/>
  <c r="T51" i="2"/>
  <c r="AG51" i="2" s="1"/>
  <c r="T50" i="2"/>
  <c r="AG50" i="2" s="1"/>
  <c r="T49" i="2"/>
  <c r="AG49" i="2" s="1"/>
  <c r="T48" i="2"/>
  <c r="AG48" i="2" s="1"/>
  <c r="T47" i="2"/>
  <c r="AG47" i="2" s="1"/>
  <c r="T46" i="2"/>
  <c r="AG46" i="2" s="1"/>
  <c r="T45" i="2"/>
  <c r="AG45" i="2" s="1"/>
  <c r="T44" i="2"/>
  <c r="AG44" i="2" s="1"/>
  <c r="T43" i="2"/>
  <c r="AG43" i="2" s="1"/>
  <c r="T42" i="2"/>
  <c r="AG42" i="2" s="1"/>
  <c r="T41" i="2"/>
  <c r="AG41" i="2" s="1"/>
  <c r="T40" i="2"/>
  <c r="AG40" i="2" s="1"/>
  <c r="T39" i="2"/>
  <c r="AG39" i="2" s="1"/>
  <c r="T38" i="2"/>
  <c r="AG38" i="2" s="1"/>
  <c r="T37" i="2"/>
  <c r="AG37" i="2" s="1"/>
  <c r="T36" i="2"/>
  <c r="AG36" i="2" s="1"/>
  <c r="T35" i="2"/>
  <c r="AG35" i="2" s="1"/>
  <c r="T34" i="2"/>
  <c r="AG34" i="2" s="1"/>
  <c r="T33" i="2"/>
  <c r="AG33" i="2" s="1"/>
  <c r="T32" i="2"/>
  <c r="AG32" i="2" s="1"/>
  <c r="T31" i="2"/>
  <c r="AG31" i="2" s="1"/>
  <c r="T30" i="2"/>
  <c r="AG30" i="2" s="1"/>
  <c r="T29" i="2"/>
  <c r="AG29" i="2" s="1"/>
  <c r="T28" i="2"/>
  <c r="AG28" i="2" s="1"/>
  <c r="T27" i="2"/>
  <c r="AG27" i="2" s="1"/>
  <c r="T26" i="2"/>
  <c r="AG26" i="2" s="1"/>
  <c r="T24" i="2"/>
  <c r="AG24" i="2" s="1"/>
  <c r="T23" i="2"/>
  <c r="AG23" i="2" s="1"/>
  <c r="T22" i="2"/>
  <c r="AG22" i="2" s="1"/>
  <c r="T21" i="2"/>
  <c r="AG21" i="2" s="1"/>
  <c r="T20" i="2"/>
  <c r="AG20" i="2" s="1"/>
  <c r="T19" i="2"/>
  <c r="AG19" i="2" s="1"/>
  <c r="T18" i="2"/>
  <c r="AG18" i="2" s="1"/>
  <c r="T17" i="2"/>
  <c r="AG17" i="2" s="1"/>
  <c r="T16" i="2"/>
  <c r="AG16" i="2" s="1"/>
  <c r="T15" i="2"/>
  <c r="AG15" i="2" s="1"/>
  <c r="T14" i="2"/>
  <c r="AG14" i="2" s="1"/>
  <c r="T13" i="2"/>
  <c r="AG13" i="2" s="1"/>
  <c r="T12" i="2"/>
  <c r="AG12" i="2" s="1"/>
  <c r="T11" i="2"/>
  <c r="AG11" i="2" s="1"/>
  <c r="T10" i="2"/>
  <c r="AG10" i="2" s="1"/>
  <c r="T9" i="2"/>
  <c r="AG9" i="2" s="1"/>
</calcChain>
</file>

<file path=xl/sharedStrings.xml><?xml version="1.0" encoding="utf-8"?>
<sst xmlns="http://schemas.openxmlformats.org/spreadsheetml/2006/main" count="520" uniqueCount="118">
  <si>
    <t>支給控除一覧表</t>
    <phoneticPr fontId="4"/>
  </si>
  <si>
    <t>若林運送株式会社</t>
    <phoneticPr fontId="4"/>
  </si>
  <si>
    <t>2025年 8月12日 作成</t>
    <phoneticPr fontId="4"/>
  </si>
  <si>
    <t/>
  </si>
  <si>
    <t>2025年 7月度給与</t>
    <phoneticPr fontId="4"/>
  </si>
  <si>
    <t>1006</t>
    <phoneticPr fontId="4"/>
  </si>
  <si>
    <t>1007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</si>
  <si>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</si>
  <si>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</si>
  <si>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</si>
  <si>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</si>
  <si>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</si>
  <si>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</si>
  <si>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</si>
  <si>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</si>
  <si>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</si>
  <si>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</si>
  <si>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</si>
  <si>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</si>
  <si>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</si>
  <si>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1206</t>
    <phoneticPr fontId="4"/>
  </si>
  <si>
    <t>1209</t>
    <phoneticPr fontId="4"/>
  </si>
  <si>
    <t>小計</t>
    <rPh sb="0" eb="2">
      <t>ショウケイ</t>
    </rPh>
    <phoneticPr fontId="3"/>
  </si>
  <si>
    <t>1080</t>
    <phoneticPr fontId="4"/>
  </si>
  <si>
    <t>1013</t>
    <phoneticPr fontId="4"/>
  </si>
  <si>
    <t>1119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</si>
  <si>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</si>
  <si>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</si>
  <si>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</si>
  <si>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</si>
  <si>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</si>
  <si>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1118</t>
    <phoneticPr fontId="4"/>
  </si>
  <si>
    <t>1014</t>
    <phoneticPr fontId="4"/>
  </si>
  <si>
    <t>合計</t>
    <rPh sb="0" eb="2">
      <t>ゴウケイ</t>
    </rPh>
    <phoneticPr fontId="3"/>
  </si>
  <si>
    <t>項目名</t>
    <phoneticPr fontId="4"/>
  </si>
  <si>
    <t>小林　啓一</t>
    <phoneticPr fontId="4"/>
  </si>
  <si>
    <t>鈴木　富雄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</si>
  <si>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</si>
  <si>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</si>
  <si>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</si>
  <si>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</si>
  <si>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</si>
  <si>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</si>
  <si>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</si>
  <si>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</si>
  <si>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</si>
  <si>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</si>
  <si>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</si>
  <si>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</si>
  <si>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</si>
  <si>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鈴木秀和</t>
    <phoneticPr fontId="4"/>
  </si>
  <si>
    <t>安達康範</t>
    <phoneticPr fontId="4"/>
  </si>
  <si>
    <t>17名</t>
    <rPh sb="2" eb="3">
      <t>メイ</t>
    </rPh>
    <phoneticPr fontId="4"/>
  </si>
  <si>
    <t>若松　美宏</t>
    <phoneticPr fontId="4"/>
  </si>
  <si>
    <t>下山田　英治</t>
    <phoneticPr fontId="4"/>
  </si>
  <si>
    <t>水町　賢土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</si>
  <si>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</si>
  <si>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</si>
  <si>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</si>
  <si>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</si>
  <si>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</si>
  <si>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小沼　康</t>
    <phoneticPr fontId="4"/>
  </si>
  <si>
    <t>9名</t>
    <rPh sb="1" eb="2">
      <t>メイ</t>
    </rPh>
    <phoneticPr fontId="4"/>
  </si>
  <si>
    <t>金山　岳夫</t>
    <phoneticPr fontId="4"/>
  </si>
  <si>
    <t>1名</t>
    <rPh sb="1" eb="2">
      <t>メイ</t>
    </rPh>
    <phoneticPr fontId="4"/>
  </si>
  <si>
    <t>27名</t>
    <rPh sb="2" eb="3">
      <t>メイ</t>
    </rPh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</si>
  <si>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</si>
  <si>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</si>
  <si>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</si>
  <si>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</si>
  <si>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</si>
  <si>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</si>
  <si>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</si>
  <si>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</si>
  <si>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</si>
  <si>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</si>
  <si>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</si>
  <si>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</si>
  <si>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</si>
  <si>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遅刻早退時間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</si>
  <si>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</si>
  <si>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</si>
  <si>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</si>
  <si>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</si>
  <si>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</si>
  <si>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</si>
  <si>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</si>
  <si>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呼出手当</t>
    <phoneticPr fontId="4"/>
  </si>
  <si>
    <t>基本給2</t>
    <phoneticPr fontId="4"/>
  </si>
  <si>
    <t>無事故加算</t>
    <phoneticPr fontId="4"/>
  </si>
  <si>
    <t>有給休暇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</si>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</sst>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9" xfId="1" applyNumberFormat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left"/>
    </xf>
    <xf numFmtId="49" fontId="2" fillId="0" borderId="28" xfId="1" applyNumberFormat="1" applyFont="1" applyBorder="1" applyAlignment="1">
      <alignment horizontal="left"/>
    </xf>
    <xf numFmtId="49" fontId="2" fillId="0" borderId="29" xfId="1" applyNumberFormat="1" applyFont="1" applyBorder="1" applyAlignment="1">
      <alignment horizontal="left"/>
    </xf>
    <xf numFmtId="49" fontId="2" fillId="0" borderId="24" xfId="1" applyNumberFormat="1" applyFont="1" applyBorder="1" applyAlignment="1">
      <alignment horizontal="left"/>
    </xf>
    <xf numFmtId="0" fontId="2" fillId="0" borderId="31" xfId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4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3" xfId="1" applyNumberFormat="1" applyFont="1" applyBorder="1"/>
    <xf numFmtId="3" fontId="2" fillId="0" borderId="31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5" xfId="1" applyNumberFormat="1" applyFont="1" applyBorder="1"/>
    <xf numFmtId="176" fontId="2" fillId="0" borderId="5" xfId="1" applyNumberFormat="1" applyFont="1" applyBorder="1"/>
    <xf numFmtId="2" fontId="2" fillId="0" borderId="14" xfId="1" applyNumberFormat="1" applyFont="1" applyBorder="1"/>
    <xf numFmtId="3" fontId="2" fillId="0" borderId="11" xfId="1" applyNumberFormat="1" applyFont="1" applyBorder="1"/>
    <xf numFmtId="3" fontId="2" fillId="0" borderId="5" xfId="1" applyNumberFormat="1" applyFont="1" applyBorder="1"/>
    <xf numFmtId="3" fontId="2" fillId="0" borderId="17" xfId="1" applyNumberFormat="1" applyFont="1" applyBorder="1"/>
    <xf numFmtId="3" fontId="2" fillId="0" borderId="20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  <xf numFmtId="0" fontId="2" fillId="0" borderId="30" xfId="1" applyFont="1" applyBorder="1" applyAlignment="1">
      <alignment horizontal="center"/>
    </xf>
    <xf numFmtId="0" fontId="2" fillId="0" borderId="44" xfId="1" applyFont="1" applyBorder="1" applyAlignment="1">
      <alignment horizontal="center"/>
    </xf>
  </cellXfs>
  <cellStyles count="2">
    <cellStyle name="標準" xfId="0" builtinId="0"/>
    <cellStyle name="標準 2" xfId="1" xr:uid="{E059C177-0ED0-4936-B3FF-F3350C9C36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074D-BDCB-40E0-A956-73D38174B6D4}">
  <dimension ref="A1:AG62"/>
  <sheetViews>
    <sheetView showZeros="0" workbookViewId="0">
      <pane xSplit="2" ySplit="8" topLeftCell="S9" activePane="bottomRight" state="frozen"/>
      <selection pane="bottomRight" activeCell="AG54" sqref="AG54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15" width="11.125" style="2" bestFit="1" customWidth="1"/>
    <col min="16" max="16" width="9" style="2" bestFit="1" customWidth="1"/>
    <col min="17" max="17" width="11.125" style="2" bestFit="1" customWidth="1"/>
    <col min="18" max="19" width="9" style="2" bestFit="1" customWidth="1"/>
    <col min="20" max="20" width="9.625" style="2" bestFit="1" customWidth="1"/>
    <col min="21" max="21" width="11.125" style="2" bestFit="1" customWidth="1"/>
    <col min="22" max="22" width="13.25" style="2" bestFit="1" customWidth="1"/>
    <col min="23" max="28" width="11.125" style="2" bestFit="1" customWidth="1"/>
    <col min="29" max="29" width="9" style="2" bestFit="1" customWidth="1"/>
    <col min="30" max="30" width="9.625" style="2" bestFit="1" customWidth="1"/>
    <col min="31" max="31" width="11.125" style="2" bestFit="1" customWidth="1"/>
    <col min="32" max="33" width="9.625" style="2" bestFit="1" customWidth="1"/>
    <col min="34" max="259" width="9" style="2"/>
    <col min="260" max="260" width="2.375" style="2" customWidth="1"/>
    <col min="261" max="261" width="13.25" style="2" bestFit="1" customWidth="1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 bestFit="1"/>
    <col min="267" max="277" width="11.125" style="2" bestFit="1" customWidth="1"/>
    <col min="278" max="278" width="9" style="2" bestFit="1"/>
    <col min="279" max="280" width="11.125" style="2" bestFit="1" customWidth="1"/>
    <col min="281" max="282" width="9" style="2" bestFit="1"/>
    <col min="283" max="287" width="11.125" style="2" bestFit="1" customWidth="1"/>
    <col min="288" max="288" width="9" style="2" bestFit="1"/>
    <col min="289" max="289" width="9.625" style="2" bestFit="1" customWidth="1"/>
    <col min="290" max="515" width="9" style="2"/>
    <col min="516" max="516" width="2.375" style="2" customWidth="1"/>
    <col min="517" max="517" width="13.25" style="2" bestFit="1" customWidth="1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 bestFit="1"/>
    <col min="523" max="533" width="11.125" style="2" bestFit="1" customWidth="1"/>
    <col min="534" max="534" width="9" style="2" bestFit="1"/>
    <col min="535" max="536" width="11.125" style="2" bestFit="1" customWidth="1"/>
    <col min="537" max="538" width="9" style="2" bestFit="1"/>
    <col min="539" max="543" width="11.125" style="2" bestFit="1" customWidth="1"/>
    <col min="544" max="544" width="9" style="2" bestFit="1"/>
    <col min="545" max="545" width="9.625" style="2" bestFit="1" customWidth="1"/>
    <col min="546" max="771" width="9" style="2"/>
    <col min="772" max="772" width="2.375" style="2" customWidth="1"/>
    <col min="773" max="773" width="13.25" style="2" bestFit="1" customWidth="1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 bestFit="1"/>
    <col min="779" max="789" width="11.125" style="2" bestFit="1" customWidth="1"/>
    <col min="790" max="790" width="9" style="2" bestFit="1"/>
    <col min="791" max="792" width="11.125" style="2" bestFit="1" customWidth="1"/>
    <col min="793" max="794" width="9" style="2" bestFit="1"/>
    <col min="795" max="799" width="11.125" style="2" bestFit="1" customWidth="1"/>
    <col min="800" max="800" width="9" style="2" bestFit="1"/>
    <col min="801" max="801" width="9.625" style="2" bestFit="1" customWidth="1"/>
    <col min="802" max="1027" width="9" style="2"/>
    <col min="1028" max="1028" width="2.375" style="2" customWidth="1"/>
    <col min="1029" max="1029" width="13.25" style="2" bestFit="1" customWidth="1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 bestFit="1"/>
    <col min="1035" max="1045" width="11.125" style="2" bestFit="1" customWidth="1"/>
    <col min="1046" max="1046" width="9" style="2" bestFit="1"/>
    <col min="1047" max="1048" width="11.125" style="2" bestFit="1" customWidth="1"/>
    <col min="1049" max="1050" width="9" style="2" bestFit="1"/>
    <col min="1051" max="1055" width="11.125" style="2" bestFit="1" customWidth="1"/>
    <col min="1056" max="1056" width="9" style="2" bestFit="1"/>
    <col min="1057" max="1057" width="9.625" style="2" bestFit="1" customWidth="1"/>
    <col min="1058" max="1283" width="9" style="2"/>
    <col min="1284" max="1284" width="2.375" style="2" customWidth="1"/>
    <col min="1285" max="1285" width="13.25" style="2" bestFit="1" customWidth="1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 bestFit="1"/>
    <col min="1291" max="1301" width="11.125" style="2" bestFit="1" customWidth="1"/>
    <col min="1302" max="1302" width="9" style="2" bestFit="1"/>
    <col min="1303" max="1304" width="11.125" style="2" bestFit="1" customWidth="1"/>
    <col min="1305" max="1306" width="9" style="2" bestFit="1"/>
    <col min="1307" max="1311" width="11.125" style="2" bestFit="1" customWidth="1"/>
    <col min="1312" max="1312" width="9" style="2" bestFit="1"/>
    <col min="1313" max="1313" width="9.625" style="2" bestFit="1" customWidth="1"/>
    <col min="1314" max="1539" width="9" style="2"/>
    <col min="1540" max="1540" width="2.375" style="2" customWidth="1"/>
    <col min="1541" max="1541" width="13.25" style="2" bestFit="1" customWidth="1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 bestFit="1"/>
    <col min="1547" max="1557" width="11.125" style="2" bestFit="1" customWidth="1"/>
    <col min="1558" max="1558" width="9" style="2" bestFit="1"/>
    <col min="1559" max="1560" width="11.125" style="2" bestFit="1" customWidth="1"/>
    <col min="1561" max="1562" width="9" style="2" bestFit="1"/>
    <col min="1563" max="1567" width="11.125" style="2" bestFit="1" customWidth="1"/>
    <col min="1568" max="1568" width="9" style="2" bestFit="1"/>
    <col min="1569" max="1569" width="9.625" style="2" bestFit="1" customWidth="1"/>
    <col min="1570" max="1795" width="9" style="2"/>
    <col min="1796" max="1796" width="2.375" style="2" customWidth="1"/>
    <col min="1797" max="1797" width="13.25" style="2" bestFit="1" customWidth="1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 bestFit="1"/>
    <col min="1803" max="1813" width="11.125" style="2" bestFit="1" customWidth="1"/>
    <col min="1814" max="1814" width="9" style="2" bestFit="1"/>
    <col min="1815" max="1816" width="11.125" style="2" bestFit="1" customWidth="1"/>
    <col min="1817" max="1818" width="9" style="2" bestFit="1"/>
    <col min="1819" max="1823" width="11.125" style="2" bestFit="1" customWidth="1"/>
    <col min="1824" max="1824" width="9" style="2" bestFit="1"/>
    <col min="1825" max="1825" width="9.625" style="2" bestFit="1" customWidth="1"/>
    <col min="1826" max="2051" width="9" style="2"/>
    <col min="2052" max="2052" width="2.375" style="2" customWidth="1"/>
    <col min="2053" max="2053" width="13.25" style="2" bestFit="1" customWidth="1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 bestFit="1"/>
    <col min="2059" max="2069" width="11.125" style="2" bestFit="1" customWidth="1"/>
    <col min="2070" max="2070" width="9" style="2" bestFit="1"/>
    <col min="2071" max="2072" width="11.125" style="2" bestFit="1" customWidth="1"/>
    <col min="2073" max="2074" width="9" style="2" bestFit="1"/>
    <col min="2075" max="2079" width="11.125" style="2" bestFit="1" customWidth="1"/>
    <col min="2080" max="2080" width="9" style="2" bestFit="1"/>
    <col min="2081" max="2081" width="9.625" style="2" bestFit="1" customWidth="1"/>
    <col min="2082" max="2307" width="9" style="2"/>
    <col min="2308" max="2308" width="2.375" style="2" customWidth="1"/>
    <col min="2309" max="2309" width="13.25" style="2" bestFit="1" customWidth="1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 bestFit="1"/>
    <col min="2315" max="2325" width="11.125" style="2" bestFit="1" customWidth="1"/>
    <col min="2326" max="2326" width="9" style="2" bestFit="1"/>
    <col min="2327" max="2328" width="11.125" style="2" bestFit="1" customWidth="1"/>
    <col min="2329" max="2330" width="9" style="2" bestFit="1"/>
    <col min="2331" max="2335" width="11.125" style="2" bestFit="1" customWidth="1"/>
    <col min="2336" max="2336" width="9" style="2" bestFit="1"/>
    <col min="2337" max="2337" width="9.625" style="2" bestFit="1" customWidth="1"/>
    <col min="2338" max="2563" width="9" style="2"/>
    <col min="2564" max="2564" width="2.375" style="2" customWidth="1"/>
    <col min="2565" max="2565" width="13.25" style="2" bestFit="1" customWidth="1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 bestFit="1"/>
    <col min="2571" max="2581" width="11.125" style="2" bestFit="1" customWidth="1"/>
    <col min="2582" max="2582" width="9" style="2" bestFit="1"/>
    <col min="2583" max="2584" width="11.125" style="2" bestFit="1" customWidth="1"/>
    <col min="2585" max="2586" width="9" style="2" bestFit="1"/>
    <col min="2587" max="2591" width="11.125" style="2" bestFit="1" customWidth="1"/>
    <col min="2592" max="2592" width="9" style="2" bestFit="1"/>
    <col min="2593" max="2593" width="9.625" style="2" bestFit="1" customWidth="1"/>
    <col min="2594" max="2819" width="9" style="2"/>
    <col min="2820" max="2820" width="2.375" style="2" customWidth="1"/>
    <col min="2821" max="2821" width="13.25" style="2" bestFit="1" customWidth="1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 bestFit="1"/>
    <col min="2827" max="2837" width="11.125" style="2" bestFit="1" customWidth="1"/>
    <col min="2838" max="2838" width="9" style="2" bestFit="1"/>
    <col min="2839" max="2840" width="11.125" style="2" bestFit="1" customWidth="1"/>
    <col min="2841" max="2842" width="9" style="2" bestFit="1"/>
    <col min="2843" max="2847" width="11.125" style="2" bestFit="1" customWidth="1"/>
    <col min="2848" max="2848" width="9" style="2" bestFit="1"/>
    <col min="2849" max="2849" width="9.625" style="2" bestFit="1" customWidth="1"/>
    <col min="2850" max="3075" width="9" style="2"/>
    <col min="3076" max="3076" width="2.375" style="2" customWidth="1"/>
    <col min="3077" max="3077" width="13.25" style="2" bestFit="1" customWidth="1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 bestFit="1"/>
    <col min="3083" max="3093" width="11.125" style="2" bestFit="1" customWidth="1"/>
    <col min="3094" max="3094" width="9" style="2" bestFit="1"/>
    <col min="3095" max="3096" width="11.125" style="2" bestFit="1" customWidth="1"/>
    <col min="3097" max="3098" width="9" style="2" bestFit="1"/>
    <col min="3099" max="3103" width="11.125" style="2" bestFit="1" customWidth="1"/>
    <col min="3104" max="3104" width="9" style="2" bestFit="1"/>
    <col min="3105" max="3105" width="9.625" style="2" bestFit="1" customWidth="1"/>
    <col min="3106" max="3331" width="9" style="2"/>
    <col min="3332" max="3332" width="2.375" style="2" customWidth="1"/>
    <col min="3333" max="3333" width="13.25" style="2" bestFit="1" customWidth="1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 bestFit="1"/>
    <col min="3339" max="3349" width="11.125" style="2" bestFit="1" customWidth="1"/>
    <col min="3350" max="3350" width="9" style="2" bestFit="1"/>
    <col min="3351" max="3352" width="11.125" style="2" bestFit="1" customWidth="1"/>
    <col min="3353" max="3354" width="9" style="2" bestFit="1"/>
    <col min="3355" max="3359" width="11.125" style="2" bestFit="1" customWidth="1"/>
    <col min="3360" max="3360" width="9" style="2" bestFit="1"/>
    <col min="3361" max="3361" width="9.625" style="2" bestFit="1" customWidth="1"/>
    <col min="3362" max="3587" width="9" style="2"/>
    <col min="3588" max="3588" width="2.375" style="2" customWidth="1"/>
    <col min="3589" max="3589" width="13.25" style="2" bestFit="1" customWidth="1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 bestFit="1"/>
    <col min="3595" max="3605" width="11.125" style="2" bestFit="1" customWidth="1"/>
    <col min="3606" max="3606" width="9" style="2" bestFit="1"/>
    <col min="3607" max="3608" width="11.125" style="2" bestFit="1" customWidth="1"/>
    <col min="3609" max="3610" width="9" style="2" bestFit="1"/>
    <col min="3611" max="3615" width="11.125" style="2" bestFit="1" customWidth="1"/>
    <col min="3616" max="3616" width="9" style="2" bestFit="1"/>
    <col min="3617" max="3617" width="9.625" style="2" bestFit="1" customWidth="1"/>
    <col min="3618" max="3843" width="9" style="2"/>
    <col min="3844" max="3844" width="2.375" style="2" customWidth="1"/>
    <col min="3845" max="3845" width="13.25" style="2" bestFit="1" customWidth="1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 bestFit="1"/>
    <col min="3851" max="3861" width="11.125" style="2" bestFit="1" customWidth="1"/>
    <col min="3862" max="3862" width="9" style="2" bestFit="1"/>
    <col min="3863" max="3864" width="11.125" style="2" bestFit="1" customWidth="1"/>
    <col min="3865" max="3866" width="9" style="2" bestFit="1"/>
    <col min="3867" max="3871" width="11.125" style="2" bestFit="1" customWidth="1"/>
    <col min="3872" max="3872" width="9" style="2" bestFit="1"/>
    <col min="3873" max="3873" width="9.625" style="2" bestFit="1" customWidth="1"/>
    <col min="3874" max="4099" width="9" style="2"/>
    <col min="4100" max="4100" width="2.375" style="2" customWidth="1"/>
    <col min="4101" max="4101" width="13.25" style="2" bestFit="1" customWidth="1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 bestFit="1"/>
    <col min="4107" max="4117" width="11.125" style="2" bestFit="1" customWidth="1"/>
    <col min="4118" max="4118" width="9" style="2" bestFit="1"/>
    <col min="4119" max="4120" width="11.125" style="2" bestFit="1" customWidth="1"/>
    <col min="4121" max="4122" width="9" style="2" bestFit="1"/>
    <col min="4123" max="4127" width="11.125" style="2" bestFit="1" customWidth="1"/>
    <col min="4128" max="4128" width="9" style="2" bestFit="1"/>
    <col min="4129" max="4129" width="9.625" style="2" bestFit="1" customWidth="1"/>
    <col min="4130" max="4355" width="9" style="2"/>
    <col min="4356" max="4356" width="2.375" style="2" customWidth="1"/>
    <col min="4357" max="4357" width="13.25" style="2" bestFit="1" customWidth="1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 bestFit="1"/>
    <col min="4363" max="4373" width="11.125" style="2" bestFit="1" customWidth="1"/>
    <col min="4374" max="4374" width="9" style="2" bestFit="1"/>
    <col min="4375" max="4376" width="11.125" style="2" bestFit="1" customWidth="1"/>
    <col min="4377" max="4378" width="9" style="2" bestFit="1"/>
    <col min="4379" max="4383" width="11.125" style="2" bestFit="1" customWidth="1"/>
    <col min="4384" max="4384" width="9" style="2" bestFit="1"/>
    <col min="4385" max="4385" width="9.625" style="2" bestFit="1" customWidth="1"/>
    <col min="4386" max="4611" width="9" style="2"/>
    <col min="4612" max="4612" width="2.375" style="2" customWidth="1"/>
    <col min="4613" max="4613" width="13.25" style="2" bestFit="1" customWidth="1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 bestFit="1"/>
    <col min="4619" max="4629" width="11.125" style="2" bestFit="1" customWidth="1"/>
    <col min="4630" max="4630" width="9" style="2" bestFit="1"/>
    <col min="4631" max="4632" width="11.125" style="2" bestFit="1" customWidth="1"/>
    <col min="4633" max="4634" width="9" style="2" bestFit="1"/>
    <col min="4635" max="4639" width="11.125" style="2" bestFit="1" customWidth="1"/>
    <col min="4640" max="4640" width="9" style="2" bestFit="1"/>
    <col min="4641" max="4641" width="9.625" style="2" bestFit="1" customWidth="1"/>
    <col min="4642" max="4867" width="9" style="2"/>
    <col min="4868" max="4868" width="2.375" style="2" customWidth="1"/>
    <col min="4869" max="4869" width="13.25" style="2" bestFit="1" customWidth="1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 bestFit="1"/>
    <col min="4875" max="4885" width="11.125" style="2" bestFit="1" customWidth="1"/>
    <col min="4886" max="4886" width="9" style="2" bestFit="1"/>
    <col min="4887" max="4888" width="11.125" style="2" bestFit="1" customWidth="1"/>
    <col min="4889" max="4890" width="9" style="2" bestFit="1"/>
    <col min="4891" max="4895" width="11.125" style="2" bestFit="1" customWidth="1"/>
    <col min="4896" max="4896" width="9" style="2" bestFit="1"/>
    <col min="4897" max="4897" width="9.625" style="2" bestFit="1" customWidth="1"/>
    <col min="4898" max="5123" width="9" style="2"/>
    <col min="5124" max="5124" width="2.375" style="2" customWidth="1"/>
    <col min="5125" max="5125" width="13.25" style="2" bestFit="1" customWidth="1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 bestFit="1"/>
    <col min="5131" max="5141" width="11.125" style="2" bestFit="1" customWidth="1"/>
    <col min="5142" max="5142" width="9" style="2" bestFit="1"/>
    <col min="5143" max="5144" width="11.125" style="2" bestFit="1" customWidth="1"/>
    <col min="5145" max="5146" width="9" style="2" bestFit="1"/>
    <col min="5147" max="5151" width="11.125" style="2" bestFit="1" customWidth="1"/>
    <col min="5152" max="5152" width="9" style="2" bestFit="1"/>
    <col min="5153" max="5153" width="9.625" style="2" bestFit="1" customWidth="1"/>
    <col min="5154" max="5379" width="9" style="2"/>
    <col min="5380" max="5380" width="2.375" style="2" customWidth="1"/>
    <col min="5381" max="5381" width="13.25" style="2" bestFit="1" customWidth="1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 bestFit="1"/>
    <col min="5387" max="5397" width="11.125" style="2" bestFit="1" customWidth="1"/>
    <col min="5398" max="5398" width="9" style="2" bestFit="1"/>
    <col min="5399" max="5400" width="11.125" style="2" bestFit="1" customWidth="1"/>
    <col min="5401" max="5402" width="9" style="2" bestFit="1"/>
    <col min="5403" max="5407" width="11.125" style="2" bestFit="1" customWidth="1"/>
    <col min="5408" max="5408" width="9" style="2" bestFit="1"/>
    <col min="5409" max="5409" width="9.625" style="2" bestFit="1" customWidth="1"/>
    <col min="5410" max="5635" width="9" style="2"/>
    <col min="5636" max="5636" width="2.375" style="2" customWidth="1"/>
    <col min="5637" max="5637" width="13.25" style="2" bestFit="1" customWidth="1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 bestFit="1"/>
    <col min="5643" max="5653" width="11.125" style="2" bestFit="1" customWidth="1"/>
    <col min="5654" max="5654" width="9" style="2" bestFit="1"/>
    <col min="5655" max="5656" width="11.125" style="2" bestFit="1" customWidth="1"/>
    <col min="5657" max="5658" width="9" style="2" bestFit="1"/>
    <col min="5659" max="5663" width="11.125" style="2" bestFit="1" customWidth="1"/>
    <col min="5664" max="5664" width="9" style="2" bestFit="1"/>
    <col min="5665" max="5665" width="9.625" style="2" bestFit="1" customWidth="1"/>
    <col min="5666" max="5891" width="9" style="2"/>
    <col min="5892" max="5892" width="2.375" style="2" customWidth="1"/>
    <col min="5893" max="5893" width="13.25" style="2" bestFit="1" customWidth="1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 bestFit="1"/>
    <col min="5899" max="5909" width="11.125" style="2" bestFit="1" customWidth="1"/>
    <col min="5910" max="5910" width="9" style="2" bestFit="1"/>
    <col min="5911" max="5912" width="11.125" style="2" bestFit="1" customWidth="1"/>
    <col min="5913" max="5914" width="9" style="2" bestFit="1"/>
    <col min="5915" max="5919" width="11.125" style="2" bestFit="1" customWidth="1"/>
    <col min="5920" max="5920" width="9" style="2" bestFit="1"/>
    <col min="5921" max="5921" width="9.625" style="2" bestFit="1" customWidth="1"/>
    <col min="5922" max="6147" width="9" style="2"/>
    <col min="6148" max="6148" width="2.375" style="2" customWidth="1"/>
    <col min="6149" max="6149" width="13.25" style="2" bestFit="1" customWidth="1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 bestFit="1"/>
    <col min="6155" max="6165" width="11.125" style="2" bestFit="1" customWidth="1"/>
    <col min="6166" max="6166" width="9" style="2" bestFit="1"/>
    <col min="6167" max="6168" width="11.125" style="2" bestFit="1" customWidth="1"/>
    <col min="6169" max="6170" width="9" style="2" bestFit="1"/>
    <col min="6171" max="6175" width="11.125" style="2" bestFit="1" customWidth="1"/>
    <col min="6176" max="6176" width="9" style="2" bestFit="1"/>
    <col min="6177" max="6177" width="9.625" style="2" bestFit="1" customWidth="1"/>
    <col min="6178" max="6403" width="9" style="2"/>
    <col min="6404" max="6404" width="2.375" style="2" customWidth="1"/>
    <col min="6405" max="6405" width="13.25" style="2" bestFit="1" customWidth="1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 bestFit="1"/>
    <col min="6411" max="6421" width="11.125" style="2" bestFit="1" customWidth="1"/>
    <col min="6422" max="6422" width="9" style="2" bestFit="1"/>
    <col min="6423" max="6424" width="11.125" style="2" bestFit="1" customWidth="1"/>
    <col min="6425" max="6426" width="9" style="2" bestFit="1"/>
    <col min="6427" max="6431" width="11.125" style="2" bestFit="1" customWidth="1"/>
    <col min="6432" max="6432" width="9" style="2" bestFit="1"/>
    <col min="6433" max="6433" width="9.625" style="2" bestFit="1" customWidth="1"/>
    <col min="6434" max="6659" width="9" style="2"/>
    <col min="6660" max="6660" width="2.375" style="2" customWidth="1"/>
    <col min="6661" max="6661" width="13.25" style="2" bestFit="1" customWidth="1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 bestFit="1"/>
    <col min="6667" max="6677" width="11.125" style="2" bestFit="1" customWidth="1"/>
    <col min="6678" max="6678" width="9" style="2" bestFit="1"/>
    <col min="6679" max="6680" width="11.125" style="2" bestFit="1" customWidth="1"/>
    <col min="6681" max="6682" width="9" style="2" bestFit="1"/>
    <col min="6683" max="6687" width="11.125" style="2" bestFit="1" customWidth="1"/>
    <col min="6688" max="6688" width="9" style="2" bestFit="1"/>
    <col min="6689" max="6689" width="9.625" style="2" bestFit="1" customWidth="1"/>
    <col min="6690" max="6915" width="9" style="2"/>
    <col min="6916" max="6916" width="2.375" style="2" customWidth="1"/>
    <col min="6917" max="6917" width="13.25" style="2" bestFit="1" customWidth="1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 bestFit="1"/>
    <col min="6923" max="6933" width="11.125" style="2" bestFit="1" customWidth="1"/>
    <col min="6934" max="6934" width="9" style="2" bestFit="1"/>
    <col min="6935" max="6936" width="11.125" style="2" bestFit="1" customWidth="1"/>
    <col min="6937" max="6938" width="9" style="2" bestFit="1"/>
    <col min="6939" max="6943" width="11.125" style="2" bestFit="1" customWidth="1"/>
    <col min="6944" max="6944" width="9" style="2" bestFit="1"/>
    <col min="6945" max="6945" width="9.625" style="2" bestFit="1" customWidth="1"/>
    <col min="6946" max="7171" width="9" style="2"/>
    <col min="7172" max="7172" width="2.375" style="2" customWidth="1"/>
    <col min="7173" max="7173" width="13.25" style="2" bestFit="1" customWidth="1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 bestFit="1"/>
    <col min="7179" max="7189" width="11.125" style="2" bestFit="1" customWidth="1"/>
    <col min="7190" max="7190" width="9" style="2" bestFit="1"/>
    <col min="7191" max="7192" width="11.125" style="2" bestFit="1" customWidth="1"/>
    <col min="7193" max="7194" width="9" style="2" bestFit="1"/>
    <col min="7195" max="7199" width="11.125" style="2" bestFit="1" customWidth="1"/>
    <col min="7200" max="7200" width="9" style="2" bestFit="1"/>
    <col min="7201" max="7201" width="9.625" style="2" bestFit="1" customWidth="1"/>
    <col min="7202" max="7427" width="9" style="2"/>
    <col min="7428" max="7428" width="2.375" style="2" customWidth="1"/>
    <col min="7429" max="7429" width="13.25" style="2" bestFit="1" customWidth="1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 bestFit="1"/>
    <col min="7435" max="7445" width="11.125" style="2" bestFit="1" customWidth="1"/>
    <col min="7446" max="7446" width="9" style="2" bestFit="1"/>
    <col min="7447" max="7448" width="11.125" style="2" bestFit="1" customWidth="1"/>
    <col min="7449" max="7450" width="9" style="2" bestFit="1"/>
    <col min="7451" max="7455" width="11.125" style="2" bestFit="1" customWidth="1"/>
    <col min="7456" max="7456" width="9" style="2" bestFit="1"/>
    <col min="7457" max="7457" width="9.625" style="2" bestFit="1" customWidth="1"/>
    <col min="7458" max="7683" width="9" style="2"/>
    <col min="7684" max="7684" width="2.375" style="2" customWidth="1"/>
    <col min="7685" max="7685" width="13.25" style="2" bestFit="1" customWidth="1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 bestFit="1"/>
    <col min="7691" max="7701" width="11.125" style="2" bestFit="1" customWidth="1"/>
    <col min="7702" max="7702" width="9" style="2" bestFit="1"/>
    <col min="7703" max="7704" width="11.125" style="2" bestFit="1" customWidth="1"/>
    <col min="7705" max="7706" width="9" style="2" bestFit="1"/>
    <col min="7707" max="7711" width="11.125" style="2" bestFit="1" customWidth="1"/>
    <col min="7712" max="7712" width="9" style="2" bestFit="1"/>
    <col min="7713" max="7713" width="9.625" style="2" bestFit="1" customWidth="1"/>
    <col min="7714" max="7939" width="9" style="2"/>
    <col min="7940" max="7940" width="2.375" style="2" customWidth="1"/>
    <col min="7941" max="7941" width="13.25" style="2" bestFit="1" customWidth="1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 bestFit="1"/>
    <col min="7947" max="7957" width="11.125" style="2" bestFit="1" customWidth="1"/>
    <col min="7958" max="7958" width="9" style="2" bestFit="1"/>
    <col min="7959" max="7960" width="11.125" style="2" bestFit="1" customWidth="1"/>
    <col min="7961" max="7962" width="9" style="2" bestFit="1"/>
    <col min="7963" max="7967" width="11.125" style="2" bestFit="1" customWidth="1"/>
    <col min="7968" max="7968" width="9" style="2" bestFit="1"/>
    <col min="7969" max="7969" width="9.625" style="2" bestFit="1" customWidth="1"/>
    <col min="7970" max="8195" width="9" style="2"/>
    <col min="8196" max="8196" width="2.375" style="2" customWidth="1"/>
    <col min="8197" max="8197" width="13.25" style="2" bestFit="1" customWidth="1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 bestFit="1"/>
    <col min="8203" max="8213" width="11.125" style="2" bestFit="1" customWidth="1"/>
    <col min="8214" max="8214" width="9" style="2" bestFit="1"/>
    <col min="8215" max="8216" width="11.125" style="2" bestFit="1" customWidth="1"/>
    <col min="8217" max="8218" width="9" style="2" bestFit="1"/>
    <col min="8219" max="8223" width="11.125" style="2" bestFit="1" customWidth="1"/>
    <col min="8224" max="8224" width="9" style="2" bestFit="1"/>
    <col min="8225" max="8225" width="9.625" style="2" bestFit="1" customWidth="1"/>
    <col min="8226" max="8451" width="9" style="2"/>
    <col min="8452" max="8452" width="2.375" style="2" customWidth="1"/>
    <col min="8453" max="8453" width="13.25" style="2" bestFit="1" customWidth="1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 bestFit="1"/>
    <col min="8459" max="8469" width="11.125" style="2" bestFit="1" customWidth="1"/>
    <col min="8470" max="8470" width="9" style="2" bestFit="1"/>
    <col min="8471" max="8472" width="11.125" style="2" bestFit="1" customWidth="1"/>
    <col min="8473" max="8474" width="9" style="2" bestFit="1"/>
    <col min="8475" max="8479" width="11.125" style="2" bestFit="1" customWidth="1"/>
    <col min="8480" max="8480" width="9" style="2" bestFit="1"/>
    <col min="8481" max="8481" width="9.625" style="2" bestFit="1" customWidth="1"/>
    <col min="8482" max="8707" width="9" style="2"/>
    <col min="8708" max="8708" width="2.375" style="2" customWidth="1"/>
    <col min="8709" max="8709" width="13.25" style="2" bestFit="1" customWidth="1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 bestFit="1"/>
    <col min="8715" max="8725" width="11.125" style="2" bestFit="1" customWidth="1"/>
    <col min="8726" max="8726" width="9" style="2" bestFit="1"/>
    <col min="8727" max="8728" width="11.125" style="2" bestFit="1" customWidth="1"/>
    <col min="8729" max="8730" width="9" style="2" bestFit="1"/>
    <col min="8731" max="8735" width="11.125" style="2" bestFit="1" customWidth="1"/>
    <col min="8736" max="8736" width="9" style="2" bestFit="1"/>
    <col min="8737" max="8737" width="9.625" style="2" bestFit="1" customWidth="1"/>
    <col min="8738" max="8963" width="9" style="2"/>
    <col min="8964" max="8964" width="2.375" style="2" customWidth="1"/>
    <col min="8965" max="8965" width="13.25" style="2" bestFit="1" customWidth="1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 bestFit="1"/>
    <col min="8971" max="8981" width="11.125" style="2" bestFit="1" customWidth="1"/>
    <col min="8982" max="8982" width="9" style="2" bestFit="1"/>
    <col min="8983" max="8984" width="11.125" style="2" bestFit="1" customWidth="1"/>
    <col min="8985" max="8986" width="9" style="2" bestFit="1"/>
    <col min="8987" max="8991" width="11.125" style="2" bestFit="1" customWidth="1"/>
    <col min="8992" max="8992" width="9" style="2" bestFit="1"/>
    <col min="8993" max="8993" width="9.625" style="2" bestFit="1" customWidth="1"/>
    <col min="8994" max="9219" width="9" style="2"/>
    <col min="9220" max="9220" width="2.375" style="2" customWidth="1"/>
    <col min="9221" max="9221" width="13.25" style="2" bestFit="1" customWidth="1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 bestFit="1"/>
    <col min="9227" max="9237" width="11.125" style="2" bestFit="1" customWidth="1"/>
    <col min="9238" max="9238" width="9" style="2" bestFit="1"/>
    <col min="9239" max="9240" width="11.125" style="2" bestFit="1" customWidth="1"/>
    <col min="9241" max="9242" width="9" style="2" bestFit="1"/>
    <col min="9243" max="9247" width="11.125" style="2" bestFit="1" customWidth="1"/>
    <col min="9248" max="9248" width="9" style="2" bestFit="1"/>
    <col min="9249" max="9249" width="9.625" style="2" bestFit="1" customWidth="1"/>
    <col min="9250" max="9475" width="9" style="2"/>
    <col min="9476" max="9476" width="2.375" style="2" customWidth="1"/>
    <col min="9477" max="9477" width="13.25" style="2" bestFit="1" customWidth="1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 bestFit="1"/>
    <col min="9483" max="9493" width="11.125" style="2" bestFit="1" customWidth="1"/>
    <col min="9494" max="9494" width="9" style="2" bestFit="1"/>
    <col min="9495" max="9496" width="11.125" style="2" bestFit="1" customWidth="1"/>
    <col min="9497" max="9498" width="9" style="2" bestFit="1"/>
    <col min="9499" max="9503" width="11.125" style="2" bestFit="1" customWidth="1"/>
    <col min="9504" max="9504" width="9" style="2" bestFit="1"/>
    <col min="9505" max="9505" width="9.625" style="2" bestFit="1" customWidth="1"/>
    <col min="9506" max="9731" width="9" style="2"/>
    <col min="9732" max="9732" width="2.375" style="2" customWidth="1"/>
    <col min="9733" max="9733" width="13.25" style="2" bestFit="1" customWidth="1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 bestFit="1"/>
    <col min="9739" max="9749" width="11.125" style="2" bestFit="1" customWidth="1"/>
    <col min="9750" max="9750" width="9" style="2" bestFit="1"/>
    <col min="9751" max="9752" width="11.125" style="2" bestFit="1" customWidth="1"/>
    <col min="9753" max="9754" width="9" style="2" bestFit="1"/>
    <col min="9755" max="9759" width="11.125" style="2" bestFit="1" customWidth="1"/>
    <col min="9760" max="9760" width="9" style="2" bestFit="1"/>
    <col min="9761" max="9761" width="9.625" style="2" bestFit="1" customWidth="1"/>
    <col min="9762" max="9987" width="9" style="2"/>
    <col min="9988" max="9988" width="2.375" style="2" customWidth="1"/>
    <col min="9989" max="9989" width="13.25" style="2" bestFit="1" customWidth="1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 bestFit="1"/>
    <col min="9995" max="10005" width="11.125" style="2" bestFit="1" customWidth="1"/>
    <col min="10006" max="10006" width="9" style="2" bestFit="1"/>
    <col min="10007" max="10008" width="11.125" style="2" bestFit="1" customWidth="1"/>
    <col min="10009" max="10010" width="9" style="2" bestFit="1"/>
    <col min="10011" max="10015" width="11.125" style="2" bestFit="1" customWidth="1"/>
    <col min="10016" max="10016" width="9" style="2" bestFit="1"/>
    <col min="10017" max="10017" width="9.625" style="2" bestFit="1" customWidth="1"/>
    <col min="10018" max="10243" width="9" style="2"/>
    <col min="10244" max="10244" width="2.375" style="2" customWidth="1"/>
    <col min="10245" max="10245" width="13.25" style="2" bestFit="1" customWidth="1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 bestFit="1"/>
    <col min="10251" max="10261" width="11.125" style="2" bestFit="1" customWidth="1"/>
    <col min="10262" max="10262" width="9" style="2" bestFit="1"/>
    <col min="10263" max="10264" width="11.125" style="2" bestFit="1" customWidth="1"/>
    <col min="10265" max="10266" width="9" style="2" bestFit="1"/>
    <col min="10267" max="10271" width="11.125" style="2" bestFit="1" customWidth="1"/>
    <col min="10272" max="10272" width="9" style="2" bestFit="1"/>
    <col min="10273" max="10273" width="9.625" style="2" bestFit="1" customWidth="1"/>
    <col min="10274" max="10499" width="9" style="2"/>
    <col min="10500" max="10500" width="2.375" style="2" customWidth="1"/>
    <col min="10501" max="10501" width="13.25" style="2" bestFit="1" customWidth="1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 bestFit="1"/>
    <col min="10507" max="10517" width="11.125" style="2" bestFit="1" customWidth="1"/>
    <col min="10518" max="10518" width="9" style="2" bestFit="1"/>
    <col min="10519" max="10520" width="11.125" style="2" bestFit="1" customWidth="1"/>
    <col min="10521" max="10522" width="9" style="2" bestFit="1"/>
    <col min="10523" max="10527" width="11.125" style="2" bestFit="1" customWidth="1"/>
    <col min="10528" max="10528" width="9" style="2" bestFit="1"/>
    <col min="10529" max="10529" width="9.625" style="2" bestFit="1" customWidth="1"/>
    <col min="10530" max="10755" width="9" style="2"/>
    <col min="10756" max="10756" width="2.375" style="2" customWidth="1"/>
    <col min="10757" max="10757" width="13.25" style="2" bestFit="1" customWidth="1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 bestFit="1"/>
    <col min="10763" max="10773" width="11.125" style="2" bestFit="1" customWidth="1"/>
    <col min="10774" max="10774" width="9" style="2" bestFit="1"/>
    <col min="10775" max="10776" width="11.125" style="2" bestFit="1" customWidth="1"/>
    <col min="10777" max="10778" width="9" style="2" bestFit="1"/>
    <col min="10779" max="10783" width="11.125" style="2" bestFit="1" customWidth="1"/>
    <col min="10784" max="10784" width="9" style="2" bestFit="1"/>
    <col min="10785" max="10785" width="9.625" style="2" bestFit="1" customWidth="1"/>
    <col min="10786" max="11011" width="9" style="2"/>
    <col min="11012" max="11012" width="2.375" style="2" customWidth="1"/>
    <col min="11013" max="11013" width="13.25" style="2" bestFit="1" customWidth="1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 bestFit="1"/>
    <col min="11019" max="11029" width="11.125" style="2" bestFit="1" customWidth="1"/>
    <col min="11030" max="11030" width="9" style="2" bestFit="1"/>
    <col min="11031" max="11032" width="11.125" style="2" bestFit="1" customWidth="1"/>
    <col min="11033" max="11034" width="9" style="2" bestFit="1"/>
    <col min="11035" max="11039" width="11.125" style="2" bestFit="1" customWidth="1"/>
    <col min="11040" max="11040" width="9" style="2" bestFit="1"/>
    <col min="11041" max="11041" width="9.625" style="2" bestFit="1" customWidth="1"/>
    <col min="11042" max="11267" width="9" style="2"/>
    <col min="11268" max="11268" width="2.375" style="2" customWidth="1"/>
    <col min="11269" max="11269" width="13.25" style="2" bestFit="1" customWidth="1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 bestFit="1"/>
    <col min="11275" max="11285" width="11.125" style="2" bestFit="1" customWidth="1"/>
    <col min="11286" max="11286" width="9" style="2" bestFit="1"/>
    <col min="11287" max="11288" width="11.125" style="2" bestFit="1" customWidth="1"/>
    <col min="11289" max="11290" width="9" style="2" bestFit="1"/>
    <col min="11291" max="11295" width="11.125" style="2" bestFit="1" customWidth="1"/>
    <col min="11296" max="11296" width="9" style="2" bestFit="1"/>
    <col min="11297" max="11297" width="9.625" style="2" bestFit="1" customWidth="1"/>
    <col min="11298" max="11523" width="9" style="2"/>
    <col min="11524" max="11524" width="2.375" style="2" customWidth="1"/>
    <col min="11525" max="11525" width="13.25" style="2" bestFit="1" customWidth="1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 bestFit="1"/>
    <col min="11531" max="11541" width="11.125" style="2" bestFit="1" customWidth="1"/>
    <col min="11542" max="11542" width="9" style="2" bestFit="1"/>
    <col min="11543" max="11544" width="11.125" style="2" bestFit="1" customWidth="1"/>
    <col min="11545" max="11546" width="9" style="2" bestFit="1"/>
    <col min="11547" max="11551" width="11.125" style="2" bestFit="1" customWidth="1"/>
    <col min="11552" max="11552" width="9" style="2" bestFit="1"/>
    <col min="11553" max="11553" width="9.625" style="2" bestFit="1" customWidth="1"/>
    <col min="11554" max="11779" width="9" style="2"/>
    <col min="11780" max="11780" width="2.375" style="2" customWidth="1"/>
    <col min="11781" max="11781" width="13.25" style="2" bestFit="1" customWidth="1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 bestFit="1"/>
    <col min="11787" max="11797" width="11.125" style="2" bestFit="1" customWidth="1"/>
    <col min="11798" max="11798" width="9" style="2" bestFit="1"/>
    <col min="11799" max="11800" width="11.125" style="2" bestFit="1" customWidth="1"/>
    <col min="11801" max="11802" width="9" style="2" bestFit="1"/>
    <col min="11803" max="11807" width="11.125" style="2" bestFit="1" customWidth="1"/>
    <col min="11808" max="11808" width="9" style="2" bestFit="1"/>
    <col min="11809" max="11809" width="9.625" style="2" bestFit="1" customWidth="1"/>
    <col min="11810" max="12035" width="9" style="2"/>
    <col min="12036" max="12036" width="2.375" style="2" customWidth="1"/>
    <col min="12037" max="12037" width="13.25" style="2" bestFit="1" customWidth="1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 bestFit="1"/>
    <col min="12043" max="12053" width="11.125" style="2" bestFit="1" customWidth="1"/>
    <col min="12054" max="12054" width="9" style="2" bestFit="1"/>
    <col min="12055" max="12056" width="11.125" style="2" bestFit="1" customWidth="1"/>
    <col min="12057" max="12058" width="9" style="2" bestFit="1"/>
    <col min="12059" max="12063" width="11.125" style="2" bestFit="1" customWidth="1"/>
    <col min="12064" max="12064" width="9" style="2" bestFit="1"/>
    <col min="12065" max="12065" width="9.625" style="2" bestFit="1" customWidth="1"/>
    <col min="12066" max="12291" width="9" style="2"/>
    <col min="12292" max="12292" width="2.375" style="2" customWidth="1"/>
    <col min="12293" max="12293" width="13.25" style="2" bestFit="1" customWidth="1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 bestFit="1"/>
    <col min="12299" max="12309" width="11.125" style="2" bestFit="1" customWidth="1"/>
    <col min="12310" max="12310" width="9" style="2" bestFit="1"/>
    <col min="12311" max="12312" width="11.125" style="2" bestFit="1" customWidth="1"/>
    <col min="12313" max="12314" width="9" style="2" bestFit="1"/>
    <col min="12315" max="12319" width="11.125" style="2" bestFit="1" customWidth="1"/>
    <col min="12320" max="12320" width="9" style="2" bestFit="1"/>
    <col min="12321" max="12321" width="9.625" style="2" bestFit="1" customWidth="1"/>
    <col min="12322" max="12547" width="9" style="2"/>
    <col min="12548" max="12548" width="2.375" style="2" customWidth="1"/>
    <col min="12549" max="12549" width="13.25" style="2" bestFit="1" customWidth="1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 bestFit="1"/>
    <col min="12555" max="12565" width="11.125" style="2" bestFit="1" customWidth="1"/>
    <col min="12566" max="12566" width="9" style="2" bestFit="1"/>
    <col min="12567" max="12568" width="11.125" style="2" bestFit="1" customWidth="1"/>
    <col min="12569" max="12570" width="9" style="2" bestFit="1"/>
    <col min="12571" max="12575" width="11.125" style="2" bestFit="1" customWidth="1"/>
    <col min="12576" max="12576" width="9" style="2" bestFit="1"/>
    <col min="12577" max="12577" width="9.625" style="2" bestFit="1" customWidth="1"/>
    <col min="12578" max="12803" width="9" style="2"/>
    <col min="12804" max="12804" width="2.375" style="2" customWidth="1"/>
    <col min="12805" max="12805" width="13.25" style="2" bestFit="1" customWidth="1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 bestFit="1"/>
    <col min="12811" max="12821" width="11.125" style="2" bestFit="1" customWidth="1"/>
    <col min="12822" max="12822" width="9" style="2" bestFit="1"/>
    <col min="12823" max="12824" width="11.125" style="2" bestFit="1" customWidth="1"/>
    <col min="12825" max="12826" width="9" style="2" bestFit="1"/>
    <col min="12827" max="12831" width="11.125" style="2" bestFit="1" customWidth="1"/>
    <col min="12832" max="12832" width="9" style="2" bestFit="1"/>
    <col min="12833" max="12833" width="9.625" style="2" bestFit="1" customWidth="1"/>
    <col min="12834" max="13059" width="9" style="2"/>
    <col min="13060" max="13060" width="2.375" style="2" customWidth="1"/>
    <col min="13061" max="13061" width="13.25" style="2" bestFit="1" customWidth="1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 bestFit="1"/>
    <col min="13067" max="13077" width="11.125" style="2" bestFit="1" customWidth="1"/>
    <col min="13078" max="13078" width="9" style="2" bestFit="1"/>
    <col min="13079" max="13080" width="11.125" style="2" bestFit="1" customWidth="1"/>
    <col min="13081" max="13082" width="9" style="2" bestFit="1"/>
    <col min="13083" max="13087" width="11.125" style="2" bestFit="1" customWidth="1"/>
    <col min="13088" max="13088" width="9" style="2" bestFit="1"/>
    <col min="13089" max="13089" width="9.625" style="2" bestFit="1" customWidth="1"/>
    <col min="13090" max="13315" width="9" style="2"/>
    <col min="13316" max="13316" width="2.375" style="2" customWidth="1"/>
    <col min="13317" max="13317" width="13.25" style="2" bestFit="1" customWidth="1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 bestFit="1"/>
    <col min="13323" max="13333" width="11.125" style="2" bestFit="1" customWidth="1"/>
    <col min="13334" max="13334" width="9" style="2" bestFit="1"/>
    <col min="13335" max="13336" width="11.125" style="2" bestFit="1" customWidth="1"/>
    <col min="13337" max="13338" width="9" style="2" bestFit="1"/>
    <col min="13339" max="13343" width="11.125" style="2" bestFit="1" customWidth="1"/>
    <col min="13344" max="13344" width="9" style="2" bestFit="1"/>
    <col min="13345" max="13345" width="9.625" style="2" bestFit="1" customWidth="1"/>
    <col min="13346" max="13571" width="9" style="2"/>
    <col min="13572" max="13572" width="2.375" style="2" customWidth="1"/>
    <col min="13573" max="13573" width="13.25" style="2" bestFit="1" customWidth="1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 bestFit="1"/>
    <col min="13579" max="13589" width="11.125" style="2" bestFit="1" customWidth="1"/>
    <col min="13590" max="13590" width="9" style="2" bestFit="1"/>
    <col min="13591" max="13592" width="11.125" style="2" bestFit="1" customWidth="1"/>
    <col min="13593" max="13594" width="9" style="2" bestFit="1"/>
    <col min="13595" max="13599" width="11.125" style="2" bestFit="1" customWidth="1"/>
    <col min="13600" max="13600" width="9" style="2" bestFit="1"/>
    <col min="13601" max="13601" width="9.625" style="2" bestFit="1" customWidth="1"/>
    <col min="13602" max="13827" width="9" style="2"/>
    <col min="13828" max="13828" width="2.375" style="2" customWidth="1"/>
    <col min="13829" max="13829" width="13.25" style="2" bestFit="1" customWidth="1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 bestFit="1"/>
    <col min="13835" max="13845" width="11.125" style="2" bestFit="1" customWidth="1"/>
    <col min="13846" max="13846" width="9" style="2" bestFit="1"/>
    <col min="13847" max="13848" width="11.125" style="2" bestFit="1" customWidth="1"/>
    <col min="13849" max="13850" width="9" style="2" bestFit="1"/>
    <col min="13851" max="13855" width="11.125" style="2" bestFit="1" customWidth="1"/>
    <col min="13856" max="13856" width="9" style="2" bestFit="1"/>
    <col min="13857" max="13857" width="9.625" style="2" bestFit="1" customWidth="1"/>
    <col min="13858" max="14083" width="9" style="2"/>
    <col min="14084" max="14084" width="2.375" style="2" customWidth="1"/>
    <col min="14085" max="14085" width="13.25" style="2" bestFit="1" customWidth="1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 bestFit="1"/>
    <col min="14091" max="14101" width="11.125" style="2" bestFit="1" customWidth="1"/>
    <col min="14102" max="14102" width="9" style="2" bestFit="1"/>
    <col min="14103" max="14104" width="11.125" style="2" bestFit="1" customWidth="1"/>
    <col min="14105" max="14106" width="9" style="2" bestFit="1"/>
    <col min="14107" max="14111" width="11.125" style="2" bestFit="1" customWidth="1"/>
    <col min="14112" max="14112" width="9" style="2" bestFit="1"/>
    <col min="14113" max="14113" width="9.625" style="2" bestFit="1" customWidth="1"/>
    <col min="14114" max="14339" width="9" style="2"/>
    <col min="14340" max="14340" width="2.375" style="2" customWidth="1"/>
    <col min="14341" max="14341" width="13.25" style="2" bestFit="1" customWidth="1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 bestFit="1"/>
    <col min="14347" max="14357" width="11.125" style="2" bestFit="1" customWidth="1"/>
    <col min="14358" max="14358" width="9" style="2" bestFit="1"/>
    <col min="14359" max="14360" width="11.125" style="2" bestFit="1" customWidth="1"/>
    <col min="14361" max="14362" width="9" style="2" bestFit="1"/>
    <col min="14363" max="14367" width="11.125" style="2" bestFit="1" customWidth="1"/>
    <col min="14368" max="14368" width="9" style="2" bestFit="1"/>
    <col min="14369" max="14369" width="9.625" style="2" bestFit="1" customWidth="1"/>
    <col min="14370" max="14595" width="9" style="2"/>
    <col min="14596" max="14596" width="2.375" style="2" customWidth="1"/>
    <col min="14597" max="14597" width="13.25" style="2" bestFit="1" customWidth="1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 bestFit="1"/>
    <col min="14603" max="14613" width="11.125" style="2" bestFit="1" customWidth="1"/>
    <col min="14614" max="14614" width="9" style="2" bestFit="1"/>
    <col min="14615" max="14616" width="11.125" style="2" bestFit="1" customWidth="1"/>
    <col min="14617" max="14618" width="9" style="2" bestFit="1"/>
    <col min="14619" max="14623" width="11.125" style="2" bestFit="1" customWidth="1"/>
    <col min="14624" max="14624" width="9" style="2" bestFit="1"/>
    <col min="14625" max="14625" width="9.625" style="2" bestFit="1" customWidth="1"/>
    <col min="14626" max="14851" width="9" style="2"/>
    <col min="14852" max="14852" width="2.375" style="2" customWidth="1"/>
    <col min="14853" max="14853" width="13.25" style="2" bestFit="1" customWidth="1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 bestFit="1"/>
    <col min="14859" max="14869" width="11.125" style="2" bestFit="1" customWidth="1"/>
    <col min="14870" max="14870" width="9" style="2" bestFit="1"/>
    <col min="14871" max="14872" width="11.125" style="2" bestFit="1" customWidth="1"/>
    <col min="14873" max="14874" width="9" style="2" bestFit="1"/>
    <col min="14875" max="14879" width="11.125" style="2" bestFit="1" customWidth="1"/>
    <col min="14880" max="14880" width="9" style="2" bestFit="1"/>
    <col min="14881" max="14881" width="9.625" style="2" bestFit="1" customWidth="1"/>
    <col min="14882" max="15107" width="9" style="2"/>
    <col min="15108" max="15108" width="2.375" style="2" customWidth="1"/>
    <col min="15109" max="15109" width="13.25" style="2" bestFit="1" customWidth="1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 bestFit="1"/>
    <col min="15115" max="15125" width="11.125" style="2" bestFit="1" customWidth="1"/>
    <col min="15126" max="15126" width="9" style="2" bestFit="1"/>
    <col min="15127" max="15128" width="11.125" style="2" bestFit="1" customWidth="1"/>
    <col min="15129" max="15130" width="9" style="2" bestFit="1"/>
    <col min="15131" max="15135" width="11.125" style="2" bestFit="1" customWidth="1"/>
    <col min="15136" max="15136" width="9" style="2" bestFit="1"/>
    <col min="15137" max="15137" width="9.625" style="2" bestFit="1" customWidth="1"/>
    <col min="15138" max="15363" width="9" style="2"/>
    <col min="15364" max="15364" width="2.375" style="2" customWidth="1"/>
    <col min="15365" max="15365" width="13.25" style="2" bestFit="1" customWidth="1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 bestFit="1"/>
    <col min="15371" max="15381" width="11.125" style="2" bestFit="1" customWidth="1"/>
    <col min="15382" max="15382" width="9" style="2" bestFit="1"/>
    <col min="15383" max="15384" width="11.125" style="2" bestFit="1" customWidth="1"/>
    <col min="15385" max="15386" width="9" style="2" bestFit="1"/>
    <col min="15387" max="15391" width="11.125" style="2" bestFit="1" customWidth="1"/>
    <col min="15392" max="15392" width="9" style="2" bestFit="1"/>
    <col min="15393" max="15393" width="9.625" style="2" bestFit="1" customWidth="1"/>
    <col min="15394" max="15619" width="9" style="2"/>
    <col min="15620" max="15620" width="2.375" style="2" customWidth="1"/>
    <col min="15621" max="15621" width="13.25" style="2" bestFit="1" customWidth="1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 bestFit="1"/>
    <col min="15627" max="15637" width="11.125" style="2" bestFit="1" customWidth="1"/>
    <col min="15638" max="15638" width="9" style="2" bestFit="1"/>
    <col min="15639" max="15640" width="11.125" style="2" bestFit="1" customWidth="1"/>
    <col min="15641" max="15642" width="9" style="2" bestFit="1"/>
    <col min="15643" max="15647" width="11.125" style="2" bestFit="1" customWidth="1"/>
    <col min="15648" max="15648" width="9" style="2" bestFit="1"/>
    <col min="15649" max="15649" width="9.625" style="2" bestFit="1" customWidth="1"/>
    <col min="15650" max="15875" width="9" style="2"/>
    <col min="15876" max="15876" width="2.375" style="2" customWidth="1"/>
    <col min="15877" max="15877" width="13.25" style="2" bestFit="1" customWidth="1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 bestFit="1"/>
    <col min="15883" max="15893" width="11.125" style="2" bestFit="1" customWidth="1"/>
    <col min="15894" max="15894" width="9" style="2" bestFit="1"/>
    <col min="15895" max="15896" width="11.125" style="2" bestFit="1" customWidth="1"/>
    <col min="15897" max="15898" width="9" style="2" bestFit="1"/>
    <col min="15899" max="15903" width="11.125" style="2" bestFit="1" customWidth="1"/>
    <col min="15904" max="15904" width="9" style="2" bestFit="1"/>
    <col min="15905" max="15905" width="9.625" style="2" bestFit="1" customWidth="1"/>
    <col min="15906" max="16131" width="9" style="2"/>
    <col min="16132" max="16132" width="2.375" style="2" customWidth="1"/>
    <col min="16133" max="16133" width="13.25" style="2" bestFit="1" customWidth="1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 bestFit="1"/>
    <col min="16139" max="16149" width="11.125" style="2" bestFit="1" customWidth="1"/>
    <col min="16150" max="16150" width="9" style="2" bestFit="1"/>
    <col min="16151" max="16152" width="11.125" style="2" bestFit="1" customWidth="1"/>
    <col min="16153" max="16154" width="9" style="2" bestFit="1"/>
    <col min="16155" max="16159" width="11.125" style="2" bestFit="1" customWidth="1"/>
    <col min="16160" max="16160" width="9" style="2" bestFit="1"/>
    <col min="16161" max="16161" width="9.625" style="2" bestFit="1" customWidth="1"/>
    <col min="16162" max="16384" width="9" style="2"/>
  </cols>
  <sheetData>
    <row r="1" spans="1:33">
      <c r="A1" s="1" t="s">
        <v>0</v>
      </c>
    </row>
    <row r="2" spans="1:33">
      <c r="A2" s="1"/>
    </row>
    <row r="3" spans="1:33">
      <c r="A3" s="1" t="s">
        <v>1</v>
      </c>
    </row>
    <row r="4" spans="1:33">
      <c r="A4" s="1" t="s">
        <v>2</v>
      </c>
    </row>
    <row r="5" spans="1:33">
      <c r="A5" s="1" t="s">
        <v>3</v>
      </c>
    </row>
    <row r="6" spans="1:33" ht="19.5" thickBot="1">
      <c r="A6" s="1" t="s">
        <v>4</v>
      </c>
    </row>
    <row r="7" spans="1:33">
      <c r="B7" s="26"/>
      <c r="C7" s="45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20</v>
      </c>
      <c r="S7" s="59" t="s">
        <v>21</v>
      </c>
      <c r="T7" s="83" t="s">
        <v>22</v>
      </c>
      <c r="U7" s="4" t="s">
        <v>23</v>
      </c>
      <c r="V7" s="4" t="s">
        <v>24</v>
      </c>
      <c r="W7" s="4" t="s">
        <v>25</v>
      </c>
      <c r="X7" s="4" t="s">
        <v>26</v>
      </c>
      <c r="Y7" s="4" t="s">
        <v>27</v>
      </c>
      <c r="Z7" s="4" t="s">
        <v>28</v>
      </c>
      <c r="AA7" s="4" t="s">
        <v>29</v>
      </c>
      <c r="AB7" s="4" t="s">
        <v>30</v>
      </c>
      <c r="AC7" s="59" t="s">
        <v>31</v>
      </c>
      <c r="AD7" s="83" t="s">
        <v>22</v>
      </c>
      <c r="AE7" s="46" t="s">
        <v>32</v>
      </c>
      <c r="AF7" s="82" t="s">
        <v>22</v>
      </c>
      <c r="AG7" s="82" t="s">
        <v>33</v>
      </c>
    </row>
    <row r="8" spans="1:33" ht="19.5" thickBot="1">
      <c r="A8" s="3"/>
      <c r="B8" s="27" t="s">
        <v>34</v>
      </c>
      <c r="C8" s="47" t="s">
        <v>35</v>
      </c>
      <c r="D8" s="25" t="s">
        <v>36</v>
      </c>
      <c r="E8" s="25" t="s">
        <v>37</v>
      </c>
      <c r="F8" s="25" t="s">
        <v>38</v>
      </c>
      <c r="G8" s="25" t="s">
        <v>39</v>
      </c>
      <c r="H8" s="25" t="s">
        <v>40</v>
      </c>
      <c r="I8" s="25" t="s">
        <v>41</v>
      </c>
      <c r="J8" s="25" t="s">
        <v>42</v>
      </c>
      <c r="K8" s="25" t="s">
        <v>43</v>
      </c>
      <c r="L8" s="25" t="s">
        <v>44</v>
      </c>
      <c r="M8" s="25" t="s">
        <v>45</v>
      </c>
      <c r="N8" s="25" t="s">
        <v>46</v>
      </c>
      <c r="O8" s="25" t="s">
        <v>47</v>
      </c>
      <c r="P8" s="25" t="s">
        <v>48</v>
      </c>
      <c r="Q8" s="25" t="s">
        <v>49</v>
      </c>
      <c r="R8" s="25" t="s">
        <v>50</v>
      </c>
      <c r="S8" s="60" t="s">
        <v>51</v>
      </c>
      <c r="T8" s="71" t="s">
        <v>52</v>
      </c>
      <c r="U8" s="25" t="s">
        <v>53</v>
      </c>
      <c r="V8" s="25" t="s">
        <v>54</v>
      </c>
      <c r="W8" s="25" t="s">
        <v>55</v>
      </c>
      <c r="X8" s="25" t="s">
        <v>56</v>
      </c>
      <c r="Y8" s="25" t="s">
        <v>57</v>
      </c>
      <c r="Z8" s="25" t="s">
        <v>58</v>
      </c>
      <c r="AA8" s="25" t="s">
        <v>59</v>
      </c>
      <c r="AB8" s="25" t="s">
        <v>60</v>
      </c>
      <c r="AC8" s="60" t="s">
        <v>61</v>
      </c>
      <c r="AD8" s="71" t="s">
        <v>62</v>
      </c>
      <c r="AE8" s="48" t="s">
        <v>63</v>
      </c>
      <c r="AF8" s="34" t="s">
        <v>64</v>
      </c>
      <c r="AG8" s="34" t="s">
        <v>65</v>
      </c>
    </row>
    <row r="9" spans="1:33">
      <c r="A9" s="1" t="s">
        <v>3</v>
      </c>
      <c r="B9" s="28" t="s">
        <v>66</v>
      </c>
      <c r="C9" s="49">
        <v>22</v>
      </c>
      <c r="D9" s="15">
        <v>0</v>
      </c>
      <c r="E9" s="15">
        <v>19</v>
      </c>
      <c r="F9" s="15">
        <v>23</v>
      </c>
      <c r="G9" s="15">
        <v>19</v>
      </c>
      <c r="H9" s="15">
        <v>19</v>
      </c>
      <c r="I9" s="15">
        <v>22</v>
      </c>
      <c r="J9" s="15">
        <v>21</v>
      </c>
      <c r="K9" s="15">
        <v>21</v>
      </c>
      <c r="L9" s="15">
        <v>22</v>
      </c>
      <c r="M9" s="15">
        <v>23</v>
      </c>
      <c r="N9" s="15">
        <v>22</v>
      </c>
      <c r="O9" s="15">
        <v>21</v>
      </c>
      <c r="P9" s="15">
        <v>21</v>
      </c>
      <c r="Q9" s="15">
        <v>23</v>
      </c>
      <c r="R9" s="15">
        <v>21</v>
      </c>
      <c r="S9" s="61">
        <v>5</v>
      </c>
      <c r="T9" s="72">
        <f>SUM(C9:S9)</f>
        <v>324</v>
      </c>
      <c r="U9" s="15">
        <v>23</v>
      </c>
      <c r="V9" s="15">
        <v>23</v>
      </c>
      <c r="W9" s="15">
        <v>20</v>
      </c>
      <c r="X9" s="15">
        <v>10</v>
      </c>
      <c r="Y9" s="15">
        <v>13</v>
      </c>
      <c r="Z9" s="15">
        <v>19</v>
      </c>
      <c r="AA9" s="15">
        <v>6</v>
      </c>
      <c r="AB9" s="15">
        <v>11</v>
      </c>
      <c r="AC9" s="61">
        <v>24</v>
      </c>
      <c r="AD9" s="72">
        <f>SUM(U9:AC9)</f>
        <v>149</v>
      </c>
      <c r="AE9" s="16">
        <v>23</v>
      </c>
      <c r="AF9" s="35">
        <f>AE9</f>
        <v>23</v>
      </c>
      <c r="AG9" s="35">
        <f>T9+AD9+AF9</f>
        <v>496</v>
      </c>
    </row>
    <row r="10" spans="1:33">
      <c r="A10" s="1" t="s">
        <v>3</v>
      </c>
      <c r="B10" s="29" t="s">
        <v>67</v>
      </c>
      <c r="C10" s="50">
        <v>1</v>
      </c>
      <c r="D10" s="5">
        <v>0</v>
      </c>
      <c r="E10" s="5">
        <v>3</v>
      </c>
      <c r="F10" s="5">
        <v>1</v>
      </c>
      <c r="G10" s="5">
        <v>3</v>
      </c>
      <c r="H10" s="5">
        <v>4</v>
      </c>
      <c r="I10" s="5">
        <v>2</v>
      </c>
      <c r="J10" s="5">
        <v>3</v>
      </c>
      <c r="K10" s="5">
        <v>2</v>
      </c>
      <c r="L10" s="5">
        <v>1</v>
      </c>
      <c r="M10" s="5">
        <v>0</v>
      </c>
      <c r="N10" s="5">
        <v>1</v>
      </c>
      <c r="O10" s="5">
        <v>2</v>
      </c>
      <c r="P10" s="5">
        <v>3</v>
      </c>
      <c r="Q10" s="5">
        <v>2</v>
      </c>
      <c r="R10" s="5">
        <v>3</v>
      </c>
      <c r="S10" s="62">
        <v>0</v>
      </c>
      <c r="T10" s="73">
        <f t="shared" ref="T10:T24" si="0">SUM(C10:S10)</f>
        <v>31</v>
      </c>
      <c r="U10" s="5">
        <v>0</v>
      </c>
      <c r="V10" s="5">
        <v>1</v>
      </c>
      <c r="W10" s="5">
        <v>3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62">
        <v>0</v>
      </c>
      <c r="AD10" s="73">
        <f t="shared" ref="AD10:AD24" si="1">SUM(U10:AC10)</f>
        <v>4</v>
      </c>
      <c r="AE10" s="6">
        <v>0</v>
      </c>
      <c r="AF10" s="36">
        <f t="shared" ref="AF10:AF24" si="2">AE10</f>
        <v>0</v>
      </c>
      <c r="AG10" s="36">
        <f t="shared" ref="AG10:AG24" si="3">T10+AD10+AF10</f>
        <v>35</v>
      </c>
    </row>
    <row r="11" spans="1:33">
      <c r="A11" s="1" t="s">
        <v>3</v>
      </c>
      <c r="B11" s="29" t="s">
        <v>68</v>
      </c>
      <c r="C11" s="50">
        <v>3</v>
      </c>
      <c r="D11" s="5">
        <v>0</v>
      </c>
      <c r="E11" s="5">
        <v>1</v>
      </c>
      <c r="F11" s="5">
        <v>2</v>
      </c>
      <c r="G11" s="5">
        <v>4</v>
      </c>
      <c r="H11" s="5">
        <v>1</v>
      </c>
      <c r="I11" s="5">
        <v>1</v>
      </c>
      <c r="J11" s="5">
        <v>2</v>
      </c>
      <c r="K11" s="5">
        <v>2</v>
      </c>
      <c r="L11" s="5">
        <v>3</v>
      </c>
      <c r="M11" s="5">
        <v>1</v>
      </c>
      <c r="N11" s="5">
        <v>2</v>
      </c>
      <c r="O11" s="5">
        <v>2</v>
      </c>
      <c r="P11" s="5">
        <v>1</v>
      </c>
      <c r="Q11" s="5">
        <v>1</v>
      </c>
      <c r="R11" s="5">
        <v>2</v>
      </c>
      <c r="S11" s="62">
        <v>0</v>
      </c>
      <c r="T11" s="73">
        <f t="shared" si="0"/>
        <v>28</v>
      </c>
      <c r="U11" s="5">
        <v>0</v>
      </c>
      <c r="V11" s="5">
        <v>0</v>
      </c>
      <c r="W11" s="5">
        <v>3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62">
        <v>0</v>
      </c>
      <c r="AD11" s="73">
        <f t="shared" si="1"/>
        <v>3</v>
      </c>
      <c r="AE11" s="6">
        <v>0</v>
      </c>
      <c r="AF11" s="36">
        <f t="shared" si="2"/>
        <v>0</v>
      </c>
      <c r="AG11" s="36">
        <f t="shared" si="3"/>
        <v>31</v>
      </c>
    </row>
    <row r="12" spans="1:33">
      <c r="A12" s="1" t="s">
        <v>3</v>
      </c>
      <c r="B12" s="29" t="s">
        <v>69</v>
      </c>
      <c r="C12" s="50">
        <v>0</v>
      </c>
      <c r="D12" s="5">
        <v>0</v>
      </c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0</v>
      </c>
      <c r="Q12" s="5">
        <v>0</v>
      </c>
      <c r="R12" s="5">
        <v>2</v>
      </c>
      <c r="S12" s="62">
        <v>0</v>
      </c>
      <c r="T12" s="73">
        <f t="shared" si="0"/>
        <v>4</v>
      </c>
      <c r="U12" s="5">
        <v>0</v>
      </c>
      <c r="V12" s="5">
        <v>0</v>
      </c>
      <c r="W12" s="5">
        <v>3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62">
        <v>0</v>
      </c>
      <c r="AD12" s="73">
        <f t="shared" si="1"/>
        <v>3</v>
      </c>
      <c r="AE12" s="6">
        <v>0</v>
      </c>
      <c r="AF12" s="36">
        <f t="shared" si="2"/>
        <v>0</v>
      </c>
      <c r="AG12" s="36">
        <f t="shared" si="3"/>
        <v>7</v>
      </c>
    </row>
    <row r="13" spans="1:33">
      <c r="A13" s="1" t="s">
        <v>3</v>
      </c>
      <c r="B13" s="29" t="s">
        <v>70</v>
      </c>
      <c r="C13" s="50">
        <v>1.5</v>
      </c>
      <c r="D13" s="5">
        <v>4</v>
      </c>
      <c r="E13" s="5">
        <v>4</v>
      </c>
      <c r="F13" s="5">
        <v>0</v>
      </c>
      <c r="G13" s="5">
        <v>3</v>
      </c>
      <c r="H13" s="5">
        <v>4</v>
      </c>
      <c r="I13" s="5">
        <v>1</v>
      </c>
      <c r="J13" s="5">
        <v>2</v>
      </c>
      <c r="K13" s="5">
        <v>2</v>
      </c>
      <c r="L13" s="5">
        <v>1</v>
      </c>
      <c r="M13" s="5">
        <v>0.5</v>
      </c>
      <c r="N13" s="5">
        <v>1</v>
      </c>
      <c r="O13" s="5">
        <v>1</v>
      </c>
      <c r="P13" s="5">
        <v>2</v>
      </c>
      <c r="Q13" s="5">
        <v>0</v>
      </c>
      <c r="R13" s="5">
        <v>0</v>
      </c>
      <c r="S13" s="62">
        <v>0</v>
      </c>
      <c r="T13" s="73">
        <f t="shared" si="0"/>
        <v>27</v>
      </c>
      <c r="U13" s="5">
        <v>0.5</v>
      </c>
      <c r="V13" s="5">
        <v>0</v>
      </c>
      <c r="W13" s="5">
        <v>0</v>
      </c>
      <c r="X13" s="5">
        <v>1</v>
      </c>
      <c r="Y13" s="5">
        <v>0</v>
      </c>
      <c r="Z13" s="5">
        <v>0</v>
      </c>
      <c r="AA13" s="5">
        <v>0</v>
      </c>
      <c r="AB13" s="5">
        <v>2</v>
      </c>
      <c r="AC13" s="62">
        <v>1</v>
      </c>
      <c r="AD13" s="73">
        <f t="shared" si="1"/>
        <v>4.5</v>
      </c>
      <c r="AE13" s="6">
        <v>0</v>
      </c>
      <c r="AF13" s="36">
        <f t="shared" si="2"/>
        <v>0</v>
      </c>
      <c r="AG13" s="36">
        <f t="shared" si="3"/>
        <v>31.5</v>
      </c>
    </row>
    <row r="14" spans="1:33">
      <c r="A14" s="1" t="s">
        <v>3</v>
      </c>
      <c r="B14" s="29" t="s">
        <v>71</v>
      </c>
      <c r="C14" s="50">
        <v>0</v>
      </c>
      <c r="D14" s="5">
        <v>19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62">
        <v>18</v>
      </c>
      <c r="T14" s="73">
        <f t="shared" si="0"/>
        <v>37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62">
        <v>0</v>
      </c>
      <c r="AD14" s="73">
        <f t="shared" si="1"/>
        <v>0</v>
      </c>
      <c r="AE14" s="6">
        <v>0</v>
      </c>
      <c r="AF14" s="36">
        <f t="shared" si="2"/>
        <v>0</v>
      </c>
      <c r="AG14" s="36">
        <f t="shared" si="3"/>
        <v>37</v>
      </c>
    </row>
    <row r="15" spans="1:33">
      <c r="A15" s="1" t="s">
        <v>3</v>
      </c>
      <c r="B15" s="29" t="s">
        <v>72</v>
      </c>
      <c r="C15" s="51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63">
        <v>0</v>
      </c>
      <c r="T15" s="74">
        <f t="shared" si="0"/>
        <v>0</v>
      </c>
      <c r="U15" s="7">
        <v>0</v>
      </c>
      <c r="V15" s="7">
        <v>0</v>
      </c>
      <c r="W15" s="7">
        <v>0</v>
      </c>
      <c r="X15" s="7">
        <v>2.9166666666666665</v>
      </c>
      <c r="Y15" s="7">
        <v>3.3333333333333335</v>
      </c>
      <c r="Z15" s="7">
        <v>4.875</v>
      </c>
      <c r="AA15" s="7">
        <v>1.9166666666666665</v>
      </c>
      <c r="AB15" s="7">
        <v>3.2083333333333335</v>
      </c>
      <c r="AC15" s="63">
        <v>5.916666666666667</v>
      </c>
      <c r="AD15" s="74">
        <f t="shared" si="1"/>
        <v>22.166666666666668</v>
      </c>
      <c r="AE15" s="8">
        <v>0</v>
      </c>
      <c r="AF15" s="37">
        <f t="shared" si="2"/>
        <v>0</v>
      </c>
      <c r="AG15" s="37">
        <f t="shared" si="3"/>
        <v>22.166666666666668</v>
      </c>
    </row>
    <row r="16" spans="1:33">
      <c r="A16" s="1" t="s">
        <v>3</v>
      </c>
      <c r="B16" s="29" t="s">
        <v>73</v>
      </c>
      <c r="C16" s="51">
        <v>0.83333333333333337</v>
      </c>
      <c r="D16" s="7">
        <v>0</v>
      </c>
      <c r="E16" s="7">
        <v>1.875</v>
      </c>
      <c r="F16" s="7">
        <v>2.3333333333333335</v>
      </c>
      <c r="G16" s="7">
        <v>1.9583333333333335</v>
      </c>
      <c r="H16" s="7">
        <v>1.7083333333333335</v>
      </c>
      <c r="I16" s="7">
        <v>1.5833333333333335</v>
      </c>
      <c r="J16" s="7">
        <v>1.5833333333333335</v>
      </c>
      <c r="K16" s="7">
        <v>1.9166666666666665</v>
      </c>
      <c r="L16" s="7">
        <v>2.0833333333333335</v>
      </c>
      <c r="M16" s="7">
        <v>1.0833333333333333</v>
      </c>
      <c r="N16" s="7">
        <v>1.8333333333333335</v>
      </c>
      <c r="O16" s="7">
        <v>2.9583333333333335</v>
      </c>
      <c r="P16" s="7">
        <v>3.0416666666666665</v>
      </c>
      <c r="Q16" s="7">
        <v>1.4583333333333333</v>
      </c>
      <c r="R16" s="7">
        <v>1.4166666666666667</v>
      </c>
      <c r="S16" s="63">
        <v>0.16666666666666666</v>
      </c>
      <c r="T16" s="74">
        <f t="shared" si="0"/>
        <v>27.833333333333336</v>
      </c>
      <c r="U16" s="7">
        <v>0</v>
      </c>
      <c r="V16" s="7">
        <v>1.25</v>
      </c>
      <c r="W16" s="7">
        <v>0.29166666666666669</v>
      </c>
      <c r="X16" s="7">
        <v>0</v>
      </c>
      <c r="Y16" s="7">
        <v>0</v>
      </c>
      <c r="Z16" s="7">
        <v>0</v>
      </c>
      <c r="AA16" s="7">
        <v>8.3333333333333329E-2</v>
      </c>
      <c r="AB16" s="7">
        <v>0</v>
      </c>
      <c r="AC16" s="63">
        <v>0.20833333333333334</v>
      </c>
      <c r="AD16" s="74">
        <f t="shared" si="1"/>
        <v>1.8333333333333333</v>
      </c>
      <c r="AE16" s="8">
        <v>0</v>
      </c>
      <c r="AF16" s="37">
        <f t="shared" si="2"/>
        <v>0</v>
      </c>
      <c r="AG16" s="37">
        <f t="shared" si="3"/>
        <v>29.666666666666668</v>
      </c>
    </row>
    <row r="17" spans="1:33">
      <c r="A17" s="1" t="s">
        <v>3</v>
      </c>
      <c r="B17" s="29" t="s">
        <v>74</v>
      </c>
      <c r="C17" s="51">
        <v>0.45833333333333331</v>
      </c>
      <c r="D17" s="7">
        <v>0</v>
      </c>
      <c r="E17" s="7">
        <v>1.0833333333333333</v>
      </c>
      <c r="F17" s="7">
        <v>0.45833333333333331</v>
      </c>
      <c r="G17" s="7">
        <v>1.125</v>
      </c>
      <c r="H17" s="7">
        <v>1.5416666666666665</v>
      </c>
      <c r="I17" s="7">
        <v>0.875</v>
      </c>
      <c r="J17" s="7">
        <v>1.2916666666666667</v>
      </c>
      <c r="K17" s="7">
        <v>1</v>
      </c>
      <c r="L17" s="7">
        <v>0.5</v>
      </c>
      <c r="M17" s="7">
        <v>0</v>
      </c>
      <c r="N17" s="7">
        <v>0.41666666666666669</v>
      </c>
      <c r="O17" s="7">
        <v>1</v>
      </c>
      <c r="P17" s="7">
        <v>0.875</v>
      </c>
      <c r="Q17" s="7">
        <v>0.83333333333333337</v>
      </c>
      <c r="R17" s="7">
        <v>0.83333333333333337</v>
      </c>
      <c r="S17" s="63">
        <v>0</v>
      </c>
      <c r="T17" s="74">
        <f t="shared" si="0"/>
        <v>12.291666666666666</v>
      </c>
      <c r="U17" s="7">
        <v>0</v>
      </c>
      <c r="V17" s="7">
        <v>4.1666666666666664E-2</v>
      </c>
      <c r="W17" s="7">
        <v>0.79166666666666663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63">
        <v>0</v>
      </c>
      <c r="AD17" s="74">
        <f t="shared" si="1"/>
        <v>0.83333333333333326</v>
      </c>
      <c r="AE17" s="8">
        <v>0</v>
      </c>
      <c r="AF17" s="37">
        <f t="shared" si="2"/>
        <v>0</v>
      </c>
      <c r="AG17" s="37">
        <f t="shared" si="3"/>
        <v>13.125</v>
      </c>
    </row>
    <row r="18" spans="1:33">
      <c r="A18" s="1" t="s">
        <v>3</v>
      </c>
      <c r="B18" s="29" t="s">
        <v>75</v>
      </c>
      <c r="C18" s="51">
        <v>0.91666666666666663</v>
      </c>
      <c r="D18" s="7">
        <v>0</v>
      </c>
      <c r="E18" s="7">
        <v>0.41666666666666669</v>
      </c>
      <c r="F18" s="7">
        <v>0.33333333333333331</v>
      </c>
      <c r="G18" s="7">
        <v>1.1666666666666667</v>
      </c>
      <c r="H18" s="7">
        <v>0.375</v>
      </c>
      <c r="I18" s="7">
        <v>0.25</v>
      </c>
      <c r="J18" s="7">
        <v>0.58333333333333337</v>
      </c>
      <c r="K18" s="7">
        <v>0.625</v>
      </c>
      <c r="L18" s="7">
        <v>0.95833333333333337</v>
      </c>
      <c r="M18" s="7">
        <v>0.5</v>
      </c>
      <c r="N18" s="7">
        <v>0.875</v>
      </c>
      <c r="O18" s="7">
        <v>0.375</v>
      </c>
      <c r="P18" s="7">
        <v>0.5</v>
      </c>
      <c r="Q18" s="7">
        <v>0.5</v>
      </c>
      <c r="R18" s="7">
        <v>0.5</v>
      </c>
      <c r="S18" s="63">
        <v>0</v>
      </c>
      <c r="T18" s="74">
        <f t="shared" si="0"/>
        <v>8.875</v>
      </c>
      <c r="U18" s="7">
        <v>0</v>
      </c>
      <c r="V18" s="7">
        <v>0</v>
      </c>
      <c r="W18" s="7">
        <v>0.41666666666666669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63">
        <v>0</v>
      </c>
      <c r="AD18" s="74">
        <f t="shared" si="1"/>
        <v>0.41666666666666669</v>
      </c>
      <c r="AE18" s="8">
        <v>0</v>
      </c>
      <c r="AF18" s="37">
        <f t="shared" si="2"/>
        <v>0</v>
      </c>
      <c r="AG18" s="37">
        <f t="shared" si="3"/>
        <v>9.2916666666666661</v>
      </c>
    </row>
    <row r="19" spans="1:33">
      <c r="A19" s="1" t="s">
        <v>3</v>
      </c>
      <c r="B19" s="29" t="s">
        <v>76</v>
      </c>
      <c r="C19" s="51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0.20833333333333334</v>
      </c>
      <c r="S19" s="63">
        <v>0</v>
      </c>
      <c r="T19" s="74">
        <f t="shared" si="0"/>
        <v>0.20833333333333334</v>
      </c>
      <c r="U19" s="7">
        <v>0</v>
      </c>
      <c r="V19" s="7">
        <v>0</v>
      </c>
      <c r="W19" s="7">
        <v>0.41666666666666669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63">
        <v>0</v>
      </c>
      <c r="AD19" s="74">
        <f t="shared" si="1"/>
        <v>0.41666666666666669</v>
      </c>
      <c r="AE19" s="8">
        <v>0</v>
      </c>
      <c r="AF19" s="37">
        <f t="shared" si="2"/>
        <v>0</v>
      </c>
      <c r="AG19" s="37">
        <f t="shared" si="3"/>
        <v>0.625</v>
      </c>
    </row>
    <row r="20" spans="1:33">
      <c r="A20" s="1" t="s">
        <v>3</v>
      </c>
      <c r="B20" s="29" t="s">
        <v>77</v>
      </c>
      <c r="C20" s="51">
        <v>0</v>
      </c>
      <c r="D20" s="7">
        <v>0</v>
      </c>
      <c r="E20" s="7">
        <v>0</v>
      </c>
      <c r="F20" s="7">
        <v>0</v>
      </c>
      <c r="G20" s="7">
        <v>0.33333333333333331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0.125</v>
      </c>
      <c r="P20" s="7">
        <v>0</v>
      </c>
      <c r="Q20" s="7">
        <v>0</v>
      </c>
      <c r="R20" s="7">
        <v>0.16666666666666666</v>
      </c>
      <c r="S20" s="63">
        <v>0</v>
      </c>
      <c r="T20" s="74">
        <f t="shared" si="0"/>
        <v>0.625</v>
      </c>
      <c r="U20" s="7">
        <v>0</v>
      </c>
      <c r="V20" s="7">
        <v>0</v>
      </c>
      <c r="W20" s="7">
        <v>0.625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63">
        <v>0</v>
      </c>
      <c r="AD20" s="74">
        <f t="shared" si="1"/>
        <v>0.625</v>
      </c>
      <c r="AE20" s="8">
        <v>0</v>
      </c>
      <c r="AF20" s="37">
        <f t="shared" si="2"/>
        <v>0</v>
      </c>
      <c r="AG20" s="37">
        <f t="shared" si="3"/>
        <v>1.25</v>
      </c>
    </row>
    <row r="21" spans="1:33">
      <c r="A21" s="1" t="s">
        <v>3</v>
      </c>
      <c r="B21" s="29" t="s">
        <v>78</v>
      </c>
      <c r="C21" s="51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0.54166666666666663</v>
      </c>
      <c r="P21" s="7">
        <v>0.70833333333333337</v>
      </c>
      <c r="Q21" s="7">
        <v>0</v>
      </c>
      <c r="R21" s="7">
        <v>0</v>
      </c>
      <c r="S21" s="63">
        <v>0</v>
      </c>
      <c r="T21" s="74">
        <f t="shared" si="0"/>
        <v>1.25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63">
        <v>0</v>
      </c>
      <c r="AD21" s="74">
        <f t="shared" si="1"/>
        <v>0</v>
      </c>
      <c r="AE21" s="8">
        <v>0</v>
      </c>
      <c r="AF21" s="37">
        <f t="shared" si="2"/>
        <v>0</v>
      </c>
      <c r="AG21" s="37">
        <f t="shared" si="3"/>
        <v>1.25</v>
      </c>
    </row>
    <row r="22" spans="1:33">
      <c r="A22" s="1" t="s">
        <v>3</v>
      </c>
      <c r="B22" s="29" t="s">
        <v>79</v>
      </c>
      <c r="C22" s="51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63">
        <v>0.125</v>
      </c>
      <c r="T22" s="74">
        <f t="shared" si="0"/>
        <v>0.125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63">
        <v>0</v>
      </c>
      <c r="AD22" s="74">
        <f t="shared" si="1"/>
        <v>0</v>
      </c>
      <c r="AE22" s="8">
        <v>0</v>
      </c>
      <c r="AF22" s="37">
        <f t="shared" si="2"/>
        <v>0</v>
      </c>
      <c r="AG22" s="37">
        <f t="shared" si="3"/>
        <v>0.125</v>
      </c>
    </row>
    <row r="23" spans="1:33">
      <c r="A23" s="1" t="s">
        <v>3</v>
      </c>
      <c r="B23" s="29" t="s">
        <v>80</v>
      </c>
      <c r="C23" s="51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63">
        <v>0</v>
      </c>
      <c r="T23" s="74">
        <f t="shared" si="0"/>
        <v>0</v>
      </c>
      <c r="U23" s="7">
        <v>0</v>
      </c>
      <c r="V23" s="7">
        <v>0</v>
      </c>
      <c r="W23" s="7">
        <v>0</v>
      </c>
      <c r="X23" s="7">
        <v>0.29166666666666669</v>
      </c>
      <c r="Y23" s="7">
        <v>0</v>
      </c>
      <c r="Z23" s="7">
        <v>0</v>
      </c>
      <c r="AA23" s="7">
        <v>0</v>
      </c>
      <c r="AB23" s="7">
        <v>0.58333333333333337</v>
      </c>
      <c r="AC23" s="63">
        <v>0.33333333333333331</v>
      </c>
      <c r="AD23" s="74">
        <f t="shared" si="1"/>
        <v>1.2083333333333333</v>
      </c>
      <c r="AE23" s="8">
        <v>0</v>
      </c>
      <c r="AF23" s="37">
        <f t="shared" si="2"/>
        <v>0</v>
      </c>
      <c r="AG23" s="37">
        <f t="shared" si="3"/>
        <v>1.2083333333333333</v>
      </c>
    </row>
    <row r="24" spans="1:33">
      <c r="A24" s="1" t="s">
        <v>3</v>
      </c>
      <c r="B24" s="29" t="s">
        <v>81</v>
      </c>
      <c r="C24" s="51">
        <v>0.25</v>
      </c>
      <c r="D24" s="7">
        <v>0</v>
      </c>
      <c r="E24" s="7">
        <v>0.91666666666666663</v>
      </c>
      <c r="F24" s="7">
        <v>0.95833333333333337</v>
      </c>
      <c r="G24" s="7">
        <v>2.9583333333333335</v>
      </c>
      <c r="H24" s="7">
        <v>8.3333333333333329E-2</v>
      </c>
      <c r="I24" s="7">
        <v>0.29166666666666669</v>
      </c>
      <c r="J24" s="7">
        <v>8.3333333333333329E-2</v>
      </c>
      <c r="K24" s="7">
        <v>0.58333333333333337</v>
      </c>
      <c r="L24" s="7">
        <v>0.83333333333333337</v>
      </c>
      <c r="M24" s="7">
        <v>0.125</v>
      </c>
      <c r="N24" s="7">
        <v>0.54166666666666663</v>
      </c>
      <c r="O24" s="7">
        <v>1.3333333333333333</v>
      </c>
      <c r="P24" s="7">
        <v>1.5</v>
      </c>
      <c r="Q24" s="7">
        <v>0.41666666666666669</v>
      </c>
      <c r="R24" s="7">
        <v>0.20833333333333334</v>
      </c>
      <c r="S24" s="63">
        <v>0</v>
      </c>
      <c r="T24" s="74">
        <f t="shared" si="0"/>
        <v>11.083333333333334</v>
      </c>
      <c r="U24" s="7">
        <v>4.1666666666666664E-2</v>
      </c>
      <c r="V24" s="7">
        <v>4.1666666666666664E-2</v>
      </c>
      <c r="W24" s="7">
        <v>0</v>
      </c>
      <c r="X24" s="7">
        <v>2.0833333333333335</v>
      </c>
      <c r="Y24" s="7">
        <v>0</v>
      </c>
      <c r="Z24" s="7">
        <v>0</v>
      </c>
      <c r="AA24" s="7">
        <v>0.41666666666666669</v>
      </c>
      <c r="AB24" s="7">
        <v>2.2916666666666665</v>
      </c>
      <c r="AC24" s="63">
        <v>1.6666666666666665</v>
      </c>
      <c r="AD24" s="74">
        <f t="shared" si="1"/>
        <v>6.5416666666666661</v>
      </c>
      <c r="AE24" s="8">
        <v>0</v>
      </c>
      <c r="AF24" s="37">
        <f t="shared" si="2"/>
        <v>0</v>
      </c>
      <c r="AG24" s="37">
        <f t="shared" si="3"/>
        <v>17.625</v>
      </c>
    </row>
    <row r="25" spans="1:33">
      <c r="A25" s="1" t="s">
        <v>3</v>
      </c>
      <c r="B25" s="30" t="s">
        <v>82</v>
      </c>
      <c r="C25" s="52">
        <v>15.5</v>
      </c>
      <c r="D25" s="19">
        <v>14</v>
      </c>
      <c r="E25" s="19">
        <v>29</v>
      </c>
      <c r="F25" s="19">
        <v>37</v>
      </c>
      <c r="G25" s="19">
        <v>30</v>
      </c>
      <c r="H25" s="19">
        <v>24</v>
      </c>
      <c r="I25" s="19">
        <v>34</v>
      </c>
      <c r="J25" s="19">
        <v>31.5</v>
      </c>
      <c r="K25" s="19">
        <v>32.5</v>
      </c>
      <c r="L25" s="19">
        <v>33</v>
      </c>
      <c r="M25" s="19">
        <v>29.5</v>
      </c>
      <c r="N25" s="19">
        <v>33.5</v>
      </c>
      <c r="O25" s="19">
        <v>13</v>
      </c>
      <c r="P25" s="19">
        <v>14</v>
      </c>
      <c r="Q25" s="19">
        <v>24</v>
      </c>
      <c r="R25" s="19">
        <v>0</v>
      </c>
      <c r="S25" s="64">
        <v>0</v>
      </c>
      <c r="T25" s="75"/>
      <c r="U25" s="19">
        <v>30.5</v>
      </c>
      <c r="V25" s="19">
        <v>39.5</v>
      </c>
      <c r="W25" s="19">
        <v>15</v>
      </c>
      <c r="X25" s="19">
        <v>5</v>
      </c>
      <c r="Y25" s="19">
        <v>21</v>
      </c>
      <c r="Z25" s="19">
        <v>21</v>
      </c>
      <c r="AA25" s="19">
        <v>6</v>
      </c>
      <c r="AB25" s="19">
        <v>18</v>
      </c>
      <c r="AC25" s="64">
        <v>6</v>
      </c>
      <c r="AD25" s="75"/>
      <c r="AE25" s="20">
        <v>36.5</v>
      </c>
      <c r="AF25" s="38"/>
      <c r="AG25" s="38"/>
    </row>
    <row r="26" spans="1:33">
      <c r="A26" s="1" t="s">
        <v>3</v>
      </c>
      <c r="B26" s="28" t="s">
        <v>83</v>
      </c>
      <c r="C26" s="53">
        <v>182000</v>
      </c>
      <c r="D26" s="17">
        <v>192000</v>
      </c>
      <c r="E26" s="17">
        <v>197000</v>
      </c>
      <c r="F26" s="17">
        <v>197000</v>
      </c>
      <c r="G26" s="17">
        <v>197000</v>
      </c>
      <c r="H26" s="17">
        <v>182000</v>
      </c>
      <c r="I26" s="17">
        <v>187000</v>
      </c>
      <c r="J26" s="17">
        <v>182000</v>
      </c>
      <c r="K26" s="17">
        <v>197000</v>
      </c>
      <c r="L26" s="17">
        <v>192000</v>
      </c>
      <c r="M26" s="17">
        <v>192000</v>
      </c>
      <c r="N26" s="17">
        <v>182000</v>
      </c>
      <c r="O26" s="17">
        <v>175000</v>
      </c>
      <c r="P26" s="17">
        <v>175000</v>
      </c>
      <c r="Q26" s="17">
        <v>180000</v>
      </c>
      <c r="R26" s="17">
        <v>175000</v>
      </c>
      <c r="S26" s="65">
        <v>175000</v>
      </c>
      <c r="T26" s="76">
        <f t="shared" ref="T26:T59" si="4">SUM(C26:S26)</f>
        <v>3159000</v>
      </c>
      <c r="U26" s="17">
        <v>370000</v>
      </c>
      <c r="V26" s="17">
        <v>285000</v>
      </c>
      <c r="W26" s="17">
        <v>225000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65">
        <v>0</v>
      </c>
      <c r="AD26" s="76">
        <f t="shared" ref="AD26:AD59" si="5">SUM(U26:AC26)</f>
        <v>880000</v>
      </c>
      <c r="AE26" s="18">
        <v>390000</v>
      </c>
      <c r="AF26" s="39">
        <f t="shared" ref="AF26:AF59" si="6">AE26</f>
        <v>390000</v>
      </c>
      <c r="AG26" s="39">
        <f t="shared" ref="AG26:AG59" si="7">T26+AD26+AF26</f>
        <v>4429000</v>
      </c>
    </row>
    <row r="27" spans="1:33">
      <c r="A27" s="1" t="s">
        <v>3</v>
      </c>
      <c r="B27" s="29" t="s">
        <v>84</v>
      </c>
      <c r="C27" s="54">
        <v>0</v>
      </c>
      <c r="D27" s="9">
        <v>0</v>
      </c>
      <c r="E27" s="9">
        <v>20000</v>
      </c>
      <c r="F27" s="9">
        <v>20000</v>
      </c>
      <c r="G27" s="9">
        <v>0</v>
      </c>
      <c r="H27" s="9">
        <v>0</v>
      </c>
      <c r="I27" s="9">
        <v>5000</v>
      </c>
      <c r="J27" s="9">
        <v>0</v>
      </c>
      <c r="K27" s="9">
        <v>0</v>
      </c>
      <c r="L27" s="9">
        <v>0</v>
      </c>
      <c r="M27" s="9">
        <v>5000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66">
        <v>0</v>
      </c>
      <c r="T27" s="77">
        <f t="shared" si="4"/>
        <v>50000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66">
        <v>0</v>
      </c>
      <c r="AD27" s="77">
        <f t="shared" si="5"/>
        <v>0</v>
      </c>
      <c r="AE27" s="10">
        <v>0</v>
      </c>
      <c r="AF27" s="40">
        <f t="shared" si="6"/>
        <v>0</v>
      </c>
      <c r="AG27" s="40">
        <f t="shared" si="7"/>
        <v>50000</v>
      </c>
    </row>
    <row r="28" spans="1:33">
      <c r="A28" s="1" t="s">
        <v>3</v>
      </c>
      <c r="B28" s="29" t="s">
        <v>85</v>
      </c>
      <c r="C28" s="54">
        <v>0</v>
      </c>
      <c r="D28" s="9">
        <v>0</v>
      </c>
      <c r="E28" s="9">
        <v>3000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66">
        <v>0</v>
      </c>
      <c r="T28" s="77">
        <f t="shared" si="4"/>
        <v>3000</v>
      </c>
      <c r="U28" s="9">
        <v>0</v>
      </c>
      <c r="V28" s="9">
        <v>3000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66">
        <v>0</v>
      </c>
      <c r="AD28" s="77">
        <f t="shared" si="5"/>
        <v>3000</v>
      </c>
      <c r="AE28" s="10">
        <v>0</v>
      </c>
      <c r="AF28" s="40">
        <f t="shared" si="6"/>
        <v>0</v>
      </c>
      <c r="AG28" s="40">
        <f t="shared" si="7"/>
        <v>6000</v>
      </c>
    </row>
    <row r="29" spans="1:33">
      <c r="A29" s="1" t="s">
        <v>3</v>
      </c>
      <c r="B29" s="29" t="s">
        <v>86</v>
      </c>
      <c r="C29" s="54">
        <v>0</v>
      </c>
      <c r="D29" s="9">
        <v>0</v>
      </c>
      <c r="E29" s="9">
        <v>0</v>
      </c>
      <c r="F29" s="9">
        <v>7069</v>
      </c>
      <c r="G29" s="9">
        <v>6264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104414</v>
      </c>
      <c r="N29" s="9">
        <v>11560</v>
      </c>
      <c r="O29" s="9">
        <v>0</v>
      </c>
      <c r="P29" s="9">
        <v>0</v>
      </c>
      <c r="Q29" s="9">
        <v>18482</v>
      </c>
      <c r="R29" s="9">
        <v>0</v>
      </c>
      <c r="S29" s="66">
        <v>0</v>
      </c>
      <c r="T29" s="77">
        <f t="shared" si="4"/>
        <v>147789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66">
        <v>0</v>
      </c>
      <c r="AD29" s="77">
        <f t="shared" si="5"/>
        <v>0</v>
      </c>
      <c r="AE29" s="10">
        <v>0</v>
      </c>
      <c r="AF29" s="40">
        <f t="shared" si="6"/>
        <v>0</v>
      </c>
      <c r="AG29" s="40">
        <f t="shared" si="7"/>
        <v>147789</v>
      </c>
    </row>
    <row r="30" spans="1:33">
      <c r="A30" s="1" t="s">
        <v>3</v>
      </c>
      <c r="B30" s="29" t="s">
        <v>87</v>
      </c>
      <c r="C30" s="54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66">
        <v>0</v>
      </c>
      <c r="T30" s="77">
        <f t="shared" si="4"/>
        <v>0</v>
      </c>
      <c r="U30" s="9">
        <v>0</v>
      </c>
      <c r="V30" s="9">
        <v>1000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66">
        <v>0</v>
      </c>
      <c r="AD30" s="77">
        <f t="shared" si="5"/>
        <v>1000</v>
      </c>
      <c r="AE30" s="10">
        <v>0</v>
      </c>
      <c r="AF30" s="40">
        <f t="shared" si="6"/>
        <v>0</v>
      </c>
      <c r="AG30" s="40">
        <f t="shared" si="7"/>
        <v>1000</v>
      </c>
    </row>
    <row r="31" spans="1:33">
      <c r="A31" s="1" t="s">
        <v>3</v>
      </c>
      <c r="B31" s="29" t="s">
        <v>88</v>
      </c>
      <c r="C31" s="54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66">
        <v>0</v>
      </c>
      <c r="T31" s="77">
        <f t="shared" si="4"/>
        <v>0</v>
      </c>
      <c r="U31" s="9">
        <v>0</v>
      </c>
      <c r="V31" s="9">
        <v>0</v>
      </c>
      <c r="W31" s="9">
        <v>0</v>
      </c>
      <c r="X31" s="9">
        <v>68250</v>
      </c>
      <c r="Y31" s="9">
        <v>82800</v>
      </c>
      <c r="Z31" s="9">
        <v>125190</v>
      </c>
      <c r="AA31" s="9">
        <v>44850</v>
      </c>
      <c r="AB31" s="9">
        <v>75075</v>
      </c>
      <c r="AC31" s="66">
        <v>138450</v>
      </c>
      <c r="AD31" s="77">
        <f t="shared" si="5"/>
        <v>534615</v>
      </c>
      <c r="AE31" s="10">
        <v>0</v>
      </c>
      <c r="AF31" s="40">
        <f t="shared" si="6"/>
        <v>0</v>
      </c>
      <c r="AG31" s="40">
        <f t="shared" si="7"/>
        <v>534615</v>
      </c>
    </row>
    <row r="32" spans="1:33">
      <c r="A32" s="1" t="s">
        <v>3</v>
      </c>
      <c r="B32" s="29" t="s">
        <v>89</v>
      </c>
      <c r="C32" s="54">
        <v>3500</v>
      </c>
      <c r="D32" s="9">
        <v>0</v>
      </c>
      <c r="E32" s="9">
        <v>3500</v>
      </c>
      <c r="F32" s="9">
        <v>3500</v>
      </c>
      <c r="G32" s="9">
        <v>3500</v>
      </c>
      <c r="H32" s="9">
        <v>3500</v>
      </c>
      <c r="I32" s="9">
        <v>3500</v>
      </c>
      <c r="J32" s="9">
        <v>3500</v>
      </c>
      <c r="K32" s="9">
        <v>3500</v>
      </c>
      <c r="L32" s="9">
        <v>3500</v>
      </c>
      <c r="M32" s="9">
        <v>2000</v>
      </c>
      <c r="N32" s="9">
        <v>3500</v>
      </c>
      <c r="O32" s="9">
        <v>1000</v>
      </c>
      <c r="P32" s="9">
        <v>2000</v>
      </c>
      <c r="Q32" s="9">
        <v>2000</v>
      </c>
      <c r="R32" s="9">
        <v>0</v>
      </c>
      <c r="S32" s="66">
        <v>0</v>
      </c>
      <c r="T32" s="77">
        <f t="shared" si="4"/>
        <v>42000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66">
        <v>0</v>
      </c>
      <c r="AD32" s="77">
        <f t="shared" si="5"/>
        <v>0</v>
      </c>
      <c r="AE32" s="10">
        <v>0</v>
      </c>
      <c r="AF32" s="40">
        <f t="shared" si="6"/>
        <v>0</v>
      </c>
      <c r="AG32" s="40">
        <f t="shared" si="7"/>
        <v>42000</v>
      </c>
    </row>
    <row r="33" spans="1:33">
      <c r="A33" s="1" t="s">
        <v>3</v>
      </c>
      <c r="B33" s="29" t="s">
        <v>90</v>
      </c>
      <c r="C33" s="54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66">
        <v>0</v>
      </c>
      <c r="T33" s="77">
        <f t="shared" si="4"/>
        <v>0</v>
      </c>
      <c r="U33" s="9">
        <v>0</v>
      </c>
      <c r="V33" s="9">
        <v>0</v>
      </c>
      <c r="W33" s="9">
        <v>0</v>
      </c>
      <c r="X33" s="9">
        <v>6825</v>
      </c>
      <c r="Y33" s="9">
        <v>0</v>
      </c>
      <c r="Z33" s="9">
        <v>0</v>
      </c>
      <c r="AA33" s="9">
        <v>0</v>
      </c>
      <c r="AB33" s="9">
        <v>13650</v>
      </c>
      <c r="AC33" s="66">
        <v>7800</v>
      </c>
      <c r="AD33" s="77">
        <f t="shared" si="5"/>
        <v>28275</v>
      </c>
      <c r="AE33" s="10">
        <v>0</v>
      </c>
      <c r="AF33" s="40">
        <f t="shared" si="6"/>
        <v>0</v>
      </c>
      <c r="AG33" s="40">
        <f t="shared" si="7"/>
        <v>28275</v>
      </c>
    </row>
    <row r="34" spans="1:33">
      <c r="A34" s="1" t="s">
        <v>3</v>
      </c>
      <c r="B34" s="29" t="s">
        <v>91</v>
      </c>
      <c r="C34" s="54">
        <v>0</v>
      </c>
      <c r="D34" s="9">
        <v>174534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66">
        <v>150714</v>
      </c>
      <c r="T34" s="77">
        <f t="shared" si="4"/>
        <v>325248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66">
        <v>0</v>
      </c>
      <c r="AD34" s="77">
        <f t="shared" si="5"/>
        <v>0</v>
      </c>
      <c r="AE34" s="10">
        <v>0</v>
      </c>
      <c r="AF34" s="40">
        <f t="shared" si="6"/>
        <v>0</v>
      </c>
      <c r="AG34" s="40">
        <f t="shared" si="7"/>
        <v>325248</v>
      </c>
    </row>
    <row r="35" spans="1:33">
      <c r="A35" s="1" t="s">
        <v>3</v>
      </c>
      <c r="B35" s="29" t="s">
        <v>92</v>
      </c>
      <c r="C35" s="54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66">
        <v>3141</v>
      </c>
      <c r="T35" s="77">
        <f t="shared" si="4"/>
        <v>3141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66">
        <v>0</v>
      </c>
      <c r="AD35" s="77">
        <f t="shared" si="5"/>
        <v>0</v>
      </c>
      <c r="AE35" s="10">
        <v>0</v>
      </c>
      <c r="AF35" s="40">
        <f t="shared" si="6"/>
        <v>0</v>
      </c>
      <c r="AG35" s="40">
        <f t="shared" si="7"/>
        <v>3141</v>
      </c>
    </row>
    <row r="36" spans="1:33">
      <c r="A36" s="1" t="s">
        <v>3</v>
      </c>
      <c r="B36" s="29" t="s">
        <v>73</v>
      </c>
      <c r="C36" s="54">
        <v>27780</v>
      </c>
      <c r="D36" s="9">
        <v>0</v>
      </c>
      <c r="E36" s="9">
        <v>75285</v>
      </c>
      <c r="F36" s="9">
        <v>92400</v>
      </c>
      <c r="G36" s="9">
        <v>70547</v>
      </c>
      <c r="H36" s="9">
        <v>56949</v>
      </c>
      <c r="I36" s="9">
        <v>55632</v>
      </c>
      <c r="J36" s="9">
        <v>52782</v>
      </c>
      <c r="K36" s="9">
        <v>69046</v>
      </c>
      <c r="L36" s="9">
        <v>73200</v>
      </c>
      <c r="M36" s="9">
        <v>38740</v>
      </c>
      <c r="N36" s="9">
        <v>61116</v>
      </c>
      <c r="O36" s="9">
        <v>93578</v>
      </c>
      <c r="P36" s="9">
        <v>96725</v>
      </c>
      <c r="Q36" s="9">
        <v>47705</v>
      </c>
      <c r="R36" s="9">
        <v>44540</v>
      </c>
      <c r="S36" s="66">
        <v>5240</v>
      </c>
      <c r="T36" s="77">
        <f t="shared" si="4"/>
        <v>961265</v>
      </c>
      <c r="U36" s="9">
        <v>0</v>
      </c>
      <c r="V36" s="9">
        <v>64680</v>
      </c>
      <c r="W36" s="9">
        <v>11788</v>
      </c>
      <c r="X36" s="9">
        <v>0</v>
      </c>
      <c r="Y36" s="9">
        <v>0</v>
      </c>
      <c r="Z36" s="9">
        <v>0</v>
      </c>
      <c r="AA36" s="9">
        <v>2438</v>
      </c>
      <c r="AB36" s="9">
        <v>0</v>
      </c>
      <c r="AC36" s="66">
        <v>6095</v>
      </c>
      <c r="AD36" s="77">
        <f t="shared" si="5"/>
        <v>85001</v>
      </c>
      <c r="AE36" s="10">
        <v>0</v>
      </c>
      <c r="AF36" s="40">
        <f t="shared" si="6"/>
        <v>0</v>
      </c>
      <c r="AG36" s="40">
        <f t="shared" si="7"/>
        <v>1046266</v>
      </c>
    </row>
    <row r="37" spans="1:33">
      <c r="A37" s="1" t="s">
        <v>3</v>
      </c>
      <c r="B37" s="29" t="s">
        <v>93</v>
      </c>
      <c r="C37" s="54">
        <v>16500</v>
      </c>
      <c r="D37" s="9">
        <v>0</v>
      </c>
      <c r="E37" s="9">
        <v>46956</v>
      </c>
      <c r="F37" s="9">
        <v>19602</v>
      </c>
      <c r="G37" s="9">
        <v>43767</v>
      </c>
      <c r="H37" s="9">
        <v>55500</v>
      </c>
      <c r="I37" s="9">
        <v>33201</v>
      </c>
      <c r="J37" s="9">
        <v>46500</v>
      </c>
      <c r="K37" s="9">
        <v>38904</v>
      </c>
      <c r="L37" s="9">
        <v>18972</v>
      </c>
      <c r="M37" s="9">
        <v>0</v>
      </c>
      <c r="N37" s="9">
        <v>15000</v>
      </c>
      <c r="O37" s="9">
        <v>34152</v>
      </c>
      <c r="P37" s="9">
        <v>30051</v>
      </c>
      <c r="Q37" s="9">
        <v>29440</v>
      </c>
      <c r="R37" s="9">
        <v>28300</v>
      </c>
      <c r="S37" s="66">
        <v>0</v>
      </c>
      <c r="T37" s="77">
        <f t="shared" si="4"/>
        <v>456845</v>
      </c>
      <c r="U37" s="9">
        <v>0</v>
      </c>
      <c r="V37" s="9">
        <v>2329</v>
      </c>
      <c r="W37" s="9">
        <v>34542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66">
        <v>0</v>
      </c>
      <c r="AD37" s="77">
        <f t="shared" si="5"/>
        <v>36871</v>
      </c>
      <c r="AE37" s="10">
        <v>0</v>
      </c>
      <c r="AF37" s="40">
        <f t="shared" si="6"/>
        <v>0</v>
      </c>
      <c r="AG37" s="40">
        <f t="shared" si="7"/>
        <v>493716</v>
      </c>
    </row>
    <row r="38" spans="1:33">
      <c r="A38" s="1" t="s">
        <v>3</v>
      </c>
      <c r="B38" s="29" t="s">
        <v>94</v>
      </c>
      <c r="C38" s="54">
        <v>33000</v>
      </c>
      <c r="D38" s="9">
        <v>0</v>
      </c>
      <c r="E38" s="9">
        <v>18060</v>
      </c>
      <c r="F38" s="9">
        <v>14256</v>
      </c>
      <c r="G38" s="9">
        <v>45388</v>
      </c>
      <c r="H38" s="9">
        <v>13500</v>
      </c>
      <c r="I38" s="9">
        <v>9486</v>
      </c>
      <c r="J38" s="9">
        <v>21000</v>
      </c>
      <c r="K38" s="9">
        <v>24315</v>
      </c>
      <c r="L38" s="9">
        <v>36363</v>
      </c>
      <c r="M38" s="9">
        <v>19308</v>
      </c>
      <c r="N38" s="9">
        <v>31500</v>
      </c>
      <c r="O38" s="9">
        <v>12807</v>
      </c>
      <c r="P38" s="9">
        <v>17172</v>
      </c>
      <c r="Q38" s="9">
        <v>17664</v>
      </c>
      <c r="R38" s="9">
        <v>16980</v>
      </c>
      <c r="S38" s="66">
        <v>0</v>
      </c>
      <c r="T38" s="77">
        <f t="shared" si="4"/>
        <v>330799</v>
      </c>
      <c r="U38" s="9">
        <v>0</v>
      </c>
      <c r="V38" s="9">
        <v>0</v>
      </c>
      <c r="W38" s="9">
        <v>18180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66">
        <v>0</v>
      </c>
      <c r="AD38" s="77">
        <f t="shared" si="5"/>
        <v>18180</v>
      </c>
      <c r="AE38" s="10">
        <v>0</v>
      </c>
      <c r="AF38" s="40">
        <f t="shared" si="6"/>
        <v>0</v>
      </c>
      <c r="AG38" s="40">
        <f t="shared" si="7"/>
        <v>348979</v>
      </c>
    </row>
    <row r="39" spans="1:33">
      <c r="A39" s="1" t="s">
        <v>3</v>
      </c>
      <c r="B39" s="29" t="s">
        <v>95</v>
      </c>
      <c r="C39" s="54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1835</v>
      </c>
      <c r="S39" s="66">
        <v>0</v>
      </c>
      <c r="T39" s="77">
        <f t="shared" si="4"/>
        <v>1835</v>
      </c>
      <c r="U39" s="9">
        <v>0</v>
      </c>
      <c r="V39" s="9">
        <v>0</v>
      </c>
      <c r="W39" s="9">
        <v>4710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66">
        <v>0</v>
      </c>
      <c r="AD39" s="77">
        <f t="shared" si="5"/>
        <v>4710</v>
      </c>
      <c r="AE39" s="10">
        <v>0</v>
      </c>
      <c r="AF39" s="40">
        <f t="shared" si="6"/>
        <v>0</v>
      </c>
      <c r="AG39" s="40">
        <f t="shared" si="7"/>
        <v>6545</v>
      </c>
    </row>
    <row r="40" spans="1:33">
      <c r="A40" s="1" t="s">
        <v>3</v>
      </c>
      <c r="B40" s="29" t="s">
        <v>96</v>
      </c>
      <c r="C40" s="54">
        <v>0</v>
      </c>
      <c r="D40" s="9">
        <v>0</v>
      </c>
      <c r="E40" s="9">
        <v>0</v>
      </c>
      <c r="F40" s="9">
        <v>0</v>
      </c>
      <c r="G40" s="9">
        <v>3360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1107</v>
      </c>
      <c r="P40" s="9">
        <v>0</v>
      </c>
      <c r="Q40" s="9">
        <v>0</v>
      </c>
      <c r="R40" s="9">
        <v>1468</v>
      </c>
      <c r="S40" s="66">
        <v>0</v>
      </c>
      <c r="T40" s="77">
        <f t="shared" si="4"/>
        <v>5935</v>
      </c>
      <c r="U40" s="9">
        <v>0</v>
      </c>
      <c r="V40" s="9">
        <v>0</v>
      </c>
      <c r="W40" s="9">
        <v>7065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66">
        <v>0</v>
      </c>
      <c r="AD40" s="77">
        <f t="shared" si="5"/>
        <v>7065</v>
      </c>
      <c r="AE40" s="10">
        <v>0</v>
      </c>
      <c r="AF40" s="40">
        <f t="shared" si="6"/>
        <v>0</v>
      </c>
      <c r="AG40" s="40">
        <f t="shared" si="7"/>
        <v>13000</v>
      </c>
    </row>
    <row r="41" spans="1:33">
      <c r="A41" s="1" t="s">
        <v>3</v>
      </c>
      <c r="B41" s="29" t="s">
        <v>78</v>
      </c>
      <c r="C41" s="54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3432</v>
      </c>
      <c r="P41" s="9">
        <v>4505</v>
      </c>
      <c r="Q41" s="9">
        <v>0</v>
      </c>
      <c r="R41" s="9">
        <v>0</v>
      </c>
      <c r="S41" s="66">
        <v>0</v>
      </c>
      <c r="T41" s="77">
        <f t="shared" si="4"/>
        <v>7937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66">
        <v>0</v>
      </c>
      <c r="AD41" s="77">
        <f t="shared" si="5"/>
        <v>0</v>
      </c>
      <c r="AE41" s="10">
        <v>0</v>
      </c>
      <c r="AF41" s="40">
        <f t="shared" si="6"/>
        <v>0</v>
      </c>
      <c r="AG41" s="40">
        <f t="shared" si="7"/>
        <v>7937</v>
      </c>
    </row>
    <row r="42" spans="1:33">
      <c r="A42" s="1" t="s">
        <v>3</v>
      </c>
      <c r="B42" s="31" t="s">
        <v>81</v>
      </c>
      <c r="C42" s="55">
        <v>1668</v>
      </c>
      <c r="D42" s="21">
        <v>0</v>
      </c>
      <c r="E42" s="21">
        <v>7370</v>
      </c>
      <c r="F42" s="21">
        <v>7590</v>
      </c>
      <c r="G42" s="21">
        <v>21300</v>
      </c>
      <c r="H42" s="21">
        <v>556</v>
      </c>
      <c r="I42" s="21">
        <v>2051</v>
      </c>
      <c r="J42" s="21">
        <v>556</v>
      </c>
      <c r="K42" s="21">
        <v>4200</v>
      </c>
      <c r="L42" s="21">
        <v>5860</v>
      </c>
      <c r="M42" s="21">
        <v>894</v>
      </c>
      <c r="N42" s="21">
        <v>3614</v>
      </c>
      <c r="O42" s="21">
        <v>8448</v>
      </c>
      <c r="P42" s="21">
        <v>9540</v>
      </c>
      <c r="Q42" s="21">
        <v>2730</v>
      </c>
      <c r="R42" s="21">
        <v>1310</v>
      </c>
      <c r="S42" s="67">
        <v>0</v>
      </c>
      <c r="T42" s="78">
        <f t="shared" si="4"/>
        <v>77687</v>
      </c>
      <c r="U42" s="21">
        <v>554</v>
      </c>
      <c r="V42" s="21">
        <v>431</v>
      </c>
      <c r="W42" s="21">
        <v>0</v>
      </c>
      <c r="X42" s="21">
        <v>12200</v>
      </c>
      <c r="Y42" s="21">
        <v>0</v>
      </c>
      <c r="Z42" s="21">
        <v>0</v>
      </c>
      <c r="AA42" s="21">
        <v>2440</v>
      </c>
      <c r="AB42" s="21">
        <v>13420</v>
      </c>
      <c r="AC42" s="67">
        <v>9760</v>
      </c>
      <c r="AD42" s="78">
        <f t="shared" si="5"/>
        <v>38805</v>
      </c>
      <c r="AE42" s="22">
        <v>0</v>
      </c>
      <c r="AF42" s="41">
        <f t="shared" si="6"/>
        <v>0</v>
      </c>
      <c r="AG42" s="41">
        <f t="shared" si="7"/>
        <v>116492</v>
      </c>
    </row>
    <row r="43" spans="1:33">
      <c r="A43" s="1" t="s">
        <v>3</v>
      </c>
      <c r="B43" s="32" t="s">
        <v>97</v>
      </c>
      <c r="C43" s="56">
        <v>264448</v>
      </c>
      <c r="D43" s="23">
        <v>17466</v>
      </c>
      <c r="E43" s="23">
        <v>371171</v>
      </c>
      <c r="F43" s="23">
        <v>361417</v>
      </c>
      <c r="G43" s="23">
        <v>391126</v>
      </c>
      <c r="H43" s="23">
        <v>312005</v>
      </c>
      <c r="I43" s="23">
        <v>295870</v>
      </c>
      <c r="J43" s="23">
        <v>306338</v>
      </c>
      <c r="K43" s="23">
        <v>336965</v>
      </c>
      <c r="L43" s="23">
        <v>329895</v>
      </c>
      <c r="M43" s="23">
        <v>362356</v>
      </c>
      <c r="N43" s="23">
        <v>308290</v>
      </c>
      <c r="O43" s="23">
        <v>329524</v>
      </c>
      <c r="P43" s="23">
        <v>334993</v>
      </c>
      <c r="Q43" s="23">
        <v>298021</v>
      </c>
      <c r="R43" s="23">
        <v>269433</v>
      </c>
      <c r="S43" s="68">
        <v>26385</v>
      </c>
      <c r="T43" s="79">
        <f t="shared" si="4"/>
        <v>4915703</v>
      </c>
      <c r="U43" s="23">
        <v>370554</v>
      </c>
      <c r="V43" s="23">
        <v>356440</v>
      </c>
      <c r="W43" s="23">
        <v>301285</v>
      </c>
      <c r="X43" s="23">
        <v>87275</v>
      </c>
      <c r="Y43" s="23">
        <v>82800</v>
      </c>
      <c r="Z43" s="23">
        <v>125190</v>
      </c>
      <c r="AA43" s="23">
        <v>49728</v>
      </c>
      <c r="AB43" s="23">
        <v>102145</v>
      </c>
      <c r="AC43" s="68">
        <v>162105</v>
      </c>
      <c r="AD43" s="79">
        <f t="shared" si="5"/>
        <v>1637522</v>
      </c>
      <c r="AE43" s="24">
        <v>390000</v>
      </c>
      <c r="AF43" s="42">
        <f t="shared" si="6"/>
        <v>390000</v>
      </c>
      <c r="AG43" s="42">
        <f t="shared" si="7"/>
        <v>6943225</v>
      </c>
    </row>
    <row r="44" spans="1:33">
      <c r="A44" s="1" t="s">
        <v>3</v>
      </c>
      <c r="B44" s="32" t="s">
        <v>98</v>
      </c>
      <c r="C44" s="56">
        <v>14888</v>
      </c>
      <c r="D44" s="23">
        <v>0</v>
      </c>
      <c r="E44" s="23">
        <v>5927</v>
      </c>
      <c r="F44" s="23">
        <v>3722</v>
      </c>
      <c r="G44" s="23">
        <v>2978</v>
      </c>
      <c r="H44" s="23">
        <v>2749</v>
      </c>
      <c r="I44" s="23">
        <v>1432</v>
      </c>
      <c r="J44" s="23">
        <v>3722</v>
      </c>
      <c r="K44" s="23">
        <v>5727</v>
      </c>
      <c r="L44" s="23">
        <v>8933</v>
      </c>
      <c r="M44" s="23">
        <v>6872</v>
      </c>
      <c r="N44" s="23">
        <v>12169</v>
      </c>
      <c r="O44" s="23">
        <v>9305</v>
      </c>
      <c r="P44" s="23">
        <v>9305</v>
      </c>
      <c r="Q44" s="23">
        <v>2978</v>
      </c>
      <c r="R44" s="23">
        <v>11911</v>
      </c>
      <c r="S44" s="68">
        <v>2291</v>
      </c>
      <c r="T44" s="79">
        <f t="shared" si="4"/>
        <v>104909</v>
      </c>
      <c r="U44" s="23">
        <v>3608</v>
      </c>
      <c r="V44" s="23">
        <v>6185</v>
      </c>
      <c r="W44" s="23">
        <v>8933</v>
      </c>
      <c r="X44" s="23">
        <v>4581</v>
      </c>
      <c r="Y44" s="23">
        <v>2978</v>
      </c>
      <c r="Z44" s="23">
        <v>2720</v>
      </c>
      <c r="AA44" s="23">
        <v>2234</v>
      </c>
      <c r="AB44" s="23">
        <v>4410</v>
      </c>
      <c r="AC44" s="68">
        <v>15805</v>
      </c>
      <c r="AD44" s="79">
        <f t="shared" si="5"/>
        <v>51454</v>
      </c>
      <c r="AE44" s="24">
        <v>8561</v>
      </c>
      <c r="AF44" s="42">
        <f t="shared" si="6"/>
        <v>8561</v>
      </c>
      <c r="AG44" s="42">
        <f t="shared" si="7"/>
        <v>164924</v>
      </c>
    </row>
    <row r="45" spans="1:33">
      <c r="A45" s="1" t="s">
        <v>3</v>
      </c>
      <c r="B45" s="32" t="s">
        <v>99</v>
      </c>
      <c r="C45" s="56">
        <v>14888</v>
      </c>
      <c r="D45" s="23">
        <v>0</v>
      </c>
      <c r="E45" s="23">
        <v>5927</v>
      </c>
      <c r="F45" s="23">
        <v>3722</v>
      </c>
      <c r="G45" s="23">
        <v>2978</v>
      </c>
      <c r="H45" s="23">
        <v>2749</v>
      </c>
      <c r="I45" s="23">
        <v>1432</v>
      </c>
      <c r="J45" s="23">
        <v>3722</v>
      </c>
      <c r="K45" s="23">
        <v>5727</v>
      </c>
      <c r="L45" s="23">
        <v>8933</v>
      </c>
      <c r="M45" s="23">
        <v>6872</v>
      </c>
      <c r="N45" s="23">
        <v>12169</v>
      </c>
      <c r="O45" s="23">
        <v>9305</v>
      </c>
      <c r="P45" s="23">
        <v>9305</v>
      </c>
      <c r="Q45" s="23">
        <v>2978</v>
      </c>
      <c r="R45" s="23">
        <v>11911</v>
      </c>
      <c r="S45" s="68">
        <v>2291</v>
      </c>
      <c r="T45" s="79">
        <f t="shared" si="4"/>
        <v>104909</v>
      </c>
      <c r="U45" s="23">
        <v>3608</v>
      </c>
      <c r="V45" s="23">
        <v>6185</v>
      </c>
      <c r="W45" s="23">
        <v>8933</v>
      </c>
      <c r="X45" s="23">
        <v>4581</v>
      </c>
      <c r="Y45" s="23">
        <v>2978</v>
      </c>
      <c r="Z45" s="23">
        <v>2720</v>
      </c>
      <c r="AA45" s="23">
        <v>2234</v>
      </c>
      <c r="AB45" s="23">
        <v>4410</v>
      </c>
      <c r="AC45" s="68">
        <v>15805</v>
      </c>
      <c r="AD45" s="79">
        <f t="shared" si="5"/>
        <v>51454</v>
      </c>
      <c r="AE45" s="24">
        <v>8561</v>
      </c>
      <c r="AF45" s="42">
        <f t="shared" si="6"/>
        <v>8561</v>
      </c>
      <c r="AG45" s="42">
        <f t="shared" si="7"/>
        <v>164924</v>
      </c>
    </row>
    <row r="46" spans="1:33">
      <c r="A46" s="1" t="s">
        <v>3</v>
      </c>
      <c r="B46" s="32" t="s">
        <v>100</v>
      </c>
      <c r="C46" s="56">
        <v>279336</v>
      </c>
      <c r="D46" s="23">
        <v>17466</v>
      </c>
      <c r="E46" s="23">
        <v>377098</v>
      </c>
      <c r="F46" s="23">
        <v>365139</v>
      </c>
      <c r="G46" s="23">
        <v>394104</v>
      </c>
      <c r="H46" s="23">
        <v>314754</v>
      </c>
      <c r="I46" s="23">
        <v>297302</v>
      </c>
      <c r="J46" s="23">
        <v>310060</v>
      </c>
      <c r="K46" s="23">
        <v>342692</v>
      </c>
      <c r="L46" s="23">
        <v>338828</v>
      </c>
      <c r="M46" s="23">
        <v>369228</v>
      </c>
      <c r="N46" s="23">
        <v>320459</v>
      </c>
      <c r="O46" s="23">
        <v>338829</v>
      </c>
      <c r="P46" s="23">
        <v>344298</v>
      </c>
      <c r="Q46" s="23">
        <v>300999</v>
      </c>
      <c r="R46" s="23">
        <v>281344</v>
      </c>
      <c r="S46" s="68">
        <v>28676</v>
      </c>
      <c r="T46" s="79">
        <f t="shared" si="4"/>
        <v>5020612</v>
      </c>
      <c r="U46" s="23">
        <v>374162</v>
      </c>
      <c r="V46" s="23">
        <v>362625</v>
      </c>
      <c r="W46" s="23">
        <v>310218</v>
      </c>
      <c r="X46" s="23">
        <v>91856</v>
      </c>
      <c r="Y46" s="23">
        <v>85778</v>
      </c>
      <c r="Z46" s="23">
        <v>127910</v>
      </c>
      <c r="AA46" s="23">
        <v>51962</v>
      </c>
      <c r="AB46" s="23">
        <v>106555</v>
      </c>
      <c r="AC46" s="68">
        <v>177910</v>
      </c>
      <c r="AD46" s="79">
        <f t="shared" si="5"/>
        <v>1688976</v>
      </c>
      <c r="AE46" s="24">
        <v>398561</v>
      </c>
      <c r="AF46" s="42">
        <f t="shared" si="6"/>
        <v>398561</v>
      </c>
      <c r="AG46" s="42">
        <f t="shared" si="7"/>
        <v>7108149</v>
      </c>
    </row>
    <row r="47" spans="1:33">
      <c r="A47" s="1" t="s">
        <v>3</v>
      </c>
      <c r="B47" s="28" t="s">
        <v>101</v>
      </c>
      <c r="C47" s="53">
        <v>15300</v>
      </c>
      <c r="D47" s="17">
        <v>16320</v>
      </c>
      <c r="E47" s="17">
        <v>19380</v>
      </c>
      <c r="F47" s="17">
        <v>19380</v>
      </c>
      <c r="G47" s="17">
        <v>19380</v>
      </c>
      <c r="H47" s="17">
        <v>16320</v>
      </c>
      <c r="I47" s="17">
        <v>15300</v>
      </c>
      <c r="J47" s="17">
        <v>15300</v>
      </c>
      <c r="K47" s="17">
        <v>19380</v>
      </c>
      <c r="L47" s="17">
        <v>18360</v>
      </c>
      <c r="M47" s="17">
        <v>19380</v>
      </c>
      <c r="N47" s="17">
        <v>15300</v>
      </c>
      <c r="O47" s="17">
        <v>16320</v>
      </c>
      <c r="P47" s="17">
        <v>14280</v>
      </c>
      <c r="Q47" s="17">
        <v>16320</v>
      </c>
      <c r="R47" s="17">
        <v>13260</v>
      </c>
      <c r="S47" s="65">
        <v>0</v>
      </c>
      <c r="T47" s="76">
        <f t="shared" si="4"/>
        <v>269280</v>
      </c>
      <c r="U47" s="17">
        <v>18360</v>
      </c>
      <c r="V47" s="17">
        <v>20910</v>
      </c>
      <c r="W47" s="17">
        <v>13260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65">
        <v>6834</v>
      </c>
      <c r="AD47" s="76">
        <f t="shared" si="5"/>
        <v>59364</v>
      </c>
      <c r="AE47" s="18">
        <v>19380</v>
      </c>
      <c r="AF47" s="39">
        <f t="shared" si="6"/>
        <v>19380</v>
      </c>
      <c r="AG47" s="39">
        <f t="shared" si="7"/>
        <v>348024</v>
      </c>
    </row>
    <row r="48" spans="1:33">
      <c r="A48" s="1" t="s">
        <v>3</v>
      </c>
      <c r="B48" s="29" t="s">
        <v>102</v>
      </c>
      <c r="C48" s="54">
        <v>2700</v>
      </c>
      <c r="D48" s="9">
        <v>2880</v>
      </c>
      <c r="E48" s="9">
        <v>3420</v>
      </c>
      <c r="F48" s="9">
        <v>3420</v>
      </c>
      <c r="G48" s="9">
        <v>0</v>
      </c>
      <c r="H48" s="9">
        <v>2880</v>
      </c>
      <c r="I48" s="9">
        <v>2700</v>
      </c>
      <c r="J48" s="9">
        <v>2700</v>
      </c>
      <c r="K48" s="9">
        <v>3420</v>
      </c>
      <c r="L48" s="9">
        <v>3240</v>
      </c>
      <c r="M48" s="9">
        <v>3420</v>
      </c>
      <c r="N48" s="9">
        <v>2700</v>
      </c>
      <c r="O48" s="9">
        <v>2880</v>
      </c>
      <c r="P48" s="9">
        <v>2520</v>
      </c>
      <c r="Q48" s="9">
        <v>2880</v>
      </c>
      <c r="R48" s="9">
        <v>2340</v>
      </c>
      <c r="S48" s="66">
        <v>0</v>
      </c>
      <c r="T48" s="77">
        <f t="shared" si="4"/>
        <v>44100</v>
      </c>
      <c r="U48" s="9">
        <v>3240</v>
      </c>
      <c r="V48" s="9">
        <v>3690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66">
        <v>0</v>
      </c>
      <c r="AD48" s="77">
        <f t="shared" si="5"/>
        <v>6930</v>
      </c>
      <c r="AE48" s="10">
        <v>3420</v>
      </c>
      <c r="AF48" s="40">
        <f t="shared" si="6"/>
        <v>3420</v>
      </c>
      <c r="AG48" s="40">
        <f t="shared" si="7"/>
        <v>54450</v>
      </c>
    </row>
    <row r="49" spans="1:33">
      <c r="A49" s="1" t="s">
        <v>3</v>
      </c>
      <c r="B49" s="29" t="s">
        <v>103</v>
      </c>
      <c r="C49" s="54">
        <v>27450</v>
      </c>
      <c r="D49" s="9">
        <v>29280</v>
      </c>
      <c r="E49" s="9">
        <v>34770</v>
      </c>
      <c r="F49" s="9">
        <v>34770</v>
      </c>
      <c r="G49" s="9">
        <v>34770</v>
      </c>
      <c r="H49" s="9">
        <v>29280</v>
      </c>
      <c r="I49" s="9">
        <v>27450</v>
      </c>
      <c r="J49" s="9">
        <v>27450</v>
      </c>
      <c r="K49" s="9">
        <v>34770</v>
      </c>
      <c r="L49" s="9">
        <v>32940</v>
      </c>
      <c r="M49" s="9">
        <v>34770</v>
      </c>
      <c r="N49" s="9">
        <v>27450</v>
      </c>
      <c r="O49" s="9">
        <v>29280</v>
      </c>
      <c r="P49" s="9">
        <v>25620</v>
      </c>
      <c r="Q49" s="9">
        <v>29280</v>
      </c>
      <c r="R49" s="9">
        <v>23790</v>
      </c>
      <c r="S49" s="66">
        <v>0</v>
      </c>
      <c r="T49" s="77">
        <f t="shared" si="4"/>
        <v>483120</v>
      </c>
      <c r="U49" s="9">
        <v>32940</v>
      </c>
      <c r="V49" s="9">
        <v>37515</v>
      </c>
      <c r="W49" s="9">
        <v>23790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66">
        <v>12261</v>
      </c>
      <c r="AD49" s="77">
        <f t="shared" si="5"/>
        <v>106506</v>
      </c>
      <c r="AE49" s="10">
        <v>34770</v>
      </c>
      <c r="AF49" s="40">
        <f t="shared" si="6"/>
        <v>34770</v>
      </c>
      <c r="AG49" s="40">
        <f t="shared" si="7"/>
        <v>624396</v>
      </c>
    </row>
    <row r="50" spans="1:33">
      <c r="A50" s="1" t="s">
        <v>3</v>
      </c>
      <c r="B50" s="31" t="s">
        <v>104</v>
      </c>
      <c r="C50" s="55">
        <v>1536</v>
      </c>
      <c r="D50" s="21">
        <v>96</v>
      </c>
      <c r="E50" s="21">
        <v>2074</v>
      </c>
      <c r="F50" s="21">
        <v>2008</v>
      </c>
      <c r="G50" s="21">
        <v>2168</v>
      </c>
      <c r="H50" s="21">
        <v>1731</v>
      </c>
      <c r="I50" s="21">
        <v>1635</v>
      </c>
      <c r="J50" s="21">
        <v>1705</v>
      </c>
      <c r="K50" s="21">
        <v>1885</v>
      </c>
      <c r="L50" s="21">
        <v>1864</v>
      </c>
      <c r="M50" s="21">
        <v>2031</v>
      </c>
      <c r="N50" s="21">
        <v>1763</v>
      </c>
      <c r="O50" s="21">
        <v>1864</v>
      </c>
      <c r="P50" s="21">
        <v>1894</v>
      </c>
      <c r="Q50" s="21">
        <v>1655</v>
      </c>
      <c r="R50" s="21">
        <v>1547</v>
      </c>
      <c r="S50" s="67">
        <v>158</v>
      </c>
      <c r="T50" s="78">
        <f t="shared" si="4"/>
        <v>27614</v>
      </c>
      <c r="U50" s="21">
        <v>2058</v>
      </c>
      <c r="V50" s="21">
        <v>1994</v>
      </c>
      <c r="W50" s="21">
        <v>1706</v>
      </c>
      <c r="X50" s="21">
        <v>0</v>
      </c>
      <c r="Y50" s="21">
        <v>472</v>
      </c>
      <c r="Z50" s="21">
        <v>704</v>
      </c>
      <c r="AA50" s="21">
        <v>0</v>
      </c>
      <c r="AB50" s="21">
        <v>586</v>
      </c>
      <c r="AC50" s="67">
        <v>979</v>
      </c>
      <c r="AD50" s="78">
        <f t="shared" si="5"/>
        <v>8499</v>
      </c>
      <c r="AE50" s="22">
        <v>2192</v>
      </c>
      <c r="AF50" s="41">
        <f t="shared" si="6"/>
        <v>2192</v>
      </c>
      <c r="AG50" s="41">
        <f t="shared" si="7"/>
        <v>38305</v>
      </c>
    </row>
    <row r="51" spans="1:33">
      <c r="A51" s="1" t="s">
        <v>3</v>
      </c>
      <c r="B51" s="32" t="s">
        <v>105</v>
      </c>
      <c r="C51" s="56">
        <v>46986</v>
      </c>
      <c r="D51" s="23">
        <v>48576</v>
      </c>
      <c r="E51" s="23">
        <v>59644</v>
      </c>
      <c r="F51" s="23">
        <v>59578</v>
      </c>
      <c r="G51" s="23">
        <v>56318</v>
      </c>
      <c r="H51" s="23">
        <v>50211</v>
      </c>
      <c r="I51" s="23">
        <v>47085</v>
      </c>
      <c r="J51" s="23">
        <v>47155</v>
      </c>
      <c r="K51" s="23">
        <v>59455</v>
      </c>
      <c r="L51" s="23">
        <v>56404</v>
      </c>
      <c r="M51" s="23">
        <v>59601</v>
      </c>
      <c r="N51" s="23">
        <v>47213</v>
      </c>
      <c r="O51" s="23">
        <v>50344</v>
      </c>
      <c r="P51" s="23">
        <v>44314</v>
      </c>
      <c r="Q51" s="23">
        <v>50135</v>
      </c>
      <c r="R51" s="23">
        <v>40937</v>
      </c>
      <c r="S51" s="68">
        <v>158</v>
      </c>
      <c r="T51" s="79">
        <f t="shared" si="4"/>
        <v>824114</v>
      </c>
      <c r="U51" s="23">
        <v>56598</v>
      </c>
      <c r="V51" s="23">
        <v>64109</v>
      </c>
      <c r="W51" s="23">
        <v>38756</v>
      </c>
      <c r="X51" s="23">
        <v>0</v>
      </c>
      <c r="Y51" s="23">
        <v>472</v>
      </c>
      <c r="Z51" s="23">
        <v>704</v>
      </c>
      <c r="AA51" s="23">
        <v>0</v>
      </c>
      <c r="AB51" s="23">
        <v>586</v>
      </c>
      <c r="AC51" s="68">
        <v>20074</v>
      </c>
      <c r="AD51" s="79">
        <f t="shared" si="5"/>
        <v>181299</v>
      </c>
      <c r="AE51" s="24">
        <v>59762</v>
      </c>
      <c r="AF51" s="42">
        <f t="shared" si="6"/>
        <v>59762</v>
      </c>
      <c r="AG51" s="42">
        <f t="shared" si="7"/>
        <v>1065175</v>
      </c>
    </row>
    <row r="52" spans="1:33">
      <c r="A52" s="1" t="s">
        <v>3</v>
      </c>
      <c r="B52" s="28" t="s">
        <v>106</v>
      </c>
      <c r="C52" s="53">
        <v>3770</v>
      </c>
      <c r="D52" s="17">
        <v>0</v>
      </c>
      <c r="E52" s="17">
        <v>7190</v>
      </c>
      <c r="F52" s="17">
        <v>8530</v>
      </c>
      <c r="G52" s="17">
        <v>11220</v>
      </c>
      <c r="H52" s="17">
        <v>6970</v>
      </c>
      <c r="I52" s="17">
        <v>4890</v>
      </c>
      <c r="J52" s="17">
        <v>6880</v>
      </c>
      <c r="K52" s="17">
        <v>7530</v>
      </c>
      <c r="L52" s="17">
        <v>7390</v>
      </c>
      <c r="M52" s="17">
        <v>1980</v>
      </c>
      <c r="N52" s="17">
        <v>6950</v>
      </c>
      <c r="O52" s="17">
        <v>7590</v>
      </c>
      <c r="P52" s="17">
        <v>8010</v>
      </c>
      <c r="Q52" s="17">
        <v>6480</v>
      </c>
      <c r="R52" s="17">
        <v>5780</v>
      </c>
      <c r="S52" s="65">
        <v>0</v>
      </c>
      <c r="T52" s="76">
        <f t="shared" si="4"/>
        <v>101160</v>
      </c>
      <c r="U52" s="17">
        <v>7290</v>
      </c>
      <c r="V52" s="17">
        <v>6450</v>
      </c>
      <c r="W52" s="17">
        <v>7000</v>
      </c>
      <c r="X52" s="17">
        <v>0</v>
      </c>
      <c r="Y52" s="17">
        <v>0</v>
      </c>
      <c r="Z52" s="17">
        <v>1970</v>
      </c>
      <c r="AA52" s="17">
        <v>0</v>
      </c>
      <c r="AB52" s="17">
        <v>0</v>
      </c>
      <c r="AC52" s="65">
        <v>1120</v>
      </c>
      <c r="AD52" s="76">
        <f t="shared" si="5"/>
        <v>23830</v>
      </c>
      <c r="AE52" s="18">
        <v>10850</v>
      </c>
      <c r="AF52" s="39">
        <f t="shared" si="6"/>
        <v>10850</v>
      </c>
      <c r="AG52" s="39">
        <f t="shared" si="7"/>
        <v>135840</v>
      </c>
    </row>
    <row r="53" spans="1:33">
      <c r="A53" s="1" t="s">
        <v>3</v>
      </c>
      <c r="B53" s="29" t="s">
        <v>107</v>
      </c>
      <c r="C53" s="54">
        <v>1300</v>
      </c>
      <c r="D53" s="9">
        <v>1300</v>
      </c>
      <c r="E53" s="9">
        <v>1300</v>
      </c>
      <c r="F53" s="9">
        <v>0</v>
      </c>
      <c r="G53" s="9">
        <v>1300</v>
      </c>
      <c r="H53" s="9">
        <v>1300</v>
      </c>
      <c r="I53" s="9">
        <v>1300</v>
      </c>
      <c r="J53" s="9">
        <v>1300</v>
      </c>
      <c r="K53" s="9">
        <v>1300</v>
      </c>
      <c r="L53" s="9">
        <v>1300</v>
      </c>
      <c r="M53" s="9">
        <v>1300</v>
      </c>
      <c r="N53" s="9">
        <v>1300</v>
      </c>
      <c r="O53" s="9">
        <v>1300</v>
      </c>
      <c r="P53" s="9">
        <v>1300</v>
      </c>
      <c r="Q53" s="9">
        <v>0</v>
      </c>
      <c r="R53" s="9">
        <v>0</v>
      </c>
      <c r="S53" s="66">
        <v>0</v>
      </c>
      <c r="T53" s="77">
        <f t="shared" si="4"/>
        <v>16900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66">
        <v>0</v>
      </c>
      <c r="AD53" s="77">
        <f t="shared" si="5"/>
        <v>0</v>
      </c>
      <c r="AE53" s="10">
        <v>0</v>
      </c>
      <c r="AF53" s="40">
        <f t="shared" si="6"/>
        <v>0</v>
      </c>
      <c r="AG53" s="40">
        <f t="shared" si="7"/>
        <v>16900</v>
      </c>
    </row>
    <row r="54" spans="1:33">
      <c r="A54" s="1" t="s">
        <v>3</v>
      </c>
      <c r="B54" s="29" t="s">
        <v>108</v>
      </c>
      <c r="C54" s="54">
        <v>8100</v>
      </c>
      <c r="D54" s="9">
        <v>13800</v>
      </c>
      <c r="E54" s="9">
        <v>20000</v>
      </c>
      <c r="F54" s="9">
        <v>17800</v>
      </c>
      <c r="G54" s="9">
        <v>14100</v>
      </c>
      <c r="H54" s="9">
        <v>12800</v>
      </c>
      <c r="I54" s="9">
        <v>10300</v>
      </c>
      <c r="J54" s="9">
        <v>13200</v>
      </c>
      <c r="K54" s="9">
        <v>15400</v>
      </c>
      <c r="L54" s="9">
        <v>14900</v>
      </c>
      <c r="M54" s="9">
        <v>1100</v>
      </c>
      <c r="N54" s="9">
        <v>0</v>
      </c>
      <c r="O54" s="9">
        <v>7800</v>
      </c>
      <c r="P54" s="9">
        <v>11700</v>
      </c>
      <c r="Q54" s="9">
        <v>11800</v>
      </c>
      <c r="R54" s="9">
        <v>0</v>
      </c>
      <c r="S54" s="66">
        <v>0</v>
      </c>
      <c r="T54" s="77">
        <f t="shared" si="4"/>
        <v>172800</v>
      </c>
      <c r="U54" s="9">
        <v>20200</v>
      </c>
      <c r="V54" s="9">
        <v>14600</v>
      </c>
      <c r="W54" s="9">
        <v>7800</v>
      </c>
      <c r="X54" s="9">
        <v>0</v>
      </c>
      <c r="Y54" s="9">
        <v>500</v>
      </c>
      <c r="Z54" s="9">
        <v>2300</v>
      </c>
      <c r="AA54" s="9">
        <v>0</v>
      </c>
      <c r="AB54" s="9">
        <v>2600</v>
      </c>
      <c r="AC54" s="66">
        <v>7100</v>
      </c>
      <c r="AD54" s="77">
        <f t="shared" si="5"/>
        <v>55100</v>
      </c>
      <c r="AE54" s="10">
        <v>21800</v>
      </c>
      <c r="AF54" s="40">
        <f t="shared" si="6"/>
        <v>21800</v>
      </c>
      <c r="AG54" s="40">
        <f t="shared" si="7"/>
        <v>249700</v>
      </c>
    </row>
    <row r="55" spans="1:33">
      <c r="A55" s="1" t="s">
        <v>3</v>
      </c>
      <c r="B55" s="31" t="s">
        <v>109</v>
      </c>
      <c r="C55" s="55">
        <v>0</v>
      </c>
      <c r="D55" s="21">
        <v>-63676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67">
        <v>0</v>
      </c>
      <c r="T55" s="78">
        <f t="shared" si="4"/>
        <v>-63676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67">
        <v>0</v>
      </c>
      <c r="AD55" s="78">
        <f t="shared" si="5"/>
        <v>0</v>
      </c>
      <c r="AE55" s="22">
        <v>0</v>
      </c>
      <c r="AF55" s="41">
        <f t="shared" si="6"/>
        <v>0</v>
      </c>
      <c r="AG55" s="41">
        <f t="shared" si="7"/>
        <v>-63676</v>
      </c>
    </row>
    <row r="56" spans="1:33">
      <c r="A56" s="1" t="s">
        <v>3</v>
      </c>
      <c r="B56" s="32" t="s">
        <v>110</v>
      </c>
      <c r="C56" s="56">
        <v>60156</v>
      </c>
      <c r="D56" s="23">
        <v>0</v>
      </c>
      <c r="E56" s="23">
        <v>88134</v>
      </c>
      <c r="F56" s="23">
        <v>85908</v>
      </c>
      <c r="G56" s="23">
        <v>82938</v>
      </c>
      <c r="H56" s="23">
        <v>71281</v>
      </c>
      <c r="I56" s="23">
        <v>63575</v>
      </c>
      <c r="J56" s="23">
        <v>68535</v>
      </c>
      <c r="K56" s="23">
        <v>83685</v>
      </c>
      <c r="L56" s="23">
        <v>79994</v>
      </c>
      <c r="M56" s="23">
        <v>63981</v>
      </c>
      <c r="N56" s="23">
        <v>55463</v>
      </c>
      <c r="O56" s="23">
        <v>67034</v>
      </c>
      <c r="P56" s="23">
        <v>65324</v>
      </c>
      <c r="Q56" s="23">
        <v>68415</v>
      </c>
      <c r="R56" s="23">
        <v>46717</v>
      </c>
      <c r="S56" s="68">
        <v>158</v>
      </c>
      <c r="T56" s="79">
        <f t="shared" si="4"/>
        <v>1051298</v>
      </c>
      <c r="U56" s="23">
        <v>84088</v>
      </c>
      <c r="V56" s="23">
        <v>85159</v>
      </c>
      <c r="W56" s="23">
        <v>53556</v>
      </c>
      <c r="X56" s="23">
        <v>0</v>
      </c>
      <c r="Y56" s="23">
        <v>972</v>
      </c>
      <c r="Z56" s="23">
        <v>4974</v>
      </c>
      <c r="AA56" s="23">
        <v>0</v>
      </c>
      <c r="AB56" s="23">
        <v>3186</v>
      </c>
      <c r="AC56" s="68">
        <v>28294</v>
      </c>
      <c r="AD56" s="79">
        <f t="shared" si="5"/>
        <v>260229</v>
      </c>
      <c r="AE56" s="24">
        <v>92412</v>
      </c>
      <c r="AF56" s="42">
        <f t="shared" si="6"/>
        <v>92412</v>
      </c>
      <c r="AG56" s="42">
        <f t="shared" si="7"/>
        <v>1403939</v>
      </c>
    </row>
    <row r="57" spans="1:33">
      <c r="A57" s="1" t="s">
        <v>3</v>
      </c>
      <c r="B57" s="32" t="s">
        <v>111</v>
      </c>
      <c r="C57" s="56">
        <v>217462</v>
      </c>
      <c r="D57" s="23">
        <v>-31110</v>
      </c>
      <c r="E57" s="23">
        <v>311527</v>
      </c>
      <c r="F57" s="23">
        <v>301839</v>
      </c>
      <c r="G57" s="23">
        <v>334808</v>
      </c>
      <c r="H57" s="23">
        <v>261794</v>
      </c>
      <c r="I57" s="23">
        <v>248785</v>
      </c>
      <c r="J57" s="23">
        <v>259183</v>
      </c>
      <c r="K57" s="23">
        <v>277510</v>
      </c>
      <c r="L57" s="23">
        <v>273491</v>
      </c>
      <c r="M57" s="23">
        <v>302755</v>
      </c>
      <c r="N57" s="23">
        <v>261077</v>
      </c>
      <c r="O57" s="23">
        <v>279180</v>
      </c>
      <c r="P57" s="23">
        <v>290679</v>
      </c>
      <c r="Q57" s="23">
        <v>247886</v>
      </c>
      <c r="R57" s="23">
        <v>228496</v>
      </c>
      <c r="S57" s="68">
        <v>26227</v>
      </c>
      <c r="T57" s="79">
        <f t="shared" si="4"/>
        <v>4091589</v>
      </c>
      <c r="U57" s="23">
        <v>313956</v>
      </c>
      <c r="V57" s="23">
        <v>292331</v>
      </c>
      <c r="W57" s="23">
        <v>262529</v>
      </c>
      <c r="X57" s="23">
        <v>87275</v>
      </c>
      <c r="Y57" s="23">
        <v>82328</v>
      </c>
      <c r="Z57" s="23">
        <v>124486</v>
      </c>
      <c r="AA57" s="23">
        <v>49728</v>
      </c>
      <c r="AB57" s="23">
        <v>101559</v>
      </c>
      <c r="AC57" s="68">
        <v>142031</v>
      </c>
      <c r="AD57" s="79">
        <f t="shared" si="5"/>
        <v>1456223</v>
      </c>
      <c r="AE57" s="24">
        <v>330238</v>
      </c>
      <c r="AF57" s="42">
        <f t="shared" si="6"/>
        <v>330238</v>
      </c>
      <c r="AG57" s="42">
        <f t="shared" si="7"/>
        <v>5878050</v>
      </c>
    </row>
    <row r="58" spans="1:33">
      <c r="A58" s="1" t="s">
        <v>3</v>
      </c>
      <c r="B58" s="32" t="s">
        <v>112</v>
      </c>
      <c r="C58" s="56">
        <v>219180</v>
      </c>
      <c r="D58" s="23">
        <v>17466</v>
      </c>
      <c r="E58" s="23">
        <v>288964</v>
      </c>
      <c r="F58" s="23">
        <v>279231</v>
      </c>
      <c r="G58" s="23">
        <v>311166</v>
      </c>
      <c r="H58" s="23">
        <v>243473</v>
      </c>
      <c r="I58" s="23">
        <v>233727</v>
      </c>
      <c r="J58" s="23">
        <v>241525</v>
      </c>
      <c r="K58" s="23">
        <v>259007</v>
      </c>
      <c r="L58" s="23">
        <v>258834</v>
      </c>
      <c r="M58" s="23">
        <v>305247</v>
      </c>
      <c r="N58" s="23">
        <v>264996</v>
      </c>
      <c r="O58" s="23">
        <v>271795</v>
      </c>
      <c r="P58" s="23">
        <v>278974</v>
      </c>
      <c r="Q58" s="23">
        <v>232584</v>
      </c>
      <c r="R58" s="23">
        <v>234627</v>
      </c>
      <c r="S58" s="68">
        <v>28518</v>
      </c>
      <c r="T58" s="79">
        <f t="shared" si="4"/>
        <v>3969314</v>
      </c>
      <c r="U58" s="23">
        <v>290074</v>
      </c>
      <c r="V58" s="23">
        <v>277466</v>
      </c>
      <c r="W58" s="23">
        <v>256662</v>
      </c>
      <c r="X58" s="23">
        <v>91856</v>
      </c>
      <c r="Y58" s="23">
        <v>84806</v>
      </c>
      <c r="Z58" s="23">
        <v>122936</v>
      </c>
      <c r="AA58" s="23">
        <v>51962</v>
      </c>
      <c r="AB58" s="23">
        <v>103369</v>
      </c>
      <c r="AC58" s="68">
        <v>149616</v>
      </c>
      <c r="AD58" s="79">
        <f t="shared" si="5"/>
        <v>1428747</v>
      </c>
      <c r="AE58" s="24">
        <v>306149</v>
      </c>
      <c r="AF58" s="42">
        <f t="shared" si="6"/>
        <v>306149</v>
      </c>
      <c r="AG58" s="42">
        <f t="shared" si="7"/>
        <v>5704210</v>
      </c>
    </row>
    <row r="59" spans="1:33">
      <c r="A59" s="1" t="s">
        <v>3</v>
      </c>
      <c r="B59" s="32" t="s">
        <v>113</v>
      </c>
      <c r="C59" s="56">
        <v>219180</v>
      </c>
      <c r="D59" s="23">
        <v>17466</v>
      </c>
      <c r="E59" s="23">
        <v>288964</v>
      </c>
      <c r="F59" s="23">
        <v>279231</v>
      </c>
      <c r="G59" s="23">
        <v>311166</v>
      </c>
      <c r="H59" s="23">
        <v>243473</v>
      </c>
      <c r="I59" s="23">
        <v>233727</v>
      </c>
      <c r="J59" s="23">
        <v>241525</v>
      </c>
      <c r="K59" s="23">
        <v>259007</v>
      </c>
      <c r="L59" s="23">
        <v>258834</v>
      </c>
      <c r="M59" s="23">
        <v>305247</v>
      </c>
      <c r="N59" s="23">
        <v>264996</v>
      </c>
      <c r="O59" s="23">
        <v>271795</v>
      </c>
      <c r="P59" s="23">
        <v>278974</v>
      </c>
      <c r="Q59" s="23">
        <v>232584</v>
      </c>
      <c r="R59" s="23">
        <v>234627</v>
      </c>
      <c r="S59" s="68">
        <v>28518</v>
      </c>
      <c r="T59" s="79">
        <f t="shared" si="4"/>
        <v>3969314</v>
      </c>
      <c r="U59" s="23">
        <v>290074</v>
      </c>
      <c r="V59" s="23">
        <v>277466</v>
      </c>
      <c r="W59" s="23">
        <v>256662</v>
      </c>
      <c r="X59" s="23">
        <v>91856</v>
      </c>
      <c r="Y59" s="23">
        <v>84806</v>
      </c>
      <c r="Z59" s="23">
        <v>122936</v>
      </c>
      <c r="AA59" s="23">
        <v>51962</v>
      </c>
      <c r="AB59" s="23">
        <v>103369</v>
      </c>
      <c r="AC59" s="68">
        <v>149616</v>
      </c>
      <c r="AD59" s="79">
        <f t="shared" si="5"/>
        <v>1428747</v>
      </c>
      <c r="AE59" s="24">
        <v>306149</v>
      </c>
      <c r="AF59" s="42">
        <f t="shared" si="6"/>
        <v>306149</v>
      </c>
      <c r="AG59" s="42">
        <f t="shared" si="7"/>
        <v>5704210</v>
      </c>
    </row>
    <row r="60" spans="1:33">
      <c r="A60" s="1" t="s">
        <v>3</v>
      </c>
      <c r="B60" s="28" t="s">
        <v>114</v>
      </c>
      <c r="C60" s="53">
        <v>1</v>
      </c>
      <c r="D60" s="17">
        <v>0</v>
      </c>
      <c r="E60" s="17">
        <v>1</v>
      </c>
      <c r="F60" s="17">
        <v>0</v>
      </c>
      <c r="G60" s="17">
        <v>0</v>
      </c>
      <c r="H60" s="17">
        <v>0</v>
      </c>
      <c r="I60" s="17">
        <v>1</v>
      </c>
      <c r="J60" s="17">
        <v>0</v>
      </c>
      <c r="K60" s="17">
        <v>0</v>
      </c>
      <c r="L60" s="17">
        <v>0</v>
      </c>
      <c r="M60" s="17">
        <v>4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65">
        <v>0</v>
      </c>
      <c r="T60" s="76"/>
      <c r="U60" s="17">
        <v>1</v>
      </c>
      <c r="V60" s="17">
        <v>1</v>
      </c>
      <c r="W60" s="17">
        <v>0</v>
      </c>
      <c r="X60" s="17">
        <v>1</v>
      </c>
      <c r="Y60" s="17">
        <v>0</v>
      </c>
      <c r="Z60" s="17">
        <v>0</v>
      </c>
      <c r="AA60" s="17">
        <v>1</v>
      </c>
      <c r="AB60" s="17">
        <v>1</v>
      </c>
      <c r="AC60" s="65">
        <v>1</v>
      </c>
      <c r="AD60" s="76"/>
      <c r="AE60" s="18">
        <v>0</v>
      </c>
      <c r="AF60" s="39"/>
      <c r="AG60" s="39"/>
    </row>
    <row r="61" spans="1:33">
      <c r="A61" s="1" t="s">
        <v>3</v>
      </c>
      <c r="B61" s="29" t="s">
        <v>115</v>
      </c>
      <c r="C61" s="57" t="s">
        <v>116</v>
      </c>
      <c r="D61" s="11" t="s">
        <v>116</v>
      </c>
      <c r="E61" s="11" t="s">
        <v>116</v>
      </c>
      <c r="F61" s="11" t="s">
        <v>116</v>
      </c>
      <c r="G61" s="11" t="s">
        <v>116</v>
      </c>
      <c r="H61" s="11" t="s">
        <v>116</v>
      </c>
      <c r="I61" s="11" t="s">
        <v>116</v>
      </c>
      <c r="J61" s="11" t="s">
        <v>116</v>
      </c>
      <c r="K61" s="11" t="s">
        <v>116</v>
      </c>
      <c r="L61" s="11" t="s">
        <v>116</v>
      </c>
      <c r="M61" s="11" t="s">
        <v>116</v>
      </c>
      <c r="N61" s="11" t="s">
        <v>116</v>
      </c>
      <c r="O61" s="11" t="s">
        <v>116</v>
      </c>
      <c r="P61" s="11" t="s">
        <v>116</v>
      </c>
      <c r="Q61" s="11" t="s">
        <v>116</v>
      </c>
      <c r="R61" s="11" t="s">
        <v>116</v>
      </c>
      <c r="S61" s="69" t="s">
        <v>116</v>
      </c>
      <c r="T61" s="80"/>
      <c r="U61" s="11" t="s">
        <v>116</v>
      </c>
      <c r="V61" s="11" t="s">
        <v>116</v>
      </c>
      <c r="W61" s="11" t="s">
        <v>116</v>
      </c>
      <c r="X61" s="11" t="s">
        <v>116</v>
      </c>
      <c r="Y61" s="11" t="s">
        <v>116</v>
      </c>
      <c r="Z61" s="11" t="s">
        <v>116</v>
      </c>
      <c r="AA61" s="11" t="s">
        <v>116</v>
      </c>
      <c r="AB61" s="11" t="s">
        <v>116</v>
      </c>
      <c r="AC61" s="69" t="s">
        <v>116</v>
      </c>
      <c r="AD61" s="80"/>
      <c r="AE61" s="12" t="s">
        <v>116</v>
      </c>
      <c r="AF61" s="43"/>
      <c r="AG61" s="43"/>
    </row>
    <row r="62" spans="1:33" ht="19.5" thickBot="1">
      <c r="A62" s="1" t="s">
        <v>3</v>
      </c>
      <c r="B62" s="33" t="s">
        <v>117</v>
      </c>
      <c r="C62" s="58">
        <v>3770</v>
      </c>
      <c r="D62" s="13">
        <v>0</v>
      </c>
      <c r="E62" s="13">
        <v>7190</v>
      </c>
      <c r="F62" s="13">
        <v>8530</v>
      </c>
      <c r="G62" s="13">
        <v>11220</v>
      </c>
      <c r="H62" s="13">
        <v>6970</v>
      </c>
      <c r="I62" s="13">
        <v>4890</v>
      </c>
      <c r="J62" s="13">
        <v>6880</v>
      </c>
      <c r="K62" s="13">
        <v>7530</v>
      </c>
      <c r="L62" s="13">
        <v>7390</v>
      </c>
      <c r="M62" s="13">
        <v>1980</v>
      </c>
      <c r="N62" s="13">
        <v>6950</v>
      </c>
      <c r="O62" s="13">
        <v>7590</v>
      </c>
      <c r="P62" s="13">
        <v>8010</v>
      </c>
      <c r="Q62" s="13">
        <v>6480</v>
      </c>
      <c r="R62" s="13">
        <v>5780</v>
      </c>
      <c r="S62" s="70">
        <v>0</v>
      </c>
      <c r="T62" s="81">
        <f>SUM(C62:S62)</f>
        <v>101160</v>
      </c>
      <c r="U62" s="13">
        <v>7290</v>
      </c>
      <c r="V62" s="13">
        <v>6450</v>
      </c>
      <c r="W62" s="13">
        <v>7000</v>
      </c>
      <c r="X62" s="13">
        <v>0</v>
      </c>
      <c r="Y62" s="13">
        <v>0</v>
      </c>
      <c r="Z62" s="13">
        <v>1970</v>
      </c>
      <c r="AA62" s="13">
        <v>0</v>
      </c>
      <c r="AB62" s="13">
        <v>0</v>
      </c>
      <c r="AC62" s="70">
        <v>1120</v>
      </c>
      <c r="AD62" s="81">
        <f>SUM(U62:AC62)</f>
        <v>23830</v>
      </c>
      <c r="AE62" s="14">
        <v>10850</v>
      </c>
      <c r="AF62" s="44">
        <f>AE62</f>
        <v>10850</v>
      </c>
      <c r="AG62" s="44">
        <f>T62+AD62+AF62</f>
        <v>135840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B6DB-0328-41A3-A8EC-D988C06CC2AD}">
  <dimension ref="A1:O62"/>
  <sheetViews>
    <sheetView showZeros="0" tabSelected="1" workbookViewId="0">
      <pane xSplit="2" ySplit="8" topLeftCell="C55" activePane="bottomRight" state="frozen"/>
      <selection pane="bottomRight" activeCell="L30" sqref="L30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13.25" style="2" bestFit="1" customWidth="1"/>
    <col min="5" max="10" width="11.125" style="2" bestFit="1" customWidth="1"/>
    <col min="11" max="11" width="9" style="2" bestFit="1" customWidth="1"/>
    <col min="12" max="12" width="9.625" style="2" bestFit="1" customWidth="1"/>
    <col min="13" max="13" width="11.125" style="2" bestFit="1" customWidth="1"/>
    <col min="14" max="15" width="9.625" style="2" bestFit="1" customWidth="1"/>
    <col min="16" max="241" width="9" style="2"/>
    <col min="242" max="242" width="2.375" style="2" customWidth="1"/>
    <col min="243" max="243" width="13.25" style="2" bestFit="1" customWidth="1"/>
    <col min="244" max="245" width="11.125" style="2" bestFit="1" customWidth="1"/>
    <col min="246" max="246" width="13.25" style="2" bestFit="1" customWidth="1"/>
    <col min="247" max="247" width="11.125" style="2" bestFit="1" customWidth="1"/>
    <col min="248" max="248" width="9" style="2"/>
    <col min="249" max="259" width="11.125" style="2" bestFit="1" customWidth="1"/>
    <col min="260" max="260" width="9" style="2"/>
    <col min="261" max="262" width="11.125" style="2" bestFit="1" customWidth="1"/>
    <col min="263" max="264" width="9" style="2"/>
    <col min="265" max="269" width="11.125" style="2" bestFit="1" customWidth="1"/>
    <col min="270" max="270" width="9" style="2"/>
    <col min="271" max="271" width="9.625" style="2" bestFit="1" customWidth="1"/>
    <col min="272" max="497" width="9" style="2"/>
    <col min="498" max="498" width="2.375" style="2" customWidth="1"/>
    <col min="499" max="499" width="13.25" style="2" bestFit="1" customWidth="1"/>
    <col min="500" max="501" width="11.125" style="2" bestFit="1" customWidth="1"/>
    <col min="502" max="502" width="13.25" style="2" bestFit="1" customWidth="1"/>
    <col min="503" max="503" width="11.125" style="2" bestFit="1" customWidth="1"/>
    <col min="504" max="504" width="9" style="2"/>
    <col min="505" max="515" width="11.125" style="2" bestFit="1" customWidth="1"/>
    <col min="516" max="516" width="9" style="2"/>
    <col min="517" max="518" width="11.125" style="2" bestFit="1" customWidth="1"/>
    <col min="519" max="520" width="9" style="2"/>
    <col min="521" max="525" width="11.125" style="2" bestFit="1" customWidth="1"/>
    <col min="526" max="526" width="9" style="2"/>
    <col min="527" max="527" width="9.625" style="2" bestFit="1" customWidth="1"/>
    <col min="528" max="753" width="9" style="2"/>
    <col min="754" max="754" width="2.375" style="2" customWidth="1"/>
    <col min="755" max="755" width="13.25" style="2" bestFit="1" customWidth="1"/>
    <col min="756" max="757" width="11.125" style="2" bestFit="1" customWidth="1"/>
    <col min="758" max="758" width="13.25" style="2" bestFit="1" customWidth="1"/>
    <col min="759" max="759" width="11.125" style="2" bestFit="1" customWidth="1"/>
    <col min="760" max="760" width="9" style="2"/>
    <col min="761" max="771" width="11.125" style="2" bestFit="1" customWidth="1"/>
    <col min="772" max="772" width="9" style="2"/>
    <col min="773" max="774" width="11.125" style="2" bestFit="1" customWidth="1"/>
    <col min="775" max="776" width="9" style="2"/>
    <col min="777" max="781" width="11.125" style="2" bestFit="1" customWidth="1"/>
    <col min="782" max="782" width="9" style="2"/>
    <col min="783" max="783" width="9.625" style="2" bestFit="1" customWidth="1"/>
    <col min="784" max="1009" width="9" style="2"/>
    <col min="1010" max="1010" width="2.375" style="2" customWidth="1"/>
    <col min="1011" max="1011" width="13.25" style="2" bestFit="1" customWidth="1"/>
    <col min="1012" max="1013" width="11.125" style="2" bestFit="1" customWidth="1"/>
    <col min="1014" max="1014" width="13.25" style="2" bestFit="1" customWidth="1"/>
    <col min="1015" max="1015" width="11.125" style="2" bestFit="1" customWidth="1"/>
    <col min="1016" max="1016" width="9" style="2"/>
    <col min="1017" max="1027" width="11.125" style="2" bestFit="1" customWidth="1"/>
    <col min="1028" max="1028" width="9" style="2"/>
    <col min="1029" max="1030" width="11.125" style="2" bestFit="1" customWidth="1"/>
    <col min="1031" max="1032" width="9" style="2"/>
    <col min="1033" max="1037" width="11.125" style="2" bestFit="1" customWidth="1"/>
    <col min="1038" max="1038" width="9" style="2"/>
    <col min="1039" max="1039" width="9.625" style="2" bestFit="1" customWidth="1"/>
    <col min="1040" max="1265" width="9" style="2"/>
    <col min="1266" max="1266" width="2.375" style="2" customWidth="1"/>
    <col min="1267" max="1267" width="13.25" style="2" bestFit="1" customWidth="1"/>
    <col min="1268" max="1269" width="11.125" style="2" bestFit="1" customWidth="1"/>
    <col min="1270" max="1270" width="13.25" style="2" bestFit="1" customWidth="1"/>
    <col min="1271" max="1271" width="11.125" style="2" bestFit="1" customWidth="1"/>
    <col min="1272" max="1272" width="9" style="2"/>
    <col min="1273" max="1283" width="11.125" style="2" bestFit="1" customWidth="1"/>
    <col min="1284" max="1284" width="9" style="2"/>
    <col min="1285" max="1286" width="11.125" style="2" bestFit="1" customWidth="1"/>
    <col min="1287" max="1288" width="9" style="2"/>
    <col min="1289" max="1293" width="11.125" style="2" bestFit="1" customWidth="1"/>
    <col min="1294" max="1294" width="9" style="2"/>
    <col min="1295" max="1295" width="9.625" style="2" bestFit="1" customWidth="1"/>
    <col min="1296" max="1521" width="9" style="2"/>
    <col min="1522" max="1522" width="2.375" style="2" customWidth="1"/>
    <col min="1523" max="1523" width="13.25" style="2" bestFit="1" customWidth="1"/>
    <col min="1524" max="1525" width="11.125" style="2" bestFit="1" customWidth="1"/>
    <col min="1526" max="1526" width="13.25" style="2" bestFit="1" customWidth="1"/>
    <col min="1527" max="1527" width="11.125" style="2" bestFit="1" customWidth="1"/>
    <col min="1528" max="1528" width="9" style="2"/>
    <col min="1529" max="1539" width="11.125" style="2" bestFit="1" customWidth="1"/>
    <col min="1540" max="1540" width="9" style="2"/>
    <col min="1541" max="1542" width="11.125" style="2" bestFit="1" customWidth="1"/>
    <col min="1543" max="1544" width="9" style="2"/>
    <col min="1545" max="1549" width="11.125" style="2" bestFit="1" customWidth="1"/>
    <col min="1550" max="1550" width="9" style="2"/>
    <col min="1551" max="1551" width="9.625" style="2" bestFit="1" customWidth="1"/>
    <col min="1552" max="1777" width="9" style="2"/>
    <col min="1778" max="1778" width="2.375" style="2" customWidth="1"/>
    <col min="1779" max="1779" width="13.25" style="2" bestFit="1" customWidth="1"/>
    <col min="1780" max="1781" width="11.125" style="2" bestFit="1" customWidth="1"/>
    <col min="1782" max="1782" width="13.25" style="2" bestFit="1" customWidth="1"/>
    <col min="1783" max="1783" width="11.125" style="2" bestFit="1" customWidth="1"/>
    <col min="1784" max="1784" width="9" style="2"/>
    <col min="1785" max="1795" width="11.125" style="2" bestFit="1" customWidth="1"/>
    <col min="1796" max="1796" width="9" style="2"/>
    <col min="1797" max="1798" width="11.125" style="2" bestFit="1" customWidth="1"/>
    <col min="1799" max="1800" width="9" style="2"/>
    <col min="1801" max="1805" width="11.125" style="2" bestFit="1" customWidth="1"/>
    <col min="1806" max="1806" width="9" style="2"/>
    <col min="1807" max="1807" width="9.625" style="2" bestFit="1" customWidth="1"/>
    <col min="1808" max="2033" width="9" style="2"/>
    <col min="2034" max="2034" width="2.375" style="2" customWidth="1"/>
    <col min="2035" max="2035" width="13.25" style="2" bestFit="1" customWidth="1"/>
    <col min="2036" max="2037" width="11.125" style="2" bestFit="1" customWidth="1"/>
    <col min="2038" max="2038" width="13.25" style="2" bestFit="1" customWidth="1"/>
    <col min="2039" max="2039" width="11.125" style="2" bestFit="1" customWidth="1"/>
    <col min="2040" max="2040" width="9" style="2"/>
    <col min="2041" max="2051" width="11.125" style="2" bestFit="1" customWidth="1"/>
    <col min="2052" max="2052" width="9" style="2"/>
    <col min="2053" max="2054" width="11.125" style="2" bestFit="1" customWidth="1"/>
    <col min="2055" max="2056" width="9" style="2"/>
    <col min="2057" max="2061" width="11.125" style="2" bestFit="1" customWidth="1"/>
    <col min="2062" max="2062" width="9" style="2"/>
    <col min="2063" max="2063" width="9.625" style="2" bestFit="1" customWidth="1"/>
    <col min="2064" max="2289" width="9" style="2"/>
    <col min="2290" max="2290" width="2.375" style="2" customWidth="1"/>
    <col min="2291" max="2291" width="13.25" style="2" bestFit="1" customWidth="1"/>
    <col min="2292" max="2293" width="11.125" style="2" bestFit="1" customWidth="1"/>
    <col min="2294" max="2294" width="13.25" style="2" bestFit="1" customWidth="1"/>
    <col min="2295" max="2295" width="11.125" style="2" bestFit="1" customWidth="1"/>
    <col min="2296" max="2296" width="9" style="2"/>
    <col min="2297" max="2307" width="11.125" style="2" bestFit="1" customWidth="1"/>
    <col min="2308" max="2308" width="9" style="2"/>
    <col min="2309" max="2310" width="11.125" style="2" bestFit="1" customWidth="1"/>
    <col min="2311" max="2312" width="9" style="2"/>
    <col min="2313" max="2317" width="11.125" style="2" bestFit="1" customWidth="1"/>
    <col min="2318" max="2318" width="9" style="2"/>
    <col min="2319" max="2319" width="9.625" style="2" bestFit="1" customWidth="1"/>
    <col min="2320" max="2545" width="9" style="2"/>
    <col min="2546" max="2546" width="2.375" style="2" customWidth="1"/>
    <col min="2547" max="2547" width="13.25" style="2" bestFit="1" customWidth="1"/>
    <col min="2548" max="2549" width="11.125" style="2" bestFit="1" customWidth="1"/>
    <col min="2550" max="2550" width="13.25" style="2" bestFit="1" customWidth="1"/>
    <col min="2551" max="2551" width="11.125" style="2" bestFit="1" customWidth="1"/>
    <col min="2552" max="2552" width="9" style="2"/>
    <col min="2553" max="2563" width="11.125" style="2" bestFit="1" customWidth="1"/>
    <col min="2564" max="2564" width="9" style="2"/>
    <col min="2565" max="2566" width="11.125" style="2" bestFit="1" customWidth="1"/>
    <col min="2567" max="2568" width="9" style="2"/>
    <col min="2569" max="2573" width="11.125" style="2" bestFit="1" customWidth="1"/>
    <col min="2574" max="2574" width="9" style="2"/>
    <col min="2575" max="2575" width="9.625" style="2" bestFit="1" customWidth="1"/>
    <col min="2576" max="2801" width="9" style="2"/>
    <col min="2802" max="2802" width="2.375" style="2" customWidth="1"/>
    <col min="2803" max="2803" width="13.25" style="2" bestFit="1" customWidth="1"/>
    <col min="2804" max="2805" width="11.125" style="2" bestFit="1" customWidth="1"/>
    <col min="2806" max="2806" width="13.25" style="2" bestFit="1" customWidth="1"/>
    <col min="2807" max="2807" width="11.125" style="2" bestFit="1" customWidth="1"/>
    <col min="2808" max="2808" width="9" style="2"/>
    <col min="2809" max="2819" width="11.125" style="2" bestFit="1" customWidth="1"/>
    <col min="2820" max="2820" width="9" style="2"/>
    <col min="2821" max="2822" width="11.125" style="2" bestFit="1" customWidth="1"/>
    <col min="2823" max="2824" width="9" style="2"/>
    <col min="2825" max="2829" width="11.125" style="2" bestFit="1" customWidth="1"/>
    <col min="2830" max="2830" width="9" style="2"/>
    <col min="2831" max="2831" width="9.625" style="2" bestFit="1" customWidth="1"/>
    <col min="2832" max="3057" width="9" style="2"/>
    <col min="3058" max="3058" width="2.375" style="2" customWidth="1"/>
    <col min="3059" max="3059" width="13.25" style="2" bestFit="1" customWidth="1"/>
    <col min="3060" max="3061" width="11.125" style="2" bestFit="1" customWidth="1"/>
    <col min="3062" max="3062" width="13.25" style="2" bestFit="1" customWidth="1"/>
    <col min="3063" max="3063" width="11.125" style="2" bestFit="1" customWidth="1"/>
    <col min="3064" max="3064" width="9" style="2"/>
    <col min="3065" max="3075" width="11.125" style="2" bestFit="1" customWidth="1"/>
    <col min="3076" max="3076" width="9" style="2"/>
    <col min="3077" max="3078" width="11.125" style="2" bestFit="1" customWidth="1"/>
    <col min="3079" max="3080" width="9" style="2"/>
    <col min="3081" max="3085" width="11.125" style="2" bestFit="1" customWidth="1"/>
    <col min="3086" max="3086" width="9" style="2"/>
    <col min="3087" max="3087" width="9.625" style="2" bestFit="1" customWidth="1"/>
    <col min="3088" max="3313" width="9" style="2"/>
    <col min="3314" max="3314" width="2.375" style="2" customWidth="1"/>
    <col min="3315" max="3315" width="13.25" style="2" bestFit="1" customWidth="1"/>
    <col min="3316" max="3317" width="11.125" style="2" bestFit="1" customWidth="1"/>
    <col min="3318" max="3318" width="13.25" style="2" bestFit="1" customWidth="1"/>
    <col min="3319" max="3319" width="11.125" style="2" bestFit="1" customWidth="1"/>
    <col min="3320" max="3320" width="9" style="2"/>
    <col min="3321" max="3331" width="11.125" style="2" bestFit="1" customWidth="1"/>
    <col min="3332" max="3332" width="9" style="2"/>
    <col min="3333" max="3334" width="11.125" style="2" bestFit="1" customWidth="1"/>
    <col min="3335" max="3336" width="9" style="2"/>
    <col min="3337" max="3341" width="11.125" style="2" bestFit="1" customWidth="1"/>
    <col min="3342" max="3342" width="9" style="2"/>
    <col min="3343" max="3343" width="9.625" style="2" bestFit="1" customWidth="1"/>
    <col min="3344" max="3569" width="9" style="2"/>
    <col min="3570" max="3570" width="2.375" style="2" customWidth="1"/>
    <col min="3571" max="3571" width="13.25" style="2" bestFit="1" customWidth="1"/>
    <col min="3572" max="3573" width="11.125" style="2" bestFit="1" customWidth="1"/>
    <col min="3574" max="3574" width="13.25" style="2" bestFit="1" customWidth="1"/>
    <col min="3575" max="3575" width="11.125" style="2" bestFit="1" customWidth="1"/>
    <col min="3576" max="3576" width="9" style="2"/>
    <col min="3577" max="3587" width="11.125" style="2" bestFit="1" customWidth="1"/>
    <col min="3588" max="3588" width="9" style="2"/>
    <col min="3589" max="3590" width="11.125" style="2" bestFit="1" customWidth="1"/>
    <col min="3591" max="3592" width="9" style="2"/>
    <col min="3593" max="3597" width="11.125" style="2" bestFit="1" customWidth="1"/>
    <col min="3598" max="3598" width="9" style="2"/>
    <col min="3599" max="3599" width="9.625" style="2" bestFit="1" customWidth="1"/>
    <col min="3600" max="3825" width="9" style="2"/>
    <col min="3826" max="3826" width="2.375" style="2" customWidth="1"/>
    <col min="3827" max="3827" width="13.25" style="2" bestFit="1" customWidth="1"/>
    <col min="3828" max="3829" width="11.125" style="2" bestFit="1" customWidth="1"/>
    <col min="3830" max="3830" width="13.25" style="2" bestFit="1" customWidth="1"/>
    <col min="3831" max="3831" width="11.125" style="2" bestFit="1" customWidth="1"/>
    <col min="3832" max="3832" width="9" style="2"/>
    <col min="3833" max="3843" width="11.125" style="2" bestFit="1" customWidth="1"/>
    <col min="3844" max="3844" width="9" style="2"/>
    <col min="3845" max="3846" width="11.125" style="2" bestFit="1" customWidth="1"/>
    <col min="3847" max="3848" width="9" style="2"/>
    <col min="3849" max="3853" width="11.125" style="2" bestFit="1" customWidth="1"/>
    <col min="3854" max="3854" width="9" style="2"/>
    <col min="3855" max="3855" width="9.625" style="2" bestFit="1" customWidth="1"/>
    <col min="3856" max="4081" width="9" style="2"/>
    <col min="4082" max="4082" width="2.375" style="2" customWidth="1"/>
    <col min="4083" max="4083" width="13.25" style="2" bestFit="1" customWidth="1"/>
    <col min="4084" max="4085" width="11.125" style="2" bestFit="1" customWidth="1"/>
    <col min="4086" max="4086" width="13.25" style="2" bestFit="1" customWidth="1"/>
    <col min="4087" max="4087" width="11.125" style="2" bestFit="1" customWidth="1"/>
    <col min="4088" max="4088" width="9" style="2"/>
    <col min="4089" max="4099" width="11.125" style="2" bestFit="1" customWidth="1"/>
    <col min="4100" max="4100" width="9" style="2"/>
    <col min="4101" max="4102" width="11.125" style="2" bestFit="1" customWidth="1"/>
    <col min="4103" max="4104" width="9" style="2"/>
    <col min="4105" max="4109" width="11.125" style="2" bestFit="1" customWidth="1"/>
    <col min="4110" max="4110" width="9" style="2"/>
    <col min="4111" max="4111" width="9.625" style="2" bestFit="1" customWidth="1"/>
    <col min="4112" max="4337" width="9" style="2"/>
    <col min="4338" max="4338" width="2.375" style="2" customWidth="1"/>
    <col min="4339" max="4339" width="13.25" style="2" bestFit="1" customWidth="1"/>
    <col min="4340" max="4341" width="11.125" style="2" bestFit="1" customWidth="1"/>
    <col min="4342" max="4342" width="13.25" style="2" bestFit="1" customWidth="1"/>
    <col min="4343" max="4343" width="11.125" style="2" bestFit="1" customWidth="1"/>
    <col min="4344" max="4344" width="9" style="2"/>
    <col min="4345" max="4355" width="11.125" style="2" bestFit="1" customWidth="1"/>
    <col min="4356" max="4356" width="9" style="2"/>
    <col min="4357" max="4358" width="11.125" style="2" bestFit="1" customWidth="1"/>
    <col min="4359" max="4360" width="9" style="2"/>
    <col min="4361" max="4365" width="11.125" style="2" bestFit="1" customWidth="1"/>
    <col min="4366" max="4366" width="9" style="2"/>
    <col min="4367" max="4367" width="9.625" style="2" bestFit="1" customWidth="1"/>
    <col min="4368" max="4593" width="9" style="2"/>
    <col min="4594" max="4594" width="2.375" style="2" customWidth="1"/>
    <col min="4595" max="4595" width="13.25" style="2" bestFit="1" customWidth="1"/>
    <col min="4596" max="4597" width="11.125" style="2" bestFit="1" customWidth="1"/>
    <col min="4598" max="4598" width="13.25" style="2" bestFit="1" customWidth="1"/>
    <col min="4599" max="4599" width="11.125" style="2" bestFit="1" customWidth="1"/>
    <col min="4600" max="4600" width="9" style="2"/>
    <col min="4601" max="4611" width="11.125" style="2" bestFit="1" customWidth="1"/>
    <col min="4612" max="4612" width="9" style="2"/>
    <col min="4613" max="4614" width="11.125" style="2" bestFit="1" customWidth="1"/>
    <col min="4615" max="4616" width="9" style="2"/>
    <col min="4617" max="4621" width="11.125" style="2" bestFit="1" customWidth="1"/>
    <col min="4622" max="4622" width="9" style="2"/>
    <col min="4623" max="4623" width="9.625" style="2" bestFit="1" customWidth="1"/>
    <col min="4624" max="4849" width="9" style="2"/>
    <col min="4850" max="4850" width="2.375" style="2" customWidth="1"/>
    <col min="4851" max="4851" width="13.25" style="2" bestFit="1" customWidth="1"/>
    <col min="4852" max="4853" width="11.125" style="2" bestFit="1" customWidth="1"/>
    <col min="4854" max="4854" width="13.25" style="2" bestFit="1" customWidth="1"/>
    <col min="4855" max="4855" width="11.125" style="2" bestFit="1" customWidth="1"/>
    <col min="4856" max="4856" width="9" style="2"/>
    <col min="4857" max="4867" width="11.125" style="2" bestFit="1" customWidth="1"/>
    <col min="4868" max="4868" width="9" style="2"/>
    <col min="4869" max="4870" width="11.125" style="2" bestFit="1" customWidth="1"/>
    <col min="4871" max="4872" width="9" style="2"/>
    <col min="4873" max="4877" width="11.125" style="2" bestFit="1" customWidth="1"/>
    <col min="4878" max="4878" width="9" style="2"/>
    <col min="4879" max="4879" width="9.625" style="2" bestFit="1" customWidth="1"/>
    <col min="4880" max="5105" width="9" style="2"/>
    <col min="5106" max="5106" width="2.375" style="2" customWidth="1"/>
    <col min="5107" max="5107" width="13.25" style="2" bestFit="1" customWidth="1"/>
    <col min="5108" max="5109" width="11.125" style="2" bestFit="1" customWidth="1"/>
    <col min="5110" max="5110" width="13.25" style="2" bestFit="1" customWidth="1"/>
    <col min="5111" max="5111" width="11.125" style="2" bestFit="1" customWidth="1"/>
    <col min="5112" max="5112" width="9" style="2"/>
    <col min="5113" max="5123" width="11.125" style="2" bestFit="1" customWidth="1"/>
    <col min="5124" max="5124" width="9" style="2"/>
    <col min="5125" max="5126" width="11.125" style="2" bestFit="1" customWidth="1"/>
    <col min="5127" max="5128" width="9" style="2"/>
    <col min="5129" max="5133" width="11.125" style="2" bestFit="1" customWidth="1"/>
    <col min="5134" max="5134" width="9" style="2"/>
    <col min="5135" max="5135" width="9.625" style="2" bestFit="1" customWidth="1"/>
    <col min="5136" max="5361" width="9" style="2"/>
    <col min="5362" max="5362" width="2.375" style="2" customWidth="1"/>
    <col min="5363" max="5363" width="13.25" style="2" bestFit="1" customWidth="1"/>
    <col min="5364" max="5365" width="11.125" style="2" bestFit="1" customWidth="1"/>
    <col min="5366" max="5366" width="13.25" style="2" bestFit="1" customWidth="1"/>
    <col min="5367" max="5367" width="11.125" style="2" bestFit="1" customWidth="1"/>
    <col min="5368" max="5368" width="9" style="2"/>
    <col min="5369" max="5379" width="11.125" style="2" bestFit="1" customWidth="1"/>
    <col min="5380" max="5380" width="9" style="2"/>
    <col min="5381" max="5382" width="11.125" style="2" bestFit="1" customWidth="1"/>
    <col min="5383" max="5384" width="9" style="2"/>
    <col min="5385" max="5389" width="11.125" style="2" bestFit="1" customWidth="1"/>
    <col min="5390" max="5390" width="9" style="2"/>
    <col min="5391" max="5391" width="9.625" style="2" bestFit="1" customWidth="1"/>
    <col min="5392" max="5617" width="9" style="2"/>
    <col min="5618" max="5618" width="2.375" style="2" customWidth="1"/>
    <col min="5619" max="5619" width="13.25" style="2" bestFit="1" customWidth="1"/>
    <col min="5620" max="5621" width="11.125" style="2" bestFit="1" customWidth="1"/>
    <col min="5622" max="5622" width="13.25" style="2" bestFit="1" customWidth="1"/>
    <col min="5623" max="5623" width="11.125" style="2" bestFit="1" customWidth="1"/>
    <col min="5624" max="5624" width="9" style="2"/>
    <col min="5625" max="5635" width="11.125" style="2" bestFit="1" customWidth="1"/>
    <col min="5636" max="5636" width="9" style="2"/>
    <col min="5637" max="5638" width="11.125" style="2" bestFit="1" customWidth="1"/>
    <col min="5639" max="5640" width="9" style="2"/>
    <col min="5641" max="5645" width="11.125" style="2" bestFit="1" customWidth="1"/>
    <col min="5646" max="5646" width="9" style="2"/>
    <col min="5647" max="5647" width="9.625" style="2" bestFit="1" customWidth="1"/>
    <col min="5648" max="5873" width="9" style="2"/>
    <col min="5874" max="5874" width="2.375" style="2" customWidth="1"/>
    <col min="5875" max="5875" width="13.25" style="2" bestFit="1" customWidth="1"/>
    <col min="5876" max="5877" width="11.125" style="2" bestFit="1" customWidth="1"/>
    <col min="5878" max="5878" width="13.25" style="2" bestFit="1" customWidth="1"/>
    <col min="5879" max="5879" width="11.125" style="2" bestFit="1" customWidth="1"/>
    <col min="5880" max="5880" width="9" style="2"/>
    <col min="5881" max="5891" width="11.125" style="2" bestFit="1" customWidth="1"/>
    <col min="5892" max="5892" width="9" style="2"/>
    <col min="5893" max="5894" width="11.125" style="2" bestFit="1" customWidth="1"/>
    <col min="5895" max="5896" width="9" style="2"/>
    <col min="5897" max="5901" width="11.125" style="2" bestFit="1" customWidth="1"/>
    <col min="5902" max="5902" width="9" style="2"/>
    <col min="5903" max="5903" width="9.625" style="2" bestFit="1" customWidth="1"/>
    <col min="5904" max="6129" width="9" style="2"/>
    <col min="6130" max="6130" width="2.375" style="2" customWidth="1"/>
    <col min="6131" max="6131" width="13.25" style="2" bestFit="1" customWidth="1"/>
    <col min="6132" max="6133" width="11.125" style="2" bestFit="1" customWidth="1"/>
    <col min="6134" max="6134" width="13.25" style="2" bestFit="1" customWidth="1"/>
    <col min="6135" max="6135" width="11.125" style="2" bestFit="1" customWidth="1"/>
    <col min="6136" max="6136" width="9" style="2"/>
    <col min="6137" max="6147" width="11.125" style="2" bestFit="1" customWidth="1"/>
    <col min="6148" max="6148" width="9" style="2"/>
    <col min="6149" max="6150" width="11.125" style="2" bestFit="1" customWidth="1"/>
    <col min="6151" max="6152" width="9" style="2"/>
    <col min="6153" max="6157" width="11.125" style="2" bestFit="1" customWidth="1"/>
    <col min="6158" max="6158" width="9" style="2"/>
    <col min="6159" max="6159" width="9.625" style="2" bestFit="1" customWidth="1"/>
    <col min="6160" max="6385" width="9" style="2"/>
    <col min="6386" max="6386" width="2.375" style="2" customWidth="1"/>
    <col min="6387" max="6387" width="13.25" style="2" bestFit="1" customWidth="1"/>
    <col min="6388" max="6389" width="11.125" style="2" bestFit="1" customWidth="1"/>
    <col min="6390" max="6390" width="13.25" style="2" bestFit="1" customWidth="1"/>
    <col min="6391" max="6391" width="11.125" style="2" bestFit="1" customWidth="1"/>
    <col min="6392" max="6392" width="9" style="2"/>
    <col min="6393" max="6403" width="11.125" style="2" bestFit="1" customWidth="1"/>
    <col min="6404" max="6404" width="9" style="2"/>
    <col min="6405" max="6406" width="11.125" style="2" bestFit="1" customWidth="1"/>
    <col min="6407" max="6408" width="9" style="2"/>
    <col min="6409" max="6413" width="11.125" style="2" bestFit="1" customWidth="1"/>
    <col min="6414" max="6414" width="9" style="2"/>
    <col min="6415" max="6415" width="9.625" style="2" bestFit="1" customWidth="1"/>
    <col min="6416" max="6641" width="9" style="2"/>
    <col min="6642" max="6642" width="2.375" style="2" customWidth="1"/>
    <col min="6643" max="6643" width="13.25" style="2" bestFit="1" customWidth="1"/>
    <col min="6644" max="6645" width="11.125" style="2" bestFit="1" customWidth="1"/>
    <col min="6646" max="6646" width="13.25" style="2" bestFit="1" customWidth="1"/>
    <col min="6647" max="6647" width="11.125" style="2" bestFit="1" customWidth="1"/>
    <col min="6648" max="6648" width="9" style="2"/>
    <col min="6649" max="6659" width="11.125" style="2" bestFit="1" customWidth="1"/>
    <col min="6660" max="6660" width="9" style="2"/>
    <col min="6661" max="6662" width="11.125" style="2" bestFit="1" customWidth="1"/>
    <col min="6663" max="6664" width="9" style="2"/>
    <col min="6665" max="6669" width="11.125" style="2" bestFit="1" customWidth="1"/>
    <col min="6670" max="6670" width="9" style="2"/>
    <col min="6671" max="6671" width="9.625" style="2" bestFit="1" customWidth="1"/>
    <col min="6672" max="6897" width="9" style="2"/>
    <col min="6898" max="6898" width="2.375" style="2" customWidth="1"/>
    <col min="6899" max="6899" width="13.25" style="2" bestFit="1" customWidth="1"/>
    <col min="6900" max="6901" width="11.125" style="2" bestFit="1" customWidth="1"/>
    <col min="6902" max="6902" width="13.25" style="2" bestFit="1" customWidth="1"/>
    <col min="6903" max="6903" width="11.125" style="2" bestFit="1" customWidth="1"/>
    <col min="6904" max="6904" width="9" style="2"/>
    <col min="6905" max="6915" width="11.125" style="2" bestFit="1" customWidth="1"/>
    <col min="6916" max="6916" width="9" style="2"/>
    <col min="6917" max="6918" width="11.125" style="2" bestFit="1" customWidth="1"/>
    <col min="6919" max="6920" width="9" style="2"/>
    <col min="6921" max="6925" width="11.125" style="2" bestFit="1" customWidth="1"/>
    <col min="6926" max="6926" width="9" style="2"/>
    <col min="6927" max="6927" width="9.625" style="2" bestFit="1" customWidth="1"/>
    <col min="6928" max="7153" width="9" style="2"/>
    <col min="7154" max="7154" width="2.375" style="2" customWidth="1"/>
    <col min="7155" max="7155" width="13.25" style="2" bestFit="1" customWidth="1"/>
    <col min="7156" max="7157" width="11.125" style="2" bestFit="1" customWidth="1"/>
    <col min="7158" max="7158" width="13.25" style="2" bestFit="1" customWidth="1"/>
    <col min="7159" max="7159" width="11.125" style="2" bestFit="1" customWidth="1"/>
    <col min="7160" max="7160" width="9" style="2"/>
    <col min="7161" max="7171" width="11.125" style="2" bestFit="1" customWidth="1"/>
    <col min="7172" max="7172" width="9" style="2"/>
    <col min="7173" max="7174" width="11.125" style="2" bestFit="1" customWidth="1"/>
    <col min="7175" max="7176" width="9" style="2"/>
    <col min="7177" max="7181" width="11.125" style="2" bestFit="1" customWidth="1"/>
    <col min="7182" max="7182" width="9" style="2"/>
    <col min="7183" max="7183" width="9.625" style="2" bestFit="1" customWidth="1"/>
    <col min="7184" max="7409" width="9" style="2"/>
    <col min="7410" max="7410" width="2.375" style="2" customWidth="1"/>
    <col min="7411" max="7411" width="13.25" style="2" bestFit="1" customWidth="1"/>
    <col min="7412" max="7413" width="11.125" style="2" bestFit="1" customWidth="1"/>
    <col min="7414" max="7414" width="13.25" style="2" bestFit="1" customWidth="1"/>
    <col min="7415" max="7415" width="11.125" style="2" bestFit="1" customWidth="1"/>
    <col min="7416" max="7416" width="9" style="2"/>
    <col min="7417" max="7427" width="11.125" style="2" bestFit="1" customWidth="1"/>
    <col min="7428" max="7428" width="9" style="2"/>
    <col min="7429" max="7430" width="11.125" style="2" bestFit="1" customWidth="1"/>
    <col min="7431" max="7432" width="9" style="2"/>
    <col min="7433" max="7437" width="11.125" style="2" bestFit="1" customWidth="1"/>
    <col min="7438" max="7438" width="9" style="2"/>
    <col min="7439" max="7439" width="9.625" style="2" bestFit="1" customWidth="1"/>
    <col min="7440" max="7665" width="9" style="2"/>
    <col min="7666" max="7666" width="2.375" style="2" customWidth="1"/>
    <col min="7667" max="7667" width="13.25" style="2" bestFit="1" customWidth="1"/>
    <col min="7668" max="7669" width="11.125" style="2" bestFit="1" customWidth="1"/>
    <col min="7670" max="7670" width="13.25" style="2" bestFit="1" customWidth="1"/>
    <col min="7671" max="7671" width="11.125" style="2" bestFit="1" customWidth="1"/>
    <col min="7672" max="7672" width="9" style="2"/>
    <col min="7673" max="7683" width="11.125" style="2" bestFit="1" customWidth="1"/>
    <col min="7684" max="7684" width="9" style="2"/>
    <col min="7685" max="7686" width="11.125" style="2" bestFit="1" customWidth="1"/>
    <col min="7687" max="7688" width="9" style="2"/>
    <col min="7689" max="7693" width="11.125" style="2" bestFit="1" customWidth="1"/>
    <col min="7694" max="7694" width="9" style="2"/>
    <col min="7695" max="7695" width="9.625" style="2" bestFit="1" customWidth="1"/>
    <col min="7696" max="7921" width="9" style="2"/>
    <col min="7922" max="7922" width="2.375" style="2" customWidth="1"/>
    <col min="7923" max="7923" width="13.25" style="2" bestFit="1" customWidth="1"/>
    <col min="7924" max="7925" width="11.125" style="2" bestFit="1" customWidth="1"/>
    <col min="7926" max="7926" width="13.25" style="2" bestFit="1" customWidth="1"/>
    <col min="7927" max="7927" width="11.125" style="2" bestFit="1" customWidth="1"/>
    <col min="7928" max="7928" width="9" style="2"/>
    <col min="7929" max="7939" width="11.125" style="2" bestFit="1" customWidth="1"/>
    <col min="7940" max="7940" width="9" style="2"/>
    <col min="7941" max="7942" width="11.125" style="2" bestFit="1" customWidth="1"/>
    <col min="7943" max="7944" width="9" style="2"/>
    <col min="7945" max="7949" width="11.125" style="2" bestFit="1" customWidth="1"/>
    <col min="7950" max="7950" width="9" style="2"/>
    <col min="7951" max="7951" width="9.625" style="2" bestFit="1" customWidth="1"/>
    <col min="7952" max="8177" width="9" style="2"/>
    <col min="8178" max="8178" width="2.375" style="2" customWidth="1"/>
    <col min="8179" max="8179" width="13.25" style="2" bestFit="1" customWidth="1"/>
    <col min="8180" max="8181" width="11.125" style="2" bestFit="1" customWidth="1"/>
    <col min="8182" max="8182" width="13.25" style="2" bestFit="1" customWidth="1"/>
    <col min="8183" max="8183" width="11.125" style="2" bestFit="1" customWidth="1"/>
    <col min="8184" max="8184" width="9" style="2"/>
    <col min="8185" max="8195" width="11.125" style="2" bestFit="1" customWidth="1"/>
    <col min="8196" max="8196" width="9" style="2"/>
    <col min="8197" max="8198" width="11.125" style="2" bestFit="1" customWidth="1"/>
    <col min="8199" max="8200" width="9" style="2"/>
    <col min="8201" max="8205" width="11.125" style="2" bestFit="1" customWidth="1"/>
    <col min="8206" max="8206" width="9" style="2"/>
    <col min="8207" max="8207" width="9.625" style="2" bestFit="1" customWidth="1"/>
    <col min="8208" max="8433" width="9" style="2"/>
    <col min="8434" max="8434" width="2.375" style="2" customWidth="1"/>
    <col min="8435" max="8435" width="13.25" style="2" bestFit="1" customWidth="1"/>
    <col min="8436" max="8437" width="11.125" style="2" bestFit="1" customWidth="1"/>
    <col min="8438" max="8438" width="13.25" style="2" bestFit="1" customWidth="1"/>
    <col min="8439" max="8439" width="11.125" style="2" bestFit="1" customWidth="1"/>
    <col min="8440" max="8440" width="9" style="2"/>
    <col min="8441" max="8451" width="11.125" style="2" bestFit="1" customWidth="1"/>
    <col min="8452" max="8452" width="9" style="2"/>
    <col min="8453" max="8454" width="11.125" style="2" bestFit="1" customWidth="1"/>
    <col min="8455" max="8456" width="9" style="2"/>
    <col min="8457" max="8461" width="11.125" style="2" bestFit="1" customWidth="1"/>
    <col min="8462" max="8462" width="9" style="2"/>
    <col min="8463" max="8463" width="9.625" style="2" bestFit="1" customWidth="1"/>
    <col min="8464" max="8689" width="9" style="2"/>
    <col min="8690" max="8690" width="2.375" style="2" customWidth="1"/>
    <col min="8691" max="8691" width="13.25" style="2" bestFit="1" customWidth="1"/>
    <col min="8692" max="8693" width="11.125" style="2" bestFit="1" customWidth="1"/>
    <col min="8694" max="8694" width="13.25" style="2" bestFit="1" customWidth="1"/>
    <col min="8695" max="8695" width="11.125" style="2" bestFit="1" customWidth="1"/>
    <col min="8696" max="8696" width="9" style="2"/>
    <col min="8697" max="8707" width="11.125" style="2" bestFit="1" customWidth="1"/>
    <col min="8708" max="8708" width="9" style="2"/>
    <col min="8709" max="8710" width="11.125" style="2" bestFit="1" customWidth="1"/>
    <col min="8711" max="8712" width="9" style="2"/>
    <col min="8713" max="8717" width="11.125" style="2" bestFit="1" customWidth="1"/>
    <col min="8718" max="8718" width="9" style="2"/>
    <col min="8719" max="8719" width="9.625" style="2" bestFit="1" customWidth="1"/>
    <col min="8720" max="8945" width="9" style="2"/>
    <col min="8946" max="8946" width="2.375" style="2" customWidth="1"/>
    <col min="8947" max="8947" width="13.25" style="2" bestFit="1" customWidth="1"/>
    <col min="8948" max="8949" width="11.125" style="2" bestFit="1" customWidth="1"/>
    <col min="8950" max="8950" width="13.25" style="2" bestFit="1" customWidth="1"/>
    <col min="8951" max="8951" width="11.125" style="2" bestFit="1" customWidth="1"/>
    <col min="8952" max="8952" width="9" style="2"/>
    <col min="8953" max="8963" width="11.125" style="2" bestFit="1" customWidth="1"/>
    <col min="8964" max="8964" width="9" style="2"/>
    <col min="8965" max="8966" width="11.125" style="2" bestFit="1" customWidth="1"/>
    <col min="8967" max="8968" width="9" style="2"/>
    <col min="8969" max="8973" width="11.125" style="2" bestFit="1" customWidth="1"/>
    <col min="8974" max="8974" width="9" style="2"/>
    <col min="8975" max="8975" width="9.625" style="2" bestFit="1" customWidth="1"/>
    <col min="8976" max="9201" width="9" style="2"/>
    <col min="9202" max="9202" width="2.375" style="2" customWidth="1"/>
    <col min="9203" max="9203" width="13.25" style="2" bestFit="1" customWidth="1"/>
    <col min="9204" max="9205" width="11.125" style="2" bestFit="1" customWidth="1"/>
    <col min="9206" max="9206" width="13.25" style="2" bestFit="1" customWidth="1"/>
    <col min="9207" max="9207" width="11.125" style="2" bestFit="1" customWidth="1"/>
    <col min="9208" max="9208" width="9" style="2"/>
    <col min="9209" max="9219" width="11.125" style="2" bestFit="1" customWidth="1"/>
    <col min="9220" max="9220" width="9" style="2"/>
    <col min="9221" max="9222" width="11.125" style="2" bestFit="1" customWidth="1"/>
    <col min="9223" max="9224" width="9" style="2"/>
    <col min="9225" max="9229" width="11.125" style="2" bestFit="1" customWidth="1"/>
    <col min="9230" max="9230" width="9" style="2"/>
    <col min="9231" max="9231" width="9.625" style="2" bestFit="1" customWidth="1"/>
    <col min="9232" max="9457" width="9" style="2"/>
    <col min="9458" max="9458" width="2.375" style="2" customWidth="1"/>
    <col min="9459" max="9459" width="13.25" style="2" bestFit="1" customWidth="1"/>
    <col min="9460" max="9461" width="11.125" style="2" bestFit="1" customWidth="1"/>
    <col min="9462" max="9462" width="13.25" style="2" bestFit="1" customWidth="1"/>
    <col min="9463" max="9463" width="11.125" style="2" bestFit="1" customWidth="1"/>
    <col min="9464" max="9464" width="9" style="2"/>
    <col min="9465" max="9475" width="11.125" style="2" bestFit="1" customWidth="1"/>
    <col min="9476" max="9476" width="9" style="2"/>
    <col min="9477" max="9478" width="11.125" style="2" bestFit="1" customWidth="1"/>
    <col min="9479" max="9480" width="9" style="2"/>
    <col min="9481" max="9485" width="11.125" style="2" bestFit="1" customWidth="1"/>
    <col min="9486" max="9486" width="9" style="2"/>
    <col min="9487" max="9487" width="9.625" style="2" bestFit="1" customWidth="1"/>
    <col min="9488" max="9713" width="9" style="2"/>
    <col min="9714" max="9714" width="2.375" style="2" customWidth="1"/>
    <col min="9715" max="9715" width="13.25" style="2" bestFit="1" customWidth="1"/>
    <col min="9716" max="9717" width="11.125" style="2" bestFit="1" customWidth="1"/>
    <col min="9718" max="9718" width="13.25" style="2" bestFit="1" customWidth="1"/>
    <col min="9719" max="9719" width="11.125" style="2" bestFit="1" customWidth="1"/>
    <col min="9720" max="9720" width="9" style="2"/>
    <col min="9721" max="9731" width="11.125" style="2" bestFit="1" customWidth="1"/>
    <col min="9732" max="9732" width="9" style="2"/>
    <col min="9733" max="9734" width="11.125" style="2" bestFit="1" customWidth="1"/>
    <col min="9735" max="9736" width="9" style="2"/>
    <col min="9737" max="9741" width="11.125" style="2" bestFit="1" customWidth="1"/>
    <col min="9742" max="9742" width="9" style="2"/>
    <col min="9743" max="9743" width="9.625" style="2" bestFit="1" customWidth="1"/>
    <col min="9744" max="9969" width="9" style="2"/>
    <col min="9970" max="9970" width="2.375" style="2" customWidth="1"/>
    <col min="9971" max="9971" width="13.25" style="2" bestFit="1" customWidth="1"/>
    <col min="9972" max="9973" width="11.125" style="2" bestFit="1" customWidth="1"/>
    <col min="9974" max="9974" width="13.25" style="2" bestFit="1" customWidth="1"/>
    <col min="9975" max="9975" width="11.125" style="2" bestFit="1" customWidth="1"/>
    <col min="9976" max="9976" width="9" style="2"/>
    <col min="9977" max="9987" width="11.125" style="2" bestFit="1" customWidth="1"/>
    <col min="9988" max="9988" width="9" style="2"/>
    <col min="9989" max="9990" width="11.125" style="2" bestFit="1" customWidth="1"/>
    <col min="9991" max="9992" width="9" style="2"/>
    <col min="9993" max="9997" width="11.125" style="2" bestFit="1" customWidth="1"/>
    <col min="9998" max="9998" width="9" style="2"/>
    <col min="9999" max="9999" width="9.625" style="2" bestFit="1" customWidth="1"/>
    <col min="10000" max="10225" width="9" style="2"/>
    <col min="10226" max="10226" width="2.375" style="2" customWidth="1"/>
    <col min="10227" max="10227" width="13.25" style="2" bestFit="1" customWidth="1"/>
    <col min="10228" max="10229" width="11.125" style="2" bestFit="1" customWidth="1"/>
    <col min="10230" max="10230" width="13.25" style="2" bestFit="1" customWidth="1"/>
    <col min="10231" max="10231" width="11.125" style="2" bestFit="1" customWidth="1"/>
    <col min="10232" max="10232" width="9" style="2"/>
    <col min="10233" max="10243" width="11.125" style="2" bestFit="1" customWidth="1"/>
    <col min="10244" max="10244" width="9" style="2"/>
    <col min="10245" max="10246" width="11.125" style="2" bestFit="1" customWidth="1"/>
    <col min="10247" max="10248" width="9" style="2"/>
    <col min="10249" max="10253" width="11.125" style="2" bestFit="1" customWidth="1"/>
    <col min="10254" max="10254" width="9" style="2"/>
    <col min="10255" max="10255" width="9.625" style="2" bestFit="1" customWidth="1"/>
    <col min="10256" max="10481" width="9" style="2"/>
    <col min="10482" max="10482" width="2.375" style="2" customWidth="1"/>
    <col min="10483" max="10483" width="13.25" style="2" bestFit="1" customWidth="1"/>
    <col min="10484" max="10485" width="11.125" style="2" bestFit="1" customWidth="1"/>
    <col min="10486" max="10486" width="13.25" style="2" bestFit="1" customWidth="1"/>
    <col min="10487" max="10487" width="11.125" style="2" bestFit="1" customWidth="1"/>
    <col min="10488" max="10488" width="9" style="2"/>
    <col min="10489" max="10499" width="11.125" style="2" bestFit="1" customWidth="1"/>
    <col min="10500" max="10500" width="9" style="2"/>
    <col min="10501" max="10502" width="11.125" style="2" bestFit="1" customWidth="1"/>
    <col min="10503" max="10504" width="9" style="2"/>
    <col min="10505" max="10509" width="11.125" style="2" bestFit="1" customWidth="1"/>
    <col min="10510" max="10510" width="9" style="2"/>
    <col min="10511" max="10511" width="9.625" style="2" bestFit="1" customWidth="1"/>
    <col min="10512" max="10737" width="9" style="2"/>
    <col min="10738" max="10738" width="2.375" style="2" customWidth="1"/>
    <col min="10739" max="10739" width="13.25" style="2" bestFit="1" customWidth="1"/>
    <col min="10740" max="10741" width="11.125" style="2" bestFit="1" customWidth="1"/>
    <col min="10742" max="10742" width="13.25" style="2" bestFit="1" customWidth="1"/>
    <col min="10743" max="10743" width="11.125" style="2" bestFit="1" customWidth="1"/>
    <col min="10744" max="10744" width="9" style="2"/>
    <col min="10745" max="10755" width="11.125" style="2" bestFit="1" customWidth="1"/>
    <col min="10756" max="10756" width="9" style="2"/>
    <col min="10757" max="10758" width="11.125" style="2" bestFit="1" customWidth="1"/>
    <col min="10759" max="10760" width="9" style="2"/>
    <col min="10761" max="10765" width="11.125" style="2" bestFit="1" customWidth="1"/>
    <col min="10766" max="10766" width="9" style="2"/>
    <col min="10767" max="10767" width="9.625" style="2" bestFit="1" customWidth="1"/>
    <col min="10768" max="10993" width="9" style="2"/>
    <col min="10994" max="10994" width="2.375" style="2" customWidth="1"/>
    <col min="10995" max="10995" width="13.25" style="2" bestFit="1" customWidth="1"/>
    <col min="10996" max="10997" width="11.125" style="2" bestFit="1" customWidth="1"/>
    <col min="10998" max="10998" width="13.25" style="2" bestFit="1" customWidth="1"/>
    <col min="10999" max="10999" width="11.125" style="2" bestFit="1" customWidth="1"/>
    <col min="11000" max="11000" width="9" style="2"/>
    <col min="11001" max="11011" width="11.125" style="2" bestFit="1" customWidth="1"/>
    <col min="11012" max="11012" width="9" style="2"/>
    <col min="11013" max="11014" width="11.125" style="2" bestFit="1" customWidth="1"/>
    <col min="11015" max="11016" width="9" style="2"/>
    <col min="11017" max="11021" width="11.125" style="2" bestFit="1" customWidth="1"/>
    <col min="11022" max="11022" width="9" style="2"/>
    <col min="11023" max="11023" width="9.625" style="2" bestFit="1" customWidth="1"/>
    <col min="11024" max="11249" width="9" style="2"/>
    <col min="11250" max="11250" width="2.375" style="2" customWidth="1"/>
    <col min="11251" max="11251" width="13.25" style="2" bestFit="1" customWidth="1"/>
    <col min="11252" max="11253" width="11.125" style="2" bestFit="1" customWidth="1"/>
    <col min="11254" max="11254" width="13.25" style="2" bestFit="1" customWidth="1"/>
    <col min="11255" max="11255" width="11.125" style="2" bestFit="1" customWidth="1"/>
    <col min="11256" max="11256" width="9" style="2"/>
    <col min="11257" max="11267" width="11.125" style="2" bestFit="1" customWidth="1"/>
    <col min="11268" max="11268" width="9" style="2"/>
    <col min="11269" max="11270" width="11.125" style="2" bestFit="1" customWidth="1"/>
    <col min="11271" max="11272" width="9" style="2"/>
    <col min="11273" max="11277" width="11.125" style="2" bestFit="1" customWidth="1"/>
    <col min="11278" max="11278" width="9" style="2"/>
    <col min="11279" max="11279" width="9.625" style="2" bestFit="1" customWidth="1"/>
    <col min="11280" max="11505" width="9" style="2"/>
    <col min="11506" max="11506" width="2.375" style="2" customWidth="1"/>
    <col min="11507" max="11507" width="13.25" style="2" bestFit="1" customWidth="1"/>
    <col min="11508" max="11509" width="11.125" style="2" bestFit="1" customWidth="1"/>
    <col min="11510" max="11510" width="13.25" style="2" bestFit="1" customWidth="1"/>
    <col min="11511" max="11511" width="11.125" style="2" bestFit="1" customWidth="1"/>
    <col min="11512" max="11512" width="9" style="2"/>
    <col min="11513" max="11523" width="11.125" style="2" bestFit="1" customWidth="1"/>
    <col min="11524" max="11524" width="9" style="2"/>
    <col min="11525" max="11526" width="11.125" style="2" bestFit="1" customWidth="1"/>
    <col min="11527" max="11528" width="9" style="2"/>
    <col min="11529" max="11533" width="11.125" style="2" bestFit="1" customWidth="1"/>
    <col min="11534" max="11534" width="9" style="2"/>
    <col min="11535" max="11535" width="9.625" style="2" bestFit="1" customWidth="1"/>
    <col min="11536" max="11761" width="9" style="2"/>
    <col min="11762" max="11762" width="2.375" style="2" customWidth="1"/>
    <col min="11763" max="11763" width="13.25" style="2" bestFit="1" customWidth="1"/>
    <col min="11764" max="11765" width="11.125" style="2" bestFit="1" customWidth="1"/>
    <col min="11766" max="11766" width="13.25" style="2" bestFit="1" customWidth="1"/>
    <col min="11767" max="11767" width="11.125" style="2" bestFit="1" customWidth="1"/>
    <col min="11768" max="11768" width="9" style="2"/>
    <col min="11769" max="11779" width="11.125" style="2" bestFit="1" customWidth="1"/>
    <col min="11780" max="11780" width="9" style="2"/>
    <col min="11781" max="11782" width="11.125" style="2" bestFit="1" customWidth="1"/>
    <col min="11783" max="11784" width="9" style="2"/>
    <col min="11785" max="11789" width="11.125" style="2" bestFit="1" customWidth="1"/>
    <col min="11790" max="11790" width="9" style="2"/>
    <col min="11791" max="11791" width="9.625" style="2" bestFit="1" customWidth="1"/>
    <col min="11792" max="12017" width="9" style="2"/>
    <col min="12018" max="12018" width="2.375" style="2" customWidth="1"/>
    <col min="12019" max="12019" width="13.25" style="2" bestFit="1" customWidth="1"/>
    <col min="12020" max="12021" width="11.125" style="2" bestFit="1" customWidth="1"/>
    <col min="12022" max="12022" width="13.25" style="2" bestFit="1" customWidth="1"/>
    <col min="12023" max="12023" width="11.125" style="2" bestFit="1" customWidth="1"/>
    <col min="12024" max="12024" width="9" style="2"/>
    <col min="12025" max="12035" width="11.125" style="2" bestFit="1" customWidth="1"/>
    <col min="12036" max="12036" width="9" style="2"/>
    <col min="12037" max="12038" width="11.125" style="2" bestFit="1" customWidth="1"/>
    <col min="12039" max="12040" width="9" style="2"/>
    <col min="12041" max="12045" width="11.125" style="2" bestFit="1" customWidth="1"/>
    <col min="12046" max="12046" width="9" style="2"/>
    <col min="12047" max="12047" width="9.625" style="2" bestFit="1" customWidth="1"/>
    <col min="12048" max="12273" width="9" style="2"/>
    <col min="12274" max="12274" width="2.375" style="2" customWidth="1"/>
    <col min="12275" max="12275" width="13.25" style="2" bestFit="1" customWidth="1"/>
    <col min="12276" max="12277" width="11.125" style="2" bestFit="1" customWidth="1"/>
    <col min="12278" max="12278" width="13.25" style="2" bestFit="1" customWidth="1"/>
    <col min="12279" max="12279" width="11.125" style="2" bestFit="1" customWidth="1"/>
    <col min="12280" max="12280" width="9" style="2"/>
    <col min="12281" max="12291" width="11.125" style="2" bestFit="1" customWidth="1"/>
    <col min="12292" max="12292" width="9" style="2"/>
    <col min="12293" max="12294" width="11.125" style="2" bestFit="1" customWidth="1"/>
    <col min="12295" max="12296" width="9" style="2"/>
    <col min="12297" max="12301" width="11.125" style="2" bestFit="1" customWidth="1"/>
    <col min="12302" max="12302" width="9" style="2"/>
    <col min="12303" max="12303" width="9.625" style="2" bestFit="1" customWidth="1"/>
    <col min="12304" max="12529" width="9" style="2"/>
    <col min="12530" max="12530" width="2.375" style="2" customWidth="1"/>
    <col min="12531" max="12531" width="13.25" style="2" bestFit="1" customWidth="1"/>
    <col min="12532" max="12533" width="11.125" style="2" bestFit="1" customWidth="1"/>
    <col min="12534" max="12534" width="13.25" style="2" bestFit="1" customWidth="1"/>
    <col min="12535" max="12535" width="11.125" style="2" bestFit="1" customWidth="1"/>
    <col min="12536" max="12536" width="9" style="2"/>
    <col min="12537" max="12547" width="11.125" style="2" bestFit="1" customWidth="1"/>
    <col min="12548" max="12548" width="9" style="2"/>
    <col min="12549" max="12550" width="11.125" style="2" bestFit="1" customWidth="1"/>
    <col min="12551" max="12552" width="9" style="2"/>
    <col min="12553" max="12557" width="11.125" style="2" bestFit="1" customWidth="1"/>
    <col min="12558" max="12558" width="9" style="2"/>
    <col min="12559" max="12559" width="9.625" style="2" bestFit="1" customWidth="1"/>
    <col min="12560" max="12785" width="9" style="2"/>
    <col min="12786" max="12786" width="2.375" style="2" customWidth="1"/>
    <col min="12787" max="12787" width="13.25" style="2" bestFit="1" customWidth="1"/>
    <col min="12788" max="12789" width="11.125" style="2" bestFit="1" customWidth="1"/>
    <col min="12790" max="12790" width="13.25" style="2" bestFit="1" customWidth="1"/>
    <col min="12791" max="12791" width="11.125" style="2" bestFit="1" customWidth="1"/>
    <col min="12792" max="12792" width="9" style="2"/>
    <col min="12793" max="12803" width="11.125" style="2" bestFit="1" customWidth="1"/>
    <col min="12804" max="12804" width="9" style="2"/>
    <col min="12805" max="12806" width="11.125" style="2" bestFit="1" customWidth="1"/>
    <col min="12807" max="12808" width="9" style="2"/>
    <col min="12809" max="12813" width="11.125" style="2" bestFit="1" customWidth="1"/>
    <col min="12814" max="12814" width="9" style="2"/>
    <col min="12815" max="12815" width="9.625" style="2" bestFit="1" customWidth="1"/>
    <col min="12816" max="13041" width="9" style="2"/>
    <col min="13042" max="13042" width="2.375" style="2" customWidth="1"/>
    <col min="13043" max="13043" width="13.25" style="2" bestFit="1" customWidth="1"/>
    <col min="13044" max="13045" width="11.125" style="2" bestFit="1" customWidth="1"/>
    <col min="13046" max="13046" width="13.25" style="2" bestFit="1" customWidth="1"/>
    <col min="13047" max="13047" width="11.125" style="2" bestFit="1" customWidth="1"/>
    <col min="13048" max="13048" width="9" style="2"/>
    <col min="13049" max="13059" width="11.125" style="2" bestFit="1" customWidth="1"/>
    <col min="13060" max="13060" width="9" style="2"/>
    <col min="13061" max="13062" width="11.125" style="2" bestFit="1" customWidth="1"/>
    <col min="13063" max="13064" width="9" style="2"/>
    <col min="13065" max="13069" width="11.125" style="2" bestFit="1" customWidth="1"/>
    <col min="13070" max="13070" width="9" style="2"/>
    <col min="13071" max="13071" width="9.625" style="2" bestFit="1" customWidth="1"/>
    <col min="13072" max="13297" width="9" style="2"/>
    <col min="13298" max="13298" width="2.375" style="2" customWidth="1"/>
    <col min="13299" max="13299" width="13.25" style="2" bestFit="1" customWidth="1"/>
    <col min="13300" max="13301" width="11.125" style="2" bestFit="1" customWidth="1"/>
    <col min="13302" max="13302" width="13.25" style="2" bestFit="1" customWidth="1"/>
    <col min="13303" max="13303" width="11.125" style="2" bestFit="1" customWidth="1"/>
    <col min="13304" max="13304" width="9" style="2"/>
    <col min="13305" max="13315" width="11.125" style="2" bestFit="1" customWidth="1"/>
    <col min="13316" max="13316" width="9" style="2"/>
    <col min="13317" max="13318" width="11.125" style="2" bestFit="1" customWidth="1"/>
    <col min="13319" max="13320" width="9" style="2"/>
    <col min="13321" max="13325" width="11.125" style="2" bestFit="1" customWidth="1"/>
    <col min="13326" max="13326" width="9" style="2"/>
    <col min="13327" max="13327" width="9.625" style="2" bestFit="1" customWidth="1"/>
    <col min="13328" max="13553" width="9" style="2"/>
    <col min="13554" max="13554" width="2.375" style="2" customWidth="1"/>
    <col min="13555" max="13555" width="13.25" style="2" bestFit="1" customWidth="1"/>
    <col min="13556" max="13557" width="11.125" style="2" bestFit="1" customWidth="1"/>
    <col min="13558" max="13558" width="13.25" style="2" bestFit="1" customWidth="1"/>
    <col min="13559" max="13559" width="11.125" style="2" bestFit="1" customWidth="1"/>
    <col min="13560" max="13560" width="9" style="2"/>
    <col min="13561" max="13571" width="11.125" style="2" bestFit="1" customWidth="1"/>
    <col min="13572" max="13572" width="9" style="2"/>
    <col min="13573" max="13574" width="11.125" style="2" bestFit="1" customWidth="1"/>
    <col min="13575" max="13576" width="9" style="2"/>
    <col min="13577" max="13581" width="11.125" style="2" bestFit="1" customWidth="1"/>
    <col min="13582" max="13582" width="9" style="2"/>
    <col min="13583" max="13583" width="9.625" style="2" bestFit="1" customWidth="1"/>
    <col min="13584" max="13809" width="9" style="2"/>
    <col min="13810" max="13810" width="2.375" style="2" customWidth="1"/>
    <col min="13811" max="13811" width="13.25" style="2" bestFit="1" customWidth="1"/>
    <col min="13812" max="13813" width="11.125" style="2" bestFit="1" customWidth="1"/>
    <col min="13814" max="13814" width="13.25" style="2" bestFit="1" customWidth="1"/>
    <col min="13815" max="13815" width="11.125" style="2" bestFit="1" customWidth="1"/>
    <col min="13816" max="13816" width="9" style="2"/>
    <col min="13817" max="13827" width="11.125" style="2" bestFit="1" customWidth="1"/>
    <col min="13828" max="13828" width="9" style="2"/>
    <col min="13829" max="13830" width="11.125" style="2" bestFit="1" customWidth="1"/>
    <col min="13831" max="13832" width="9" style="2"/>
    <col min="13833" max="13837" width="11.125" style="2" bestFit="1" customWidth="1"/>
    <col min="13838" max="13838" width="9" style="2"/>
    <col min="13839" max="13839" width="9.625" style="2" bestFit="1" customWidth="1"/>
    <col min="13840" max="14065" width="9" style="2"/>
    <col min="14066" max="14066" width="2.375" style="2" customWidth="1"/>
    <col min="14067" max="14067" width="13.25" style="2" bestFit="1" customWidth="1"/>
    <col min="14068" max="14069" width="11.125" style="2" bestFit="1" customWidth="1"/>
    <col min="14070" max="14070" width="13.25" style="2" bestFit="1" customWidth="1"/>
    <col min="14071" max="14071" width="11.125" style="2" bestFit="1" customWidth="1"/>
    <col min="14072" max="14072" width="9" style="2"/>
    <col min="14073" max="14083" width="11.125" style="2" bestFit="1" customWidth="1"/>
    <col min="14084" max="14084" width="9" style="2"/>
    <col min="14085" max="14086" width="11.125" style="2" bestFit="1" customWidth="1"/>
    <col min="14087" max="14088" width="9" style="2"/>
    <col min="14089" max="14093" width="11.125" style="2" bestFit="1" customWidth="1"/>
    <col min="14094" max="14094" width="9" style="2"/>
    <col min="14095" max="14095" width="9.625" style="2" bestFit="1" customWidth="1"/>
    <col min="14096" max="14321" width="9" style="2"/>
    <col min="14322" max="14322" width="2.375" style="2" customWidth="1"/>
    <col min="14323" max="14323" width="13.25" style="2" bestFit="1" customWidth="1"/>
    <col min="14324" max="14325" width="11.125" style="2" bestFit="1" customWidth="1"/>
    <col min="14326" max="14326" width="13.25" style="2" bestFit="1" customWidth="1"/>
    <col min="14327" max="14327" width="11.125" style="2" bestFit="1" customWidth="1"/>
    <col min="14328" max="14328" width="9" style="2"/>
    <col min="14329" max="14339" width="11.125" style="2" bestFit="1" customWidth="1"/>
    <col min="14340" max="14340" width="9" style="2"/>
    <col min="14341" max="14342" width="11.125" style="2" bestFit="1" customWidth="1"/>
    <col min="14343" max="14344" width="9" style="2"/>
    <col min="14345" max="14349" width="11.125" style="2" bestFit="1" customWidth="1"/>
    <col min="14350" max="14350" width="9" style="2"/>
    <col min="14351" max="14351" width="9.625" style="2" bestFit="1" customWidth="1"/>
    <col min="14352" max="14577" width="9" style="2"/>
    <col min="14578" max="14578" width="2.375" style="2" customWidth="1"/>
    <col min="14579" max="14579" width="13.25" style="2" bestFit="1" customWidth="1"/>
    <col min="14580" max="14581" width="11.125" style="2" bestFit="1" customWidth="1"/>
    <col min="14582" max="14582" width="13.25" style="2" bestFit="1" customWidth="1"/>
    <col min="14583" max="14583" width="11.125" style="2" bestFit="1" customWidth="1"/>
    <col min="14584" max="14584" width="9" style="2"/>
    <col min="14585" max="14595" width="11.125" style="2" bestFit="1" customWidth="1"/>
    <col min="14596" max="14596" width="9" style="2"/>
    <col min="14597" max="14598" width="11.125" style="2" bestFit="1" customWidth="1"/>
    <col min="14599" max="14600" width="9" style="2"/>
    <col min="14601" max="14605" width="11.125" style="2" bestFit="1" customWidth="1"/>
    <col min="14606" max="14606" width="9" style="2"/>
    <col min="14607" max="14607" width="9.625" style="2" bestFit="1" customWidth="1"/>
    <col min="14608" max="14833" width="9" style="2"/>
    <col min="14834" max="14834" width="2.375" style="2" customWidth="1"/>
    <col min="14835" max="14835" width="13.25" style="2" bestFit="1" customWidth="1"/>
    <col min="14836" max="14837" width="11.125" style="2" bestFit="1" customWidth="1"/>
    <col min="14838" max="14838" width="13.25" style="2" bestFit="1" customWidth="1"/>
    <col min="14839" max="14839" width="11.125" style="2" bestFit="1" customWidth="1"/>
    <col min="14840" max="14840" width="9" style="2"/>
    <col min="14841" max="14851" width="11.125" style="2" bestFit="1" customWidth="1"/>
    <col min="14852" max="14852" width="9" style="2"/>
    <col min="14853" max="14854" width="11.125" style="2" bestFit="1" customWidth="1"/>
    <col min="14855" max="14856" width="9" style="2"/>
    <col min="14857" max="14861" width="11.125" style="2" bestFit="1" customWidth="1"/>
    <col min="14862" max="14862" width="9" style="2"/>
    <col min="14863" max="14863" width="9.625" style="2" bestFit="1" customWidth="1"/>
    <col min="14864" max="15089" width="9" style="2"/>
    <col min="15090" max="15090" width="2.375" style="2" customWidth="1"/>
    <col min="15091" max="15091" width="13.25" style="2" bestFit="1" customWidth="1"/>
    <col min="15092" max="15093" width="11.125" style="2" bestFit="1" customWidth="1"/>
    <col min="15094" max="15094" width="13.25" style="2" bestFit="1" customWidth="1"/>
    <col min="15095" max="15095" width="11.125" style="2" bestFit="1" customWidth="1"/>
    <col min="15096" max="15096" width="9" style="2"/>
    <col min="15097" max="15107" width="11.125" style="2" bestFit="1" customWidth="1"/>
    <col min="15108" max="15108" width="9" style="2"/>
    <col min="15109" max="15110" width="11.125" style="2" bestFit="1" customWidth="1"/>
    <col min="15111" max="15112" width="9" style="2"/>
    <col min="15113" max="15117" width="11.125" style="2" bestFit="1" customWidth="1"/>
    <col min="15118" max="15118" width="9" style="2"/>
    <col min="15119" max="15119" width="9.625" style="2" bestFit="1" customWidth="1"/>
    <col min="15120" max="15345" width="9" style="2"/>
    <col min="15346" max="15346" width="2.375" style="2" customWidth="1"/>
    <col min="15347" max="15347" width="13.25" style="2" bestFit="1" customWidth="1"/>
    <col min="15348" max="15349" width="11.125" style="2" bestFit="1" customWidth="1"/>
    <col min="15350" max="15350" width="13.25" style="2" bestFit="1" customWidth="1"/>
    <col min="15351" max="15351" width="11.125" style="2" bestFit="1" customWidth="1"/>
    <col min="15352" max="15352" width="9" style="2"/>
    <col min="15353" max="15363" width="11.125" style="2" bestFit="1" customWidth="1"/>
    <col min="15364" max="15364" width="9" style="2"/>
    <col min="15365" max="15366" width="11.125" style="2" bestFit="1" customWidth="1"/>
    <col min="15367" max="15368" width="9" style="2"/>
    <col min="15369" max="15373" width="11.125" style="2" bestFit="1" customWidth="1"/>
    <col min="15374" max="15374" width="9" style="2"/>
    <col min="15375" max="15375" width="9.625" style="2" bestFit="1" customWidth="1"/>
    <col min="15376" max="15601" width="9" style="2"/>
    <col min="15602" max="15602" width="2.375" style="2" customWidth="1"/>
    <col min="15603" max="15603" width="13.25" style="2" bestFit="1" customWidth="1"/>
    <col min="15604" max="15605" width="11.125" style="2" bestFit="1" customWidth="1"/>
    <col min="15606" max="15606" width="13.25" style="2" bestFit="1" customWidth="1"/>
    <col min="15607" max="15607" width="11.125" style="2" bestFit="1" customWidth="1"/>
    <col min="15608" max="15608" width="9" style="2"/>
    <col min="15609" max="15619" width="11.125" style="2" bestFit="1" customWidth="1"/>
    <col min="15620" max="15620" width="9" style="2"/>
    <col min="15621" max="15622" width="11.125" style="2" bestFit="1" customWidth="1"/>
    <col min="15623" max="15624" width="9" style="2"/>
    <col min="15625" max="15629" width="11.125" style="2" bestFit="1" customWidth="1"/>
    <col min="15630" max="15630" width="9" style="2"/>
    <col min="15631" max="15631" width="9.625" style="2" bestFit="1" customWidth="1"/>
    <col min="15632" max="15857" width="9" style="2"/>
    <col min="15858" max="15858" width="2.375" style="2" customWidth="1"/>
    <col min="15859" max="15859" width="13.25" style="2" bestFit="1" customWidth="1"/>
    <col min="15860" max="15861" width="11.125" style="2" bestFit="1" customWidth="1"/>
    <col min="15862" max="15862" width="13.25" style="2" bestFit="1" customWidth="1"/>
    <col min="15863" max="15863" width="11.125" style="2" bestFit="1" customWidth="1"/>
    <col min="15864" max="15864" width="9" style="2"/>
    <col min="15865" max="15875" width="11.125" style="2" bestFit="1" customWidth="1"/>
    <col min="15876" max="15876" width="9" style="2"/>
    <col min="15877" max="15878" width="11.125" style="2" bestFit="1" customWidth="1"/>
    <col min="15879" max="15880" width="9" style="2"/>
    <col min="15881" max="15885" width="11.125" style="2" bestFit="1" customWidth="1"/>
    <col min="15886" max="15886" width="9" style="2"/>
    <col min="15887" max="15887" width="9.625" style="2" bestFit="1" customWidth="1"/>
    <col min="15888" max="16113" width="9" style="2"/>
    <col min="16114" max="16114" width="2.375" style="2" customWidth="1"/>
    <col min="16115" max="16115" width="13.25" style="2" bestFit="1" customWidth="1"/>
    <col min="16116" max="16117" width="11.125" style="2" bestFit="1" customWidth="1"/>
    <col min="16118" max="16118" width="13.25" style="2" bestFit="1" customWidth="1"/>
    <col min="16119" max="16119" width="11.125" style="2" bestFit="1" customWidth="1"/>
    <col min="16120" max="16120" width="9" style="2"/>
    <col min="16121" max="16131" width="11.125" style="2" bestFit="1" customWidth="1"/>
    <col min="16132" max="16132" width="9" style="2"/>
    <col min="16133" max="16134" width="11.125" style="2" bestFit="1" customWidth="1"/>
    <col min="16135" max="16136" width="9" style="2"/>
    <col min="16137" max="16141" width="11.125" style="2" bestFit="1" customWidth="1"/>
    <col min="16142" max="16142" width="9" style="2"/>
    <col min="16143" max="16143" width="9.625" style="2" bestFit="1" customWidth="1"/>
    <col min="16144" max="16384" width="9" style="2"/>
  </cols>
  <sheetData>
    <row r="1" spans="1:15">
      <c r="A1" s="1" t="s">
        <v>0</v>
      </c>
    </row>
    <row r="2" spans="1:15">
      <c r="A2" s="1"/>
    </row>
    <row r="3" spans="1:15">
      <c r="A3" s="1" t="s">
        <v>1</v>
      </c>
    </row>
    <row r="4" spans="1:15">
      <c r="A4" s="1" t="s">
        <v>2</v>
      </c>
    </row>
    <row r="5" spans="1:15">
      <c r="A5" s="1" t="s">
        <v>3</v>
      </c>
    </row>
    <row r="6" spans="1:15" ht="19.5" thickBot="1">
      <c r="A6" s="1" t="s">
        <v>4</v>
      </c>
    </row>
    <row r="7" spans="1:15">
      <c r="B7" s="26"/>
      <c r="C7" s="4" t="s">
        <v>23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28</v>
      </c>
      <c r="I7" s="4" t="s">
        <v>29</v>
      </c>
      <c r="J7" s="4" t="s">
        <v>30</v>
      </c>
      <c r="K7" s="59" t="s">
        <v>31</v>
      </c>
      <c r="L7" s="83" t="s">
        <v>22</v>
      </c>
      <c r="M7" s="46" t="s">
        <v>32</v>
      </c>
      <c r="N7" s="82" t="s">
        <v>22</v>
      </c>
      <c r="O7" s="82" t="s">
        <v>33</v>
      </c>
    </row>
    <row r="8" spans="1:15" ht="19.5" thickBot="1">
      <c r="A8" s="3"/>
      <c r="B8" s="27" t="s">
        <v>34</v>
      </c>
      <c r="C8" s="25" t="s">
        <v>53</v>
      </c>
      <c r="D8" s="25" t="s">
        <v>54</v>
      </c>
      <c r="E8" s="25" t="s">
        <v>55</v>
      </c>
      <c r="F8" s="25" t="s">
        <v>56</v>
      </c>
      <c r="G8" s="25" t="s">
        <v>57</v>
      </c>
      <c r="H8" s="25" t="s">
        <v>58</v>
      </c>
      <c r="I8" s="25" t="s">
        <v>59</v>
      </c>
      <c r="J8" s="25" t="s">
        <v>60</v>
      </c>
      <c r="K8" s="60" t="s">
        <v>61</v>
      </c>
      <c r="L8" s="71" t="s">
        <v>62</v>
      </c>
      <c r="M8" s="48" t="s">
        <v>63</v>
      </c>
      <c r="N8" s="34" t="s">
        <v>64</v>
      </c>
      <c r="O8" s="34" t="s">
        <v>65</v>
      </c>
    </row>
    <row r="9" spans="1:15">
      <c r="A9" s="1" t="s">
        <v>3</v>
      </c>
      <c r="B9" s="28" t="s">
        <v>66</v>
      </c>
      <c r="C9" s="15">
        <v>23</v>
      </c>
      <c r="D9" s="15">
        <v>23</v>
      </c>
      <c r="E9" s="15">
        <v>20</v>
      </c>
      <c r="F9" s="15">
        <v>10</v>
      </c>
      <c r="G9" s="15">
        <v>13</v>
      </c>
      <c r="H9" s="15">
        <v>19</v>
      </c>
      <c r="I9" s="15">
        <v>6</v>
      </c>
      <c r="J9" s="15">
        <v>11</v>
      </c>
      <c r="K9" s="61">
        <v>24</v>
      </c>
      <c r="L9" s="72">
        <f>SUM(C9:K9)</f>
        <v>149</v>
      </c>
      <c r="M9" s="16">
        <v>23</v>
      </c>
      <c r="N9" s="35">
        <f>M9</f>
        <v>23</v>
      </c>
      <c r="O9" s="35">
        <f>L9+N9</f>
        <v>172</v>
      </c>
    </row>
    <row r="10" spans="1:15">
      <c r="A10" s="1" t="s">
        <v>3</v>
      </c>
      <c r="B10" s="29" t="s">
        <v>67</v>
      </c>
      <c r="C10" s="5">
        <v>0</v>
      </c>
      <c r="D10" s="5">
        <v>1</v>
      </c>
      <c r="E10" s="5">
        <v>3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62">
        <v>0</v>
      </c>
      <c r="L10" s="73">
        <f t="shared" ref="L10:L24" si="0">SUM(C10:K10)</f>
        <v>4</v>
      </c>
      <c r="M10" s="6">
        <v>0</v>
      </c>
      <c r="N10" s="36">
        <f t="shared" ref="N10:N24" si="1">M10</f>
        <v>0</v>
      </c>
      <c r="O10" s="36">
        <f t="shared" ref="O10:O24" si="2">L10+N10</f>
        <v>4</v>
      </c>
    </row>
    <row r="11" spans="1:15">
      <c r="A11" s="1" t="s">
        <v>3</v>
      </c>
      <c r="B11" s="29" t="s">
        <v>68</v>
      </c>
      <c r="C11" s="5">
        <v>0</v>
      </c>
      <c r="D11" s="5">
        <v>0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62">
        <v>0</v>
      </c>
      <c r="L11" s="73">
        <f t="shared" si="0"/>
        <v>3</v>
      </c>
      <c r="M11" s="6">
        <v>0</v>
      </c>
      <c r="N11" s="36">
        <f t="shared" si="1"/>
        <v>0</v>
      </c>
      <c r="O11" s="36">
        <f t="shared" si="2"/>
        <v>3</v>
      </c>
    </row>
    <row r="12" spans="1:15">
      <c r="A12" s="1" t="s">
        <v>3</v>
      </c>
      <c r="B12" s="29" t="s">
        <v>69</v>
      </c>
      <c r="C12" s="5">
        <v>0</v>
      </c>
      <c r="D12" s="5">
        <v>0</v>
      </c>
      <c r="E12" s="5">
        <v>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62">
        <v>0</v>
      </c>
      <c r="L12" s="73">
        <f t="shared" si="0"/>
        <v>3</v>
      </c>
      <c r="M12" s="6">
        <v>0</v>
      </c>
      <c r="N12" s="36">
        <f t="shared" si="1"/>
        <v>0</v>
      </c>
      <c r="O12" s="36">
        <f t="shared" si="2"/>
        <v>3</v>
      </c>
    </row>
    <row r="13" spans="1:15">
      <c r="A13" s="1" t="s">
        <v>3</v>
      </c>
      <c r="B13" s="29" t="s">
        <v>70</v>
      </c>
      <c r="C13" s="5">
        <v>0.5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2</v>
      </c>
      <c r="K13" s="62">
        <v>1</v>
      </c>
      <c r="L13" s="73">
        <f t="shared" si="0"/>
        <v>4.5</v>
      </c>
      <c r="M13" s="6">
        <v>0</v>
      </c>
      <c r="N13" s="36">
        <f t="shared" si="1"/>
        <v>0</v>
      </c>
      <c r="O13" s="36">
        <f t="shared" si="2"/>
        <v>4.5</v>
      </c>
    </row>
    <row r="14" spans="1:15">
      <c r="A14" s="1" t="s">
        <v>3</v>
      </c>
      <c r="B14" s="29" t="s">
        <v>71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62">
        <v>0</v>
      </c>
      <c r="L14" s="73">
        <f t="shared" si="0"/>
        <v>0</v>
      </c>
      <c r="M14" s="6">
        <v>0</v>
      </c>
      <c r="N14" s="36">
        <f t="shared" si="1"/>
        <v>0</v>
      </c>
      <c r="O14" s="36">
        <f t="shared" si="2"/>
        <v>0</v>
      </c>
    </row>
    <row r="15" spans="1:15">
      <c r="A15" s="1" t="s">
        <v>3</v>
      </c>
      <c r="B15" s="29" t="s">
        <v>72</v>
      </c>
      <c r="C15" s="7">
        <v>0</v>
      </c>
      <c r="D15" s="7">
        <v>0</v>
      </c>
      <c r="E15" s="7">
        <v>0</v>
      </c>
      <c r="F15" s="7">
        <v>2.9166666666666665</v>
      </c>
      <c r="G15" s="7">
        <v>3.3333333333333335</v>
      </c>
      <c r="H15" s="7">
        <v>4.875</v>
      </c>
      <c r="I15" s="7">
        <v>1.9166666666666665</v>
      </c>
      <c r="J15" s="7">
        <v>3.2083333333333335</v>
      </c>
      <c r="K15" s="63">
        <v>5.916666666666667</v>
      </c>
      <c r="L15" s="74">
        <f t="shared" si="0"/>
        <v>22.166666666666668</v>
      </c>
      <c r="M15" s="8">
        <v>0</v>
      </c>
      <c r="N15" s="37">
        <f t="shared" si="1"/>
        <v>0</v>
      </c>
      <c r="O15" s="37">
        <f t="shared" si="2"/>
        <v>22.166666666666668</v>
      </c>
    </row>
    <row r="16" spans="1:15">
      <c r="A16" s="1" t="s">
        <v>3</v>
      </c>
      <c r="B16" s="29" t="s">
        <v>73</v>
      </c>
      <c r="C16" s="7">
        <v>0</v>
      </c>
      <c r="D16" s="7">
        <v>1.25</v>
      </c>
      <c r="E16" s="7">
        <v>0.29166666666666669</v>
      </c>
      <c r="F16" s="7">
        <v>0</v>
      </c>
      <c r="G16" s="7">
        <v>0</v>
      </c>
      <c r="H16" s="7">
        <v>0</v>
      </c>
      <c r="I16" s="7">
        <v>8.3333333333333329E-2</v>
      </c>
      <c r="J16" s="7">
        <v>0</v>
      </c>
      <c r="K16" s="63">
        <v>0.20833333333333334</v>
      </c>
      <c r="L16" s="74">
        <f t="shared" si="0"/>
        <v>1.8333333333333333</v>
      </c>
      <c r="M16" s="8">
        <v>0</v>
      </c>
      <c r="N16" s="37">
        <f t="shared" si="1"/>
        <v>0</v>
      </c>
      <c r="O16" s="37">
        <f t="shared" si="2"/>
        <v>1.8333333333333333</v>
      </c>
    </row>
    <row r="17" spans="1:15">
      <c r="A17" s="1" t="s">
        <v>3</v>
      </c>
      <c r="B17" s="29" t="s">
        <v>74</v>
      </c>
      <c r="C17" s="7">
        <v>0</v>
      </c>
      <c r="D17" s="7">
        <v>4.1666666666666664E-2</v>
      </c>
      <c r="E17" s="7">
        <v>0.79166666666666663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63">
        <v>0</v>
      </c>
      <c r="L17" s="74">
        <f t="shared" si="0"/>
        <v>0.83333333333333326</v>
      </c>
      <c r="M17" s="8">
        <v>0</v>
      </c>
      <c r="N17" s="37">
        <f t="shared" si="1"/>
        <v>0</v>
      </c>
      <c r="O17" s="37">
        <f t="shared" si="2"/>
        <v>0.83333333333333326</v>
      </c>
    </row>
    <row r="18" spans="1:15">
      <c r="A18" s="1" t="s">
        <v>3</v>
      </c>
      <c r="B18" s="29" t="s">
        <v>75</v>
      </c>
      <c r="C18" s="7">
        <v>0</v>
      </c>
      <c r="D18" s="7">
        <v>0</v>
      </c>
      <c r="E18" s="7">
        <v>0.41666666666666669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63">
        <v>0</v>
      </c>
      <c r="L18" s="74">
        <f t="shared" si="0"/>
        <v>0.41666666666666669</v>
      </c>
      <c r="M18" s="8">
        <v>0</v>
      </c>
      <c r="N18" s="37">
        <f t="shared" si="1"/>
        <v>0</v>
      </c>
      <c r="O18" s="37">
        <f t="shared" si="2"/>
        <v>0.41666666666666669</v>
      </c>
    </row>
    <row r="19" spans="1:15">
      <c r="A19" s="1" t="s">
        <v>3</v>
      </c>
      <c r="B19" s="29" t="s">
        <v>76</v>
      </c>
      <c r="C19" s="7">
        <v>0</v>
      </c>
      <c r="D19" s="7">
        <v>0</v>
      </c>
      <c r="E19" s="7">
        <v>0.41666666666666669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63">
        <v>0</v>
      </c>
      <c r="L19" s="74">
        <f t="shared" si="0"/>
        <v>0.41666666666666669</v>
      </c>
      <c r="M19" s="8">
        <v>0</v>
      </c>
      <c r="N19" s="37">
        <f t="shared" si="1"/>
        <v>0</v>
      </c>
      <c r="O19" s="37">
        <f t="shared" si="2"/>
        <v>0.41666666666666669</v>
      </c>
    </row>
    <row r="20" spans="1:15">
      <c r="A20" s="1" t="s">
        <v>3</v>
      </c>
      <c r="B20" s="29" t="s">
        <v>77</v>
      </c>
      <c r="C20" s="7">
        <v>0</v>
      </c>
      <c r="D20" s="7">
        <v>0</v>
      </c>
      <c r="E20" s="7">
        <v>0.625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63">
        <v>0</v>
      </c>
      <c r="L20" s="74">
        <f t="shared" si="0"/>
        <v>0.625</v>
      </c>
      <c r="M20" s="8">
        <v>0</v>
      </c>
      <c r="N20" s="37">
        <f t="shared" si="1"/>
        <v>0</v>
      </c>
      <c r="O20" s="37">
        <f t="shared" si="2"/>
        <v>0.625</v>
      </c>
    </row>
    <row r="21" spans="1:15">
      <c r="A21" s="1" t="s">
        <v>3</v>
      </c>
      <c r="B21" s="29" t="s">
        <v>78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63">
        <v>0</v>
      </c>
      <c r="L21" s="74">
        <f t="shared" si="0"/>
        <v>0</v>
      </c>
      <c r="M21" s="8">
        <v>0</v>
      </c>
      <c r="N21" s="37">
        <f t="shared" si="1"/>
        <v>0</v>
      </c>
      <c r="O21" s="37">
        <f t="shared" si="2"/>
        <v>0</v>
      </c>
    </row>
    <row r="22" spans="1:15">
      <c r="A22" s="1" t="s">
        <v>3</v>
      </c>
      <c r="B22" s="29" t="s">
        <v>79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63">
        <v>0</v>
      </c>
      <c r="L22" s="74">
        <f t="shared" si="0"/>
        <v>0</v>
      </c>
      <c r="M22" s="8">
        <v>0</v>
      </c>
      <c r="N22" s="37">
        <f t="shared" si="1"/>
        <v>0</v>
      </c>
      <c r="O22" s="37">
        <f t="shared" si="2"/>
        <v>0</v>
      </c>
    </row>
    <row r="23" spans="1:15">
      <c r="A23" s="1" t="s">
        <v>3</v>
      </c>
      <c r="B23" s="29" t="s">
        <v>80</v>
      </c>
      <c r="C23" s="7">
        <v>0</v>
      </c>
      <c r="D23" s="7">
        <v>0</v>
      </c>
      <c r="E23" s="7">
        <v>0</v>
      </c>
      <c r="F23" s="7">
        <v>0.29166666666666669</v>
      </c>
      <c r="G23" s="7">
        <v>0</v>
      </c>
      <c r="H23" s="7">
        <v>0</v>
      </c>
      <c r="I23" s="7">
        <v>0</v>
      </c>
      <c r="J23" s="7">
        <v>0.58333333333333337</v>
      </c>
      <c r="K23" s="63">
        <v>0.33333333333333331</v>
      </c>
      <c r="L23" s="74">
        <f t="shared" si="0"/>
        <v>1.2083333333333333</v>
      </c>
      <c r="M23" s="8">
        <v>0</v>
      </c>
      <c r="N23" s="37">
        <f t="shared" si="1"/>
        <v>0</v>
      </c>
      <c r="O23" s="37">
        <f t="shared" si="2"/>
        <v>1.2083333333333333</v>
      </c>
    </row>
    <row r="24" spans="1:15">
      <c r="A24" s="1" t="s">
        <v>3</v>
      </c>
      <c r="B24" s="29" t="s">
        <v>81</v>
      </c>
      <c r="C24" s="7">
        <v>4.1666666666666664E-2</v>
      </c>
      <c r="D24" s="7">
        <v>4.1666666666666664E-2</v>
      </c>
      <c r="E24" s="7">
        <v>0</v>
      </c>
      <c r="F24" s="7">
        <v>2.0833333333333335</v>
      </c>
      <c r="G24" s="7">
        <v>0</v>
      </c>
      <c r="H24" s="7">
        <v>0</v>
      </c>
      <c r="I24" s="7">
        <v>0.41666666666666669</v>
      </c>
      <c r="J24" s="7">
        <v>2.2916666666666665</v>
      </c>
      <c r="K24" s="63">
        <v>1.6666666666666665</v>
      </c>
      <c r="L24" s="74">
        <f t="shared" si="0"/>
        <v>6.5416666666666661</v>
      </c>
      <c r="M24" s="8">
        <v>0</v>
      </c>
      <c r="N24" s="37">
        <f t="shared" si="1"/>
        <v>0</v>
      </c>
      <c r="O24" s="37">
        <f t="shared" si="2"/>
        <v>6.5416666666666661</v>
      </c>
    </row>
    <row r="25" spans="1:15">
      <c r="A25" s="1" t="s">
        <v>3</v>
      </c>
      <c r="B25" s="30" t="s">
        <v>82</v>
      </c>
      <c r="C25" s="19">
        <v>30.5</v>
      </c>
      <c r="D25" s="19">
        <v>39.5</v>
      </c>
      <c r="E25" s="19">
        <v>15</v>
      </c>
      <c r="F25" s="19">
        <v>5</v>
      </c>
      <c r="G25" s="19">
        <v>21</v>
      </c>
      <c r="H25" s="19">
        <v>21</v>
      </c>
      <c r="I25" s="19">
        <v>6</v>
      </c>
      <c r="J25" s="19">
        <v>18</v>
      </c>
      <c r="K25" s="64">
        <v>6</v>
      </c>
      <c r="L25" s="75"/>
      <c r="M25" s="20">
        <v>36.5</v>
      </c>
      <c r="N25" s="38"/>
      <c r="O25" s="38"/>
    </row>
    <row r="26" spans="1:15">
      <c r="A26" s="1" t="s">
        <v>3</v>
      </c>
      <c r="B26" s="28" t="s">
        <v>83</v>
      </c>
      <c r="C26" s="17">
        <v>370000</v>
      </c>
      <c r="D26" s="17">
        <v>285000</v>
      </c>
      <c r="E26" s="17">
        <v>225000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65">
        <v>0</v>
      </c>
      <c r="L26" s="76">
        <f t="shared" ref="L26:L59" si="3">SUM(C26:K26)</f>
        <v>880000</v>
      </c>
      <c r="M26" s="18">
        <v>390000</v>
      </c>
      <c r="N26" s="39">
        <f t="shared" ref="N26:N59" si="4">M26</f>
        <v>390000</v>
      </c>
      <c r="O26" s="39">
        <f t="shared" ref="O26:O59" si="5">L26+N26</f>
        <v>1270000</v>
      </c>
    </row>
    <row r="27" spans="1:15">
      <c r="A27" s="1" t="s">
        <v>3</v>
      </c>
      <c r="B27" s="29" t="s">
        <v>84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66">
        <v>0</v>
      </c>
      <c r="L27" s="77">
        <f t="shared" si="3"/>
        <v>0</v>
      </c>
      <c r="M27" s="10">
        <v>0</v>
      </c>
      <c r="N27" s="40">
        <f t="shared" si="4"/>
        <v>0</v>
      </c>
      <c r="O27" s="40">
        <f t="shared" si="5"/>
        <v>0</v>
      </c>
    </row>
    <row r="28" spans="1:15">
      <c r="A28" s="1" t="s">
        <v>3</v>
      </c>
      <c r="B28" s="29" t="s">
        <v>85</v>
      </c>
      <c r="C28" s="9">
        <v>0</v>
      </c>
      <c r="D28" s="9">
        <v>3000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66">
        <v>0</v>
      </c>
      <c r="L28" s="77">
        <f t="shared" si="3"/>
        <v>3000</v>
      </c>
      <c r="M28" s="10">
        <v>0</v>
      </c>
      <c r="N28" s="40">
        <f t="shared" si="4"/>
        <v>0</v>
      </c>
      <c r="O28" s="40">
        <f t="shared" si="5"/>
        <v>3000</v>
      </c>
    </row>
    <row r="29" spans="1:15">
      <c r="A29" s="1" t="s">
        <v>3</v>
      </c>
      <c r="B29" s="29" t="s">
        <v>86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66">
        <v>0</v>
      </c>
      <c r="L29" s="77">
        <f t="shared" si="3"/>
        <v>0</v>
      </c>
      <c r="M29" s="10">
        <v>0</v>
      </c>
      <c r="N29" s="40">
        <f t="shared" si="4"/>
        <v>0</v>
      </c>
      <c r="O29" s="40">
        <f t="shared" si="5"/>
        <v>0</v>
      </c>
    </row>
    <row r="30" spans="1:15">
      <c r="A30" s="1" t="s">
        <v>3</v>
      </c>
      <c r="B30" s="29" t="s">
        <v>87</v>
      </c>
      <c r="C30" s="9">
        <v>0</v>
      </c>
      <c r="D30" s="9">
        <v>1000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66">
        <v>0</v>
      </c>
      <c r="L30" s="77">
        <f t="shared" si="3"/>
        <v>1000</v>
      </c>
      <c r="M30" s="10">
        <v>0</v>
      </c>
      <c r="N30" s="40">
        <f t="shared" si="4"/>
        <v>0</v>
      </c>
      <c r="O30" s="40">
        <f t="shared" si="5"/>
        <v>1000</v>
      </c>
    </row>
    <row r="31" spans="1:15">
      <c r="A31" s="1" t="s">
        <v>3</v>
      </c>
      <c r="B31" s="29" t="s">
        <v>88</v>
      </c>
      <c r="C31" s="9">
        <v>0</v>
      </c>
      <c r="D31" s="9">
        <v>0</v>
      </c>
      <c r="E31" s="9">
        <v>0</v>
      </c>
      <c r="F31" s="9">
        <v>68250</v>
      </c>
      <c r="G31" s="9">
        <v>82800</v>
      </c>
      <c r="H31" s="9">
        <v>125190</v>
      </c>
      <c r="I31" s="9">
        <v>44850</v>
      </c>
      <c r="J31" s="9">
        <v>75075</v>
      </c>
      <c r="K31" s="66">
        <v>138450</v>
      </c>
      <c r="L31" s="77">
        <f t="shared" si="3"/>
        <v>534615</v>
      </c>
      <c r="M31" s="10">
        <v>0</v>
      </c>
      <c r="N31" s="40">
        <f t="shared" si="4"/>
        <v>0</v>
      </c>
      <c r="O31" s="40">
        <f t="shared" si="5"/>
        <v>534615</v>
      </c>
    </row>
    <row r="32" spans="1:15">
      <c r="A32" s="1" t="s">
        <v>3</v>
      </c>
      <c r="B32" s="29" t="s">
        <v>89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66">
        <v>0</v>
      </c>
      <c r="L32" s="77">
        <f t="shared" si="3"/>
        <v>0</v>
      </c>
      <c r="M32" s="10">
        <v>0</v>
      </c>
      <c r="N32" s="40">
        <f t="shared" si="4"/>
        <v>0</v>
      </c>
      <c r="O32" s="40">
        <f t="shared" si="5"/>
        <v>0</v>
      </c>
    </row>
    <row r="33" spans="1:15">
      <c r="A33" s="1" t="s">
        <v>3</v>
      </c>
      <c r="B33" s="29" t="s">
        <v>90</v>
      </c>
      <c r="C33" s="9">
        <v>0</v>
      </c>
      <c r="D33" s="9">
        <v>0</v>
      </c>
      <c r="E33" s="9">
        <v>0</v>
      </c>
      <c r="F33" s="9">
        <v>6825</v>
      </c>
      <c r="G33" s="9">
        <v>0</v>
      </c>
      <c r="H33" s="9">
        <v>0</v>
      </c>
      <c r="I33" s="9">
        <v>0</v>
      </c>
      <c r="J33" s="9">
        <v>13650</v>
      </c>
      <c r="K33" s="66">
        <v>7800</v>
      </c>
      <c r="L33" s="77">
        <f t="shared" si="3"/>
        <v>28275</v>
      </c>
      <c r="M33" s="10">
        <v>0</v>
      </c>
      <c r="N33" s="40">
        <f t="shared" si="4"/>
        <v>0</v>
      </c>
      <c r="O33" s="40">
        <f t="shared" si="5"/>
        <v>28275</v>
      </c>
    </row>
    <row r="34" spans="1:15">
      <c r="A34" s="1" t="s">
        <v>3</v>
      </c>
      <c r="B34" s="29" t="s">
        <v>91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66">
        <v>0</v>
      </c>
      <c r="L34" s="77">
        <f t="shared" si="3"/>
        <v>0</v>
      </c>
      <c r="M34" s="10">
        <v>0</v>
      </c>
      <c r="N34" s="40">
        <f t="shared" si="4"/>
        <v>0</v>
      </c>
      <c r="O34" s="40">
        <f t="shared" si="5"/>
        <v>0</v>
      </c>
    </row>
    <row r="35" spans="1:15">
      <c r="A35" s="1" t="s">
        <v>3</v>
      </c>
      <c r="B35" s="29" t="s">
        <v>92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66">
        <v>0</v>
      </c>
      <c r="L35" s="77">
        <f t="shared" si="3"/>
        <v>0</v>
      </c>
      <c r="M35" s="10">
        <v>0</v>
      </c>
      <c r="N35" s="40">
        <f t="shared" si="4"/>
        <v>0</v>
      </c>
      <c r="O35" s="40">
        <f t="shared" si="5"/>
        <v>0</v>
      </c>
    </row>
    <row r="36" spans="1:15">
      <c r="A36" s="1" t="s">
        <v>3</v>
      </c>
      <c r="B36" s="29" t="s">
        <v>73</v>
      </c>
      <c r="C36" s="9">
        <v>0</v>
      </c>
      <c r="D36" s="9">
        <v>64680</v>
      </c>
      <c r="E36" s="9">
        <v>11788</v>
      </c>
      <c r="F36" s="9">
        <v>0</v>
      </c>
      <c r="G36" s="9">
        <v>0</v>
      </c>
      <c r="H36" s="9">
        <v>0</v>
      </c>
      <c r="I36" s="9">
        <v>2438</v>
      </c>
      <c r="J36" s="9">
        <v>0</v>
      </c>
      <c r="K36" s="66">
        <v>6095</v>
      </c>
      <c r="L36" s="77">
        <f t="shared" si="3"/>
        <v>85001</v>
      </c>
      <c r="M36" s="10">
        <v>0</v>
      </c>
      <c r="N36" s="40">
        <f t="shared" si="4"/>
        <v>0</v>
      </c>
      <c r="O36" s="40">
        <f t="shared" si="5"/>
        <v>85001</v>
      </c>
    </row>
    <row r="37" spans="1:15">
      <c r="A37" s="1" t="s">
        <v>3</v>
      </c>
      <c r="B37" s="29" t="s">
        <v>93</v>
      </c>
      <c r="C37" s="9">
        <v>0</v>
      </c>
      <c r="D37" s="9">
        <v>2329</v>
      </c>
      <c r="E37" s="9">
        <v>34542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66">
        <v>0</v>
      </c>
      <c r="L37" s="77">
        <f t="shared" si="3"/>
        <v>36871</v>
      </c>
      <c r="M37" s="10">
        <v>0</v>
      </c>
      <c r="N37" s="40">
        <f t="shared" si="4"/>
        <v>0</v>
      </c>
      <c r="O37" s="40">
        <f t="shared" si="5"/>
        <v>36871</v>
      </c>
    </row>
    <row r="38" spans="1:15">
      <c r="A38" s="1" t="s">
        <v>3</v>
      </c>
      <c r="B38" s="29" t="s">
        <v>94</v>
      </c>
      <c r="C38" s="9">
        <v>0</v>
      </c>
      <c r="D38" s="9">
        <v>0</v>
      </c>
      <c r="E38" s="9">
        <v>18180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66">
        <v>0</v>
      </c>
      <c r="L38" s="77">
        <f t="shared" si="3"/>
        <v>18180</v>
      </c>
      <c r="M38" s="10">
        <v>0</v>
      </c>
      <c r="N38" s="40">
        <f t="shared" si="4"/>
        <v>0</v>
      </c>
      <c r="O38" s="40">
        <f t="shared" si="5"/>
        <v>18180</v>
      </c>
    </row>
    <row r="39" spans="1:15">
      <c r="A39" s="1" t="s">
        <v>3</v>
      </c>
      <c r="B39" s="29" t="s">
        <v>95</v>
      </c>
      <c r="C39" s="9">
        <v>0</v>
      </c>
      <c r="D39" s="9">
        <v>0</v>
      </c>
      <c r="E39" s="9">
        <v>4710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66">
        <v>0</v>
      </c>
      <c r="L39" s="77">
        <f t="shared" si="3"/>
        <v>4710</v>
      </c>
      <c r="M39" s="10">
        <v>0</v>
      </c>
      <c r="N39" s="40">
        <f t="shared" si="4"/>
        <v>0</v>
      </c>
      <c r="O39" s="40">
        <f t="shared" si="5"/>
        <v>4710</v>
      </c>
    </row>
    <row r="40" spans="1:15">
      <c r="A40" s="1" t="s">
        <v>3</v>
      </c>
      <c r="B40" s="29" t="s">
        <v>96</v>
      </c>
      <c r="C40" s="9">
        <v>0</v>
      </c>
      <c r="D40" s="9">
        <v>0</v>
      </c>
      <c r="E40" s="9">
        <v>7065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66">
        <v>0</v>
      </c>
      <c r="L40" s="77">
        <f t="shared" si="3"/>
        <v>7065</v>
      </c>
      <c r="M40" s="10">
        <v>0</v>
      </c>
      <c r="N40" s="40">
        <f t="shared" si="4"/>
        <v>0</v>
      </c>
      <c r="O40" s="40">
        <f t="shared" si="5"/>
        <v>7065</v>
      </c>
    </row>
    <row r="41" spans="1:15">
      <c r="A41" s="1" t="s">
        <v>3</v>
      </c>
      <c r="B41" s="29" t="s">
        <v>78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66">
        <v>0</v>
      </c>
      <c r="L41" s="77">
        <f t="shared" si="3"/>
        <v>0</v>
      </c>
      <c r="M41" s="10">
        <v>0</v>
      </c>
      <c r="N41" s="40">
        <f t="shared" si="4"/>
        <v>0</v>
      </c>
      <c r="O41" s="40">
        <f t="shared" si="5"/>
        <v>0</v>
      </c>
    </row>
    <row r="42" spans="1:15">
      <c r="A42" s="1" t="s">
        <v>3</v>
      </c>
      <c r="B42" s="31" t="s">
        <v>81</v>
      </c>
      <c r="C42" s="21">
        <v>554</v>
      </c>
      <c r="D42" s="21">
        <v>431</v>
      </c>
      <c r="E42" s="21">
        <v>0</v>
      </c>
      <c r="F42" s="21">
        <v>12200</v>
      </c>
      <c r="G42" s="21">
        <v>0</v>
      </c>
      <c r="H42" s="21">
        <v>0</v>
      </c>
      <c r="I42" s="21">
        <v>2440</v>
      </c>
      <c r="J42" s="21">
        <v>13420</v>
      </c>
      <c r="K42" s="67">
        <v>9760</v>
      </c>
      <c r="L42" s="78">
        <f t="shared" si="3"/>
        <v>38805</v>
      </c>
      <c r="M42" s="22">
        <v>0</v>
      </c>
      <c r="N42" s="41">
        <f t="shared" si="4"/>
        <v>0</v>
      </c>
      <c r="O42" s="41">
        <f t="shared" si="5"/>
        <v>38805</v>
      </c>
    </row>
    <row r="43" spans="1:15">
      <c r="A43" s="1" t="s">
        <v>3</v>
      </c>
      <c r="B43" s="32" t="s">
        <v>97</v>
      </c>
      <c r="C43" s="23">
        <v>370554</v>
      </c>
      <c r="D43" s="23">
        <v>356440</v>
      </c>
      <c r="E43" s="23">
        <v>301285</v>
      </c>
      <c r="F43" s="23">
        <v>87275</v>
      </c>
      <c r="G43" s="23">
        <v>82800</v>
      </c>
      <c r="H43" s="23">
        <v>125190</v>
      </c>
      <c r="I43" s="23">
        <v>49728</v>
      </c>
      <c r="J43" s="23">
        <v>102145</v>
      </c>
      <c r="K43" s="68">
        <v>162105</v>
      </c>
      <c r="L43" s="79">
        <f t="shared" si="3"/>
        <v>1637522</v>
      </c>
      <c r="M43" s="24">
        <v>390000</v>
      </c>
      <c r="N43" s="42">
        <f t="shared" si="4"/>
        <v>390000</v>
      </c>
      <c r="O43" s="42">
        <f t="shared" si="5"/>
        <v>2027522</v>
      </c>
    </row>
    <row r="44" spans="1:15">
      <c r="A44" s="1" t="s">
        <v>3</v>
      </c>
      <c r="B44" s="32" t="s">
        <v>98</v>
      </c>
      <c r="C44" s="23">
        <v>3608</v>
      </c>
      <c r="D44" s="23">
        <v>6185</v>
      </c>
      <c r="E44" s="23">
        <v>8933</v>
      </c>
      <c r="F44" s="23">
        <v>4581</v>
      </c>
      <c r="G44" s="23">
        <v>2978</v>
      </c>
      <c r="H44" s="23">
        <v>2720</v>
      </c>
      <c r="I44" s="23">
        <v>2234</v>
      </c>
      <c r="J44" s="23">
        <v>4410</v>
      </c>
      <c r="K44" s="68">
        <v>15805</v>
      </c>
      <c r="L44" s="79">
        <f t="shared" si="3"/>
        <v>51454</v>
      </c>
      <c r="M44" s="24">
        <v>8561</v>
      </c>
      <c r="N44" s="42">
        <f t="shared" si="4"/>
        <v>8561</v>
      </c>
      <c r="O44" s="42">
        <f t="shared" si="5"/>
        <v>60015</v>
      </c>
    </row>
    <row r="45" spans="1:15">
      <c r="A45" s="1" t="s">
        <v>3</v>
      </c>
      <c r="B45" s="32" t="s">
        <v>99</v>
      </c>
      <c r="C45" s="23">
        <v>3608</v>
      </c>
      <c r="D45" s="23">
        <v>6185</v>
      </c>
      <c r="E45" s="23">
        <v>8933</v>
      </c>
      <c r="F45" s="23">
        <v>4581</v>
      </c>
      <c r="G45" s="23">
        <v>2978</v>
      </c>
      <c r="H45" s="23">
        <v>2720</v>
      </c>
      <c r="I45" s="23">
        <v>2234</v>
      </c>
      <c r="J45" s="23">
        <v>4410</v>
      </c>
      <c r="K45" s="68">
        <v>15805</v>
      </c>
      <c r="L45" s="79">
        <f t="shared" si="3"/>
        <v>51454</v>
      </c>
      <c r="M45" s="24">
        <v>8561</v>
      </c>
      <c r="N45" s="42">
        <f t="shared" si="4"/>
        <v>8561</v>
      </c>
      <c r="O45" s="42">
        <f t="shared" si="5"/>
        <v>60015</v>
      </c>
    </row>
    <row r="46" spans="1:15">
      <c r="A46" s="1" t="s">
        <v>3</v>
      </c>
      <c r="B46" s="32" t="s">
        <v>100</v>
      </c>
      <c r="C46" s="23">
        <v>374162</v>
      </c>
      <c r="D46" s="23">
        <v>362625</v>
      </c>
      <c r="E46" s="23">
        <v>310218</v>
      </c>
      <c r="F46" s="23">
        <v>91856</v>
      </c>
      <c r="G46" s="23">
        <v>85778</v>
      </c>
      <c r="H46" s="23">
        <v>127910</v>
      </c>
      <c r="I46" s="23">
        <v>51962</v>
      </c>
      <c r="J46" s="23">
        <v>106555</v>
      </c>
      <c r="K46" s="68">
        <v>177910</v>
      </c>
      <c r="L46" s="79">
        <f t="shared" si="3"/>
        <v>1688976</v>
      </c>
      <c r="M46" s="24">
        <v>398561</v>
      </c>
      <c r="N46" s="42">
        <f t="shared" si="4"/>
        <v>398561</v>
      </c>
      <c r="O46" s="42">
        <f t="shared" si="5"/>
        <v>2087537</v>
      </c>
    </row>
    <row r="47" spans="1:15">
      <c r="A47" s="1" t="s">
        <v>3</v>
      </c>
      <c r="B47" s="28" t="s">
        <v>101</v>
      </c>
      <c r="C47" s="17">
        <v>18360</v>
      </c>
      <c r="D47" s="17">
        <v>20910</v>
      </c>
      <c r="E47" s="17">
        <v>13260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65">
        <v>6834</v>
      </c>
      <c r="L47" s="76">
        <f t="shared" si="3"/>
        <v>59364</v>
      </c>
      <c r="M47" s="18">
        <v>19380</v>
      </c>
      <c r="N47" s="39">
        <f t="shared" si="4"/>
        <v>19380</v>
      </c>
      <c r="O47" s="39">
        <f t="shared" si="5"/>
        <v>78744</v>
      </c>
    </row>
    <row r="48" spans="1:15">
      <c r="A48" s="1" t="s">
        <v>3</v>
      </c>
      <c r="B48" s="29" t="s">
        <v>102</v>
      </c>
      <c r="C48" s="9">
        <v>3240</v>
      </c>
      <c r="D48" s="9">
        <v>3690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66">
        <v>0</v>
      </c>
      <c r="L48" s="77">
        <f t="shared" si="3"/>
        <v>6930</v>
      </c>
      <c r="M48" s="10">
        <v>3420</v>
      </c>
      <c r="N48" s="40">
        <f t="shared" si="4"/>
        <v>3420</v>
      </c>
      <c r="O48" s="40">
        <f t="shared" si="5"/>
        <v>10350</v>
      </c>
    </row>
    <row r="49" spans="1:15">
      <c r="A49" s="1" t="s">
        <v>3</v>
      </c>
      <c r="B49" s="29" t="s">
        <v>103</v>
      </c>
      <c r="C49" s="9">
        <v>32940</v>
      </c>
      <c r="D49" s="9">
        <v>37515</v>
      </c>
      <c r="E49" s="9">
        <v>23790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66">
        <v>12261</v>
      </c>
      <c r="L49" s="77">
        <f t="shared" si="3"/>
        <v>106506</v>
      </c>
      <c r="M49" s="10">
        <v>34770</v>
      </c>
      <c r="N49" s="40">
        <f t="shared" si="4"/>
        <v>34770</v>
      </c>
      <c r="O49" s="40">
        <f t="shared" si="5"/>
        <v>141276</v>
      </c>
    </row>
    <row r="50" spans="1:15">
      <c r="A50" s="1" t="s">
        <v>3</v>
      </c>
      <c r="B50" s="31" t="s">
        <v>104</v>
      </c>
      <c r="C50" s="21">
        <v>2058</v>
      </c>
      <c r="D50" s="21">
        <v>1994</v>
      </c>
      <c r="E50" s="21">
        <v>1706</v>
      </c>
      <c r="F50" s="21">
        <v>0</v>
      </c>
      <c r="G50" s="21">
        <v>472</v>
      </c>
      <c r="H50" s="21">
        <v>704</v>
      </c>
      <c r="I50" s="21">
        <v>0</v>
      </c>
      <c r="J50" s="21">
        <v>586</v>
      </c>
      <c r="K50" s="67">
        <v>979</v>
      </c>
      <c r="L50" s="78">
        <f t="shared" si="3"/>
        <v>8499</v>
      </c>
      <c r="M50" s="22">
        <v>2192</v>
      </c>
      <c r="N50" s="41">
        <f t="shared" si="4"/>
        <v>2192</v>
      </c>
      <c r="O50" s="41">
        <f t="shared" si="5"/>
        <v>10691</v>
      </c>
    </row>
    <row r="51" spans="1:15">
      <c r="A51" s="1" t="s">
        <v>3</v>
      </c>
      <c r="B51" s="32" t="s">
        <v>105</v>
      </c>
      <c r="C51" s="23">
        <v>56598</v>
      </c>
      <c r="D51" s="23">
        <v>64109</v>
      </c>
      <c r="E51" s="23">
        <v>38756</v>
      </c>
      <c r="F51" s="23">
        <v>0</v>
      </c>
      <c r="G51" s="23">
        <v>472</v>
      </c>
      <c r="H51" s="23">
        <v>704</v>
      </c>
      <c r="I51" s="23">
        <v>0</v>
      </c>
      <c r="J51" s="23">
        <v>586</v>
      </c>
      <c r="K51" s="68">
        <v>20074</v>
      </c>
      <c r="L51" s="79">
        <f t="shared" si="3"/>
        <v>181299</v>
      </c>
      <c r="M51" s="24">
        <v>59762</v>
      </c>
      <c r="N51" s="42">
        <f t="shared" si="4"/>
        <v>59762</v>
      </c>
      <c r="O51" s="42">
        <f t="shared" si="5"/>
        <v>241061</v>
      </c>
    </row>
    <row r="52" spans="1:15">
      <c r="A52" s="1" t="s">
        <v>3</v>
      </c>
      <c r="B52" s="28" t="s">
        <v>106</v>
      </c>
      <c r="C52" s="17">
        <v>7290</v>
      </c>
      <c r="D52" s="17">
        <v>6450</v>
      </c>
      <c r="E52" s="17">
        <v>7000</v>
      </c>
      <c r="F52" s="17">
        <v>0</v>
      </c>
      <c r="G52" s="17">
        <v>0</v>
      </c>
      <c r="H52" s="17">
        <v>1970</v>
      </c>
      <c r="I52" s="17">
        <v>0</v>
      </c>
      <c r="J52" s="17">
        <v>0</v>
      </c>
      <c r="K52" s="65">
        <v>1120</v>
      </c>
      <c r="L52" s="76">
        <f t="shared" si="3"/>
        <v>23830</v>
      </c>
      <c r="M52" s="18">
        <v>10850</v>
      </c>
      <c r="N52" s="39">
        <f t="shared" si="4"/>
        <v>10850</v>
      </c>
      <c r="O52" s="39">
        <f t="shared" si="5"/>
        <v>34680</v>
      </c>
    </row>
    <row r="53" spans="1:15">
      <c r="A53" s="1" t="s">
        <v>3</v>
      </c>
      <c r="B53" s="29" t="s">
        <v>107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66">
        <v>0</v>
      </c>
      <c r="L53" s="77">
        <f t="shared" si="3"/>
        <v>0</v>
      </c>
      <c r="M53" s="10">
        <v>0</v>
      </c>
      <c r="N53" s="40">
        <f t="shared" si="4"/>
        <v>0</v>
      </c>
      <c r="O53" s="40">
        <f t="shared" si="5"/>
        <v>0</v>
      </c>
    </row>
    <row r="54" spans="1:15">
      <c r="A54" s="1" t="s">
        <v>3</v>
      </c>
      <c r="B54" s="29" t="s">
        <v>108</v>
      </c>
      <c r="C54" s="9">
        <v>20200</v>
      </c>
      <c r="D54" s="9">
        <v>14600</v>
      </c>
      <c r="E54" s="9">
        <v>7800</v>
      </c>
      <c r="F54" s="9">
        <v>0</v>
      </c>
      <c r="G54" s="9">
        <v>500</v>
      </c>
      <c r="H54" s="9">
        <v>2300</v>
      </c>
      <c r="I54" s="9">
        <v>0</v>
      </c>
      <c r="J54" s="9">
        <v>2600</v>
      </c>
      <c r="K54" s="66">
        <v>7100</v>
      </c>
      <c r="L54" s="77">
        <f t="shared" si="3"/>
        <v>55100</v>
      </c>
      <c r="M54" s="10">
        <v>21800</v>
      </c>
      <c r="N54" s="40">
        <f t="shared" si="4"/>
        <v>21800</v>
      </c>
      <c r="O54" s="40">
        <f t="shared" si="5"/>
        <v>76900</v>
      </c>
    </row>
    <row r="55" spans="1:15">
      <c r="A55" s="1" t="s">
        <v>3</v>
      </c>
      <c r="B55" s="31" t="s">
        <v>109</v>
      </c>
      <c r="C55" s="21">
        <v>0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67">
        <v>0</v>
      </c>
      <c r="L55" s="78">
        <f t="shared" si="3"/>
        <v>0</v>
      </c>
      <c r="M55" s="22">
        <v>0</v>
      </c>
      <c r="N55" s="41">
        <f t="shared" si="4"/>
        <v>0</v>
      </c>
      <c r="O55" s="41">
        <f t="shared" si="5"/>
        <v>0</v>
      </c>
    </row>
    <row r="56" spans="1:15">
      <c r="A56" s="1" t="s">
        <v>3</v>
      </c>
      <c r="B56" s="32" t="s">
        <v>110</v>
      </c>
      <c r="C56" s="23">
        <v>84088</v>
      </c>
      <c r="D56" s="23">
        <v>85159</v>
      </c>
      <c r="E56" s="23">
        <v>53556</v>
      </c>
      <c r="F56" s="23">
        <v>0</v>
      </c>
      <c r="G56" s="23">
        <v>972</v>
      </c>
      <c r="H56" s="23">
        <v>4974</v>
      </c>
      <c r="I56" s="23">
        <v>0</v>
      </c>
      <c r="J56" s="23">
        <v>3186</v>
      </c>
      <c r="K56" s="68">
        <v>28294</v>
      </c>
      <c r="L56" s="79">
        <f t="shared" si="3"/>
        <v>260229</v>
      </c>
      <c r="M56" s="24">
        <v>92412</v>
      </c>
      <c r="N56" s="42">
        <f t="shared" si="4"/>
        <v>92412</v>
      </c>
      <c r="O56" s="42">
        <f t="shared" si="5"/>
        <v>352641</v>
      </c>
    </row>
    <row r="57" spans="1:15">
      <c r="A57" s="1" t="s">
        <v>3</v>
      </c>
      <c r="B57" s="32" t="s">
        <v>111</v>
      </c>
      <c r="C57" s="23">
        <v>313956</v>
      </c>
      <c r="D57" s="23">
        <v>292331</v>
      </c>
      <c r="E57" s="23">
        <v>262529</v>
      </c>
      <c r="F57" s="23">
        <v>87275</v>
      </c>
      <c r="G57" s="23">
        <v>82328</v>
      </c>
      <c r="H57" s="23">
        <v>124486</v>
      </c>
      <c r="I57" s="23">
        <v>49728</v>
      </c>
      <c r="J57" s="23">
        <v>101559</v>
      </c>
      <c r="K57" s="68">
        <v>142031</v>
      </c>
      <c r="L57" s="79">
        <f t="shared" si="3"/>
        <v>1456223</v>
      </c>
      <c r="M57" s="24">
        <v>330238</v>
      </c>
      <c r="N57" s="42">
        <f t="shared" si="4"/>
        <v>330238</v>
      </c>
      <c r="O57" s="42">
        <f t="shared" si="5"/>
        <v>1786461</v>
      </c>
    </row>
    <row r="58" spans="1:15">
      <c r="A58" s="1" t="s">
        <v>3</v>
      </c>
      <c r="B58" s="32" t="s">
        <v>112</v>
      </c>
      <c r="C58" s="23">
        <v>290074</v>
      </c>
      <c r="D58" s="23">
        <v>277466</v>
      </c>
      <c r="E58" s="23">
        <v>256662</v>
      </c>
      <c r="F58" s="23">
        <v>91856</v>
      </c>
      <c r="G58" s="23">
        <v>84806</v>
      </c>
      <c r="H58" s="23">
        <v>122936</v>
      </c>
      <c r="I58" s="23">
        <v>51962</v>
      </c>
      <c r="J58" s="23">
        <v>103369</v>
      </c>
      <c r="K58" s="68">
        <v>149616</v>
      </c>
      <c r="L58" s="79">
        <f t="shared" si="3"/>
        <v>1428747</v>
      </c>
      <c r="M58" s="24">
        <v>306149</v>
      </c>
      <c r="N58" s="42">
        <f t="shared" si="4"/>
        <v>306149</v>
      </c>
      <c r="O58" s="42">
        <f t="shared" si="5"/>
        <v>1734896</v>
      </c>
    </row>
    <row r="59" spans="1:15">
      <c r="A59" s="1" t="s">
        <v>3</v>
      </c>
      <c r="B59" s="32" t="s">
        <v>113</v>
      </c>
      <c r="C59" s="23">
        <v>290074</v>
      </c>
      <c r="D59" s="23">
        <v>277466</v>
      </c>
      <c r="E59" s="23">
        <v>256662</v>
      </c>
      <c r="F59" s="23">
        <v>91856</v>
      </c>
      <c r="G59" s="23">
        <v>84806</v>
      </c>
      <c r="H59" s="23">
        <v>122936</v>
      </c>
      <c r="I59" s="23">
        <v>51962</v>
      </c>
      <c r="J59" s="23">
        <v>103369</v>
      </c>
      <c r="K59" s="68">
        <v>149616</v>
      </c>
      <c r="L59" s="79">
        <f t="shared" si="3"/>
        <v>1428747</v>
      </c>
      <c r="M59" s="24">
        <v>306149</v>
      </c>
      <c r="N59" s="42">
        <f t="shared" si="4"/>
        <v>306149</v>
      </c>
      <c r="O59" s="42">
        <f t="shared" si="5"/>
        <v>1734896</v>
      </c>
    </row>
    <row r="60" spans="1:15">
      <c r="A60" s="1" t="s">
        <v>3</v>
      </c>
      <c r="B60" s="28" t="s">
        <v>114</v>
      </c>
      <c r="C60" s="17">
        <v>1</v>
      </c>
      <c r="D60" s="17">
        <v>1</v>
      </c>
      <c r="E60" s="17">
        <v>0</v>
      </c>
      <c r="F60" s="17">
        <v>1</v>
      </c>
      <c r="G60" s="17">
        <v>0</v>
      </c>
      <c r="H60" s="17">
        <v>0</v>
      </c>
      <c r="I60" s="17">
        <v>1</v>
      </c>
      <c r="J60" s="17">
        <v>1</v>
      </c>
      <c r="K60" s="65">
        <v>1</v>
      </c>
      <c r="L60" s="76"/>
      <c r="M60" s="18">
        <v>0</v>
      </c>
      <c r="N60" s="39"/>
      <c r="O60" s="39"/>
    </row>
    <row r="61" spans="1:15">
      <c r="A61" s="1" t="s">
        <v>3</v>
      </c>
      <c r="B61" s="29" t="s">
        <v>115</v>
      </c>
      <c r="C61" s="11" t="s">
        <v>116</v>
      </c>
      <c r="D61" s="11" t="s">
        <v>116</v>
      </c>
      <c r="E61" s="11" t="s">
        <v>116</v>
      </c>
      <c r="F61" s="11" t="s">
        <v>116</v>
      </c>
      <c r="G61" s="11" t="s">
        <v>116</v>
      </c>
      <c r="H61" s="11" t="s">
        <v>116</v>
      </c>
      <c r="I61" s="11" t="s">
        <v>116</v>
      </c>
      <c r="J61" s="11" t="s">
        <v>116</v>
      </c>
      <c r="K61" s="69" t="s">
        <v>116</v>
      </c>
      <c r="L61" s="80"/>
      <c r="M61" s="12" t="s">
        <v>116</v>
      </c>
      <c r="N61" s="43"/>
      <c r="O61" s="43"/>
    </row>
    <row r="62" spans="1:15" ht="19.5" thickBot="1">
      <c r="A62" s="1" t="s">
        <v>3</v>
      </c>
      <c r="B62" s="33" t="s">
        <v>117</v>
      </c>
      <c r="C62" s="13">
        <v>7290</v>
      </c>
      <c r="D62" s="13">
        <v>6450</v>
      </c>
      <c r="E62" s="13">
        <v>7000</v>
      </c>
      <c r="F62" s="13">
        <v>0</v>
      </c>
      <c r="G62" s="13">
        <v>0</v>
      </c>
      <c r="H62" s="13">
        <v>1970</v>
      </c>
      <c r="I62" s="13">
        <v>0</v>
      </c>
      <c r="J62" s="13">
        <v>0</v>
      </c>
      <c r="K62" s="70">
        <v>1120</v>
      </c>
      <c r="L62" s="81">
        <f>SUM(C62:K62)</f>
        <v>23830</v>
      </c>
      <c r="M62" s="14">
        <v>10850</v>
      </c>
      <c r="N62" s="44">
        <f>M62</f>
        <v>10850</v>
      </c>
      <c r="O62" s="44">
        <f>L62+N62</f>
        <v>34680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1BF3-603C-42CD-BD4F-3E344F436D89}">
  <dimension ref="A1:T62"/>
  <sheetViews>
    <sheetView showGridLines="0" showRowColHeaders="0" showZeros="0" workbookViewId="0">
      <pane xSplit="2" ySplit="8" topLeftCell="I63" activePane="bottomRight" state="frozen"/>
      <selection pane="bottomRight" activeCell="U65" sqref="U65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15" width="11.125" style="2" bestFit="1" customWidth="1"/>
    <col min="16" max="16" width="9" style="2" bestFit="1" customWidth="1"/>
    <col min="17" max="17" width="11.125" style="2" bestFit="1" customWidth="1"/>
    <col min="18" max="19" width="9" style="2" bestFit="1" customWidth="1"/>
    <col min="20" max="20" width="9.625" style="2" bestFit="1" customWidth="1"/>
    <col min="21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64" width="11.125" style="2" bestFit="1" customWidth="1"/>
    <col min="265" max="265" width="9" style="2"/>
    <col min="266" max="267" width="11.125" style="2" bestFit="1" customWidth="1"/>
    <col min="268" max="269" width="9" style="2"/>
    <col min="270" max="274" width="11.125" style="2" bestFit="1" customWidth="1"/>
    <col min="275" max="275" width="9" style="2"/>
    <col min="276" max="276" width="9.625" style="2" bestFit="1" customWidth="1"/>
    <col min="277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20" width="11.125" style="2" bestFit="1" customWidth="1"/>
    <col min="521" max="521" width="9" style="2"/>
    <col min="522" max="523" width="11.125" style="2" bestFit="1" customWidth="1"/>
    <col min="524" max="525" width="9" style="2"/>
    <col min="526" max="530" width="11.125" style="2" bestFit="1" customWidth="1"/>
    <col min="531" max="531" width="9" style="2"/>
    <col min="532" max="532" width="9.625" style="2" bestFit="1" customWidth="1"/>
    <col min="533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76" width="11.125" style="2" bestFit="1" customWidth="1"/>
    <col min="777" max="777" width="9" style="2"/>
    <col min="778" max="779" width="11.125" style="2" bestFit="1" customWidth="1"/>
    <col min="780" max="781" width="9" style="2"/>
    <col min="782" max="786" width="11.125" style="2" bestFit="1" customWidth="1"/>
    <col min="787" max="787" width="9" style="2"/>
    <col min="788" max="788" width="9.625" style="2" bestFit="1" customWidth="1"/>
    <col min="789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32" width="11.125" style="2" bestFit="1" customWidth="1"/>
    <col min="1033" max="1033" width="9" style="2"/>
    <col min="1034" max="1035" width="11.125" style="2" bestFit="1" customWidth="1"/>
    <col min="1036" max="1037" width="9" style="2"/>
    <col min="1038" max="1042" width="11.125" style="2" bestFit="1" customWidth="1"/>
    <col min="1043" max="1043" width="9" style="2"/>
    <col min="1044" max="1044" width="9.625" style="2" bestFit="1" customWidth="1"/>
    <col min="1045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88" width="11.125" style="2" bestFit="1" customWidth="1"/>
    <col min="1289" max="1289" width="9" style="2"/>
    <col min="1290" max="1291" width="11.125" style="2" bestFit="1" customWidth="1"/>
    <col min="1292" max="1293" width="9" style="2"/>
    <col min="1294" max="1298" width="11.125" style="2" bestFit="1" customWidth="1"/>
    <col min="1299" max="1299" width="9" style="2"/>
    <col min="1300" max="1300" width="9.625" style="2" bestFit="1" customWidth="1"/>
    <col min="1301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44" width="11.125" style="2" bestFit="1" customWidth="1"/>
    <col min="1545" max="1545" width="9" style="2"/>
    <col min="1546" max="1547" width="11.125" style="2" bestFit="1" customWidth="1"/>
    <col min="1548" max="1549" width="9" style="2"/>
    <col min="1550" max="1554" width="11.125" style="2" bestFit="1" customWidth="1"/>
    <col min="1555" max="1555" width="9" style="2"/>
    <col min="1556" max="1556" width="9.625" style="2" bestFit="1" customWidth="1"/>
    <col min="1557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800" width="11.125" style="2" bestFit="1" customWidth="1"/>
    <col min="1801" max="1801" width="9" style="2"/>
    <col min="1802" max="1803" width="11.125" style="2" bestFit="1" customWidth="1"/>
    <col min="1804" max="1805" width="9" style="2"/>
    <col min="1806" max="1810" width="11.125" style="2" bestFit="1" customWidth="1"/>
    <col min="1811" max="1811" width="9" style="2"/>
    <col min="1812" max="1812" width="9.625" style="2" bestFit="1" customWidth="1"/>
    <col min="1813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56" width="11.125" style="2" bestFit="1" customWidth="1"/>
    <col min="2057" max="2057" width="9" style="2"/>
    <col min="2058" max="2059" width="11.125" style="2" bestFit="1" customWidth="1"/>
    <col min="2060" max="2061" width="9" style="2"/>
    <col min="2062" max="2066" width="11.125" style="2" bestFit="1" customWidth="1"/>
    <col min="2067" max="2067" width="9" style="2"/>
    <col min="2068" max="2068" width="9.625" style="2" bestFit="1" customWidth="1"/>
    <col min="2069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12" width="11.125" style="2" bestFit="1" customWidth="1"/>
    <col min="2313" max="2313" width="9" style="2"/>
    <col min="2314" max="2315" width="11.125" style="2" bestFit="1" customWidth="1"/>
    <col min="2316" max="2317" width="9" style="2"/>
    <col min="2318" max="2322" width="11.125" style="2" bestFit="1" customWidth="1"/>
    <col min="2323" max="2323" width="9" style="2"/>
    <col min="2324" max="2324" width="9.625" style="2" bestFit="1" customWidth="1"/>
    <col min="2325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68" width="11.125" style="2" bestFit="1" customWidth="1"/>
    <col min="2569" max="2569" width="9" style="2"/>
    <col min="2570" max="2571" width="11.125" style="2" bestFit="1" customWidth="1"/>
    <col min="2572" max="2573" width="9" style="2"/>
    <col min="2574" max="2578" width="11.125" style="2" bestFit="1" customWidth="1"/>
    <col min="2579" max="2579" width="9" style="2"/>
    <col min="2580" max="2580" width="9.625" style="2" bestFit="1" customWidth="1"/>
    <col min="2581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24" width="11.125" style="2" bestFit="1" customWidth="1"/>
    <col min="2825" max="2825" width="9" style="2"/>
    <col min="2826" max="2827" width="11.125" style="2" bestFit="1" customWidth="1"/>
    <col min="2828" max="2829" width="9" style="2"/>
    <col min="2830" max="2834" width="11.125" style="2" bestFit="1" customWidth="1"/>
    <col min="2835" max="2835" width="9" style="2"/>
    <col min="2836" max="2836" width="9.625" style="2" bestFit="1" customWidth="1"/>
    <col min="2837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80" width="11.125" style="2" bestFit="1" customWidth="1"/>
    <col min="3081" max="3081" width="9" style="2"/>
    <col min="3082" max="3083" width="11.125" style="2" bestFit="1" customWidth="1"/>
    <col min="3084" max="3085" width="9" style="2"/>
    <col min="3086" max="3090" width="11.125" style="2" bestFit="1" customWidth="1"/>
    <col min="3091" max="3091" width="9" style="2"/>
    <col min="3092" max="3092" width="9.625" style="2" bestFit="1" customWidth="1"/>
    <col min="3093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36" width="11.125" style="2" bestFit="1" customWidth="1"/>
    <col min="3337" max="3337" width="9" style="2"/>
    <col min="3338" max="3339" width="11.125" style="2" bestFit="1" customWidth="1"/>
    <col min="3340" max="3341" width="9" style="2"/>
    <col min="3342" max="3346" width="11.125" style="2" bestFit="1" customWidth="1"/>
    <col min="3347" max="3347" width="9" style="2"/>
    <col min="3348" max="3348" width="9.625" style="2" bestFit="1" customWidth="1"/>
    <col min="3349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92" width="11.125" style="2" bestFit="1" customWidth="1"/>
    <col min="3593" max="3593" width="9" style="2"/>
    <col min="3594" max="3595" width="11.125" style="2" bestFit="1" customWidth="1"/>
    <col min="3596" max="3597" width="9" style="2"/>
    <col min="3598" max="3602" width="11.125" style="2" bestFit="1" customWidth="1"/>
    <col min="3603" max="3603" width="9" style="2"/>
    <col min="3604" max="3604" width="9.625" style="2" bestFit="1" customWidth="1"/>
    <col min="3605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48" width="11.125" style="2" bestFit="1" customWidth="1"/>
    <col min="3849" max="3849" width="9" style="2"/>
    <col min="3850" max="3851" width="11.125" style="2" bestFit="1" customWidth="1"/>
    <col min="3852" max="3853" width="9" style="2"/>
    <col min="3854" max="3858" width="11.125" style="2" bestFit="1" customWidth="1"/>
    <col min="3859" max="3859" width="9" style="2"/>
    <col min="3860" max="3860" width="9.625" style="2" bestFit="1" customWidth="1"/>
    <col min="3861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104" width="11.125" style="2" bestFit="1" customWidth="1"/>
    <col min="4105" max="4105" width="9" style="2"/>
    <col min="4106" max="4107" width="11.125" style="2" bestFit="1" customWidth="1"/>
    <col min="4108" max="4109" width="9" style="2"/>
    <col min="4110" max="4114" width="11.125" style="2" bestFit="1" customWidth="1"/>
    <col min="4115" max="4115" width="9" style="2"/>
    <col min="4116" max="4116" width="9.625" style="2" bestFit="1" customWidth="1"/>
    <col min="4117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60" width="11.125" style="2" bestFit="1" customWidth="1"/>
    <col min="4361" max="4361" width="9" style="2"/>
    <col min="4362" max="4363" width="11.125" style="2" bestFit="1" customWidth="1"/>
    <col min="4364" max="4365" width="9" style="2"/>
    <col min="4366" max="4370" width="11.125" style="2" bestFit="1" customWidth="1"/>
    <col min="4371" max="4371" width="9" style="2"/>
    <col min="4372" max="4372" width="9.625" style="2" bestFit="1" customWidth="1"/>
    <col min="4373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16" width="11.125" style="2" bestFit="1" customWidth="1"/>
    <col min="4617" max="4617" width="9" style="2"/>
    <col min="4618" max="4619" width="11.125" style="2" bestFit="1" customWidth="1"/>
    <col min="4620" max="4621" width="9" style="2"/>
    <col min="4622" max="4626" width="11.125" style="2" bestFit="1" customWidth="1"/>
    <col min="4627" max="4627" width="9" style="2"/>
    <col min="4628" max="4628" width="9.625" style="2" bestFit="1" customWidth="1"/>
    <col min="4629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72" width="11.125" style="2" bestFit="1" customWidth="1"/>
    <col min="4873" max="4873" width="9" style="2"/>
    <col min="4874" max="4875" width="11.125" style="2" bestFit="1" customWidth="1"/>
    <col min="4876" max="4877" width="9" style="2"/>
    <col min="4878" max="4882" width="11.125" style="2" bestFit="1" customWidth="1"/>
    <col min="4883" max="4883" width="9" style="2"/>
    <col min="4884" max="4884" width="9.625" style="2" bestFit="1" customWidth="1"/>
    <col min="4885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28" width="11.125" style="2" bestFit="1" customWidth="1"/>
    <col min="5129" max="5129" width="9" style="2"/>
    <col min="5130" max="5131" width="11.125" style="2" bestFit="1" customWidth="1"/>
    <col min="5132" max="5133" width="9" style="2"/>
    <col min="5134" max="5138" width="11.125" style="2" bestFit="1" customWidth="1"/>
    <col min="5139" max="5139" width="9" style="2"/>
    <col min="5140" max="5140" width="9.625" style="2" bestFit="1" customWidth="1"/>
    <col min="5141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84" width="11.125" style="2" bestFit="1" customWidth="1"/>
    <col min="5385" max="5385" width="9" style="2"/>
    <col min="5386" max="5387" width="11.125" style="2" bestFit="1" customWidth="1"/>
    <col min="5388" max="5389" width="9" style="2"/>
    <col min="5390" max="5394" width="11.125" style="2" bestFit="1" customWidth="1"/>
    <col min="5395" max="5395" width="9" style="2"/>
    <col min="5396" max="5396" width="9.625" style="2" bestFit="1" customWidth="1"/>
    <col min="5397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40" width="11.125" style="2" bestFit="1" customWidth="1"/>
    <col min="5641" max="5641" width="9" style="2"/>
    <col min="5642" max="5643" width="11.125" style="2" bestFit="1" customWidth="1"/>
    <col min="5644" max="5645" width="9" style="2"/>
    <col min="5646" max="5650" width="11.125" style="2" bestFit="1" customWidth="1"/>
    <col min="5651" max="5651" width="9" style="2"/>
    <col min="5652" max="5652" width="9.625" style="2" bestFit="1" customWidth="1"/>
    <col min="5653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96" width="11.125" style="2" bestFit="1" customWidth="1"/>
    <col min="5897" max="5897" width="9" style="2"/>
    <col min="5898" max="5899" width="11.125" style="2" bestFit="1" customWidth="1"/>
    <col min="5900" max="5901" width="9" style="2"/>
    <col min="5902" max="5906" width="11.125" style="2" bestFit="1" customWidth="1"/>
    <col min="5907" max="5907" width="9" style="2"/>
    <col min="5908" max="5908" width="9.625" style="2" bestFit="1" customWidth="1"/>
    <col min="5909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52" width="11.125" style="2" bestFit="1" customWidth="1"/>
    <col min="6153" max="6153" width="9" style="2"/>
    <col min="6154" max="6155" width="11.125" style="2" bestFit="1" customWidth="1"/>
    <col min="6156" max="6157" width="9" style="2"/>
    <col min="6158" max="6162" width="11.125" style="2" bestFit="1" customWidth="1"/>
    <col min="6163" max="6163" width="9" style="2"/>
    <col min="6164" max="6164" width="9.625" style="2" bestFit="1" customWidth="1"/>
    <col min="6165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408" width="11.125" style="2" bestFit="1" customWidth="1"/>
    <col min="6409" max="6409" width="9" style="2"/>
    <col min="6410" max="6411" width="11.125" style="2" bestFit="1" customWidth="1"/>
    <col min="6412" max="6413" width="9" style="2"/>
    <col min="6414" max="6418" width="11.125" style="2" bestFit="1" customWidth="1"/>
    <col min="6419" max="6419" width="9" style="2"/>
    <col min="6420" max="6420" width="9.625" style="2" bestFit="1" customWidth="1"/>
    <col min="6421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64" width="11.125" style="2" bestFit="1" customWidth="1"/>
    <col min="6665" max="6665" width="9" style="2"/>
    <col min="6666" max="6667" width="11.125" style="2" bestFit="1" customWidth="1"/>
    <col min="6668" max="6669" width="9" style="2"/>
    <col min="6670" max="6674" width="11.125" style="2" bestFit="1" customWidth="1"/>
    <col min="6675" max="6675" width="9" style="2"/>
    <col min="6676" max="6676" width="9.625" style="2" bestFit="1" customWidth="1"/>
    <col min="6677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20" width="11.125" style="2" bestFit="1" customWidth="1"/>
    <col min="6921" max="6921" width="9" style="2"/>
    <col min="6922" max="6923" width="11.125" style="2" bestFit="1" customWidth="1"/>
    <col min="6924" max="6925" width="9" style="2"/>
    <col min="6926" max="6930" width="11.125" style="2" bestFit="1" customWidth="1"/>
    <col min="6931" max="6931" width="9" style="2"/>
    <col min="6932" max="6932" width="9.625" style="2" bestFit="1" customWidth="1"/>
    <col min="6933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76" width="11.125" style="2" bestFit="1" customWidth="1"/>
    <col min="7177" max="7177" width="9" style="2"/>
    <col min="7178" max="7179" width="11.125" style="2" bestFit="1" customWidth="1"/>
    <col min="7180" max="7181" width="9" style="2"/>
    <col min="7182" max="7186" width="11.125" style="2" bestFit="1" customWidth="1"/>
    <col min="7187" max="7187" width="9" style="2"/>
    <col min="7188" max="7188" width="9.625" style="2" bestFit="1" customWidth="1"/>
    <col min="7189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32" width="11.125" style="2" bestFit="1" customWidth="1"/>
    <col min="7433" max="7433" width="9" style="2"/>
    <col min="7434" max="7435" width="11.125" style="2" bestFit="1" customWidth="1"/>
    <col min="7436" max="7437" width="9" style="2"/>
    <col min="7438" max="7442" width="11.125" style="2" bestFit="1" customWidth="1"/>
    <col min="7443" max="7443" width="9" style="2"/>
    <col min="7444" max="7444" width="9.625" style="2" bestFit="1" customWidth="1"/>
    <col min="7445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88" width="11.125" style="2" bestFit="1" customWidth="1"/>
    <col min="7689" max="7689" width="9" style="2"/>
    <col min="7690" max="7691" width="11.125" style="2" bestFit="1" customWidth="1"/>
    <col min="7692" max="7693" width="9" style="2"/>
    <col min="7694" max="7698" width="11.125" style="2" bestFit="1" customWidth="1"/>
    <col min="7699" max="7699" width="9" style="2"/>
    <col min="7700" max="7700" width="9.625" style="2" bestFit="1" customWidth="1"/>
    <col min="7701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44" width="11.125" style="2" bestFit="1" customWidth="1"/>
    <col min="7945" max="7945" width="9" style="2"/>
    <col min="7946" max="7947" width="11.125" style="2" bestFit="1" customWidth="1"/>
    <col min="7948" max="7949" width="9" style="2"/>
    <col min="7950" max="7954" width="11.125" style="2" bestFit="1" customWidth="1"/>
    <col min="7955" max="7955" width="9" style="2"/>
    <col min="7956" max="7956" width="9.625" style="2" bestFit="1" customWidth="1"/>
    <col min="7957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200" width="11.125" style="2" bestFit="1" customWidth="1"/>
    <col min="8201" max="8201" width="9" style="2"/>
    <col min="8202" max="8203" width="11.125" style="2" bestFit="1" customWidth="1"/>
    <col min="8204" max="8205" width="9" style="2"/>
    <col min="8206" max="8210" width="11.125" style="2" bestFit="1" customWidth="1"/>
    <col min="8211" max="8211" width="9" style="2"/>
    <col min="8212" max="8212" width="9.625" style="2" bestFit="1" customWidth="1"/>
    <col min="8213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56" width="11.125" style="2" bestFit="1" customWidth="1"/>
    <col min="8457" max="8457" width="9" style="2"/>
    <col min="8458" max="8459" width="11.125" style="2" bestFit="1" customWidth="1"/>
    <col min="8460" max="8461" width="9" style="2"/>
    <col min="8462" max="8466" width="11.125" style="2" bestFit="1" customWidth="1"/>
    <col min="8467" max="8467" width="9" style="2"/>
    <col min="8468" max="8468" width="9.625" style="2" bestFit="1" customWidth="1"/>
    <col min="8469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12" width="11.125" style="2" bestFit="1" customWidth="1"/>
    <col min="8713" max="8713" width="9" style="2"/>
    <col min="8714" max="8715" width="11.125" style="2" bestFit="1" customWidth="1"/>
    <col min="8716" max="8717" width="9" style="2"/>
    <col min="8718" max="8722" width="11.125" style="2" bestFit="1" customWidth="1"/>
    <col min="8723" max="8723" width="9" style="2"/>
    <col min="8724" max="8724" width="9.625" style="2" bestFit="1" customWidth="1"/>
    <col min="8725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68" width="11.125" style="2" bestFit="1" customWidth="1"/>
    <col min="8969" max="8969" width="9" style="2"/>
    <col min="8970" max="8971" width="11.125" style="2" bestFit="1" customWidth="1"/>
    <col min="8972" max="8973" width="9" style="2"/>
    <col min="8974" max="8978" width="11.125" style="2" bestFit="1" customWidth="1"/>
    <col min="8979" max="8979" width="9" style="2"/>
    <col min="8980" max="8980" width="9.625" style="2" bestFit="1" customWidth="1"/>
    <col min="8981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24" width="11.125" style="2" bestFit="1" customWidth="1"/>
    <col min="9225" max="9225" width="9" style="2"/>
    <col min="9226" max="9227" width="11.125" style="2" bestFit="1" customWidth="1"/>
    <col min="9228" max="9229" width="9" style="2"/>
    <col min="9230" max="9234" width="11.125" style="2" bestFit="1" customWidth="1"/>
    <col min="9235" max="9235" width="9" style="2"/>
    <col min="9236" max="9236" width="9.625" style="2" bestFit="1" customWidth="1"/>
    <col min="9237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80" width="11.125" style="2" bestFit="1" customWidth="1"/>
    <col min="9481" max="9481" width="9" style="2"/>
    <col min="9482" max="9483" width="11.125" style="2" bestFit="1" customWidth="1"/>
    <col min="9484" max="9485" width="9" style="2"/>
    <col min="9486" max="9490" width="11.125" style="2" bestFit="1" customWidth="1"/>
    <col min="9491" max="9491" width="9" style="2"/>
    <col min="9492" max="9492" width="9.625" style="2" bestFit="1" customWidth="1"/>
    <col min="9493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36" width="11.125" style="2" bestFit="1" customWidth="1"/>
    <col min="9737" max="9737" width="9" style="2"/>
    <col min="9738" max="9739" width="11.125" style="2" bestFit="1" customWidth="1"/>
    <col min="9740" max="9741" width="9" style="2"/>
    <col min="9742" max="9746" width="11.125" style="2" bestFit="1" customWidth="1"/>
    <col min="9747" max="9747" width="9" style="2"/>
    <col min="9748" max="9748" width="9.625" style="2" bestFit="1" customWidth="1"/>
    <col min="9749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92" width="11.125" style="2" bestFit="1" customWidth="1"/>
    <col min="9993" max="9993" width="9" style="2"/>
    <col min="9994" max="9995" width="11.125" style="2" bestFit="1" customWidth="1"/>
    <col min="9996" max="9997" width="9" style="2"/>
    <col min="9998" max="10002" width="11.125" style="2" bestFit="1" customWidth="1"/>
    <col min="10003" max="10003" width="9" style="2"/>
    <col min="10004" max="10004" width="9.625" style="2" bestFit="1" customWidth="1"/>
    <col min="10005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48" width="11.125" style="2" bestFit="1" customWidth="1"/>
    <col min="10249" max="10249" width="9" style="2"/>
    <col min="10250" max="10251" width="11.125" style="2" bestFit="1" customWidth="1"/>
    <col min="10252" max="10253" width="9" style="2"/>
    <col min="10254" max="10258" width="11.125" style="2" bestFit="1" customWidth="1"/>
    <col min="10259" max="10259" width="9" style="2"/>
    <col min="10260" max="10260" width="9.625" style="2" bestFit="1" customWidth="1"/>
    <col min="10261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504" width="11.125" style="2" bestFit="1" customWidth="1"/>
    <col min="10505" max="10505" width="9" style="2"/>
    <col min="10506" max="10507" width="11.125" style="2" bestFit="1" customWidth="1"/>
    <col min="10508" max="10509" width="9" style="2"/>
    <col min="10510" max="10514" width="11.125" style="2" bestFit="1" customWidth="1"/>
    <col min="10515" max="10515" width="9" style="2"/>
    <col min="10516" max="10516" width="9.625" style="2" bestFit="1" customWidth="1"/>
    <col min="10517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60" width="11.125" style="2" bestFit="1" customWidth="1"/>
    <col min="10761" max="10761" width="9" style="2"/>
    <col min="10762" max="10763" width="11.125" style="2" bestFit="1" customWidth="1"/>
    <col min="10764" max="10765" width="9" style="2"/>
    <col min="10766" max="10770" width="11.125" style="2" bestFit="1" customWidth="1"/>
    <col min="10771" max="10771" width="9" style="2"/>
    <col min="10772" max="10772" width="9.625" style="2" bestFit="1" customWidth="1"/>
    <col min="10773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16" width="11.125" style="2" bestFit="1" customWidth="1"/>
    <col min="11017" max="11017" width="9" style="2"/>
    <col min="11018" max="11019" width="11.125" style="2" bestFit="1" customWidth="1"/>
    <col min="11020" max="11021" width="9" style="2"/>
    <col min="11022" max="11026" width="11.125" style="2" bestFit="1" customWidth="1"/>
    <col min="11027" max="11027" width="9" style="2"/>
    <col min="11028" max="11028" width="9.625" style="2" bestFit="1" customWidth="1"/>
    <col min="11029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72" width="11.125" style="2" bestFit="1" customWidth="1"/>
    <col min="11273" max="11273" width="9" style="2"/>
    <col min="11274" max="11275" width="11.125" style="2" bestFit="1" customWidth="1"/>
    <col min="11276" max="11277" width="9" style="2"/>
    <col min="11278" max="11282" width="11.125" style="2" bestFit="1" customWidth="1"/>
    <col min="11283" max="11283" width="9" style="2"/>
    <col min="11284" max="11284" width="9.625" style="2" bestFit="1" customWidth="1"/>
    <col min="11285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28" width="11.125" style="2" bestFit="1" customWidth="1"/>
    <col min="11529" max="11529" width="9" style="2"/>
    <col min="11530" max="11531" width="11.125" style="2" bestFit="1" customWidth="1"/>
    <col min="11532" max="11533" width="9" style="2"/>
    <col min="11534" max="11538" width="11.125" style="2" bestFit="1" customWidth="1"/>
    <col min="11539" max="11539" width="9" style="2"/>
    <col min="11540" max="11540" width="9.625" style="2" bestFit="1" customWidth="1"/>
    <col min="11541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84" width="11.125" style="2" bestFit="1" customWidth="1"/>
    <col min="11785" max="11785" width="9" style="2"/>
    <col min="11786" max="11787" width="11.125" style="2" bestFit="1" customWidth="1"/>
    <col min="11788" max="11789" width="9" style="2"/>
    <col min="11790" max="11794" width="11.125" style="2" bestFit="1" customWidth="1"/>
    <col min="11795" max="11795" width="9" style="2"/>
    <col min="11796" max="11796" width="9.625" style="2" bestFit="1" customWidth="1"/>
    <col min="11797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40" width="11.125" style="2" bestFit="1" customWidth="1"/>
    <col min="12041" max="12041" width="9" style="2"/>
    <col min="12042" max="12043" width="11.125" style="2" bestFit="1" customWidth="1"/>
    <col min="12044" max="12045" width="9" style="2"/>
    <col min="12046" max="12050" width="11.125" style="2" bestFit="1" customWidth="1"/>
    <col min="12051" max="12051" width="9" style="2"/>
    <col min="12052" max="12052" width="9.625" style="2" bestFit="1" customWidth="1"/>
    <col min="12053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96" width="11.125" style="2" bestFit="1" customWidth="1"/>
    <col min="12297" max="12297" width="9" style="2"/>
    <col min="12298" max="12299" width="11.125" style="2" bestFit="1" customWidth="1"/>
    <col min="12300" max="12301" width="9" style="2"/>
    <col min="12302" max="12306" width="11.125" style="2" bestFit="1" customWidth="1"/>
    <col min="12307" max="12307" width="9" style="2"/>
    <col min="12308" max="12308" width="9.625" style="2" bestFit="1" customWidth="1"/>
    <col min="12309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52" width="11.125" style="2" bestFit="1" customWidth="1"/>
    <col min="12553" max="12553" width="9" style="2"/>
    <col min="12554" max="12555" width="11.125" style="2" bestFit="1" customWidth="1"/>
    <col min="12556" max="12557" width="9" style="2"/>
    <col min="12558" max="12562" width="11.125" style="2" bestFit="1" customWidth="1"/>
    <col min="12563" max="12563" width="9" style="2"/>
    <col min="12564" max="12564" width="9.625" style="2" bestFit="1" customWidth="1"/>
    <col min="12565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808" width="11.125" style="2" bestFit="1" customWidth="1"/>
    <col min="12809" max="12809" width="9" style="2"/>
    <col min="12810" max="12811" width="11.125" style="2" bestFit="1" customWidth="1"/>
    <col min="12812" max="12813" width="9" style="2"/>
    <col min="12814" max="12818" width="11.125" style="2" bestFit="1" customWidth="1"/>
    <col min="12819" max="12819" width="9" style="2"/>
    <col min="12820" max="12820" width="9.625" style="2" bestFit="1" customWidth="1"/>
    <col min="12821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64" width="11.125" style="2" bestFit="1" customWidth="1"/>
    <col min="13065" max="13065" width="9" style="2"/>
    <col min="13066" max="13067" width="11.125" style="2" bestFit="1" customWidth="1"/>
    <col min="13068" max="13069" width="9" style="2"/>
    <col min="13070" max="13074" width="11.125" style="2" bestFit="1" customWidth="1"/>
    <col min="13075" max="13075" width="9" style="2"/>
    <col min="13076" max="13076" width="9.625" style="2" bestFit="1" customWidth="1"/>
    <col min="13077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20" width="11.125" style="2" bestFit="1" customWidth="1"/>
    <col min="13321" max="13321" width="9" style="2"/>
    <col min="13322" max="13323" width="11.125" style="2" bestFit="1" customWidth="1"/>
    <col min="13324" max="13325" width="9" style="2"/>
    <col min="13326" max="13330" width="11.125" style="2" bestFit="1" customWidth="1"/>
    <col min="13331" max="13331" width="9" style="2"/>
    <col min="13332" max="13332" width="9.625" style="2" bestFit="1" customWidth="1"/>
    <col min="13333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76" width="11.125" style="2" bestFit="1" customWidth="1"/>
    <col min="13577" max="13577" width="9" style="2"/>
    <col min="13578" max="13579" width="11.125" style="2" bestFit="1" customWidth="1"/>
    <col min="13580" max="13581" width="9" style="2"/>
    <col min="13582" max="13586" width="11.125" style="2" bestFit="1" customWidth="1"/>
    <col min="13587" max="13587" width="9" style="2"/>
    <col min="13588" max="13588" width="9.625" style="2" bestFit="1" customWidth="1"/>
    <col min="13589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32" width="11.125" style="2" bestFit="1" customWidth="1"/>
    <col min="13833" max="13833" width="9" style="2"/>
    <col min="13834" max="13835" width="11.125" style="2" bestFit="1" customWidth="1"/>
    <col min="13836" max="13837" width="9" style="2"/>
    <col min="13838" max="13842" width="11.125" style="2" bestFit="1" customWidth="1"/>
    <col min="13843" max="13843" width="9" style="2"/>
    <col min="13844" max="13844" width="9.625" style="2" bestFit="1" customWidth="1"/>
    <col min="13845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88" width="11.125" style="2" bestFit="1" customWidth="1"/>
    <col min="14089" max="14089" width="9" style="2"/>
    <col min="14090" max="14091" width="11.125" style="2" bestFit="1" customWidth="1"/>
    <col min="14092" max="14093" width="9" style="2"/>
    <col min="14094" max="14098" width="11.125" style="2" bestFit="1" customWidth="1"/>
    <col min="14099" max="14099" width="9" style="2"/>
    <col min="14100" max="14100" width="9.625" style="2" bestFit="1" customWidth="1"/>
    <col min="14101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44" width="11.125" style="2" bestFit="1" customWidth="1"/>
    <col min="14345" max="14345" width="9" style="2"/>
    <col min="14346" max="14347" width="11.125" style="2" bestFit="1" customWidth="1"/>
    <col min="14348" max="14349" width="9" style="2"/>
    <col min="14350" max="14354" width="11.125" style="2" bestFit="1" customWidth="1"/>
    <col min="14355" max="14355" width="9" style="2"/>
    <col min="14356" max="14356" width="9.625" style="2" bestFit="1" customWidth="1"/>
    <col min="14357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600" width="11.125" style="2" bestFit="1" customWidth="1"/>
    <col min="14601" max="14601" width="9" style="2"/>
    <col min="14602" max="14603" width="11.125" style="2" bestFit="1" customWidth="1"/>
    <col min="14604" max="14605" width="9" style="2"/>
    <col min="14606" max="14610" width="11.125" style="2" bestFit="1" customWidth="1"/>
    <col min="14611" max="14611" width="9" style="2"/>
    <col min="14612" max="14612" width="9.625" style="2" bestFit="1" customWidth="1"/>
    <col min="14613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56" width="11.125" style="2" bestFit="1" customWidth="1"/>
    <col min="14857" max="14857" width="9" style="2"/>
    <col min="14858" max="14859" width="11.125" style="2" bestFit="1" customWidth="1"/>
    <col min="14860" max="14861" width="9" style="2"/>
    <col min="14862" max="14866" width="11.125" style="2" bestFit="1" customWidth="1"/>
    <col min="14867" max="14867" width="9" style="2"/>
    <col min="14868" max="14868" width="9.625" style="2" bestFit="1" customWidth="1"/>
    <col min="14869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12" width="11.125" style="2" bestFit="1" customWidth="1"/>
    <col min="15113" max="15113" width="9" style="2"/>
    <col min="15114" max="15115" width="11.125" style="2" bestFit="1" customWidth="1"/>
    <col min="15116" max="15117" width="9" style="2"/>
    <col min="15118" max="15122" width="11.125" style="2" bestFit="1" customWidth="1"/>
    <col min="15123" max="15123" width="9" style="2"/>
    <col min="15124" max="15124" width="9.625" style="2" bestFit="1" customWidth="1"/>
    <col min="15125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68" width="11.125" style="2" bestFit="1" customWidth="1"/>
    <col min="15369" max="15369" width="9" style="2"/>
    <col min="15370" max="15371" width="11.125" style="2" bestFit="1" customWidth="1"/>
    <col min="15372" max="15373" width="9" style="2"/>
    <col min="15374" max="15378" width="11.125" style="2" bestFit="1" customWidth="1"/>
    <col min="15379" max="15379" width="9" style="2"/>
    <col min="15380" max="15380" width="9.625" style="2" bestFit="1" customWidth="1"/>
    <col min="15381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24" width="11.125" style="2" bestFit="1" customWidth="1"/>
    <col min="15625" max="15625" width="9" style="2"/>
    <col min="15626" max="15627" width="11.125" style="2" bestFit="1" customWidth="1"/>
    <col min="15628" max="15629" width="9" style="2"/>
    <col min="15630" max="15634" width="11.125" style="2" bestFit="1" customWidth="1"/>
    <col min="15635" max="15635" width="9" style="2"/>
    <col min="15636" max="15636" width="9.625" style="2" bestFit="1" customWidth="1"/>
    <col min="15637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80" width="11.125" style="2" bestFit="1" customWidth="1"/>
    <col min="15881" max="15881" width="9" style="2"/>
    <col min="15882" max="15883" width="11.125" style="2" bestFit="1" customWidth="1"/>
    <col min="15884" max="15885" width="9" style="2"/>
    <col min="15886" max="15890" width="11.125" style="2" bestFit="1" customWidth="1"/>
    <col min="15891" max="15891" width="9" style="2"/>
    <col min="15892" max="15892" width="9.625" style="2" bestFit="1" customWidth="1"/>
    <col min="15893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36" width="11.125" style="2" bestFit="1" customWidth="1"/>
    <col min="16137" max="16137" width="9" style="2"/>
    <col min="16138" max="16139" width="11.125" style="2" bestFit="1" customWidth="1"/>
    <col min="16140" max="16141" width="9" style="2"/>
    <col min="16142" max="16146" width="11.125" style="2" bestFit="1" customWidth="1"/>
    <col min="16147" max="16147" width="9" style="2"/>
    <col min="16148" max="16148" width="9.625" style="2" bestFit="1" customWidth="1"/>
    <col min="16149" max="16384" width="9" style="2"/>
  </cols>
  <sheetData>
    <row r="1" spans="1:20">
      <c r="A1" s="1" t="s">
        <v>0</v>
      </c>
    </row>
    <row r="2" spans="1:20">
      <c r="A2" s="1"/>
    </row>
    <row r="3" spans="1:20">
      <c r="A3" s="1" t="s">
        <v>1</v>
      </c>
    </row>
    <row r="4" spans="1:20">
      <c r="A4" s="1" t="s">
        <v>2</v>
      </c>
    </row>
    <row r="5" spans="1:20">
      <c r="A5" s="1" t="s">
        <v>3</v>
      </c>
    </row>
    <row r="6" spans="1:20" ht="19.5" thickBot="1">
      <c r="A6" s="1" t="s">
        <v>4</v>
      </c>
    </row>
    <row r="7" spans="1:20">
      <c r="B7" s="26"/>
      <c r="C7" s="45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20</v>
      </c>
      <c r="S7" s="59" t="s">
        <v>21</v>
      </c>
      <c r="T7" s="83" t="s">
        <v>22</v>
      </c>
    </row>
    <row r="8" spans="1:20" ht="19.5" thickBot="1">
      <c r="A8" s="3"/>
      <c r="B8" s="27" t="s">
        <v>34</v>
      </c>
      <c r="C8" s="47" t="s">
        <v>35</v>
      </c>
      <c r="D8" s="25" t="s">
        <v>36</v>
      </c>
      <c r="E8" s="25" t="s">
        <v>37</v>
      </c>
      <c r="F8" s="25" t="s">
        <v>38</v>
      </c>
      <c r="G8" s="25" t="s">
        <v>39</v>
      </c>
      <c r="H8" s="25" t="s">
        <v>40</v>
      </c>
      <c r="I8" s="25" t="s">
        <v>41</v>
      </c>
      <c r="J8" s="25" t="s">
        <v>42</v>
      </c>
      <c r="K8" s="25" t="s">
        <v>43</v>
      </c>
      <c r="L8" s="25" t="s">
        <v>44</v>
      </c>
      <c r="M8" s="25" t="s">
        <v>45</v>
      </c>
      <c r="N8" s="25" t="s">
        <v>46</v>
      </c>
      <c r="O8" s="25" t="s">
        <v>47</v>
      </c>
      <c r="P8" s="25" t="s">
        <v>48</v>
      </c>
      <c r="Q8" s="25" t="s">
        <v>49</v>
      </c>
      <c r="R8" s="25" t="s">
        <v>50</v>
      </c>
      <c r="S8" s="60" t="s">
        <v>51</v>
      </c>
      <c r="T8" s="71" t="s">
        <v>52</v>
      </c>
    </row>
    <row r="9" spans="1:20">
      <c r="A9" s="1" t="s">
        <v>3</v>
      </c>
      <c r="B9" s="28" t="s">
        <v>66</v>
      </c>
      <c r="C9" s="49">
        <v>22</v>
      </c>
      <c r="D9" s="15">
        <v>0</v>
      </c>
      <c r="E9" s="15">
        <v>19</v>
      </c>
      <c r="F9" s="15">
        <v>23</v>
      </c>
      <c r="G9" s="15">
        <v>19</v>
      </c>
      <c r="H9" s="15">
        <v>19</v>
      </c>
      <c r="I9" s="15">
        <v>22</v>
      </c>
      <c r="J9" s="15">
        <v>21</v>
      </c>
      <c r="K9" s="15">
        <v>21</v>
      </c>
      <c r="L9" s="15">
        <v>22</v>
      </c>
      <c r="M9" s="15">
        <v>23</v>
      </c>
      <c r="N9" s="15">
        <v>22</v>
      </c>
      <c r="O9" s="15">
        <v>21</v>
      </c>
      <c r="P9" s="15">
        <v>21</v>
      </c>
      <c r="Q9" s="15">
        <v>23</v>
      </c>
      <c r="R9" s="15">
        <v>21</v>
      </c>
      <c r="S9" s="61">
        <v>5</v>
      </c>
      <c r="T9" s="72">
        <f>SUM(C9:S9)</f>
        <v>324</v>
      </c>
    </row>
    <row r="10" spans="1:20">
      <c r="A10" s="1" t="s">
        <v>3</v>
      </c>
      <c r="B10" s="29" t="s">
        <v>67</v>
      </c>
      <c r="C10" s="50">
        <v>1</v>
      </c>
      <c r="D10" s="5">
        <v>0</v>
      </c>
      <c r="E10" s="5">
        <v>3</v>
      </c>
      <c r="F10" s="5">
        <v>1</v>
      </c>
      <c r="G10" s="5">
        <v>3</v>
      </c>
      <c r="H10" s="5">
        <v>4</v>
      </c>
      <c r="I10" s="5">
        <v>2</v>
      </c>
      <c r="J10" s="5">
        <v>3</v>
      </c>
      <c r="K10" s="5">
        <v>2</v>
      </c>
      <c r="L10" s="5">
        <v>1</v>
      </c>
      <c r="M10" s="5">
        <v>0</v>
      </c>
      <c r="N10" s="5">
        <v>1</v>
      </c>
      <c r="O10" s="5">
        <v>2</v>
      </c>
      <c r="P10" s="5">
        <v>3</v>
      </c>
      <c r="Q10" s="5">
        <v>2</v>
      </c>
      <c r="R10" s="5">
        <v>3</v>
      </c>
      <c r="S10" s="62">
        <v>0</v>
      </c>
      <c r="T10" s="73">
        <f t="shared" ref="T10:T24" si="0">SUM(C10:S10)</f>
        <v>31</v>
      </c>
    </row>
    <row r="11" spans="1:20">
      <c r="A11" s="1" t="s">
        <v>3</v>
      </c>
      <c r="B11" s="29" t="s">
        <v>68</v>
      </c>
      <c r="C11" s="50">
        <v>3</v>
      </c>
      <c r="D11" s="5">
        <v>0</v>
      </c>
      <c r="E11" s="5">
        <v>1</v>
      </c>
      <c r="F11" s="5">
        <v>2</v>
      </c>
      <c r="G11" s="5">
        <v>4</v>
      </c>
      <c r="H11" s="5">
        <v>1</v>
      </c>
      <c r="I11" s="5">
        <v>1</v>
      </c>
      <c r="J11" s="5">
        <v>2</v>
      </c>
      <c r="K11" s="5">
        <v>2</v>
      </c>
      <c r="L11" s="5">
        <v>3</v>
      </c>
      <c r="M11" s="5">
        <v>1</v>
      </c>
      <c r="N11" s="5">
        <v>2</v>
      </c>
      <c r="O11" s="5">
        <v>2</v>
      </c>
      <c r="P11" s="5">
        <v>1</v>
      </c>
      <c r="Q11" s="5">
        <v>1</v>
      </c>
      <c r="R11" s="5">
        <v>2</v>
      </c>
      <c r="S11" s="62">
        <v>0</v>
      </c>
      <c r="T11" s="73">
        <f t="shared" si="0"/>
        <v>28</v>
      </c>
    </row>
    <row r="12" spans="1:20">
      <c r="A12" s="1" t="s">
        <v>3</v>
      </c>
      <c r="B12" s="29" t="s">
        <v>69</v>
      </c>
      <c r="C12" s="50">
        <v>0</v>
      </c>
      <c r="D12" s="5">
        <v>0</v>
      </c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0</v>
      </c>
      <c r="Q12" s="5">
        <v>0</v>
      </c>
      <c r="R12" s="5">
        <v>2</v>
      </c>
      <c r="S12" s="62">
        <v>0</v>
      </c>
      <c r="T12" s="73">
        <f t="shared" si="0"/>
        <v>4</v>
      </c>
    </row>
    <row r="13" spans="1:20">
      <c r="A13" s="1" t="s">
        <v>3</v>
      </c>
      <c r="B13" s="29" t="s">
        <v>70</v>
      </c>
      <c r="C13" s="50">
        <v>1.5</v>
      </c>
      <c r="D13" s="5">
        <v>4</v>
      </c>
      <c r="E13" s="5">
        <v>4</v>
      </c>
      <c r="F13" s="5">
        <v>0</v>
      </c>
      <c r="G13" s="5">
        <v>3</v>
      </c>
      <c r="H13" s="5">
        <v>4</v>
      </c>
      <c r="I13" s="5">
        <v>1</v>
      </c>
      <c r="J13" s="5">
        <v>2</v>
      </c>
      <c r="K13" s="5">
        <v>2</v>
      </c>
      <c r="L13" s="5">
        <v>1</v>
      </c>
      <c r="M13" s="5">
        <v>0.5</v>
      </c>
      <c r="N13" s="5">
        <v>1</v>
      </c>
      <c r="O13" s="5">
        <v>1</v>
      </c>
      <c r="P13" s="5">
        <v>2</v>
      </c>
      <c r="Q13" s="5">
        <v>0</v>
      </c>
      <c r="R13" s="5">
        <v>0</v>
      </c>
      <c r="S13" s="62">
        <v>0</v>
      </c>
      <c r="T13" s="73">
        <f t="shared" si="0"/>
        <v>27</v>
      </c>
    </row>
    <row r="14" spans="1:20">
      <c r="A14" s="1" t="s">
        <v>3</v>
      </c>
      <c r="B14" s="29" t="s">
        <v>71</v>
      </c>
      <c r="C14" s="50">
        <v>0</v>
      </c>
      <c r="D14" s="5">
        <v>19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62">
        <v>18</v>
      </c>
      <c r="T14" s="73">
        <f t="shared" si="0"/>
        <v>37</v>
      </c>
    </row>
    <row r="15" spans="1:20">
      <c r="A15" s="1" t="s">
        <v>3</v>
      </c>
      <c r="B15" s="29" t="s">
        <v>72</v>
      </c>
      <c r="C15" s="51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63">
        <v>0</v>
      </c>
      <c r="T15" s="74">
        <f t="shared" si="0"/>
        <v>0</v>
      </c>
    </row>
    <row r="16" spans="1:20">
      <c r="A16" s="1" t="s">
        <v>3</v>
      </c>
      <c r="B16" s="29" t="s">
        <v>73</v>
      </c>
      <c r="C16" s="51">
        <v>0.83333333333333337</v>
      </c>
      <c r="D16" s="7">
        <v>0</v>
      </c>
      <c r="E16" s="7">
        <v>1.875</v>
      </c>
      <c r="F16" s="7">
        <v>2.3333333333333335</v>
      </c>
      <c r="G16" s="7">
        <v>1.9583333333333335</v>
      </c>
      <c r="H16" s="7">
        <v>1.7083333333333335</v>
      </c>
      <c r="I16" s="7">
        <v>1.5833333333333335</v>
      </c>
      <c r="J16" s="7">
        <v>1.5833333333333335</v>
      </c>
      <c r="K16" s="7">
        <v>1.9166666666666665</v>
      </c>
      <c r="L16" s="7">
        <v>2.0833333333333335</v>
      </c>
      <c r="M16" s="7">
        <v>1.0833333333333333</v>
      </c>
      <c r="N16" s="7">
        <v>1.8333333333333335</v>
      </c>
      <c r="O16" s="7">
        <v>2.9583333333333335</v>
      </c>
      <c r="P16" s="7">
        <v>3.0416666666666665</v>
      </c>
      <c r="Q16" s="7">
        <v>1.4583333333333333</v>
      </c>
      <c r="R16" s="7">
        <v>1.4166666666666667</v>
      </c>
      <c r="S16" s="63">
        <v>0.16666666666666666</v>
      </c>
      <c r="T16" s="74">
        <f t="shared" si="0"/>
        <v>27.833333333333336</v>
      </c>
    </row>
    <row r="17" spans="1:20">
      <c r="A17" s="1" t="s">
        <v>3</v>
      </c>
      <c r="B17" s="29" t="s">
        <v>74</v>
      </c>
      <c r="C17" s="51">
        <v>0.45833333333333331</v>
      </c>
      <c r="D17" s="7">
        <v>0</v>
      </c>
      <c r="E17" s="7">
        <v>1.0833333333333333</v>
      </c>
      <c r="F17" s="7">
        <v>0.45833333333333331</v>
      </c>
      <c r="G17" s="7">
        <v>1.125</v>
      </c>
      <c r="H17" s="7">
        <v>1.5416666666666665</v>
      </c>
      <c r="I17" s="7">
        <v>0.875</v>
      </c>
      <c r="J17" s="7">
        <v>1.2916666666666667</v>
      </c>
      <c r="K17" s="7">
        <v>1</v>
      </c>
      <c r="L17" s="7">
        <v>0.5</v>
      </c>
      <c r="M17" s="7">
        <v>0</v>
      </c>
      <c r="N17" s="7">
        <v>0.41666666666666669</v>
      </c>
      <c r="O17" s="7">
        <v>1</v>
      </c>
      <c r="P17" s="7">
        <v>0.875</v>
      </c>
      <c r="Q17" s="7">
        <v>0.83333333333333337</v>
      </c>
      <c r="R17" s="7">
        <v>0.83333333333333337</v>
      </c>
      <c r="S17" s="63">
        <v>0</v>
      </c>
      <c r="T17" s="74">
        <f t="shared" si="0"/>
        <v>12.291666666666666</v>
      </c>
    </row>
    <row r="18" spans="1:20">
      <c r="A18" s="1" t="s">
        <v>3</v>
      </c>
      <c r="B18" s="29" t="s">
        <v>75</v>
      </c>
      <c r="C18" s="51">
        <v>0.91666666666666663</v>
      </c>
      <c r="D18" s="7">
        <v>0</v>
      </c>
      <c r="E18" s="7">
        <v>0.41666666666666669</v>
      </c>
      <c r="F18" s="7">
        <v>0.33333333333333331</v>
      </c>
      <c r="G18" s="7">
        <v>1.1666666666666667</v>
      </c>
      <c r="H18" s="7">
        <v>0.375</v>
      </c>
      <c r="I18" s="7">
        <v>0.25</v>
      </c>
      <c r="J18" s="7">
        <v>0.58333333333333337</v>
      </c>
      <c r="K18" s="7">
        <v>0.625</v>
      </c>
      <c r="L18" s="7">
        <v>0.95833333333333337</v>
      </c>
      <c r="M18" s="7">
        <v>0.5</v>
      </c>
      <c r="N18" s="7">
        <v>0.875</v>
      </c>
      <c r="O18" s="7">
        <v>0.375</v>
      </c>
      <c r="P18" s="7">
        <v>0.5</v>
      </c>
      <c r="Q18" s="7">
        <v>0.5</v>
      </c>
      <c r="R18" s="7">
        <v>0.5</v>
      </c>
      <c r="S18" s="63">
        <v>0</v>
      </c>
      <c r="T18" s="74">
        <f t="shared" si="0"/>
        <v>8.875</v>
      </c>
    </row>
    <row r="19" spans="1:20">
      <c r="A19" s="1" t="s">
        <v>3</v>
      </c>
      <c r="B19" s="29" t="s">
        <v>76</v>
      </c>
      <c r="C19" s="51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0.20833333333333334</v>
      </c>
      <c r="S19" s="63">
        <v>0</v>
      </c>
      <c r="T19" s="74">
        <f t="shared" si="0"/>
        <v>0.20833333333333334</v>
      </c>
    </row>
    <row r="20" spans="1:20">
      <c r="A20" s="1" t="s">
        <v>3</v>
      </c>
      <c r="B20" s="29" t="s">
        <v>77</v>
      </c>
      <c r="C20" s="51">
        <v>0</v>
      </c>
      <c r="D20" s="7">
        <v>0</v>
      </c>
      <c r="E20" s="7">
        <v>0</v>
      </c>
      <c r="F20" s="7">
        <v>0</v>
      </c>
      <c r="G20" s="7">
        <v>0.33333333333333331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0.125</v>
      </c>
      <c r="P20" s="7">
        <v>0</v>
      </c>
      <c r="Q20" s="7">
        <v>0</v>
      </c>
      <c r="R20" s="7">
        <v>0.16666666666666666</v>
      </c>
      <c r="S20" s="63">
        <v>0</v>
      </c>
      <c r="T20" s="74">
        <f t="shared" si="0"/>
        <v>0.625</v>
      </c>
    </row>
    <row r="21" spans="1:20">
      <c r="A21" s="1" t="s">
        <v>3</v>
      </c>
      <c r="B21" s="29" t="s">
        <v>78</v>
      </c>
      <c r="C21" s="51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0.54166666666666663</v>
      </c>
      <c r="P21" s="7">
        <v>0.70833333333333337</v>
      </c>
      <c r="Q21" s="7">
        <v>0</v>
      </c>
      <c r="R21" s="7">
        <v>0</v>
      </c>
      <c r="S21" s="63">
        <v>0</v>
      </c>
      <c r="T21" s="74">
        <f t="shared" si="0"/>
        <v>1.25</v>
      </c>
    </row>
    <row r="22" spans="1:20">
      <c r="A22" s="1" t="s">
        <v>3</v>
      </c>
      <c r="B22" s="29" t="s">
        <v>79</v>
      </c>
      <c r="C22" s="51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63">
        <v>0.125</v>
      </c>
      <c r="T22" s="74">
        <f t="shared" si="0"/>
        <v>0.125</v>
      </c>
    </row>
    <row r="23" spans="1:20">
      <c r="A23" s="1" t="s">
        <v>3</v>
      </c>
      <c r="B23" s="29" t="s">
        <v>80</v>
      </c>
      <c r="C23" s="51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63">
        <v>0</v>
      </c>
      <c r="T23" s="74">
        <f t="shared" si="0"/>
        <v>0</v>
      </c>
    </row>
    <row r="24" spans="1:20">
      <c r="A24" s="1" t="s">
        <v>3</v>
      </c>
      <c r="B24" s="29" t="s">
        <v>81</v>
      </c>
      <c r="C24" s="51">
        <v>0.25</v>
      </c>
      <c r="D24" s="7">
        <v>0</v>
      </c>
      <c r="E24" s="7">
        <v>0.91666666666666663</v>
      </c>
      <c r="F24" s="7">
        <v>0.95833333333333337</v>
      </c>
      <c r="G24" s="7">
        <v>2.9583333333333335</v>
      </c>
      <c r="H24" s="7">
        <v>8.3333333333333329E-2</v>
      </c>
      <c r="I24" s="7">
        <v>0.29166666666666669</v>
      </c>
      <c r="J24" s="7">
        <v>8.3333333333333329E-2</v>
      </c>
      <c r="K24" s="7">
        <v>0.58333333333333337</v>
      </c>
      <c r="L24" s="7">
        <v>0.83333333333333337</v>
      </c>
      <c r="M24" s="7">
        <v>0.125</v>
      </c>
      <c r="N24" s="7">
        <v>0.54166666666666663</v>
      </c>
      <c r="O24" s="7">
        <v>1.3333333333333333</v>
      </c>
      <c r="P24" s="7">
        <v>1.5</v>
      </c>
      <c r="Q24" s="7">
        <v>0.41666666666666669</v>
      </c>
      <c r="R24" s="7">
        <v>0.20833333333333334</v>
      </c>
      <c r="S24" s="63">
        <v>0</v>
      </c>
      <c r="T24" s="74">
        <f t="shared" si="0"/>
        <v>11.083333333333334</v>
      </c>
    </row>
    <row r="25" spans="1:20">
      <c r="A25" s="1" t="s">
        <v>3</v>
      </c>
      <c r="B25" s="30" t="s">
        <v>82</v>
      </c>
      <c r="C25" s="52">
        <v>15.5</v>
      </c>
      <c r="D25" s="19">
        <v>14</v>
      </c>
      <c r="E25" s="19">
        <v>29</v>
      </c>
      <c r="F25" s="19">
        <v>37</v>
      </c>
      <c r="G25" s="19">
        <v>30</v>
      </c>
      <c r="H25" s="19">
        <v>24</v>
      </c>
      <c r="I25" s="19">
        <v>34</v>
      </c>
      <c r="J25" s="19">
        <v>31.5</v>
      </c>
      <c r="K25" s="19">
        <v>32.5</v>
      </c>
      <c r="L25" s="19">
        <v>33</v>
      </c>
      <c r="M25" s="19">
        <v>29.5</v>
      </c>
      <c r="N25" s="19">
        <v>33.5</v>
      </c>
      <c r="O25" s="19">
        <v>13</v>
      </c>
      <c r="P25" s="19">
        <v>14</v>
      </c>
      <c r="Q25" s="19">
        <v>24</v>
      </c>
      <c r="R25" s="19">
        <v>0</v>
      </c>
      <c r="S25" s="64">
        <v>0</v>
      </c>
      <c r="T25" s="75"/>
    </row>
    <row r="26" spans="1:20">
      <c r="A26" s="1" t="s">
        <v>3</v>
      </c>
      <c r="B26" s="28" t="s">
        <v>83</v>
      </c>
      <c r="C26" s="53">
        <v>182000</v>
      </c>
      <c r="D26" s="17">
        <v>192000</v>
      </c>
      <c r="E26" s="17">
        <v>197000</v>
      </c>
      <c r="F26" s="17">
        <v>197000</v>
      </c>
      <c r="G26" s="17">
        <v>197000</v>
      </c>
      <c r="H26" s="17">
        <v>182000</v>
      </c>
      <c r="I26" s="17">
        <v>187000</v>
      </c>
      <c r="J26" s="17">
        <v>182000</v>
      </c>
      <c r="K26" s="17">
        <v>197000</v>
      </c>
      <c r="L26" s="17">
        <v>192000</v>
      </c>
      <c r="M26" s="17">
        <v>192000</v>
      </c>
      <c r="N26" s="17">
        <v>182000</v>
      </c>
      <c r="O26" s="17">
        <v>175000</v>
      </c>
      <c r="P26" s="17">
        <v>175000</v>
      </c>
      <c r="Q26" s="17">
        <v>180000</v>
      </c>
      <c r="R26" s="17">
        <v>175000</v>
      </c>
      <c r="S26" s="65">
        <v>175000</v>
      </c>
      <c r="T26" s="76">
        <f t="shared" ref="T26:T59" si="1">SUM(C26:S26)</f>
        <v>3159000</v>
      </c>
    </row>
    <row r="27" spans="1:20">
      <c r="A27" s="1" t="s">
        <v>3</v>
      </c>
      <c r="B27" s="29" t="s">
        <v>84</v>
      </c>
      <c r="C27" s="54">
        <v>0</v>
      </c>
      <c r="D27" s="9">
        <v>0</v>
      </c>
      <c r="E27" s="9">
        <v>20000</v>
      </c>
      <c r="F27" s="9">
        <v>20000</v>
      </c>
      <c r="G27" s="9">
        <v>0</v>
      </c>
      <c r="H27" s="9">
        <v>0</v>
      </c>
      <c r="I27" s="9">
        <v>5000</v>
      </c>
      <c r="J27" s="9">
        <v>0</v>
      </c>
      <c r="K27" s="9">
        <v>0</v>
      </c>
      <c r="L27" s="9">
        <v>0</v>
      </c>
      <c r="M27" s="9">
        <v>5000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66">
        <v>0</v>
      </c>
      <c r="T27" s="77">
        <f t="shared" si="1"/>
        <v>50000</v>
      </c>
    </row>
    <row r="28" spans="1:20">
      <c r="A28" s="1" t="s">
        <v>3</v>
      </c>
      <c r="B28" s="29" t="s">
        <v>85</v>
      </c>
      <c r="C28" s="54">
        <v>0</v>
      </c>
      <c r="D28" s="9">
        <v>0</v>
      </c>
      <c r="E28" s="9">
        <v>3000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66">
        <v>0</v>
      </c>
      <c r="T28" s="77">
        <f t="shared" si="1"/>
        <v>3000</v>
      </c>
    </row>
    <row r="29" spans="1:20">
      <c r="A29" s="1" t="s">
        <v>3</v>
      </c>
      <c r="B29" s="29" t="s">
        <v>86</v>
      </c>
      <c r="C29" s="54">
        <v>0</v>
      </c>
      <c r="D29" s="9">
        <v>0</v>
      </c>
      <c r="E29" s="9">
        <v>0</v>
      </c>
      <c r="F29" s="9">
        <v>7069</v>
      </c>
      <c r="G29" s="9">
        <v>6264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104414</v>
      </c>
      <c r="N29" s="9">
        <v>11560</v>
      </c>
      <c r="O29" s="9">
        <v>0</v>
      </c>
      <c r="P29" s="9">
        <v>0</v>
      </c>
      <c r="Q29" s="9">
        <v>18482</v>
      </c>
      <c r="R29" s="9">
        <v>0</v>
      </c>
      <c r="S29" s="66">
        <v>0</v>
      </c>
      <c r="T29" s="77">
        <f t="shared" si="1"/>
        <v>147789</v>
      </c>
    </row>
    <row r="30" spans="1:20">
      <c r="A30" s="1" t="s">
        <v>3</v>
      </c>
      <c r="B30" s="29" t="s">
        <v>87</v>
      </c>
      <c r="C30" s="54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66">
        <v>0</v>
      </c>
      <c r="T30" s="77">
        <f t="shared" si="1"/>
        <v>0</v>
      </c>
    </row>
    <row r="31" spans="1:20">
      <c r="A31" s="1" t="s">
        <v>3</v>
      </c>
      <c r="B31" s="29" t="s">
        <v>88</v>
      </c>
      <c r="C31" s="54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66">
        <v>0</v>
      </c>
      <c r="T31" s="77">
        <f t="shared" si="1"/>
        <v>0</v>
      </c>
    </row>
    <row r="32" spans="1:20">
      <c r="A32" s="1" t="s">
        <v>3</v>
      </c>
      <c r="B32" s="29" t="s">
        <v>89</v>
      </c>
      <c r="C32" s="54">
        <v>3500</v>
      </c>
      <c r="D32" s="9">
        <v>0</v>
      </c>
      <c r="E32" s="9">
        <v>3500</v>
      </c>
      <c r="F32" s="9">
        <v>3500</v>
      </c>
      <c r="G32" s="9">
        <v>3500</v>
      </c>
      <c r="H32" s="9">
        <v>3500</v>
      </c>
      <c r="I32" s="9">
        <v>3500</v>
      </c>
      <c r="J32" s="9">
        <v>3500</v>
      </c>
      <c r="K32" s="9">
        <v>3500</v>
      </c>
      <c r="L32" s="9">
        <v>3500</v>
      </c>
      <c r="M32" s="9">
        <v>2000</v>
      </c>
      <c r="N32" s="9">
        <v>3500</v>
      </c>
      <c r="O32" s="9">
        <v>1000</v>
      </c>
      <c r="P32" s="9">
        <v>2000</v>
      </c>
      <c r="Q32" s="9">
        <v>2000</v>
      </c>
      <c r="R32" s="9">
        <v>0</v>
      </c>
      <c r="S32" s="66">
        <v>0</v>
      </c>
      <c r="T32" s="77">
        <f t="shared" si="1"/>
        <v>42000</v>
      </c>
    </row>
    <row r="33" spans="1:20">
      <c r="A33" s="1" t="s">
        <v>3</v>
      </c>
      <c r="B33" s="29" t="s">
        <v>90</v>
      </c>
      <c r="C33" s="54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66">
        <v>0</v>
      </c>
      <c r="T33" s="77">
        <f t="shared" si="1"/>
        <v>0</v>
      </c>
    </row>
    <row r="34" spans="1:20">
      <c r="A34" s="1" t="s">
        <v>3</v>
      </c>
      <c r="B34" s="29" t="s">
        <v>91</v>
      </c>
      <c r="C34" s="54">
        <v>0</v>
      </c>
      <c r="D34" s="9">
        <v>174534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66">
        <v>150714</v>
      </c>
      <c r="T34" s="77">
        <f t="shared" si="1"/>
        <v>325248</v>
      </c>
    </row>
    <row r="35" spans="1:20">
      <c r="A35" s="1" t="s">
        <v>3</v>
      </c>
      <c r="B35" s="29" t="s">
        <v>92</v>
      </c>
      <c r="C35" s="54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66">
        <v>3141</v>
      </c>
      <c r="T35" s="77">
        <f t="shared" si="1"/>
        <v>3141</v>
      </c>
    </row>
    <row r="36" spans="1:20">
      <c r="A36" s="1" t="s">
        <v>3</v>
      </c>
      <c r="B36" s="29" t="s">
        <v>73</v>
      </c>
      <c r="C36" s="54">
        <v>27780</v>
      </c>
      <c r="D36" s="9">
        <v>0</v>
      </c>
      <c r="E36" s="9">
        <v>75285</v>
      </c>
      <c r="F36" s="9">
        <v>92400</v>
      </c>
      <c r="G36" s="9">
        <v>70547</v>
      </c>
      <c r="H36" s="9">
        <v>56949</v>
      </c>
      <c r="I36" s="9">
        <v>55632</v>
      </c>
      <c r="J36" s="9">
        <v>52782</v>
      </c>
      <c r="K36" s="9">
        <v>69046</v>
      </c>
      <c r="L36" s="9">
        <v>73200</v>
      </c>
      <c r="M36" s="9">
        <v>38740</v>
      </c>
      <c r="N36" s="9">
        <v>61116</v>
      </c>
      <c r="O36" s="9">
        <v>93578</v>
      </c>
      <c r="P36" s="9">
        <v>96725</v>
      </c>
      <c r="Q36" s="9">
        <v>47705</v>
      </c>
      <c r="R36" s="9">
        <v>44540</v>
      </c>
      <c r="S36" s="66">
        <v>5240</v>
      </c>
      <c r="T36" s="77">
        <f t="shared" si="1"/>
        <v>961265</v>
      </c>
    </row>
    <row r="37" spans="1:20">
      <c r="A37" s="1" t="s">
        <v>3</v>
      </c>
      <c r="B37" s="29" t="s">
        <v>93</v>
      </c>
      <c r="C37" s="54">
        <v>16500</v>
      </c>
      <c r="D37" s="9">
        <v>0</v>
      </c>
      <c r="E37" s="9">
        <v>46956</v>
      </c>
      <c r="F37" s="9">
        <v>19602</v>
      </c>
      <c r="G37" s="9">
        <v>43767</v>
      </c>
      <c r="H37" s="9">
        <v>55500</v>
      </c>
      <c r="I37" s="9">
        <v>33201</v>
      </c>
      <c r="J37" s="9">
        <v>46500</v>
      </c>
      <c r="K37" s="9">
        <v>38904</v>
      </c>
      <c r="L37" s="9">
        <v>18972</v>
      </c>
      <c r="M37" s="9">
        <v>0</v>
      </c>
      <c r="N37" s="9">
        <v>15000</v>
      </c>
      <c r="O37" s="9">
        <v>34152</v>
      </c>
      <c r="P37" s="9">
        <v>30051</v>
      </c>
      <c r="Q37" s="9">
        <v>29440</v>
      </c>
      <c r="R37" s="9">
        <v>28300</v>
      </c>
      <c r="S37" s="66">
        <v>0</v>
      </c>
      <c r="T37" s="77">
        <f t="shared" si="1"/>
        <v>456845</v>
      </c>
    </row>
    <row r="38" spans="1:20">
      <c r="A38" s="1" t="s">
        <v>3</v>
      </c>
      <c r="B38" s="29" t="s">
        <v>94</v>
      </c>
      <c r="C38" s="54">
        <v>33000</v>
      </c>
      <c r="D38" s="9">
        <v>0</v>
      </c>
      <c r="E38" s="9">
        <v>18060</v>
      </c>
      <c r="F38" s="9">
        <v>14256</v>
      </c>
      <c r="G38" s="9">
        <v>45388</v>
      </c>
      <c r="H38" s="9">
        <v>13500</v>
      </c>
      <c r="I38" s="9">
        <v>9486</v>
      </c>
      <c r="J38" s="9">
        <v>21000</v>
      </c>
      <c r="K38" s="9">
        <v>24315</v>
      </c>
      <c r="L38" s="9">
        <v>36363</v>
      </c>
      <c r="M38" s="9">
        <v>19308</v>
      </c>
      <c r="N38" s="9">
        <v>31500</v>
      </c>
      <c r="O38" s="9">
        <v>12807</v>
      </c>
      <c r="P38" s="9">
        <v>17172</v>
      </c>
      <c r="Q38" s="9">
        <v>17664</v>
      </c>
      <c r="R38" s="9">
        <v>16980</v>
      </c>
      <c r="S38" s="66">
        <v>0</v>
      </c>
      <c r="T38" s="77">
        <f t="shared" si="1"/>
        <v>330799</v>
      </c>
    </row>
    <row r="39" spans="1:20">
      <c r="A39" s="1" t="s">
        <v>3</v>
      </c>
      <c r="B39" s="29" t="s">
        <v>95</v>
      </c>
      <c r="C39" s="54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1835</v>
      </c>
      <c r="S39" s="66">
        <v>0</v>
      </c>
      <c r="T39" s="77">
        <f t="shared" si="1"/>
        <v>1835</v>
      </c>
    </row>
    <row r="40" spans="1:20">
      <c r="A40" s="1" t="s">
        <v>3</v>
      </c>
      <c r="B40" s="29" t="s">
        <v>96</v>
      </c>
      <c r="C40" s="54">
        <v>0</v>
      </c>
      <c r="D40" s="9">
        <v>0</v>
      </c>
      <c r="E40" s="9">
        <v>0</v>
      </c>
      <c r="F40" s="9">
        <v>0</v>
      </c>
      <c r="G40" s="9">
        <v>3360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1107</v>
      </c>
      <c r="P40" s="9">
        <v>0</v>
      </c>
      <c r="Q40" s="9">
        <v>0</v>
      </c>
      <c r="R40" s="9">
        <v>1468</v>
      </c>
      <c r="S40" s="66">
        <v>0</v>
      </c>
      <c r="T40" s="77">
        <f t="shared" si="1"/>
        <v>5935</v>
      </c>
    </row>
    <row r="41" spans="1:20">
      <c r="A41" s="1" t="s">
        <v>3</v>
      </c>
      <c r="B41" s="29" t="s">
        <v>78</v>
      </c>
      <c r="C41" s="54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3432</v>
      </c>
      <c r="P41" s="9">
        <v>4505</v>
      </c>
      <c r="Q41" s="9">
        <v>0</v>
      </c>
      <c r="R41" s="9">
        <v>0</v>
      </c>
      <c r="S41" s="66">
        <v>0</v>
      </c>
      <c r="T41" s="77">
        <f t="shared" si="1"/>
        <v>7937</v>
      </c>
    </row>
    <row r="42" spans="1:20">
      <c r="A42" s="1" t="s">
        <v>3</v>
      </c>
      <c r="B42" s="31" t="s">
        <v>81</v>
      </c>
      <c r="C42" s="55">
        <v>1668</v>
      </c>
      <c r="D42" s="21">
        <v>0</v>
      </c>
      <c r="E42" s="21">
        <v>7370</v>
      </c>
      <c r="F42" s="21">
        <v>7590</v>
      </c>
      <c r="G42" s="21">
        <v>21300</v>
      </c>
      <c r="H42" s="21">
        <v>556</v>
      </c>
      <c r="I42" s="21">
        <v>2051</v>
      </c>
      <c r="J42" s="21">
        <v>556</v>
      </c>
      <c r="K42" s="21">
        <v>4200</v>
      </c>
      <c r="L42" s="21">
        <v>5860</v>
      </c>
      <c r="M42" s="21">
        <v>894</v>
      </c>
      <c r="N42" s="21">
        <v>3614</v>
      </c>
      <c r="O42" s="21">
        <v>8448</v>
      </c>
      <c r="P42" s="21">
        <v>9540</v>
      </c>
      <c r="Q42" s="21">
        <v>2730</v>
      </c>
      <c r="R42" s="21">
        <v>1310</v>
      </c>
      <c r="S42" s="67">
        <v>0</v>
      </c>
      <c r="T42" s="78">
        <f t="shared" si="1"/>
        <v>77687</v>
      </c>
    </row>
    <row r="43" spans="1:20">
      <c r="A43" s="1" t="s">
        <v>3</v>
      </c>
      <c r="B43" s="32" t="s">
        <v>97</v>
      </c>
      <c r="C43" s="56">
        <v>264448</v>
      </c>
      <c r="D43" s="23">
        <v>17466</v>
      </c>
      <c r="E43" s="23">
        <v>371171</v>
      </c>
      <c r="F43" s="23">
        <v>361417</v>
      </c>
      <c r="G43" s="23">
        <v>391126</v>
      </c>
      <c r="H43" s="23">
        <v>312005</v>
      </c>
      <c r="I43" s="23">
        <v>295870</v>
      </c>
      <c r="J43" s="23">
        <v>306338</v>
      </c>
      <c r="K43" s="23">
        <v>336965</v>
      </c>
      <c r="L43" s="23">
        <v>329895</v>
      </c>
      <c r="M43" s="23">
        <v>362356</v>
      </c>
      <c r="N43" s="23">
        <v>308290</v>
      </c>
      <c r="O43" s="23">
        <v>329524</v>
      </c>
      <c r="P43" s="23">
        <v>334993</v>
      </c>
      <c r="Q43" s="23">
        <v>298021</v>
      </c>
      <c r="R43" s="23">
        <v>269433</v>
      </c>
      <c r="S43" s="68">
        <v>26385</v>
      </c>
      <c r="T43" s="79">
        <f t="shared" si="1"/>
        <v>4915703</v>
      </c>
    </row>
    <row r="44" spans="1:20">
      <c r="A44" s="1" t="s">
        <v>3</v>
      </c>
      <c r="B44" s="32" t="s">
        <v>98</v>
      </c>
      <c r="C44" s="56">
        <v>14888</v>
      </c>
      <c r="D44" s="23">
        <v>0</v>
      </c>
      <c r="E44" s="23">
        <v>5927</v>
      </c>
      <c r="F44" s="23">
        <v>3722</v>
      </c>
      <c r="G44" s="23">
        <v>2978</v>
      </c>
      <c r="H44" s="23">
        <v>2749</v>
      </c>
      <c r="I44" s="23">
        <v>1432</v>
      </c>
      <c r="J44" s="23">
        <v>3722</v>
      </c>
      <c r="K44" s="23">
        <v>5727</v>
      </c>
      <c r="L44" s="23">
        <v>8933</v>
      </c>
      <c r="M44" s="23">
        <v>6872</v>
      </c>
      <c r="N44" s="23">
        <v>12169</v>
      </c>
      <c r="O44" s="23">
        <v>9305</v>
      </c>
      <c r="P44" s="23">
        <v>9305</v>
      </c>
      <c r="Q44" s="23">
        <v>2978</v>
      </c>
      <c r="R44" s="23">
        <v>11911</v>
      </c>
      <c r="S44" s="68">
        <v>2291</v>
      </c>
      <c r="T44" s="79">
        <f t="shared" si="1"/>
        <v>104909</v>
      </c>
    </row>
    <row r="45" spans="1:20">
      <c r="A45" s="1" t="s">
        <v>3</v>
      </c>
      <c r="B45" s="32" t="s">
        <v>99</v>
      </c>
      <c r="C45" s="56">
        <v>14888</v>
      </c>
      <c r="D45" s="23">
        <v>0</v>
      </c>
      <c r="E45" s="23">
        <v>5927</v>
      </c>
      <c r="F45" s="23">
        <v>3722</v>
      </c>
      <c r="G45" s="23">
        <v>2978</v>
      </c>
      <c r="H45" s="23">
        <v>2749</v>
      </c>
      <c r="I45" s="23">
        <v>1432</v>
      </c>
      <c r="J45" s="23">
        <v>3722</v>
      </c>
      <c r="K45" s="23">
        <v>5727</v>
      </c>
      <c r="L45" s="23">
        <v>8933</v>
      </c>
      <c r="M45" s="23">
        <v>6872</v>
      </c>
      <c r="N45" s="23">
        <v>12169</v>
      </c>
      <c r="O45" s="23">
        <v>9305</v>
      </c>
      <c r="P45" s="23">
        <v>9305</v>
      </c>
      <c r="Q45" s="23">
        <v>2978</v>
      </c>
      <c r="R45" s="23">
        <v>11911</v>
      </c>
      <c r="S45" s="68">
        <v>2291</v>
      </c>
      <c r="T45" s="79">
        <f t="shared" si="1"/>
        <v>104909</v>
      </c>
    </row>
    <row r="46" spans="1:20">
      <c r="A46" s="1" t="s">
        <v>3</v>
      </c>
      <c r="B46" s="32" t="s">
        <v>100</v>
      </c>
      <c r="C46" s="56">
        <v>279336</v>
      </c>
      <c r="D46" s="23">
        <v>17466</v>
      </c>
      <c r="E46" s="23">
        <v>377098</v>
      </c>
      <c r="F46" s="23">
        <v>365139</v>
      </c>
      <c r="G46" s="23">
        <v>394104</v>
      </c>
      <c r="H46" s="23">
        <v>314754</v>
      </c>
      <c r="I46" s="23">
        <v>297302</v>
      </c>
      <c r="J46" s="23">
        <v>310060</v>
      </c>
      <c r="K46" s="23">
        <v>342692</v>
      </c>
      <c r="L46" s="23">
        <v>338828</v>
      </c>
      <c r="M46" s="23">
        <v>369228</v>
      </c>
      <c r="N46" s="23">
        <v>320459</v>
      </c>
      <c r="O46" s="23">
        <v>338829</v>
      </c>
      <c r="P46" s="23">
        <v>344298</v>
      </c>
      <c r="Q46" s="23">
        <v>300999</v>
      </c>
      <c r="R46" s="23">
        <v>281344</v>
      </c>
      <c r="S46" s="68">
        <v>28676</v>
      </c>
      <c r="T46" s="79">
        <f t="shared" si="1"/>
        <v>5020612</v>
      </c>
    </row>
    <row r="47" spans="1:20">
      <c r="A47" s="1" t="s">
        <v>3</v>
      </c>
      <c r="B47" s="28" t="s">
        <v>101</v>
      </c>
      <c r="C47" s="53">
        <v>15300</v>
      </c>
      <c r="D47" s="17">
        <v>16320</v>
      </c>
      <c r="E47" s="17">
        <v>19380</v>
      </c>
      <c r="F47" s="17">
        <v>19380</v>
      </c>
      <c r="G47" s="17">
        <v>19380</v>
      </c>
      <c r="H47" s="17">
        <v>16320</v>
      </c>
      <c r="I47" s="17">
        <v>15300</v>
      </c>
      <c r="J47" s="17">
        <v>15300</v>
      </c>
      <c r="K47" s="17">
        <v>19380</v>
      </c>
      <c r="L47" s="17">
        <v>18360</v>
      </c>
      <c r="M47" s="17">
        <v>19380</v>
      </c>
      <c r="N47" s="17">
        <v>15300</v>
      </c>
      <c r="O47" s="17">
        <v>16320</v>
      </c>
      <c r="P47" s="17">
        <v>14280</v>
      </c>
      <c r="Q47" s="17">
        <v>16320</v>
      </c>
      <c r="R47" s="17">
        <v>13260</v>
      </c>
      <c r="S47" s="65">
        <v>0</v>
      </c>
      <c r="T47" s="76">
        <f t="shared" si="1"/>
        <v>269280</v>
      </c>
    </row>
    <row r="48" spans="1:20">
      <c r="A48" s="1" t="s">
        <v>3</v>
      </c>
      <c r="B48" s="29" t="s">
        <v>102</v>
      </c>
      <c r="C48" s="54">
        <v>2700</v>
      </c>
      <c r="D48" s="9">
        <v>2880</v>
      </c>
      <c r="E48" s="9">
        <v>3420</v>
      </c>
      <c r="F48" s="9">
        <v>3420</v>
      </c>
      <c r="G48" s="9">
        <v>0</v>
      </c>
      <c r="H48" s="9">
        <v>2880</v>
      </c>
      <c r="I48" s="9">
        <v>2700</v>
      </c>
      <c r="J48" s="9">
        <v>2700</v>
      </c>
      <c r="K48" s="9">
        <v>3420</v>
      </c>
      <c r="L48" s="9">
        <v>3240</v>
      </c>
      <c r="M48" s="9">
        <v>3420</v>
      </c>
      <c r="N48" s="9">
        <v>2700</v>
      </c>
      <c r="O48" s="9">
        <v>2880</v>
      </c>
      <c r="P48" s="9">
        <v>2520</v>
      </c>
      <c r="Q48" s="9">
        <v>2880</v>
      </c>
      <c r="R48" s="9">
        <v>2340</v>
      </c>
      <c r="S48" s="66">
        <v>0</v>
      </c>
      <c r="T48" s="77">
        <f t="shared" si="1"/>
        <v>44100</v>
      </c>
    </row>
    <row r="49" spans="1:20">
      <c r="A49" s="1" t="s">
        <v>3</v>
      </c>
      <c r="B49" s="29" t="s">
        <v>103</v>
      </c>
      <c r="C49" s="54">
        <v>27450</v>
      </c>
      <c r="D49" s="9">
        <v>29280</v>
      </c>
      <c r="E49" s="9">
        <v>34770</v>
      </c>
      <c r="F49" s="9">
        <v>34770</v>
      </c>
      <c r="G49" s="9">
        <v>34770</v>
      </c>
      <c r="H49" s="9">
        <v>29280</v>
      </c>
      <c r="I49" s="9">
        <v>27450</v>
      </c>
      <c r="J49" s="9">
        <v>27450</v>
      </c>
      <c r="K49" s="9">
        <v>34770</v>
      </c>
      <c r="L49" s="9">
        <v>32940</v>
      </c>
      <c r="M49" s="9">
        <v>34770</v>
      </c>
      <c r="N49" s="9">
        <v>27450</v>
      </c>
      <c r="O49" s="9">
        <v>29280</v>
      </c>
      <c r="P49" s="9">
        <v>25620</v>
      </c>
      <c r="Q49" s="9">
        <v>29280</v>
      </c>
      <c r="R49" s="9">
        <v>23790</v>
      </c>
      <c r="S49" s="66">
        <v>0</v>
      </c>
      <c r="T49" s="77">
        <f t="shared" si="1"/>
        <v>483120</v>
      </c>
    </row>
    <row r="50" spans="1:20">
      <c r="A50" s="1" t="s">
        <v>3</v>
      </c>
      <c r="B50" s="31" t="s">
        <v>104</v>
      </c>
      <c r="C50" s="55">
        <v>1536</v>
      </c>
      <c r="D50" s="21">
        <v>96</v>
      </c>
      <c r="E50" s="21">
        <v>2074</v>
      </c>
      <c r="F50" s="21">
        <v>2008</v>
      </c>
      <c r="G50" s="21">
        <v>2168</v>
      </c>
      <c r="H50" s="21">
        <v>1731</v>
      </c>
      <c r="I50" s="21">
        <v>1635</v>
      </c>
      <c r="J50" s="21">
        <v>1705</v>
      </c>
      <c r="K50" s="21">
        <v>1885</v>
      </c>
      <c r="L50" s="21">
        <v>1864</v>
      </c>
      <c r="M50" s="21">
        <v>2031</v>
      </c>
      <c r="N50" s="21">
        <v>1763</v>
      </c>
      <c r="O50" s="21">
        <v>1864</v>
      </c>
      <c r="P50" s="21">
        <v>1894</v>
      </c>
      <c r="Q50" s="21">
        <v>1655</v>
      </c>
      <c r="R50" s="21">
        <v>1547</v>
      </c>
      <c r="S50" s="67">
        <v>158</v>
      </c>
      <c r="T50" s="78">
        <f t="shared" si="1"/>
        <v>27614</v>
      </c>
    </row>
    <row r="51" spans="1:20">
      <c r="A51" s="1" t="s">
        <v>3</v>
      </c>
      <c r="B51" s="32" t="s">
        <v>105</v>
      </c>
      <c r="C51" s="56">
        <v>46986</v>
      </c>
      <c r="D51" s="23">
        <v>48576</v>
      </c>
      <c r="E51" s="23">
        <v>59644</v>
      </c>
      <c r="F51" s="23">
        <v>59578</v>
      </c>
      <c r="G51" s="23">
        <v>56318</v>
      </c>
      <c r="H51" s="23">
        <v>50211</v>
      </c>
      <c r="I51" s="23">
        <v>47085</v>
      </c>
      <c r="J51" s="23">
        <v>47155</v>
      </c>
      <c r="K51" s="23">
        <v>59455</v>
      </c>
      <c r="L51" s="23">
        <v>56404</v>
      </c>
      <c r="M51" s="23">
        <v>59601</v>
      </c>
      <c r="N51" s="23">
        <v>47213</v>
      </c>
      <c r="O51" s="23">
        <v>50344</v>
      </c>
      <c r="P51" s="23">
        <v>44314</v>
      </c>
      <c r="Q51" s="23">
        <v>50135</v>
      </c>
      <c r="R51" s="23">
        <v>40937</v>
      </c>
      <c r="S51" s="68">
        <v>158</v>
      </c>
      <c r="T51" s="79">
        <f t="shared" si="1"/>
        <v>824114</v>
      </c>
    </row>
    <row r="52" spans="1:20">
      <c r="A52" s="1" t="s">
        <v>3</v>
      </c>
      <c r="B52" s="28" t="s">
        <v>106</v>
      </c>
      <c r="C52" s="53">
        <v>3770</v>
      </c>
      <c r="D52" s="17">
        <v>0</v>
      </c>
      <c r="E52" s="17">
        <v>7190</v>
      </c>
      <c r="F52" s="17">
        <v>8530</v>
      </c>
      <c r="G52" s="17">
        <v>11220</v>
      </c>
      <c r="H52" s="17">
        <v>6970</v>
      </c>
      <c r="I52" s="17">
        <v>4890</v>
      </c>
      <c r="J52" s="17">
        <v>6880</v>
      </c>
      <c r="K52" s="17">
        <v>7530</v>
      </c>
      <c r="L52" s="17">
        <v>7390</v>
      </c>
      <c r="M52" s="17">
        <v>1980</v>
      </c>
      <c r="N52" s="17">
        <v>6950</v>
      </c>
      <c r="O52" s="17">
        <v>7590</v>
      </c>
      <c r="P52" s="17">
        <v>8010</v>
      </c>
      <c r="Q52" s="17">
        <v>6480</v>
      </c>
      <c r="R52" s="17">
        <v>5780</v>
      </c>
      <c r="S52" s="65">
        <v>0</v>
      </c>
      <c r="T52" s="76">
        <f t="shared" si="1"/>
        <v>101160</v>
      </c>
    </row>
    <row r="53" spans="1:20">
      <c r="A53" s="1" t="s">
        <v>3</v>
      </c>
      <c r="B53" s="29" t="s">
        <v>107</v>
      </c>
      <c r="C53" s="54">
        <v>1300</v>
      </c>
      <c r="D53" s="9">
        <v>1300</v>
      </c>
      <c r="E53" s="9">
        <v>1300</v>
      </c>
      <c r="F53" s="9">
        <v>0</v>
      </c>
      <c r="G53" s="9">
        <v>1300</v>
      </c>
      <c r="H53" s="9">
        <v>1300</v>
      </c>
      <c r="I53" s="9">
        <v>1300</v>
      </c>
      <c r="J53" s="9">
        <v>1300</v>
      </c>
      <c r="K53" s="9">
        <v>1300</v>
      </c>
      <c r="L53" s="9">
        <v>1300</v>
      </c>
      <c r="M53" s="9">
        <v>1300</v>
      </c>
      <c r="N53" s="9">
        <v>1300</v>
      </c>
      <c r="O53" s="9">
        <v>1300</v>
      </c>
      <c r="P53" s="9">
        <v>1300</v>
      </c>
      <c r="Q53" s="9">
        <v>0</v>
      </c>
      <c r="R53" s="9">
        <v>0</v>
      </c>
      <c r="S53" s="66">
        <v>0</v>
      </c>
      <c r="T53" s="77">
        <f t="shared" si="1"/>
        <v>16900</v>
      </c>
    </row>
    <row r="54" spans="1:20">
      <c r="A54" s="1" t="s">
        <v>3</v>
      </c>
      <c r="B54" s="29" t="s">
        <v>108</v>
      </c>
      <c r="C54" s="54">
        <v>8100</v>
      </c>
      <c r="D54" s="9">
        <v>13800</v>
      </c>
      <c r="E54" s="9">
        <v>20000</v>
      </c>
      <c r="F54" s="9">
        <v>17800</v>
      </c>
      <c r="G54" s="9">
        <v>14100</v>
      </c>
      <c r="H54" s="9">
        <v>12800</v>
      </c>
      <c r="I54" s="9">
        <v>10300</v>
      </c>
      <c r="J54" s="9">
        <v>13200</v>
      </c>
      <c r="K54" s="9">
        <v>15400</v>
      </c>
      <c r="L54" s="9">
        <v>14900</v>
      </c>
      <c r="M54" s="9">
        <v>1100</v>
      </c>
      <c r="N54" s="9">
        <v>0</v>
      </c>
      <c r="O54" s="9">
        <v>7800</v>
      </c>
      <c r="P54" s="9">
        <v>11700</v>
      </c>
      <c r="Q54" s="9">
        <v>11800</v>
      </c>
      <c r="R54" s="9">
        <v>0</v>
      </c>
      <c r="S54" s="66">
        <v>0</v>
      </c>
      <c r="T54" s="77">
        <f t="shared" si="1"/>
        <v>172800</v>
      </c>
    </row>
    <row r="55" spans="1:20">
      <c r="A55" s="1" t="s">
        <v>3</v>
      </c>
      <c r="B55" s="31" t="s">
        <v>109</v>
      </c>
      <c r="C55" s="55">
        <v>0</v>
      </c>
      <c r="D55" s="21">
        <v>-63676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67">
        <v>0</v>
      </c>
      <c r="T55" s="78">
        <f t="shared" si="1"/>
        <v>-63676</v>
      </c>
    </row>
    <row r="56" spans="1:20">
      <c r="A56" s="1" t="s">
        <v>3</v>
      </c>
      <c r="B56" s="32" t="s">
        <v>110</v>
      </c>
      <c r="C56" s="56">
        <v>60156</v>
      </c>
      <c r="D56" s="23">
        <v>0</v>
      </c>
      <c r="E56" s="23">
        <v>88134</v>
      </c>
      <c r="F56" s="23">
        <v>85908</v>
      </c>
      <c r="G56" s="23">
        <v>82938</v>
      </c>
      <c r="H56" s="23">
        <v>71281</v>
      </c>
      <c r="I56" s="23">
        <v>63575</v>
      </c>
      <c r="J56" s="23">
        <v>68535</v>
      </c>
      <c r="K56" s="23">
        <v>83685</v>
      </c>
      <c r="L56" s="23">
        <v>79994</v>
      </c>
      <c r="M56" s="23">
        <v>63981</v>
      </c>
      <c r="N56" s="23">
        <v>55463</v>
      </c>
      <c r="O56" s="23">
        <v>67034</v>
      </c>
      <c r="P56" s="23">
        <v>65324</v>
      </c>
      <c r="Q56" s="23">
        <v>68415</v>
      </c>
      <c r="R56" s="23">
        <v>46717</v>
      </c>
      <c r="S56" s="68">
        <v>158</v>
      </c>
      <c r="T56" s="79">
        <f t="shared" si="1"/>
        <v>1051298</v>
      </c>
    </row>
    <row r="57" spans="1:20">
      <c r="A57" s="1" t="s">
        <v>3</v>
      </c>
      <c r="B57" s="32" t="s">
        <v>111</v>
      </c>
      <c r="C57" s="56">
        <v>217462</v>
      </c>
      <c r="D57" s="23">
        <v>-31110</v>
      </c>
      <c r="E57" s="23">
        <v>311527</v>
      </c>
      <c r="F57" s="23">
        <v>301839</v>
      </c>
      <c r="G57" s="23">
        <v>334808</v>
      </c>
      <c r="H57" s="23">
        <v>261794</v>
      </c>
      <c r="I57" s="23">
        <v>248785</v>
      </c>
      <c r="J57" s="23">
        <v>259183</v>
      </c>
      <c r="K57" s="23">
        <v>277510</v>
      </c>
      <c r="L57" s="23">
        <v>273491</v>
      </c>
      <c r="M57" s="23">
        <v>302755</v>
      </c>
      <c r="N57" s="23">
        <v>261077</v>
      </c>
      <c r="O57" s="23">
        <v>279180</v>
      </c>
      <c r="P57" s="23">
        <v>290679</v>
      </c>
      <c r="Q57" s="23">
        <v>247886</v>
      </c>
      <c r="R57" s="23">
        <v>228496</v>
      </c>
      <c r="S57" s="68">
        <v>26227</v>
      </c>
      <c r="T57" s="79">
        <f t="shared" si="1"/>
        <v>4091589</v>
      </c>
    </row>
    <row r="58" spans="1:20">
      <c r="A58" s="1" t="s">
        <v>3</v>
      </c>
      <c r="B58" s="32" t="s">
        <v>112</v>
      </c>
      <c r="C58" s="56">
        <v>219180</v>
      </c>
      <c r="D58" s="23">
        <v>17466</v>
      </c>
      <c r="E58" s="23">
        <v>288964</v>
      </c>
      <c r="F58" s="23">
        <v>279231</v>
      </c>
      <c r="G58" s="23">
        <v>311166</v>
      </c>
      <c r="H58" s="23">
        <v>243473</v>
      </c>
      <c r="I58" s="23">
        <v>233727</v>
      </c>
      <c r="J58" s="23">
        <v>241525</v>
      </c>
      <c r="K58" s="23">
        <v>259007</v>
      </c>
      <c r="L58" s="23">
        <v>258834</v>
      </c>
      <c r="M58" s="23">
        <v>305247</v>
      </c>
      <c r="N58" s="23">
        <v>264996</v>
      </c>
      <c r="O58" s="23">
        <v>271795</v>
      </c>
      <c r="P58" s="23">
        <v>278974</v>
      </c>
      <c r="Q58" s="23">
        <v>232584</v>
      </c>
      <c r="R58" s="23">
        <v>234627</v>
      </c>
      <c r="S58" s="68">
        <v>28518</v>
      </c>
      <c r="T58" s="79">
        <f t="shared" si="1"/>
        <v>3969314</v>
      </c>
    </row>
    <row r="59" spans="1:20">
      <c r="A59" s="1" t="s">
        <v>3</v>
      </c>
      <c r="B59" s="32" t="s">
        <v>113</v>
      </c>
      <c r="C59" s="56">
        <v>219180</v>
      </c>
      <c r="D59" s="23">
        <v>17466</v>
      </c>
      <c r="E59" s="23">
        <v>288964</v>
      </c>
      <c r="F59" s="23">
        <v>279231</v>
      </c>
      <c r="G59" s="23">
        <v>311166</v>
      </c>
      <c r="H59" s="23">
        <v>243473</v>
      </c>
      <c r="I59" s="23">
        <v>233727</v>
      </c>
      <c r="J59" s="23">
        <v>241525</v>
      </c>
      <c r="K59" s="23">
        <v>259007</v>
      </c>
      <c r="L59" s="23">
        <v>258834</v>
      </c>
      <c r="M59" s="23">
        <v>305247</v>
      </c>
      <c r="N59" s="23">
        <v>264996</v>
      </c>
      <c r="O59" s="23">
        <v>271795</v>
      </c>
      <c r="P59" s="23">
        <v>278974</v>
      </c>
      <c r="Q59" s="23">
        <v>232584</v>
      </c>
      <c r="R59" s="23">
        <v>234627</v>
      </c>
      <c r="S59" s="68">
        <v>28518</v>
      </c>
      <c r="T59" s="79">
        <f t="shared" si="1"/>
        <v>3969314</v>
      </c>
    </row>
    <row r="60" spans="1:20">
      <c r="A60" s="1" t="s">
        <v>3</v>
      </c>
      <c r="B60" s="28" t="s">
        <v>114</v>
      </c>
      <c r="C60" s="53">
        <v>1</v>
      </c>
      <c r="D60" s="17">
        <v>0</v>
      </c>
      <c r="E60" s="17">
        <v>1</v>
      </c>
      <c r="F60" s="17">
        <v>0</v>
      </c>
      <c r="G60" s="17">
        <v>0</v>
      </c>
      <c r="H60" s="17">
        <v>0</v>
      </c>
      <c r="I60" s="17">
        <v>1</v>
      </c>
      <c r="J60" s="17">
        <v>0</v>
      </c>
      <c r="K60" s="17">
        <v>0</v>
      </c>
      <c r="L60" s="17">
        <v>0</v>
      </c>
      <c r="M60" s="17">
        <v>4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65">
        <v>0</v>
      </c>
      <c r="T60" s="76"/>
    </row>
    <row r="61" spans="1:20">
      <c r="A61" s="1" t="s">
        <v>3</v>
      </c>
      <c r="B61" s="29" t="s">
        <v>115</v>
      </c>
      <c r="C61" s="57" t="s">
        <v>116</v>
      </c>
      <c r="D61" s="11" t="s">
        <v>116</v>
      </c>
      <c r="E61" s="11" t="s">
        <v>116</v>
      </c>
      <c r="F61" s="11" t="s">
        <v>116</v>
      </c>
      <c r="G61" s="11" t="s">
        <v>116</v>
      </c>
      <c r="H61" s="11" t="s">
        <v>116</v>
      </c>
      <c r="I61" s="11" t="s">
        <v>116</v>
      </c>
      <c r="J61" s="11" t="s">
        <v>116</v>
      </c>
      <c r="K61" s="11" t="s">
        <v>116</v>
      </c>
      <c r="L61" s="11" t="s">
        <v>116</v>
      </c>
      <c r="M61" s="11" t="s">
        <v>116</v>
      </c>
      <c r="N61" s="11" t="s">
        <v>116</v>
      </c>
      <c r="O61" s="11" t="s">
        <v>116</v>
      </c>
      <c r="P61" s="11" t="s">
        <v>116</v>
      </c>
      <c r="Q61" s="11" t="s">
        <v>116</v>
      </c>
      <c r="R61" s="11" t="s">
        <v>116</v>
      </c>
      <c r="S61" s="69" t="s">
        <v>116</v>
      </c>
      <c r="T61" s="80"/>
    </row>
    <row r="62" spans="1:20" ht="19.5" thickBot="1">
      <c r="A62" s="1" t="s">
        <v>3</v>
      </c>
      <c r="B62" s="33" t="s">
        <v>117</v>
      </c>
      <c r="C62" s="58">
        <v>3770</v>
      </c>
      <c r="D62" s="13">
        <v>0</v>
      </c>
      <c r="E62" s="13">
        <v>7190</v>
      </c>
      <c r="F62" s="13">
        <v>8530</v>
      </c>
      <c r="G62" s="13">
        <v>11220</v>
      </c>
      <c r="H62" s="13">
        <v>6970</v>
      </c>
      <c r="I62" s="13">
        <v>4890</v>
      </c>
      <c r="J62" s="13">
        <v>6880</v>
      </c>
      <c r="K62" s="13">
        <v>7530</v>
      </c>
      <c r="L62" s="13">
        <v>7390</v>
      </c>
      <c r="M62" s="13">
        <v>1980</v>
      </c>
      <c r="N62" s="13">
        <v>6950</v>
      </c>
      <c r="O62" s="13">
        <v>7590</v>
      </c>
      <c r="P62" s="13">
        <v>8010</v>
      </c>
      <c r="Q62" s="13">
        <v>6480</v>
      </c>
      <c r="R62" s="13">
        <v>5780</v>
      </c>
      <c r="S62" s="70">
        <v>0</v>
      </c>
      <c r="T62" s="81">
        <f>SUM(C62:S62)</f>
        <v>101160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asada@waka-trans.com</dc:creator>
  <cp:keywords/>
  <dc:description/>
  <cp:lastModifiedBy>若林孝次郎</cp:lastModifiedBy>
  <cp:revision/>
  <dcterms:created xsi:type="dcterms:W3CDTF">2025-08-12T01:37:38Z</dcterms:created>
  <dcterms:modified xsi:type="dcterms:W3CDTF">2025-10-03T01:36:08Z</dcterms:modified>
  <cp:category/>
  <cp:contentStatus/>
</cp:coreProperties>
</file>