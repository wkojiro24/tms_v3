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07月分\"/>
    </mc:Choice>
  </mc:AlternateContent>
  <xr:revisionPtr revIDLastSave="0" documentId="13_ncr:1_{8A4FEDE4-B922-4A5D-9F56-ACCBD7163D32}" xr6:coauthVersionLast="47" xr6:coauthVersionMax="47" xr10:uidLastSave="{00000000-0000-0000-0000-000000000000}"/>
  <bookViews>
    <workbookView xWindow="-120" yWindow="-120" windowWidth="20730" windowHeight="11160" xr2:uid="{7B8E19AA-268E-4DCD-9B69-DC2F38BA3309}"/>
  </bookViews>
  <sheets>
    <sheet name="2025年 7月度給与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2" l="1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5" i="2"/>
  <c r="I14" i="2"/>
  <c r="I13" i="2"/>
  <c r="I12" i="2"/>
  <c r="I11" i="2"/>
  <c r="I10" i="2"/>
  <c r="I9" i="2"/>
  <c r="G9" i="2"/>
  <c r="J9" i="2" s="1"/>
  <c r="G45" i="2"/>
  <c r="G42" i="2"/>
  <c r="G41" i="2"/>
  <c r="G40" i="2"/>
  <c r="G39" i="2"/>
  <c r="G38" i="2"/>
  <c r="G37" i="2"/>
  <c r="G36" i="2"/>
  <c r="G35" i="2"/>
  <c r="G34" i="2"/>
  <c r="G33" i="2"/>
  <c r="J33" i="2" s="1"/>
  <c r="G32" i="2"/>
  <c r="G31" i="2"/>
  <c r="J31" i="2" s="1"/>
  <c r="G30" i="2"/>
  <c r="G29" i="2"/>
  <c r="J29" i="2" s="1"/>
  <c r="G28" i="2"/>
  <c r="G27" i="2"/>
  <c r="J27" i="2" s="1"/>
  <c r="G26" i="2"/>
  <c r="G25" i="2"/>
  <c r="J25" i="2" s="1"/>
  <c r="G24" i="2"/>
  <c r="G23" i="2"/>
  <c r="J23" i="2" s="1"/>
  <c r="G22" i="2"/>
  <c r="G21" i="2"/>
  <c r="J21" i="2" s="1"/>
  <c r="G20" i="2"/>
  <c r="G19" i="2"/>
  <c r="J19" i="2" s="1"/>
  <c r="G18" i="2"/>
  <c r="G17" i="2"/>
  <c r="J17" i="2" s="1"/>
  <c r="G15" i="2"/>
  <c r="G14" i="2"/>
  <c r="J14" i="2" s="1"/>
  <c r="G13" i="2"/>
  <c r="G12" i="2"/>
  <c r="G11" i="2"/>
  <c r="G10" i="2"/>
  <c r="J10" i="2" l="1"/>
  <c r="J11" i="2"/>
  <c r="J12" i="2"/>
  <c r="J13" i="2"/>
  <c r="J15" i="2"/>
  <c r="J18" i="2"/>
  <c r="J20" i="2"/>
  <c r="J22" i="2"/>
  <c r="J24" i="2"/>
  <c r="J26" i="2"/>
  <c r="J28" i="2"/>
  <c r="J30" i="2"/>
  <c r="J32" i="2"/>
  <c r="J34" i="2"/>
  <c r="J35" i="2"/>
  <c r="J36" i="2"/>
  <c r="J37" i="2"/>
  <c r="J38" i="2"/>
  <c r="J39" i="2"/>
  <c r="J40" i="2"/>
  <c r="J41" i="2"/>
  <c r="J42" i="2"/>
  <c r="J45" i="2"/>
</calcChain>
</file>

<file path=xl/sharedStrings.xml><?xml version="1.0" encoding="utf-8"?>
<sst xmlns="http://schemas.openxmlformats.org/spreadsheetml/2006/main" count="101" uniqueCount="57">
  <si>
    <t>支給控除一覧表</t>
    <phoneticPr fontId="4"/>
  </si>
  <si>
    <t>若林運送株式会社</t>
    <phoneticPr fontId="4"/>
  </si>
  <si>
    <t>2025年 8月12日 作成</t>
    <phoneticPr fontId="4"/>
  </si>
  <si>
    <t/>
  </si>
  <si>
    <t>2025年 7月度給与</t>
    <phoneticPr fontId="4"/>
  </si>
  <si>
    <t>1049</t>
    <phoneticPr fontId="4"/>
  </si>
  <si>
    <t>1050</t>
    <phoneticPr fontId="4"/>
  </si>
  <si>
    <t>1114</t>
    <phoneticPr fontId="4"/>
  </si>
  <si>
    <t>1207</t>
    <phoneticPr fontId="4"/>
  </si>
  <si>
    <t>小計</t>
    <rPh sb="0" eb="2">
      <t>ショウケイ</t>
    </rPh>
    <phoneticPr fontId="3"/>
  </si>
  <si>
    <t>1078</t>
    <phoneticPr fontId="4"/>
  </si>
  <si>
    <t>合計</t>
    <phoneticPr fontId="4"/>
  </si>
  <si>
    <t>項目名</t>
    <phoneticPr fontId="4"/>
  </si>
  <si>
    <t>菅原　幸志</t>
    <phoneticPr fontId="4"/>
  </si>
  <si>
    <t>伊藤　正典</t>
    <phoneticPr fontId="4"/>
  </si>
  <si>
    <t>吉田　亨</t>
    <phoneticPr fontId="4"/>
  </si>
  <si>
    <t>比嘉健太</t>
    <phoneticPr fontId="4"/>
  </si>
  <si>
    <t>4名</t>
    <rPh sb="1" eb="2">
      <t>メイ</t>
    </rPh>
    <phoneticPr fontId="4"/>
  </si>
  <si>
    <t>伊藤　尚</t>
    <phoneticPr fontId="4"/>
  </si>
  <si>
    <t>1名</t>
    <rPh sb="1" eb="2">
      <t>メイ</t>
    </rPh>
    <phoneticPr fontId="4"/>
  </si>
  <si>
    <t>5名</t>
    <rPh sb="1" eb="2">
      <t>メイ</t>
    </rPh>
    <phoneticPr fontId="4"/>
  </si>
  <si>
    <t>平日出勤日数</t>
    <phoneticPr fontId="4"/>
  </si>
  <si>
    <t>法定休日</t>
    <phoneticPr fontId="4"/>
  </si>
  <si>
    <t>代休日数</t>
    <phoneticPr fontId="4"/>
  </si>
  <si>
    <t>平日残業</t>
    <phoneticPr fontId="4"/>
  </si>
  <si>
    <t>法定休日時間</t>
    <phoneticPr fontId="4"/>
  </si>
  <si>
    <t>法定代休時間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</si>
  <si>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</si>
  <si>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</si>
  <si>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</si>
  <si>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</si>
  <si>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</si>
  <si>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</si>
  <si>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</si>
  <si>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無事故加算</t>
    <phoneticPr fontId="4"/>
  </si>
  <si>
    <t>調整加算</t>
    <phoneticPr fontId="4"/>
  </si>
  <si>
    <t>法定休日残業</t>
    <phoneticPr fontId="4"/>
  </si>
  <si>
    <t>法定代休残業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</si>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</sst>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49" fontId="2" fillId="0" borderId="9" xfId="1" applyNumberFormat="1" applyFont="1" applyBorder="1" applyAlignment="1">
      <alignment horizontal="center"/>
    </xf>
    <xf numFmtId="0" fontId="2" fillId="0" borderId="23" xfId="1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left"/>
    </xf>
    <xf numFmtId="49" fontId="2" fillId="0" borderId="28" xfId="1" applyNumberFormat="1" applyFont="1" applyBorder="1" applyAlignment="1">
      <alignment horizontal="left"/>
    </xf>
    <xf numFmtId="49" fontId="2" fillId="0" borderId="29" xfId="1" applyNumberFormat="1" applyFont="1" applyBorder="1" applyAlignment="1">
      <alignment horizontal="left"/>
    </xf>
    <xf numFmtId="49" fontId="2" fillId="0" borderId="24" xfId="1" applyNumberFormat="1" applyFont="1" applyBorder="1" applyAlignment="1">
      <alignment horizontal="left"/>
    </xf>
    <xf numFmtId="0" fontId="2" fillId="0" borderId="31" xfId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2" fontId="2" fillId="0" borderId="34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3" xfId="1" applyNumberFormat="1" applyFont="1" applyBorder="1"/>
    <xf numFmtId="3" fontId="2" fillId="0" borderId="31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2" fontId="2" fillId="0" borderId="11" xfId="1" applyNumberFormat="1" applyFont="1" applyBorder="1"/>
    <xf numFmtId="2" fontId="2" fillId="0" borderId="5" xfId="1" applyNumberFormat="1" applyFont="1" applyBorder="1"/>
    <xf numFmtId="176" fontId="2" fillId="0" borderId="5" xfId="1" applyNumberFormat="1" applyFont="1" applyBorder="1"/>
    <xf numFmtId="2" fontId="2" fillId="0" borderId="14" xfId="1" applyNumberFormat="1" applyFont="1" applyBorder="1"/>
    <xf numFmtId="3" fontId="2" fillId="0" borderId="11" xfId="1" applyNumberFormat="1" applyFont="1" applyBorder="1"/>
    <xf numFmtId="3" fontId="2" fillId="0" borderId="5" xfId="1" applyNumberFormat="1" applyFont="1" applyBorder="1"/>
    <xf numFmtId="3" fontId="2" fillId="0" borderId="17" xfId="1" applyNumberFormat="1" applyFont="1" applyBorder="1"/>
    <xf numFmtId="3" fontId="2" fillId="0" borderId="20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0" fontId="2" fillId="0" borderId="30" xfId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0" xfId="1" applyNumberFormat="1" applyFont="1" applyBorder="1"/>
    <xf numFmtId="3" fontId="2" fillId="0" borderId="38" xfId="1" applyNumberFormat="1" applyFont="1" applyBorder="1"/>
    <xf numFmtId="0" fontId="2" fillId="0" borderId="44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49" fontId="2" fillId="0" borderId="47" xfId="1" applyNumberFormat="1" applyFont="1" applyBorder="1"/>
    <xf numFmtId="3" fontId="2" fillId="0" borderId="45" xfId="1" applyNumberFormat="1" applyFont="1" applyBorder="1"/>
  </cellXfs>
  <cellStyles count="2">
    <cellStyle name="標準" xfId="0" builtinId="0"/>
    <cellStyle name="標準 2" xfId="1" xr:uid="{47894EB1-0FC2-491D-ABEB-5BE08135EF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7D0B5-CA83-4CD0-92C5-CF763FBB947C}">
  <dimension ref="A1:J45"/>
  <sheetViews>
    <sheetView showZeros="0" tabSelected="1" workbookViewId="0">
      <pane xSplit="2" ySplit="8" topLeftCell="C9" activePane="bottomRight" state="frozen"/>
      <selection pane="bottomRight" activeCell="G24" sqref="G24:G27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6" width="9" style="2" bestFit="1" customWidth="1"/>
    <col min="7" max="7" width="9.625" style="2" bestFit="1" customWidth="1"/>
    <col min="8" max="8" width="9" style="2" bestFit="1" customWidth="1"/>
    <col min="9" max="10" width="9.625" style="2" bestFit="1" customWidth="1"/>
    <col min="11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5" width="9" style="2" bestFit="1"/>
    <col min="266" max="266" width="9.625" style="2" bestFit="1" customWidth="1"/>
    <col min="267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21" width="9" style="2" bestFit="1"/>
    <col min="522" max="522" width="9.625" style="2" bestFit="1" customWidth="1"/>
    <col min="523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7" width="9" style="2" bestFit="1"/>
    <col min="778" max="778" width="9.625" style="2" bestFit="1" customWidth="1"/>
    <col min="779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3" width="9" style="2" bestFit="1"/>
    <col min="1034" max="1034" width="9.625" style="2" bestFit="1" customWidth="1"/>
    <col min="1035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9" width="9" style="2" bestFit="1"/>
    <col min="1290" max="1290" width="9.625" style="2" bestFit="1" customWidth="1"/>
    <col min="1291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5" width="9" style="2" bestFit="1"/>
    <col min="1546" max="1546" width="9.625" style="2" bestFit="1" customWidth="1"/>
    <col min="1547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801" width="9" style="2" bestFit="1"/>
    <col min="1802" max="1802" width="9.625" style="2" bestFit="1" customWidth="1"/>
    <col min="1803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7" width="9" style="2" bestFit="1"/>
    <col min="2058" max="2058" width="9.625" style="2" bestFit="1" customWidth="1"/>
    <col min="2059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3" width="9" style="2" bestFit="1"/>
    <col min="2314" max="2314" width="9.625" style="2" bestFit="1" customWidth="1"/>
    <col min="2315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9" width="9" style="2" bestFit="1"/>
    <col min="2570" max="2570" width="9.625" style="2" bestFit="1" customWidth="1"/>
    <col min="2571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5" width="9" style="2" bestFit="1"/>
    <col min="2826" max="2826" width="9.625" style="2" bestFit="1" customWidth="1"/>
    <col min="2827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81" width="9" style="2" bestFit="1"/>
    <col min="3082" max="3082" width="9.625" style="2" bestFit="1" customWidth="1"/>
    <col min="3083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7" width="9" style="2" bestFit="1"/>
    <col min="3338" max="3338" width="9.625" style="2" bestFit="1" customWidth="1"/>
    <col min="3339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3" width="9" style="2" bestFit="1"/>
    <col min="3594" max="3594" width="9.625" style="2" bestFit="1" customWidth="1"/>
    <col min="3595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9" width="9" style="2" bestFit="1"/>
    <col min="3850" max="3850" width="9.625" style="2" bestFit="1" customWidth="1"/>
    <col min="3851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5" width="9" style="2" bestFit="1"/>
    <col min="4106" max="4106" width="9.625" style="2" bestFit="1" customWidth="1"/>
    <col min="4107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61" width="9" style="2" bestFit="1"/>
    <col min="4362" max="4362" width="9.625" style="2" bestFit="1" customWidth="1"/>
    <col min="4363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7" width="9" style="2" bestFit="1"/>
    <col min="4618" max="4618" width="9.625" style="2" bestFit="1" customWidth="1"/>
    <col min="4619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3" width="9" style="2" bestFit="1"/>
    <col min="4874" max="4874" width="9.625" style="2" bestFit="1" customWidth="1"/>
    <col min="4875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9" width="9" style="2" bestFit="1"/>
    <col min="5130" max="5130" width="9.625" style="2" bestFit="1" customWidth="1"/>
    <col min="5131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5" width="9" style="2" bestFit="1"/>
    <col min="5386" max="5386" width="9.625" style="2" bestFit="1" customWidth="1"/>
    <col min="5387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41" width="9" style="2" bestFit="1"/>
    <col min="5642" max="5642" width="9.625" style="2" bestFit="1" customWidth="1"/>
    <col min="5643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7" width="9" style="2" bestFit="1"/>
    <col min="5898" max="5898" width="9.625" style="2" bestFit="1" customWidth="1"/>
    <col min="5899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3" width="9" style="2" bestFit="1"/>
    <col min="6154" max="6154" width="9.625" style="2" bestFit="1" customWidth="1"/>
    <col min="6155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9" width="9" style="2" bestFit="1"/>
    <col min="6410" max="6410" width="9.625" style="2" bestFit="1" customWidth="1"/>
    <col min="6411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5" width="9" style="2" bestFit="1"/>
    <col min="6666" max="6666" width="9.625" style="2" bestFit="1" customWidth="1"/>
    <col min="6667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21" width="9" style="2" bestFit="1"/>
    <col min="6922" max="6922" width="9.625" style="2" bestFit="1" customWidth="1"/>
    <col min="6923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7" width="9" style="2" bestFit="1"/>
    <col min="7178" max="7178" width="9.625" style="2" bestFit="1" customWidth="1"/>
    <col min="7179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3" width="9" style="2" bestFit="1"/>
    <col min="7434" max="7434" width="9.625" style="2" bestFit="1" customWidth="1"/>
    <col min="7435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9" width="9" style="2" bestFit="1"/>
    <col min="7690" max="7690" width="9.625" style="2" bestFit="1" customWidth="1"/>
    <col min="7691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5" width="9" style="2" bestFit="1"/>
    <col min="7946" max="7946" width="9.625" style="2" bestFit="1" customWidth="1"/>
    <col min="7947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201" width="9" style="2" bestFit="1"/>
    <col min="8202" max="8202" width="9.625" style="2" bestFit="1" customWidth="1"/>
    <col min="8203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7" width="9" style="2" bestFit="1"/>
    <col min="8458" max="8458" width="9.625" style="2" bestFit="1" customWidth="1"/>
    <col min="8459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3" width="9" style="2" bestFit="1"/>
    <col min="8714" max="8714" width="9.625" style="2" bestFit="1" customWidth="1"/>
    <col min="8715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9" width="9" style="2" bestFit="1"/>
    <col min="8970" max="8970" width="9.625" style="2" bestFit="1" customWidth="1"/>
    <col min="8971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5" width="9" style="2" bestFit="1"/>
    <col min="9226" max="9226" width="9.625" style="2" bestFit="1" customWidth="1"/>
    <col min="9227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81" width="9" style="2" bestFit="1"/>
    <col min="9482" max="9482" width="9.625" style="2" bestFit="1" customWidth="1"/>
    <col min="9483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7" width="9" style="2" bestFit="1"/>
    <col min="9738" max="9738" width="9.625" style="2" bestFit="1" customWidth="1"/>
    <col min="9739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3" width="9" style="2" bestFit="1"/>
    <col min="9994" max="9994" width="9.625" style="2" bestFit="1" customWidth="1"/>
    <col min="9995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9" width="9" style="2" bestFit="1"/>
    <col min="10250" max="10250" width="9.625" style="2" bestFit="1" customWidth="1"/>
    <col min="10251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5" width="9" style="2" bestFit="1"/>
    <col min="10506" max="10506" width="9.625" style="2" bestFit="1" customWidth="1"/>
    <col min="10507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61" width="9" style="2" bestFit="1"/>
    <col min="10762" max="10762" width="9.625" style="2" bestFit="1" customWidth="1"/>
    <col min="10763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7" width="9" style="2" bestFit="1"/>
    <col min="11018" max="11018" width="9.625" style="2" bestFit="1" customWidth="1"/>
    <col min="11019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3" width="9" style="2" bestFit="1"/>
    <col min="11274" max="11274" width="9.625" style="2" bestFit="1" customWidth="1"/>
    <col min="11275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9" width="9" style="2" bestFit="1"/>
    <col min="11530" max="11530" width="9.625" style="2" bestFit="1" customWidth="1"/>
    <col min="11531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5" width="9" style="2" bestFit="1"/>
    <col min="11786" max="11786" width="9.625" style="2" bestFit="1" customWidth="1"/>
    <col min="11787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41" width="9" style="2" bestFit="1"/>
    <col min="12042" max="12042" width="9.625" style="2" bestFit="1" customWidth="1"/>
    <col min="12043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7" width="9" style="2" bestFit="1"/>
    <col min="12298" max="12298" width="9.625" style="2" bestFit="1" customWidth="1"/>
    <col min="12299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3" width="9" style="2" bestFit="1"/>
    <col min="12554" max="12554" width="9.625" style="2" bestFit="1" customWidth="1"/>
    <col min="12555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9" width="9" style="2" bestFit="1"/>
    <col min="12810" max="12810" width="9.625" style="2" bestFit="1" customWidth="1"/>
    <col min="12811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5" width="9" style="2" bestFit="1"/>
    <col min="13066" max="13066" width="9.625" style="2" bestFit="1" customWidth="1"/>
    <col min="13067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21" width="9" style="2" bestFit="1"/>
    <col min="13322" max="13322" width="9.625" style="2" bestFit="1" customWidth="1"/>
    <col min="13323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7" width="9" style="2" bestFit="1"/>
    <col min="13578" max="13578" width="9.625" style="2" bestFit="1" customWidth="1"/>
    <col min="13579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3" width="9" style="2" bestFit="1"/>
    <col min="13834" max="13834" width="9.625" style="2" bestFit="1" customWidth="1"/>
    <col min="13835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9" width="9" style="2" bestFit="1"/>
    <col min="14090" max="14090" width="9.625" style="2" bestFit="1" customWidth="1"/>
    <col min="14091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5" width="9" style="2" bestFit="1"/>
    <col min="14346" max="14346" width="9.625" style="2" bestFit="1" customWidth="1"/>
    <col min="14347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601" width="9" style="2" bestFit="1"/>
    <col min="14602" max="14602" width="9.625" style="2" bestFit="1" customWidth="1"/>
    <col min="14603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7" width="9" style="2" bestFit="1"/>
    <col min="14858" max="14858" width="9.625" style="2" bestFit="1" customWidth="1"/>
    <col min="14859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3" width="9" style="2" bestFit="1"/>
    <col min="15114" max="15114" width="9.625" style="2" bestFit="1" customWidth="1"/>
    <col min="15115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9" width="9" style="2" bestFit="1"/>
    <col min="15370" max="15370" width="9.625" style="2" bestFit="1" customWidth="1"/>
    <col min="15371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5" width="9" style="2" bestFit="1"/>
    <col min="15626" max="15626" width="9.625" style="2" bestFit="1" customWidth="1"/>
    <col min="15627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81" width="9" style="2" bestFit="1"/>
    <col min="15882" max="15882" width="9.625" style="2" bestFit="1" customWidth="1"/>
    <col min="15883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7" width="9" style="2" bestFit="1"/>
    <col min="16138" max="16138" width="9.625" style="2" bestFit="1" customWidth="1"/>
    <col min="16139" max="16384" width="9" style="2"/>
  </cols>
  <sheetData>
    <row r="1" spans="1:10">
      <c r="A1" s="1" t="s">
        <v>0</v>
      </c>
    </row>
    <row r="2" spans="1:10">
      <c r="A2" s="1"/>
    </row>
    <row r="3" spans="1:10">
      <c r="A3" s="1" t="s">
        <v>1</v>
      </c>
    </row>
    <row r="4" spans="1:10">
      <c r="A4" s="1" t="s">
        <v>2</v>
      </c>
    </row>
    <row r="5" spans="1:10">
      <c r="A5" s="1" t="s">
        <v>3</v>
      </c>
    </row>
    <row r="6" spans="1:10" ht="19.5" thickBot="1">
      <c r="A6" s="1" t="s">
        <v>4</v>
      </c>
    </row>
    <row r="7" spans="1:10">
      <c r="B7" s="26"/>
      <c r="C7" s="45" t="s">
        <v>5</v>
      </c>
      <c r="D7" s="4" t="s">
        <v>6</v>
      </c>
      <c r="E7" s="4" t="s">
        <v>7</v>
      </c>
      <c r="F7" s="46" t="s">
        <v>8</v>
      </c>
      <c r="G7" s="59" t="s">
        <v>9</v>
      </c>
      <c r="H7" s="60" t="s">
        <v>10</v>
      </c>
      <c r="I7" s="72" t="s">
        <v>9</v>
      </c>
      <c r="J7" s="59" t="s">
        <v>11</v>
      </c>
    </row>
    <row r="8" spans="1:10" ht="19.5" thickBot="1">
      <c r="A8" s="3"/>
      <c r="B8" s="27" t="s">
        <v>12</v>
      </c>
      <c r="C8" s="47" t="s">
        <v>13</v>
      </c>
      <c r="D8" s="25" t="s">
        <v>14</v>
      </c>
      <c r="E8" s="25" t="s">
        <v>15</v>
      </c>
      <c r="F8" s="48" t="s">
        <v>16</v>
      </c>
      <c r="G8" s="34" t="s">
        <v>17</v>
      </c>
      <c r="H8" s="61" t="s">
        <v>18</v>
      </c>
      <c r="I8" s="73" t="s">
        <v>19</v>
      </c>
      <c r="J8" s="34" t="s">
        <v>20</v>
      </c>
    </row>
    <row r="9" spans="1:10">
      <c r="A9" s="1" t="s">
        <v>3</v>
      </c>
      <c r="B9" s="28" t="s">
        <v>21</v>
      </c>
      <c r="C9" s="49">
        <v>23</v>
      </c>
      <c r="D9" s="15">
        <v>23</v>
      </c>
      <c r="E9" s="15">
        <v>22</v>
      </c>
      <c r="F9" s="16">
        <v>23</v>
      </c>
      <c r="G9" s="35">
        <f>SUM(C9:F9)</f>
        <v>91</v>
      </c>
      <c r="H9" s="62">
        <v>23</v>
      </c>
      <c r="I9" s="74">
        <f>H9</f>
        <v>23</v>
      </c>
      <c r="J9" s="35">
        <f>G9+I9</f>
        <v>114</v>
      </c>
    </row>
    <row r="10" spans="1:10">
      <c r="A10" s="1" t="s">
        <v>3</v>
      </c>
      <c r="B10" s="29" t="s">
        <v>22</v>
      </c>
      <c r="C10" s="50">
        <v>0</v>
      </c>
      <c r="D10" s="5">
        <v>1</v>
      </c>
      <c r="E10" s="5">
        <v>1</v>
      </c>
      <c r="F10" s="6">
        <v>0</v>
      </c>
      <c r="G10" s="36">
        <f>SUM(C10:F10)</f>
        <v>2</v>
      </c>
      <c r="H10" s="63">
        <v>0</v>
      </c>
      <c r="I10" s="75">
        <f t="shared" ref="I10:I15" si="0">H10</f>
        <v>0</v>
      </c>
      <c r="J10" s="36">
        <f t="shared" ref="J10:J15" si="1">G10+I10</f>
        <v>2</v>
      </c>
    </row>
    <row r="11" spans="1:10">
      <c r="A11" s="1" t="s">
        <v>3</v>
      </c>
      <c r="B11" s="29" t="s">
        <v>23</v>
      </c>
      <c r="C11" s="50">
        <v>0</v>
      </c>
      <c r="D11" s="5">
        <v>0</v>
      </c>
      <c r="E11" s="5">
        <v>1</v>
      </c>
      <c r="F11" s="6">
        <v>0</v>
      </c>
      <c r="G11" s="36">
        <f>SUM(C11:F11)</f>
        <v>1</v>
      </c>
      <c r="H11" s="63">
        <v>0</v>
      </c>
      <c r="I11" s="75">
        <f t="shared" si="0"/>
        <v>0</v>
      </c>
      <c r="J11" s="36">
        <f t="shared" si="1"/>
        <v>1</v>
      </c>
    </row>
    <row r="12" spans="1:10">
      <c r="A12" s="1" t="s">
        <v>3</v>
      </c>
      <c r="B12" s="29" t="s">
        <v>24</v>
      </c>
      <c r="C12" s="51">
        <v>1.125</v>
      </c>
      <c r="D12" s="7">
        <v>2.3333333333333335</v>
      </c>
      <c r="E12" s="7">
        <v>1.5416666666666665</v>
      </c>
      <c r="F12" s="8">
        <v>0.5</v>
      </c>
      <c r="G12" s="37">
        <f>SUM(C12:F12)</f>
        <v>5.5</v>
      </c>
      <c r="H12" s="64">
        <v>0</v>
      </c>
      <c r="I12" s="76">
        <f t="shared" si="0"/>
        <v>0</v>
      </c>
      <c r="J12" s="37">
        <f t="shared" si="1"/>
        <v>5.5</v>
      </c>
    </row>
    <row r="13" spans="1:10">
      <c r="A13" s="1" t="s">
        <v>3</v>
      </c>
      <c r="B13" s="29" t="s">
        <v>25</v>
      </c>
      <c r="C13" s="51">
        <v>0</v>
      </c>
      <c r="D13" s="7">
        <v>0.41666666666666669</v>
      </c>
      <c r="E13" s="7">
        <v>0</v>
      </c>
      <c r="F13" s="8">
        <v>0</v>
      </c>
      <c r="G13" s="37">
        <f>SUM(C13:F13)</f>
        <v>0.41666666666666669</v>
      </c>
      <c r="H13" s="64">
        <v>0</v>
      </c>
      <c r="I13" s="76">
        <f t="shared" si="0"/>
        <v>0</v>
      </c>
      <c r="J13" s="37">
        <f t="shared" si="1"/>
        <v>0.41666666666666669</v>
      </c>
    </row>
    <row r="14" spans="1:10">
      <c r="A14" s="1" t="s">
        <v>3</v>
      </c>
      <c r="B14" s="29" t="s">
        <v>26</v>
      </c>
      <c r="C14" s="51">
        <v>0</v>
      </c>
      <c r="D14" s="7">
        <v>0</v>
      </c>
      <c r="E14" s="7">
        <v>0.20833333333333334</v>
      </c>
      <c r="F14" s="8">
        <v>0</v>
      </c>
      <c r="G14" s="37">
        <f>SUM(C14:F14)</f>
        <v>0.20833333333333334</v>
      </c>
      <c r="H14" s="64">
        <v>0</v>
      </c>
      <c r="I14" s="76">
        <f t="shared" si="0"/>
        <v>0</v>
      </c>
      <c r="J14" s="37">
        <f t="shared" si="1"/>
        <v>0.20833333333333334</v>
      </c>
    </row>
    <row r="15" spans="1:10">
      <c r="A15" s="1" t="s">
        <v>3</v>
      </c>
      <c r="B15" s="29" t="s">
        <v>27</v>
      </c>
      <c r="C15" s="51">
        <v>4.1666666666666664E-2</v>
      </c>
      <c r="D15" s="7">
        <v>8.3333333333333329E-2</v>
      </c>
      <c r="E15" s="7">
        <v>8.3333333333333329E-2</v>
      </c>
      <c r="F15" s="8">
        <v>4.1666666666666664E-2</v>
      </c>
      <c r="G15" s="37">
        <f>SUM(C15:F15)</f>
        <v>0.24999999999999997</v>
      </c>
      <c r="H15" s="64">
        <v>0</v>
      </c>
      <c r="I15" s="76">
        <f t="shared" si="0"/>
        <v>0</v>
      </c>
      <c r="J15" s="37">
        <f t="shared" si="1"/>
        <v>0.24999999999999997</v>
      </c>
    </row>
    <row r="16" spans="1:10">
      <c r="A16" s="1" t="s">
        <v>3</v>
      </c>
      <c r="B16" s="30" t="s">
        <v>28</v>
      </c>
      <c r="C16" s="52">
        <v>37</v>
      </c>
      <c r="D16" s="19">
        <v>38</v>
      </c>
      <c r="E16" s="19">
        <v>11</v>
      </c>
      <c r="F16" s="20">
        <v>0</v>
      </c>
      <c r="G16" s="38"/>
      <c r="H16" s="65">
        <v>38</v>
      </c>
      <c r="I16" s="77"/>
      <c r="J16" s="38"/>
    </row>
    <row r="17" spans="1:10">
      <c r="A17" s="1" t="s">
        <v>3</v>
      </c>
      <c r="B17" s="28" t="s">
        <v>29</v>
      </c>
      <c r="C17" s="53">
        <v>187000</v>
      </c>
      <c r="D17" s="17">
        <v>192000</v>
      </c>
      <c r="E17" s="17">
        <v>192000</v>
      </c>
      <c r="F17" s="18">
        <v>175000</v>
      </c>
      <c r="G17" s="39">
        <f t="shared" ref="G17:J42" si="2">SUM(C17:F17)</f>
        <v>746000</v>
      </c>
      <c r="H17" s="66">
        <v>370000</v>
      </c>
      <c r="I17" s="78">
        <f t="shared" ref="I17:I42" si="3">H17</f>
        <v>370000</v>
      </c>
      <c r="J17" s="39">
        <f t="shared" ref="J17:J42" si="4">G17+I17</f>
        <v>1116000</v>
      </c>
    </row>
    <row r="18" spans="1:10">
      <c r="A18" s="1" t="s">
        <v>3</v>
      </c>
      <c r="B18" s="29" t="s">
        <v>30</v>
      </c>
      <c r="C18" s="54">
        <v>5000</v>
      </c>
      <c r="D18" s="9">
        <v>0</v>
      </c>
      <c r="E18" s="9">
        <v>0</v>
      </c>
      <c r="F18" s="10">
        <v>0</v>
      </c>
      <c r="G18" s="40">
        <f t="shared" si="2"/>
        <v>5000</v>
      </c>
      <c r="H18" s="67">
        <v>0</v>
      </c>
      <c r="I18" s="79">
        <f t="shared" si="3"/>
        <v>0</v>
      </c>
      <c r="J18" s="40">
        <f t="shared" si="4"/>
        <v>5000</v>
      </c>
    </row>
    <row r="19" spans="1:10">
      <c r="A19" s="1" t="s">
        <v>3</v>
      </c>
      <c r="B19" s="29" t="s">
        <v>31</v>
      </c>
      <c r="C19" s="54">
        <v>0</v>
      </c>
      <c r="D19" s="9">
        <v>3000</v>
      </c>
      <c r="E19" s="9">
        <v>15000</v>
      </c>
      <c r="F19" s="10">
        <v>0</v>
      </c>
      <c r="G19" s="40">
        <f t="shared" si="2"/>
        <v>18000</v>
      </c>
      <c r="H19" s="67">
        <v>0</v>
      </c>
      <c r="I19" s="79">
        <f t="shared" si="3"/>
        <v>0</v>
      </c>
      <c r="J19" s="40">
        <f t="shared" si="4"/>
        <v>18000</v>
      </c>
    </row>
    <row r="20" spans="1:10">
      <c r="A20" s="1" t="s">
        <v>3</v>
      </c>
      <c r="B20" s="29" t="s">
        <v>32</v>
      </c>
      <c r="C20" s="54">
        <v>50000</v>
      </c>
      <c r="D20" s="9">
        <v>50000</v>
      </c>
      <c r="E20" s="9">
        <v>50000</v>
      </c>
      <c r="F20" s="10">
        <v>50000</v>
      </c>
      <c r="G20" s="40">
        <f t="shared" si="2"/>
        <v>200000</v>
      </c>
      <c r="H20" s="67">
        <v>50000</v>
      </c>
      <c r="I20" s="79">
        <f t="shared" si="3"/>
        <v>50000</v>
      </c>
      <c r="J20" s="40">
        <f t="shared" si="4"/>
        <v>250000</v>
      </c>
    </row>
    <row r="21" spans="1:10">
      <c r="A21" s="1" t="s">
        <v>3</v>
      </c>
      <c r="B21" s="29" t="s">
        <v>33</v>
      </c>
      <c r="C21" s="54">
        <v>0</v>
      </c>
      <c r="D21" s="9">
        <v>0</v>
      </c>
      <c r="E21" s="9">
        <v>65891</v>
      </c>
      <c r="F21" s="10">
        <v>0</v>
      </c>
      <c r="G21" s="40">
        <f t="shared" si="2"/>
        <v>65891</v>
      </c>
      <c r="H21" s="67">
        <v>0</v>
      </c>
      <c r="I21" s="79">
        <f t="shared" si="3"/>
        <v>0</v>
      </c>
      <c r="J21" s="40">
        <f t="shared" si="4"/>
        <v>65891</v>
      </c>
    </row>
    <row r="22" spans="1:10">
      <c r="A22" s="1" t="s">
        <v>3</v>
      </c>
      <c r="B22" s="29" t="s">
        <v>34</v>
      </c>
      <c r="C22" s="54">
        <v>3500</v>
      </c>
      <c r="D22" s="9">
        <v>3500</v>
      </c>
      <c r="E22" s="9">
        <v>0</v>
      </c>
      <c r="F22" s="10">
        <v>0</v>
      </c>
      <c r="G22" s="40">
        <f t="shared" si="2"/>
        <v>7000</v>
      </c>
      <c r="H22" s="67">
        <v>0</v>
      </c>
      <c r="I22" s="79">
        <f t="shared" si="3"/>
        <v>0</v>
      </c>
      <c r="J22" s="40">
        <f t="shared" si="4"/>
        <v>7000</v>
      </c>
    </row>
    <row r="23" spans="1:10">
      <c r="A23" s="1" t="s">
        <v>3</v>
      </c>
      <c r="B23" s="29" t="s">
        <v>35</v>
      </c>
      <c r="C23" s="54">
        <v>0</v>
      </c>
      <c r="D23" s="9">
        <v>13000</v>
      </c>
      <c r="E23" s="9">
        <v>13000</v>
      </c>
      <c r="F23" s="10">
        <v>0</v>
      </c>
      <c r="G23" s="40">
        <f t="shared" si="2"/>
        <v>26000</v>
      </c>
      <c r="H23" s="67">
        <v>0</v>
      </c>
      <c r="I23" s="79">
        <f t="shared" si="3"/>
        <v>0</v>
      </c>
      <c r="J23" s="40">
        <f t="shared" si="4"/>
        <v>26000</v>
      </c>
    </row>
    <row r="24" spans="1:10">
      <c r="A24" s="1" t="s">
        <v>3</v>
      </c>
      <c r="B24" s="29" t="s">
        <v>24</v>
      </c>
      <c r="C24" s="54">
        <v>49626</v>
      </c>
      <c r="D24" s="9">
        <v>109648</v>
      </c>
      <c r="E24" s="9">
        <v>74777</v>
      </c>
      <c r="F24" s="10">
        <v>20208</v>
      </c>
      <c r="G24" s="40">
        <f t="shared" si="2"/>
        <v>254259</v>
      </c>
      <c r="H24" s="67">
        <v>0</v>
      </c>
      <c r="I24" s="79">
        <f t="shared" si="3"/>
        <v>0</v>
      </c>
      <c r="J24" s="40">
        <f t="shared" si="4"/>
        <v>254259</v>
      </c>
    </row>
    <row r="25" spans="1:10">
      <c r="A25" s="1" t="s">
        <v>3</v>
      </c>
      <c r="B25" s="29" t="s">
        <v>36</v>
      </c>
      <c r="C25" s="54">
        <v>0</v>
      </c>
      <c r="D25" s="9">
        <v>21140</v>
      </c>
      <c r="E25" s="9">
        <v>0</v>
      </c>
      <c r="F25" s="10">
        <v>0</v>
      </c>
      <c r="G25" s="40">
        <f t="shared" si="2"/>
        <v>21140</v>
      </c>
      <c r="H25" s="67">
        <v>0</v>
      </c>
      <c r="I25" s="79">
        <f t="shared" si="3"/>
        <v>0</v>
      </c>
      <c r="J25" s="40">
        <f t="shared" si="4"/>
        <v>21140</v>
      </c>
    </row>
    <row r="26" spans="1:10">
      <c r="A26" s="1" t="s">
        <v>3</v>
      </c>
      <c r="B26" s="29" t="s">
        <v>37</v>
      </c>
      <c r="C26" s="54">
        <v>0</v>
      </c>
      <c r="D26" s="9">
        <v>0</v>
      </c>
      <c r="E26" s="9">
        <v>2830</v>
      </c>
      <c r="F26" s="10">
        <v>0</v>
      </c>
      <c r="G26" s="40">
        <f t="shared" si="2"/>
        <v>2830</v>
      </c>
      <c r="H26" s="67">
        <v>0</v>
      </c>
      <c r="I26" s="79">
        <f t="shared" si="3"/>
        <v>0</v>
      </c>
      <c r="J26" s="40">
        <f t="shared" si="4"/>
        <v>2830</v>
      </c>
    </row>
    <row r="27" spans="1:10">
      <c r="A27" s="1" t="s">
        <v>3</v>
      </c>
      <c r="B27" s="31" t="s">
        <v>27</v>
      </c>
      <c r="C27" s="55">
        <v>368</v>
      </c>
      <c r="D27" s="21">
        <v>784</v>
      </c>
      <c r="E27" s="21">
        <v>808</v>
      </c>
      <c r="F27" s="22">
        <v>337</v>
      </c>
      <c r="G27" s="41">
        <f t="shared" si="2"/>
        <v>2297</v>
      </c>
      <c r="H27" s="68">
        <v>0</v>
      </c>
      <c r="I27" s="80">
        <f t="shared" si="3"/>
        <v>0</v>
      </c>
      <c r="J27" s="41">
        <f t="shared" si="4"/>
        <v>2297</v>
      </c>
    </row>
    <row r="28" spans="1:10">
      <c r="A28" s="1" t="s">
        <v>3</v>
      </c>
      <c r="B28" s="32" t="s">
        <v>38</v>
      </c>
      <c r="C28" s="56">
        <v>295494</v>
      </c>
      <c r="D28" s="23">
        <v>393072</v>
      </c>
      <c r="E28" s="23">
        <v>414306</v>
      </c>
      <c r="F28" s="24">
        <v>245545</v>
      </c>
      <c r="G28" s="42">
        <f t="shared" si="2"/>
        <v>1348417</v>
      </c>
      <c r="H28" s="69">
        <v>420000</v>
      </c>
      <c r="I28" s="81">
        <f t="shared" si="3"/>
        <v>420000</v>
      </c>
      <c r="J28" s="42">
        <f t="shared" si="4"/>
        <v>1768417</v>
      </c>
    </row>
    <row r="29" spans="1:10">
      <c r="A29" s="1" t="s">
        <v>3</v>
      </c>
      <c r="B29" s="32" t="s">
        <v>39</v>
      </c>
      <c r="C29" s="56">
        <v>0</v>
      </c>
      <c r="D29" s="23">
        <v>1987</v>
      </c>
      <c r="E29" s="23">
        <v>10152</v>
      </c>
      <c r="F29" s="24">
        <v>0</v>
      </c>
      <c r="G29" s="42">
        <f t="shared" si="2"/>
        <v>12139</v>
      </c>
      <c r="H29" s="69">
        <v>12579</v>
      </c>
      <c r="I29" s="81">
        <f t="shared" si="3"/>
        <v>12579</v>
      </c>
      <c r="J29" s="42">
        <f t="shared" si="4"/>
        <v>24718</v>
      </c>
    </row>
    <row r="30" spans="1:10">
      <c r="A30" s="1" t="s">
        <v>3</v>
      </c>
      <c r="B30" s="32" t="s">
        <v>40</v>
      </c>
      <c r="C30" s="56">
        <v>0</v>
      </c>
      <c r="D30" s="23">
        <v>1987</v>
      </c>
      <c r="E30" s="23">
        <v>10152</v>
      </c>
      <c r="F30" s="24">
        <v>0</v>
      </c>
      <c r="G30" s="42">
        <f t="shared" si="2"/>
        <v>12139</v>
      </c>
      <c r="H30" s="69">
        <v>12579</v>
      </c>
      <c r="I30" s="81">
        <f t="shared" si="3"/>
        <v>12579</v>
      </c>
      <c r="J30" s="42">
        <f t="shared" si="4"/>
        <v>24718</v>
      </c>
    </row>
    <row r="31" spans="1:10">
      <c r="A31" s="1" t="s">
        <v>3</v>
      </c>
      <c r="B31" s="32" t="s">
        <v>41</v>
      </c>
      <c r="C31" s="56">
        <v>295494</v>
      </c>
      <c r="D31" s="23">
        <v>395059</v>
      </c>
      <c r="E31" s="23">
        <v>424458</v>
      </c>
      <c r="F31" s="24">
        <v>245545</v>
      </c>
      <c r="G31" s="42">
        <f t="shared" si="2"/>
        <v>1360556</v>
      </c>
      <c r="H31" s="69">
        <v>432579</v>
      </c>
      <c r="I31" s="81">
        <f t="shared" si="3"/>
        <v>432579</v>
      </c>
      <c r="J31" s="42">
        <f t="shared" si="4"/>
        <v>1793135</v>
      </c>
    </row>
    <row r="32" spans="1:10">
      <c r="A32" s="1" t="s">
        <v>3</v>
      </c>
      <c r="B32" s="28" t="s">
        <v>42</v>
      </c>
      <c r="C32" s="53">
        <v>18360</v>
      </c>
      <c r="D32" s="17">
        <v>18360</v>
      </c>
      <c r="E32" s="17">
        <v>20910</v>
      </c>
      <c r="F32" s="18">
        <v>15300</v>
      </c>
      <c r="G32" s="39">
        <f t="shared" si="2"/>
        <v>72930</v>
      </c>
      <c r="H32" s="66">
        <v>22440</v>
      </c>
      <c r="I32" s="78">
        <f t="shared" si="3"/>
        <v>22440</v>
      </c>
      <c r="J32" s="39">
        <f t="shared" si="4"/>
        <v>95370</v>
      </c>
    </row>
    <row r="33" spans="1:10">
      <c r="A33" s="1" t="s">
        <v>3</v>
      </c>
      <c r="B33" s="29" t="s">
        <v>43</v>
      </c>
      <c r="C33" s="54">
        <v>0</v>
      </c>
      <c r="D33" s="9">
        <v>3240</v>
      </c>
      <c r="E33" s="9">
        <v>3690</v>
      </c>
      <c r="F33" s="10">
        <v>2700</v>
      </c>
      <c r="G33" s="40">
        <f t="shared" si="2"/>
        <v>9630</v>
      </c>
      <c r="H33" s="67">
        <v>3960</v>
      </c>
      <c r="I33" s="79">
        <f t="shared" si="3"/>
        <v>3960</v>
      </c>
      <c r="J33" s="40">
        <f t="shared" si="4"/>
        <v>13590</v>
      </c>
    </row>
    <row r="34" spans="1:10">
      <c r="A34" s="1" t="s">
        <v>3</v>
      </c>
      <c r="B34" s="29" t="s">
        <v>44</v>
      </c>
      <c r="C34" s="54">
        <v>32940</v>
      </c>
      <c r="D34" s="9">
        <v>32940</v>
      </c>
      <c r="E34" s="9">
        <v>37515</v>
      </c>
      <c r="F34" s="10">
        <v>27450</v>
      </c>
      <c r="G34" s="40">
        <f t="shared" si="2"/>
        <v>130845</v>
      </c>
      <c r="H34" s="67">
        <v>40260</v>
      </c>
      <c r="I34" s="79">
        <f t="shared" si="3"/>
        <v>40260</v>
      </c>
      <c r="J34" s="40">
        <f t="shared" si="4"/>
        <v>171105</v>
      </c>
    </row>
    <row r="35" spans="1:10">
      <c r="A35" s="1" t="s">
        <v>3</v>
      </c>
      <c r="B35" s="31" t="s">
        <v>45</v>
      </c>
      <c r="C35" s="55">
        <v>1625</v>
      </c>
      <c r="D35" s="21">
        <v>2173</v>
      </c>
      <c r="E35" s="21">
        <v>2335</v>
      </c>
      <c r="F35" s="22">
        <v>1350</v>
      </c>
      <c r="G35" s="41">
        <f t="shared" si="2"/>
        <v>7483</v>
      </c>
      <c r="H35" s="68">
        <v>2379</v>
      </c>
      <c r="I35" s="80">
        <f t="shared" si="3"/>
        <v>2379</v>
      </c>
      <c r="J35" s="41">
        <f t="shared" si="4"/>
        <v>9862</v>
      </c>
    </row>
    <row r="36" spans="1:10">
      <c r="A36" s="1" t="s">
        <v>3</v>
      </c>
      <c r="B36" s="32" t="s">
        <v>46</v>
      </c>
      <c r="C36" s="56">
        <v>52925</v>
      </c>
      <c r="D36" s="23">
        <v>56713</v>
      </c>
      <c r="E36" s="23">
        <v>64450</v>
      </c>
      <c r="F36" s="24">
        <v>46800</v>
      </c>
      <c r="G36" s="42">
        <f t="shared" si="2"/>
        <v>220888</v>
      </c>
      <c r="H36" s="69">
        <v>69039</v>
      </c>
      <c r="I36" s="81">
        <f t="shared" si="3"/>
        <v>69039</v>
      </c>
      <c r="J36" s="42">
        <f t="shared" si="4"/>
        <v>289927</v>
      </c>
    </row>
    <row r="37" spans="1:10">
      <c r="A37" s="1" t="s">
        <v>3</v>
      </c>
      <c r="B37" s="28" t="s">
        <v>47</v>
      </c>
      <c r="C37" s="53">
        <v>4670</v>
      </c>
      <c r="D37" s="17">
        <v>11350</v>
      </c>
      <c r="E37" s="17">
        <v>12450</v>
      </c>
      <c r="F37" s="18">
        <v>4720</v>
      </c>
      <c r="G37" s="39">
        <f t="shared" si="2"/>
        <v>33190</v>
      </c>
      <c r="H37" s="66">
        <v>12540</v>
      </c>
      <c r="I37" s="78">
        <f t="shared" si="3"/>
        <v>12540</v>
      </c>
      <c r="J37" s="39">
        <f t="shared" si="4"/>
        <v>45730</v>
      </c>
    </row>
    <row r="38" spans="1:10">
      <c r="A38" s="1" t="s">
        <v>3</v>
      </c>
      <c r="B38" s="31" t="s">
        <v>48</v>
      </c>
      <c r="C38" s="55">
        <v>16000</v>
      </c>
      <c r="D38" s="21">
        <v>17200</v>
      </c>
      <c r="E38" s="21">
        <v>16600</v>
      </c>
      <c r="F38" s="22">
        <v>0</v>
      </c>
      <c r="G38" s="41">
        <f t="shared" si="2"/>
        <v>49800</v>
      </c>
      <c r="H38" s="68">
        <v>20700</v>
      </c>
      <c r="I38" s="80">
        <f t="shared" si="3"/>
        <v>20700</v>
      </c>
      <c r="J38" s="41">
        <f t="shared" si="4"/>
        <v>70500</v>
      </c>
    </row>
    <row r="39" spans="1:10">
      <c r="A39" s="1" t="s">
        <v>3</v>
      </c>
      <c r="B39" s="32" t="s">
        <v>49</v>
      </c>
      <c r="C39" s="56">
        <v>73595</v>
      </c>
      <c r="D39" s="23">
        <v>85263</v>
      </c>
      <c r="E39" s="23">
        <v>93500</v>
      </c>
      <c r="F39" s="24">
        <v>51520</v>
      </c>
      <c r="G39" s="42">
        <f t="shared" si="2"/>
        <v>303878</v>
      </c>
      <c r="H39" s="69">
        <v>102279</v>
      </c>
      <c r="I39" s="81">
        <f t="shared" si="3"/>
        <v>102279</v>
      </c>
      <c r="J39" s="42">
        <f t="shared" si="4"/>
        <v>406157</v>
      </c>
    </row>
    <row r="40" spans="1:10">
      <c r="A40" s="1" t="s">
        <v>3</v>
      </c>
      <c r="B40" s="32" t="s">
        <v>50</v>
      </c>
      <c r="C40" s="56">
        <v>242569</v>
      </c>
      <c r="D40" s="23">
        <v>336359</v>
      </c>
      <c r="E40" s="23">
        <v>349856</v>
      </c>
      <c r="F40" s="24">
        <v>198745</v>
      </c>
      <c r="G40" s="42">
        <f t="shared" si="2"/>
        <v>1127529</v>
      </c>
      <c r="H40" s="69">
        <v>350961</v>
      </c>
      <c r="I40" s="81">
        <f t="shared" si="3"/>
        <v>350961</v>
      </c>
      <c r="J40" s="42">
        <f t="shared" si="4"/>
        <v>1478490</v>
      </c>
    </row>
    <row r="41" spans="1:10">
      <c r="A41" s="1" t="s">
        <v>3</v>
      </c>
      <c r="B41" s="32" t="s">
        <v>51</v>
      </c>
      <c r="C41" s="56">
        <v>221899</v>
      </c>
      <c r="D41" s="23">
        <v>309796</v>
      </c>
      <c r="E41" s="23">
        <v>330958</v>
      </c>
      <c r="F41" s="24">
        <v>194025</v>
      </c>
      <c r="G41" s="42">
        <f t="shared" si="2"/>
        <v>1056678</v>
      </c>
      <c r="H41" s="69">
        <v>330300</v>
      </c>
      <c r="I41" s="81">
        <f t="shared" si="3"/>
        <v>330300</v>
      </c>
      <c r="J41" s="42">
        <f t="shared" si="4"/>
        <v>1386978</v>
      </c>
    </row>
    <row r="42" spans="1:10">
      <c r="A42" s="1" t="s">
        <v>3</v>
      </c>
      <c r="B42" s="32" t="s">
        <v>52</v>
      </c>
      <c r="C42" s="56">
        <v>221899</v>
      </c>
      <c r="D42" s="23">
        <v>309796</v>
      </c>
      <c r="E42" s="23">
        <v>330958</v>
      </c>
      <c r="F42" s="24">
        <v>194025</v>
      </c>
      <c r="G42" s="42">
        <f t="shared" si="2"/>
        <v>1056678</v>
      </c>
      <c r="H42" s="69">
        <v>330300</v>
      </c>
      <c r="I42" s="81">
        <f t="shared" si="3"/>
        <v>330300</v>
      </c>
      <c r="J42" s="42">
        <f t="shared" si="4"/>
        <v>1386978</v>
      </c>
    </row>
    <row r="43" spans="1:10">
      <c r="A43" s="1" t="s">
        <v>3</v>
      </c>
      <c r="B43" s="28" t="s">
        <v>53</v>
      </c>
      <c r="C43" s="53">
        <v>1</v>
      </c>
      <c r="D43" s="17">
        <v>0</v>
      </c>
      <c r="E43" s="17">
        <v>0</v>
      </c>
      <c r="F43" s="18">
        <v>0</v>
      </c>
      <c r="G43" s="39"/>
      <c r="H43" s="66">
        <v>0</v>
      </c>
      <c r="I43" s="78"/>
      <c r="J43" s="39"/>
    </row>
    <row r="44" spans="1:10">
      <c r="A44" s="1" t="s">
        <v>3</v>
      </c>
      <c r="B44" s="29" t="s">
        <v>54</v>
      </c>
      <c r="C44" s="57" t="s">
        <v>55</v>
      </c>
      <c r="D44" s="11" t="s">
        <v>55</v>
      </c>
      <c r="E44" s="11" t="s">
        <v>55</v>
      </c>
      <c r="F44" s="12" t="s">
        <v>55</v>
      </c>
      <c r="G44" s="43"/>
      <c r="H44" s="70" t="s">
        <v>55</v>
      </c>
      <c r="I44" s="82"/>
      <c r="J44" s="43"/>
    </row>
    <row r="45" spans="1:10" ht="19.5" thickBot="1">
      <c r="A45" s="1" t="s">
        <v>3</v>
      </c>
      <c r="B45" s="33" t="s">
        <v>56</v>
      </c>
      <c r="C45" s="58">
        <v>4670</v>
      </c>
      <c r="D45" s="13">
        <v>11350</v>
      </c>
      <c r="E45" s="13">
        <v>12450</v>
      </c>
      <c r="F45" s="14">
        <v>4720</v>
      </c>
      <c r="G45" s="44">
        <f>SUM(C45:F45)</f>
        <v>33190</v>
      </c>
      <c r="H45" s="71">
        <v>12540</v>
      </c>
      <c r="I45" s="83">
        <f>H45</f>
        <v>12540</v>
      </c>
      <c r="J45" s="44">
        <f>G45+I45</f>
        <v>45730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asada@waka-trans.com</dc:creator>
  <cp:keywords/>
  <dc:description/>
  <cp:lastModifiedBy>若林孝次郎</cp:lastModifiedBy>
  <cp:revision/>
  <dcterms:created xsi:type="dcterms:W3CDTF">2025-08-12T01:50:36Z</dcterms:created>
  <dcterms:modified xsi:type="dcterms:W3CDTF">2025-09-13T05:19:29Z</dcterms:modified>
  <cp:category/>
  <cp:contentStatus/>
</cp:coreProperties>
</file>