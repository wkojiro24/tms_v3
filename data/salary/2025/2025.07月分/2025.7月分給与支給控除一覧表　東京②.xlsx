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7月分\"/>
    </mc:Choice>
  </mc:AlternateContent>
  <xr:revisionPtr revIDLastSave="0" documentId="13_ncr:1_{3148BBB0-B834-4CD0-8123-3A316B859918}" xr6:coauthVersionLast="47" xr6:coauthVersionMax="47" xr10:uidLastSave="{00000000-0000-0000-0000-000000000000}"/>
  <bookViews>
    <workbookView xWindow="-120" yWindow="-120" windowWidth="20730" windowHeight="11160" xr2:uid="{37700032-0102-42A0-B1FF-6EEE314DB78D}"/>
  </bookViews>
  <sheets>
    <sheet name="2025年 7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2" l="1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8" i="2"/>
  <c r="M17" i="2"/>
  <c r="M16" i="2"/>
  <c r="M15" i="2"/>
  <c r="M14" i="2"/>
  <c r="M13" i="2"/>
  <c r="M12" i="2"/>
  <c r="M11" i="2"/>
  <c r="M10" i="2"/>
  <c r="M9" i="2"/>
  <c r="J50" i="2"/>
  <c r="N50" i="2" s="1"/>
  <c r="J47" i="2"/>
  <c r="N47" i="2" s="1"/>
  <c r="J46" i="2"/>
  <c r="N46" i="2" s="1"/>
  <c r="J45" i="2"/>
  <c r="N45" i="2" s="1"/>
  <c r="J44" i="2"/>
  <c r="N44" i="2" s="1"/>
  <c r="J43" i="2"/>
  <c r="N43" i="2" s="1"/>
  <c r="J42" i="2"/>
  <c r="N42" i="2" s="1"/>
  <c r="J41" i="2"/>
  <c r="N41" i="2" s="1"/>
  <c r="J40" i="2"/>
  <c r="N40" i="2" s="1"/>
  <c r="J39" i="2"/>
  <c r="N39" i="2" s="1"/>
  <c r="J38" i="2"/>
  <c r="N38" i="2" s="1"/>
  <c r="J37" i="2"/>
  <c r="N37" i="2" s="1"/>
  <c r="J36" i="2"/>
  <c r="N36" i="2" s="1"/>
  <c r="J35" i="2"/>
  <c r="N35" i="2" s="1"/>
  <c r="J34" i="2"/>
  <c r="N34" i="2" s="1"/>
  <c r="J33" i="2"/>
  <c r="N33" i="2" s="1"/>
  <c r="J32" i="2"/>
  <c r="N32" i="2" s="1"/>
  <c r="J31" i="2"/>
  <c r="N31" i="2" s="1"/>
  <c r="J30" i="2"/>
  <c r="N30" i="2" s="1"/>
  <c r="J29" i="2"/>
  <c r="N29" i="2" s="1"/>
  <c r="J28" i="2"/>
  <c r="N28" i="2" s="1"/>
  <c r="J27" i="2"/>
  <c r="N27" i="2" s="1"/>
  <c r="J26" i="2"/>
  <c r="N26" i="2" s="1"/>
  <c r="J25" i="2"/>
  <c r="N25" i="2" s="1"/>
  <c r="J24" i="2"/>
  <c r="N24" i="2" s="1"/>
  <c r="J23" i="2"/>
  <c r="N23" i="2" s="1"/>
  <c r="J22" i="2"/>
  <c r="N22" i="2" s="1"/>
  <c r="J21" i="2"/>
  <c r="N21" i="2" s="1"/>
  <c r="J20" i="2"/>
  <c r="N20" i="2" s="1"/>
  <c r="J18" i="2"/>
  <c r="N18" i="2" s="1"/>
  <c r="J17" i="2"/>
  <c r="N17" i="2" s="1"/>
  <c r="J16" i="2"/>
  <c r="N16" i="2" s="1"/>
  <c r="J15" i="2"/>
  <c r="N15" i="2" s="1"/>
  <c r="J14" i="2"/>
  <c r="N14" i="2" s="1"/>
  <c r="J13" i="2"/>
  <c r="N13" i="2" s="1"/>
  <c r="J12" i="2"/>
  <c r="N12" i="2" s="1"/>
  <c r="J11" i="2"/>
  <c r="N11" i="2" s="1"/>
  <c r="J10" i="2"/>
  <c r="N10" i="2" s="1"/>
  <c r="J9" i="2"/>
  <c r="N9" i="2" s="1"/>
</calcChain>
</file>

<file path=xl/sharedStrings.xml><?xml version="1.0" encoding="utf-8"?>
<sst xmlns="http://schemas.openxmlformats.org/spreadsheetml/2006/main" count="121" uniqueCount="68">
  <si>
    <t>支給控除一覧表</t>
    <phoneticPr fontId="4"/>
  </si>
  <si>
    <t>若林運送株式会社</t>
    <phoneticPr fontId="4"/>
  </si>
  <si>
    <t>2025年 8月12日 作成</t>
    <phoneticPr fontId="4"/>
  </si>
  <si>
    <t/>
  </si>
  <si>
    <t>2025年 7月度給与</t>
    <phoneticPr fontId="4"/>
  </si>
  <si>
    <t>1025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</si>
  <si>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</si>
  <si>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</si>
  <si>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</si>
  <si>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</si>
  <si>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1204</t>
    <phoneticPr fontId="4"/>
  </si>
  <si>
    <t>1208</t>
    <phoneticPr fontId="4"/>
  </si>
  <si>
    <t>小計</t>
    <rPh sb="0" eb="2">
      <t>ショウケイ</t>
    </rPh>
    <phoneticPr fontId="3"/>
  </si>
  <si>
    <t>1029</t>
    <phoneticPr fontId="4"/>
  </si>
  <si>
    <t>1033</t>
    <phoneticPr fontId="4"/>
  </si>
  <si>
    <t>項目名</t>
    <phoneticPr fontId="4"/>
  </si>
  <si>
    <t>金子　勝彦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</si>
  <si>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</si>
  <si>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</si>
  <si>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</si>
  <si>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</si>
  <si>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伊藤　博一</t>
    <phoneticPr fontId="4"/>
  </si>
  <si>
    <t>石川雄二</t>
    <phoneticPr fontId="4"/>
  </si>
  <si>
    <t>7名</t>
    <rPh sb="1" eb="2">
      <t>メイ</t>
    </rPh>
    <phoneticPr fontId="4"/>
  </si>
  <si>
    <t>上原　勉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</si>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</sst>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9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left"/>
    </xf>
    <xf numFmtId="49" fontId="2" fillId="0" borderId="24" xfId="1" applyNumberFormat="1" applyFont="1" applyBorder="1" applyAlignment="1">
      <alignment horizontal="left"/>
    </xf>
    <xf numFmtId="0" fontId="2" fillId="0" borderId="30" xfId="1" applyFont="1" applyBorder="1"/>
    <xf numFmtId="0" fontId="2" fillId="0" borderId="31" xfId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3" fontId="2" fillId="0" borderId="31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5" xfId="1" applyNumberFormat="1" applyFont="1" applyBorder="1"/>
    <xf numFmtId="3" fontId="2" fillId="0" borderId="17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68F4D012-B708-4EAD-9771-812FD6AB2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B3A3-85C8-45AB-B086-4449A3EA2DCE}">
  <dimension ref="A1:N50"/>
  <sheetViews>
    <sheetView showZeros="0" tabSelected="1" workbookViewId="0">
      <pane xSplit="2" ySplit="8" topLeftCell="C9" activePane="bottomRight" state="frozen"/>
      <selection pane="bottomRight" activeCell="J29" sqref="J29:J32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8" width="11.125" style="2" bestFit="1" customWidth="1"/>
    <col min="9" max="9" width="9" style="2" bestFit="1" customWidth="1"/>
    <col min="10" max="10" width="9.625" style="2" bestFit="1" customWidth="1"/>
    <col min="11" max="11" width="9" style="2" bestFit="1" customWidth="1"/>
    <col min="12" max="12" width="11.1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67" width="11.125" style="2" bestFit="1" customWidth="1"/>
    <col min="268" max="268" width="9" style="2" bestFit="1"/>
    <col min="269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3" width="11.125" style="2" bestFit="1" customWidth="1"/>
    <col min="524" max="524" width="9" style="2" bestFit="1"/>
    <col min="525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79" width="11.125" style="2" bestFit="1" customWidth="1"/>
    <col min="780" max="780" width="9" style="2" bestFit="1"/>
    <col min="781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5" width="11.125" style="2" bestFit="1" customWidth="1"/>
    <col min="1036" max="1036" width="9" style="2" bestFit="1"/>
    <col min="1037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1" width="11.125" style="2" bestFit="1" customWidth="1"/>
    <col min="1292" max="1292" width="9" style="2" bestFit="1"/>
    <col min="1293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47" width="11.125" style="2" bestFit="1" customWidth="1"/>
    <col min="1548" max="1548" width="9" style="2" bestFit="1"/>
    <col min="1549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3" width="11.125" style="2" bestFit="1" customWidth="1"/>
    <col min="1804" max="1804" width="9" style="2" bestFit="1"/>
    <col min="1805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59" width="11.125" style="2" bestFit="1" customWidth="1"/>
    <col min="2060" max="2060" width="9" style="2" bestFit="1"/>
    <col min="2061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5" width="11.125" style="2" bestFit="1" customWidth="1"/>
    <col min="2316" max="2316" width="9" style="2" bestFit="1"/>
    <col min="2317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1" width="11.125" style="2" bestFit="1" customWidth="1"/>
    <col min="2572" max="2572" width="9" style="2" bestFit="1"/>
    <col min="2573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27" width="11.125" style="2" bestFit="1" customWidth="1"/>
    <col min="2828" max="2828" width="9" style="2" bestFit="1"/>
    <col min="2829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3" width="11.125" style="2" bestFit="1" customWidth="1"/>
    <col min="3084" max="3084" width="9" style="2" bestFit="1"/>
    <col min="3085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39" width="11.125" style="2" bestFit="1" customWidth="1"/>
    <col min="3340" max="3340" width="9" style="2" bestFit="1"/>
    <col min="3341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5" width="11.125" style="2" bestFit="1" customWidth="1"/>
    <col min="3596" max="3596" width="9" style="2" bestFit="1"/>
    <col min="3597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1" width="11.125" style="2" bestFit="1" customWidth="1"/>
    <col min="3852" max="3852" width="9" style="2" bestFit="1"/>
    <col min="3853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07" width="11.125" style="2" bestFit="1" customWidth="1"/>
    <col min="4108" max="4108" width="9" style="2" bestFit="1"/>
    <col min="4109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3" width="11.125" style="2" bestFit="1" customWidth="1"/>
    <col min="4364" max="4364" width="9" style="2" bestFit="1"/>
    <col min="4365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19" width="11.125" style="2" bestFit="1" customWidth="1"/>
    <col min="4620" max="4620" width="9" style="2" bestFit="1"/>
    <col min="4621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5" width="11.125" style="2" bestFit="1" customWidth="1"/>
    <col min="4876" max="4876" width="9" style="2" bestFit="1"/>
    <col min="4877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1" width="11.125" style="2" bestFit="1" customWidth="1"/>
    <col min="5132" max="5132" width="9" style="2" bestFit="1"/>
    <col min="5133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87" width="11.125" style="2" bestFit="1" customWidth="1"/>
    <col min="5388" max="5388" width="9" style="2" bestFit="1"/>
    <col min="5389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3" width="11.125" style="2" bestFit="1" customWidth="1"/>
    <col min="5644" max="5644" width="9" style="2" bestFit="1"/>
    <col min="5645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899" width="11.125" style="2" bestFit="1" customWidth="1"/>
    <col min="5900" max="5900" width="9" style="2" bestFit="1"/>
    <col min="5901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5" width="11.125" style="2" bestFit="1" customWidth="1"/>
    <col min="6156" max="6156" width="9" style="2" bestFit="1"/>
    <col min="6157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1" width="11.125" style="2" bestFit="1" customWidth="1"/>
    <col min="6412" max="6412" width="9" style="2" bestFit="1"/>
    <col min="6413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67" width="11.125" style="2" bestFit="1" customWidth="1"/>
    <col min="6668" max="6668" width="9" style="2" bestFit="1"/>
    <col min="6669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3" width="11.125" style="2" bestFit="1" customWidth="1"/>
    <col min="6924" max="6924" width="9" style="2" bestFit="1"/>
    <col min="6925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79" width="11.125" style="2" bestFit="1" customWidth="1"/>
    <col min="7180" max="7180" width="9" style="2" bestFit="1"/>
    <col min="7181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5" width="11.125" style="2" bestFit="1" customWidth="1"/>
    <col min="7436" max="7436" width="9" style="2" bestFit="1"/>
    <col min="7437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1" width="11.125" style="2" bestFit="1" customWidth="1"/>
    <col min="7692" max="7692" width="9" style="2" bestFit="1"/>
    <col min="7693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47" width="11.125" style="2" bestFit="1" customWidth="1"/>
    <col min="7948" max="7948" width="9" style="2" bestFit="1"/>
    <col min="7949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3" width="11.125" style="2" bestFit="1" customWidth="1"/>
    <col min="8204" max="8204" width="9" style="2" bestFit="1"/>
    <col min="8205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59" width="11.125" style="2" bestFit="1" customWidth="1"/>
    <col min="8460" max="8460" width="9" style="2" bestFit="1"/>
    <col min="8461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5" width="11.125" style="2" bestFit="1" customWidth="1"/>
    <col min="8716" max="8716" width="9" style="2" bestFit="1"/>
    <col min="8717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1" width="11.125" style="2" bestFit="1" customWidth="1"/>
    <col min="8972" max="8972" width="9" style="2" bestFit="1"/>
    <col min="8973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27" width="11.125" style="2" bestFit="1" customWidth="1"/>
    <col min="9228" max="9228" width="9" style="2" bestFit="1"/>
    <col min="9229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3" width="11.125" style="2" bestFit="1" customWidth="1"/>
    <col min="9484" max="9484" width="9" style="2" bestFit="1"/>
    <col min="9485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39" width="11.125" style="2" bestFit="1" customWidth="1"/>
    <col min="9740" max="9740" width="9" style="2" bestFit="1"/>
    <col min="9741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5" width="11.125" style="2" bestFit="1" customWidth="1"/>
    <col min="9996" max="9996" width="9" style="2" bestFit="1"/>
    <col min="9997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1" width="11.125" style="2" bestFit="1" customWidth="1"/>
    <col min="10252" max="10252" width="9" style="2" bestFit="1"/>
    <col min="10253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07" width="11.125" style="2" bestFit="1" customWidth="1"/>
    <col min="10508" max="10508" width="9" style="2" bestFit="1"/>
    <col min="10509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3" width="11.125" style="2" bestFit="1" customWidth="1"/>
    <col min="10764" max="10764" width="9" style="2" bestFit="1"/>
    <col min="10765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19" width="11.125" style="2" bestFit="1" customWidth="1"/>
    <col min="11020" max="11020" width="9" style="2" bestFit="1"/>
    <col min="11021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5" width="11.125" style="2" bestFit="1" customWidth="1"/>
    <col min="11276" max="11276" width="9" style="2" bestFit="1"/>
    <col min="11277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1" width="11.125" style="2" bestFit="1" customWidth="1"/>
    <col min="11532" max="11532" width="9" style="2" bestFit="1"/>
    <col min="11533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87" width="11.125" style="2" bestFit="1" customWidth="1"/>
    <col min="11788" max="11788" width="9" style="2" bestFit="1"/>
    <col min="11789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3" width="11.125" style="2" bestFit="1" customWidth="1"/>
    <col min="12044" max="12044" width="9" style="2" bestFit="1"/>
    <col min="12045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299" width="11.125" style="2" bestFit="1" customWidth="1"/>
    <col min="12300" max="12300" width="9" style="2" bestFit="1"/>
    <col min="12301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5" width="11.125" style="2" bestFit="1" customWidth="1"/>
    <col min="12556" max="12556" width="9" style="2" bestFit="1"/>
    <col min="12557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1" width="11.125" style="2" bestFit="1" customWidth="1"/>
    <col min="12812" max="12812" width="9" style="2" bestFit="1"/>
    <col min="12813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67" width="11.125" style="2" bestFit="1" customWidth="1"/>
    <col min="13068" max="13068" width="9" style="2" bestFit="1"/>
    <col min="13069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3" width="11.125" style="2" bestFit="1" customWidth="1"/>
    <col min="13324" max="13324" width="9" style="2" bestFit="1"/>
    <col min="13325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79" width="11.125" style="2" bestFit="1" customWidth="1"/>
    <col min="13580" max="13580" width="9" style="2" bestFit="1"/>
    <col min="13581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5" width="11.125" style="2" bestFit="1" customWidth="1"/>
    <col min="13836" max="13836" width="9" style="2" bestFit="1"/>
    <col min="13837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1" width="11.125" style="2" bestFit="1" customWidth="1"/>
    <col min="14092" max="14092" width="9" style="2" bestFit="1"/>
    <col min="14093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47" width="11.125" style="2" bestFit="1" customWidth="1"/>
    <col min="14348" max="14348" width="9" style="2" bestFit="1"/>
    <col min="14349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3" width="11.125" style="2" bestFit="1" customWidth="1"/>
    <col min="14604" max="14604" width="9" style="2" bestFit="1"/>
    <col min="14605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59" width="11.125" style="2" bestFit="1" customWidth="1"/>
    <col min="14860" max="14860" width="9" style="2" bestFit="1"/>
    <col min="14861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5" width="11.125" style="2" bestFit="1" customWidth="1"/>
    <col min="15116" max="15116" width="9" style="2" bestFit="1"/>
    <col min="15117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1" width="11.125" style="2" bestFit="1" customWidth="1"/>
    <col min="15372" max="15372" width="9" style="2" bestFit="1"/>
    <col min="15373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27" width="11.125" style="2" bestFit="1" customWidth="1"/>
    <col min="15628" max="15628" width="9" style="2" bestFit="1"/>
    <col min="15629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3" width="11.125" style="2" bestFit="1" customWidth="1"/>
    <col min="15884" max="15884" width="9" style="2" bestFit="1"/>
    <col min="15885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39" width="11.125" style="2" bestFit="1" customWidth="1"/>
    <col min="16140" max="16140" width="9" style="2" bestFit="1"/>
    <col min="16141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4</v>
      </c>
    </row>
    <row r="7" spans="1:14">
      <c r="B7" s="26"/>
      <c r="C7" s="46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60" t="s">
        <v>11</v>
      </c>
      <c r="J7" s="72" t="s">
        <v>12</v>
      </c>
      <c r="K7" s="4" t="s">
        <v>13</v>
      </c>
      <c r="L7" s="47" t="s">
        <v>14</v>
      </c>
      <c r="M7" s="34"/>
      <c r="N7" s="34"/>
    </row>
    <row r="8" spans="1:14" ht="19.5" thickBot="1">
      <c r="A8" s="3"/>
      <c r="B8" s="27" t="s">
        <v>15</v>
      </c>
      <c r="C8" s="48" t="s">
        <v>16</v>
      </c>
      <c r="D8" s="25" t="s">
        <v>17</v>
      </c>
      <c r="E8" s="25" t="s">
        <v>18</v>
      </c>
      <c r="F8" s="25" t="s">
        <v>19</v>
      </c>
      <c r="G8" s="25" t="s">
        <v>20</v>
      </c>
      <c r="H8" s="25" t="s">
        <v>21</v>
      </c>
      <c r="I8" s="61" t="s">
        <v>22</v>
      </c>
      <c r="J8" s="73" t="s">
        <v>23</v>
      </c>
      <c r="K8" s="25" t="s">
        <v>24</v>
      </c>
      <c r="L8" s="49" t="s">
        <v>25</v>
      </c>
      <c r="M8" s="35" t="s">
        <v>26</v>
      </c>
      <c r="N8" s="35" t="s">
        <v>26</v>
      </c>
    </row>
    <row r="9" spans="1:14">
      <c r="A9" s="1" t="s">
        <v>3</v>
      </c>
      <c r="B9" s="28" t="s">
        <v>27</v>
      </c>
      <c r="C9" s="50">
        <v>21</v>
      </c>
      <c r="D9" s="15">
        <v>17</v>
      </c>
      <c r="E9" s="15">
        <v>22</v>
      </c>
      <c r="F9" s="15">
        <v>22</v>
      </c>
      <c r="G9" s="15">
        <v>21</v>
      </c>
      <c r="H9" s="15">
        <v>22</v>
      </c>
      <c r="I9" s="62">
        <v>10</v>
      </c>
      <c r="J9" s="74">
        <f>SUM(C9:I9)</f>
        <v>135</v>
      </c>
      <c r="K9" s="15">
        <v>23</v>
      </c>
      <c r="L9" s="16">
        <v>12</v>
      </c>
      <c r="M9" s="36">
        <f>SUM(K9:L9)</f>
        <v>35</v>
      </c>
      <c r="N9" s="36">
        <f>J9+M9</f>
        <v>170</v>
      </c>
    </row>
    <row r="10" spans="1:14">
      <c r="A10" s="1" t="s">
        <v>3</v>
      </c>
      <c r="B10" s="29" t="s">
        <v>28</v>
      </c>
      <c r="C10" s="51">
        <v>0</v>
      </c>
      <c r="D10" s="5">
        <v>3</v>
      </c>
      <c r="E10" s="5">
        <v>1</v>
      </c>
      <c r="F10" s="5">
        <v>3</v>
      </c>
      <c r="G10" s="5">
        <v>3</v>
      </c>
      <c r="H10" s="5">
        <v>2</v>
      </c>
      <c r="I10" s="63">
        <v>0</v>
      </c>
      <c r="J10" s="75">
        <f t="shared" ref="J10:J17" si="0">SUM(C10:I10)</f>
        <v>12</v>
      </c>
      <c r="K10" s="5">
        <v>0</v>
      </c>
      <c r="L10" s="6">
        <v>0</v>
      </c>
      <c r="M10" s="37">
        <f t="shared" ref="M10:M18" si="1">SUM(K10:L10)</f>
        <v>0</v>
      </c>
      <c r="N10" s="37">
        <f t="shared" ref="N10:N18" si="2">J10+M10</f>
        <v>12</v>
      </c>
    </row>
    <row r="11" spans="1:14">
      <c r="A11" s="1" t="s">
        <v>3</v>
      </c>
      <c r="B11" s="29" t="s">
        <v>29</v>
      </c>
      <c r="C11" s="51">
        <v>0</v>
      </c>
      <c r="D11" s="5">
        <v>1</v>
      </c>
      <c r="E11" s="5">
        <v>0</v>
      </c>
      <c r="F11" s="5">
        <v>0</v>
      </c>
      <c r="G11" s="5">
        <v>1</v>
      </c>
      <c r="H11" s="5">
        <v>0</v>
      </c>
      <c r="I11" s="63">
        <v>0</v>
      </c>
      <c r="J11" s="75">
        <f t="shared" si="0"/>
        <v>2</v>
      </c>
      <c r="K11" s="5">
        <v>0</v>
      </c>
      <c r="L11" s="6">
        <v>0</v>
      </c>
      <c r="M11" s="37">
        <f t="shared" si="1"/>
        <v>0</v>
      </c>
      <c r="N11" s="37">
        <f t="shared" si="2"/>
        <v>2</v>
      </c>
    </row>
    <row r="12" spans="1:14">
      <c r="A12" s="1" t="s">
        <v>3</v>
      </c>
      <c r="B12" s="29" t="s">
        <v>30</v>
      </c>
      <c r="C12" s="51">
        <v>2</v>
      </c>
      <c r="D12" s="5">
        <v>6</v>
      </c>
      <c r="E12" s="5">
        <v>1</v>
      </c>
      <c r="F12" s="5">
        <v>1</v>
      </c>
      <c r="G12" s="5">
        <v>2</v>
      </c>
      <c r="H12" s="5">
        <v>1</v>
      </c>
      <c r="I12" s="63">
        <v>0</v>
      </c>
      <c r="J12" s="75">
        <f t="shared" si="0"/>
        <v>13</v>
      </c>
      <c r="K12" s="5">
        <v>0</v>
      </c>
      <c r="L12" s="6">
        <v>1</v>
      </c>
      <c r="M12" s="37">
        <f t="shared" si="1"/>
        <v>1</v>
      </c>
      <c r="N12" s="37">
        <f t="shared" si="2"/>
        <v>14</v>
      </c>
    </row>
    <row r="13" spans="1:14">
      <c r="A13" s="1" t="s">
        <v>3</v>
      </c>
      <c r="B13" s="29" t="s">
        <v>31</v>
      </c>
      <c r="C13" s="52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64">
        <v>0</v>
      </c>
      <c r="J13" s="76">
        <f t="shared" si="0"/>
        <v>0</v>
      </c>
      <c r="K13" s="7">
        <v>0</v>
      </c>
      <c r="L13" s="8">
        <v>3.1666666666666665</v>
      </c>
      <c r="M13" s="38">
        <f t="shared" si="1"/>
        <v>3.1666666666666665</v>
      </c>
      <c r="N13" s="38">
        <f t="shared" si="2"/>
        <v>3.1666666666666665</v>
      </c>
    </row>
    <row r="14" spans="1:14">
      <c r="A14" s="1" t="s">
        <v>3</v>
      </c>
      <c r="B14" s="29" t="s">
        <v>32</v>
      </c>
      <c r="C14" s="52">
        <v>1.5833333333333335</v>
      </c>
      <c r="D14" s="7">
        <v>0.95833333333333337</v>
      </c>
      <c r="E14" s="7">
        <v>1.625</v>
      </c>
      <c r="F14" s="7">
        <v>1.5416666666666665</v>
      </c>
      <c r="G14" s="7">
        <v>1.3333333333333333</v>
      </c>
      <c r="H14" s="7">
        <v>1.375</v>
      </c>
      <c r="I14" s="64">
        <v>0.41666666666666669</v>
      </c>
      <c r="J14" s="76">
        <f t="shared" si="0"/>
        <v>8.8333333333333339</v>
      </c>
      <c r="K14" s="7">
        <v>0</v>
      </c>
      <c r="L14" s="8">
        <v>0</v>
      </c>
      <c r="M14" s="38">
        <f t="shared" si="1"/>
        <v>0</v>
      </c>
      <c r="N14" s="38">
        <f t="shared" si="2"/>
        <v>8.8333333333333339</v>
      </c>
    </row>
    <row r="15" spans="1:14">
      <c r="A15" s="1" t="s">
        <v>3</v>
      </c>
      <c r="B15" s="29" t="s">
        <v>33</v>
      </c>
      <c r="C15" s="52">
        <v>0</v>
      </c>
      <c r="D15" s="7">
        <v>0.79166666666666663</v>
      </c>
      <c r="E15" s="7">
        <v>0.29166666666666669</v>
      </c>
      <c r="F15" s="7">
        <v>0.66666666666666663</v>
      </c>
      <c r="G15" s="7">
        <v>0.79166666666666663</v>
      </c>
      <c r="H15" s="7">
        <v>0.41666666666666669</v>
      </c>
      <c r="I15" s="64">
        <v>0</v>
      </c>
      <c r="J15" s="76">
        <f t="shared" si="0"/>
        <v>2.958333333333333</v>
      </c>
      <c r="K15" s="7">
        <v>0</v>
      </c>
      <c r="L15" s="8">
        <v>0</v>
      </c>
      <c r="M15" s="38">
        <f t="shared" si="1"/>
        <v>0</v>
      </c>
      <c r="N15" s="38">
        <f t="shared" si="2"/>
        <v>2.958333333333333</v>
      </c>
    </row>
    <row r="16" spans="1:14">
      <c r="A16" s="1" t="s">
        <v>3</v>
      </c>
      <c r="B16" s="29" t="s">
        <v>34</v>
      </c>
      <c r="C16" s="52">
        <v>0</v>
      </c>
      <c r="D16" s="7">
        <v>0.25</v>
      </c>
      <c r="E16" s="7">
        <v>0</v>
      </c>
      <c r="F16" s="7">
        <v>0</v>
      </c>
      <c r="G16" s="7">
        <v>0.375</v>
      </c>
      <c r="H16" s="7">
        <v>0</v>
      </c>
      <c r="I16" s="64">
        <v>0</v>
      </c>
      <c r="J16" s="76">
        <f t="shared" si="0"/>
        <v>0.625</v>
      </c>
      <c r="K16" s="7">
        <v>0</v>
      </c>
      <c r="L16" s="8">
        <v>0</v>
      </c>
      <c r="M16" s="38">
        <f t="shared" si="1"/>
        <v>0</v>
      </c>
      <c r="N16" s="38">
        <f t="shared" si="2"/>
        <v>0.625</v>
      </c>
    </row>
    <row r="17" spans="1:14">
      <c r="A17" s="1" t="s">
        <v>3</v>
      </c>
      <c r="B17" s="29" t="s">
        <v>35</v>
      </c>
      <c r="C17" s="52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64">
        <v>0</v>
      </c>
      <c r="J17" s="76">
        <f t="shared" si="0"/>
        <v>0</v>
      </c>
      <c r="K17" s="7">
        <v>0</v>
      </c>
      <c r="L17" s="8">
        <v>0.29166666666666669</v>
      </c>
      <c r="M17" s="38">
        <f t="shared" si="1"/>
        <v>0.29166666666666669</v>
      </c>
      <c r="N17" s="38">
        <f t="shared" si="2"/>
        <v>0.29166666666666669</v>
      </c>
    </row>
    <row r="18" spans="1:14">
      <c r="A18" s="1" t="s">
        <v>3</v>
      </c>
      <c r="B18" s="29" t="s">
        <v>36</v>
      </c>
      <c r="C18" s="52">
        <v>8.3333333333333329E-2</v>
      </c>
      <c r="D18" s="7">
        <v>0.125</v>
      </c>
      <c r="E18" s="7">
        <v>0.125</v>
      </c>
      <c r="F18" s="7">
        <v>0.16666666666666666</v>
      </c>
      <c r="G18" s="7">
        <v>0.41666666666666669</v>
      </c>
      <c r="H18" s="7">
        <v>0.16666666666666666</v>
      </c>
      <c r="I18" s="64">
        <v>8.3333333333333329E-2</v>
      </c>
      <c r="J18" s="76">
        <f>SUM(C18:I18)</f>
        <v>1.1666666666666667</v>
      </c>
      <c r="K18" s="7">
        <v>0</v>
      </c>
      <c r="L18" s="8">
        <v>0</v>
      </c>
      <c r="M18" s="38">
        <f t="shared" si="1"/>
        <v>0</v>
      </c>
      <c r="N18" s="38">
        <f t="shared" si="2"/>
        <v>1.1666666666666667</v>
      </c>
    </row>
    <row r="19" spans="1:14">
      <c r="A19" s="1" t="s">
        <v>3</v>
      </c>
      <c r="B19" s="30" t="s">
        <v>37</v>
      </c>
      <c r="C19" s="53">
        <v>29</v>
      </c>
      <c r="D19" s="19">
        <v>23</v>
      </c>
      <c r="E19" s="19">
        <v>24</v>
      </c>
      <c r="F19" s="19">
        <v>31</v>
      </c>
      <c r="G19" s="19">
        <v>31</v>
      </c>
      <c r="H19" s="19">
        <v>13</v>
      </c>
      <c r="I19" s="65">
        <v>0</v>
      </c>
      <c r="J19" s="77"/>
      <c r="K19" s="19">
        <v>40</v>
      </c>
      <c r="L19" s="20">
        <v>9</v>
      </c>
      <c r="M19" s="39"/>
      <c r="N19" s="39"/>
    </row>
    <row r="20" spans="1:14">
      <c r="A20" s="1" t="s">
        <v>3</v>
      </c>
      <c r="B20" s="28" t="s">
        <v>38</v>
      </c>
      <c r="C20" s="54">
        <v>197000</v>
      </c>
      <c r="D20" s="17">
        <v>182000</v>
      </c>
      <c r="E20" s="17">
        <v>182000</v>
      </c>
      <c r="F20" s="17">
        <v>182000</v>
      </c>
      <c r="G20" s="17">
        <v>182000</v>
      </c>
      <c r="H20" s="17">
        <v>175000</v>
      </c>
      <c r="I20" s="66">
        <v>175000</v>
      </c>
      <c r="J20" s="78">
        <f t="shared" ref="J20:J47" si="3">SUM(C20:I20)</f>
        <v>1275000</v>
      </c>
      <c r="K20" s="17">
        <v>370000</v>
      </c>
      <c r="L20" s="18">
        <v>0</v>
      </c>
      <c r="M20" s="40">
        <f t="shared" ref="M20:M47" si="4">SUM(K20:L20)</f>
        <v>370000</v>
      </c>
      <c r="N20" s="40">
        <f t="shared" ref="N20:N47" si="5">J20+M20</f>
        <v>1645000</v>
      </c>
    </row>
    <row r="21" spans="1:14">
      <c r="A21" s="1" t="s">
        <v>3</v>
      </c>
      <c r="B21" s="29" t="s">
        <v>39</v>
      </c>
      <c r="C21" s="55">
        <v>5000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67">
        <v>0</v>
      </c>
      <c r="J21" s="79">
        <f t="shared" si="3"/>
        <v>5000</v>
      </c>
      <c r="K21" s="9">
        <v>0</v>
      </c>
      <c r="L21" s="10">
        <v>0</v>
      </c>
      <c r="M21" s="41">
        <f t="shared" si="4"/>
        <v>0</v>
      </c>
      <c r="N21" s="41">
        <f t="shared" si="5"/>
        <v>5000</v>
      </c>
    </row>
    <row r="22" spans="1:14">
      <c r="A22" s="1" t="s">
        <v>3</v>
      </c>
      <c r="B22" s="29" t="s">
        <v>40</v>
      </c>
      <c r="C22" s="55">
        <v>0</v>
      </c>
      <c r="D22" s="9">
        <v>15000</v>
      </c>
      <c r="E22" s="9">
        <v>0</v>
      </c>
      <c r="F22" s="9">
        <v>0</v>
      </c>
      <c r="G22" s="9">
        <v>3000</v>
      </c>
      <c r="H22" s="9">
        <v>0</v>
      </c>
      <c r="I22" s="67">
        <v>0</v>
      </c>
      <c r="J22" s="79">
        <f t="shared" si="3"/>
        <v>18000</v>
      </c>
      <c r="K22" s="9">
        <v>0</v>
      </c>
      <c r="L22" s="10">
        <v>0</v>
      </c>
      <c r="M22" s="41">
        <f t="shared" si="4"/>
        <v>0</v>
      </c>
      <c r="N22" s="41">
        <f t="shared" si="5"/>
        <v>18000</v>
      </c>
    </row>
    <row r="23" spans="1:14">
      <c r="A23" s="1" t="s">
        <v>3</v>
      </c>
      <c r="B23" s="29" t="s">
        <v>41</v>
      </c>
      <c r="C23" s="55">
        <v>50000</v>
      </c>
      <c r="D23" s="9">
        <v>50000</v>
      </c>
      <c r="E23" s="9">
        <v>50000</v>
      </c>
      <c r="F23" s="9">
        <v>50000</v>
      </c>
      <c r="G23" s="9">
        <v>50000</v>
      </c>
      <c r="H23" s="9">
        <v>50000</v>
      </c>
      <c r="I23" s="67">
        <v>50000</v>
      </c>
      <c r="J23" s="79">
        <f t="shared" si="3"/>
        <v>350000</v>
      </c>
      <c r="K23" s="9">
        <v>50000</v>
      </c>
      <c r="L23" s="10">
        <v>0</v>
      </c>
      <c r="M23" s="41">
        <f t="shared" si="4"/>
        <v>50000</v>
      </c>
      <c r="N23" s="41">
        <f t="shared" si="5"/>
        <v>400000</v>
      </c>
    </row>
    <row r="24" spans="1:14">
      <c r="A24" s="1" t="s">
        <v>3</v>
      </c>
      <c r="B24" s="29" t="s">
        <v>42</v>
      </c>
      <c r="C24" s="55">
        <v>15000</v>
      </c>
      <c r="D24" s="9">
        <v>0</v>
      </c>
      <c r="E24" s="9">
        <v>15000</v>
      </c>
      <c r="F24" s="9">
        <v>0</v>
      </c>
      <c r="G24" s="9">
        <v>0</v>
      </c>
      <c r="H24" s="9">
        <v>0</v>
      </c>
      <c r="I24" s="67">
        <v>0</v>
      </c>
      <c r="J24" s="79">
        <f t="shared" si="3"/>
        <v>30000</v>
      </c>
      <c r="K24" s="9">
        <v>0</v>
      </c>
      <c r="L24" s="10">
        <v>0</v>
      </c>
      <c r="M24" s="41">
        <f t="shared" si="4"/>
        <v>0</v>
      </c>
      <c r="N24" s="41">
        <f t="shared" si="5"/>
        <v>30000</v>
      </c>
    </row>
    <row r="25" spans="1:14">
      <c r="A25" s="1" t="s">
        <v>3</v>
      </c>
      <c r="B25" s="29" t="s">
        <v>43</v>
      </c>
      <c r="C25" s="55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67">
        <v>0</v>
      </c>
      <c r="J25" s="79">
        <f t="shared" si="3"/>
        <v>0</v>
      </c>
      <c r="K25" s="9">
        <v>0</v>
      </c>
      <c r="L25" s="10">
        <v>94620</v>
      </c>
      <c r="M25" s="41">
        <f t="shared" si="4"/>
        <v>94620</v>
      </c>
      <c r="N25" s="41">
        <f t="shared" si="5"/>
        <v>94620</v>
      </c>
    </row>
    <row r="26" spans="1:14">
      <c r="A26" s="1" t="s">
        <v>3</v>
      </c>
      <c r="B26" s="29" t="s">
        <v>44</v>
      </c>
      <c r="C26" s="55">
        <v>3500</v>
      </c>
      <c r="D26" s="9">
        <v>2000</v>
      </c>
      <c r="E26" s="9">
        <v>3500</v>
      </c>
      <c r="F26" s="9">
        <v>3500</v>
      </c>
      <c r="G26" s="9">
        <v>3500</v>
      </c>
      <c r="H26" s="9">
        <v>0</v>
      </c>
      <c r="I26" s="67">
        <v>0</v>
      </c>
      <c r="J26" s="79">
        <f t="shared" si="3"/>
        <v>16000</v>
      </c>
      <c r="K26" s="9">
        <v>0</v>
      </c>
      <c r="L26" s="10">
        <v>0</v>
      </c>
      <c r="M26" s="41">
        <f t="shared" si="4"/>
        <v>0</v>
      </c>
      <c r="N26" s="41">
        <f t="shared" si="5"/>
        <v>16000</v>
      </c>
    </row>
    <row r="27" spans="1:14">
      <c r="A27" s="1" t="s">
        <v>3</v>
      </c>
      <c r="B27" s="29" t="s">
        <v>45</v>
      </c>
      <c r="C27" s="55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67">
        <v>0</v>
      </c>
      <c r="J27" s="79">
        <f t="shared" si="3"/>
        <v>0</v>
      </c>
      <c r="K27" s="9">
        <v>0</v>
      </c>
      <c r="L27" s="10">
        <v>8715</v>
      </c>
      <c r="M27" s="41">
        <f t="shared" si="4"/>
        <v>8715</v>
      </c>
      <c r="N27" s="41">
        <f t="shared" si="5"/>
        <v>8715</v>
      </c>
    </row>
    <row r="28" spans="1:14">
      <c r="A28" s="1" t="s">
        <v>3</v>
      </c>
      <c r="B28" s="29" t="s">
        <v>46</v>
      </c>
      <c r="C28" s="55">
        <v>10500</v>
      </c>
      <c r="D28" s="9">
        <v>13500</v>
      </c>
      <c r="E28" s="9">
        <v>13000</v>
      </c>
      <c r="F28" s="9">
        <v>13000</v>
      </c>
      <c r="G28" s="9">
        <v>13000</v>
      </c>
      <c r="H28" s="9">
        <v>8000</v>
      </c>
      <c r="I28" s="67">
        <v>8000</v>
      </c>
      <c r="J28" s="79">
        <f t="shared" si="3"/>
        <v>79000</v>
      </c>
      <c r="K28" s="9">
        <v>0</v>
      </c>
      <c r="L28" s="10">
        <v>0</v>
      </c>
      <c r="M28" s="41">
        <f t="shared" si="4"/>
        <v>0</v>
      </c>
      <c r="N28" s="41">
        <f t="shared" si="5"/>
        <v>79000</v>
      </c>
    </row>
    <row r="29" spans="1:14">
      <c r="A29" s="1" t="s">
        <v>3</v>
      </c>
      <c r="B29" s="29" t="s">
        <v>32</v>
      </c>
      <c r="C29" s="55">
        <v>75658</v>
      </c>
      <c r="D29" s="9">
        <v>45195</v>
      </c>
      <c r="E29" s="9">
        <v>72540</v>
      </c>
      <c r="F29" s="9">
        <v>68820</v>
      </c>
      <c r="G29" s="9">
        <v>60256</v>
      </c>
      <c r="H29" s="9">
        <v>57552</v>
      </c>
      <c r="I29" s="67">
        <v>17440</v>
      </c>
      <c r="J29" s="79">
        <f t="shared" si="3"/>
        <v>397461</v>
      </c>
      <c r="K29" s="9">
        <v>0</v>
      </c>
      <c r="L29" s="10">
        <v>0</v>
      </c>
      <c r="M29" s="41">
        <f t="shared" si="4"/>
        <v>0</v>
      </c>
      <c r="N29" s="41">
        <f t="shared" si="5"/>
        <v>397461</v>
      </c>
    </row>
    <row r="30" spans="1:14">
      <c r="A30" s="1" t="s">
        <v>3</v>
      </c>
      <c r="B30" s="29" t="s">
        <v>47</v>
      </c>
      <c r="C30" s="55">
        <v>0</v>
      </c>
      <c r="D30" s="9">
        <v>40318</v>
      </c>
      <c r="E30" s="9">
        <v>14063</v>
      </c>
      <c r="F30" s="9">
        <v>32144</v>
      </c>
      <c r="G30" s="9">
        <v>38627</v>
      </c>
      <c r="H30" s="9">
        <v>18830</v>
      </c>
      <c r="I30" s="67">
        <v>0</v>
      </c>
      <c r="J30" s="79">
        <f t="shared" si="3"/>
        <v>143982</v>
      </c>
      <c r="K30" s="9">
        <v>0</v>
      </c>
      <c r="L30" s="10">
        <v>0</v>
      </c>
      <c r="M30" s="41">
        <f t="shared" si="4"/>
        <v>0</v>
      </c>
      <c r="N30" s="41">
        <f t="shared" si="5"/>
        <v>143982</v>
      </c>
    </row>
    <row r="31" spans="1:14">
      <c r="A31" s="1" t="s">
        <v>3</v>
      </c>
      <c r="B31" s="29" t="s">
        <v>48</v>
      </c>
      <c r="C31" s="55">
        <v>0</v>
      </c>
      <c r="D31" s="9">
        <v>12732</v>
      </c>
      <c r="E31" s="9">
        <v>0</v>
      </c>
      <c r="F31" s="9">
        <v>0</v>
      </c>
      <c r="G31" s="9">
        <v>18297</v>
      </c>
      <c r="H31" s="9">
        <v>0</v>
      </c>
      <c r="I31" s="67">
        <v>0</v>
      </c>
      <c r="J31" s="79">
        <f t="shared" si="3"/>
        <v>31029</v>
      </c>
      <c r="K31" s="9">
        <v>0</v>
      </c>
      <c r="L31" s="10">
        <v>0</v>
      </c>
      <c r="M31" s="41">
        <f t="shared" si="4"/>
        <v>0</v>
      </c>
      <c r="N31" s="41">
        <f t="shared" si="5"/>
        <v>31029</v>
      </c>
    </row>
    <row r="32" spans="1:14">
      <c r="A32" s="1" t="s">
        <v>3</v>
      </c>
      <c r="B32" s="31" t="s">
        <v>36</v>
      </c>
      <c r="C32" s="56">
        <v>796</v>
      </c>
      <c r="D32" s="21">
        <v>1179</v>
      </c>
      <c r="E32" s="21">
        <v>1116</v>
      </c>
      <c r="F32" s="21">
        <v>1488</v>
      </c>
      <c r="G32" s="21">
        <v>3770</v>
      </c>
      <c r="H32" s="21">
        <v>1396</v>
      </c>
      <c r="I32" s="68">
        <v>698</v>
      </c>
      <c r="J32" s="80">
        <f t="shared" si="3"/>
        <v>10443</v>
      </c>
      <c r="K32" s="21">
        <v>0</v>
      </c>
      <c r="L32" s="22">
        <v>0</v>
      </c>
      <c r="M32" s="42">
        <f t="shared" si="4"/>
        <v>0</v>
      </c>
      <c r="N32" s="42">
        <f t="shared" si="5"/>
        <v>10443</v>
      </c>
    </row>
    <row r="33" spans="1:14">
      <c r="A33" s="1" t="s">
        <v>3</v>
      </c>
      <c r="B33" s="32" t="s">
        <v>49</v>
      </c>
      <c r="C33" s="57">
        <v>357454</v>
      </c>
      <c r="D33" s="23">
        <v>361924</v>
      </c>
      <c r="E33" s="23">
        <v>351219</v>
      </c>
      <c r="F33" s="23">
        <v>350952</v>
      </c>
      <c r="G33" s="23">
        <v>372450</v>
      </c>
      <c r="H33" s="23">
        <v>310778</v>
      </c>
      <c r="I33" s="69">
        <v>251138</v>
      </c>
      <c r="J33" s="81">
        <f t="shared" si="3"/>
        <v>2355915</v>
      </c>
      <c r="K33" s="23">
        <v>420000</v>
      </c>
      <c r="L33" s="24">
        <v>103335</v>
      </c>
      <c r="M33" s="43">
        <f t="shared" si="4"/>
        <v>523335</v>
      </c>
      <c r="N33" s="43">
        <f t="shared" si="5"/>
        <v>2879250</v>
      </c>
    </row>
    <row r="34" spans="1:14">
      <c r="A34" s="1" t="s">
        <v>3</v>
      </c>
      <c r="B34" s="32" t="s">
        <v>50</v>
      </c>
      <c r="C34" s="57">
        <v>5696</v>
      </c>
      <c r="D34" s="23">
        <v>9227</v>
      </c>
      <c r="E34" s="23">
        <v>5685</v>
      </c>
      <c r="F34" s="23">
        <v>4747</v>
      </c>
      <c r="G34" s="23">
        <v>6781</v>
      </c>
      <c r="H34" s="23">
        <v>7909</v>
      </c>
      <c r="I34" s="69">
        <v>1899</v>
      </c>
      <c r="J34" s="81">
        <f t="shared" si="3"/>
        <v>41944</v>
      </c>
      <c r="K34" s="23">
        <v>14972</v>
      </c>
      <c r="L34" s="24">
        <v>4890</v>
      </c>
      <c r="M34" s="43">
        <f t="shared" si="4"/>
        <v>19862</v>
      </c>
      <c r="N34" s="43">
        <f t="shared" si="5"/>
        <v>61806</v>
      </c>
    </row>
    <row r="35" spans="1:14">
      <c r="A35" s="1" t="s">
        <v>3</v>
      </c>
      <c r="B35" s="32" t="s">
        <v>51</v>
      </c>
      <c r="C35" s="57">
        <v>5696</v>
      </c>
      <c r="D35" s="23">
        <v>9227</v>
      </c>
      <c r="E35" s="23">
        <v>5685</v>
      </c>
      <c r="F35" s="23">
        <v>4747</v>
      </c>
      <c r="G35" s="23">
        <v>6781</v>
      </c>
      <c r="H35" s="23">
        <v>7909</v>
      </c>
      <c r="I35" s="69">
        <v>1899</v>
      </c>
      <c r="J35" s="81">
        <f t="shared" si="3"/>
        <v>41944</v>
      </c>
      <c r="K35" s="23">
        <v>14972</v>
      </c>
      <c r="L35" s="24">
        <v>4890</v>
      </c>
      <c r="M35" s="43">
        <f t="shared" si="4"/>
        <v>19862</v>
      </c>
      <c r="N35" s="43">
        <f t="shared" si="5"/>
        <v>61806</v>
      </c>
    </row>
    <row r="36" spans="1:14">
      <c r="A36" s="1" t="s">
        <v>3</v>
      </c>
      <c r="B36" s="32" t="s">
        <v>52</v>
      </c>
      <c r="C36" s="57">
        <v>363150</v>
      </c>
      <c r="D36" s="23">
        <v>371151</v>
      </c>
      <c r="E36" s="23">
        <v>356904</v>
      </c>
      <c r="F36" s="23">
        <v>355699</v>
      </c>
      <c r="G36" s="23">
        <v>379231</v>
      </c>
      <c r="H36" s="23">
        <v>318687</v>
      </c>
      <c r="I36" s="69">
        <v>253037</v>
      </c>
      <c r="J36" s="81">
        <f t="shared" si="3"/>
        <v>2397859</v>
      </c>
      <c r="K36" s="23">
        <v>434972</v>
      </c>
      <c r="L36" s="24">
        <v>108225</v>
      </c>
      <c r="M36" s="43">
        <f t="shared" si="4"/>
        <v>543197</v>
      </c>
      <c r="N36" s="43">
        <f t="shared" si="5"/>
        <v>2941056</v>
      </c>
    </row>
    <row r="37" spans="1:14">
      <c r="A37" s="1" t="s">
        <v>3</v>
      </c>
      <c r="B37" s="28" t="s">
        <v>53</v>
      </c>
      <c r="C37" s="54">
        <v>18360</v>
      </c>
      <c r="D37" s="17">
        <v>19380</v>
      </c>
      <c r="E37" s="17">
        <v>19380</v>
      </c>
      <c r="F37" s="17">
        <v>19380</v>
      </c>
      <c r="G37" s="17">
        <v>19380</v>
      </c>
      <c r="H37" s="17">
        <v>15300</v>
      </c>
      <c r="I37" s="66">
        <v>15300</v>
      </c>
      <c r="J37" s="78">
        <f t="shared" si="3"/>
        <v>126480</v>
      </c>
      <c r="K37" s="17">
        <v>20910</v>
      </c>
      <c r="L37" s="18">
        <v>0</v>
      </c>
      <c r="M37" s="40">
        <f t="shared" si="4"/>
        <v>20910</v>
      </c>
      <c r="N37" s="40">
        <f t="shared" si="5"/>
        <v>147390</v>
      </c>
    </row>
    <row r="38" spans="1:14">
      <c r="A38" s="1" t="s">
        <v>3</v>
      </c>
      <c r="B38" s="29" t="s">
        <v>54</v>
      </c>
      <c r="C38" s="55">
        <v>3240</v>
      </c>
      <c r="D38" s="9">
        <v>3420</v>
      </c>
      <c r="E38" s="9">
        <v>3420</v>
      </c>
      <c r="F38" s="9">
        <v>3420</v>
      </c>
      <c r="G38" s="9">
        <v>3420</v>
      </c>
      <c r="H38" s="9">
        <v>2700</v>
      </c>
      <c r="I38" s="67">
        <v>2700</v>
      </c>
      <c r="J38" s="79">
        <f t="shared" si="3"/>
        <v>22320</v>
      </c>
      <c r="K38" s="9">
        <v>3690</v>
      </c>
      <c r="L38" s="10">
        <v>0</v>
      </c>
      <c r="M38" s="41">
        <f t="shared" si="4"/>
        <v>3690</v>
      </c>
      <c r="N38" s="41">
        <f t="shared" si="5"/>
        <v>26010</v>
      </c>
    </row>
    <row r="39" spans="1:14">
      <c r="A39" s="1" t="s">
        <v>3</v>
      </c>
      <c r="B39" s="29" t="s">
        <v>55</v>
      </c>
      <c r="C39" s="55">
        <v>32940</v>
      </c>
      <c r="D39" s="9">
        <v>34770</v>
      </c>
      <c r="E39" s="9">
        <v>34770</v>
      </c>
      <c r="F39" s="9">
        <v>34770</v>
      </c>
      <c r="G39" s="9">
        <v>34770</v>
      </c>
      <c r="H39" s="9">
        <v>27450</v>
      </c>
      <c r="I39" s="67">
        <v>27450</v>
      </c>
      <c r="J39" s="79">
        <f t="shared" si="3"/>
        <v>226920</v>
      </c>
      <c r="K39" s="9">
        <v>37515</v>
      </c>
      <c r="L39" s="10">
        <v>0</v>
      </c>
      <c r="M39" s="41">
        <f t="shared" si="4"/>
        <v>37515</v>
      </c>
      <c r="N39" s="41">
        <f t="shared" si="5"/>
        <v>264435</v>
      </c>
    </row>
    <row r="40" spans="1:14">
      <c r="A40" s="1" t="s">
        <v>3</v>
      </c>
      <c r="B40" s="31" t="s">
        <v>56</v>
      </c>
      <c r="C40" s="56">
        <v>1997</v>
      </c>
      <c r="D40" s="21">
        <v>2041</v>
      </c>
      <c r="E40" s="21">
        <v>1963</v>
      </c>
      <c r="F40" s="21">
        <v>1956</v>
      </c>
      <c r="G40" s="21">
        <v>2086</v>
      </c>
      <c r="H40" s="21">
        <v>1753</v>
      </c>
      <c r="I40" s="68">
        <v>1392</v>
      </c>
      <c r="J40" s="80">
        <f t="shared" si="3"/>
        <v>13188</v>
      </c>
      <c r="K40" s="21">
        <v>2392</v>
      </c>
      <c r="L40" s="22">
        <v>595</v>
      </c>
      <c r="M40" s="42">
        <f t="shared" si="4"/>
        <v>2987</v>
      </c>
      <c r="N40" s="42">
        <f t="shared" si="5"/>
        <v>16175</v>
      </c>
    </row>
    <row r="41" spans="1:14">
      <c r="A41" s="1" t="s">
        <v>3</v>
      </c>
      <c r="B41" s="32" t="s">
        <v>57</v>
      </c>
      <c r="C41" s="57">
        <v>56537</v>
      </c>
      <c r="D41" s="23">
        <v>59611</v>
      </c>
      <c r="E41" s="23">
        <v>59533</v>
      </c>
      <c r="F41" s="23">
        <v>59526</v>
      </c>
      <c r="G41" s="23">
        <v>59656</v>
      </c>
      <c r="H41" s="23">
        <v>47203</v>
      </c>
      <c r="I41" s="69">
        <v>46842</v>
      </c>
      <c r="J41" s="81">
        <f t="shared" si="3"/>
        <v>388908</v>
      </c>
      <c r="K41" s="23">
        <v>64507</v>
      </c>
      <c r="L41" s="24">
        <v>595</v>
      </c>
      <c r="M41" s="43">
        <f t="shared" si="4"/>
        <v>65102</v>
      </c>
      <c r="N41" s="43">
        <f t="shared" si="5"/>
        <v>454010</v>
      </c>
    </row>
    <row r="42" spans="1:14">
      <c r="A42" s="1" t="s">
        <v>3</v>
      </c>
      <c r="B42" s="28" t="s">
        <v>58</v>
      </c>
      <c r="C42" s="54">
        <v>8460</v>
      </c>
      <c r="D42" s="17">
        <v>6820</v>
      </c>
      <c r="E42" s="17">
        <v>4810</v>
      </c>
      <c r="F42" s="17">
        <v>8030</v>
      </c>
      <c r="G42" s="17">
        <v>5630</v>
      </c>
      <c r="H42" s="17">
        <v>7040</v>
      </c>
      <c r="I42" s="66">
        <v>4920</v>
      </c>
      <c r="J42" s="78">
        <f t="shared" si="3"/>
        <v>45710</v>
      </c>
      <c r="K42" s="17">
        <v>7370</v>
      </c>
      <c r="L42" s="18">
        <v>860</v>
      </c>
      <c r="M42" s="40">
        <f t="shared" si="4"/>
        <v>8230</v>
      </c>
      <c r="N42" s="40">
        <f t="shared" si="5"/>
        <v>53940</v>
      </c>
    </row>
    <row r="43" spans="1:14">
      <c r="A43" s="1" t="s">
        <v>3</v>
      </c>
      <c r="B43" s="31" t="s">
        <v>59</v>
      </c>
      <c r="C43" s="56">
        <v>17400</v>
      </c>
      <c r="D43" s="21">
        <v>15200</v>
      </c>
      <c r="E43" s="21">
        <v>9700</v>
      </c>
      <c r="F43" s="21">
        <v>16400</v>
      </c>
      <c r="G43" s="21">
        <v>2700</v>
      </c>
      <c r="H43" s="21">
        <v>0</v>
      </c>
      <c r="I43" s="68">
        <v>0</v>
      </c>
      <c r="J43" s="80">
        <f t="shared" si="3"/>
        <v>61400</v>
      </c>
      <c r="K43" s="21">
        <v>23100</v>
      </c>
      <c r="L43" s="22">
        <v>1200</v>
      </c>
      <c r="M43" s="42">
        <f t="shared" si="4"/>
        <v>24300</v>
      </c>
      <c r="N43" s="42">
        <f t="shared" si="5"/>
        <v>85700</v>
      </c>
    </row>
    <row r="44" spans="1:14">
      <c r="A44" s="1" t="s">
        <v>3</v>
      </c>
      <c r="B44" s="32" t="s">
        <v>60</v>
      </c>
      <c r="C44" s="57">
        <v>82397</v>
      </c>
      <c r="D44" s="23">
        <v>81631</v>
      </c>
      <c r="E44" s="23">
        <v>74043</v>
      </c>
      <c r="F44" s="23">
        <v>83956</v>
      </c>
      <c r="G44" s="23">
        <v>67986</v>
      </c>
      <c r="H44" s="23">
        <v>54243</v>
      </c>
      <c r="I44" s="69">
        <v>51762</v>
      </c>
      <c r="J44" s="81">
        <f t="shared" si="3"/>
        <v>496018</v>
      </c>
      <c r="K44" s="23">
        <v>94977</v>
      </c>
      <c r="L44" s="24">
        <v>2655</v>
      </c>
      <c r="M44" s="43">
        <f t="shared" si="4"/>
        <v>97632</v>
      </c>
      <c r="N44" s="43">
        <f t="shared" si="5"/>
        <v>593650</v>
      </c>
    </row>
    <row r="45" spans="1:14">
      <c r="A45" s="1" t="s">
        <v>3</v>
      </c>
      <c r="B45" s="32" t="s">
        <v>61</v>
      </c>
      <c r="C45" s="57">
        <v>300917</v>
      </c>
      <c r="D45" s="23">
        <v>302313</v>
      </c>
      <c r="E45" s="23">
        <v>291686</v>
      </c>
      <c r="F45" s="23">
        <v>291426</v>
      </c>
      <c r="G45" s="23">
        <v>312794</v>
      </c>
      <c r="H45" s="23">
        <v>263575</v>
      </c>
      <c r="I45" s="69">
        <v>204296</v>
      </c>
      <c r="J45" s="81">
        <f t="shared" si="3"/>
        <v>1967007</v>
      </c>
      <c r="K45" s="23">
        <v>355493</v>
      </c>
      <c r="L45" s="24">
        <v>102740</v>
      </c>
      <c r="M45" s="43">
        <f t="shared" si="4"/>
        <v>458233</v>
      </c>
      <c r="N45" s="43">
        <f t="shared" si="5"/>
        <v>2425240</v>
      </c>
    </row>
    <row r="46" spans="1:14">
      <c r="A46" s="1" t="s">
        <v>3</v>
      </c>
      <c r="B46" s="32" t="s">
        <v>62</v>
      </c>
      <c r="C46" s="57">
        <v>280753</v>
      </c>
      <c r="D46" s="23">
        <v>289520</v>
      </c>
      <c r="E46" s="23">
        <v>282861</v>
      </c>
      <c r="F46" s="23">
        <v>271743</v>
      </c>
      <c r="G46" s="23">
        <v>311245</v>
      </c>
      <c r="H46" s="23">
        <v>264444</v>
      </c>
      <c r="I46" s="69">
        <v>201275</v>
      </c>
      <c r="J46" s="81">
        <f t="shared" si="3"/>
        <v>1901841</v>
      </c>
      <c r="K46" s="23">
        <v>339995</v>
      </c>
      <c r="L46" s="24">
        <v>105570</v>
      </c>
      <c r="M46" s="43">
        <f t="shared" si="4"/>
        <v>445565</v>
      </c>
      <c r="N46" s="43">
        <f t="shared" si="5"/>
        <v>2347406</v>
      </c>
    </row>
    <row r="47" spans="1:14">
      <c r="A47" s="1" t="s">
        <v>3</v>
      </c>
      <c r="B47" s="32" t="s">
        <v>63</v>
      </c>
      <c r="C47" s="57">
        <v>280753</v>
      </c>
      <c r="D47" s="23">
        <v>289520</v>
      </c>
      <c r="E47" s="23">
        <v>282861</v>
      </c>
      <c r="F47" s="23">
        <v>271743</v>
      </c>
      <c r="G47" s="23">
        <v>311245</v>
      </c>
      <c r="H47" s="23">
        <v>264444</v>
      </c>
      <c r="I47" s="69">
        <v>201275</v>
      </c>
      <c r="J47" s="81">
        <f t="shared" si="3"/>
        <v>1901841</v>
      </c>
      <c r="K47" s="23">
        <v>339995</v>
      </c>
      <c r="L47" s="24">
        <v>105570</v>
      </c>
      <c r="M47" s="43">
        <f t="shared" si="4"/>
        <v>445565</v>
      </c>
      <c r="N47" s="43">
        <f t="shared" si="5"/>
        <v>2347406</v>
      </c>
    </row>
    <row r="48" spans="1:14">
      <c r="A48" s="1" t="s">
        <v>3</v>
      </c>
      <c r="B48" s="28" t="s">
        <v>64</v>
      </c>
      <c r="C48" s="54">
        <v>0</v>
      </c>
      <c r="D48" s="17">
        <v>1</v>
      </c>
      <c r="E48" s="17">
        <v>2</v>
      </c>
      <c r="F48" s="17">
        <v>0</v>
      </c>
      <c r="G48" s="17">
        <v>2</v>
      </c>
      <c r="H48" s="17">
        <v>0</v>
      </c>
      <c r="I48" s="66">
        <v>0</v>
      </c>
      <c r="J48" s="78"/>
      <c r="K48" s="17">
        <v>2</v>
      </c>
      <c r="L48" s="18">
        <v>0</v>
      </c>
      <c r="M48" s="40"/>
      <c r="N48" s="40"/>
    </row>
    <row r="49" spans="1:14">
      <c r="A49" s="1" t="s">
        <v>3</v>
      </c>
      <c r="B49" s="29" t="s">
        <v>65</v>
      </c>
      <c r="C49" s="58" t="s">
        <v>66</v>
      </c>
      <c r="D49" s="11" t="s">
        <v>66</v>
      </c>
      <c r="E49" s="11" t="s">
        <v>66</v>
      </c>
      <c r="F49" s="11" t="s">
        <v>66</v>
      </c>
      <c r="G49" s="11" t="s">
        <v>66</v>
      </c>
      <c r="H49" s="11" t="s">
        <v>66</v>
      </c>
      <c r="I49" s="70" t="s">
        <v>66</v>
      </c>
      <c r="J49" s="82"/>
      <c r="K49" s="11" t="s">
        <v>66</v>
      </c>
      <c r="L49" s="12" t="s">
        <v>66</v>
      </c>
      <c r="M49" s="44"/>
      <c r="N49" s="44"/>
    </row>
    <row r="50" spans="1:14" ht="19.5" thickBot="1">
      <c r="A50" s="1" t="s">
        <v>3</v>
      </c>
      <c r="B50" s="33" t="s">
        <v>67</v>
      </c>
      <c r="C50" s="59">
        <v>8460</v>
      </c>
      <c r="D50" s="13">
        <v>6820</v>
      </c>
      <c r="E50" s="13">
        <v>4810</v>
      </c>
      <c r="F50" s="13">
        <v>8030</v>
      </c>
      <c r="G50" s="13">
        <v>5630</v>
      </c>
      <c r="H50" s="13">
        <v>7040</v>
      </c>
      <c r="I50" s="71">
        <v>4920</v>
      </c>
      <c r="J50" s="83">
        <f>SUM(C50:I50)</f>
        <v>45710</v>
      </c>
      <c r="K50" s="13">
        <v>7370</v>
      </c>
      <c r="L50" s="14">
        <v>860</v>
      </c>
      <c r="M50" s="45">
        <f>SUM(K50:L50)</f>
        <v>8230</v>
      </c>
      <c r="N50" s="45">
        <f>J50+M50</f>
        <v>53940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asada@waka-trans.com</dc:creator>
  <cp:keywords/>
  <dc:description/>
  <cp:lastModifiedBy>若林孝次郎</cp:lastModifiedBy>
  <cp:revision/>
  <dcterms:created xsi:type="dcterms:W3CDTF">2025-08-12T01:47:41Z</dcterms:created>
  <dcterms:modified xsi:type="dcterms:W3CDTF">2025-09-02T06:59:01Z</dcterms:modified>
  <cp:category/>
  <cp:contentStatus/>
</cp:coreProperties>
</file>