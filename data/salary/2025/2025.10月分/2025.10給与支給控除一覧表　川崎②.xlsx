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da\若林運送 Dropbox\浅田恵美子\総務・経理\01給与\02給与集計内訳\2025\2025.10月分\"/>
    </mc:Choice>
  </mc:AlternateContent>
  <xr:revisionPtr revIDLastSave="0" documentId="8_{9BC15C52-572C-45F7-98FA-DBFA3B7E3E32}" xr6:coauthVersionLast="47" xr6:coauthVersionMax="47" xr10:uidLastSave="{00000000-0000-0000-0000-000000000000}"/>
  <bookViews>
    <workbookView xWindow="-120" yWindow="-120" windowWidth="20730" windowHeight="11160" xr2:uid="{D7C03F9D-5B7C-4100-8A1A-7CDE4B9C28BE}"/>
  </bookViews>
  <sheets>
    <sheet name="2025年10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4" i="2" l="1"/>
  <c r="I44" i="2" s="1"/>
  <c r="H41" i="2"/>
  <c r="I41" i="2" s="1"/>
  <c r="H40" i="2"/>
  <c r="I40" i="2" s="1"/>
  <c r="H39" i="2"/>
  <c r="I39" i="2" s="1"/>
  <c r="H38" i="2"/>
  <c r="I38" i="2" s="1"/>
  <c r="H37" i="2"/>
  <c r="I37" i="2" s="1"/>
  <c r="H36" i="2"/>
  <c r="I36" i="2" s="1"/>
  <c r="H35" i="2"/>
  <c r="I35" i="2" s="1"/>
  <c r="H34" i="2"/>
  <c r="I34" i="2" s="1"/>
  <c r="H33" i="2"/>
  <c r="I33" i="2" s="1"/>
  <c r="H32" i="2"/>
  <c r="I32" i="2" s="1"/>
  <c r="H31" i="2"/>
  <c r="I31" i="2" s="1"/>
  <c r="H30" i="2"/>
  <c r="I30" i="2" s="1"/>
  <c r="H29" i="2"/>
  <c r="I29" i="2" s="1"/>
  <c r="H28" i="2"/>
  <c r="I28" i="2" s="1"/>
  <c r="H27" i="2"/>
  <c r="I27" i="2" s="1"/>
  <c r="H26" i="2"/>
  <c r="I26" i="2" s="1"/>
  <c r="H25" i="2"/>
  <c r="I25" i="2" s="1"/>
  <c r="H24" i="2"/>
  <c r="I24" i="2" s="1"/>
  <c r="H23" i="2"/>
  <c r="I23" i="2" s="1"/>
  <c r="H22" i="2"/>
  <c r="I22" i="2" s="1"/>
  <c r="H21" i="2"/>
  <c r="I21" i="2" s="1"/>
  <c r="H20" i="2"/>
  <c r="I20" i="2" s="1"/>
  <c r="H19" i="2"/>
  <c r="I19" i="2" s="1"/>
  <c r="H18" i="2"/>
  <c r="I18" i="2" s="1"/>
  <c r="H17" i="2"/>
  <c r="I17" i="2" s="1"/>
  <c r="H16" i="2"/>
  <c r="I16" i="2" s="1"/>
  <c r="H14" i="2"/>
  <c r="I14" i="2" s="1"/>
  <c r="H13" i="2"/>
  <c r="I13" i="2" s="1"/>
  <c r="H12" i="2"/>
  <c r="I12" i="2" s="1"/>
  <c r="H11" i="2"/>
  <c r="I11" i="2" s="1"/>
  <c r="H10" i="2"/>
  <c r="I10" i="2" s="1"/>
  <c r="I9" i="2"/>
  <c r="H9" i="2"/>
  <c r="F44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4" i="2"/>
  <c r="F13" i="2"/>
  <c r="F12" i="2"/>
  <c r="F11" i="2"/>
  <c r="F10" i="2"/>
  <c r="F9" i="2"/>
</calcChain>
</file>

<file path=xl/sharedStrings.xml><?xml version="1.0" encoding="utf-8"?>
<sst xmlns="http://schemas.openxmlformats.org/spreadsheetml/2006/main" count="96" uniqueCount="54">
  <si>
    <t>支給控除一覧表</t>
    <phoneticPr fontId="4"/>
  </si>
  <si>
    <t>若林運送株式会社</t>
    <phoneticPr fontId="4"/>
  </si>
  <si>
    <t>2025年11月10日 作成</t>
    <phoneticPr fontId="4"/>
  </si>
  <si>
    <t/>
  </si>
  <si>
    <t>1049</t>
    <phoneticPr fontId="4"/>
  </si>
  <si>
    <t>1050</t>
    <phoneticPr fontId="4"/>
  </si>
  <si>
    <t>1078</t>
    <phoneticPr fontId="4"/>
  </si>
  <si>
    <t>1114</t>
    <phoneticPr fontId="4"/>
  </si>
  <si>
    <t>項目名</t>
    <phoneticPr fontId="4"/>
  </si>
  <si>
    <t>菅原　幸志</t>
    <phoneticPr fontId="4"/>
  </si>
  <si>
    <t>伊藤　正典</t>
    <phoneticPr fontId="4"/>
  </si>
  <si>
    <t>伊藤　尚</t>
    <phoneticPr fontId="4"/>
  </si>
  <si>
    <t>吉田　亨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</si>
  <si>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</si>
  <si>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</si>
  <si>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</si>
  <si>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</si>
  <si>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</si>
  <si>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</si>
  <si>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</si>
  <si>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</si>
  <si>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</si>
  <si>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</si>
  <si>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</si>
  <si>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</si>
  <si>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</si>
  <si>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</si>
  <si>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</si>
  <si>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</si>
  <si>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</si>
  <si>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</si>
  <si>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</si>
  <si>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</si>
  <si>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</si>
  <si>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</si>
  <si>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</si>
  <si>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</si>
  <si>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</si>
  <si>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</si>
  <si>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</si>
  <si>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</si>
  <si>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</si>
  <si>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</si>
  <si>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</si>
  <si>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</si>
  <si>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</si>
  <si>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</si>
  <si>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</si>
  <si>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</si>
  <si>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2025年10月度給与</t>
    <phoneticPr fontId="4"/>
  </si>
  <si>
    <t>小計</t>
    <rPh sb="0" eb="2">
      <t>ショウケイ</t>
    </rPh>
    <phoneticPr fontId="3"/>
  </si>
  <si>
    <t>3名</t>
    <rPh sb="1" eb="2">
      <t>メイ</t>
    </rPh>
    <phoneticPr fontId="4"/>
  </si>
  <si>
    <t>1名</t>
    <rPh sb="1" eb="2">
      <t>メイ</t>
    </rPh>
    <phoneticPr fontId="4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</si>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</sst>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5" xfId="1" applyNumberFormat="1" applyFont="1" applyBorder="1"/>
    <xf numFmtId="3" fontId="2" fillId="0" borderId="7" xfId="1" applyNumberFormat="1" applyFont="1" applyBorder="1"/>
    <xf numFmtId="0" fontId="2" fillId="0" borderId="8" xfId="1" applyFont="1" applyBorder="1" applyAlignment="1">
      <alignment horizontal="center"/>
    </xf>
    <xf numFmtId="49" fontId="2" fillId="0" borderId="9" xfId="1" applyNumberFormat="1" applyFont="1" applyBorder="1" applyAlignment="1">
      <alignment horizontal="left"/>
    </xf>
    <xf numFmtId="49" fontId="2" fillId="0" borderId="10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2" fontId="2" fillId="0" borderId="4" xfId="1" applyNumberFormat="1" applyFont="1" applyBorder="1"/>
    <xf numFmtId="176" fontId="2" fillId="0" borderId="4" xfId="1" applyNumberFormat="1" applyFont="1" applyBorder="1"/>
    <xf numFmtId="3" fontId="2" fillId="0" borderId="4" xfId="1" applyNumberFormat="1" applyFont="1" applyBorder="1"/>
    <xf numFmtId="49" fontId="2" fillId="0" borderId="4" xfId="1" applyNumberFormat="1" applyFont="1" applyBorder="1"/>
    <xf numFmtId="3" fontId="2" fillId="0" borderId="6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0" fontId="2" fillId="0" borderId="10" xfId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2" fontId="2" fillId="0" borderId="16" xfId="1" applyNumberFormat="1" applyFont="1" applyBorder="1"/>
    <xf numFmtId="2" fontId="2" fillId="0" borderId="17" xfId="1" applyNumberFormat="1" applyFont="1" applyBorder="1"/>
    <xf numFmtId="176" fontId="2" fillId="0" borderId="17" xfId="1" applyNumberFormat="1" applyFont="1" applyBorder="1"/>
    <xf numFmtId="3" fontId="2" fillId="0" borderId="17" xfId="1" applyNumberFormat="1" applyFont="1" applyBorder="1"/>
    <xf numFmtId="49" fontId="2" fillId="0" borderId="17" xfId="1" applyNumberFormat="1" applyFont="1" applyBorder="1"/>
    <xf numFmtId="3" fontId="2" fillId="0" borderId="15" xfId="1" applyNumberFormat="1" applyFont="1" applyBorder="1"/>
    <xf numFmtId="0" fontId="2" fillId="0" borderId="19" xfId="1" applyFont="1" applyBorder="1" applyAlignment="1">
      <alignment horizontal="center"/>
    </xf>
    <xf numFmtId="2" fontId="2" fillId="0" borderId="20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1" xfId="1" applyNumberFormat="1" applyFont="1" applyBorder="1"/>
    <xf numFmtId="3" fontId="2" fillId="0" borderId="19" xfId="1" applyNumberFormat="1" applyFont="1" applyBorder="1"/>
    <xf numFmtId="49" fontId="2" fillId="0" borderId="22" xfId="1" applyNumberFormat="1" applyFont="1" applyBorder="1" applyAlignment="1">
      <alignment horizontal="center"/>
    </xf>
    <xf numFmtId="49" fontId="2" fillId="0" borderId="23" xfId="1" applyNumberFormat="1" applyFont="1" applyBorder="1" applyAlignment="1">
      <alignment horizontal="center"/>
    </xf>
    <xf numFmtId="2" fontId="2" fillId="0" borderId="24" xfId="1" applyNumberFormat="1" applyFont="1" applyBorder="1"/>
    <xf numFmtId="2" fontId="2" fillId="0" borderId="25" xfId="1" applyNumberFormat="1" applyFont="1" applyBorder="1"/>
    <xf numFmtId="176" fontId="2" fillId="0" borderId="25" xfId="1" applyNumberFormat="1" applyFont="1" applyBorder="1"/>
    <xf numFmtId="3" fontId="2" fillId="0" borderId="25" xfId="1" applyNumberFormat="1" applyFont="1" applyBorder="1"/>
    <xf numFmtId="49" fontId="2" fillId="0" borderId="25" xfId="1" applyNumberFormat="1" applyFont="1" applyBorder="1"/>
    <xf numFmtId="3" fontId="2" fillId="0" borderId="2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6" xfId="1" applyNumberFormat="1" applyFont="1" applyBorder="1"/>
    <xf numFmtId="3" fontId="2" fillId="0" borderId="20" xfId="1" applyNumberFormat="1" applyFont="1" applyBorder="1"/>
    <xf numFmtId="3" fontId="2" fillId="0" borderId="24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6" xfId="1" applyNumberFormat="1" applyFont="1" applyBorder="1"/>
    <xf numFmtId="2" fontId="2" fillId="0" borderId="31" xfId="1" applyNumberFormat="1" applyFont="1" applyBorder="1"/>
    <xf numFmtId="49" fontId="2" fillId="0" borderId="33" xfId="1" applyNumberFormat="1" applyFont="1" applyBorder="1" applyAlignment="1">
      <alignment horizontal="left"/>
    </xf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38" xfId="1" applyNumberFormat="1" applyFont="1" applyBorder="1"/>
    <xf numFmtId="49" fontId="2" fillId="0" borderId="39" xfId="1" applyNumberFormat="1" applyFont="1" applyBorder="1" applyAlignment="1">
      <alignment horizontal="left"/>
    </xf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32" xfId="1" applyNumberFormat="1" applyFont="1" applyBorder="1"/>
    <xf numFmtId="3" fontId="2" fillId="0" borderId="43" xfId="1" applyNumberFormat="1" applyFont="1" applyBorder="1"/>
    <xf numFmtId="0" fontId="2" fillId="0" borderId="18" xfId="1" applyFont="1" applyBorder="1" applyAlignment="1">
      <alignment horizontal="center"/>
    </xf>
  </cellXfs>
  <cellStyles count="2">
    <cellStyle name="標準" xfId="0" builtinId="0"/>
    <cellStyle name="標準 2" xfId="1" xr:uid="{87DF36EC-C2E6-4D15-9A0B-4D0A9BB9DF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A61D-6529-4410-BEF6-3F2C05FDD646}">
  <dimension ref="A1:I44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6" sqref="A6"/>
    </sheetView>
  </sheetViews>
  <sheetFormatPr defaultRowHeight="18.75"/>
  <cols>
    <col min="1" max="1" width="2.375" style="2" customWidth="1"/>
    <col min="2" max="2" width="13.25" style="2" bestFit="1" customWidth="1"/>
    <col min="3" max="4" width="11.125" style="2" bestFit="1" customWidth="1"/>
    <col min="5" max="5" width="9" style="2" bestFit="1" customWidth="1"/>
    <col min="6" max="6" width="9.625" style="2" bestFit="1" customWidth="1"/>
    <col min="7" max="7" width="9" style="2" bestFit="1" customWidth="1"/>
    <col min="8" max="9" width="9.625" style="2" bestFit="1" customWidth="1"/>
    <col min="10" max="258" width="9" style="2"/>
    <col min="259" max="259" width="2.375" style="2" customWidth="1"/>
    <col min="260" max="260" width="13.25" style="2" bestFit="1" customWidth="1"/>
    <col min="261" max="262" width="11.125" style="2" bestFit="1" customWidth="1"/>
    <col min="263" max="264" width="9" style="2" bestFit="1"/>
    <col min="265" max="265" width="9.625" style="2" bestFit="1" customWidth="1"/>
    <col min="266" max="514" width="9" style="2"/>
    <col min="515" max="515" width="2.375" style="2" customWidth="1"/>
    <col min="516" max="516" width="13.25" style="2" bestFit="1" customWidth="1"/>
    <col min="517" max="518" width="11.125" style="2" bestFit="1" customWidth="1"/>
    <col min="519" max="520" width="9" style="2" bestFit="1"/>
    <col min="521" max="521" width="9.625" style="2" bestFit="1" customWidth="1"/>
    <col min="522" max="770" width="9" style="2"/>
    <col min="771" max="771" width="2.375" style="2" customWidth="1"/>
    <col min="772" max="772" width="13.25" style="2" bestFit="1" customWidth="1"/>
    <col min="773" max="774" width="11.125" style="2" bestFit="1" customWidth="1"/>
    <col min="775" max="776" width="9" style="2" bestFit="1"/>
    <col min="777" max="777" width="9.625" style="2" bestFit="1" customWidth="1"/>
    <col min="778" max="1026" width="9" style="2"/>
    <col min="1027" max="1027" width="2.375" style="2" customWidth="1"/>
    <col min="1028" max="1028" width="13.25" style="2" bestFit="1" customWidth="1"/>
    <col min="1029" max="1030" width="11.125" style="2" bestFit="1" customWidth="1"/>
    <col min="1031" max="1032" width="9" style="2" bestFit="1"/>
    <col min="1033" max="1033" width="9.625" style="2" bestFit="1" customWidth="1"/>
    <col min="1034" max="1282" width="9" style="2"/>
    <col min="1283" max="1283" width="2.375" style="2" customWidth="1"/>
    <col min="1284" max="1284" width="13.25" style="2" bestFit="1" customWidth="1"/>
    <col min="1285" max="1286" width="11.125" style="2" bestFit="1" customWidth="1"/>
    <col min="1287" max="1288" width="9" style="2" bestFit="1"/>
    <col min="1289" max="1289" width="9.625" style="2" bestFit="1" customWidth="1"/>
    <col min="1290" max="1538" width="9" style="2"/>
    <col min="1539" max="1539" width="2.375" style="2" customWidth="1"/>
    <col min="1540" max="1540" width="13.25" style="2" bestFit="1" customWidth="1"/>
    <col min="1541" max="1542" width="11.125" style="2" bestFit="1" customWidth="1"/>
    <col min="1543" max="1544" width="9" style="2" bestFit="1"/>
    <col min="1545" max="1545" width="9.625" style="2" bestFit="1" customWidth="1"/>
    <col min="1546" max="1794" width="9" style="2"/>
    <col min="1795" max="1795" width="2.375" style="2" customWidth="1"/>
    <col min="1796" max="1796" width="13.25" style="2" bestFit="1" customWidth="1"/>
    <col min="1797" max="1798" width="11.125" style="2" bestFit="1" customWidth="1"/>
    <col min="1799" max="1800" width="9" style="2" bestFit="1"/>
    <col min="1801" max="1801" width="9.625" style="2" bestFit="1" customWidth="1"/>
    <col min="1802" max="2050" width="9" style="2"/>
    <col min="2051" max="2051" width="2.375" style="2" customWidth="1"/>
    <col min="2052" max="2052" width="13.25" style="2" bestFit="1" customWidth="1"/>
    <col min="2053" max="2054" width="11.125" style="2" bestFit="1" customWidth="1"/>
    <col min="2055" max="2056" width="9" style="2" bestFit="1"/>
    <col min="2057" max="2057" width="9.625" style="2" bestFit="1" customWidth="1"/>
    <col min="2058" max="2306" width="9" style="2"/>
    <col min="2307" max="2307" width="2.375" style="2" customWidth="1"/>
    <col min="2308" max="2308" width="13.25" style="2" bestFit="1" customWidth="1"/>
    <col min="2309" max="2310" width="11.125" style="2" bestFit="1" customWidth="1"/>
    <col min="2311" max="2312" width="9" style="2" bestFit="1"/>
    <col min="2313" max="2313" width="9.625" style="2" bestFit="1" customWidth="1"/>
    <col min="2314" max="2562" width="9" style="2"/>
    <col min="2563" max="2563" width="2.375" style="2" customWidth="1"/>
    <col min="2564" max="2564" width="13.25" style="2" bestFit="1" customWidth="1"/>
    <col min="2565" max="2566" width="11.125" style="2" bestFit="1" customWidth="1"/>
    <col min="2567" max="2568" width="9" style="2" bestFit="1"/>
    <col min="2569" max="2569" width="9.625" style="2" bestFit="1" customWidth="1"/>
    <col min="2570" max="2818" width="9" style="2"/>
    <col min="2819" max="2819" width="2.375" style="2" customWidth="1"/>
    <col min="2820" max="2820" width="13.25" style="2" bestFit="1" customWidth="1"/>
    <col min="2821" max="2822" width="11.125" style="2" bestFit="1" customWidth="1"/>
    <col min="2823" max="2824" width="9" style="2" bestFit="1"/>
    <col min="2825" max="2825" width="9.625" style="2" bestFit="1" customWidth="1"/>
    <col min="2826" max="3074" width="9" style="2"/>
    <col min="3075" max="3075" width="2.375" style="2" customWidth="1"/>
    <col min="3076" max="3076" width="13.25" style="2" bestFit="1" customWidth="1"/>
    <col min="3077" max="3078" width="11.125" style="2" bestFit="1" customWidth="1"/>
    <col min="3079" max="3080" width="9" style="2" bestFit="1"/>
    <col min="3081" max="3081" width="9.625" style="2" bestFit="1" customWidth="1"/>
    <col min="3082" max="3330" width="9" style="2"/>
    <col min="3331" max="3331" width="2.375" style="2" customWidth="1"/>
    <col min="3332" max="3332" width="13.25" style="2" bestFit="1" customWidth="1"/>
    <col min="3333" max="3334" width="11.125" style="2" bestFit="1" customWidth="1"/>
    <col min="3335" max="3336" width="9" style="2" bestFit="1"/>
    <col min="3337" max="3337" width="9.625" style="2" bestFit="1" customWidth="1"/>
    <col min="3338" max="3586" width="9" style="2"/>
    <col min="3587" max="3587" width="2.375" style="2" customWidth="1"/>
    <col min="3588" max="3588" width="13.25" style="2" bestFit="1" customWidth="1"/>
    <col min="3589" max="3590" width="11.125" style="2" bestFit="1" customWidth="1"/>
    <col min="3591" max="3592" width="9" style="2" bestFit="1"/>
    <col min="3593" max="3593" width="9.625" style="2" bestFit="1" customWidth="1"/>
    <col min="3594" max="3842" width="9" style="2"/>
    <col min="3843" max="3843" width="2.375" style="2" customWidth="1"/>
    <col min="3844" max="3844" width="13.25" style="2" bestFit="1" customWidth="1"/>
    <col min="3845" max="3846" width="11.125" style="2" bestFit="1" customWidth="1"/>
    <col min="3847" max="3848" width="9" style="2" bestFit="1"/>
    <col min="3849" max="3849" width="9.625" style="2" bestFit="1" customWidth="1"/>
    <col min="3850" max="4098" width="9" style="2"/>
    <col min="4099" max="4099" width="2.375" style="2" customWidth="1"/>
    <col min="4100" max="4100" width="13.25" style="2" bestFit="1" customWidth="1"/>
    <col min="4101" max="4102" width="11.125" style="2" bestFit="1" customWidth="1"/>
    <col min="4103" max="4104" width="9" style="2" bestFit="1"/>
    <col min="4105" max="4105" width="9.625" style="2" bestFit="1" customWidth="1"/>
    <col min="4106" max="4354" width="9" style="2"/>
    <col min="4355" max="4355" width="2.375" style="2" customWidth="1"/>
    <col min="4356" max="4356" width="13.25" style="2" bestFit="1" customWidth="1"/>
    <col min="4357" max="4358" width="11.125" style="2" bestFit="1" customWidth="1"/>
    <col min="4359" max="4360" width="9" style="2" bestFit="1"/>
    <col min="4361" max="4361" width="9.625" style="2" bestFit="1" customWidth="1"/>
    <col min="4362" max="4610" width="9" style="2"/>
    <col min="4611" max="4611" width="2.375" style="2" customWidth="1"/>
    <col min="4612" max="4612" width="13.25" style="2" bestFit="1" customWidth="1"/>
    <col min="4613" max="4614" width="11.125" style="2" bestFit="1" customWidth="1"/>
    <col min="4615" max="4616" width="9" style="2" bestFit="1"/>
    <col min="4617" max="4617" width="9.625" style="2" bestFit="1" customWidth="1"/>
    <col min="4618" max="4866" width="9" style="2"/>
    <col min="4867" max="4867" width="2.375" style="2" customWidth="1"/>
    <col min="4868" max="4868" width="13.25" style="2" bestFit="1" customWidth="1"/>
    <col min="4869" max="4870" width="11.125" style="2" bestFit="1" customWidth="1"/>
    <col min="4871" max="4872" width="9" style="2" bestFit="1"/>
    <col min="4873" max="4873" width="9.625" style="2" bestFit="1" customWidth="1"/>
    <col min="4874" max="5122" width="9" style="2"/>
    <col min="5123" max="5123" width="2.375" style="2" customWidth="1"/>
    <col min="5124" max="5124" width="13.25" style="2" bestFit="1" customWidth="1"/>
    <col min="5125" max="5126" width="11.125" style="2" bestFit="1" customWidth="1"/>
    <col min="5127" max="5128" width="9" style="2" bestFit="1"/>
    <col min="5129" max="5129" width="9.625" style="2" bestFit="1" customWidth="1"/>
    <col min="5130" max="5378" width="9" style="2"/>
    <col min="5379" max="5379" width="2.375" style="2" customWidth="1"/>
    <col min="5380" max="5380" width="13.25" style="2" bestFit="1" customWidth="1"/>
    <col min="5381" max="5382" width="11.125" style="2" bestFit="1" customWidth="1"/>
    <col min="5383" max="5384" width="9" style="2" bestFit="1"/>
    <col min="5385" max="5385" width="9.625" style="2" bestFit="1" customWidth="1"/>
    <col min="5386" max="5634" width="9" style="2"/>
    <col min="5635" max="5635" width="2.375" style="2" customWidth="1"/>
    <col min="5636" max="5636" width="13.25" style="2" bestFit="1" customWidth="1"/>
    <col min="5637" max="5638" width="11.125" style="2" bestFit="1" customWidth="1"/>
    <col min="5639" max="5640" width="9" style="2" bestFit="1"/>
    <col min="5641" max="5641" width="9.625" style="2" bestFit="1" customWidth="1"/>
    <col min="5642" max="5890" width="9" style="2"/>
    <col min="5891" max="5891" width="2.375" style="2" customWidth="1"/>
    <col min="5892" max="5892" width="13.25" style="2" bestFit="1" customWidth="1"/>
    <col min="5893" max="5894" width="11.125" style="2" bestFit="1" customWidth="1"/>
    <col min="5895" max="5896" width="9" style="2" bestFit="1"/>
    <col min="5897" max="5897" width="9.625" style="2" bestFit="1" customWidth="1"/>
    <col min="5898" max="6146" width="9" style="2"/>
    <col min="6147" max="6147" width="2.375" style="2" customWidth="1"/>
    <col min="6148" max="6148" width="13.25" style="2" bestFit="1" customWidth="1"/>
    <col min="6149" max="6150" width="11.125" style="2" bestFit="1" customWidth="1"/>
    <col min="6151" max="6152" width="9" style="2" bestFit="1"/>
    <col min="6153" max="6153" width="9.625" style="2" bestFit="1" customWidth="1"/>
    <col min="6154" max="6402" width="9" style="2"/>
    <col min="6403" max="6403" width="2.375" style="2" customWidth="1"/>
    <col min="6404" max="6404" width="13.25" style="2" bestFit="1" customWidth="1"/>
    <col min="6405" max="6406" width="11.125" style="2" bestFit="1" customWidth="1"/>
    <col min="6407" max="6408" width="9" style="2" bestFit="1"/>
    <col min="6409" max="6409" width="9.625" style="2" bestFit="1" customWidth="1"/>
    <col min="6410" max="6658" width="9" style="2"/>
    <col min="6659" max="6659" width="2.375" style="2" customWidth="1"/>
    <col min="6660" max="6660" width="13.25" style="2" bestFit="1" customWidth="1"/>
    <col min="6661" max="6662" width="11.125" style="2" bestFit="1" customWidth="1"/>
    <col min="6663" max="6664" width="9" style="2" bestFit="1"/>
    <col min="6665" max="6665" width="9.625" style="2" bestFit="1" customWidth="1"/>
    <col min="6666" max="6914" width="9" style="2"/>
    <col min="6915" max="6915" width="2.375" style="2" customWidth="1"/>
    <col min="6916" max="6916" width="13.25" style="2" bestFit="1" customWidth="1"/>
    <col min="6917" max="6918" width="11.125" style="2" bestFit="1" customWidth="1"/>
    <col min="6919" max="6920" width="9" style="2" bestFit="1"/>
    <col min="6921" max="6921" width="9.625" style="2" bestFit="1" customWidth="1"/>
    <col min="6922" max="7170" width="9" style="2"/>
    <col min="7171" max="7171" width="2.375" style="2" customWidth="1"/>
    <col min="7172" max="7172" width="13.25" style="2" bestFit="1" customWidth="1"/>
    <col min="7173" max="7174" width="11.125" style="2" bestFit="1" customWidth="1"/>
    <col min="7175" max="7176" width="9" style="2" bestFit="1"/>
    <col min="7177" max="7177" width="9.625" style="2" bestFit="1" customWidth="1"/>
    <col min="7178" max="7426" width="9" style="2"/>
    <col min="7427" max="7427" width="2.375" style="2" customWidth="1"/>
    <col min="7428" max="7428" width="13.25" style="2" bestFit="1" customWidth="1"/>
    <col min="7429" max="7430" width="11.125" style="2" bestFit="1" customWidth="1"/>
    <col min="7431" max="7432" width="9" style="2" bestFit="1"/>
    <col min="7433" max="7433" width="9.625" style="2" bestFit="1" customWidth="1"/>
    <col min="7434" max="7682" width="9" style="2"/>
    <col min="7683" max="7683" width="2.375" style="2" customWidth="1"/>
    <col min="7684" max="7684" width="13.25" style="2" bestFit="1" customWidth="1"/>
    <col min="7685" max="7686" width="11.125" style="2" bestFit="1" customWidth="1"/>
    <col min="7687" max="7688" width="9" style="2" bestFit="1"/>
    <col min="7689" max="7689" width="9.625" style="2" bestFit="1" customWidth="1"/>
    <col min="7690" max="7938" width="9" style="2"/>
    <col min="7939" max="7939" width="2.375" style="2" customWidth="1"/>
    <col min="7940" max="7940" width="13.25" style="2" bestFit="1" customWidth="1"/>
    <col min="7941" max="7942" width="11.125" style="2" bestFit="1" customWidth="1"/>
    <col min="7943" max="7944" width="9" style="2" bestFit="1"/>
    <col min="7945" max="7945" width="9.625" style="2" bestFit="1" customWidth="1"/>
    <col min="7946" max="8194" width="9" style="2"/>
    <col min="8195" max="8195" width="2.375" style="2" customWidth="1"/>
    <col min="8196" max="8196" width="13.25" style="2" bestFit="1" customWidth="1"/>
    <col min="8197" max="8198" width="11.125" style="2" bestFit="1" customWidth="1"/>
    <col min="8199" max="8200" width="9" style="2" bestFit="1"/>
    <col min="8201" max="8201" width="9.625" style="2" bestFit="1" customWidth="1"/>
    <col min="8202" max="8450" width="9" style="2"/>
    <col min="8451" max="8451" width="2.375" style="2" customWidth="1"/>
    <col min="8452" max="8452" width="13.25" style="2" bestFit="1" customWidth="1"/>
    <col min="8453" max="8454" width="11.125" style="2" bestFit="1" customWidth="1"/>
    <col min="8455" max="8456" width="9" style="2" bestFit="1"/>
    <col min="8457" max="8457" width="9.625" style="2" bestFit="1" customWidth="1"/>
    <col min="8458" max="8706" width="9" style="2"/>
    <col min="8707" max="8707" width="2.375" style="2" customWidth="1"/>
    <col min="8708" max="8708" width="13.25" style="2" bestFit="1" customWidth="1"/>
    <col min="8709" max="8710" width="11.125" style="2" bestFit="1" customWidth="1"/>
    <col min="8711" max="8712" width="9" style="2" bestFit="1"/>
    <col min="8713" max="8713" width="9.625" style="2" bestFit="1" customWidth="1"/>
    <col min="8714" max="8962" width="9" style="2"/>
    <col min="8963" max="8963" width="2.375" style="2" customWidth="1"/>
    <col min="8964" max="8964" width="13.25" style="2" bestFit="1" customWidth="1"/>
    <col min="8965" max="8966" width="11.125" style="2" bestFit="1" customWidth="1"/>
    <col min="8967" max="8968" width="9" style="2" bestFit="1"/>
    <col min="8969" max="8969" width="9.625" style="2" bestFit="1" customWidth="1"/>
    <col min="8970" max="9218" width="9" style="2"/>
    <col min="9219" max="9219" width="2.375" style="2" customWidth="1"/>
    <col min="9220" max="9220" width="13.25" style="2" bestFit="1" customWidth="1"/>
    <col min="9221" max="9222" width="11.125" style="2" bestFit="1" customWidth="1"/>
    <col min="9223" max="9224" width="9" style="2" bestFit="1"/>
    <col min="9225" max="9225" width="9.625" style="2" bestFit="1" customWidth="1"/>
    <col min="9226" max="9474" width="9" style="2"/>
    <col min="9475" max="9475" width="2.375" style="2" customWidth="1"/>
    <col min="9476" max="9476" width="13.25" style="2" bestFit="1" customWidth="1"/>
    <col min="9477" max="9478" width="11.125" style="2" bestFit="1" customWidth="1"/>
    <col min="9479" max="9480" width="9" style="2" bestFit="1"/>
    <col min="9481" max="9481" width="9.625" style="2" bestFit="1" customWidth="1"/>
    <col min="9482" max="9730" width="9" style="2"/>
    <col min="9731" max="9731" width="2.375" style="2" customWidth="1"/>
    <col min="9732" max="9732" width="13.25" style="2" bestFit="1" customWidth="1"/>
    <col min="9733" max="9734" width="11.125" style="2" bestFit="1" customWidth="1"/>
    <col min="9735" max="9736" width="9" style="2" bestFit="1"/>
    <col min="9737" max="9737" width="9.625" style="2" bestFit="1" customWidth="1"/>
    <col min="9738" max="9986" width="9" style="2"/>
    <col min="9987" max="9987" width="2.375" style="2" customWidth="1"/>
    <col min="9988" max="9988" width="13.25" style="2" bestFit="1" customWidth="1"/>
    <col min="9989" max="9990" width="11.125" style="2" bestFit="1" customWidth="1"/>
    <col min="9991" max="9992" width="9" style="2" bestFit="1"/>
    <col min="9993" max="9993" width="9.625" style="2" bestFit="1" customWidth="1"/>
    <col min="9994" max="10242" width="9" style="2"/>
    <col min="10243" max="10243" width="2.375" style="2" customWidth="1"/>
    <col min="10244" max="10244" width="13.25" style="2" bestFit="1" customWidth="1"/>
    <col min="10245" max="10246" width="11.125" style="2" bestFit="1" customWidth="1"/>
    <col min="10247" max="10248" width="9" style="2" bestFit="1"/>
    <col min="10249" max="10249" width="9.625" style="2" bestFit="1" customWidth="1"/>
    <col min="10250" max="10498" width="9" style="2"/>
    <col min="10499" max="10499" width="2.375" style="2" customWidth="1"/>
    <col min="10500" max="10500" width="13.25" style="2" bestFit="1" customWidth="1"/>
    <col min="10501" max="10502" width="11.125" style="2" bestFit="1" customWidth="1"/>
    <col min="10503" max="10504" width="9" style="2" bestFit="1"/>
    <col min="10505" max="10505" width="9.625" style="2" bestFit="1" customWidth="1"/>
    <col min="10506" max="10754" width="9" style="2"/>
    <col min="10755" max="10755" width="2.375" style="2" customWidth="1"/>
    <col min="10756" max="10756" width="13.25" style="2" bestFit="1" customWidth="1"/>
    <col min="10757" max="10758" width="11.125" style="2" bestFit="1" customWidth="1"/>
    <col min="10759" max="10760" width="9" style="2" bestFit="1"/>
    <col min="10761" max="10761" width="9.625" style="2" bestFit="1" customWidth="1"/>
    <col min="10762" max="11010" width="9" style="2"/>
    <col min="11011" max="11011" width="2.375" style="2" customWidth="1"/>
    <col min="11012" max="11012" width="13.25" style="2" bestFit="1" customWidth="1"/>
    <col min="11013" max="11014" width="11.125" style="2" bestFit="1" customWidth="1"/>
    <col min="11015" max="11016" width="9" style="2" bestFit="1"/>
    <col min="11017" max="11017" width="9.625" style="2" bestFit="1" customWidth="1"/>
    <col min="11018" max="11266" width="9" style="2"/>
    <col min="11267" max="11267" width="2.375" style="2" customWidth="1"/>
    <col min="11268" max="11268" width="13.25" style="2" bestFit="1" customWidth="1"/>
    <col min="11269" max="11270" width="11.125" style="2" bestFit="1" customWidth="1"/>
    <col min="11271" max="11272" width="9" style="2" bestFit="1"/>
    <col min="11273" max="11273" width="9.625" style="2" bestFit="1" customWidth="1"/>
    <col min="11274" max="11522" width="9" style="2"/>
    <col min="11523" max="11523" width="2.375" style="2" customWidth="1"/>
    <col min="11524" max="11524" width="13.25" style="2" bestFit="1" customWidth="1"/>
    <col min="11525" max="11526" width="11.125" style="2" bestFit="1" customWidth="1"/>
    <col min="11527" max="11528" width="9" style="2" bestFit="1"/>
    <col min="11529" max="11529" width="9.625" style="2" bestFit="1" customWidth="1"/>
    <col min="11530" max="11778" width="9" style="2"/>
    <col min="11779" max="11779" width="2.375" style="2" customWidth="1"/>
    <col min="11780" max="11780" width="13.25" style="2" bestFit="1" customWidth="1"/>
    <col min="11781" max="11782" width="11.125" style="2" bestFit="1" customWidth="1"/>
    <col min="11783" max="11784" width="9" style="2" bestFit="1"/>
    <col min="11785" max="11785" width="9.625" style="2" bestFit="1" customWidth="1"/>
    <col min="11786" max="12034" width="9" style="2"/>
    <col min="12035" max="12035" width="2.375" style="2" customWidth="1"/>
    <col min="12036" max="12036" width="13.25" style="2" bestFit="1" customWidth="1"/>
    <col min="12037" max="12038" width="11.125" style="2" bestFit="1" customWidth="1"/>
    <col min="12039" max="12040" width="9" style="2" bestFit="1"/>
    <col min="12041" max="12041" width="9.625" style="2" bestFit="1" customWidth="1"/>
    <col min="12042" max="12290" width="9" style="2"/>
    <col min="12291" max="12291" width="2.375" style="2" customWidth="1"/>
    <col min="12292" max="12292" width="13.25" style="2" bestFit="1" customWidth="1"/>
    <col min="12293" max="12294" width="11.125" style="2" bestFit="1" customWidth="1"/>
    <col min="12295" max="12296" width="9" style="2" bestFit="1"/>
    <col min="12297" max="12297" width="9.625" style="2" bestFit="1" customWidth="1"/>
    <col min="12298" max="12546" width="9" style="2"/>
    <col min="12547" max="12547" width="2.375" style="2" customWidth="1"/>
    <col min="12548" max="12548" width="13.25" style="2" bestFit="1" customWidth="1"/>
    <col min="12549" max="12550" width="11.125" style="2" bestFit="1" customWidth="1"/>
    <col min="12551" max="12552" width="9" style="2" bestFit="1"/>
    <col min="12553" max="12553" width="9.625" style="2" bestFit="1" customWidth="1"/>
    <col min="12554" max="12802" width="9" style="2"/>
    <col min="12803" max="12803" width="2.375" style="2" customWidth="1"/>
    <col min="12804" max="12804" width="13.25" style="2" bestFit="1" customWidth="1"/>
    <col min="12805" max="12806" width="11.125" style="2" bestFit="1" customWidth="1"/>
    <col min="12807" max="12808" width="9" style="2" bestFit="1"/>
    <col min="12809" max="12809" width="9.625" style="2" bestFit="1" customWidth="1"/>
    <col min="12810" max="13058" width="9" style="2"/>
    <col min="13059" max="13059" width="2.375" style="2" customWidth="1"/>
    <col min="13060" max="13060" width="13.25" style="2" bestFit="1" customWidth="1"/>
    <col min="13061" max="13062" width="11.125" style="2" bestFit="1" customWidth="1"/>
    <col min="13063" max="13064" width="9" style="2" bestFit="1"/>
    <col min="13065" max="13065" width="9.625" style="2" bestFit="1" customWidth="1"/>
    <col min="13066" max="13314" width="9" style="2"/>
    <col min="13315" max="13315" width="2.375" style="2" customWidth="1"/>
    <col min="13316" max="13316" width="13.25" style="2" bestFit="1" customWidth="1"/>
    <col min="13317" max="13318" width="11.125" style="2" bestFit="1" customWidth="1"/>
    <col min="13319" max="13320" width="9" style="2" bestFit="1"/>
    <col min="13321" max="13321" width="9.625" style="2" bestFit="1" customWidth="1"/>
    <col min="13322" max="13570" width="9" style="2"/>
    <col min="13571" max="13571" width="2.375" style="2" customWidth="1"/>
    <col min="13572" max="13572" width="13.25" style="2" bestFit="1" customWidth="1"/>
    <col min="13573" max="13574" width="11.125" style="2" bestFit="1" customWidth="1"/>
    <col min="13575" max="13576" width="9" style="2" bestFit="1"/>
    <col min="13577" max="13577" width="9.625" style="2" bestFit="1" customWidth="1"/>
    <col min="13578" max="13826" width="9" style="2"/>
    <col min="13827" max="13827" width="2.375" style="2" customWidth="1"/>
    <col min="13828" max="13828" width="13.25" style="2" bestFit="1" customWidth="1"/>
    <col min="13829" max="13830" width="11.125" style="2" bestFit="1" customWidth="1"/>
    <col min="13831" max="13832" width="9" style="2" bestFit="1"/>
    <col min="13833" max="13833" width="9.625" style="2" bestFit="1" customWidth="1"/>
    <col min="13834" max="14082" width="9" style="2"/>
    <col min="14083" max="14083" width="2.375" style="2" customWidth="1"/>
    <col min="14084" max="14084" width="13.25" style="2" bestFit="1" customWidth="1"/>
    <col min="14085" max="14086" width="11.125" style="2" bestFit="1" customWidth="1"/>
    <col min="14087" max="14088" width="9" style="2" bestFit="1"/>
    <col min="14089" max="14089" width="9.625" style="2" bestFit="1" customWidth="1"/>
    <col min="14090" max="14338" width="9" style="2"/>
    <col min="14339" max="14339" width="2.375" style="2" customWidth="1"/>
    <col min="14340" max="14340" width="13.25" style="2" bestFit="1" customWidth="1"/>
    <col min="14341" max="14342" width="11.125" style="2" bestFit="1" customWidth="1"/>
    <col min="14343" max="14344" width="9" style="2" bestFit="1"/>
    <col min="14345" max="14345" width="9.625" style="2" bestFit="1" customWidth="1"/>
    <col min="14346" max="14594" width="9" style="2"/>
    <col min="14595" max="14595" width="2.375" style="2" customWidth="1"/>
    <col min="14596" max="14596" width="13.25" style="2" bestFit="1" customWidth="1"/>
    <col min="14597" max="14598" width="11.125" style="2" bestFit="1" customWidth="1"/>
    <col min="14599" max="14600" width="9" style="2" bestFit="1"/>
    <col min="14601" max="14601" width="9.625" style="2" bestFit="1" customWidth="1"/>
    <col min="14602" max="14850" width="9" style="2"/>
    <col min="14851" max="14851" width="2.375" style="2" customWidth="1"/>
    <col min="14852" max="14852" width="13.25" style="2" bestFit="1" customWidth="1"/>
    <col min="14853" max="14854" width="11.125" style="2" bestFit="1" customWidth="1"/>
    <col min="14855" max="14856" width="9" style="2" bestFit="1"/>
    <col min="14857" max="14857" width="9.625" style="2" bestFit="1" customWidth="1"/>
    <col min="14858" max="15106" width="9" style="2"/>
    <col min="15107" max="15107" width="2.375" style="2" customWidth="1"/>
    <col min="15108" max="15108" width="13.25" style="2" bestFit="1" customWidth="1"/>
    <col min="15109" max="15110" width="11.125" style="2" bestFit="1" customWidth="1"/>
    <col min="15111" max="15112" width="9" style="2" bestFit="1"/>
    <col min="15113" max="15113" width="9.625" style="2" bestFit="1" customWidth="1"/>
    <col min="15114" max="15362" width="9" style="2"/>
    <col min="15363" max="15363" width="2.375" style="2" customWidth="1"/>
    <col min="15364" max="15364" width="13.25" style="2" bestFit="1" customWidth="1"/>
    <col min="15365" max="15366" width="11.125" style="2" bestFit="1" customWidth="1"/>
    <col min="15367" max="15368" width="9" style="2" bestFit="1"/>
    <col min="15369" max="15369" width="9.625" style="2" bestFit="1" customWidth="1"/>
    <col min="15370" max="15618" width="9" style="2"/>
    <col min="15619" max="15619" width="2.375" style="2" customWidth="1"/>
    <col min="15620" max="15620" width="13.25" style="2" bestFit="1" customWidth="1"/>
    <col min="15621" max="15622" width="11.125" style="2" bestFit="1" customWidth="1"/>
    <col min="15623" max="15624" width="9" style="2" bestFit="1"/>
    <col min="15625" max="15625" width="9.625" style="2" bestFit="1" customWidth="1"/>
    <col min="15626" max="15874" width="9" style="2"/>
    <col min="15875" max="15875" width="2.375" style="2" customWidth="1"/>
    <col min="15876" max="15876" width="13.25" style="2" bestFit="1" customWidth="1"/>
    <col min="15877" max="15878" width="11.125" style="2" bestFit="1" customWidth="1"/>
    <col min="15879" max="15880" width="9" style="2" bestFit="1"/>
    <col min="15881" max="15881" width="9.625" style="2" bestFit="1" customWidth="1"/>
    <col min="15882" max="16130" width="9" style="2"/>
    <col min="16131" max="16131" width="2.375" style="2" customWidth="1"/>
    <col min="16132" max="16132" width="13.25" style="2" bestFit="1" customWidth="1"/>
    <col min="16133" max="16134" width="11.125" style="2" bestFit="1" customWidth="1"/>
    <col min="16135" max="16136" width="9" style="2" bestFit="1"/>
    <col min="16137" max="16137" width="9.625" style="2" bestFit="1" customWidth="1"/>
    <col min="16138" max="16384" width="9" style="2"/>
  </cols>
  <sheetData>
    <row r="1" spans="1:9">
      <c r="A1" s="1" t="s">
        <v>0</v>
      </c>
    </row>
    <row r="2" spans="1:9">
      <c r="A2" s="1"/>
    </row>
    <row r="3" spans="1:9">
      <c r="A3" s="1" t="s">
        <v>1</v>
      </c>
    </row>
    <row r="4" spans="1:9">
      <c r="A4" s="1" t="s">
        <v>2</v>
      </c>
    </row>
    <row r="5" spans="1:9">
      <c r="A5" s="1" t="s">
        <v>3</v>
      </c>
    </row>
    <row r="6" spans="1:9" ht="19.5" thickBot="1">
      <c r="A6" s="1" t="s">
        <v>49</v>
      </c>
    </row>
    <row r="7" spans="1:9">
      <c r="B7" s="10"/>
      <c r="C7" s="13" t="s">
        <v>4</v>
      </c>
      <c r="D7" s="4" t="s">
        <v>5</v>
      </c>
      <c r="E7" s="25" t="s">
        <v>7</v>
      </c>
      <c r="F7" s="71" t="s">
        <v>50</v>
      </c>
      <c r="G7" s="40" t="s">
        <v>6</v>
      </c>
      <c r="H7" s="71" t="s">
        <v>50</v>
      </c>
      <c r="I7" s="71" t="s">
        <v>13</v>
      </c>
    </row>
    <row r="8" spans="1:9" ht="19.5" thickBot="1">
      <c r="A8" s="3"/>
      <c r="B8" s="22" t="s">
        <v>8</v>
      </c>
      <c r="C8" s="23" t="s">
        <v>9</v>
      </c>
      <c r="D8" s="24" t="s">
        <v>10</v>
      </c>
      <c r="E8" s="26" t="s">
        <v>12</v>
      </c>
      <c r="F8" s="33" t="s">
        <v>51</v>
      </c>
      <c r="G8" s="41" t="s">
        <v>11</v>
      </c>
      <c r="H8" s="33" t="s">
        <v>52</v>
      </c>
      <c r="I8" s="33" t="s">
        <v>53</v>
      </c>
    </row>
    <row r="9" spans="1:9">
      <c r="A9" s="1" t="s">
        <v>3</v>
      </c>
      <c r="B9" s="19" t="s">
        <v>14</v>
      </c>
      <c r="C9" s="20">
        <v>23</v>
      </c>
      <c r="D9" s="21">
        <v>23</v>
      </c>
      <c r="E9" s="27">
        <v>23</v>
      </c>
      <c r="F9" s="34">
        <f>SUM(C9:E9)</f>
        <v>69</v>
      </c>
      <c r="G9" s="42">
        <v>23</v>
      </c>
      <c r="H9" s="34">
        <f>G9</f>
        <v>23</v>
      </c>
      <c r="I9" s="34">
        <f>F9+H9</f>
        <v>92</v>
      </c>
    </row>
    <row r="10" spans="1:9">
      <c r="A10" s="1" t="s">
        <v>3</v>
      </c>
      <c r="B10" s="11" t="s">
        <v>15</v>
      </c>
      <c r="C10" s="14">
        <v>0</v>
      </c>
      <c r="D10" s="5">
        <v>1</v>
      </c>
      <c r="E10" s="28">
        <v>0</v>
      </c>
      <c r="F10" s="35">
        <f t="shared" ref="F10:F14" si="0">SUM(C10:E10)</f>
        <v>1</v>
      </c>
      <c r="G10" s="43">
        <v>0</v>
      </c>
      <c r="H10" s="35">
        <f t="shared" ref="H10:H14" si="1">G10</f>
        <v>0</v>
      </c>
      <c r="I10" s="35">
        <f t="shared" ref="I10:I14" si="2">F10+H10</f>
        <v>1</v>
      </c>
    </row>
    <row r="11" spans="1:9">
      <c r="A11" s="1" t="s">
        <v>3</v>
      </c>
      <c r="B11" s="11" t="s">
        <v>16</v>
      </c>
      <c r="C11" s="14">
        <v>0</v>
      </c>
      <c r="D11" s="5">
        <v>0</v>
      </c>
      <c r="E11" s="28">
        <v>0</v>
      </c>
      <c r="F11" s="35">
        <f t="shared" si="0"/>
        <v>0</v>
      </c>
      <c r="G11" s="43">
        <v>0.5</v>
      </c>
      <c r="H11" s="35">
        <f t="shared" si="1"/>
        <v>0.5</v>
      </c>
      <c r="I11" s="35">
        <f t="shared" si="2"/>
        <v>0.5</v>
      </c>
    </row>
    <row r="12" spans="1:9">
      <c r="A12" s="1" t="s">
        <v>3</v>
      </c>
      <c r="B12" s="11" t="s">
        <v>17</v>
      </c>
      <c r="C12" s="15">
        <v>1</v>
      </c>
      <c r="D12" s="6">
        <v>2.5</v>
      </c>
      <c r="E12" s="29">
        <v>1.875</v>
      </c>
      <c r="F12" s="36">
        <f t="shared" si="0"/>
        <v>5.375</v>
      </c>
      <c r="G12" s="44">
        <v>0</v>
      </c>
      <c r="H12" s="36">
        <f t="shared" si="1"/>
        <v>0</v>
      </c>
      <c r="I12" s="36">
        <f t="shared" si="2"/>
        <v>5.375</v>
      </c>
    </row>
    <row r="13" spans="1:9">
      <c r="A13" s="1" t="s">
        <v>3</v>
      </c>
      <c r="B13" s="11" t="s">
        <v>18</v>
      </c>
      <c r="C13" s="15">
        <v>0</v>
      </c>
      <c r="D13" s="6">
        <v>8.3333333333333329E-2</v>
      </c>
      <c r="E13" s="29">
        <v>0</v>
      </c>
      <c r="F13" s="36">
        <f t="shared" si="0"/>
        <v>8.3333333333333329E-2</v>
      </c>
      <c r="G13" s="44">
        <v>0</v>
      </c>
      <c r="H13" s="36">
        <f t="shared" si="1"/>
        <v>0</v>
      </c>
      <c r="I13" s="36">
        <f t="shared" si="2"/>
        <v>8.3333333333333329E-2</v>
      </c>
    </row>
    <row r="14" spans="1:9">
      <c r="A14" s="1" t="s">
        <v>3</v>
      </c>
      <c r="B14" s="11" t="s">
        <v>19</v>
      </c>
      <c r="C14" s="15">
        <v>8.3333333333333329E-2</v>
      </c>
      <c r="D14" s="6">
        <v>0</v>
      </c>
      <c r="E14" s="29">
        <v>0.16666666666666666</v>
      </c>
      <c r="F14" s="36">
        <f t="shared" si="0"/>
        <v>0.25</v>
      </c>
      <c r="G14" s="44">
        <v>0</v>
      </c>
      <c r="H14" s="36">
        <f t="shared" si="1"/>
        <v>0</v>
      </c>
      <c r="I14" s="36">
        <f t="shared" si="2"/>
        <v>0.25</v>
      </c>
    </row>
    <row r="15" spans="1:9">
      <c r="A15" s="1" t="s">
        <v>3</v>
      </c>
      <c r="B15" s="53" t="s">
        <v>20</v>
      </c>
      <c r="C15" s="54">
        <v>30</v>
      </c>
      <c r="D15" s="55">
        <v>33</v>
      </c>
      <c r="E15" s="56">
        <v>9</v>
      </c>
      <c r="F15" s="57"/>
      <c r="G15" s="58">
        <v>33.5</v>
      </c>
      <c r="H15" s="57"/>
      <c r="I15" s="57"/>
    </row>
    <row r="16" spans="1:9">
      <c r="A16" s="1" t="s">
        <v>3</v>
      </c>
      <c r="B16" s="19" t="s">
        <v>21</v>
      </c>
      <c r="C16" s="48">
        <v>187000</v>
      </c>
      <c r="D16" s="49">
        <v>192000</v>
      </c>
      <c r="E16" s="50">
        <v>192000</v>
      </c>
      <c r="F16" s="51">
        <f t="shared" ref="F16:F41" si="3">SUM(C16:E16)</f>
        <v>571000</v>
      </c>
      <c r="G16" s="52">
        <v>370000</v>
      </c>
      <c r="H16" s="51">
        <f t="shared" ref="H16:H41" si="4">G16</f>
        <v>370000</v>
      </c>
      <c r="I16" s="51">
        <f t="shared" ref="I16:I41" si="5">F16+H16</f>
        <v>941000</v>
      </c>
    </row>
    <row r="17" spans="1:9">
      <c r="A17" s="1" t="s">
        <v>3</v>
      </c>
      <c r="B17" s="11" t="s">
        <v>22</v>
      </c>
      <c r="C17" s="16">
        <v>5000</v>
      </c>
      <c r="D17" s="7">
        <v>0</v>
      </c>
      <c r="E17" s="30">
        <v>0</v>
      </c>
      <c r="F17" s="37">
        <f t="shared" si="3"/>
        <v>5000</v>
      </c>
      <c r="G17" s="45">
        <v>0</v>
      </c>
      <c r="H17" s="37">
        <f t="shared" si="4"/>
        <v>0</v>
      </c>
      <c r="I17" s="37">
        <f t="shared" si="5"/>
        <v>5000</v>
      </c>
    </row>
    <row r="18" spans="1:9">
      <c r="A18" s="1" t="s">
        <v>3</v>
      </c>
      <c r="B18" s="11" t="s">
        <v>23</v>
      </c>
      <c r="C18" s="16">
        <v>0</v>
      </c>
      <c r="D18" s="7">
        <v>3000</v>
      </c>
      <c r="E18" s="30">
        <v>15000</v>
      </c>
      <c r="F18" s="37">
        <f t="shared" si="3"/>
        <v>18000</v>
      </c>
      <c r="G18" s="45">
        <v>0</v>
      </c>
      <c r="H18" s="37">
        <f t="shared" si="4"/>
        <v>0</v>
      </c>
      <c r="I18" s="37">
        <f t="shared" si="5"/>
        <v>18000</v>
      </c>
    </row>
    <row r="19" spans="1:9">
      <c r="A19" s="1" t="s">
        <v>3</v>
      </c>
      <c r="B19" s="11" t="s">
        <v>24</v>
      </c>
      <c r="C19" s="16">
        <v>50000</v>
      </c>
      <c r="D19" s="7">
        <v>50000</v>
      </c>
      <c r="E19" s="30">
        <v>50000</v>
      </c>
      <c r="F19" s="37">
        <f t="shared" si="3"/>
        <v>150000</v>
      </c>
      <c r="G19" s="45">
        <v>50000</v>
      </c>
      <c r="H19" s="37">
        <f t="shared" si="4"/>
        <v>50000</v>
      </c>
      <c r="I19" s="37">
        <f t="shared" si="5"/>
        <v>200000</v>
      </c>
    </row>
    <row r="20" spans="1:9">
      <c r="A20" s="1" t="s">
        <v>3</v>
      </c>
      <c r="B20" s="11" t="s">
        <v>25</v>
      </c>
      <c r="C20" s="16">
        <v>0</v>
      </c>
      <c r="D20" s="7">
        <v>0</v>
      </c>
      <c r="E20" s="30">
        <v>49723</v>
      </c>
      <c r="F20" s="37">
        <f t="shared" si="3"/>
        <v>49723</v>
      </c>
      <c r="G20" s="45">
        <v>0</v>
      </c>
      <c r="H20" s="37">
        <f t="shared" si="4"/>
        <v>0</v>
      </c>
      <c r="I20" s="37">
        <f t="shared" si="5"/>
        <v>49723</v>
      </c>
    </row>
    <row r="21" spans="1:9">
      <c r="A21" s="1" t="s">
        <v>3</v>
      </c>
      <c r="B21" s="11" t="s">
        <v>26</v>
      </c>
      <c r="C21" s="16">
        <v>3870</v>
      </c>
      <c r="D21" s="7">
        <v>1720</v>
      </c>
      <c r="E21" s="30">
        <v>1300</v>
      </c>
      <c r="F21" s="37">
        <f t="shared" si="3"/>
        <v>6890</v>
      </c>
      <c r="G21" s="45">
        <v>0</v>
      </c>
      <c r="H21" s="37">
        <f t="shared" si="4"/>
        <v>0</v>
      </c>
      <c r="I21" s="37">
        <f t="shared" si="5"/>
        <v>6890</v>
      </c>
    </row>
    <row r="22" spans="1:9">
      <c r="A22" s="1" t="s">
        <v>3</v>
      </c>
      <c r="B22" s="11" t="s">
        <v>27</v>
      </c>
      <c r="C22" s="16">
        <v>6000</v>
      </c>
      <c r="D22" s="7">
        <v>6000</v>
      </c>
      <c r="E22" s="30">
        <v>0</v>
      </c>
      <c r="F22" s="37">
        <f t="shared" si="3"/>
        <v>12000</v>
      </c>
      <c r="G22" s="45">
        <v>0</v>
      </c>
      <c r="H22" s="37">
        <f t="shared" si="4"/>
        <v>0</v>
      </c>
      <c r="I22" s="37">
        <f t="shared" si="5"/>
        <v>12000</v>
      </c>
    </row>
    <row r="23" spans="1:9">
      <c r="A23" s="1" t="s">
        <v>3</v>
      </c>
      <c r="B23" s="11" t="s">
        <v>28</v>
      </c>
      <c r="C23" s="16">
        <v>0</v>
      </c>
      <c r="D23" s="7">
        <v>13000</v>
      </c>
      <c r="E23" s="30">
        <v>13000</v>
      </c>
      <c r="F23" s="37">
        <f t="shared" si="3"/>
        <v>26000</v>
      </c>
      <c r="G23" s="45">
        <v>0</v>
      </c>
      <c r="H23" s="37">
        <f t="shared" si="4"/>
        <v>0</v>
      </c>
      <c r="I23" s="37">
        <f t="shared" si="5"/>
        <v>26000</v>
      </c>
    </row>
    <row r="24" spans="1:9">
      <c r="A24" s="1" t="s">
        <v>3</v>
      </c>
      <c r="B24" s="11" t="s">
        <v>17</v>
      </c>
      <c r="C24" s="16">
        <v>44544</v>
      </c>
      <c r="D24" s="7">
        <v>118560</v>
      </c>
      <c r="E24" s="30">
        <v>90945</v>
      </c>
      <c r="F24" s="37">
        <f t="shared" si="3"/>
        <v>254049</v>
      </c>
      <c r="G24" s="45">
        <v>0</v>
      </c>
      <c r="H24" s="37">
        <f t="shared" si="4"/>
        <v>0</v>
      </c>
      <c r="I24" s="37">
        <f t="shared" si="5"/>
        <v>254049</v>
      </c>
    </row>
    <row r="25" spans="1:9">
      <c r="A25" s="1" t="s">
        <v>3</v>
      </c>
      <c r="B25" s="11" t="s">
        <v>29</v>
      </c>
      <c r="C25" s="16">
        <v>0</v>
      </c>
      <c r="D25" s="7">
        <v>4268</v>
      </c>
      <c r="E25" s="30">
        <v>0</v>
      </c>
      <c r="F25" s="37">
        <f t="shared" si="3"/>
        <v>4268</v>
      </c>
      <c r="G25" s="45">
        <v>0</v>
      </c>
      <c r="H25" s="37">
        <f t="shared" si="4"/>
        <v>0</v>
      </c>
      <c r="I25" s="37">
        <f t="shared" si="5"/>
        <v>4268</v>
      </c>
    </row>
    <row r="26" spans="1:9">
      <c r="A26" s="1" t="s">
        <v>3</v>
      </c>
      <c r="B26" s="59" t="s">
        <v>19</v>
      </c>
      <c r="C26" s="60">
        <v>742</v>
      </c>
      <c r="D26" s="61">
        <v>0</v>
      </c>
      <c r="E26" s="62">
        <v>1616</v>
      </c>
      <c r="F26" s="63">
        <f t="shared" si="3"/>
        <v>2358</v>
      </c>
      <c r="G26" s="64">
        <v>0</v>
      </c>
      <c r="H26" s="63">
        <f t="shared" si="4"/>
        <v>0</v>
      </c>
      <c r="I26" s="63">
        <f t="shared" si="5"/>
        <v>2358</v>
      </c>
    </row>
    <row r="27" spans="1:9">
      <c r="A27" s="1" t="s">
        <v>3</v>
      </c>
      <c r="B27" s="65" t="s">
        <v>30</v>
      </c>
      <c r="C27" s="66">
        <v>297156</v>
      </c>
      <c r="D27" s="67">
        <v>388548</v>
      </c>
      <c r="E27" s="68">
        <v>413584</v>
      </c>
      <c r="F27" s="69">
        <f t="shared" si="3"/>
        <v>1099288</v>
      </c>
      <c r="G27" s="70">
        <v>420000</v>
      </c>
      <c r="H27" s="69">
        <f t="shared" si="4"/>
        <v>420000</v>
      </c>
      <c r="I27" s="69">
        <f t="shared" si="5"/>
        <v>1519288</v>
      </c>
    </row>
    <row r="28" spans="1:9">
      <c r="A28" s="1" t="s">
        <v>3</v>
      </c>
      <c r="B28" s="65" t="s">
        <v>31</v>
      </c>
      <c r="C28" s="66">
        <v>0</v>
      </c>
      <c r="D28" s="67">
        <v>1886</v>
      </c>
      <c r="E28" s="68">
        <v>9636</v>
      </c>
      <c r="F28" s="69">
        <f t="shared" si="3"/>
        <v>11522</v>
      </c>
      <c r="G28" s="70">
        <v>11941</v>
      </c>
      <c r="H28" s="69">
        <f t="shared" si="4"/>
        <v>11941</v>
      </c>
      <c r="I28" s="69">
        <f t="shared" si="5"/>
        <v>23463</v>
      </c>
    </row>
    <row r="29" spans="1:9">
      <c r="A29" s="1" t="s">
        <v>3</v>
      </c>
      <c r="B29" s="65" t="s">
        <v>32</v>
      </c>
      <c r="C29" s="66">
        <v>0</v>
      </c>
      <c r="D29" s="67">
        <v>1886</v>
      </c>
      <c r="E29" s="68">
        <v>9636</v>
      </c>
      <c r="F29" s="69">
        <f t="shared" si="3"/>
        <v>11522</v>
      </c>
      <c r="G29" s="70">
        <v>11941</v>
      </c>
      <c r="H29" s="69">
        <f t="shared" si="4"/>
        <v>11941</v>
      </c>
      <c r="I29" s="69">
        <f t="shared" si="5"/>
        <v>23463</v>
      </c>
    </row>
    <row r="30" spans="1:9">
      <c r="A30" s="1" t="s">
        <v>3</v>
      </c>
      <c r="B30" s="65" t="s">
        <v>33</v>
      </c>
      <c r="C30" s="66">
        <v>297156</v>
      </c>
      <c r="D30" s="67">
        <v>390434</v>
      </c>
      <c r="E30" s="68">
        <v>423220</v>
      </c>
      <c r="F30" s="69">
        <f t="shared" si="3"/>
        <v>1110810</v>
      </c>
      <c r="G30" s="70">
        <v>431941</v>
      </c>
      <c r="H30" s="69">
        <f t="shared" si="4"/>
        <v>431941</v>
      </c>
      <c r="I30" s="69">
        <f t="shared" si="5"/>
        <v>1542751</v>
      </c>
    </row>
    <row r="31" spans="1:9">
      <c r="A31" s="1" t="s">
        <v>3</v>
      </c>
      <c r="B31" s="19" t="s">
        <v>34</v>
      </c>
      <c r="C31" s="48">
        <v>15300</v>
      </c>
      <c r="D31" s="49">
        <v>19380</v>
      </c>
      <c r="E31" s="50">
        <v>22440</v>
      </c>
      <c r="F31" s="51">
        <f t="shared" si="3"/>
        <v>57120</v>
      </c>
      <c r="G31" s="52">
        <v>22440</v>
      </c>
      <c r="H31" s="51">
        <f t="shared" si="4"/>
        <v>22440</v>
      </c>
      <c r="I31" s="51">
        <f t="shared" si="5"/>
        <v>79560</v>
      </c>
    </row>
    <row r="32" spans="1:9">
      <c r="A32" s="1" t="s">
        <v>3</v>
      </c>
      <c r="B32" s="11" t="s">
        <v>35</v>
      </c>
      <c r="C32" s="16">
        <v>0</v>
      </c>
      <c r="D32" s="7">
        <v>3420</v>
      </c>
      <c r="E32" s="30">
        <v>3960</v>
      </c>
      <c r="F32" s="37">
        <f t="shared" si="3"/>
        <v>7380</v>
      </c>
      <c r="G32" s="45">
        <v>3960</v>
      </c>
      <c r="H32" s="37">
        <f t="shared" si="4"/>
        <v>3960</v>
      </c>
      <c r="I32" s="37">
        <f t="shared" si="5"/>
        <v>11340</v>
      </c>
    </row>
    <row r="33" spans="1:9">
      <c r="A33" s="1" t="s">
        <v>3</v>
      </c>
      <c r="B33" s="11" t="s">
        <v>36</v>
      </c>
      <c r="C33" s="16">
        <v>27450</v>
      </c>
      <c r="D33" s="7">
        <v>34770</v>
      </c>
      <c r="E33" s="30">
        <v>40260</v>
      </c>
      <c r="F33" s="37">
        <f t="shared" si="3"/>
        <v>102480</v>
      </c>
      <c r="G33" s="45">
        <v>40260</v>
      </c>
      <c r="H33" s="37">
        <f t="shared" si="4"/>
        <v>40260</v>
      </c>
      <c r="I33" s="37">
        <f t="shared" si="5"/>
        <v>142740</v>
      </c>
    </row>
    <row r="34" spans="1:9">
      <c r="A34" s="1" t="s">
        <v>3</v>
      </c>
      <c r="B34" s="59" t="s">
        <v>37</v>
      </c>
      <c r="C34" s="60">
        <v>1634</v>
      </c>
      <c r="D34" s="61">
        <v>2147</v>
      </c>
      <c r="E34" s="62">
        <v>2328</v>
      </c>
      <c r="F34" s="63">
        <f t="shared" si="3"/>
        <v>6109</v>
      </c>
      <c r="G34" s="64">
        <v>2376</v>
      </c>
      <c r="H34" s="63">
        <f t="shared" si="4"/>
        <v>2376</v>
      </c>
      <c r="I34" s="63">
        <f t="shared" si="5"/>
        <v>8485</v>
      </c>
    </row>
    <row r="35" spans="1:9">
      <c r="A35" s="1" t="s">
        <v>3</v>
      </c>
      <c r="B35" s="65" t="s">
        <v>38</v>
      </c>
      <c r="C35" s="66">
        <v>44384</v>
      </c>
      <c r="D35" s="67">
        <v>59717</v>
      </c>
      <c r="E35" s="68">
        <v>68988</v>
      </c>
      <c r="F35" s="69">
        <f t="shared" si="3"/>
        <v>173089</v>
      </c>
      <c r="G35" s="70">
        <v>69036</v>
      </c>
      <c r="H35" s="69">
        <f t="shared" si="4"/>
        <v>69036</v>
      </c>
      <c r="I35" s="69">
        <f t="shared" si="5"/>
        <v>242125</v>
      </c>
    </row>
    <row r="36" spans="1:9">
      <c r="A36" s="1" t="s">
        <v>3</v>
      </c>
      <c r="B36" s="19" t="s">
        <v>39</v>
      </c>
      <c r="C36" s="48">
        <v>5030</v>
      </c>
      <c r="D36" s="49">
        <v>10740</v>
      </c>
      <c r="E36" s="50">
        <v>12020</v>
      </c>
      <c r="F36" s="51">
        <f t="shared" si="3"/>
        <v>27790</v>
      </c>
      <c r="G36" s="52">
        <v>12540</v>
      </c>
      <c r="H36" s="51">
        <f t="shared" si="4"/>
        <v>12540</v>
      </c>
      <c r="I36" s="51">
        <f t="shared" si="5"/>
        <v>40330</v>
      </c>
    </row>
    <row r="37" spans="1:9">
      <c r="A37" s="1" t="s">
        <v>3</v>
      </c>
      <c r="B37" s="59" t="s">
        <v>40</v>
      </c>
      <c r="C37" s="60">
        <v>16000</v>
      </c>
      <c r="D37" s="61">
        <v>17200</v>
      </c>
      <c r="E37" s="62">
        <v>16600</v>
      </c>
      <c r="F37" s="63">
        <f t="shared" si="3"/>
        <v>49800</v>
      </c>
      <c r="G37" s="64">
        <v>20700</v>
      </c>
      <c r="H37" s="63">
        <f t="shared" si="4"/>
        <v>20700</v>
      </c>
      <c r="I37" s="63">
        <f t="shared" si="5"/>
        <v>70500</v>
      </c>
    </row>
    <row r="38" spans="1:9">
      <c r="A38" s="1" t="s">
        <v>3</v>
      </c>
      <c r="B38" s="65" t="s">
        <v>41</v>
      </c>
      <c r="C38" s="66">
        <v>65414</v>
      </c>
      <c r="D38" s="67">
        <v>87657</v>
      </c>
      <c r="E38" s="68">
        <v>97608</v>
      </c>
      <c r="F38" s="69">
        <f t="shared" si="3"/>
        <v>250679</v>
      </c>
      <c r="G38" s="70">
        <v>102276</v>
      </c>
      <c r="H38" s="69">
        <f t="shared" si="4"/>
        <v>102276</v>
      </c>
      <c r="I38" s="69">
        <f t="shared" si="5"/>
        <v>352955</v>
      </c>
    </row>
    <row r="39" spans="1:9">
      <c r="A39" s="1" t="s">
        <v>3</v>
      </c>
      <c r="B39" s="65" t="s">
        <v>42</v>
      </c>
      <c r="C39" s="66">
        <v>252772</v>
      </c>
      <c r="D39" s="67">
        <v>328831</v>
      </c>
      <c r="E39" s="68">
        <v>344596</v>
      </c>
      <c r="F39" s="69">
        <f t="shared" si="3"/>
        <v>926199</v>
      </c>
      <c r="G39" s="70">
        <v>350964</v>
      </c>
      <c r="H39" s="69">
        <f t="shared" si="4"/>
        <v>350964</v>
      </c>
      <c r="I39" s="69">
        <f t="shared" si="5"/>
        <v>1277163</v>
      </c>
    </row>
    <row r="40" spans="1:9">
      <c r="A40" s="1" t="s">
        <v>3</v>
      </c>
      <c r="B40" s="65" t="s">
        <v>43</v>
      </c>
      <c r="C40" s="66">
        <v>231742</v>
      </c>
      <c r="D40" s="67">
        <v>302777</v>
      </c>
      <c r="E40" s="68">
        <v>325612</v>
      </c>
      <c r="F40" s="69">
        <f t="shared" si="3"/>
        <v>860131</v>
      </c>
      <c r="G40" s="70">
        <v>329665</v>
      </c>
      <c r="H40" s="69">
        <f t="shared" si="4"/>
        <v>329665</v>
      </c>
      <c r="I40" s="69">
        <f t="shared" si="5"/>
        <v>1189796</v>
      </c>
    </row>
    <row r="41" spans="1:9">
      <c r="A41" s="1" t="s">
        <v>3</v>
      </c>
      <c r="B41" s="65" t="s">
        <v>44</v>
      </c>
      <c r="C41" s="66">
        <v>231742</v>
      </c>
      <c r="D41" s="67">
        <v>302777</v>
      </c>
      <c r="E41" s="68">
        <v>325612</v>
      </c>
      <c r="F41" s="69">
        <f t="shared" si="3"/>
        <v>860131</v>
      </c>
      <c r="G41" s="70">
        <v>329665</v>
      </c>
      <c r="H41" s="69">
        <f t="shared" si="4"/>
        <v>329665</v>
      </c>
      <c r="I41" s="69">
        <f t="shared" si="5"/>
        <v>1189796</v>
      </c>
    </row>
    <row r="42" spans="1:9">
      <c r="A42" s="1" t="s">
        <v>3</v>
      </c>
      <c r="B42" s="19" t="s">
        <v>45</v>
      </c>
      <c r="C42" s="48">
        <v>1</v>
      </c>
      <c r="D42" s="49">
        <v>0</v>
      </c>
      <c r="E42" s="50">
        <v>0</v>
      </c>
      <c r="F42" s="51"/>
      <c r="G42" s="52">
        <v>0</v>
      </c>
      <c r="H42" s="51"/>
      <c r="I42" s="51"/>
    </row>
    <row r="43" spans="1:9">
      <c r="A43" s="1" t="s">
        <v>3</v>
      </c>
      <c r="B43" s="11" t="s">
        <v>46</v>
      </c>
      <c r="C43" s="17" t="s">
        <v>47</v>
      </c>
      <c r="D43" s="8" t="s">
        <v>47</v>
      </c>
      <c r="E43" s="31" t="s">
        <v>47</v>
      </c>
      <c r="F43" s="38"/>
      <c r="G43" s="46" t="s">
        <v>47</v>
      </c>
      <c r="H43" s="38"/>
      <c r="I43" s="38"/>
    </row>
    <row r="44" spans="1:9" ht="19.5" thickBot="1">
      <c r="A44" s="1" t="s">
        <v>3</v>
      </c>
      <c r="B44" s="12" t="s">
        <v>48</v>
      </c>
      <c r="C44" s="18">
        <v>5030</v>
      </c>
      <c r="D44" s="9">
        <v>10740</v>
      </c>
      <c r="E44" s="32">
        <v>12020</v>
      </c>
      <c r="F44" s="39">
        <f>SUM(C44:E44)</f>
        <v>27790</v>
      </c>
      <c r="G44" s="47">
        <v>12540</v>
      </c>
      <c r="H44" s="39">
        <f>G44</f>
        <v>12540</v>
      </c>
      <c r="I44" s="39">
        <f>F44+H44</f>
        <v>40330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2025年10月度給与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asada</cp:lastModifiedBy>
  <dcterms:created xsi:type="dcterms:W3CDTF">2025-11-10T07:18:02Z</dcterms:created>
  <dcterms:modified xsi:type="dcterms:W3CDTF">2025-11-10T07:22:12Z</dcterms:modified>
</cp:coreProperties>
</file>