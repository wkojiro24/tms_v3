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10月分\"/>
    </mc:Choice>
  </mc:AlternateContent>
  <xr:revisionPtr revIDLastSave="0" documentId="13_ncr:1_{DAADEE19-0501-466A-856C-B1D35C6B717F}" xr6:coauthVersionLast="47" xr6:coauthVersionMax="47" xr10:uidLastSave="{00000000-0000-0000-0000-000000000000}"/>
  <bookViews>
    <workbookView xWindow="-120" yWindow="-120" windowWidth="20730" windowHeight="11160" xr2:uid="{9BFB15B9-1EBE-4F5A-9094-679008B04851}"/>
  </bookViews>
  <sheets>
    <sheet name="2025年10月度給与" sheetId="2" r:id="rId1"/>
    <sheet name="2025年10月度給与 (2)" sheetId="3" r:id="rId2"/>
    <sheet name="2025年10月度給与 (3)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8" i="3" l="1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P9" i="3"/>
  <c r="F58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S58" i="4" l="1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O58" i="3"/>
  <c r="P58" i="3"/>
  <c r="O55" i="3"/>
  <c r="P55" i="3"/>
  <c r="O54" i="3"/>
  <c r="O53" i="3"/>
  <c r="P53" i="3"/>
  <c r="O52" i="3"/>
  <c r="P52" i="3"/>
  <c r="O51" i="3"/>
  <c r="P51" i="3"/>
  <c r="O50" i="3"/>
  <c r="O49" i="3"/>
  <c r="P49" i="3"/>
  <c r="O48" i="3"/>
  <c r="P48" i="3"/>
  <c r="O47" i="3"/>
  <c r="P47" i="3"/>
  <c r="O46" i="3"/>
  <c r="O45" i="3"/>
  <c r="P45" i="3"/>
  <c r="O44" i="3"/>
  <c r="P44" i="3"/>
  <c r="O43" i="3"/>
  <c r="P43" i="3"/>
  <c r="O42" i="3"/>
  <c r="O41" i="3"/>
  <c r="P41" i="3"/>
  <c r="O40" i="3"/>
  <c r="P40" i="3"/>
  <c r="O39" i="3"/>
  <c r="P39" i="3"/>
  <c r="O38" i="3"/>
  <c r="O37" i="3"/>
  <c r="P37" i="3"/>
  <c r="O36" i="3"/>
  <c r="P36" i="3"/>
  <c r="O35" i="3"/>
  <c r="P35" i="3"/>
  <c r="O34" i="3"/>
  <c r="O33" i="3"/>
  <c r="P33" i="3"/>
  <c r="O32" i="3"/>
  <c r="P32" i="3"/>
  <c r="O31" i="3"/>
  <c r="P31" i="3"/>
  <c r="O30" i="3"/>
  <c r="O29" i="3"/>
  <c r="P29" i="3"/>
  <c r="O28" i="3"/>
  <c r="P28" i="3"/>
  <c r="O27" i="3"/>
  <c r="P27" i="3"/>
  <c r="O26" i="3"/>
  <c r="O25" i="3"/>
  <c r="P25" i="3"/>
  <c r="O24" i="3"/>
  <c r="P24" i="3"/>
  <c r="O22" i="3"/>
  <c r="P22" i="3"/>
  <c r="O21" i="3"/>
  <c r="O20" i="3"/>
  <c r="P20" i="3"/>
  <c r="O19" i="3"/>
  <c r="P19" i="3"/>
  <c r="O18" i="3"/>
  <c r="P18" i="3"/>
  <c r="O17" i="3"/>
  <c r="O16" i="3"/>
  <c r="P16" i="3"/>
  <c r="O15" i="3"/>
  <c r="P15" i="3"/>
  <c r="O14" i="3"/>
  <c r="P14" i="3"/>
  <c r="O13" i="3"/>
  <c r="O12" i="3"/>
  <c r="P12" i="3"/>
  <c r="O11" i="3"/>
  <c r="P11" i="3"/>
  <c r="O10" i="3"/>
  <c r="P10" i="3"/>
  <c r="O9" i="3"/>
  <c r="AE58" i="2"/>
  <c r="AF58" i="2" s="1"/>
  <c r="AE55" i="2"/>
  <c r="AF55" i="2" s="1"/>
  <c r="AE54" i="2"/>
  <c r="AF54" i="2" s="1"/>
  <c r="AE53" i="2"/>
  <c r="AF53" i="2" s="1"/>
  <c r="AE52" i="2"/>
  <c r="AF52" i="2" s="1"/>
  <c r="AE51" i="2"/>
  <c r="AF51" i="2" s="1"/>
  <c r="AE50" i="2"/>
  <c r="AF50" i="2" s="1"/>
  <c r="AE49" i="2"/>
  <c r="AF49" i="2" s="1"/>
  <c r="AE48" i="2"/>
  <c r="AF48" i="2" s="1"/>
  <c r="AE47" i="2"/>
  <c r="AF47" i="2" s="1"/>
  <c r="AE46" i="2"/>
  <c r="AF46" i="2" s="1"/>
  <c r="AE45" i="2"/>
  <c r="AF45" i="2" s="1"/>
  <c r="AE44" i="2"/>
  <c r="AF44" i="2" s="1"/>
  <c r="AE43" i="2"/>
  <c r="AF43" i="2" s="1"/>
  <c r="AE42" i="2"/>
  <c r="AF42" i="2" s="1"/>
  <c r="AE41" i="2"/>
  <c r="AF41" i="2" s="1"/>
  <c r="AE40" i="2"/>
  <c r="AF40" i="2" s="1"/>
  <c r="AE39" i="2"/>
  <c r="AF39" i="2" s="1"/>
  <c r="AE38" i="2"/>
  <c r="AF38" i="2" s="1"/>
  <c r="AE37" i="2"/>
  <c r="AF37" i="2" s="1"/>
  <c r="AE36" i="2"/>
  <c r="AF36" i="2" s="1"/>
  <c r="AE35" i="2"/>
  <c r="AF35" i="2" s="1"/>
  <c r="AE34" i="2"/>
  <c r="AF34" i="2" s="1"/>
  <c r="AE33" i="2"/>
  <c r="AF33" i="2" s="1"/>
  <c r="AE32" i="2"/>
  <c r="AF32" i="2" s="1"/>
  <c r="AE31" i="2"/>
  <c r="AF31" i="2" s="1"/>
  <c r="AE30" i="2"/>
  <c r="AF30" i="2" s="1"/>
  <c r="AE29" i="2"/>
  <c r="AF29" i="2" s="1"/>
  <c r="AE28" i="2"/>
  <c r="AF28" i="2" s="1"/>
  <c r="AE27" i="2"/>
  <c r="AF27" i="2" s="1"/>
  <c r="AE26" i="2"/>
  <c r="AF26" i="2" s="1"/>
  <c r="AE25" i="2"/>
  <c r="AF25" i="2" s="1"/>
  <c r="AE24" i="2"/>
  <c r="AF24" i="2" s="1"/>
  <c r="AE22" i="2"/>
  <c r="AF22" i="2" s="1"/>
  <c r="AE21" i="2"/>
  <c r="AF21" i="2" s="1"/>
  <c r="AE20" i="2"/>
  <c r="AF20" i="2" s="1"/>
  <c r="AE19" i="2"/>
  <c r="AF19" i="2" s="1"/>
  <c r="AE18" i="2"/>
  <c r="AF18" i="2" s="1"/>
  <c r="AE17" i="2"/>
  <c r="AF17" i="2" s="1"/>
  <c r="AE16" i="2"/>
  <c r="AF16" i="2" s="1"/>
  <c r="AE15" i="2"/>
  <c r="AF15" i="2" s="1"/>
  <c r="AE14" i="2"/>
  <c r="AF14" i="2" s="1"/>
  <c r="AE13" i="2"/>
  <c r="AF13" i="2" s="1"/>
  <c r="AE12" i="2"/>
  <c r="AF12" i="2" s="1"/>
  <c r="AE11" i="2"/>
  <c r="AF11" i="2" s="1"/>
  <c r="AE10" i="2"/>
  <c r="AF10" i="2" s="1"/>
  <c r="AF9" i="2"/>
  <c r="AE9" i="2"/>
  <c r="AC58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S58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P13" i="3" l="1"/>
  <c r="P17" i="3"/>
  <c r="P21" i="3"/>
  <c r="P26" i="3"/>
  <c r="P30" i="3"/>
  <c r="P34" i="3"/>
  <c r="P38" i="3"/>
  <c r="P42" i="3"/>
  <c r="P46" i="3"/>
  <c r="P50" i="3"/>
  <c r="P54" i="3"/>
</calcChain>
</file>

<file path=xl/sharedStrings.xml><?xml version="1.0" encoding="utf-8"?>
<sst xmlns="http://schemas.openxmlformats.org/spreadsheetml/2006/main" count="492" uniqueCount="114">
  <si>
    <t>支給控除一覧表</t>
    <phoneticPr fontId="4"/>
  </si>
  <si>
    <t>若林運送株式会社</t>
    <phoneticPr fontId="4"/>
  </si>
  <si>
    <t>2025年11月10日 作成</t>
    <phoneticPr fontId="4"/>
  </si>
  <si>
    <t/>
  </si>
  <si>
    <t>1006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</si>
  <si>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</si>
  <si>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</si>
  <si>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</si>
  <si>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</si>
  <si>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</si>
  <si>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</si>
  <si>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</si>
  <si>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</si>
  <si>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</si>
  <si>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</si>
  <si>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</si>
  <si>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</si>
  <si>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</si>
  <si>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1109</t>
    <phoneticPr fontId="4"/>
  </si>
  <si>
    <t>1110</t>
    <phoneticPr fontId="4"/>
  </si>
  <si>
    <t>1112</t>
    <phoneticPr fontId="4"/>
  </si>
  <si>
    <t>1119</t>
    <phoneticPr fontId="4"/>
  </si>
  <si>
    <t>1206</t>
    <phoneticPr fontId="4"/>
  </si>
  <si>
    <t>1210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</si>
  <si>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</si>
  <si>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</si>
  <si>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</si>
  <si>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</si>
  <si>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</si>
  <si>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1118</t>
    <phoneticPr fontId="4"/>
  </si>
  <si>
    <t>項目名</t>
    <phoneticPr fontId="4"/>
  </si>
  <si>
    <t>小林　啓一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</si>
  <si>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</si>
  <si>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</si>
  <si>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</si>
  <si>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</si>
  <si>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</si>
  <si>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</si>
  <si>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</si>
  <si>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</si>
  <si>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</si>
  <si>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</si>
  <si>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</si>
  <si>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</si>
  <si>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</si>
  <si>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渡邉　進一</t>
    <phoneticPr fontId="4"/>
  </si>
  <si>
    <t>山口　豊</t>
    <phoneticPr fontId="4"/>
  </si>
  <si>
    <t>齋藤　健一</t>
    <phoneticPr fontId="4"/>
  </si>
  <si>
    <t>水町　賢土</t>
    <phoneticPr fontId="4"/>
  </si>
  <si>
    <t>鈴木秀和</t>
    <phoneticPr fontId="4"/>
  </si>
  <si>
    <t>吉田直人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</si>
  <si>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</si>
  <si>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</si>
  <si>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</si>
  <si>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</si>
  <si>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</si>
  <si>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小沼　康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</si>
  <si>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</si>
  <si>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</si>
  <si>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</si>
  <si>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</si>
  <si>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</si>
  <si>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</si>
  <si>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</si>
  <si>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</si>
  <si>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</si>
  <si>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</si>
  <si>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</si>
  <si>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</si>
  <si>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</si>
  <si>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割増残業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</si>
  <si>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</si>
  <si>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</si>
  <si>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</si>
  <si>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</si>
  <si>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</si>
  <si>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</si>
  <si>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呼出手当</t>
    <phoneticPr fontId="4"/>
  </si>
  <si>
    <t>基本給2</t>
    <phoneticPr fontId="4"/>
  </si>
  <si>
    <t>無事故報奨金</t>
    <phoneticPr fontId="4"/>
  </si>
  <si>
    <t>無事故加算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</si>
  <si>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</si>
  <si>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</si>
  <si>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</si>
  <si>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</si>
  <si>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</si>
  <si>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</si>
  <si>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</si>
  <si>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</si>
  <si>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</si>
  <si>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</si>
  <si>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</si>
  <si>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</si>
  <si>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</si>
  <si>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</si>
  <si>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</si>
  <si>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</si>
  <si>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</si>
  <si>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</si>
  <si>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</si>
  <si>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</si>
  <si>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</si>
  <si>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</si>
  <si>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</si>
  <si>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</si>
  <si>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</si>
  <si>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2025年10月度給与</t>
    <phoneticPr fontId="4"/>
  </si>
  <si>
    <t>小計</t>
    <rPh sb="0" eb="2">
      <t>ショウケイ</t>
    </rPh>
    <phoneticPr fontId="3"/>
  </si>
  <si>
    <t>16名</t>
    <rPh sb="2" eb="3">
      <t>メイ</t>
    </rPh>
    <phoneticPr fontId="4"/>
  </si>
  <si>
    <t>9名</t>
    <rPh sb="1" eb="2">
      <t>メイ</t>
    </rPh>
    <phoneticPr fontId="4"/>
  </si>
  <si>
    <t>1名</t>
    <rPh sb="1" eb="2">
      <t>メイ</t>
    </rPh>
    <phoneticPr fontId="4"/>
  </si>
  <si>
    <t>26名</t>
    <rPh sb="2" eb="3">
      <t>メイ</t>
    </rPh>
    <phoneticPr fontId="4"/>
  </si>
  <si>
    <t>10名</t>
    <rPh sb="2" eb="3">
      <t>メイ</t>
    </rPh>
    <phoneticPr fontId="4"/>
  </si>
  <si>
    <t>3名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</si>
</sst>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4" xfId="1" applyNumberFormat="1" applyFont="1" applyBorder="1" applyAlignment="1">
      <alignment horizontal="center"/>
    </xf>
    <xf numFmtId="2" fontId="2" fillId="0" borderId="18" xfId="1" applyNumberFormat="1" applyFont="1" applyBorder="1"/>
    <xf numFmtId="176" fontId="2" fillId="0" borderId="18" xfId="1" applyNumberFormat="1" applyFont="1" applyBorder="1"/>
    <xf numFmtId="3" fontId="2" fillId="0" borderId="18" xfId="1" applyNumberFormat="1" applyFont="1" applyBorder="1"/>
    <xf numFmtId="49" fontId="2" fillId="0" borderId="18" xfId="1" applyNumberFormat="1" applyFont="1" applyBorder="1"/>
    <xf numFmtId="3" fontId="2" fillId="0" borderId="19" xfId="1" applyNumberFormat="1" applyFont="1" applyBorder="1"/>
    <xf numFmtId="49" fontId="2" fillId="0" borderId="20" xfId="1" applyNumberFormat="1" applyFont="1" applyBorder="1" applyAlignment="1">
      <alignment horizontal="center"/>
    </xf>
    <xf numFmtId="2" fontId="2" fillId="0" borderId="21" xfId="1" applyNumberFormat="1" applyFont="1" applyBorder="1"/>
    <xf numFmtId="176" fontId="2" fillId="0" borderId="21" xfId="1" applyNumberFormat="1" applyFont="1" applyBorder="1"/>
    <xf numFmtId="3" fontId="2" fillId="0" borderId="21" xfId="1" applyNumberFormat="1" applyFont="1" applyBorder="1"/>
    <xf numFmtId="49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center"/>
    </xf>
    <xf numFmtId="2" fontId="2" fillId="0" borderId="24" xfId="1" applyNumberFormat="1" applyFont="1" applyBorder="1"/>
    <xf numFmtId="176" fontId="2" fillId="0" borderId="24" xfId="1" applyNumberFormat="1" applyFont="1" applyBorder="1"/>
    <xf numFmtId="3" fontId="2" fillId="0" borderId="24" xfId="1" applyNumberFormat="1" applyFont="1" applyBorder="1"/>
    <xf numFmtId="49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31" xfId="1" applyNumberFormat="1" applyFont="1" applyBorder="1"/>
    <xf numFmtId="2" fontId="2" fillId="0" borderId="32" xfId="1" applyNumberFormat="1" applyFont="1" applyBorder="1"/>
    <xf numFmtId="2" fontId="2" fillId="0" borderId="33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9" xfId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49" fontId="2" fillId="0" borderId="25" xfId="1" applyNumberFormat="1" applyFont="1" applyBorder="1" applyAlignment="1">
      <alignment horizontal="center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5" xfId="1" applyNumberFormat="1" applyFont="1" applyBorder="1" applyAlignment="1">
      <alignment horizontal="left"/>
    </xf>
    <xf numFmtId="2" fontId="2" fillId="0" borderId="36" xfId="1" applyNumberFormat="1" applyFont="1" applyBorder="1"/>
    <xf numFmtId="2" fontId="2" fillId="0" borderId="37" xfId="1" applyNumberFormat="1" applyFont="1" applyBorder="1"/>
    <xf numFmtId="2" fontId="2" fillId="0" borderId="38" xfId="1" applyNumberFormat="1" applyFont="1" applyBorder="1"/>
    <xf numFmtId="2" fontId="2" fillId="0" borderId="34" xfId="1" applyNumberFormat="1" applyFont="1" applyBorder="1"/>
    <xf numFmtId="2" fontId="2" fillId="0" borderId="39" xfId="1" applyNumberFormat="1" applyFont="1" applyBorder="1"/>
    <xf numFmtId="2" fontId="2" fillId="0" borderId="40" xfId="1" applyNumberFormat="1" applyFont="1" applyBorder="1"/>
    <xf numFmtId="2" fontId="2" fillId="0" borderId="41" xfId="1" applyNumberFormat="1" applyFont="1" applyBorder="1"/>
    <xf numFmtId="49" fontId="2" fillId="0" borderId="43" xfId="1" applyNumberFormat="1" applyFont="1" applyBorder="1" applyAlignment="1">
      <alignment horizontal="left"/>
    </xf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51" xfId="1" applyNumberFormat="1" applyFont="1" applyBorder="1" applyAlignment="1">
      <alignment horizontal="left"/>
    </xf>
    <xf numFmtId="3" fontId="2" fillId="0" borderId="52" xfId="1" applyNumberFormat="1" applyFont="1" applyBorder="1"/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42" xfId="1" applyNumberFormat="1" applyFont="1" applyBorder="1"/>
    <xf numFmtId="3" fontId="2" fillId="0" borderId="55" xfId="1" applyNumberFormat="1" applyFont="1" applyBorder="1"/>
    <xf numFmtId="3" fontId="2" fillId="0" borderId="56" xfId="1" applyNumberFormat="1" applyFont="1" applyBorder="1"/>
    <xf numFmtId="3" fontId="2" fillId="0" borderId="57" xfId="1" applyNumberFormat="1" applyFont="1" applyBorder="1"/>
    <xf numFmtId="0" fontId="2" fillId="0" borderId="17" xfId="1" applyFont="1" applyBorder="1" applyAlignment="1">
      <alignment horizontal="center"/>
    </xf>
  </cellXfs>
  <cellStyles count="2">
    <cellStyle name="標準" xfId="0" builtinId="0"/>
    <cellStyle name="標準 2" xfId="1" xr:uid="{3B09B7EE-E68F-48A5-BE75-088A11AA03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895C-AA26-40D2-8DD7-25B265D4A884}">
  <dimension ref="A1:AF58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6" sqref="A6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14" width="11.125" style="2" bestFit="1" customWidth="1"/>
    <col min="15" max="15" width="9" style="2" bestFit="1" customWidth="1"/>
    <col min="16" max="16" width="11.125" style="2" bestFit="1" customWidth="1"/>
    <col min="17" max="18" width="9" style="2" bestFit="1" customWidth="1"/>
    <col min="19" max="19" width="9.625" style="2" bestFit="1" customWidth="1"/>
    <col min="20" max="20" width="11.125" style="2" bestFit="1" customWidth="1"/>
    <col min="21" max="21" width="13.25" style="2" bestFit="1" customWidth="1"/>
    <col min="22" max="27" width="11.125" style="2" bestFit="1" customWidth="1"/>
    <col min="28" max="28" width="9" style="2" bestFit="1" customWidth="1"/>
    <col min="29" max="29" width="9.625" style="2" bestFit="1" customWidth="1"/>
    <col min="30" max="30" width="11.125" style="2" bestFit="1" customWidth="1"/>
    <col min="31" max="32" width="9.625" style="2" bestFit="1" customWidth="1"/>
    <col min="33" max="259" width="9" style="2"/>
    <col min="260" max="260" width="2.375" style="2" customWidth="1"/>
    <col min="261" max="261" width="13.25" style="2" bestFit="1" customWidth="1"/>
    <col min="262" max="262" width="11.125" style="2" bestFit="1" customWidth="1"/>
    <col min="263" max="263" width="13.25" style="2" bestFit="1" customWidth="1"/>
    <col min="264" max="264" width="11.125" style="2" bestFit="1" customWidth="1"/>
    <col min="265" max="265" width="9" style="2" bestFit="1"/>
    <col min="266" max="276" width="11.125" style="2" bestFit="1" customWidth="1"/>
    <col min="277" max="277" width="9" style="2" bestFit="1"/>
    <col min="278" max="279" width="11.125" style="2" bestFit="1" customWidth="1"/>
    <col min="280" max="281" width="9" style="2" bestFit="1"/>
    <col min="282" max="286" width="11.125" style="2" bestFit="1" customWidth="1"/>
    <col min="287" max="287" width="9" style="2" bestFit="1"/>
    <col min="288" max="288" width="9.625" style="2" bestFit="1" customWidth="1"/>
    <col min="289" max="515" width="9" style="2"/>
    <col min="516" max="516" width="2.375" style="2" customWidth="1"/>
    <col min="517" max="517" width="13.25" style="2" bestFit="1" customWidth="1"/>
    <col min="518" max="518" width="11.125" style="2" bestFit="1" customWidth="1"/>
    <col min="519" max="519" width="13.25" style="2" bestFit="1" customWidth="1"/>
    <col min="520" max="520" width="11.125" style="2" bestFit="1" customWidth="1"/>
    <col min="521" max="521" width="9" style="2" bestFit="1"/>
    <col min="522" max="532" width="11.125" style="2" bestFit="1" customWidth="1"/>
    <col min="533" max="533" width="9" style="2" bestFit="1"/>
    <col min="534" max="535" width="11.125" style="2" bestFit="1" customWidth="1"/>
    <col min="536" max="537" width="9" style="2" bestFit="1"/>
    <col min="538" max="542" width="11.125" style="2" bestFit="1" customWidth="1"/>
    <col min="543" max="543" width="9" style="2" bestFit="1"/>
    <col min="544" max="544" width="9.625" style="2" bestFit="1" customWidth="1"/>
    <col min="545" max="771" width="9" style="2"/>
    <col min="772" max="772" width="2.375" style="2" customWidth="1"/>
    <col min="773" max="773" width="13.25" style="2" bestFit="1" customWidth="1"/>
    <col min="774" max="774" width="11.125" style="2" bestFit="1" customWidth="1"/>
    <col min="775" max="775" width="13.25" style="2" bestFit="1" customWidth="1"/>
    <col min="776" max="776" width="11.125" style="2" bestFit="1" customWidth="1"/>
    <col min="777" max="777" width="9" style="2" bestFit="1"/>
    <col min="778" max="788" width="11.125" style="2" bestFit="1" customWidth="1"/>
    <col min="789" max="789" width="9" style="2" bestFit="1"/>
    <col min="790" max="791" width="11.125" style="2" bestFit="1" customWidth="1"/>
    <col min="792" max="793" width="9" style="2" bestFit="1"/>
    <col min="794" max="798" width="11.125" style="2" bestFit="1" customWidth="1"/>
    <col min="799" max="799" width="9" style="2" bestFit="1"/>
    <col min="800" max="800" width="9.625" style="2" bestFit="1" customWidth="1"/>
    <col min="801" max="1027" width="9" style="2"/>
    <col min="1028" max="1028" width="2.375" style="2" customWidth="1"/>
    <col min="1029" max="1029" width="13.25" style="2" bestFit="1" customWidth="1"/>
    <col min="1030" max="1030" width="11.125" style="2" bestFit="1" customWidth="1"/>
    <col min="1031" max="1031" width="13.25" style="2" bestFit="1" customWidth="1"/>
    <col min="1032" max="1032" width="11.125" style="2" bestFit="1" customWidth="1"/>
    <col min="1033" max="1033" width="9" style="2" bestFit="1"/>
    <col min="1034" max="1044" width="11.125" style="2" bestFit="1" customWidth="1"/>
    <col min="1045" max="1045" width="9" style="2" bestFit="1"/>
    <col min="1046" max="1047" width="11.125" style="2" bestFit="1" customWidth="1"/>
    <col min="1048" max="1049" width="9" style="2" bestFit="1"/>
    <col min="1050" max="1054" width="11.125" style="2" bestFit="1" customWidth="1"/>
    <col min="1055" max="1055" width="9" style="2" bestFit="1"/>
    <col min="1056" max="1056" width="9.625" style="2" bestFit="1" customWidth="1"/>
    <col min="1057" max="1283" width="9" style="2"/>
    <col min="1284" max="1284" width="2.375" style="2" customWidth="1"/>
    <col min="1285" max="1285" width="13.25" style="2" bestFit="1" customWidth="1"/>
    <col min="1286" max="1286" width="11.125" style="2" bestFit="1" customWidth="1"/>
    <col min="1287" max="1287" width="13.25" style="2" bestFit="1" customWidth="1"/>
    <col min="1288" max="1288" width="11.125" style="2" bestFit="1" customWidth="1"/>
    <col min="1289" max="1289" width="9" style="2" bestFit="1"/>
    <col min="1290" max="1300" width="11.125" style="2" bestFit="1" customWidth="1"/>
    <col min="1301" max="1301" width="9" style="2" bestFit="1"/>
    <col min="1302" max="1303" width="11.125" style="2" bestFit="1" customWidth="1"/>
    <col min="1304" max="1305" width="9" style="2" bestFit="1"/>
    <col min="1306" max="1310" width="11.125" style="2" bestFit="1" customWidth="1"/>
    <col min="1311" max="1311" width="9" style="2" bestFit="1"/>
    <col min="1312" max="1312" width="9.625" style="2" bestFit="1" customWidth="1"/>
    <col min="1313" max="1539" width="9" style="2"/>
    <col min="1540" max="1540" width="2.375" style="2" customWidth="1"/>
    <col min="1541" max="1541" width="13.25" style="2" bestFit="1" customWidth="1"/>
    <col min="1542" max="1542" width="11.125" style="2" bestFit="1" customWidth="1"/>
    <col min="1543" max="1543" width="13.25" style="2" bestFit="1" customWidth="1"/>
    <col min="1544" max="1544" width="11.125" style="2" bestFit="1" customWidth="1"/>
    <col min="1545" max="1545" width="9" style="2" bestFit="1"/>
    <col min="1546" max="1556" width="11.125" style="2" bestFit="1" customWidth="1"/>
    <col min="1557" max="1557" width="9" style="2" bestFit="1"/>
    <col min="1558" max="1559" width="11.125" style="2" bestFit="1" customWidth="1"/>
    <col min="1560" max="1561" width="9" style="2" bestFit="1"/>
    <col min="1562" max="1566" width="11.125" style="2" bestFit="1" customWidth="1"/>
    <col min="1567" max="1567" width="9" style="2" bestFit="1"/>
    <col min="1568" max="1568" width="9.625" style="2" bestFit="1" customWidth="1"/>
    <col min="1569" max="1795" width="9" style="2"/>
    <col min="1796" max="1796" width="2.375" style="2" customWidth="1"/>
    <col min="1797" max="1797" width="13.25" style="2" bestFit="1" customWidth="1"/>
    <col min="1798" max="1798" width="11.125" style="2" bestFit="1" customWidth="1"/>
    <col min="1799" max="1799" width="13.25" style="2" bestFit="1" customWidth="1"/>
    <col min="1800" max="1800" width="11.125" style="2" bestFit="1" customWidth="1"/>
    <col min="1801" max="1801" width="9" style="2" bestFit="1"/>
    <col min="1802" max="1812" width="11.125" style="2" bestFit="1" customWidth="1"/>
    <col min="1813" max="1813" width="9" style="2" bestFit="1"/>
    <col min="1814" max="1815" width="11.125" style="2" bestFit="1" customWidth="1"/>
    <col min="1816" max="1817" width="9" style="2" bestFit="1"/>
    <col min="1818" max="1822" width="11.125" style="2" bestFit="1" customWidth="1"/>
    <col min="1823" max="1823" width="9" style="2" bestFit="1"/>
    <col min="1824" max="1824" width="9.625" style="2" bestFit="1" customWidth="1"/>
    <col min="1825" max="2051" width="9" style="2"/>
    <col min="2052" max="2052" width="2.375" style="2" customWidth="1"/>
    <col min="2053" max="2053" width="13.25" style="2" bestFit="1" customWidth="1"/>
    <col min="2054" max="2054" width="11.125" style="2" bestFit="1" customWidth="1"/>
    <col min="2055" max="2055" width="13.25" style="2" bestFit="1" customWidth="1"/>
    <col min="2056" max="2056" width="11.125" style="2" bestFit="1" customWidth="1"/>
    <col min="2057" max="2057" width="9" style="2" bestFit="1"/>
    <col min="2058" max="2068" width="11.125" style="2" bestFit="1" customWidth="1"/>
    <col min="2069" max="2069" width="9" style="2" bestFit="1"/>
    <col min="2070" max="2071" width="11.125" style="2" bestFit="1" customWidth="1"/>
    <col min="2072" max="2073" width="9" style="2" bestFit="1"/>
    <col min="2074" max="2078" width="11.125" style="2" bestFit="1" customWidth="1"/>
    <col min="2079" max="2079" width="9" style="2" bestFit="1"/>
    <col min="2080" max="2080" width="9.625" style="2" bestFit="1" customWidth="1"/>
    <col min="2081" max="2307" width="9" style="2"/>
    <col min="2308" max="2308" width="2.375" style="2" customWidth="1"/>
    <col min="2309" max="2309" width="13.25" style="2" bestFit="1" customWidth="1"/>
    <col min="2310" max="2310" width="11.125" style="2" bestFit="1" customWidth="1"/>
    <col min="2311" max="2311" width="13.25" style="2" bestFit="1" customWidth="1"/>
    <col min="2312" max="2312" width="11.125" style="2" bestFit="1" customWidth="1"/>
    <col min="2313" max="2313" width="9" style="2" bestFit="1"/>
    <col min="2314" max="2324" width="11.125" style="2" bestFit="1" customWidth="1"/>
    <col min="2325" max="2325" width="9" style="2" bestFit="1"/>
    <col min="2326" max="2327" width="11.125" style="2" bestFit="1" customWidth="1"/>
    <col min="2328" max="2329" width="9" style="2" bestFit="1"/>
    <col min="2330" max="2334" width="11.125" style="2" bestFit="1" customWidth="1"/>
    <col min="2335" max="2335" width="9" style="2" bestFit="1"/>
    <col min="2336" max="2336" width="9.625" style="2" bestFit="1" customWidth="1"/>
    <col min="2337" max="2563" width="9" style="2"/>
    <col min="2564" max="2564" width="2.375" style="2" customWidth="1"/>
    <col min="2565" max="2565" width="13.25" style="2" bestFit="1" customWidth="1"/>
    <col min="2566" max="2566" width="11.125" style="2" bestFit="1" customWidth="1"/>
    <col min="2567" max="2567" width="13.25" style="2" bestFit="1" customWidth="1"/>
    <col min="2568" max="2568" width="11.125" style="2" bestFit="1" customWidth="1"/>
    <col min="2569" max="2569" width="9" style="2" bestFit="1"/>
    <col min="2570" max="2580" width="11.125" style="2" bestFit="1" customWidth="1"/>
    <col min="2581" max="2581" width="9" style="2" bestFit="1"/>
    <col min="2582" max="2583" width="11.125" style="2" bestFit="1" customWidth="1"/>
    <col min="2584" max="2585" width="9" style="2" bestFit="1"/>
    <col min="2586" max="2590" width="11.125" style="2" bestFit="1" customWidth="1"/>
    <col min="2591" max="2591" width="9" style="2" bestFit="1"/>
    <col min="2592" max="2592" width="9.625" style="2" bestFit="1" customWidth="1"/>
    <col min="2593" max="2819" width="9" style="2"/>
    <col min="2820" max="2820" width="2.375" style="2" customWidth="1"/>
    <col min="2821" max="2821" width="13.25" style="2" bestFit="1" customWidth="1"/>
    <col min="2822" max="2822" width="11.125" style="2" bestFit="1" customWidth="1"/>
    <col min="2823" max="2823" width="13.25" style="2" bestFit="1" customWidth="1"/>
    <col min="2824" max="2824" width="11.125" style="2" bestFit="1" customWidth="1"/>
    <col min="2825" max="2825" width="9" style="2" bestFit="1"/>
    <col min="2826" max="2836" width="11.125" style="2" bestFit="1" customWidth="1"/>
    <col min="2837" max="2837" width="9" style="2" bestFit="1"/>
    <col min="2838" max="2839" width="11.125" style="2" bestFit="1" customWidth="1"/>
    <col min="2840" max="2841" width="9" style="2" bestFit="1"/>
    <col min="2842" max="2846" width="11.125" style="2" bestFit="1" customWidth="1"/>
    <col min="2847" max="2847" width="9" style="2" bestFit="1"/>
    <col min="2848" max="2848" width="9.625" style="2" bestFit="1" customWidth="1"/>
    <col min="2849" max="3075" width="9" style="2"/>
    <col min="3076" max="3076" width="2.375" style="2" customWidth="1"/>
    <col min="3077" max="3077" width="13.25" style="2" bestFit="1" customWidth="1"/>
    <col min="3078" max="3078" width="11.125" style="2" bestFit="1" customWidth="1"/>
    <col min="3079" max="3079" width="13.25" style="2" bestFit="1" customWidth="1"/>
    <col min="3080" max="3080" width="11.125" style="2" bestFit="1" customWidth="1"/>
    <col min="3081" max="3081" width="9" style="2" bestFit="1"/>
    <col min="3082" max="3092" width="11.125" style="2" bestFit="1" customWidth="1"/>
    <col min="3093" max="3093" width="9" style="2" bestFit="1"/>
    <col min="3094" max="3095" width="11.125" style="2" bestFit="1" customWidth="1"/>
    <col min="3096" max="3097" width="9" style="2" bestFit="1"/>
    <col min="3098" max="3102" width="11.125" style="2" bestFit="1" customWidth="1"/>
    <col min="3103" max="3103" width="9" style="2" bestFit="1"/>
    <col min="3104" max="3104" width="9.625" style="2" bestFit="1" customWidth="1"/>
    <col min="3105" max="3331" width="9" style="2"/>
    <col min="3332" max="3332" width="2.375" style="2" customWidth="1"/>
    <col min="3333" max="3333" width="13.25" style="2" bestFit="1" customWidth="1"/>
    <col min="3334" max="3334" width="11.125" style="2" bestFit="1" customWidth="1"/>
    <col min="3335" max="3335" width="13.25" style="2" bestFit="1" customWidth="1"/>
    <col min="3336" max="3336" width="11.125" style="2" bestFit="1" customWidth="1"/>
    <col min="3337" max="3337" width="9" style="2" bestFit="1"/>
    <col min="3338" max="3348" width="11.125" style="2" bestFit="1" customWidth="1"/>
    <col min="3349" max="3349" width="9" style="2" bestFit="1"/>
    <col min="3350" max="3351" width="11.125" style="2" bestFit="1" customWidth="1"/>
    <col min="3352" max="3353" width="9" style="2" bestFit="1"/>
    <col min="3354" max="3358" width="11.125" style="2" bestFit="1" customWidth="1"/>
    <col min="3359" max="3359" width="9" style="2" bestFit="1"/>
    <col min="3360" max="3360" width="9.625" style="2" bestFit="1" customWidth="1"/>
    <col min="3361" max="3587" width="9" style="2"/>
    <col min="3588" max="3588" width="2.375" style="2" customWidth="1"/>
    <col min="3589" max="3589" width="13.25" style="2" bestFit="1" customWidth="1"/>
    <col min="3590" max="3590" width="11.125" style="2" bestFit="1" customWidth="1"/>
    <col min="3591" max="3591" width="13.25" style="2" bestFit="1" customWidth="1"/>
    <col min="3592" max="3592" width="11.125" style="2" bestFit="1" customWidth="1"/>
    <col min="3593" max="3593" width="9" style="2" bestFit="1"/>
    <col min="3594" max="3604" width="11.125" style="2" bestFit="1" customWidth="1"/>
    <col min="3605" max="3605" width="9" style="2" bestFit="1"/>
    <col min="3606" max="3607" width="11.125" style="2" bestFit="1" customWidth="1"/>
    <col min="3608" max="3609" width="9" style="2" bestFit="1"/>
    <col min="3610" max="3614" width="11.125" style="2" bestFit="1" customWidth="1"/>
    <col min="3615" max="3615" width="9" style="2" bestFit="1"/>
    <col min="3616" max="3616" width="9.625" style="2" bestFit="1" customWidth="1"/>
    <col min="3617" max="3843" width="9" style="2"/>
    <col min="3844" max="3844" width="2.375" style="2" customWidth="1"/>
    <col min="3845" max="3845" width="13.25" style="2" bestFit="1" customWidth="1"/>
    <col min="3846" max="3846" width="11.125" style="2" bestFit="1" customWidth="1"/>
    <col min="3847" max="3847" width="13.25" style="2" bestFit="1" customWidth="1"/>
    <col min="3848" max="3848" width="11.125" style="2" bestFit="1" customWidth="1"/>
    <col min="3849" max="3849" width="9" style="2" bestFit="1"/>
    <col min="3850" max="3860" width="11.125" style="2" bestFit="1" customWidth="1"/>
    <col min="3861" max="3861" width="9" style="2" bestFit="1"/>
    <col min="3862" max="3863" width="11.125" style="2" bestFit="1" customWidth="1"/>
    <col min="3864" max="3865" width="9" style="2" bestFit="1"/>
    <col min="3866" max="3870" width="11.125" style="2" bestFit="1" customWidth="1"/>
    <col min="3871" max="3871" width="9" style="2" bestFit="1"/>
    <col min="3872" max="3872" width="9.625" style="2" bestFit="1" customWidth="1"/>
    <col min="3873" max="4099" width="9" style="2"/>
    <col min="4100" max="4100" width="2.375" style="2" customWidth="1"/>
    <col min="4101" max="4101" width="13.25" style="2" bestFit="1" customWidth="1"/>
    <col min="4102" max="4102" width="11.125" style="2" bestFit="1" customWidth="1"/>
    <col min="4103" max="4103" width="13.25" style="2" bestFit="1" customWidth="1"/>
    <col min="4104" max="4104" width="11.125" style="2" bestFit="1" customWidth="1"/>
    <col min="4105" max="4105" width="9" style="2" bestFit="1"/>
    <col min="4106" max="4116" width="11.125" style="2" bestFit="1" customWidth="1"/>
    <col min="4117" max="4117" width="9" style="2" bestFit="1"/>
    <col min="4118" max="4119" width="11.125" style="2" bestFit="1" customWidth="1"/>
    <col min="4120" max="4121" width="9" style="2" bestFit="1"/>
    <col min="4122" max="4126" width="11.125" style="2" bestFit="1" customWidth="1"/>
    <col min="4127" max="4127" width="9" style="2" bestFit="1"/>
    <col min="4128" max="4128" width="9.625" style="2" bestFit="1" customWidth="1"/>
    <col min="4129" max="4355" width="9" style="2"/>
    <col min="4356" max="4356" width="2.375" style="2" customWidth="1"/>
    <col min="4357" max="4357" width="13.25" style="2" bestFit="1" customWidth="1"/>
    <col min="4358" max="4358" width="11.125" style="2" bestFit="1" customWidth="1"/>
    <col min="4359" max="4359" width="13.25" style="2" bestFit="1" customWidth="1"/>
    <col min="4360" max="4360" width="11.125" style="2" bestFit="1" customWidth="1"/>
    <col min="4361" max="4361" width="9" style="2" bestFit="1"/>
    <col min="4362" max="4372" width="11.125" style="2" bestFit="1" customWidth="1"/>
    <col min="4373" max="4373" width="9" style="2" bestFit="1"/>
    <col min="4374" max="4375" width="11.125" style="2" bestFit="1" customWidth="1"/>
    <col min="4376" max="4377" width="9" style="2" bestFit="1"/>
    <col min="4378" max="4382" width="11.125" style="2" bestFit="1" customWidth="1"/>
    <col min="4383" max="4383" width="9" style="2" bestFit="1"/>
    <col min="4384" max="4384" width="9.625" style="2" bestFit="1" customWidth="1"/>
    <col min="4385" max="4611" width="9" style="2"/>
    <col min="4612" max="4612" width="2.375" style="2" customWidth="1"/>
    <col min="4613" max="4613" width="13.25" style="2" bestFit="1" customWidth="1"/>
    <col min="4614" max="4614" width="11.125" style="2" bestFit="1" customWidth="1"/>
    <col min="4615" max="4615" width="13.25" style="2" bestFit="1" customWidth="1"/>
    <col min="4616" max="4616" width="11.125" style="2" bestFit="1" customWidth="1"/>
    <col min="4617" max="4617" width="9" style="2" bestFit="1"/>
    <col min="4618" max="4628" width="11.125" style="2" bestFit="1" customWidth="1"/>
    <col min="4629" max="4629" width="9" style="2" bestFit="1"/>
    <col min="4630" max="4631" width="11.125" style="2" bestFit="1" customWidth="1"/>
    <col min="4632" max="4633" width="9" style="2" bestFit="1"/>
    <col min="4634" max="4638" width="11.125" style="2" bestFit="1" customWidth="1"/>
    <col min="4639" max="4639" width="9" style="2" bestFit="1"/>
    <col min="4640" max="4640" width="9.625" style="2" bestFit="1" customWidth="1"/>
    <col min="4641" max="4867" width="9" style="2"/>
    <col min="4868" max="4868" width="2.375" style="2" customWidth="1"/>
    <col min="4869" max="4869" width="13.25" style="2" bestFit="1" customWidth="1"/>
    <col min="4870" max="4870" width="11.125" style="2" bestFit="1" customWidth="1"/>
    <col min="4871" max="4871" width="13.25" style="2" bestFit="1" customWidth="1"/>
    <col min="4872" max="4872" width="11.125" style="2" bestFit="1" customWidth="1"/>
    <col min="4873" max="4873" width="9" style="2" bestFit="1"/>
    <col min="4874" max="4884" width="11.125" style="2" bestFit="1" customWidth="1"/>
    <col min="4885" max="4885" width="9" style="2" bestFit="1"/>
    <col min="4886" max="4887" width="11.125" style="2" bestFit="1" customWidth="1"/>
    <col min="4888" max="4889" width="9" style="2" bestFit="1"/>
    <col min="4890" max="4894" width="11.125" style="2" bestFit="1" customWidth="1"/>
    <col min="4895" max="4895" width="9" style="2" bestFit="1"/>
    <col min="4896" max="4896" width="9.625" style="2" bestFit="1" customWidth="1"/>
    <col min="4897" max="5123" width="9" style="2"/>
    <col min="5124" max="5124" width="2.375" style="2" customWidth="1"/>
    <col min="5125" max="5125" width="13.25" style="2" bestFit="1" customWidth="1"/>
    <col min="5126" max="5126" width="11.125" style="2" bestFit="1" customWidth="1"/>
    <col min="5127" max="5127" width="13.25" style="2" bestFit="1" customWidth="1"/>
    <col min="5128" max="5128" width="11.125" style="2" bestFit="1" customWidth="1"/>
    <col min="5129" max="5129" width="9" style="2" bestFit="1"/>
    <col min="5130" max="5140" width="11.125" style="2" bestFit="1" customWidth="1"/>
    <col min="5141" max="5141" width="9" style="2" bestFit="1"/>
    <col min="5142" max="5143" width="11.125" style="2" bestFit="1" customWidth="1"/>
    <col min="5144" max="5145" width="9" style="2" bestFit="1"/>
    <col min="5146" max="5150" width="11.125" style="2" bestFit="1" customWidth="1"/>
    <col min="5151" max="5151" width="9" style="2" bestFit="1"/>
    <col min="5152" max="5152" width="9.625" style="2" bestFit="1" customWidth="1"/>
    <col min="5153" max="5379" width="9" style="2"/>
    <col min="5380" max="5380" width="2.375" style="2" customWidth="1"/>
    <col min="5381" max="5381" width="13.25" style="2" bestFit="1" customWidth="1"/>
    <col min="5382" max="5382" width="11.125" style="2" bestFit="1" customWidth="1"/>
    <col min="5383" max="5383" width="13.25" style="2" bestFit="1" customWidth="1"/>
    <col min="5384" max="5384" width="11.125" style="2" bestFit="1" customWidth="1"/>
    <col min="5385" max="5385" width="9" style="2" bestFit="1"/>
    <col min="5386" max="5396" width="11.125" style="2" bestFit="1" customWidth="1"/>
    <col min="5397" max="5397" width="9" style="2" bestFit="1"/>
    <col min="5398" max="5399" width="11.125" style="2" bestFit="1" customWidth="1"/>
    <col min="5400" max="5401" width="9" style="2" bestFit="1"/>
    <col min="5402" max="5406" width="11.125" style="2" bestFit="1" customWidth="1"/>
    <col min="5407" max="5407" width="9" style="2" bestFit="1"/>
    <col min="5408" max="5408" width="9.625" style="2" bestFit="1" customWidth="1"/>
    <col min="5409" max="5635" width="9" style="2"/>
    <col min="5636" max="5636" width="2.375" style="2" customWidth="1"/>
    <col min="5637" max="5637" width="13.25" style="2" bestFit="1" customWidth="1"/>
    <col min="5638" max="5638" width="11.125" style="2" bestFit="1" customWidth="1"/>
    <col min="5639" max="5639" width="13.25" style="2" bestFit="1" customWidth="1"/>
    <col min="5640" max="5640" width="11.125" style="2" bestFit="1" customWidth="1"/>
    <col min="5641" max="5641" width="9" style="2" bestFit="1"/>
    <col min="5642" max="5652" width="11.125" style="2" bestFit="1" customWidth="1"/>
    <col min="5653" max="5653" width="9" style="2" bestFit="1"/>
    <col min="5654" max="5655" width="11.125" style="2" bestFit="1" customWidth="1"/>
    <col min="5656" max="5657" width="9" style="2" bestFit="1"/>
    <col min="5658" max="5662" width="11.125" style="2" bestFit="1" customWidth="1"/>
    <col min="5663" max="5663" width="9" style="2" bestFit="1"/>
    <col min="5664" max="5664" width="9.625" style="2" bestFit="1" customWidth="1"/>
    <col min="5665" max="5891" width="9" style="2"/>
    <col min="5892" max="5892" width="2.375" style="2" customWidth="1"/>
    <col min="5893" max="5893" width="13.25" style="2" bestFit="1" customWidth="1"/>
    <col min="5894" max="5894" width="11.125" style="2" bestFit="1" customWidth="1"/>
    <col min="5895" max="5895" width="13.25" style="2" bestFit="1" customWidth="1"/>
    <col min="5896" max="5896" width="11.125" style="2" bestFit="1" customWidth="1"/>
    <col min="5897" max="5897" width="9" style="2" bestFit="1"/>
    <col min="5898" max="5908" width="11.125" style="2" bestFit="1" customWidth="1"/>
    <col min="5909" max="5909" width="9" style="2" bestFit="1"/>
    <col min="5910" max="5911" width="11.125" style="2" bestFit="1" customWidth="1"/>
    <col min="5912" max="5913" width="9" style="2" bestFit="1"/>
    <col min="5914" max="5918" width="11.125" style="2" bestFit="1" customWidth="1"/>
    <col min="5919" max="5919" width="9" style="2" bestFit="1"/>
    <col min="5920" max="5920" width="9.625" style="2" bestFit="1" customWidth="1"/>
    <col min="5921" max="6147" width="9" style="2"/>
    <col min="6148" max="6148" width="2.375" style="2" customWidth="1"/>
    <col min="6149" max="6149" width="13.25" style="2" bestFit="1" customWidth="1"/>
    <col min="6150" max="6150" width="11.125" style="2" bestFit="1" customWidth="1"/>
    <col min="6151" max="6151" width="13.25" style="2" bestFit="1" customWidth="1"/>
    <col min="6152" max="6152" width="11.125" style="2" bestFit="1" customWidth="1"/>
    <col min="6153" max="6153" width="9" style="2" bestFit="1"/>
    <col min="6154" max="6164" width="11.125" style="2" bestFit="1" customWidth="1"/>
    <col min="6165" max="6165" width="9" style="2" bestFit="1"/>
    <col min="6166" max="6167" width="11.125" style="2" bestFit="1" customWidth="1"/>
    <col min="6168" max="6169" width="9" style="2" bestFit="1"/>
    <col min="6170" max="6174" width="11.125" style="2" bestFit="1" customWidth="1"/>
    <col min="6175" max="6175" width="9" style="2" bestFit="1"/>
    <col min="6176" max="6176" width="9.625" style="2" bestFit="1" customWidth="1"/>
    <col min="6177" max="6403" width="9" style="2"/>
    <col min="6404" max="6404" width="2.375" style="2" customWidth="1"/>
    <col min="6405" max="6405" width="13.25" style="2" bestFit="1" customWidth="1"/>
    <col min="6406" max="6406" width="11.125" style="2" bestFit="1" customWidth="1"/>
    <col min="6407" max="6407" width="13.25" style="2" bestFit="1" customWidth="1"/>
    <col min="6408" max="6408" width="11.125" style="2" bestFit="1" customWidth="1"/>
    <col min="6409" max="6409" width="9" style="2" bestFit="1"/>
    <col min="6410" max="6420" width="11.125" style="2" bestFit="1" customWidth="1"/>
    <col min="6421" max="6421" width="9" style="2" bestFit="1"/>
    <col min="6422" max="6423" width="11.125" style="2" bestFit="1" customWidth="1"/>
    <col min="6424" max="6425" width="9" style="2" bestFit="1"/>
    <col min="6426" max="6430" width="11.125" style="2" bestFit="1" customWidth="1"/>
    <col min="6431" max="6431" width="9" style="2" bestFit="1"/>
    <col min="6432" max="6432" width="9.625" style="2" bestFit="1" customWidth="1"/>
    <col min="6433" max="6659" width="9" style="2"/>
    <col min="6660" max="6660" width="2.375" style="2" customWidth="1"/>
    <col min="6661" max="6661" width="13.25" style="2" bestFit="1" customWidth="1"/>
    <col min="6662" max="6662" width="11.125" style="2" bestFit="1" customWidth="1"/>
    <col min="6663" max="6663" width="13.25" style="2" bestFit="1" customWidth="1"/>
    <col min="6664" max="6664" width="11.125" style="2" bestFit="1" customWidth="1"/>
    <col min="6665" max="6665" width="9" style="2" bestFit="1"/>
    <col min="6666" max="6676" width="11.125" style="2" bestFit="1" customWidth="1"/>
    <col min="6677" max="6677" width="9" style="2" bestFit="1"/>
    <col min="6678" max="6679" width="11.125" style="2" bestFit="1" customWidth="1"/>
    <col min="6680" max="6681" width="9" style="2" bestFit="1"/>
    <col min="6682" max="6686" width="11.125" style="2" bestFit="1" customWidth="1"/>
    <col min="6687" max="6687" width="9" style="2" bestFit="1"/>
    <col min="6688" max="6688" width="9.625" style="2" bestFit="1" customWidth="1"/>
    <col min="6689" max="6915" width="9" style="2"/>
    <col min="6916" max="6916" width="2.375" style="2" customWidth="1"/>
    <col min="6917" max="6917" width="13.25" style="2" bestFit="1" customWidth="1"/>
    <col min="6918" max="6918" width="11.125" style="2" bestFit="1" customWidth="1"/>
    <col min="6919" max="6919" width="13.25" style="2" bestFit="1" customWidth="1"/>
    <col min="6920" max="6920" width="11.125" style="2" bestFit="1" customWidth="1"/>
    <col min="6921" max="6921" width="9" style="2" bestFit="1"/>
    <col min="6922" max="6932" width="11.125" style="2" bestFit="1" customWidth="1"/>
    <col min="6933" max="6933" width="9" style="2" bestFit="1"/>
    <col min="6934" max="6935" width="11.125" style="2" bestFit="1" customWidth="1"/>
    <col min="6936" max="6937" width="9" style="2" bestFit="1"/>
    <col min="6938" max="6942" width="11.125" style="2" bestFit="1" customWidth="1"/>
    <col min="6943" max="6943" width="9" style="2" bestFit="1"/>
    <col min="6944" max="6944" width="9.625" style="2" bestFit="1" customWidth="1"/>
    <col min="6945" max="7171" width="9" style="2"/>
    <col min="7172" max="7172" width="2.375" style="2" customWidth="1"/>
    <col min="7173" max="7173" width="13.25" style="2" bestFit="1" customWidth="1"/>
    <col min="7174" max="7174" width="11.125" style="2" bestFit="1" customWidth="1"/>
    <col min="7175" max="7175" width="13.25" style="2" bestFit="1" customWidth="1"/>
    <col min="7176" max="7176" width="11.125" style="2" bestFit="1" customWidth="1"/>
    <col min="7177" max="7177" width="9" style="2" bestFit="1"/>
    <col min="7178" max="7188" width="11.125" style="2" bestFit="1" customWidth="1"/>
    <col min="7189" max="7189" width="9" style="2" bestFit="1"/>
    <col min="7190" max="7191" width="11.125" style="2" bestFit="1" customWidth="1"/>
    <col min="7192" max="7193" width="9" style="2" bestFit="1"/>
    <col min="7194" max="7198" width="11.125" style="2" bestFit="1" customWidth="1"/>
    <col min="7199" max="7199" width="9" style="2" bestFit="1"/>
    <col min="7200" max="7200" width="9.625" style="2" bestFit="1" customWidth="1"/>
    <col min="7201" max="7427" width="9" style="2"/>
    <col min="7428" max="7428" width="2.375" style="2" customWidth="1"/>
    <col min="7429" max="7429" width="13.25" style="2" bestFit="1" customWidth="1"/>
    <col min="7430" max="7430" width="11.125" style="2" bestFit="1" customWidth="1"/>
    <col min="7431" max="7431" width="13.25" style="2" bestFit="1" customWidth="1"/>
    <col min="7432" max="7432" width="11.125" style="2" bestFit="1" customWidth="1"/>
    <col min="7433" max="7433" width="9" style="2" bestFit="1"/>
    <col min="7434" max="7444" width="11.125" style="2" bestFit="1" customWidth="1"/>
    <col min="7445" max="7445" width="9" style="2" bestFit="1"/>
    <col min="7446" max="7447" width="11.125" style="2" bestFit="1" customWidth="1"/>
    <col min="7448" max="7449" width="9" style="2" bestFit="1"/>
    <col min="7450" max="7454" width="11.125" style="2" bestFit="1" customWidth="1"/>
    <col min="7455" max="7455" width="9" style="2" bestFit="1"/>
    <col min="7456" max="7456" width="9.625" style="2" bestFit="1" customWidth="1"/>
    <col min="7457" max="7683" width="9" style="2"/>
    <col min="7684" max="7684" width="2.375" style="2" customWidth="1"/>
    <col min="7685" max="7685" width="13.25" style="2" bestFit="1" customWidth="1"/>
    <col min="7686" max="7686" width="11.125" style="2" bestFit="1" customWidth="1"/>
    <col min="7687" max="7687" width="13.25" style="2" bestFit="1" customWidth="1"/>
    <col min="7688" max="7688" width="11.125" style="2" bestFit="1" customWidth="1"/>
    <col min="7689" max="7689" width="9" style="2" bestFit="1"/>
    <col min="7690" max="7700" width="11.125" style="2" bestFit="1" customWidth="1"/>
    <col min="7701" max="7701" width="9" style="2" bestFit="1"/>
    <col min="7702" max="7703" width="11.125" style="2" bestFit="1" customWidth="1"/>
    <col min="7704" max="7705" width="9" style="2" bestFit="1"/>
    <col min="7706" max="7710" width="11.125" style="2" bestFit="1" customWidth="1"/>
    <col min="7711" max="7711" width="9" style="2" bestFit="1"/>
    <col min="7712" max="7712" width="9.625" style="2" bestFit="1" customWidth="1"/>
    <col min="7713" max="7939" width="9" style="2"/>
    <col min="7940" max="7940" width="2.375" style="2" customWidth="1"/>
    <col min="7941" max="7941" width="13.25" style="2" bestFit="1" customWidth="1"/>
    <col min="7942" max="7942" width="11.125" style="2" bestFit="1" customWidth="1"/>
    <col min="7943" max="7943" width="13.25" style="2" bestFit="1" customWidth="1"/>
    <col min="7944" max="7944" width="11.125" style="2" bestFit="1" customWidth="1"/>
    <col min="7945" max="7945" width="9" style="2" bestFit="1"/>
    <col min="7946" max="7956" width="11.125" style="2" bestFit="1" customWidth="1"/>
    <col min="7957" max="7957" width="9" style="2" bestFit="1"/>
    <col min="7958" max="7959" width="11.125" style="2" bestFit="1" customWidth="1"/>
    <col min="7960" max="7961" width="9" style="2" bestFit="1"/>
    <col min="7962" max="7966" width="11.125" style="2" bestFit="1" customWidth="1"/>
    <col min="7967" max="7967" width="9" style="2" bestFit="1"/>
    <col min="7968" max="7968" width="9.625" style="2" bestFit="1" customWidth="1"/>
    <col min="7969" max="8195" width="9" style="2"/>
    <col min="8196" max="8196" width="2.375" style="2" customWidth="1"/>
    <col min="8197" max="8197" width="13.25" style="2" bestFit="1" customWidth="1"/>
    <col min="8198" max="8198" width="11.125" style="2" bestFit="1" customWidth="1"/>
    <col min="8199" max="8199" width="13.25" style="2" bestFit="1" customWidth="1"/>
    <col min="8200" max="8200" width="11.125" style="2" bestFit="1" customWidth="1"/>
    <col min="8201" max="8201" width="9" style="2" bestFit="1"/>
    <col min="8202" max="8212" width="11.125" style="2" bestFit="1" customWidth="1"/>
    <col min="8213" max="8213" width="9" style="2" bestFit="1"/>
    <col min="8214" max="8215" width="11.125" style="2" bestFit="1" customWidth="1"/>
    <col min="8216" max="8217" width="9" style="2" bestFit="1"/>
    <col min="8218" max="8222" width="11.125" style="2" bestFit="1" customWidth="1"/>
    <col min="8223" max="8223" width="9" style="2" bestFit="1"/>
    <col min="8224" max="8224" width="9.625" style="2" bestFit="1" customWidth="1"/>
    <col min="8225" max="8451" width="9" style="2"/>
    <col min="8452" max="8452" width="2.375" style="2" customWidth="1"/>
    <col min="8453" max="8453" width="13.25" style="2" bestFit="1" customWidth="1"/>
    <col min="8454" max="8454" width="11.125" style="2" bestFit="1" customWidth="1"/>
    <col min="8455" max="8455" width="13.25" style="2" bestFit="1" customWidth="1"/>
    <col min="8456" max="8456" width="11.125" style="2" bestFit="1" customWidth="1"/>
    <col min="8457" max="8457" width="9" style="2" bestFit="1"/>
    <col min="8458" max="8468" width="11.125" style="2" bestFit="1" customWidth="1"/>
    <col min="8469" max="8469" width="9" style="2" bestFit="1"/>
    <col min="8470" max="8471" width="11.125" style="2" bestFit="1" customWidth="1"/>
    <col min="8472" max="8473" width="9" style="2" bestFit="1"/>
    <col min="8474" max="8478" width="11.125" style="2" bestFit="1" customWidth="1"/>
    <col min="8479" max="8479" width="9" style="2" bestFit="1"/>
    <col min="8480" max="8480" width="9.625" style="2" bestFit="1" customWidth="1"/>
    <col min="8481" max="8707" width="9" style="2"/>
    <col min="8708" max="8708" width="2.375" style="2" customWidth="1"/>
    <col min="8709" max="8709" width="13.25" style="2" bestFit="1" customWidth="1"/>
    <col min="8710" max="8710" width="11.125" style="2" bestFit="1" customWidth="1"/>
    <col min="8711" max="8711" width="13.25" style="2" bestFit="1" customWidth="1"/>
    <col min="8712" max="8712" width="11.125" style="2" bestFit="1" customWidth="1"/>
    <col min="8713" max="8713" width="9" style="2" bestFit="1"/>
    <col min="8714" max="8724" width="11.125" style="2" bestFit="1" customWidth="1"/>
    <col min="8725" max="8725" width="9" style="2" bestFit="1"/>
    <col min="8726" max="8727" width="11.125" style="2" bestFit="1" customWidth="1"/>
    <col min="8728" max="8729" width="9" style="2" bestFit="1"/>
    <col min="8730" max="8734" width="11.125" style="2" bestFit="1" customWidth="1"/>
    <col min="8735" max="8735" width="9" style="2" bestFit="1"/>
    <col min="8736" max="8736" width="9.625" style="2" bestFit="1" customWidth="1"/>
    <col min="8737" max="8963" width="9" style="2"/>
    <col min="8964" max="8964" width="2.375" style="2" customWidth="1"/>
    <col min="8965" max="8965" width="13.25" style="2" bestFit="1" customWidth="1"/>
    <col min="8966" max="8966" width="11.125" style="2" bestFit="1" customWidth="1"/>
    <col min="8967" max="8967" width="13.25" style="2" bestFit="1" customWidth="1"/>
    <col min="8968" max="8968" width="11.125" style="2" bestFit="1" customWidth="1"/>
    <col min="8969" max="8969" width="9" style="2" bestFit="1"/>
    <col min="8970" max="8980" width="11.125" style="2" bestFit="1" customWidth="1"/>
    <col min="8981" max="8981" width="9" style="2" bestFit="1"/>
    <col min="8982" max="8983" width="11.125" style="2" bestFit="1" customWidth="1"/>
    <col min="8984" max="8985" width="9" style="2" bestFit="1"/>
    <col min="8986" max="8990" width="11.125" style="2" bestFit="1" customWidth="1"/>
    <col min="8991" max="8991" width="9" style="2" bestFit="1"/>
    <col min="8992" max="8992" width="9.625" style="2" bestFit="1" customWidth="1"/>
    <col min="8993" max="9219" width="9" style="2"/>
    <col min="9220" max="9220" width="2.375" style="2" customWidth="1"/>
    <col min="9221" max="9221" width="13.25" style="2" bestFit="1" customWidth="1"/>
    <col min="9222" max="9222" width="11.125" style="2" bestFit="1" customWidth="1"/>
    <col min="9223" max="9223" width="13.25" style="2" bestFit="1" customWidth="1"/>
    <col min="9224" max="9224" width="11.125" style="2" bestFit="1" customWidth="1"/>
    <col min="9225" max="9225" width="9" style="2" bestFit="1"/>
    <col min="9226" max="9236" width="11.125" style="2" bestFit="1" customWidth="1"/>
    <col min="9237" max="9237" width="9" style="2" bestFit="1"/>
    <col min="9238" max="9239" width="11.125" style="2" bestFit="1" customWidth="1"/>
    <col min="9240" max="9241" width="9" style="2" bestFit="1"/>
    <col min="9242" max="9246" width="11.125" style="2" bestFit="1" customWidth="1"/>
    <col min="9247" max="9247" width="9" style="2" bestFit="1"/>
    <col min="9248" max="9248" width="9.625" style="2" bestFit="1" customWidth="1"/>
    <col min="9249" max="9475" width="9" style="2"/>
    <col min="9476" max="9476" width="2.375" style="2" customWidth="1"/>
    <col min="9477" max="9477" width="13.25" style="2" bestFit="1" customWidth="1"/>
    <col min="9478" max="9478" width="11.125" style="2" bestFit="1" customWidth="1"/>
    <col min="9479" max="9479" width="13.25" style="2" bestFit="1" customWidth="1"/>
    <col min="9480" max="9480" width="11.125" style="2" bestFit="1" customWidth="1"/>
    <col min="9481" max="9481" width="9" style="2" bestFit="1"/>
    <col min="9482" max="9492" width="11.125" style="2" bestFit="1" customWidth="1"/>
    <col min="9493" max="9493" width="9" style="2" bestFit="1"/>
    <col min="9494" max="9495" width="11.125" style="2" bestFit="1" customWidth="1"/>
    <col min="9496" max="9497" width="9" style="2" bestFit="1"/>
    <col min="9498" max="9502" width="11.125" style="2" bestFit="1" customWidth="1"/>
    <col min="9503" max="9503" width="9" style="2" bestFit="1"/>
    <col min="9504" max="9504" width="9.625" style="2" bestFit="1" customWidth="1"/>
    <col min="9505" max="9731" width="9" style="2"/>
    <col min="9732" max="9732" width="2.375" style="2" customWidth="1"/>
    <col min="9733" max="9733" width="13.25" style="2" bestFit="1" customWidth="1"/>
    <col min="9734" max="9734" width="11.125" style="2" bestFit="1" customWidth="1"/>
    <col min="9735" max="9735" width="13.25" style="2" bestFit="1" customWidth="1"/>
    <col min="9736" max="9736" width="11.125" style="2" bestFit="1" customWidth="1"/>
    <col min="9737" max="9737" width="9" style="2" bestFit="1"/>
    <col min="9738" max="9748" width="11.125" style="2" bestFit="1" customWidth="1"/>
    <col min="9749" max="9749" width="9" style="2" bestFit="1"/>
    <col min="9750" max="9751" width="11.125" style="2" bestFit="1" customWidth="1"/>
    <col min="9752" max="9753" width="9" style="2" bestFit="1"/>
    <col min="9754" max="9758" width="11.125" style="2" bestFit="1" customWidth="1"/>
    <col min="9759" max="9759" width="9" style="2" bestFit="1"/>
    <col min="9760" max="9760" width="9.625" style="2" bestFit="1" customWidth="1"/>
    <col min="9761" max="9987" width="9" style="2"/>
    <col min="9988" max="9988" width="2.375" style="2" customWidth="1"/>
    <col min="9989" max="9989" width="13.25" style="2" bestFit="1" customWidth="1"/>
    <col min="9990" max="9990" width="11.125" style="2" bestFit="1" customWidth="1"/>
    <col min="9991" max="9991" width="13.25" style="2" bestFit="1" customWidth="1"/>
    <col min="9992" max="9992" width="11.125" style="2" bestFit="1" customWidth="1"/>
    <col min="9993" max="9993" width="9" style="2" bestFit="1"/>
    <col min="9994" max="10004" width="11.125" style="2" bestFit="1" customWidth="1"/>
    <col min="10005" max="10005" width="9" style="2" bestFit="1"/>
    <col min="10006" max="10007" width="11.125" style="2" bestFit="1" customWidth="1"/>
    <col min="10008" max="10009" width="9" style="2" bestFit="1"/>
    <col min="10010" max="10014" width="11.125" style="2" bestFit="1" customWidth="1"/>
    <col min="10015" max="10015" width="9" style="2" bestFit="1"/>
    <col min="10016" max="10016" width="9.625" style="2" bestFit="1" customWidth="1"/>
    <col min="10017" max="10243" width="9" style="2"/>
    <col min="10244" max="10244" width="2.375" style="2" customWidth="1"/>
    <col min="10245" max="10245" width="13.25" style="2" bestFit="1" customWidth="1"/>
    <col min="10246" max="10246" width="11.125" style="2" bestFit="1" customWidth="1"/>
    <col min="10247" max="10247" width="13.25" style="2" bestFit="1" customWidth="1"/>
    <col min="10248" max="10248" width="11.125" style="2" bestFit="1" customWidth="1"/>
    <col min="10249" max="10249" width="9" style="2" bestFit="1"/>
    <col min="10250" max="10260" width="11.125" style="2" bestFit="1" customWidth="1"/>
    <col min="10261" max="10261" width="9" style="2" bestFit="1"/>
    <col min="10262" max="10263" width="11.125" style="2" bestFit="1" customWidth="1"/>
    <col min="10264" max="10265" width="9" style="2" bestFit="1"/>
    <col min="10266" max="10270" width="11.125" style="2" bestFit="1" customWidth="1"/>
    <col min="10271" max="10271" width="9" style="2" bestFit="1"/>
    <col min="10272" max="10272" width="9.625" style="2" bestFit="1" customWidth="1"/>
    <col min="10273" max="10499" width="9" style="2"/>
    <col min="10500" max="10500" width="2.375" style="2" customWidth="1"/>
    <col min="10501" max="10501" width="13.25" style="2" bestFit="1" customWidth="1"/>
    <col min="10502" max="10502" width="11.125" style="2" bestFit="1" customWidth="1"/>
    <col min="10503" max="10503" width="13.25" style="2" bestFit="1" customWidth="1"/>
    <col min="10504" max="10504" width="11.125" style="2" bestFit="1" customWidth="1"/>
    <col min="10505" max="10505" width="9" style="2" bestFit="1"/>
    <col min="10506" max="10516" width="11.125" style="2" bestFit="1" customWidth="1"/>
    <col min="10517" max="10517" width="9" style="2" bestFit="1"/>
    <col min="10518" max="10519" width="11.125" style="2" bestFit="1" customWidth="1"/>
    <col min="10520" max="10521" width="9" style="2" bestFit="1"/>
    <col min="10522" max="10526" width="11.125" style="2" bestFit="1" customWidth="1"/>
    <col min="10527" max="10527" width="9" style="2" bestFit="1"/>
    <col min="10528" max="10528" width="9.625" style="2" bestFit="1" customWidth="1"/>
    <col min="10529" max="10755" width="9" style="2"/>
    <col min="10756" max="10756" width="2.375" style="2" customWidth="1"/>
    <col min="10757" max="10757" width="13.25" style="2" bestFit="1" customWidth="1"/>
    <col min="10758" max="10758" width="11.125" style="2" bestFit="1" customWidth="1"/>
    <col min="10759" max="10759" width="13.25" style="2" bestFit="1" customWidth="1"/>
    <col min="10760" max="10760" width="11.125" style="2" bestFit="1" customWidth="1"/>
    <col min="10761" max="10761" width="9" style="2" bestFit="1"/>
    <col min="10762" max="10772" width="11.125" style="2" bestFit="1" customWidth="1"/>
    <col min="10773" max="10773" width="9" style="2" bestFit="1"/>
    <col min="10774" max="10775" width="11.125" style="2" bestFit="1" customWidth="1"/>
    <col min="10776" max="10777" width="9" style="2" bestFit="1"/>
    <col min="10778" max="10782" width="11.125" style="2" bestFit="1" customWidth="1"/>
    <col min="10783" max="10783" width="9" style="2" bestFit="1"/>
    <col min="10784" max="10784" width="9.625" style="2" bestFit="1" customWidth="1"/>
    <col min="10785" max="11011" width="9" style="2"/>
    <col min="11012" max="11012" width="2.375" style="2" customWidth="1"/>
    <col min="11013" max="11013" width="13.25" style="2" bestFit="1" customWidth="1"/>
    <col min="11014" max="11014" width="11.125" style="2" bestFit="1" customWidth="1"/>
    <col min="11015" max="11015" width="13.25" style="2" bestFit="1" customWidth="1"/>
    <col min="11016" max="11016" width="11.125" style="2" bestFit="1" customWidth="1"/>
    <col min="11017" max="11017" width="9" style="2" bestFit="1"/>
    <col min="11018" max="11028" width="11.125" style="2" bestFit="1" customWidth="1"/>
    <col min="11029" max="11029" width="9" style="2" bestFit="1"/>
    <col min="11030" max="11031" width="11.125" style="2" bestFit="1" customWidth="1"/>
    <col min="11032" max="11033" width="9" style="2" bestFit="1"/>
    <col min="11034" max="11038" width="11.125" style="2" bestFit="1" customWidth="1"/>
    <col min="11039" max="11039" width="9" style="2" bestFit="1"/>
    <col min="11040" max="11040" width="9.625" style="2" bestFit="1" customWidth="1"/>
    <col min="11041" max="11267" width="9" style="2"/>
    <col min="11268" max="11268" width="2.375" style="2" customWidth="1"/>
    <col min="11269" max="11269" width="13.25" style="2" bestFit="1" customWidth="1"/>
    <col min="11270" max="11270" width="11.125" style="2" bestFit="1" customWidth="1"/>
    <col min="11271" max="11271" width="13.25" style="2" bestFit="1" customWidth="1"/>
    <col min="11272" max="11272" width="11.125" style="2" bestFit="1" customWidth="1"/>
    <col min="11273" max="11273" width="9" style="2" bestFit="1"/>
    <col min="11274" max="11284" width="11.125" style="2" bestFit="1" customWidth="1"/>
    <col min="11285" max="11285" width="9" style="2" bestFit="1"/>
    <col min="11286" max="11287" width="11.125" style="2" bestFit="1" customWidth="1"/>
    <col min="11288" max="11289" width="9" style="2" bestFit="1"/>
    <col min="11290" max="11294" width="11.125" style="2" bestFit="1" customWidth="1"/>
    <col min="11295" max="11295" width="9" style="2" bestFit="1"/>
    <col min="11296" max="11296" width="9.625" style="2" bestFit="1" customWidth="1"/>
    <col min="11297" max="11523" width="9" style="2"/>
    <col min="11524" max="11524" width="2.375" style="2" customWidth="1"/>
    <col min="11525" max="11525" width="13.25" style="2" bestFit="1" customWidth="1"/>
    <col min="11526" max="11526" width="11.125" style="2" bestFit="1" customWidth="1"/>
    <col min="11527" max="11527" width="13.25" style="2" bestFit="1" customWidth="1"/>
    <col min="11528" max="11528" width="11.125" style="2" bestFit="1" customWidth="1"/>
    <col min="11529" max="11529" width="9" style="2" bestFit="1"/>
    <col min="11530" max="11540" width="11.125" style="2" bestFit="1" customWidth="1"/>
    <col min="11541" max="11541" width="9" style="2" bestFit="1"/>
    <col min="11542" max="11543" width="11.125" style="2" bestFit="1" customWidth="1"/>
    <col min="11544" max="11545" width="9" style="2" bestFit="1"/>
    <col min="11546" max="11550" width="11.125" style="2" bestFit="1" customWidth="1"/>
    <col min="11551" max="11551" width="9" style="2" bestFit="1"/>
    <col min="11552" max="11552" width="9.625" style="2" bestFit="1" customWidth="1"/>
    <col min="11553" max="11779" width="9" style="2"/>
    <col min="11780" max="11780" width="2.375" style="2" customWidth="1"/>
    <col min="11781" max="11781" width="13.25" style="2" bestFit="1" customWidth="1"/>
    <col min="11782" max="11782" width="11.125" style="2" bestFit="1" customWidth="1"/>
    <col min="11783" max="11783" width="13.25" style="2" bestFit="1" customWidth="1"/>
    <col min="11784" max="11784" width="11.125" style="2" bestFit="1" customWidth="1"/>
    <col min="11785" max="11785" width="9" style="2" bestFit="1"/>
    <col min="11786" max="11796" width="11.125" style="2" bestFit="1" customWidth="1"/>
    <col min="11797" max="11797" width="9" style="2" bestFit="1"/>
    <col min="11798" max="11799" width="11.125" style="2" bestFit="1" customWidth="1"/>
    <col min="11800" max="11801" width="9" style="2" bestFit="1"/>
    <col min="11802" max="11806" width="11.125" style="2" bestFit="1" customWidth="1"/>
    <col min="11807" max="11807" width="9" style="2" bestFit="1"/>
    <col min="11808" max="11808" width="9.625" style="2" bestFit="1" customWidth="1"/>
    <col min="11809" max="12035" width="9" style="2"/>
    <col min="12036" max="12036" width="2.375" style="2" customWidth="1"/>
    <col min="12037" max="12037" width="13.25" style="2" bestFit="1" customWidth="1"/>
    <col min="12038" max="12038" width="11.125" style="2" bestFit="1" customWidth="1"/>
    <col min="12039" max="12039" width="13.25" style="2" bestFit="1" customWidth="1"/>
    <col min="12040" max="12040" width="11.125" style="2" bestFit="1" customWidth="1"/>
    <col min="12041" max="12041" width="9" style="2" bestFit="1"/>
    <col min="12042" max="12052" width="11.125" style="2" bestFit="1" customWidth="1"/>
    <col min="12053" max="12053" width="9" style="2" bestFit="1"/>
    <col min="12054" max="12055" width="11.125" style="2" bestFit="1" customWidth="1"/>
    <col min="12056" max="12057" width="9" style="2" bestFit="1"/>
    <col min="12058" max="12062" width="11.125" style="2" bestFit="1" customWidth="1"/>
    <col min="12063" max="12063" width="9" style="2" bestFit="1"/>
    <col min="12064" max="12064" width="9.625" style="2" bestFit="1" customWidth="1"/>
    <col min="12065" max="12291" width="9" style="2"/>
    <col min="12292" max="12292" width="2.375" style="2" customWidth="1"/>
    <col min="12293" max="12293" width="13.25" style="2" bestFit="1" customWidth="1"/>
    <col min="12294" max="12294" width="11.125" style="2" bestFit="1" customWidth="1"/>
    <col min="12295" max="12295" width="13.25" style="2" bestFit="1" customWidth="1"/>
    <col min="12296" max="12296" width="11.125" style="2" bestFit="1" customWidth="1"/>
    <col min="12297" max="12297" width="9" style="2" bestFit="1"/>
    <col min="12298" max="12308" width="11.125" style="2" bestFit="1" customWidth="1"/>
    <col min="12309" max="12309" width="9" style="2" bestFit="1"/>
    <col min="12310" max="12311" width="11.125" style="2" bestFit="1" customWidth="1"/>
    <col min="12312" max="12313" width="9" style="2" bestFit="1"/>
    <col min="12314" max="12318" width="11.125" style="2" bestFit="1" customWidth="1"/>
    <col min="12319" max="12319" width="9" style="2" bestFit="1"/>
    <col min="12320" max="12320" width="9.625" style="2" bestFit="1" customWidth="1"/>
    <col min="12321" max="12547" width="9" style="2"/>
    <col min="12548" max="12548" width="2.375" style="2" customWidth="1"/>
    <col min="12549" max="12549" width="13.25" style="2" bestFit="1" customWidth="1"/>
    <col min="12550" max="12550" width="11.125" style="2" bestFit="1" customWidth="1"/>
    <col min="12551" max="12551" width="13.25" style="2" bestFit="1" customWidth="1"/>
    <col min="12552" max="12552" width="11.125" style="2" bestFit="1" customWidth="1"/>
    <col min="12553" max="12553" width="9" style="2" bestFit="1"/>
    <col min="12554" max="12564" width="11.125" style="2" bestFit="1" customWidth="1"/>
    <col min="12565" max="12565" width="9" style="2" bestFit="1"/>
    <col min="12566" max="12567" width="11.125" style="2" bestFit="1" customWidth="1"/>
    <col min="12568" max="12569" width="9" style="2" bestFit="1"/>
    <col min="12570" max="12574" width="11.125" style="2" bestFit="1" customWidth="1"/>
    <col min="12575" max="12575" width="9" style="2" bestFit="1"/>
    <col min="12576" max="12576" width="9.625" style="2" bestFit="1" customWidth="1"/>
    <col min="12577" max="12803" width="9" style="2"/>
    <col min="12804" max="12804" width="2.375" style="2" customWidth="1"/>
    <col min="12805" max="12805" width="13.25" style="2" bestFit="1" customWidth="1"/>
    <col min="12806" max="12806" width="11.125" style="2" bestFit="1" customWidth="1"/>
    <col min="12807" max="12807" width="13.25" style="2" bestFit="1" customWidth="1"/>
    <col min="12808" max="12808" width="11.125" style="2" bestFit="1" customWidth="1"/>
    <col min="12809" max="12809" width="9" style="2" bestFit="1"/>
    <col min="12810" max="12820" width="11.125" style="2" bestFit="1" customWidth="1"/>
    <col min="12821" max="12821" width="9" style="2" bestFit="1"/>
    <col min="12822" max="12823" width="11.125" style="2" bestFit="1" customWidth="1"/>
    <col min="12824" max="12825" width="9" style="2" bestFit="1"/>
    <col min="12826" max="12830" width="11.125" style="2" bestFit="1" customWidth="1"/>
    <col min="12831" max="12831" width="9" style="2" bestFit="1"/>
    <col min="12832" max="12832" width="9.625" style="2" bestFit="1" customWidth="1"/>
    <col min="12833" max="13059" width="9" style="2"/>
    <col min="13060" max="13060" width="2.375" style="2" customWidth="1"/>
    <col min="13061" max="13061" width="13.25" style="2" bestFit="1" customWidth="1"/>
    <col min="13062" max="13062" width="11.125" style="2" bestFit="1" customWidth="1"/>
    <col min="13063" max="13063" width="13.25" style="2" bestFit="1" customWidth="1"/>
    <col min="13064" max="13064" width="11.125" style="2" bestFit="1" customWidth="1"/>
    <col min="13065" max="13065" width="9" style="2" bestFit="1"/>
    <col min="13066" max="13076" width="11.125" style="2" bestFit="1" customWidth="1"/>
    <col min="13077" max="13077" width="9" style="2" bestFit="1"/>
    <col min="13078" max="13079" width="11.125" style="2" bestFit="1" customWidth="1"/>
    <col min="13080" max="13081" width="9" style="2" bestFit="1"/>
    <col min="13082" max="13086" width="11.125" style="2" bestFit="1" customWidth="1"/>
    <col min="13087" max="13087" width="9" style="2" bestFit="1"/>
    <col min="13088" max="13088" width="9.625" style="2" bestFit="1" customWidth="1"/>
    <col min="13089" max="13315" width="9" style="2"/>
    <col min="13316" max="13316" width="2.375" style="2" customWidth="1"/>
    <col min="13317" max="13317" width="13.25" style="2" bestFit="1" customWidth="1"/>
    <col min="13318" max="13318" width="11.125" style="2" bestFit="1" customWidth="1"/>
    <col min="13319" max="13319" width="13.25" style="2" bestFit="1" customWidth="1"/>
    <col min="13320" max="13320" width="11.125" style="2" bestFit="1" customWidth="1"/>
    <col min="13321" max="13321" width="9" style="2" bestFit="1"/>
    <col min="13322" max="13332" width="11.125" style="2" bestFit="1" customWidth="1"/>
    <col min="13333" max="13333" width="9" style="2" bestFit="1"/>
    <col min="13334" max="13335" width="11.125" style="2" bestFit="1" customWidth="1"/>
    <col min="13336" max="13337" width="9" style="2" bestFit="1"/>
    <col min="13338" max="13342" width="11.125" style="2" bestFit="1" customWidth="1"/>
    <col min="13343" max="13343" width="9" style="2" bestFit="1"/>
    <col min="13344" max="13344" width="9.625" style="2" bestFit="1" customWidth="1"/>
    <col min="13345" max="13571" width="9" style="2"/>
    <col min="13572" max="13572" width="2.375" style="2" customWidth="1"/>
    <col min="13573" max="13573" width="13.25" style="2" bestFit="1" customWidth="1"/>
    <col min="13574" max="13574" width="11.125" style="2" bestFit="1" customWidth="1"/>
    <col min="13575" max="13575" width="13.25" style="2" bestFit="1" customWidth="1"/>
    <col min="13576" max="13576" width="11.125" style="2" bestFit="1" customWidth="1"/>
    <col min="13577" max="13577" width="9" style="2" bestFit="1"/>
    <col min="13578" max="13588" width="11.125" style="2" bestFit="1" customWidth="1"/>
    <col min="13589" max="13589" width="9" style="2" bestFit="1"/>
    <col min="13590" max="13591" width="11.125" style="2" bestFit="1" customWidth="1"/>
    <col min="13592" max="13593" width="9" style="2" bestFit="1"/>
    <col min="13594" max="13598" width="11.125" style="2" bestFit="1" customWidth="1"/>
    <col min="13599" max="13599" width="9" style="2" bestFit="1"/>
    <col min="13600" max="13600" width="9.625" style="2" bestFit="1" customWidth="1"/>
    <col min="13601" max="13827" width="9" style="2"/>
    <col min="13828" max="13828" width="2.375" style="2" customWidth="1"/>
    <col min="13829" max="13829" width="13.25" style="2" bestFit="1" customWidth="1"/>
    <col min="13830" max="13830" width="11.125" style="2" bestFit="1" customWidth="1"/>
    <col min="13831" max="13831" width="13.25" style="2" bestFit="1" customWidth="1"/>
    <col min="13832" max="13832" width="11.125" style="2" bestFit="1" customWidth="1"/>
    <col min="13833" max="13833" width="9" style="2" bestFit="1"/>
    <col min="13834" max="13844" width="11.125" style="2" bestFit="1" customWidth="1"/>
    <col min="13845" max="13845" width="9" style="2" bestFit="1"/>
    <col min="13846" max="13847" width="11.125" style="2" bestFit="1" customWidth="1"/>
    <col min="13848" max="13849" width="9" style="2" bestFit="1"/>
    <col min="13850" max="13854" width="11.125" style="2" bestFit="1" customWidth="1"/>
    <col min="13855" max="13855" width="9" style="2" bestFit="1"/>
    <col min="13856" max="13856" width="9.625" style="2" bestFit="1" customWidth="1"/>
    <col min="13857" max="14083" width="9" style="2"/>
    <col min="14084" max="14084" width="2.375" style="2" customWidth="1"/>
    <col min="14085" max="14085" width="13.25" style="2" bestFit="1" customWidth="1"/>
    <col min="14086" max="14086" width="11.125" style="2" bestFit="1" customWidth="1"/>
    <col min="14087" max="14087" width="13.25" style="2" bestFit="1" customWidth="1"/>
    <col min="14088" max="14088" width="11.125" style="2" bestFit="1" customWidth="1"/>
    <col min="14089" max="14089" width="9" style="2" bestFit="1"/>
    <col min="14090" max="14100" width="11.125" style="2" bestFit="1" customWidth="1"/>
    <col min="14101" max="14101" width="9" style="2" bestFit="1"/>
    <col min="14102" max="14103" width="11.125" style="2" bestFit="1" customWidth="1"/>
    <col min="14104" max="14105" width="9" style="2" bestFit="1"/>
    <col min="14106" max="14110" width="11.125" style="2" bestFit="1" customWidth="1"/>
    <col min="14111" max="14111" width="9" style="2" bestFit="1"/>
    <col min="14112" max="14112" width="9.625" style="2" bestFit="1" customWidth="1"/>
    <col min="14113" max="14339" width="9" style="2"/>
    <col min="14340" max="14340" width="2.375" style="2" customWidth="1"/>
    <col min="14341" max="14341" width="13.25" style="2" bestFit="1" customWidth="1"/>
    <col min="14342" max="14342" width="11.125" style="2" bestFit="1" customWidth="1"/>
    <col min="14343" max="14343" width="13.25" style="2" bestFit="1" customWidth="1"/>
    <col min="14344" max="14344" width="11.125" style="2" bestFit="1" customWidth="1"/>
    <col min="14345" max="14345" width="9" style="2" bestFit="1"/>
    <col min="14346" max="14356" width="11.125" style="2" bestFit="1" customWidth="1"/>
    <col min="14357" max="14357" width="9" style="2" bestFit="1"/>
    <col min="14358" max="14359" width="11.125" style="2" bestFit="1" customWidth="1"/>
    <col min="14360" max="14361" width="9" style="2" bestFit="1"/>
    <col min="14362" max="14366" width="11.125" style="2" bestFit="1" customWidth="1"/>
    <col min="14367" max="14367" width="9" style="2" bestFit="1"/>
    <col min="14368" max="14368" width="9.625" style="2" bestFit="1" customWidth="1"/>
    <col min="14369" max="14595" width="9" style="2"/>
    <col min="14596" max="14596" width="2.375" style="2" customWidth="1"/>
    <col min="14597" max="14597" width="13.25" style="2" bestFit="1" customWidth="1"/>
    <col min="14598" max="14598" width="11.125" style="2" bestFit="1" customWidth="1"/>
    <col min="14599" max="14599" width="13.25" style="2" bestFit="1" customWidth="1"/>
    <col min="14600" max="14600" width="11.125" style="2" bestFit="1" customWidth="1"/>
    <col min="14601" max="14601" width="9" style="2" bestFit="1"/>
    <col min="14602" max="14612" width="11.125" style="2" bestFit="1" customWidth="1"/>
    <col min="14613" max="14613" width="9" style="2" bestFit="1"/>
    <col min="14614" max="14615" width="11.125" style="2" bestFit="1" customWidth="1"/>
    <col min="14616" max="14617" width="9" style="2" bestFit="1"/>
    <col min="14618" max="14622" width="11.125" style="2" bestFit="1" customWidth="1"/>
    <col min="14623" max="14623" width="9" style="2" bestFit="1"/>
    <col min="14624" max="14624" width="9.625" style="2" bestFit="1" customWidth="1"/>
    <col min="14625" max="14851" width="9" style="2"/>
    <col min="14852" max="14852" width="2.375" style="2" customWidth="1"/>
    <col min="14853" max="14853" width="13.25" style="2" bestFit="1" customWidth="1"/>
    <col min="14854" max="14854" width="11.125" style="2" bestFit="1" customWidth="1"/>
    <col min="14855" max="14855" width="13.25" style="2" bestFit="1" customWidth="1"/>
    <col min="14856" max="14856" width="11.125" style="2" bestFit="1" customWidth="1"/>
    <col min="14857" max="14857" width="9" style="2" bestFit="1"/>
    <col min="14858" max="14868" width="11.125" style="2" bestFit="1" customWidth="1"/>
    <col min="14869" max="14869" width="9" style="2" bestFit="1"/>
    <col min="14870" max="14871" width="11.125" style="2" bestFit="1" customWidth="1"/>
    <col min="14872" max="14873" width="9" style="2" bestFit="1"/>
    <col min="14874" max="14878" width="11.125" style="2" bestFit="1" customWidth="1"/>
    <col min="14879" max="14879" width="9" style="2" bestFit="1"/>
    <col min="14880" max="14880" width="9.625" style="2" bestFit="1" customWidth="1"/>
    <col min="14881" max="15107" width="9" style="2"/>
    <col min="15108" max="15108" width="2.375" style="2" customWidth="1"/>
    <col min="15109" max="15109" width="13.25" style="2" bestFit="1" customWidth="1"/>
    <col min="15110" max="15110" width="11.125" style="2" bestFit="1" customWidth="1"/>
    <col min="15111" max="15111" width="13.25" style="2" bestFit="1" customWidth="1"/>
    <col min="15112" max="15112" width="11.125" style="2" bestFit="1" customWidth="1"/>
    <col min="15113" max="15113" width="9" style="2" bestFit="1"/>
    <col min="15114" max="15124" width="11.125" style="2" bestFit="1" customWidth="1"/>
    <col min="15125" max="15125" width="9" style="2" bestFit="1"/>
    <col min="15126" max="15127" width="11.125" style="2" bestFit="1" customWidth="1"/>
    <col min="15128" max="15129" width="9" style="2" bestFit="1"/>
    <col min="15130" max="15134" width="11.125" style="2" bestFit="1" customWidth="1"/>
    <col min="15135" max="15135" width="9" style="2" bestFit="1"/>
    <col min="15136" max="15136" width="9.625" style="2" bestFit="1" customWidth="1"/>
    <col min="15137" max="15363" width="9" style="2"/>
    <col min="15364" max="15364" width="2.375" style="2" customWidth="1"/>
    <col min="15365" max="15365" width="13.25" style="2" bestFit="1" customWidth="1"/>
    <col min="15366" max="15366" width="11.125" style="2" bestFit="1" customWidth="1"/>
    <col min="15367" max="15367" width="13.25" style="2" bestFit="1" customWidth="1"/>
    <col min="15368" max="15368" width="11.125" style="2" bestFit="1" customWidth="1"/>
    <col min="15369" max="15369" width="9" style="2" bestFit="1"/>
    <col min="15370" max="15380" width="11.125" style="2" bestFit="1" customWidth="1"/>
    <col min="15381" max="15381" width="9" style="2" bestFit="1"/>
    <col min="15382" max="15383" width="11.125" style="2" bestFit="1" customWidth="1"/>
    <col min="15384" max="15385" width="9" style="2" bestFit="1"/>
    <col min="15386" max="15390" width="11.125" style="2" bestFit="1" customWidth="1"/>
    <col min="15391" max="15391" width="9" style="2" bestFit="1"/>
    <col min="15392" max="15392" width="9.625" style="2" bestFit="1" customWidth="1"/>
    <col min="15393" max="15619" width="9" style="2"/>
    <col min="15620" max="15620" width="2.375" style="2" customWidth="1"/>
    <col min="15621" max="15621" width="13.25" style="2" bestFit="1" customWidth="1"/>
    <col min="15622" max="15622" width="11.125" style="2" bestFit="1" customWidth="1"/>
    <col min="15623" max="15623" width="13.25" style="2" bestFit="1" customWidth="1"/>
    <col min="15624" max="15624" width="11.125" style="2" bestFit="1" customWidth="1"/>
    <col min="15625" max="15625" width="9" style="2" bestFit="1"/>
    <col min="15626" max="15636" width="11.125" style="2" bestFit="1" customWidth="1"/>
    <col min="15637" max="15637" width="9" style="2" bestFit="1"/>
    <col min="15638" max="15639" width="11.125" style="2" bestFit="1" customWidth="1"/>
    <col min="15640" max="15641" width="9" style="2" bestFit="1"/>
    <col min="15642" max="15646" width="11.125" style="2" bestFit="1" customWidth="1"/>
    <col min="15647" max="15647" width="9" style="2" bestFit="1"/>
    <col min="15648" max="15648" width="9.625" style="2" bestFit="1" customWidth="1"/>
    <col min="15649" max="15875" width="9" style="2"/>
    <col min="15876" max="15876" width="2.375" style="2" customWidth="1"/>
    <col min="15877" max="15877" width="13.25" style="2" bestFit="1" customWidth="1"/>
    <col min="15878" max="15878" width="11.125" style="2" bestFit="1" customWidth="1"/>
    <col min="15879" max="15879" width="13.25" style="2" bestFit="1" customWidth="1"/>
    <col min="15880" max="15880" width="11.125" style="2" bestFit="1" customWidth="1"/>
    <col min="15881" max="15881" width="9" style="2" bestFit="1"/>
    <col min="15882" max="15892" width="11.125" style="2" bestFit="1" customWidth="1"/>
    <col min="15893" max="15893" width="9" style="2" bestFit="1"/>
    <col min="15894" max="15895" width="11.125" style="2" bestFit="1" customWidth="1"/>
    <col min="15896" max="15897" width="9" style="2" bestFit="1"/>
    <col min="15898" max="15902" width="11.125" style="2" bestFit="1" customWidth="1"/>
    <col min="15903" max="15903" width="9" style="2" bestFit="1"/>
    <col min="15904" max="15904" width="9.625" style="2" bestFit="1" customWidth="1"/>
    <col min="15905" max="16131" width="9" style="2"/>
    <col min="16132" max="16132" width="2.375" style="2" customWidth="1"/>
    <col min="16133" max="16133" width="13.25" style="2" bestFit="1" customWidth="1"/>
    <col min="16134" max="16134" width="11.125" style="2" bestFit="1" customWidth="1"/>
    <col min="16135" max="16135" width="13.25" style="2" bestFit="1" customWidth="1"/>
    <col min="16136" max="16136" width="11.125" style="2" bestFit="1" customWidth="1"/>
    <col min="16137" max="16137" width="9" style="2" bestFit="1"/>
    <col min="16138" max="16148" width="11.125" style="2" bestFit="1" customWidth="1"/>
    <col min="16149" max="16149" width="9" style="2" bestFit="1"/>
    <col min="16150" max="16151" width="11.125" style="2" bestFit="1" customWidth="1"/>
    <col min="16152" max="16153" width="9" style="2" bestFit="1"/>
    <col min="16154" max="16158" width="11.125" style="2" bestFit="1" customWidth="1"/>
    <col min="16159" max="16159" width="9" style="2" bestFit="1"/>
    <col min="16160" max="16160" width="9.625" style="2" bestFit="1" customWidth="1"/>
    <col min="16161" max="16384" width="9" style="2"/>
  </cols>
  <sheetData>
    <row r="1" spans="1:32">
      <c r="A1" s="1" t="s">
        <v>0</v>
      </c>
    </row>
    <row r="2" spans="1:32">
      <c r="A2" s="1"/>
    </row>
    <row r="3" spans="1:32">
      <c r="A3" s="1" t="s">
        <v>1</v>
      </c>
    </row>
    <row r="4" spans="1:32">
      <c r="A4" s="1" t="s">
        <v>2</v>
      </c>
    </row>
    <row r="5" spans="1:32">
      <c r="A5" s="1" t="s">
        <v>3</v>
      </c>
    </row>
    <row r="6" spans="1:32" ht="19.5" thickBot="1">
      <c r="A6" s="1" t="s">
        <v>106</v>
      </c>
    </row>
    <row r="7" spans="1:32">
      <c r="B7" s="15"/>
      <c r="C7" s="23" t="s">
        <v>4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4" t="s">
        <v>22</v>
      </c>
      <c r="R7" s="24" t="s">
        <v>23</v>
      </c>
      <c r="S7" s="95" t="s">
        <v>107</v>
      </c>
      <c r="T7" s="30" t="s">
        <v>15</v>
      </c>
      <c r="U7" s="4" t="s">
        <v>5</v>
      </c>
      <c r="V7" s="4" t="s">
        <v>21</v>
      </c>
      <c r="W7" s="4" t="s">
        <v>24</v>
      </c>
      <c r="X7" s="4" t="s">
        <v>25</v>
      </c>
      <c r="Y7" s="4" t="s">
        <v>26</v>
      </c>
      <c r="Z7" s="4" t="s">
        <v>27</v>
      </c>
      <c r="AA7" s="4" t="s">
        <v>28</v>
      </c>
      <c r="AB7" s="36" t="s">
        <v>29</v>
      </c>
      <c r="AC7" s="95" t="s">
        <v>107</v>
      </c>
      <c r="AD7" s="42" t="s">
        <v>6</v>
      </c>
      <c r="AE7" s="95" t="s">
        <v>107</v>
      </c>
      <c r="AF7" s="95" t="s">
        <v>57</v>
      </c>
    </row>
    <row r="8" spans="1:32" ht="19.5" thickBot="1">
      <c r="A8" s="3"/>
      <c r="B8" s="56" t="s">
        <v>30</v>
      </c>
      <c r="C8" s="57" t="s">
        <v>31</v>
      </c>
      <c r="D8" s="58" t="s">
        <v>34</v>
      </c>
      <c r="E8" s="58" t="s">
        <v>35</v>
      </c>
      <c r="F8" s="58" t="s">
        <v>36</v>
      </c>
      <c r="G8" s="58" t="s">
        <v>37</v>
      </c>
      <c r="H8" s="58" t="s">
        <v>38</v>
      </c>
      <c r="I8" s="58" t="s">
        <v>39</v>
      </c>
      <c r="J8" s="58" t="s">
        <v>40</v>
      </c>
      <c r="K8" s="58" t="s">
        <v>41</v>
      </c>
      <c r="L8" s="58" t="s">
        <v>43</v>
      </c>
      <c r="M8" s="58" t="s">
        <v>44</v>
      </c>
      <c r="N8" s="58" t="s">
        <v>45</v>
      </c>
      <c r="O8" s="58" t="s">
        <v>46</v>
      </c>
      <c r="P8" s="58" t="s">
        <v>47</v>
      </c>
      <c r="Q8" s="58" t="s">
        <v>49</v>
      </c>
      <c r="R8" s="59" t="s">
        <v>50</v>
      </c>
      <c r="S8" s="60" t="s">
        <v>108</v>
      </c>
      <c r="T8" s="61" t="s">
        <v>42</v>
      </c>
      <c r="U8" s="58" t="s">
        <v>32</v>
      </c>
      <c r="V8" s="58" t="s">
        <v>48</v>
      </c>
      <c r="W8" s="58" t="s">
        <v>51</v>
      </c>
      <c r="X8" s="58" t="s">
        <v>52</v>
      </c>
      <c r="Y8" s="58" t="s">
        <v>53</v>
      </c>
      <c r="Z8" s="58" t="s">
        <v>54</v>
      </c>
      <c r="AA8" s="58" t="s">
        <v>55</v>
      </c>
      <c r="AB8" s="62" t="s">
        <v>56</v>
      </c>
      <c r="AC8" s="60" t="s">
        <v>109</v>
      </c>
      <c r="AD8" s="63" t="s">
        <v>33</v>
      </c>
      <c r="AE8" s="60" t="s">
        <v>110</v>
      </c>
      <c r="AF8" s="60" t="s">
        <v>111</v>
      </c>
    </row>
    <row r="9" spans="1:32">
      <c r="A9" s="1" t="s">
        <v>3</v>
      </c>
      <c r="B9" s="48" t="s">
        <v>58</v>
      </c>
      <c r="C9" s="49">
        <v>21</v>
      </c>
      <c r="D9" s="50">
        <v>21</v>
      </c>
      <c r="E9" s="50">
        <v>21</v>
      </c>
      <c r="F9" s="50">
        <v>19</v>
      </c>
      <c r="G9" s="50">
        <v>20</v>
      </c>
      <c r="H9" s="50">
        <v>22</v>
      </c>
      <c r="I9" s="50">
        <v>22</v>
      </c>
      <c r="J9" s="50">
        <v>21</v>
      </c>
      <c r="K9" s="50">
        <v>23</v>
      </c>
      <c r="L9" s="50">
        <v>23</v>
      </c>
      <c r="M9" s="50">
        <v>21</v>
      </c>
      <c r="N9" s="50">
        <v>22</v>
      </c>
      <c r="O9" s="50">
        <v>23</v>
      </c>
      <c r="P9" s="50">
        <v>21</v>
      </c>
      <c r="Q9" s="50">
        <v>11</v>
      </c>
      <c r="R9" s="51">
        <v>14</v>
      </c>
      <c r="S9" s="52">
        <f>SUM(C9:R9)</f>
        <v>325</v>
      </c>
      <c r="T9" s="53">
        <v>22</v>
      </c>
      <c r="U9" s="50">
        <v>23</v>
      </c>
      <c r="V9" s="50">
        <v>23</v>
      </c>
      <c r="W9" s="50">
        <v>11</v>
      </c>
      <c r="X9" s="50">
        <v>14</v>
      </c>
      <c r="Y9" s="50">
        <v>19</v>
      </c>
      <c r="Z9" s="50">
        <v>6</v>
      </c>
      <c r="AA9" s="50">
        <v>9</v>
      </c>
      <c r="AB9" s="54">
        <v>22</v>
      </c>
      <c r="AC9" s="52">
        <f>SUM(T9:AB9)</f>
        <v>149</v>
      </c>
      <c r="AD9" s="55">
        <v>21</v>
      </c>
      <c r="AE9" s="52">
        <f>AD9</f>
        <v>21</v>
      </c>
      <c r="AF9" s="52">
        <f>S9+AC9+AE9</f>
        <v>495</v>
      </c>
    </row>
    <row r="10" spans="1:32">
      <c r="A10" s="1" t="s">
        <v>3</v>
      </c>
      <c r="B10" s="16" t="s">
        <v>59</v>
      </c>
      <c r="C10" s="25">
        <v>3</v>
      </c>
      <c r="D10" s="5">
        <v>3</v>
      </c>
      <c r="E10" s="5">
        <v>1</v>
      </c>
      <c r="F10" s="5">
        <v>3</v>
      </c>
      <c r="G10" s="5">
        <v>3</v>
      </c>
      <c r="H10" s="5">
        <v>3</v>
      </c>
      <c r="I10" s="5">
        <v>2</v>
      </c>
      <c r="J10" s="5">
        <v>3</v>
      </c>
      <c r="K10" s="5">
        <v>1</v>
      </c>
      <c r="L10" s="5">
        <v>2</v>
      </c>
      <c r="M10" s="5">
        <v>3</v>
      </c>
      <c r="N10" s="5">
        <v>3</v>
      </c>
      <c r="O10" s="5">
        <v>2</v>
      </c>
      <c r="P10" s="5">
        <v>3</v>
      </c>
      <c r="Q10" s="5">
        <v>1</v>
      </c>
      <c r="R10" s="6">
        <v>1</v>
      </c>
      <c r="S10" s="31">
        <f t="shared" ref="S10:S22" si="0">SUM(C10:R10)</f>
        <v>37</v>
      </c>
      <c r="T10" s="18">
        <v>0</v>
      </c>
      <c r="U10" s="5">
        <v>3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37">
        <v>0</v>
      </c>
      <c r="AC10" s="31">
        <f t="shared" ref="AC10:AC22" si="1">SUM(T10:AB10)</f>
        <v>3</v>
      </c>
      <c r="AD10" s="43">
        <v>0</v>
      </c>
      <c r="AE10" s="31">
        <f t="shared" ref="AE10:AE22" si="2">AD10</f>
        <v>0</v>
      </c>
      <c r="AF10" s="31">
        <f t="shared" ref="AF10:AF22" si="3">S10+AC10+AE10</f>
        <v>40</v>
      </c>
    </row>
    <row r="11" spans="1:32">
      <c r="A11" s="1" t="s">
        <v>3</v>
      </c>
      <c r="B11" s="16" t="s">
        <v>60</v>
      </c>
      <c r="C11" s="25">
        <v>3</v>
      </c>
      <c r="D11" s="5">
        <v>2</v>
      </c>
      <c r="E11" s="5">
        <v>1</v>
      </c>
      <c r="F11" s="5">
        <v>1</v>
      </c>
      <c r="G11" s="5">
        <v>3</v>
      </c>
      <c r="H11" s="5">
        <v>1</v>
      </c>
      <c r="I11" s="5">
        <v>2</v>
      </c>
      <c r="J11" s="5">
        <v>2</v>
      </c>
      <c r="K11" s="5">
        <v>3</v>
      </c>
      <c r="L11" s="5">
        <v>1</v>
      </c>
      <c r="M11" s="5">
        <v>0</v>
      </c>
      <c r="N11" s="5">
        <v>0</v>
      </c>
      <c r="O11" s="5">
        <v>0</v>
      </c>
      <c r="P11" s="5">
        <v>1</v>
      </c>
      <c r="Q11" s="5">
        <v>2</v>
      </c>
      <c r="R11" s="6">
        <v>1</v>
      </c>
      <c r="S11" s="31">
        <f t="shared" si="0"/>
        <v>23</v>
      </c>
      <c r="T11" s="18">
        <v>0</v>
      </c>
      <c r="U11" s="5">
        <v>1</v>
      </c>
      <c r="V11" s="5">
        <v>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37">
        <v>0</v>
      </c>
      <c r="AC11" s="31">
        <f t="shared" si="1"/>
        <v>2</v>
      </c>
      <c r="AD11" s="43">
        <v>0</v>
      </c>
      <c r="AE11" s="31">
        <f t="shared" si="2"/>
        <v>0</v>
      </c>
      <c r="AF11" s="31">
        <f t="shared" si="3"/>
        <v>25</v>
      </c>
    </row>
    <row r="12" spans="1:32">
      <c r="A12" s="1" t="s">
        <v>3</v>
      </c>
      <c r="B12" s="16" t="s">
        <v>61</v>
      </c>
      <c r="C12" s="2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5">
        <v>1</v>
      </c>
      <c r="Q12" s="5">
        <v>0</v>
      </c>
      <c r="R12" s="6">
        <v>0</v>
      </c>
      <c r="S12" s="31">
        <f t="shared" si="0"/>
        <v>2</v>
      </c>
      <c r="T12" s="18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37">
        <v>0</v>
      </c>
      <c r="AC12" s="31">
        <f t="shared" si="1"/>
        <v>0</v>
      </c>
      <c r="AD12" s="43">
        <v>0</v>
      </c>
      <c r="AE12" s="31">
        <f t="shared" si="2"/>
        <v>0</v>
      </c>
      <c r="AF12" s="31">
        <f t="shared" si="3"/>
        <v>2</v>
      </c>
    </row>
    <row r="13" spans="1:32">
      <c r="A13" s="1" t="s">
        <v>3</v>
      </c>
      <c r="B13" s="16" t="s">
        <v>62</v>
      </c>
      <c r="C13" s="25">
        <v>2</v>
      </c>
      <c r="D13" s="5">
        <v>2</v>
      </c>
      <c r="E13" s="5">
        <v>2</v>
      </c>
      <c r="F13" s="5">
        <v>3</v>
      </c>
      <c r="G13" s="5">
        <v>2</v>
      </c>
      <c r="H13" s="5">
        <v>1</v>
      </c>
      <c r="I13" s="5">
        <v>1</v>
      </c>
      <c r="J13" s="5">
        <v>2</v>
      </c>
      <c r="K13" s="5">
        <v>0</v>
      </c>
      <c r="L13" s="5">
        <v>0</v>
      </c>
      <c r="M13" s="5">
        <v>2</v>
      </c>
      <c r="N13" s="5">
        <v>0</v>
      </c>
      <c r="O13" s="5">
        <v>0</v>
      </c>
      <c r="P13" s="5">
        <v>1</v>
      </c>
      <c r="Q13" s="5">
        <v>8</v>
      </c>
      <c r="R13" s="6">
        <v>0</v>
      </c>
      <c r="S13" s="31">
        <f t="shared" si="0"/>
        <v>26</v>
      </c>
      <c r="T13" s="18">
        <v>0.5</v>
      </c>
      <c r="U13" s="5">
        <v>0.5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37">
        <v>0</v>
      </c>
      <c r="AC13" s="31">
        <f t="shared" si="1"/>
        <v>1</v>
      </c>
      <c r="AD13" s="43">
        <v>2</v>
      </c>
      <c r="AE13" s="31">
        <f t="shared" si="2"/>
        <v>2</v>
      </c>
      <c r="AF13" s="31">
        <f t="shared" si="3"/>
        <v>29</v>
      </c>
    </row>
    <row r="14" spans="1:32">
      <c r="A14" s="1" t="s">
        <v>3</v>
      </c>
      <c r="B14" s="16" t="s">
        <v>63</v>
      </c>
      <c r="C14" s="25">
        <v>0</v>
      </c>
      <c r="D14" s="5">
        <v>0</v>
      </c>
      <c r="E14" s="5">
        <v>0</v>
      </c>
      <c r="F14" s="5">
        <v>1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6">
        <v>0</v>
      </c>
      <c r="S14" s="31">
        <f t="shared" si="0"/>
        <v>2</v>
      </c>
      <c r="T14" s="18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37">
        <v>0</v>
      </c>
      <c r="AC14" s="31">
        <f t="shared" si="1"/>
        <v>0</v>
      </c>
      <c r="AD14" s="43">
        <v>0</v>
      </c>
      <c r="AE14" s="31">
        <f t="shared" si="2"/>
        <v>0</v>
      </c>
      <c r="AF14" s="31">
        <f t="shared" si="3"/>
        <v>2</v>
      </c>
    </row>
    <row r="15" spans="1:32">
      <c r="A15" s="1" t="s">
        <v>3</v>
      </c>
      <c r="B15" s="16" t="s">
        <v>64</v>
      </c>
      <c r="C15" s="2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4</v>
      </c>
      <c r="R15" s="6">
        <v>9</v>
      </c>
      <c r="S15" s="31">
        <f t="shared" si="0"/>
        <v>13</v>
      </c>
      <c r="T15" s="18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37">
        <v>0</v>
      </c>
      <c r="AC15" s="31">
        <f t="shared" si="1"/>
        <v>0</v>
      </c>
      <c r="AD15" s="43">
        <v>0</v>
      </c>
      <c r="AE15" s="31">
        <f t="shared" si="2"/>
        <v>0</v>
      </c>
      <c r="AF15" s="31">
        <f t="shared" si="3"/>
        <v>13</v>
      </c>
    </row>
    <row r="16" spans="1:32">
      <c r="A16" s="1" t="s">
        <v>3</v>
      </c>
      <c r="B16" s="16" t="s">
        <v>65</v>
      </c>
      <c r="C16" s="26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8">
        <v>0</v>
      </c>
      <c r="S16" s="32">
        <f t="shared" si="0"/>
        <v>0</v>
      </c>
      <c r="T16" s="19">
        <v>0</v>
      </c>
      <c r="U16" s="7">
        <v>0</v>
      </c>
      <c r="V16" s="7">
        <v>0</v>
      </c>
      <c r="W16" s="7">
        <v>3.25</v>
      </c>
      <c r="X16" s="7">
        <v>3.625</v>
      </c>
      <c r="Y16" s="7">
        <v>4.375</v>
      </c>
      <c r="Z16" s="7">
        <v>1.9166666666666665</v>
      </c>
      <c r="AA16" s="7">
        <v>2.625</v>
      </c>
      <c r="AB16" s="38">
        <v>5.75</v>
      </c>
      <c r="AC16" s="32">
        <f t="shared" si="1"/>
        <v>21.541666666666664</v>
      </c>
      <c r="AD16" s="44">
        <v>0</v>
      </c>
      <c r="AE16" s="32">
        <f t="shared" si="2"/>
        <v>0</v>
      </c>
      <c r="AF16" s="32">
        <f t="shared" si="3"/>
        <v>21.541666666666664</v>
      </c>
    </row>
    <row r="17" spans="1:32">
      <c r="A17" s="1" t="s">
        <v>3</v>
      </c>
      <c r="B17" s="16" t="s">
        <v>66</v>
      </c>
      <c r="C17" s="26">
        <v>0.66666666666666663</v>
      </c>
      <c r="D17" s="7">
        <v>1.6666666666666665</v>
      </c>
      <c r="E17" s="7">
        <v>1.7916666666666665</v>
      </c>
      <c r="F17" s="7">
        <v>1.7916666666666665</v>
      </c>
      <c r="G17" s="7">
        <v>1.625</v>
      </c>
      <c r="H17" s="7">
        <v>1.75</v>
      </c>
      <c r="I17" s="7">
        <v>1.5</v>
      </c>
      <c r="J17" s="7">
        <v>2.0416666666666665</v>
      </c>
      <c r="K17" s="7">
        <v>1.625</v>
      </c>
      <c r="L17" s="7">
        <v>1.2083333333333333</v>
      </c>
      <c r="M17" s="7">
        <v>0.95833333333333337</v>
      </c>
      <c r="N17" s="7">
        <v>2.7916666666666665</v>
      </c>
      <c r="O17" s="7">
        <v>2.75</v>
      </c>
      <c r="P17" s="7">
        <v>1.125</v>
      </c>
      <c r="Q17" s="7">
        <v>0.625</v>
      </c>
      <c r="R17" s="8">
        <v>0.95833333333333337</v>
      </c>
      <c r="S17" s="32">
        <f t="shared" si="0"/>
        <v>24.875</v>
      </c>
      <c r="T17" s="19">
        <v>0</v>
      </c>
      <c r="U17" s="7">
        <v>1</v>
      </c>
      <c r="V17" s="7">
        <v>0.45833333333333331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38">
        <v>0.125</v>
      </c>
      <c r="AC17" s="32">
        <f t="shared" si="1"/>
        <v>1.5833333333333333</v>
      </c>
      <c r="AD17" s="44">
        <v>0</v>
      </c>
      <c r="AE17" s="32">
        <f t="shared" si="2"/>
        <v>0</v>
      </c>
      <c r="AF17" s="32">
        <f t="shared" si="3"/>
        <v>26.458333333333332</v>
      </c>
    </row>
    <row r="18" spans="1:32">
      <c r="A18" s="1" t="s">
        <v>3</v>
      </c>
      <c r="B18" s="16" t="s">
        <v>67</v>
      </c>
      <c r="C18" s="26">
        <v>1.125</v>
      </c>
      <c r="D18" s="7">
        <v>1.25</v>
      </c>
      <c r="E18" s="7">
        <v>0.33333333333333331</v>
      </c>
      <c r="F18" s="7">
        <v>1.2916666666666667</v>
      </c>
      <c r="G18" s="7">
        <v>1.1666666666666667</v>
      </c>
      <c r="H18" s="7">
        <v>0.91666666666666663</v>
      </c>
      <c r="I18" s="7">
        <v>0.75</v>
      </c>
      <c r="J18" s="7">
        <v>1.25</v>
      </c>
      <c r="K18" s="7">
        <v>0.45833333333333331</v>
      </c>
      <c r="L18" s="7">
        <v>0.875</v>
      </c>
      <c r="M18" s="7">
        <v>1</v>
      </c>
      <c r="N18" s="7">
        <v>0.58333333333333337</v>
      </c>
      <c r="O18" s="7">
        <v>0.625</v>
      </c>
      <c r="P18" s="7">
        <v>0.45833333333333331</v>
      </c>
      <c r="Q18" s="7">
        <v>0.33333333333333331</v>
      </c>
      <c r="R18" s="8">
        <v>0.375</v>
      </c>
      <c r="S18" s="32">
        <f t="shared" si="0"/>
        <v>12.79166666666667</v>
      </c>
      <c r="T18" s="19">
        <v>0</v>
      </c>
      <c r="U18" s="7">
        <v>0.66666666666666663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38">
        <v>0</v>
      </c>
      <c r="AC18" s="32">
        <f t="shared" si="1"/>
        <v>0.66666666666666663</v>
      </c>
      <c r="AD18" s="44">
        <v>0</v>
      </c>
      <c r="AE18" s="32">
        <f t="shared" si="2"/>
        <v>0</v>
      </c>
      <c r="AF18" s="32">
        <f t="shared" si="3"/>
        <v>13.458333333333336</v>
      </c>
    </row>
    <row r="19" spans="1:32">
      <c r="A19" s="1" t="s">
        <v>3</v>
      </c>
      <c r="B19" s="16" t="s">
        <v>68</v>
      </c>
      <c r="C19" s="26">
        <v>0.75</v>
      </c>
      <c r="D19" s="7">
        <v>0.95833333333333337</v>
      </c>
      <c r="E19" s="7">
        <v>0.41666666666666669</v>
      </c>
      <c r="F19" s="7">
        <v>0.41666666666666669</v>
      </c>
      <c r="G19" s="7">
        <v>1</v>
      </c>
      <c r="H19" s="7">
        <v>0.33333333333333331</v>
      </c>
      <c r="I19" s="7">
        <v>0.54166666666666663</v>
      </c>
      <c r="J19" s="7">
        <v>0.58333333333333337</v>
      </c>
      <c r="K19" s="7">
        <v>0.91666666666666663</v>
      </c>
      <c r="L19" s="7">
        <v>0.20833333333333334</v>
      </c>
      <c r="M19" s="7">
        <v>0</v>
      </c>
      <c r="N19" s="7">
        <v>0</v>
      </c>
      <c r="O19" s="7">
        <v>0</v>
      </c>
      <c r="P19" s="7">
        <v>0.29166666666666669</v>
      </c>
      <c r="Q19" s="7">
        <v>0.41666666666666669</v>
      </c>
      <c r="R19" s="8">
        <v>0.33333333333333331</v>
      </c>
      <c r="S19" s="32">
        <f t="shared" si="0"/>
        <v>7.166666666666667</v>
      </c>
      <c r="T19" s="19">
        <v>0</v>
      </c>
      <c r="U19" s="7">
        <v>8.3333333333333329E-2</v>
      </c>
      <c r="V19" s="7">
        <v>0.33333333333333331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38">
        <v>0</v>
      </c>
      <c r="AC19" s="32">
        <f t="shared" si="1"/>
        <v>0.41666666666666663</v>
      </c>
      <c r="AD19" s="44">
        <v>0</v>
      </c>
      <c r="AE19" s="32">
        <f t="shared" si="2"/>
        <v>0</v>
      </c>
      <c r="AF19" s="32">
        <f t="shared" si="3"/>
        <v>7.5833333333333339</v>
      </c>
    </row>
    <row r="20" spans="1:32">
      <c r="A20" s="1" t="s">
        <v>3</v>
      </c>
      <c r="B20" s="16" t="s">
        <v>69</v>
      </c>
      <c r="C20" s="26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8.3333333333333329E-2</v>
      </c>
      <c r="O20" s="7">
        <v>0</v>
      </c>
      <c r="P20" s="7">
        <v>0.20833333333333334</v>
      </c>
      <c r="Q20" s="7">
        <v>0</v>
      </c>
      <c r="R20" s="8">
        <v>0</v>
      </c>
      <c r="S20" s="32">
        <f t="shared" si="0"/>
        <v>0.29166666666666669</v>
      </c>
      <c r="T20" s="19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38">
        <v>0</v>
      </c>
      <c r="AC20" s="32">
        <f t="shared" si="1"/>
        <v>0</v>
      </c>
      <c r="AD20" s="44">
        <v>0</v>
      </c>
      <c r="AE20" s="32">
        <f t="shared" si="2"/>
        <v>0</v>
      </c>
      <c r="AF20" s="32">
        <f t="shared" si="3"/>
        <v>0.29166666666666669</v>
      </c>
    </row>
    <row r="21" spans="1:32">
      <c r="A21" s="1" t="s">
        <v>3</v>
      </c>
      <c r="B21" s="16" t="s">
        <v>70</v>
      </c>
      <c r="C21" s="2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0.29166666666666669</v>
      </c>
      <c r="O21" s="7">
        <v>0.25</v>
      </c>
      <c r="P21" s="7">
        <v>0</v>
      </c>
      <c r="Q21" s="7">
        <v>0</v>
      </c>
      <c r="R21" s="8">
        <v>0</v>
      </c>
      <c r="S21" s="32">
        <f t="shared" si="0"/>
        <v>0.54166666666666674</v>
      </c>
      <c r="T21" s="19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38">
        <v>0</v>
      </c>
      <c r="AC21" s="32">
        <f t="shared" si="1"/>
        <v>0</v>
      </c>
      <c r="AD21" s="44">
        <v>0</v>
      </c>
      <c r="AE21" s="32">
        <f t="shared" si="2"/>
        <v>0</v>
      </c>
      <c r="AF21" s="32">
        <f t="shared" si="3"/>
        <v>0.54166666666666674</v>
      </c>
    </row>
    <row r="22" spans="1:32">
      <c r="A22" s="1" t="s">
        <v>3</v>
      </c>
      <c r="B22" s="16" t="s">
        <v>71</v>
      </c>
      <c r="C22" s="26">
        <v>0.33333333333333331</v>
      </c>
      <c r="D22" s="7">
        <v>0.70833333333333337</v>
      </c>
      <c r="E22" s="7">
        <v>0.75</v>
      </c>
      <c r="F22" s="7">
        <v>2.375</v>
      </c>
      <c r="G22" s="7">
        <v>8.3333333333333329E-2</v>
      </c>
      <c r="H22" s="7">
        <v>0.29166666666666669</v>
      </c>
      <c r="I22" s="7">
        <v>0.375</v>
      </c>
      <c r="J22" s="7">
        <v>0.91666666666666663</v>
      </c>
      <c r="K22" s="7">
        <v>0.83333333333333337</v>
      </c>
      <c r="L22" s="7">
        <v>0.5</v>
      </c>
      <c r="M22" s="7">
        <v>0.125</v>
      </c>
      <c r="N22" s="7">
        <v>1.4583333333333333</v>
      </c>
      <c r="O22" s="7">
        <v>1.4166666666666667</v>
      </c>
      <c r="P22" s="7">
        <v>0.625</v>
      </c>
      <c r="Q22" s="7">
        <v>0.125</v>
      </c>
      <c r="R22" s="8">
        <v>0.125</v>
      </c>
      <c r="S22" s="32">
        <f t="shared" si="0"/>
        <v>11.041666666666666</v>
      </c>
      <c r="T22" s="19">
        <v>0</v>
      </c>
      <c r="U22" s="7">
        <v>4.1666666666666664E-2</v>
      </c>
      <c r="V22" s="7">
        <v>0</v>
      </c>
      <c r="W22" s="7">
        <v>2.2916666666666665</v>
      </c>
      <c r="X22" s="7">
        <v>0</v>
      </c>
      <c r="Y22" s="7">
        <v>0</v>
      </c>
      <c r="Z22" s="7">
        <v>0.41666666666666669</v>
      </c>
      <c r="AA22" s="7">
        <v>1.875</v>
      </c>
      <c r="AB22" s="38">
        <v>1.875</v>
      </c>
      <c r="AC22" s="32">
        <f t="shared" si="1"/>
        <v>6.5</v>
      </c>
      <c r="AD22" s="44">
        <v>0</v>
      </c>
      <c r="AE22" s="32">
        <f t="shared" si="2"/>
        <v>0</v>
      </c>
      <c r="AF22" s="32">
        <f t="shared" si="3"/>
        <v>17.541666666666664</v>
      </c>
    </row>
    <row r="23" spans="1:32">
      <c r="A23" s="1" t="s">
        <v>3</v>
      </c>
      <c r="B23" s="71" t="s">
        <v>72</v>
      </c>
      <c r="C23" s="72">
        <v>6.5</v>
      </c>
      <c r="D23" s="73">
        <v>22</v>
      </c>
      <c r="E23" s="73">
        <v>29</v>
      </c>
      <c r="F23" s="73">
        <v>19</v>
      </c>
      <c r="G23" s="73">
        <v>14</v>
      </c>
      <c r="H23" s="73">
        <v>29</v>
      </c>
      <c r="I23" s="73">
        <v>23.5</v>
      </c>
      <c r="J23" s="73">
        <v>25.5</v>
      </c>
      <c r="K23" s="73">
        <v>27</v>
      </c>
      <c r="L23" s="73">
        <v>23.5</v>
      </c>
      <c r="M23" s="73">
        <v>24</v>
      </c>
      <c r="N23" s="73">
        <v>12</v>
      </c>
      <c r="O23" s="73">
        <v>12</v>
      </c>
      <c r="P23" s="73">
        <v>22</v>
      </c>
      <c r="Q23" s="73">
        <v>0</v>
      </c>
      <c r="R23" s="74">
        <v>0</v>
      </c>
      <c r="S23" s="75"/>
      <c r="T23" s="76">
        <v>27</v>
      </c>
      <c r="U23" s="73">
        <v>37</v>
      </c>
      <c r="V23" s="73">
        <v>9</v>
      </c>
      <c r="W23" s="73">
        <v>3</v>
      </c>
      <c r="X23" s="73">
        <v>21</v>
      </c>
      <c r="Y23" s="73">
        <v>21</v>
      </c>
      <c r="Z23" s="73">
        <v>6</v>
      </c>
      <c r="AA23" s="73">
        <v>18</v>
      </c>
      <c r="AB23" s="77">
        <v>6</v>
      </c>
      <c r="AC23" s="75"/>
      <c r="AD23" s="78">
        <v>31.5</v>
      </c>
      <c r="AE23" s="75"/>
      <c r="AF23" s="75"/>
    </row>
    <row r="24" spans="1:32">
      <c r="A24" s="1" t="s">
        <v>3</v>
      </c>
      <c r="B24" s="48" t="s">
        <v>73</v>
      </c>
      <c r="C24" s="64">
        <v>182000</v>
      </c>
      <c r="D24" s="65">
        <v>197000</v>
      </c>
      <c r="E24" s="65">
        <v>197000</v>
      </c>
      <c r="F24" s="65">
        <v>175000</v>
      </c>
      <c r="G24" s="65">
        <v>182000</v>
      </c>
      <c r="H24" s="65">
        <v>187000</v>
      </c>
      <c r="I24" s="65">
        <v>182000</v>
      </c>
      <c r="J24" s="65">
        <v>197000</v>
      </c>
      <c r="K24" s="65">
        <v>197000</v>
      </c>
      <c r="L24" s="65">
        <v>192000</v>
      </c>
      <c r="M24" s="65">
        <v>187000</v>
      </c>
      <c r="N24" s="65">
        <v>180000</v>
      </c>
      <c r="O24" s="65">
        <v>175000</v>
      </c>
      <c r="P24" s="65">
        <v>180000</v>
      </c>
      <c r="Q24" s="65">
        <v>175000</v>
      </c>
      <c r="R24" s="66">
        <v>175000</v>
      </c>
      <c r="S24" s="67">
        <f t="shared" ref="S24:S55" si="4">SUM(C24:R24)</f>
        <v>2960000</v>
      </c>
      <c r="T24" s="68">
        <v>380000</v>
      </c>
      <c r="U24" s="65">
        <v>285000</v>
      </c>
      <c r="V24" s="65">
        <v>225000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9">
        <v>0</v>
      </c>
      <c r="AC24" s="67">
        <f t="shared" ref="AC24:AC55" si="5">SUM(T24:AB24)</f>
        <v>890000</v>
      </c>
      <c r="AD24" s="70">
        <v>390000</v>
      </c>
      <c r="AE24" s="67">
        <f t="shared" ref="AE24:AE55" si="6">AD24</f>
        <v>390000</v>
      </c>
      <c r="AF24" s="67">
        <f t="shared" ref="AF24:AF55" si="7">S24+AC24+AE24</f>
        <v>4240000</v>
      </c>
    </row>
    <row r="25" spans="1:32">
      <c r="A25" s="1" t="s">
        <v>3</v>
      </c>
      <c r="B25" s="16" t="s">
        <v>74</v>
      </c>
      <c r="C25" s="27">
        <v>0</v>
      </c>
      <c r="D25" s="9">
        <v>20000</v>
      </c>
      <c r="E25" s="9">
        <v>20000</v>
      </c>
      <c r="F25" s="9">
        <v>0</v>
      </c>
      <c r="G25" s="9">
        <v>0</v>
      </c>
      <c r="H25" s="9">
        <v>5000</v>
      </c>
      <c r="I25" s="9">
        <v>0</v>
      </c>
      <c r="J25" s="9">
        <v>0</v>
      </c>
      <c r="K25" s="9">
        <v>0</v>
      </c>
      <c r="L25" s="9">
        <v>5000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10">
        <v>0</v>
      </c>
      <c r="S25" s="33">
        <f t="shared" si="4"/>
        <v>50000</v>
      </c>
      <c r="T25" s="20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9">
        <v>0</v>
      </c>
      <c r="AC25" s="33">
        <f t="shared" si="5"/>
        <v>0</v>
      </c>
      <c r="AD25" s="45">
        <v>0</v>
      </c>
      <c r="AE25" s="33">
        <f t="shared" si="6"/>
        <v>0</v>
      </c>
      <c r="AF25" s="33">
        <f t="shared" si="7"/>
        <v>50000</v>
      </c>
    </row>
    <row r="26" spans="1:32">
      <c r="A26" s="1" t="s">
        <v>3</v>
      </c>
      <c r="B26" s="16" t="s">
        <v>75</v>
      </c>
      <c r="C26" s="27">
        <v>0</v>
      </c>
      <c r="D26" s="9">
        <v>3000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10">
        <v>0</v>
      </c>
      <c r="S26" s="33">
        <f t="shared" si="4"/>
        <v>3000</v>
      </c>
      <c r="T26" s="20">
        <v>0</v>
      </c>
      <c r="U26" s="9">
        <v>3000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9">
        <v>0</v>
      </c>
      <c r="AC26" s="33">
        <f t="shared" si="5"/>
        <v>3000</v>
      </c>
      <c r="AD26" s="45">
        <v>0</v>
      </c>
      <c r="AE26" s="33">
        <f t="shared" si="6"/>
        <v>0</v>
      </c>
      <c r="AF26" s="33">
        <f t="shared" si="7"/>
        <v>6000</v>
      </c>
    </row>
    <row r="27" spans="1:32">
      <c r="A27" s="1" t="s">
        <v>3</v>
      </c>
      <c r="B27" s="16" t="s">
        <v>76</v>
      </c>
      <c r="C27" s="27">
        <v>0</v>
      </c>
      <c r="D27" s="9">
        <v>0</v>
      </c>
      <c r="E27" s="9">
        <v>3047</v>
      </c>
      <c r="F27" s="9">
        <v>2510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74736</v>
      </c>
      <c r="M27" s="9">
        <v>26938</v>
      </c>
      <c r="N27" s="9">
        <v>0</v>
      </c>
      <c r="O27" s="9">
        <v>0</v>
      </c>
      <c r="P27" s="9">
        <v>44464</v>
      </c>
      <c r="Q27" s="9">
        <v>0</v>
      </c>
      <c r="R27" s="10">
        <v>0</v>
      </c>
      <c r="S27" s="33">
        <f t="shared" si="4"/>
        <v>151695</v>
      </c>
      <c r="T27" s="20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9">
        <v>0</v>
      </c>
      <c r="AC27" s="33">
        <f t="shared" si="5"/>
        <v>0</v>
      </c>
      <c r="AD27" s="45">
        <v>0</v>
      </c>
      <c r="AE27" s="33">
        <f t="shared" si="6"/>
        <v>0</v>
      </c>
      <c r="AF27" s="33">
        <f t="shared" si="7"/>
        <v>151695</v>
      </c>
    </row>
    <row r="28" spans="1:32">
      <c r="A28" s="1" t="s">
        <v>3</v>
      </c>
      <c r="B28" s="16" t="s">
        <v>77</v>
      </c>
      <c r="C28" s="27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10">
        <v>0</v>
      </c>
      <c r="S28" s="33">
        <f t="shared" si="4"/>
        <v>0</v>
      </c>
      <c r="T28" s="20">
        <v>0</v>
      </c>
      <c r="U28" s="9">
        <v>2000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9">
        <v>0</v>
      </c>
      <c r="AC28" s="33">
        <f t="shared" si="5"/>
        <v>2000</v>
      </c>
      <c r="AD28" s="45">
        <v>0</v>
      </c>
      <c r="AE28" s="33">
        <f t="shared" si="6"/>
        <v>0</v>
      </c>
      <c r="AF28" s="33">
        <f t="shared" si="7"/>
        <v>2000</v>
      </c>
    </row>
    <row r="29" spans="1:32">
      <c r="A29" s="1" t="s">
        <v>3</v>
      </c>
      <c r="B29" s="16" t="s">
        <v>78</v>
      </c>
      <c r="C29" s="27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10">
        <v>0</v>
      </c>
      <c r="S29" s="33">
        <f t="shared" si="4"/>
        <v>0</v>
      </c>
      <c r="T29" s="20">
        <v>0</v>
      </c>
      <c r="U29" s="9">
        <v>0</v>
      </c>
      <c r="V29" s="9">
        <v>0</v>
      </c>
      <c r="W29" s="9">
        <v>82134</v>
      </c>
      <c r="X29" s="9">
        <v>95700</v>
      </c>
      <c r="Y29" s="9">
        <v>119700</v>
      </c>
      <c r="Z29" s="9">
        <v>48438</v>
      </c>
      <c r="AA29" s="9">
        <v>66339</v>
      </c>
      <c r="AB29" s="39">
        <v>151800</v>
      </c>
      <c r="AC29" s="33">
        <f t="shared" si="5"/>
        <v>564111</v>
      </c>
      <c r="AD29" s="45">
        <v>0</v>
      </c>
      <c r="AE29" s="33">
        <f t="shared" si="6"/>
        <v>0</v>
      </c>
      <c r="AF29" s="33">
        <f t="shared" si="7"/>
        <v>564111</v>
      </c>
    </row>
    <row r="30" spans="1:32">
      <c r="A30" s="1" t="s">
        <v>3</v>
      </c>
      <c r="B30" s="16" t="s">
        <v>79</v>
      </c>
      <c r="C30" s="27">
        <v>4935</v>
      </c>
      <c r="D30" s="9">
        <v>4665</v>
      </c>
      <c r="E30" s="9">
        <v>4565</v>
      </c>
      <c r="F30" s="9">
        <v>4565</v>
      </c>
      <c r="G30" s="9">
        <v>4965</v>
      </c>
      <c r="H30" s="9">
        <v>4735</v>
      </c>
      <c r="I30" s="9">
        <v>5000</v>
      </c>
      <c r="J30" s="9">
        <v>2465</v>
      </c>
      <c r="K30" s="9">
        <v>4865</v>
      </c>
      <c r="L30" s="9">
        <v>2385</v>
      </c>
      <c r="M30" s="9">
        <v>4635</v>
      </c>
      <c r="N30" s="9">
        <v>4765</v>
      </c>
      <c r="O30" s="9">
        <v>4735</v>
      </c>
      <c r="P30" s="9">
        <v>4865</v>
      </c>
      <c r="Q30" s="9">
        <v>0</v>
      </c>
      <c r="R30" s="10">
        <v>0</v>
      </c>
      <c r="S30" s="33">
        <f t="shared" si="4"/>
        <v>62145</v>
      </c>
      <c r="T30" s="20">
        <v>0</v>
      </c>
      <c r="U30" s="9">
        <v>4600</v>
      </c>
      <c r="V30" s="9">
        <v>2350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9">
        <v>0</v>
      </c>
      <c r="AC30" s="33">
        <f t="shared" si="5"/>
        <v>6950</v>
      </c>
      <c r="AD30" s="45">
        <v>0</v>
      </c>
      <c r="AE30" s="33">
        <f t="shared" si="6"/>
        <v>0</v>
      </c>
      <c r="AF30" s="33">
        <f t="shared" si="7"/>
        <v>69095</v>
      </c>
    </row>
    <row r="31" spans="1:32">
      <c r="A31" s="1" t="s">
        <v>3</v>
      </c>
      <c r="B31" s="16" t="s">
        <v>80</v>
      </c>
      <c r="C31" s="27">
        <v>6000</v>
      </c>
      <c r="D31" s="9">
        <v>6000</v>
      </c>
      <c r="E31" s="9">
        <v>6000</v>
      </c>
      <c r="F31" s="9">
        <v>6000</v>
      </c>
      <c r="G31" s="9">
        <v>6000</v>
      </c>
      <c r="H31" s="9">
        <v>6000</v>
      </c>
      <c r="I31" s="9">
        <v>6000</v>
      </c>
      <c r="J31" s="9">
        <v>3500</v>
      </c>
      <c r="K31" s="9">
        <v>6000</v>
      </c>
      <c r="L31" s="9">
        <v>2000</v>
      </c>
      <c r="M31" s="9">
        <v>6000</v>
      </c>
      <c r="N31" s="9">
        <v>2000</v>
      </c>
      <c r="O31" s="9">
        <v>3500</v>
      </c>
      <c r="P31" s="9">
        <v>3500</v>
      </c>
      <c r="Q31" s="9">
        <v>0</v>
      </c>
      <c r="R31" s="10">
        <v>0</v>
      </c>
      <c r="S31" s="33">
        <f t="shared" si="4"/>
        <v>68500</v>
      </c>
      <c r="T31" s="20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9">
        <v>0</v>
      </c>
      <c r="AC31" s="33">
        <f t="shared" si="5"/>
        <v>0</v>
      </c>
      <c r="AD31" s="45">
        <v>0</v>
      </c>
      <c r="AE31" s="33">
        <f t="shared" si="6"/>
        <v>0</v>
      </c>
      <c r="AF31" s="33">
        <f t="shared" si="7"/>
        <v>68500</v>
      </c>
    </row>
    <row r="32" spans="1:32">
      <c r="A32" s="1" t="s">
        <v>3</v>
      </c>
      <c r="B32" s="16" t="s">
        <v>81</v>
      </c>
      <c r="C32" s="27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15000</v>
      </c>
      <c r="K32" s="9">
        <v>15000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10">
        <v>0</v>
      </c>
      <c r="S32" s="33">
        <f t="shared" si="4"/>
        <v>30000</v>
      </c>
      <c r="T32" s="20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9">
        <v>0</v>
      </c>
      <c r="AC32" s="33">
        <f t="shared" si="5"/>
        <v>0</v>
      </c>
      <c r="AD32" s="45">
        <v>0</v>
      </c>
      <c r="AE32" s="33">
        <f t="shared" si="6"/>
        <v>0</v>
      </c>
      <c r="AF32" s="33">
        <f t="shared" si="7"/>
        <v>30000</v>
      </c>
    </row>
    <row r="33" spans="1:32">
      <c r="A33" s="1" t="s">
        <v>3</v>
      </c>
      <c r="B33" s="16" t="s">
        <v>82</v>
      </c>
      <c r="C33" s="27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33492</v>
      </c>
      <c r="R33" s="10">
        <v>75357</v>
      </c>
      <c r="S33" s="33">
        <f t="shared" si="4"/>
        <v>108849</v>
      </c>
      <c r="T33" s="20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9">
        <v>0</v>
      </c>
      <c r="AC33" s="33">
        <f t="shared" si="5"/>
        <v>0</v>
      </c>
      <c r="AD33" s="45">
        <v>0</v>
      </c>
      <c r="AE33" s="33">
        <f t="shared" si="6"/>
        <v>0</v>
      </c>
      <c r="AF33" s="33">
        <f t="shared" si="7"/>
        <v>108849</v>
      </c>
    </row>
    <row r="34" spans="1:32">
      <c r="A34" s="1" t="s">
        <v>3</v>
      </c>
      <c r="B34" s="16" t="s">
        <v>66</v>
      </c>
      <c r="C34" s="27">
        <v>22528</v>
      </c>
      <c r="D34" s="9">
        <v>67640</v>
      </c>
      <c r="E34" s="9">
        <v>71767</v>
      </c>
      <c r="F34" s="9">
        <v>58265</v>
      </c>
      <c r="G34" s="9">
        <v>54912</v>
      </c>
      <c r="H34" s="9">
        <v>62286</v>
      </c>
      <c r="I34" s="9">
        <v>50688</v>
      </c>
      <c r="J34" s="9">
        <v>79037</v>
      </c>
      <c r="K34" s="9">
        <v>63609</v>
      </c>
      <c r="L34" s="9">
        <v>43210</v>
      </c>
      <c r="M34" s="9">
        <v>33235</v>
      </c>
      <c r="N34" s="9">
        <v>91321</v>
      </c>
      <c r="O34" s="9">
        <v>88176</v>
      </c>
      <c r="P34" s="9">
        <v>37098</v>
      </c>
      <c r="Q34" s="9">
        <v>19650</v>
      </c>
      <c r="R34" s="10">
        <v>30130</v>
      </c>
      <c r="S34" s="33">
        <f t="shared" si="4"/>
        <v>873552</v>
      </c>
      <c r="T34" s="20">
        <v>0</v>
      </c>
      <c r="U34" s="9">
        <v>51744</v>
      </c>
      <c r="V34" s="9">
        <v>18524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9">
        <v>4125</v>
      </c>
      <c r="AC34" s="33">
        <f t="shared" si="5"/>
        <v>74393</v>
      </c>
      <c r="AD34" s="45">
        <v>0</v>
      </c>
      <c r="AE34" s="33">
        <f t="shared" si="6"/>
        <v>0</v>
      </c>
      <c r="AF34" s="33">
        <f t="shared" si="7"/>
        <v>947945</v>
      </c>
    </row>
    <row r="35" spans="1:32">
      <c r="A35" s="1" t="s">
        <v>3</v>
      </c>
      <c r="B35" s="16" t="s">
        <v>83</v>
      </c>
      <c r="C35" s="27">
        <v>41040</v>
      </c>
      <c r="D35" s="9">
        <v>54810</v>
      </c>
      <c r="E35" s="9">
        <v>14416</v>
      </c>
      <c r="F35" s="9">
        <v>45353</v>
      </c>
      <c r="G35" s="9">
        <v>42560</v>
      </c>
      <c r="H35" s="9">
        <v>35222</v>
      </c>
      <c r="I35" s="9">
        <v>27360</v>
      </c>
      <c r="J35" s="9">
        <v>52260</v>
      </c>
      <c r="K35" s="9">
        <v>19382</v>
      </c>
      <c r="L35" s="9">
        <v>33789</v>
      </c>
      <c r="M35" s="9">
        <v>37464</v>
      </c>
      <c r="N35" s="9">
        <v>20608</v>
      </c>
      <c r="O35" s="9">
        <v>21645</v>
      </c>
      <c r="P35" s="9">
        <v>16324</v>
      </c>
      <c r="Q35" s="9">
        <v>11320</v>
      </c>
      <c r="R35" s="10">
        <v>12735</v>
      </c>
      <c r="S35" s="33">
        <f t="shared" si="4"/>
        <v>486288</v>
      </c>
      <c r="T35" s="20">
        <v>0</v>
      </c>
      <c r="U35" s="9">
        <v>37264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9">
        <v>0</v>
      </c>
      <c r="AC35" s="33">
        <f t="shared" si="5"/>
        <v>37264</v>
      </c>
      <c r="AD35" s="45">
        <v>0</v>
      </c>
      <c r="AE35" s="33">
        <f t="shared" si="6"/>
        <v>0</v>
      </c>
      <c r="AF35" s="33">
        <f t="shared" si="7"/>
        <v>523552</v>
      </c>
    </row>
    <row r="36" spans="1:32">
      <c r="A36" s="1" t="s">
        <v>3</v>
      </c>
      <c r="B36" s="16" t="s">
        <v>84</v>
      </c>
      <c r="C36" s="27">
        <v>27360</v>
      </c>
      <c r="D36" s="9">
        <v>42021</v>
      </c>
      <c r="E36" s="9">
        <v>18020</v>
      </c>
      <c r="F36" s="9">
        <v>14630</v>
      </c>
      <c r="G36" s="9">
        <v>36480</v>
      </c>
      <c r="H36" s="9">
        <v>12808</v>
      </c>
      <c r="I36" s="9">
        <v>19760</v>
      </c>
      <c r="J36" s="9">
        <v>24388</v>
      </c>
      <c r="K36" s="9">
        <v>38764</v>
      </c>
      <c r="L36" s="9">
        <v>8045</v>
      </c>
      <c r="M36" s="9">
        <v>0</v>
      </c>
      <c r="N36" s="9">
        <v>0</v>
      </c>
      <c r="O36" s="9">
        <v>0</v>
      </c>
      <c r="P36" s="9">
        <v>10388</v>
      </c>
      <c r="Q36" s="9">
        <v>14150</v>
      </c>
      <c r="R36" s="10">
        <v>11320</v>
      </c>
      <c r="S36" s="33">
        <f t="shared" si="4"/>
        <v>278134</v>
      </c>
      <c r="T36" s="20">
        <v>0</v>
      </c>
      <c r="U36" s="9">
        <v>4658</v>
      </c>
      <c r="V36" s="9">
        <v>14544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9">
        <v>0</v>
      </c>
      <c r="AC36" s="33">
        <f t="shared" si="5"/>
        <v>19202</v>
      </c>
      <c r="AD36" s="45">
        <v>0</v>
      </c>
      <c r="AE36" s="33">
        <f t="shared" si="6"/>
        <v>0</v>
      </c>
      <c r="AF36" s="33">
        <f t="shared" si="7"/>
        <v>297336</v>
      </c>
    </row>
    <row r="37" spans="1:32">
      <c r="A37" s="1" t="s">
        <v>3</v>
      </c>
      <c r="B37" s="16" t="s">
        <v>85</v>
      </c>
      <c r="C37" s="27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764</v>
      </c>
      <c r="O37" s="9">
        <v>0</v>
      </c>
      <c r="P37" s="9">
        <v>1925</v>
      </c>
      <c r="Q37" s="9">
        <v>0</v>
      </c>
      <c r="R37" s="10">
        <v>0</v>
      </c>
      <c r="S37" s="33">
        <f t="shared" si="4"/>
        <v>2689</v>
      </c>
      <c r="T37" s="20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9">
        <v>0</v>
      </c>
      <c r="AC37" s="33">
        <f t="shared" si="5"/>
        <v>0</v>
      </c>
      <c r="AD37" s="45">
        <v>0</v>
      </c>
      <c r="AE37" s="33">
        <f t="shared" si="6"/>
        <v>0</v>
      </c>
      <c r="AF37" s="33">
        <f t="shared" si="7"/>
        <v>2689</v>
      </c>
    </row>
    <row r="38" spans="1:32">
      <c r="A38" s="1" t="s">
        <v>3</v>
      </c>
      <c r="B38" s="16" t="s">
        <v>70</v>
      </c>
      <c r="C38" s="27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1911</v>
      </c>
      <c r="O38" s="9">
        <v>1602</v>
      </c>
      <c r="P38" s="9">
        <v>0</v>
      </c>
      <c r="Q38" s="9">
        <v>0</v>
      </c>
      <c r="R38" s="10">
        <v>0</v>
      </c>
      <c r="S38" s="33">
        <f t="shared" si="4"/>
        <v>3513</v>
      </c>
      <c r="T38" s="20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9">
        <v>0</v>
      </c>
      <c r="AC38" s="33">
        <f t="shared" si="5"/>
        <v>0</v>
      </c>
      <c r="AD38" s="45">
        <v>0</v>
      </c>
      <c r="AE38" s="33">
        <f t="shared" si="6"/>
        <v>0</v>
      </c>
      <c r="AF38" s="33">
        <f t="shared" si="7"/>
        <v>3513</v>
      </c>
    </row>
    <row r="39" spans="1:32">
      <c r="A39" s="1" t="s">
        <v>3</v>
      </c>
      <c r="B39" s="79" t="s">
        <v>71</v>
      </c>
      <c r="C39" s="80">
        <v>2256</v>
      </c>
      <c r="D39" s="81">
        <v>5746</v>
      </c>
      <c r="E39" s="81">
        <v>6012</v>
      </c>
      <c r="F39" s="81">
        <v>15447</v>
      </c>
      <c r="G39" s="81">
        <v>564</v>
      </c>
      <c r="H39" s="81">
        <v>2079</v>
      </c>
      <c r="I39" s="81">
        <v>2538</v>
      </c>
      <c r="J39" s="81">
        <v>7106</v>
      </c>
      <c r="K39" s="81">
        <v>6520</v>
      </c>
      <c r="L39" s="81">
        <v>3576</v>
      </c>
      <c r="M39" s="81">
        <v>867</v>
      </c>
      <c r="N39" s="81">
        <v>9555</v>
      </c>
      <c r="O39" s="81">
        <v>9078</v>
      </c>
      <c r="P39" s="81">
        <v>4125</v>
      </c>
      <c r="Q39" s="81">
        <v>786</v>
      </c>
      <c r="R39" s="82">
        <v>786</v>
      </c>
      <c r="S39" s="83">
        <f t="shared" si="4"/>
        <v>77041</v>
      </c>
      <c r="T39" s="84">
        <v>0</v>
      </c>
      <c r="U39" s="81">
        <v>431</v>
      </c>
      <c r="V39" s="81">
        <v>0</v>
      </c>
      <c r="W39" s="81">
        <v>14465</v>
      </c>
      <c r="X39" s="81">
        <v>0</v>
      </c>
      <c r="Y39" s="81">
        <v>0</v>
      </c>
      <c r="Z39" s="81">
        <v>2630</v>
      </c>
      <c r="AA39" s="81">
        <v>11835</v>
      </c>
      <c r="AB39" s="85">
        <v>12375</v>
      </c>
      <c r="AC39" s="83">
        <f t="shared" si="5"/>
        <v>41736</v>
      </c>
      <c r="AD39" s="86">
        <v>0</v>
      </c>
      <c r="AE39" s="83">
        <f t="shared" si="6"/>
        <v>0</v>
      </c>
      <c r="AF39" s="83">
        <f t="shared" si="7"/>
        <v>118777</v>
      </c>
    </row>
    <row r="40" spans="1:32">
      <c r="A40" s="1" t="s">
        <v>3</v>
      </c>
      <c r="B40" s="87" t="s">
        <v>86</v>
      </c>
      <c r="C40" s="88">
        <v>286119</v>
      </c>
      <c r="D40" s="89">
        <v>400882</v>
      </c>
      <c r="E40" s="89">
        <v>340827</v>
      </c>
      <c r="F40" s="89">
        <v>321770</v>
      </c>
      <c r="G40" s="89">
        <v>327481</v>
      </c>
      <c r="H40" s="89">
        <v>315130</v>
      </c>
      <c r="I40" s="89">
        <v>293346</v>
      </c>
      <c r="J40" s="89">
        <v>380756</v>
      </c>
      <c r="K40" s="89">
        <v>351140</v>
      </c>
      <c r="L40" s="89">
        <v>364741</v>
      </c>
      <c r="M40" s="89">
        <v>296139</v>
      </c>
      <c r="N40" s="89">
        <v>310924</v>
      </c>
      <c r="O40" s="89">
        <v>303736</v>
      </c>
      <c r="P40" s="89">
        <v>302689</v>
      </c>
      <c r="Q40" s="89">
        <v>187414</v>
      </c>
      <c r="R40" s="90">
        <v>154614</v>
      </c>
      <c r="S40" s="91">
        <f t="shared" si="4"/>
        <v>4937708</v>
      </c>
      <c r="T40" s="92">
        <v>380000</v>
      </c>
      <c r="U40" s="89">
        <v>388697</v>
      </c>
      <c r="V40" s="89">
        <v>260418</v>
      </c>
      <c r="W40" s="89">
        <v>96599</v>
      </c>
      <c r="X40" s="89">
        <v>95700</v>
      </c>
      <c r="Y40" s="89">
        <v>119700</v>
      </c>
      <c r="Z40" s="89">
        <v>51068</v>
      </c>
      <c r="AA40" s="89">
        <v>78174</v>
      </c>
      <c r="AB40" s="93">
        <v>168300</v>
      </c>
      <c r="AC40" s="91">
        <f t="shared" si="5"/>
        <v>1638656</v>
      </c>
      <c r="AD40" s="94">
        <v>390000</v>
      </c>
      <c r="AE40" s="91">
        <f t="shared" si="6"/>
        <v>390000</v>
      </c>
      <c r="AF40" s="91">
        <f t="shared" si="7"/>
        <v>6966364</v>
      </c>
    </row>
    <row r="41" spans="1:32">
      <c r="A41" s="1" t="s">
        <v>3</v>
      </c>
      <c r="B41" s="87" t="s">
        <v>87</v>
      </c>
      <c r="C41" s="88">
        <v>14556</v>
      </c>
      <c r="D41" s="89">
        <v>6308</v>
      </c>
      <c r="E41" s="89">
        <v>3100</v>
      </c>
      <c r="F41" s="89">
        <v>2480</v>
      </c>
      <c r="G41" s="89">
        <v>2804</v>
      </c>
      <c r="H41" s="89">
        <v>1402</v>
      </c>
      <c r="I41" s="89">
        <v>3504</v>
      </c>
      <c r="J41" s="89">
        <v>5607</v>
      </c>
      <c r="K41" s="89">
        <v>8734</v>
      </c>
      <c r="L41" s="89">
        <v>7008</v>
      </c>
      <c r="M41" s="89">
        <v>10998</v>
      </c>
      <c r="N41" s="89">
        <v>8760</v>
      </c>
      <c r="O41" s="89">
        <v>8760</v>
      </c>
      <c r="P41" s="89">
        <v>2696</v>
      </c>
      <c r="Q41" s="89">
        <v>6038</v>
      </c>
      <c r="R41" s="90">
        <v>5607</v>
      </c>
      <c r="S41" s="91">
        <f t="shared" si="4"/>
        <v>98362</v>
      </c>
      <c r="T41" s="92">
        <v>3720</v>
      </c>
      <c r="U41" s="89">
        <v>6550</v>
      </c>
      <c r="V41" s="89">
        <v>7763</v>
      </c>
      <c r="W41" s="89">
        <v>4744</v>
      </c>
      <c r="X41" s="89">
        <v>3019</v>
      </c>
      <c r="Y41" s="89">
        <v>2561</v>
      </c>
      <c r="Z41" s="89">
        <v>2103</v>
      </c>
      <c r="AA41" s="89">
        <v>3397</v>
      </c>
      <c r="AB41" s="93">
        <v>13639</v>
      </c>
      <c r="AC41" s="91">
        <f t="shared" si="5"/>
        <v>47496</v>
      </c>
      <c r="AD41" s="94">
        <v>7359</v>
      </c>
      <c r="AE41" s="91">
        <f t="shared" si="6"/>
        <v>7359</v>
      </c>
      <c r="AF41" s="91">
        <f t="shared" si="7"/>
        <v>153217</v>
      </c>
    </row>
    <row r="42" spans="1:32">
      <c r="A42" s="1" t="s">
        <v>3</v>
      </c>
      <c r="B42" s="87" t="s">
        <v>88</v>
      </c>
      <c r="C42" s="88">
        <v>14556</v>
      </c>
      <c r="D42" s="89">
        <v>6308</v>
      </c>
      <c r="E42" s="89">
        <v>3100</v>
      </c>
      <c r="F42" s="89">
        <v>2480</v>
      </c>
      <c r="G42" s="89">
        <v>2804</v>
      </c>
      <c r="H42" s="89">
        <v>1402</v>
      </c>
      <c r="I42" s="89">
        <v>3504</v>
      </c>
      <c r="J42" s="89">
        <v>5607</v>
      </c>
      <c r="K42" s="89">
        <v>8734</v>
      </c>
      <c r="L42" s="89">
        <v>7008</v>
      </c>
      <c r="M42" s="89">
        <v>10998</v>
      </c>
      <c r="N42" s="89">
        <v>8760</v>
      </c>
      <c r="O42" s="89">
        <v>8760</v>
      </c>
      <c r="P42" s="89">
        <v>2696</v>
      </c>
      <c r="Q42" s="89">
        <v>6038</v>
      </c>
      <c r="R42" s="90">
        <v>5607</v>
      </c>
      <c r="S42" s="91">
        <f t="shared" si="4"/>
        <v>98362</v>
      </c>
      <c r="T42" s="92">
        <v>3720</v>
      </c>
      <c r="U42" s="89">
        <v>6550</v>
      </c>
      <c r="V42" s="89">
        <v>7763</v>
      </c>
      <c r="W42" s="89">
        <v>4744</v>
      </c>
      <c r="X42" s="89">
        <v>3019</v>
      </c>
      <c r="Y42" s="89">
        <v>2561</v>
      </c>
      <c r="Z42" s="89">
        <v>2103</v>
      </c>
      <c r="AA42" s="89">
        <v>3397</v>
      </c>
      <c r="AB42" s="93">
        <v>13639</v>
      </c>
      <c r="AC42" s="91">
        <f t="shared" si="5"/>
        <v>47496</v>
      </c>
      <c r="AD42" s="94">
        <v>7359</v>
      </c>
      <c r="AE42" s="91">
        <f t="shared" si="6"/>
        <v>7359</v>
      </c>
      <c r="AF42" s="91">
        <f t="shared" si="7"/>
        <v>153217</v>
      </c>
    </row>
    <row r="43" spans="1:32">
      <c r="A43" s="1" t="s">
        <v>3</v>
      </c>
      <c r="B43" s="87" t="s">
        <v>89</v>
      </c>
      <c r="C43" s="88">
        <v>300675</v>
      </c>
      <c r="D43" s="89">
        <v>407190</v>
      </c>
      <c r="E43" s="89">
        <v>343927</v>
      </c>
      <c r="F43" s="89">
        <v>324250</v>
      </c>
      <c r="G43" s="89">
        <v>330285</v>
      </c>
      <c r="H43" s="89">
        <v>316532</v>
      </c>
      <c r="I43" s="89">
        <v>296850</v>
      </c>
      <c r="J43" s="89">
        <v>386363</v>
      </c>
      <c r="K43" s="89">
        <v>359874</v>
      </c>
      <c r="L43" s="89">
        <v>371749</v>
      </c>
      <c r="M43" s="89">
        <v>307137</v>
      </c>
      <c r="N43" s="89">
        <v>319684</v>
      </c>
      <c r="O43" s="89">
        <v>312496</v>
      </c>
      <c r="P43" s="89">
        <v>305385</v>
      </c>
      <c r="Q43" s="89">
        <v>193452</v>
      </c>
      <c r="R43" s="90">
        <v>160221</v>
      </c>
      <c r="S43" s="91">
        <f t="shared" si="4"/>
        <v>5036070</v>
      </c>
      <c r="T43" s="92">
        <v>383720</v>
      </c>
      <c r="U43" s="89">
        <v>395247</v>
      </c>
      <c r="V43" s="89">
        <v>268181</v>
      </c>
      <c r="W43" s="89">
        <v>101343</v>
      </c>
      <c r="X43" s="89">
        <v>98719</v>
      </c>
      <c r="Y43" s="89">
        <v>122261</v>
      </c>
      <c r="Z43" s="89">
        <v>53171</v>
      </c>
      <c r="AA43" s="89">
        <v>81571</v>
      </c>
      <c r="AB43" s="93">
        <v>181939</v>
      </c>
      <c r="AC43" s="91">
        <f t="shared" si="5"/>
        <v>1686152</v>
      </c>
      <c r="AD43" s="94">
        <v>397359</v>
      </c>
      <c r="AE43" s="91">
        <f t="shared" si="6"/>
        <v>397359</v>
      </c>
      <c r="AF43" s="91">
        <f t="shared" si="7"/>
        <v>7119581</v>
      </c>
    </row>
    <row r="44" spans="1:32">
      <c r="A44" s="1" t="s">
        <v>3</v>
      </c>
      <c r="B44" s="48" t="s">
        <v>90</v>
      </c>
      <c r="C44" s="64">
        <v>15300</v>
      </c>
      <c r="D44" s="65">
        <v>16320</v>
      </c>
      <c r="E44" s="65">
        <v>18360</v>
      </c>
      <c r="F44" s="65">
        <v>17340</v>
      </c>
      <c r="G44" s="65">
        <v>16320</v>
      </c>
      <c r="H44" s="65">
        <v>15300</v>
      </c>
      <c r="I44" s="65">
        <v>15300</v>
      </c>
      <c r="J44" s="65">
        <v>16320</v>
      </c>
      <c r="K44" s="65">
        <v>15300</v>
      </c>
      <c r="L44" s="65">
        <v>18360</v>
      </c>
      <c r="M44" s="65">
        <v>15300</v>
      </c>
      <c r="N44" s="65">
        <v>16320</v>
      </c>
      <c r="O44" s="65">
        <v>15300</v>
      </c>
      <c r="P44" s="65">
        <v>17340</v>
      </c>
      <c r="Q44" s="65">
        <v>0</v>
      </c>
      <c r="R44" s="66">
        <v>13260</v>
      </c>
      <c r="S44" s="67">
        <f t="shared" si="4"/>
        <v>241740</v>
      </c>
      <c r="T44" s="68">
        <v>19380</v>
      </c>
      <c r="U44" s="65">
        <v>19380</v>
      </c>
      <c r="V44" s="65">
        <v>14280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9">
        <v>8160</v>
      </c>
      <c r="AC44" s="67">
        <f t="shared" si="5"/>
        <v>61200</v>
      </c>
      <c r="AD44" s="70">
        <v>20910</v>
      </c>
      <c r="AE44" s="67">
        <f t="shared" si="6"/>
        <v>20910</v>
      </c>
      <c r="AF44" s="67">
        <f t="shared" si="7"/>
        <v>323850</v>
      </c>
    </row>
    <row r="45" spans="1:32">
      <c r="A45" s="1" t="s">
        <v>3</v>
      </c>
      <c r="B45" s="16" t="s">
        <v>91</v>
      </c>
      <c r="C45" s="27">
        <v>2700</v>
      </c>
      <c r="D45" s="9">
        <v>2880</v>
      </c>
      <c r="E45" s="9">
        <v>3240</v>
      </c>
      <c r="F45" s="9">
        <v>0</v>
      </c>
      <c r="G45" s="9">
        <v>2880</v>
      </c>
      <c r="H45" s="9">
        <v>2700</v>
      </c>
      <c r="I45" s="9">
        <v>2700</v>
      </c>
      <c r="J45" s="9">
        <v>2880</v>
      </c>
      <c r="K45" s="9">
        <v>2700</v>
      </c>
      <c r="L45" s="9">
        <v>3240</v>
      </c>
      <c r="M45" s="9">
        <v>2700</v>
      </c>
      <c r="N45" s="9">
        <v>2880</v>
      </c>
      <c r="O45" s="9">
        <v>2700</v>
      </c>
      <c r="P45" s="9">
        <v>3060</v>
      </c>
      <c r="Q45" s="9">
        <v>0</v>
      </c>
      <c r="R45" s="10">
        <v>0</v>
      </c>
      <c r="S45" s="33">
        <f t="shared" si="4"/>
        <v>37260</v>
      </c>
      <c r="T45" s="20">
        <v>3420</v>
      </c>
      <c r="U45" s="9">
        <v>3420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9">
        <v>0</v>
      </c>
      <c r="AC45" s="33">
        <f t="shared" si="5"/>
        <v>6840</v>
      </c>
      <c r="AD45" s="45">
        <v>3690</v>
      </c>
      <c r="AE45" s="33">
        <f t="shared" si="6"/>
        <v>3690</v>
      </c>
      <c r="AF45" s="33">
        <f t="shared" si="7"/>
        <v>47790</v>
      </c>
    </row>
    <row r="46" spans="1:32">
      <c r="A46" s="1" t="s">
        <v>3</v>
      </c>
      <c r="B46" s="16" t="s">
        <v>92</v>
      </c>
      <c r="C46" s="27">
        <v>27450</v>
      </c>
      <c r="D46" s="9">
        <v>29280</v>
      </c>
      <c r="E46" s="9">
        <v>32940</v>
      </c>
      <c r="F46" s="9">
        <v>31110</v>
      </c>
      <c r="G46" s="9">
        <v>29280</v>
      </c>
      <c r="H46" s="9">
        <v>27450</v>
      </c>
      <c r="I46" s="9">
        <v>27450</v>
      </c>
      <c r="J46" s="9">
        <v>29280</v>
      </c>
      <c r="K46" s="9">
        <v>27450</v>
      </c>
      <c r="L46" s="9">
        <v>32940</v>
      </c>
      <c r="M46" s="9">
        <v>27450</v>
      </c>
      <c r="N46" s="9">
        <v>29280</v>
      </c>
      <c r="O46" s="9">
        <v>27450</v>
      </c>
      <c r="P46" s="9">
        <v>31110</v>
      </c>
      <c r="Q46" s="9">
        <v>0</v>
      </c>
      <c r="R46" s="10">
        <v>23790</v>
      </c>
      <c r="S46" s="33">
        <f t="shared" si="4"/>
        <v>433710</v>
      </c>
      <c r="T46" s="20">
        <v>34770</v>
      </c>
      <c r="U46" s="9">
        <v>34770</v>
      </c>
      <c r="V46" s="9">
        <v>25620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9">
        <v>14640</v>
      </c>
      <c r="AC46" s="33">
        <f t="shared" si="5"/>
        <v>109800</v>
      </c>
      <c r="AD46" s="45">
        <v>37515</v>
      </c>
      <c r="AE46" s="33">
        <f t="shared" si="6"/>
        <v>37515</v>
      </c>
      <c r="AF46" s="33">
        <f t="shared" si="7"/>
        <v>581025</v>
      </c>
    </row>
    <row r="47" spans="1:32">
      <c r="A47" s="1" t="s">
        <v>3</v>
      </c>
      <c r="B47" s="79" t="s">
        <v>93</v>
      </c>
      <c r="C47" s="80">
        <v>1654</v>
      </c>
      <c r="D47" s="81">
        <v>2240</v>
      </c>
      <c r="E47" s="81">
        <v>1892</v>
      </c>
      <c r="F47" s="81">
        <v>1783</v>
      </c>
      <c r="G47" s="81">
        <v>1817</v>
      </c>
      <c r="H47" s="81">
        <v>1741</v>
      </c>
      <c r="I47" s="81">
        <v>1633</v>
      </c>
      <c r="J47" s="81">
        <v>2125</v>
      </c>
      <c r="K47" s="81">
        <v>1979</v>
      </c>
      <c r="L47" s="81">
        <v>2045</v>
      </c>
      <c r="M47" s="81">
        <v>1689</v>
      </c>
      <c r="N47" s="81">
        <v>1758</v>
      </c>
      <c r="O47" s="81">
        <v>1719</v>
      </c>
      <c r="P47" s="81">
        <v>1680</v>
      </c>
      <c r="Q47" s="81">
        <v>1064</v>
      </c>
      <c r="R47" s="82">
        <v>881</v>
      </c>
      <c r="S47" s="83">
        <f t="shared" si="4"/>
        <v>27700</v>
      </c>
      <c r="T47" s="84">
        <v>2110</v>
      </c>
      <c r="U47" s="81">
        <v>2174</v>
      </c>
      <c r="V47" s="81">
        <v>1475</v>
      </c>
      <c r="W47" s="81">
        <v>0</v>
      </c>
      <c r="X47" s="81">
        <v>543</v>
      </c>
      <c r="Y47" s="81">
        <v>672</v>
      </c>
      <c r="Z47" s="81">
        <v>0</v>
      </c>
      <c r="AA47" s="81">
        <v>449</v>
      </c>
      <c r="AB47" s="85">
        <v>1001</v>
      </c>
      <c r="AC47" s="83">
        <f t="shared" si="5"/>
        <v>8424</v>
      </c>
      <c r="AD47" s="86">
        <v>2185</v>
      </c>
      <c r="AE47" s="83">
        <f t="shared" si="6"/>
        <v>2185</v>
      </c>
      <c r="AF47" s="83">
        <f t="shared" si="7"/>
        <v>38309</v>
      </c>
    </row>
    <row r="48" spans="1:32">
      <c r="A48" s="1" t="s">
        <v>3</v>
      </c>
      <c r="B48" s="87" t="s">
        <v>94</v>
      </c>
      <c r="C48" s="88">
        <v>47104</v>
      </c>
      <c r="D48" s="89">
        <v>50720</v>
      </c>
      <c r="E48" s="89">
        <v>56432</v>
      </c>
      <c r="F48" s="89">
        <v>50233</v>
      </c>
      <c r="G48" s="89">
        <v>50297</v>
      </c>
      <c r="H48" s="89">
        <v>47191</v>
      </c>
      <c r="I48" s="89">
        <v>47083</v>
      </c>
      <c r="J48" s="89">
        <v>50605</v>
      </c>
      <c r="K48" s="89">
        <v>47429</v>
      </c>
      <c r="L48" s="89">
        <v>56585</v>
      </c>
      <c r="M48" s="89">
        <v>47139</v>
      </c>
      <c r="N48" s="89">
        <v>50238</v>
      </c>
      <c r="O48" s="89">
        <v>47169</v>
      </c>
      <c r="P48" s="89">
        <v>53190</v>
      </c>
      <c r="Q48" s="89">
        <v>1064</v>
      </c>
      <c r="R48" s="90">
        <v>37931</v>
      </c>
      <c r="S48" s="91">
        <f t="shared" si="4"/>
        <v>740410</v>
      </c>
      <c r="T48" s="92">
        <v>59680</v>
      </c>
      <c r="U48" s="89">
        <v>59744</v>
      </c>
      <c r="V48" s="89">
        <v>41375</v>
      </c>
      <c r="W48" s="89">
        <v>0</v>
      </c>
      <c r="X48" s="89">
        <v>543</v>
      </c>
      <c r="Y48" s="89">
        <v>672</v>
      </c>
      <c r="Z48" s="89">
        <v>0</v>
      </c>
      <c r="AA48" s="89">
        <v>449</v>
      </c>
      <c r="AB48" s="93">
        <v>23801</v>
      </c>
      <c r="AC48" s="91">
        <f t="shared" si="5"/>
        <v>186264</v>
      </c>
      <c r="AD48" s="94">
        <v>64300</v>
      </c>
      <c r="AE48" s="91">
        <f t="shared" si="6"/>
        <v>64300</v>
      </c>
      <c r="AF48" s="91">
        <f t="shared" si="7"/>
        <v>990974</v>
      </c>
    </row>
    <row r="49" spans="1:32">
      <c r="A49" s="1" t="s">
        <v>3</v>
      </c>
      <c r="B49" s="48" t="s">
        <v>95</v>
      </c>
      <c r="C49" s="64">
        <v>4540</v>
      </c>
      <c r="D49" s="65">
        <v>9240</v>
      </c>
      <c r="E49" s="65">
        <v>7780</v>
      </c>
      <c r="F49" s="65">
        <v>7320</v>
      </c>
      <c r="G49" s="65">
        <v>7520</v>
      </c>
      <c r="H49" s="65">
        <v>5580</v>
      </c>
      <c r="I49" s="65">
        <v>6420</v>
      </c>
      <c r="J49" s="65">
        <v>10840</v>
      </c>
      <c r="K49" s="65">
        <v>8680</v>
      </c>
      <c r="L49" s="65">
        <v>2200</v>
      </c>
      <c r="M49" s="65">
        <v>6520</v>
      </c>
      <c r="N49" s="65">
        <v>6930</v>
      </c>
      <c r="O49" s="65">
        <v>6790</v>
      </c>
      <c r="P49" s="65">
        <v>6530</v>
      </c>
      <c r="Q49" s="65">
        <v>4280</v>
      </c>
      <c r="R49" s="66">
        <v>0</v>
      </c>
      <c r="S49" s="67">
        <f t="shared" si="4"/>
        <v>101170</v>
      </c>
      <c r="T49" s="68">
        <v>7550</v>
      </c>
      <c r="U49" s="65">
        <v>7900</v>
      </c>
      <c r="V49" s="65">
        <v>5450</v>
      </c>
      <c r="W49" s="65">
        <v>0</v>
      </c>
      <c r="X49" s="65">
        <v>480</v>
      </c>
      <c r="Y49" s="65">
        <v>1690</v>
      </c>
      <c r="Z49" s="65">
        <v>0</v>
      </c>
      <c r="AA49" s="65">
        <v>0</v>
      </c>
      <c r="AB49" s="69">
        <v>1190</v>
      </c>
      <c r="AC49" s="67">
        <f t="shared" si="5"/>
        <v>24260</v>
      </c>
      <c r="AD49" s="70">
        <v>10480</v>
      </c>
      <c r="AE49" s="67">
        <f t="shared" si="6"/>
        <v>10480</v>
      </c>
      <c r="AF49" s="67">
        <f t="shared" si="7"/>
        <v>135910</v>
      </c>
    </row>
    <row r="50" spans="1:32">
      <c r="A50" s="1" t="s">
        <v>3</v>
      </c>
      <c r="B50" s="16" t="s">
        <v>96</v>
      </c>
      <c r="C50" s="27">
        <v>1300</v>
      </c>
      <c r="D50" s="9">
        <v>0</v>
      </c>
      <c r="E50" s="9">
        <v>0</v>
      </c>
      <c r="F50" s="9">
        <v>1300</v>
      </c>
      <c r="G50" s="9">
        <v>1300</v>
      </c>
      <c r="H50" s="9">
        <v>1300</v>
      </c>
      <c r="I50" s="9">
        <v>1300</v>
      </c>
      <c r="J50" s="9">
        <v>1300</v>
      </c>
      <c r="K50" s="9">
        <v>1300</v>
      </c>
      <c r="L50" s="9">
        <v>1300</v>
      </c>
      <c r="M50" s="9">
        <v>1300</v>
      </c>
      <c r="N50" s="9">
        <v>1300</v>
      </c>
      <c r="O50" s="9">
        <v>1300</v>
      </c>
      <c r="P50" s="9">
        <v>0</v>
      </c>
      <c r="Q50" s="9">
        <v>0</v>
      </c>
      <c r="R50" s="10">
        <v>0</v>
      </c>
      <c r="S50" s="33">
        <f t="shared" si="4"/>
        <v>14300</v>
      </c>
      <c r="T50" s="20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9">
        <v>0</v>
      </c>
      <c r="AC50" s="33">
        <f t="shared" si="5"/>
        <v>0</v>
      </c>
      <c r="AD50" s="45">
        <v>0</v>
      </c>
      <c r="AE50" s="33">
        <f t="shared" si="6"/>
        <v>0</v>
      </c>
      <c r="AF50" s="33">
        <f t="shared" si="7"/>
        <v>14300</v>
      </c>
    </row>
    <row r="51" spans="1:32">
      <c r="A51" s="1" t="s">
        <v>3</v>
      </c>
      <c r="B51" s="79" t="s">
        <v>97</v>
      </c>
      <c r="C51" s="80">
        <v>8100</v>
      </c>
      <c r="D51" s="81">
        <v>20000</v>
      </c>
      <c r="E51" s="81">
        <v>17800</v>
      </c>
      <c r="F51" s="81">
        <v>14100</v>
      </c>
      <c r="G51" s="81">
        <v>12800</v>
      </c>
      <c r="H51" s="81">
        <v>10300</v>
      </c>
      <c r="I51" s="81">
        <v>13200</v>
      </c>
      <c r="J51" s="81">
        <v>15400</v>
      </c>
      <c r="K51" s="81">
        <v>14900</v>
      </c>
      <c r="L51" s="81">
        <v>1100</v>
      </c>
      <c r="M51" s="81">
        <v>0</v>
      </c>
      <c r="N51" s="81">
        <v>7800</v>
      </c>
      <c r="O51" s="81">
        <v>11700</v>
      </c>
      <c r="P51" s="81">
        <v>11800</v>
      </c>
      <c r="Q51" s="81">
        <v>0</v>
      </c>
      <c r="R51" s="82">
        <v>0</v>
      </c>
      <c r="S51" s="83">
        <f t="shared" si="4"/>
        <v>159000</v>
      </c>
      <c r="T51" s="84">
        <v>20200</v>
      </c>
      <c r="U51" s="81">
        <v>14600</v>
      </c>
      <c r="V51" s="81">
        <v>7800</v>
      </c>
      <c r="W51" s="81">
        <v>0</v>
      </c>
      <c r="X51" s="81">
        <v>500</v>
      </c>
      <c r="Y51" s="81">
        <v>2300</v>
      </c>
      <c r="Z51" s="81">
        <v>0</v>
      </c>
      <c r="AA51" s="81">
        <v>2600</v>
      </c>
      <c r="AB51" s="85">
        <v>7100</v>
      </c>
      <c r="AC51" s="83">
        <f t="shared" si="5"/>
        <v>55100</v>
      </c>
      <c r="AD51" s="86">
        <v>21800</v>
      </c>
      <c r="AE51" s="83">
        <f t="shared" si="6"/>
        <v>21800</v>
      </c>
      <c r="AF51" s="83">
        <f t="shared" si="7"/>
        <v>235900</v>
      </c>
    </row>
    <row r="52" spans="1:32">
      <c r="A52" s="1" t="s">
        <v>3</v>
      </c>
      <c r="B52" s="87" t="s">
        <v>98</v>
      </c>
      <c r="C52" s="88">
        <v>61044</v>
      </c>
      <c r="D52" s="89">
        <v>79960</v>
      </c>
      <c r="E52" s="89">
        <v>82012</v>
      </c>
      <c r="F52" s="89">
        <v>72953</v>
      </c>
      <c r="G52" s="89">
        <v>71917</v>
      </c>
      <c r="H52" s="89">
        <v>64371</v>
      </c>
      <c r="I52" s="89">
        <v>68003</v>
      </c>
      <c r="J52" s="89">
        <v>78145</v>
      </c>
      <c r="K52" s="89">
        <v>72309</v>
      </c>
      <c r="L52" s="89">
        <v>61185</v>
      </c>
      <c r="M52" s="89">
        <v>54959</v>
      </c>
      <c r="N52" s="89">
        <v>66268</v>
      </c>
      <c r="O52" s="89">
        <v>66959</v>
      </c>
      <c r="P52" s="89">
        <v>71520</v>
      </c>
      <c r="Q52" s="89">
        <v>5344</v>
      </c>
      <c r="R52" s="90">
        <v>37931</v>
      </c>
      <c r="S52" s="91">
        <f t="shared" si="4"/>
        <v>1014880</v>
      </c>
      <c r="T52" s="92">
        <v>87430</v>
      </c>
      <c r="U52" s="89">
        <v>82244</v>
      </c>
      <c r="V52" s="89">
        <v>54625</v>
      </c>
      <c r="W52" s="89">
        <v>0</v>
      </c>
      <c r="X52" s="89">
        <v>1523</v>
      </c>
      <c r="Y52" s="89">
        <v>4662</v>
      </c>
      <c r="Z52" s="89">
        <v>0</v>
      </c>
      <c r="AA52" s="89">
        <v>3049</v>
      </c>
      <c r="AB52" s="93">
        <v>32091</v>
      </c>
      <c r="AC52" s="91">
        <f t="shared" si="5"/>
        <v>265624</v>
      </c>
      <c r="AD52" s="94">
        <v>96580</v>
      </c>
      <c r="AE52" s="91">
        <f t="shared" si="6"/>
        <v>96580</v>
      </c>
      <c r="AF52" s="91">
        <f t="shared" si="7"/>
        <v>1377084</v>
      </c>
    </row>
    <row r="53" spans="1:32">
      <c r="A53" s="1" t="s">
        <v>3</v>
      </c>
      <c r="B53" s="87" t="s">
        <v>99</v>
      </c>
      <c r="C53" s="88">
        <v>239015</v>
      </c>
      <c r="D53" s="89">
        <v>350162</v>
      </c>
      <c r="E53" s="89">
        <v>284395</v>
      </c>
      <c r="F53" s="89">
        <v>271537</v>
      </c>
      <c r="G53" s="89">
        <v>277184</v>
      </c>
      <c r="H53" s="89">
        <v>267939</v>
      </c>
      <c r="I53" s="89">
        <v>246263</v>
      </c>
      <c r="J53" s="89">
        <v>330151</v>
      </c>
      <c r="K53" s="89">
        <v>303711</v>
      </c>
      <c r="L53" s="89">
        <v>308156</v>
      </c>
      <c r="M53" s="89">
        <v>249000</v>
      </c>
      <c r="N53" s="89">
        <v>260686</v>
      </c>
      <c r="O53" s="89">
        <v>256567</v>
      </c>
      <c r="P53" s="89">
        <v>249499</v>
      </c>
      <c r="Q53" s="89">
        <v>186350</v>
      </c>
      <c r="R53" s="90">
        <v>116683</v>
      </c>
      <c r="S53" s="91">
        <f t="shared" si="4"/>
        <v>4197298</v>
      </c>
      <c r="T53" s="92">
        <v>320320</v>
      </c>
      <c r="U53" s="89">
        <v>328953</v>
      </c>
      <c r="V53" s="89">
        <v>219043</v>
      </c>
      <c r="W53" s="89">
        <v>96599</v>
      </c>
      <c r="X53" s="89">
        <v>95157</v>
      </c>
      <c r="Y53" s="89">
        <v>119028</v>
      </c>
      <c r="Z53" s="89">
        <v>51068</v>
      </c>
      <c r="AA53" s="89">
        <v>77725</v>
      </c>
      <c r="AB53" s="93">
        <v>144499</v>
      </c>
      <c r="AC53" s="91">
        <f t="shared" si="5"/>
        <v>1452392</v>
      </c>
      <c r="AD53" s="94">
        <v>325700</v>
      </c>
      <c r="AE53" s="91">
        <f t="shared" si="6"/>
        <v>325700</v>
      </c>
      <c r="AF53" s="91">
        <f t="shared" si="7"/>
        <v>5975390</v>
      </c>
    </row>
    <row r="54" spans="1:32">
      <c r="A54" s="1" t="s">
        <v>3</v>
      </c>
      <c r="B54" s="87" t="s">
        <v>100</v>
      </c>
      <c r="C54" s="88">
        <v>239631</v>
      </c>
      <c r="D54" s="89">
        <v>327230</v>
      </c>
      <c r="E54" s="89">
        <v>261915</v>
      </c>
      <c r="F54" s="89">
        <v>251297</v>
      </c>
      <c r="G54" s="89">
        <v>258368</v>
      </c>
      <c r="H54" s="89">
        <v>252161</v>
      </c>
      <c r="I54" s="89">
        <v>228847</v>
      </c>
      <c r="J54" s="89">
        <v>308218</v>
      </c>
      <c r="K54" s="89">
        <v>287565</v>
      </c>
      <c r="L54" s="89">
        <v>310564</v>
      </c>
      <c r="M54" s="89">
        <v>252178</v>
      </c>
      <c r="N54" s="89">
        <v>253416</v>
      </c>
      <c r="O54" s="89">
        <v>245537</v>
      </c>
      <c r="P54" s="89">
        <v>233865</v>
      </c>
      <c r="Q54" s="89">
        <v>188108</v>
      </c>
      <c r="R54" s="90">
        <v>122290</v>
      </c>
      <c r="S54" s="91">
        <f t="shared" si="4"/>
        <v>4021190</v>
      </c>
      <c r="T54" s="92">
        <v>296290</v>
      </c>
      <c r="U54" s="89">
        <v>313003</v>
      </c>
      <c r="V54" s="89">
        <v>213556</v>
      </c>
      <c r="W54" s="89">
        <v>101343</v>
      </c>
      <c r="X54" s="89">
        <v>97196</v>
      </c>
      <c r="Y54" s="89">
        <v>117599</v>
      </c>
      <c r="Z54" s="89">
        <v>53171</v>
      </c>
      <c r="AA54" s="89">
        <v>78522</v>
      </c>
      <c r="AB54" s="93">
        <v>149848</v>
      </c>
      <c r="AC54" s="91">
        <f t="shared" si="5"/>
        <v>1420528</v>
      </c>
      <c r="AD54" s="94">
        <v>300779</v>
      </c>
      <c r="AE54" s="91">
        <f t="shared" si="6"/>
        <v>300779</v>
      </c>
      <c r="AF54" s="91">
        <f t="shared" si="7"/>
        <v>5742497</v>
      </c>
    </row>
    <row r="55" spans="1:32">
      <c r="A55" s="1" t="s">
        <v>3</v>
      </c>
      <c r="B55" s="87" t="s">
        <v>101</v>
      </c>
      <c r="C55" s="88">
        <v>239631</v>
      </c>
      <c r="D55" s="89">
        <v>327230</v>
      </c>
      <c r="E55" s="89">
        <v>261915</v>
      </c>
      <c r="F55" s="89">
        <v>251297</v>
      </c>
      <c r="G55" s="89">
        <v>258368</v>
      </c>
      <c r="H55" s="89">
        <v>252161</v>
      </c>
      <c r="I55" s="89">
        <v>228847</v>
      </c>
      <c r="J55" s="89">
        <v>308218</v>
      </c>
      <c r="K55" s="89">
        <v>287565</v>
      </c>
      <c r="L55" s="89">
        <v>310564</v>
      </c>
      <c r="M55" s="89">
        <v>252178</v>
      </c>
      <c r="N55" s="89">
        <v>253416</v>
      </c>
      <c r="O55" s="89">
        <v>245537</v>
      </c>
      <c r="P55" s="89">
        <v>233865</v>
      </c>
      <c r="Q55" s="89">
        <v>188108</v>
      </c>
      <c r="R55" s="90">
        <v>122290</v>
      </c>
      <c r="S55" s="91">
        <f t="shared" si="4"/>
        <v>4021190</v>
      </c>
      <c r="T55" s="92">
        <v>296290</v>
      </c>
      <c r="U55" s="89">
        <v>313003</v>
      </c>
      <c r="V55" s="89">
        <v>213556</v>
      </c>
      <c r="W55" s="89">
        <v>101343</v>
      </c>
      <c r="X55" s="89">
        <v>97196</v>
      </c>
      <c r="Y55" s="89">
        <v>117599</v>
      </c>
      <c r="Z55" s="89">
        <v>53171</v>
      </c>
      <c r="AA55" s="89">
        <v>78522</v>
      </c>
      <c r="AB55" s="93">
        <v>149848</v>
      </c>
      <c r="AC55" s="91">
        <f t="shared" si="5"/>
        <v>1420528</v>
      </c>
      <c r="AD55" s="94">
        <v>300779</v>
      </c>
      <c r="AE55" s="91">
        <f t="shared" si="6"/>
        <v>300779</v>
      </c>
      <c r="AF55" s="91">
        <f t="shared" si="7"/>
        <v>5742497</v>
      </c>
    </row>
    <row r="56" spans="1:32">
      <c r="A56" s="1" t="s">
        <v>3</v>
      </c>
      <c r="B56" s="48" t="s">
        <v>102</v>
      </c>
      <c r="C56" s="64">
        <v>1</v>
      </c>
      <c r="D56" s="65">
        <v>1</v>
      </c>
      <c r="E56" s="65">
        <v>0</v>
      </c>
      <c r="F56" s="65">
        <v>0</v>
      </c>
      <c r="G56" s="65">
        <v>0</v>
      </c>
      <c r="H56" s="65">
        <v>1</v>
      </c>
      <c r="I56" s="65">
        <v>0</v>
      </c>
      <c r="J56" s="65">
        <v>0</v>
      </c>
      <c r="K56" s="65">
        <v>0</v>
      </c>
      <c r="L56" s="65">
        <v>4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6">
        <v>1</v>
      </c>
      <c r="S56" s="67"/>
      <c r="T56" s="68">
        <v>1</v>
      </c>
      <c r="U56" s="65">
        <v>1</v>
      </c>
      <c r="V56" s="65">
        <v>0</v>
      </c>
      <c r="W56" s="65">
        <v>1</v>
      </c>
      <c r="X56" s="65">
        <v>0</v>
      </c>
      <c r="Y56" s="65">
        <v>0</v>
      </c>
      <c r="Z56" s="65">
        <v>1</v>
      </c>
      <c r="AA56" s="65">
        <v>1</v>
      </c>
      <c r="AB56" s="69">
        <v>1</v>
      </c>
      <c r="AC56" s="67"/>
      <c r="AD56" s="70">
        <v>0</v>
      </c>
      <c r="AE56" s="67"/>
      <c r="AF56" s="67"/>
    </row>
    <row r="57" spans="1:32">
      <c r="A57" s="1" t="s">
        <v>3</v>
      </c>
      <c r="B57" s="16" t="s">
        <v>103</v>
      </c>
      <c r="C57" s="28" t="s">
        <v>104</v>
      </c>
      <c r="D57" s="11" t="s">
        <v>104</v>
      </c>
      <c r="E57" s="11" t="s">
        <v>104</v>
      </c>
      <c r="F57" s="11" t="s">
        <v>104</v>
      </c>
      <c r="G57" s="11" t="s">
        <v>104</v>
      </c>
      <c r="H57" s="11" t="s">
        <v>104</v>
      </c>
      <c r="I57" s="11" t="s">
        <v>104</v>
      </c>
      <c r="J57" s="11" t="s">
        <v>104</v>
      </c>
      <c r="K57" s="11" t="s">
        <v>104</v>
      </c>
      <c r="L57" s="11" t="s">
        <v>104</v>
      </c>
      <c r="M57" s="11" t="s">
        <v>104</v>
      </c>
      <c r="N57" s="11" t="s">
        <v>104</v>
      </c>
      <c r="O57" s="11" t="s">
        <v>104</v>
      </c>
      <c r="P57" s="11" t="s">
        <v>104</v>
      </c>
      <c r="Q57" s="11" t="s">
        <v>104</v>
      </c>
      <c r="R57" s="12" t="s">
        <v>104</v>
      </c>
      <c r="S57" s="34"/>
      <c r="T57" s="21" t="s">
        <v>104</v>
      </c>
      <c r="U57" s="11" t="s">
        <v>104</v>
      </c>
      <c r="V57" s="11" t="s">
        <v>104</v>
      </c>
      <c r="W57" s="11" t="s">
        <v>104</v>
      </c>
      <c r="X57" s="11" t="s">
        <v>104</v>
      </c>
      <c r="Y57" s="11" t="s">
        <v>104</v>
      </c>
      <c r="Z57" s="11" t="s">
        <v>104</v>
      </c>
      <c r="AA57" s="11" t="s">
        <v>104</v>
      </c>
      <c r="AB57" s="40" t="s">
        <v>104</v>
      </c>
      <c r="AC57" s="34"/>
      <c r="AD57" s="46" t="s">
        <v>104</v>
      </c>
      <c r="AE57" s="34"/>
      <c r="AF57" s="34"/>
    </row>
    <row r="58" spans="1:32" ht="19.5" thickBot="1">
      <c r="A58" s="1" t="s">
        <v>3</v>
      </c>
      <c r="B58" s="17" t="s">
        <v>105</v>
      </c>
      <c r="C58" s="29">
        <v>4540</v>
      </c>
      <c r="D58" s="13">
        <v>9240</v>
      </c>
      <c r="E58" s="13">
        <v>7780</v>
      </c>
      <c r="F58" s="13">
        <v>7320</v>
      </c>
      <c r="G58" s="13">
        <v>7520</v>
      </c>
      <c r="H58" s="13">
        <v>5580</v>
      </c>
      <c r="I58" s="13">
        <v>6420</v>
      </c>
      <c r="J58" s="13">
        <v>10840</v>
      </c>
      <c r="K58" s="13">
        <v>8680</v>
      </c>
      <c r="L58" s="13">
        <v>2200</v>
      </c>
      <c r="M58" s="13">
        <v>6520</v>
      </c>
      <c r="N58" s="13">
        <v>6930</v>
      </c>
      <c r="O58" s="13">
        <v>6790</v>
      </c>
      <c r="P58" s="13">
        <v>6530</v>
      </c>
      <c r="Q58" s="13">
        <v>4280</v>
      </c>
      <c r="R58" s="14">
        <v>0</v>
      </c>
      <c r="S58" s="35">
        <f>SUM(C58:R58)</f>
        <v>101170</v>
      </c>
      <c r="T58" s="22">
        <v>7550</v>
      </c>
      <c r="U58" s="13">
        <v>7900</v>
      </c>
      <c r="V58" s="13">
        <v>5450</v>
      </c>
      <c r="W58" s="13">
        <v>0</v>
      </c>
      <c r="X58" s="13">
        <v>480</v>
      </c>
      <c r="Y58" s="13">
        <v>1690</v>
      </c>
      <c r="Z58" s="13">
        <v>0</v>
      </c>
      <c r="AA58" s="13">
        <v>0</v>
      </c>
      <c r="AB58" s="41">
        <v>1190</v>
      </c>
      <c r="AC58" s="35">
        <f>SUM(T58:AB58)</f>
        <v>24260</v>
      </c>
      <c r="AD58" s="47">
        <v>10480</v>
      </c>
      <c r="AE58" s="35">
        <f>AD58</f>
        <v>10480</v>
      </c>
      <c r="AF58" s="35">
        <f>S58+AC58+AE58</f>
        <v>135910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18B9-0FA0-4090-BD61-D3BE18383908}">
  <dimension ref="A1:P58"/>
  <sheetViews>
    <sheetView showZeros="0" workbookViewId="0">
      <pane xSplit="2" ySplit="8" topLeftCell="C42" activePane="bottomRight" state="frozen"/>
      <selection pane="topRight" activeCell="C1" sqref="C1"/>
      <selection pane="bottomLeft" activeCell="A9" sqref="A9"/>
      <selection pane="bottomRight" activeCell="N42" sqref="N42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13.25" style="2" bestFit="1" customWidth="1"/>
    <col min="5" max="5" width="11.125" style="2" bestFit="1" customWidth="1"/>
    <col min="6" max="6" width="9.625" style="2" bestFit="1" customWidth="1"/>
    <col min="7" max="11" width="11.125" style="2" bestFit="1" customWidth="1"/>
    <col min="12" max="12" width="9" style="2" bestFit="1" customWidth="1"/>
    <col min="13" max="13" width="9.625" style="2" bestFit="1" customWidth="1"/>
    <col min="14" max="14" width="11.125" style="2" bestFit="1" customWidth="1"/>
    <col min="15" max="16" width="9.625" style="2" bestFit="1" customWidth="1"/>
    <col min="17" max="243" width="9" style="2"/>
    <col min="244" max="244" width="2.375" style="2" customWidth="1"/>
    <col min="245" max="245" width="13.25" style="2" bestFit="1" customWidth="1"/>
    <col min="246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60" width="11.125" style="2" bestFit="1" customWidth="1"/>
    <col min="261" max="261" width="9" style="2"/>
    <col min="262" max="263" width="11.125" style="2" bestFit="1" customWidth="1"/>
    <col min="264" max="265" width="9" style="2"/>
    <col min="266" max="270" width="11.125" style="2" bestFit="1" customWidth="1"/>
    <col min="271" max="271" width="9" style="2"/>
    <col min="272" max="272" width="9.625" style="2" bestFit="1" customWidth="1"/>
    <col min="273" max="499" width="9" style="2"/>
    <col min="500" max="500" width="2.375" style="2" customWidth="1"/>
    <col min="501" max="501" width="13.25" style="2" bestFit="1" customWidth="1"/>
    <col min="502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16" width="11.125" style="2" bestFit="1" customWidth="1"/>
    <col min="517" max="517" width="9" style="2"/>
    <col min="518" max="519" width="11.125" style="2" bestFit="1" customWidth="1"/>
    <col min="520" max="521" width="9" style="2"/>
    <col min="522" max="526" width="11.125" style="2" bestFit="1" customWidth="1"/>
    <col min="527" max="527" width="9" style="2"/>
    <col min="528" max="528" width="9.625" style="2" bestFit="1" customWidth="1"/>
    <col min="529" max="755" width="9" style="2"/>
    <col min="756" max="756" width="2.375" style="2" customWidth="1"/>
    <col min="757" max="757" width="13.25" style="2" bestFit="1" customWidth="1"/>
    <col min="758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72" width="11.125" style="2" bestFit="1" customWidth="1"/>
    <col min="773" max="773" width="9" style="2"/>
    <col min="774" max="775" width="11.125" style="2" bestFit="1" customWidth="1"/>
    <col min="776" max="777" width="9" style="2"/>
    <col min="778" max="782" width="11.125" style="2" bestFit="1" customWidth="1"/>
    <col min="783" max="783" width="9" style="2"/>
    <col min="784" max="784" width="9.625" style="2" bestFit="1" customWidth="1"/>
    <col min="785" max="1011" width="9" style="2"/>
    <col min="1012" max="1012" width="2.375" style="2" customWidth="1"/>
    <col min="1013" max="1013" width="13.25" style="2" bestFit="1" customWidth="1"/>
    <col min="1014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28" width="11.125" style="2" bestFit="1" customWidth="1"/>
    <col min="1029" max="1029" width="9" style="2"/>
    <col min="1030" max="1031" width="11.125" style="2" bestFit="1" customWidth="1"/>
    <col min="1032" max="1033" width="9" style="2"/>
    <col min="1034" max="1038" width="11.125" style="2" bestFit="1" customWidth="1"/>
    <col min="1039" max="1039" width="9" style="2"/>
    <col min="1040" max="1040" width="9.625" style="2" bestFit="1" customWidth="1"/>
    <col min="1041" max="1267" width="9" style="2"/>
    <col min="1268" max="1268" width="2.375" style="2" customWidth="1"/>
    <col min="1269" max="1269" width="13.25" style="2" bestFit="1" customWidth="1"/>
    <col min="1270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84" width="11.125" style="2" bestFit="1" customWidth="1"/>
    <col min="1285" max="1285" width="9" style="2"/>
    <col min="1286" max="1287" width="11.125" style="2" bestFit="1" customWidth="1"/>
    <col min="1288" max="1289" width="9" style="2"/>
    <col min="1290" max="1294" width="11.125" style="2" bestFit="1" customWidth="1"/>
    <col min="1295" max="1295" width="9" style="2"/>
    <col min="1296" max="1296" width="9.625" style="2" bestFit="1" customWidth="1"/>
    <col min="1297" max="1523" width="9" style="2"/>
    <col min="1524" max="1524" width="2.375" style="2" customWidth="1"/>
    <col min="1525" max="1525" width="13.25" style="2" bestFit="1" customWidth="1"/>
    <col min="1526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40" width="11.125" style="2" bestFit="1" customWidth="1"/>
    <col min="1541" max="1541" width="9" style="2"/>
    <col min="1542" max="1543" width="11.125" style="2" bestFit="1" customWidth="1"/>
    <col min="1544" max="1545" width="9" style="2"/>
    <col min="1546" max="1550" width="11.125" style="2" bestFit="1" customWidth="1"/>
    <col min="1551" max="1551" width="9" style="2"/>
    <col min="1552" max="1552" width="9.625" style="2" bestFit="1" customWidth="1"/>
    <col min="1553" max="1779" width="9" style="2"/>
    <col min="1780" max="1780" width="2.375" style="2" customWidth="1"/>
    <col min="1781" max="1781" width="13.25" style="2" bestFit="1" customWidth="1"/>
    <col min="1782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96" width="11.125" style="2" bestFit="1" customWidth="1"/>
    <col min="1797" max="1797" width="9" style="2"/>
    <col min="1798" max="1799" width="11.125" style="2" bestFit="1" customWidth="1"/>
    <col min="1800" max="1801" width="9" style="2"/>
    <col min="1802" max="1806" width="11.125" style="2" bestFit="1" customWidth="1"/>
    <col min="1807" max="1807" width="9" style="2"/>
    <col min="1808" max="1808" width="9.625" style="2" bestFit="1" customWidth="1"/>
    <col min="1809" max="2035" width="9" style="2"/>
    <col min="2036" max="2036" width="2.375" style="2" customWidth="1"/>
    <col min="2037" max="2037" width="13.25" style="2" bestFit="1" customWidth="1"/>
    <col min="2038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52" width="11.125" style="2" bestFit="1" customWidth="1"/>
    <col min="2053" max="2053" width="9" style="2"/>
    <col min="2054" max="2055" width="11.125" style="2" bestFit="1" customWidth="1"/>
    <col min="2056" max="2057" width="9" style="2"/>
    <col min="2058" max="2062" width="11.125" style="2" bestFit="1" customWidth="1"/>
    <col min="2063" max="2063" width="9" style="2"/>
    <col min="2064" max="2064" width="9.625" style="2" bestFit="1" customWidth="1"/>
    <col min="2065" max="2291" width="9" style="2"/>
    <col min="2292" max="2292" width="2.375" style="2" customWidth="1"/>
    <col min="2293" max="2293" width="13.25" style="2" bestFit="1" customWidth="1"/>
    <col min="2294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308" width="11.125" style="2" bestFit="1" customWidth="1"/>
    <col min="2309" max="2309" width="9" style="2"/>
    <col min="2310" max="2311" width="11.125" style="2" bestFit="1" customWidth="1"/>
    <col min="2312" max="2313" width="9" style="2"/>
    <col min="2314" max="2318" width="11.125" style="2" bestFit="1" customWidth="1"/>
    <col min="2319" max="2319" width="9" style="2"/>
    <col min="2320" max="2320" width="9.625" style="2" bestFit="1" customWidth="1"/>
    <col min="2321" max="2547" width="9" style="2"/>
    <col min="2548" max="2548" width="2.375" style="2" customWidth="1"/>
    <col min="2549" max="2549" width="13.25" style="2" bestFit="1" customWidth="1"/>
    <col min="2550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64" width="11.125" style="2" bestFit="1" customWidth="1"/>
    <col min="2565" max="2565" width="9" style="2"/>
    <col min="2566" max="2567" width="11.125" style="2" bestFit="1" customWidth="1"/>
    <col min="2568" max="2569" width="9" style="2"/>
    <col min="2570" max="2574" width="11.125" style="2" bestFit="1" customWidth="1"/>
    <col min="2575" max="2575" width="9" style="2"/>
    <col min="2576" max="2576" width="9.625" style="2" bestFit="1" customWidth="1"/>
    <col min="2577" max="2803" width="9" style="2"/>
    <col min="2804" max="2804" width="2.375" style="2" customWidth="1"/>
    <col min="2805" max="2805" width="13.25" style="2" bestFit="1" customWidth="1"/>
    <col min="2806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20" width="11.125" style="2" bestFit="1" customWidth="1"/>
    <col min="2821" max="2821" width="9" style="2"/>
    <col min="2822" max="2823" width="11.125" style="2" bestFit="1" customWidth="1"/>
    <col min="2824" max="2825" width="9" style="2"/>
    <col min="2826" max="2830" width="11.125" style="2" bestFit="1" customWidth="1"/>
    <col min="2831" max="2831" width="9" style="2"/>
    <col min="2832" max="2832" width="9.625" style="2" bestFit="1" customWidth="1"/>
    <col min="2833" max="3059" width="9" style="2"/>
    <col min="3060" max="3060" width="2.375" style="2" customWidth="1"/>
    <col min="3061" max="3061" width="13.25" style="2" bestFit="1" customWidth="1"/>
    <col min="3062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76" width="11.125" style="2" bestFit="1" customWidth="1"/>
    <col min="3077" max="3077" width="9" style="2"/>
    <col min="3078" max="3079" width="11.125" style="2" bestFit="1" customWidth="1"/>
    <col min="3080" max="3081" width="9" style="2"/>
    <col min="3082" max="3086" width="11.125" style="2" bestFit="1" customWidth="1"/>
    <col min="3087" max="3087" width="9" style="2"/>
    <col min="3088" max="3088" width="9.625" style="2" bestFit="1" customWidth="1"/>
    <col min="3089" max="3315" width="9" style="2"/>
    <col min="3316" max="3316" width="2.375" style="2" customWidth="1"/>
    <col min="3317" max="3317" width="13.25" style="2" bestFit="1" customWidth="1"/>
    <col min="3318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32" width="11.125" style="2" bestFit="1" customWidth="1"/>
    <col min="3333" max="3333" width="9" style="2"/>
    <col min="3334" max="3335" width="11.125" style="2" bestFit="1" customWidth="1"/>
    <col min="3336" max="3337" width="9" style="2"/>
    <col min="3338" max="3342" width="11.125" style="2" bestFit="1" customWidth="1"/>
    <col min="3343" max="3343" width="9" style="2"/>
    <col min="3344" max="3344" width="9.625" style="2" bestFit="1" customWidth="1"/>
    <col min="3345" max="3571" width="9" style="2"/>
    <col min="3572" max="3572" width="2.375" style="2" customWidth="1"/>
    <col min="3573" max="3573" width="13.25" style="2" bestFit="1" customWidth="1"/>
    <col min="3574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88" width="11.125" style="2" bestFit="1" customWidth="1"/>
    <col min="3589" max="3589" width="9" style="2"/>
    <col min="3590" max="3591" width="11.125" style="2" bestFit="1" customWidth="1"/>
    <col min="3592" max="3593" width="9" style="2"/>
    <col min="3594" max="3598" width="11.125" style="2" bestFit="1" customWidth="1"/>
    <col min="3599" max="3599" width="9" style="2"/>
    <col min="3600" max="3600" width="9.625" style="2" bestFit="1" customWidth="1"/>
    <col min="3601" max="3827" width="9" style="2"/>
    <col min="3828" max="3828" width="2.375" style="2" customWidth="1"/>
    <col min="3829" max="3829" width="13.25" style="2" bestFit="1" customWidth="1"/>
    <col min="3830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44" width="11.125" style="2" bestFit="1" customWidth="1"/>
    <col min="3845" max="3845" width="9" style="2"/>
    <col min="3846" max="3847" width="11.125" style="2" bestFit="1" customWidth="1"/>
    <col min="3848" max="3849" width="9" style="2"/>
    <col min="3850" max="3854" width="11.125" style="2" bestFit="1" customWidth="1"/>
    <col min="3855" max="3855" width="9" style="2"/>
    <col min="3856" max="3856" width="9.625" style="2" bestFit="1" customWidth="1"/>
    <col min="3857" max="4083" width="9" style="2"/>
    <col min="4084" max="4084" width="2.375" style="2" customWidth="1"/>
    <col min="4085" max="4085" width="13.25" style="2" bestFit="1" customWidth="1"/>
    <col min="4086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100" width="11.125" style="2" bestFit="1" customWidth="1"/>
    <col min="4101" max="4101" width="9" style="2"/>
    <col min="4102" max="4103" width="11.125" style="2" bestFit="1" customWidth="1"/>
    <col min="4104" max="4105" width="9" style="2"/>
    <col min="4106" max="4110" width="11.125" style="2" bestFit="1" customWidth="1"/>
    <col min="4111" max="4111" width="9" style="2"/>
    <col min="4112" max="4112" width="9.625" style="2" bestFit="1" customWidth="1"/>
    <col min="4113" max="4339" width="9" style="2"/>
    <col min="4340" max="4340" width="2.375" style="2" customWidth="1"/>
    <col min="4341" max="4341" width="13.25" style="2" bestFit="1" customWidth="1"/>
    <col min="4342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56" width="11.125" style="2" bestFit="1" customWidth="1"/>
    <col min="4357" max="4357" width="9" style="2"/>
    <col min="4358" max="4359" width="11.125" style="2" bestFit="1" customWidth="1"/>
    <col min="4360" max="4361" width="9" style="2"/>
    <col min="4362" max="4366" width="11.125" style="2" bestFit="1" customWidth="1"/>
    <col min="4367" max="4367" width="9" style="2"/>
    <col min="4368" max="4368" width="9.625" style="2" bestFit="1" customWidth="1"/>
    <col min="4369" max="4595" width="9" style="2"/>
    <col min="4596" max="4596" width="2.375" style="2" customWidth="1"/>
    <col min="4597" max="4597" width="13.25" style="2" bestFit="1" customWidth="1"/>
    <col min="4598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12" width="11.125" style="2" bestFit="1" customWidth="1"/>
    <col min="4613" max="4613" width="9" style="2"/>
    <col min="4614" max="4615" width="11.125" style="2" bestFit="1" customWidth="1"/>
    <col min="4616" max="4617" width="9" style="2"/>
    <col min="4618" max="4622" width="11.125" style="2" bestFit="1" customWidth="1"/>
    <col min="4623" max="4623" width="9" style="2"/>
    <col min="4624" max="4624" width="9.625" style="2" bestFit="1" customWidth="1"/>
    <col min="4625" max="4851" width="9" style="2"/>
    <col min="4852" max="4852" width="2.375" style="2" customWidth="1"/>
    <col min="4853" max="4853" width="13.25" style="2" bestFit="1" customWidth="1"/>
    <col min="4854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68" width="11.125" style="2" bestFit="1" customWidth="1"/>
    <col min="4869" max="4869" width="9" style="2"/>
    <col min="4870" max="4871" width="11.125" style="2" bestFit="1" customWidth="1"/>
    <col min="4872" max="4873" width="9" style="2"/>
    <col min="4874" max="4878" width="11.125" style="2" bestFit="1" customWidth="1"/>
    <col min="4879" max="4879" width="9" style="2"/>
    <col min="4880" max="4880" width="9.625" style="2" bestFit="1" customWidth="1"/>
    <col min="4881" max="5107" width="9" style="2"/>
    <col min="5108" max="5108" width="2.375" style="2" customWidth="1"/>
    <col min="5109" max="5109" width="13.25" style="2" bestFit="1" customWidth="1"/>
    <col min="5110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24" width="11.125" style="2" bestFit="1" customWidth="1"/>
    <col min="5125" max="5125" width="9" style="2"/>
    <col min="5126" max="5127" width="11.125" style="2" bestFit="1" customWidth="1"/>
    <col min="5128" max="5129" width="9" style="2"/>
    <col min="5130" max="5134" width="11.125" style="2" bestFit="1" customWidth="1"/>
    <col min="5135" max="5135" width="9" style="2"/>
    <col min="5136" max="5136" width="9.625" style="2" bestFit="1" customWidth="1"/>
    <col min="5137" max="5363" width="9" style="2"/>
    <col min="5364" max="5364" width="2.375" style="2" customWidth="1"/>
    <col min="5365" max="5365" width="13.25" style="2" bestFit="1" customWidth="1"/>
    <col min="5366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80" width="11.125" style="2" bestFit="1" customWidth="1"/>
    <col min="5381" max="5381" width="9" style="2"/>
    <col min="5382" max="5383" width="11.125" style="2" bestFit="1" customWidth="1"/>
    <col min="5384" max="5385" width="9" style="2"/>
    <col min="5386" max="5390" width="11.125" style="2" bestFit="1" customWidth="1"/>
    <col min="5391" max="5391" width="9" style="2"/>
    <col min="5392" max="5392" width="9.625" style="2" bestFit="1" customWidth="1"/>
    <col min="5393" max="5619" width="9" style="2"/>
    <col min="5620" max="5620" width="2.375" style="2" customWidth="1"/>
    <col min="5621" max="5621" width="13.25" style="2" bestFit="1" customWidth="1"/>
    <col min="5622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36" width="11.125" style="2" bestFit="1" customWidth="1"/>
    <col min="5637" max="5637" width="9" style="2"/>
    <col min="5638" max="5639" width="11.125" style="2" bestFit="1" customWidth="1"/>
    <col min="5640" max="5641" width="9" style="2"/>
    <col min="5642" max="5646" width="11.125" style="2" bestFit="1" customWidth="1"/>
    <col min="5647" max="5647" width="9" style="2"/>
    <col min="5648" max="5648" width="9.625" style="2" bestFit="1" customWidth="1"/>
    <col min="5649" max="5875" width="9" style="2"/>
    <col min="5876" max="5876" width="2.375" style="2" customWidth="1"/>
    <col min="5877" max="5877" width="13.25" style="2" bestFit="1" customWidth="1"/>
    <col min="5878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92" width="11.125" style="2" bestFit="1" customWidth="1"/>
    <col min="5893" max="5893" width="9" style="2"/>
    <col min="5894" max="5895" width="11.125" style="2" bestFit="1" customWidth="1"/>
    <col min="5896" max="5897" width="9" style="2"/>
    <col min="5898" max="5902" width="11.125" style="2" bestFit="1" customWidth="1"/>
    <col min="5903" max="5903" width="9" style="2"/>
    <col min="5904" max="5904" width="9.625" style="2" bestFit="1" customWidth="1"/>
    <col min="5905" max="6131" width="9" style="2"/>
    <col min="6132" max="6132" width="2.375" style="2" customWidth="1"/>
    <col min="6133" max="6133" width="13.25" style="2" bestFit="1" customWidth="1"/>
    <col min="6134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48" width="11.125" style="2" bestFit="1" customWidth="1"/>
    <col min="6149" max="6149" width="9" style="2"/>
    <col min="6150" max="6151" width="11.125" style="2" bestFit="1" customWidth="1"/>
    <col min="6152" max="6153" width="9" style="2"/>
    <col min="6154" max="6158" width="11.125" style="2" bestFit="1" customWidth="1"/>
    <col min="6159" max="6159" width="9" style="2"/>
    <col min="6160" max="6160" width="9.625" style="2" bestFit="1" customWidth="1"/>
    <col min="6161" max="6387" width="9" style="2"/>
    <col min="6388" max="6388" width="2.375" style="2" customWidth="1"/>
    <col min="6389" max="6389" width="13.25" style="2" bestFit="1" customWidth="1"/>
    <col min="6390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404" width="11.125" style="2" bestFit="1" customWidth="1"/>
    <col min="6405" max="6405" width="9" style="2"/>
    <col min="6406" max="6407" width="11.125" style="2" bestFit="1" customWidth="1"/>
    <col min="6408" max="6409" width="9" style="2"/>
    <col min="6410" max="6414" width="11.125" style="2" bestFit="1" customWidth="1"/>
    <col min="6415" max="6415" width="9" style="2"/>
    <col min="6416" max="6416" width="9.625" style="2" bestFit="1" customWidth="1"/>
    <col min="6417" max="6643" width="9" style="2"/>
    <col min="6644" max="6644" width="2.375" style="2" customWidth="1"/>
    <col min="6645" max="6645" width="13.25" style="2" bestFit="1" customWidth="1"/>
    <col min="6646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60" width="11.125" style="2" bestFit="1" customWidth="1"/>
    <col min="6661" max="6661" width="9" style="2"/>
    <col min="6662" max="6663" width="11.125" style="2" bestFit="1" customWidth="1"/>
    <col min="6664" max="6665" width="9" style="2"/>
    <col min="6666" max="6670" width="11.125" style="2" bestFit="1" customWidth="1"/>
    <col min="6671" max="6671" width="9" style="2"/>
    <col min="6672" max="6672" width="9.625" style="2" bestFit="1" customWidth="1"/>
    <col min="6673" max="6899" width="9" style="2"/>
    <col min="6900" max="6900" width="2.375" style="2" customWidth="1"/>
    <col min="6901" max="6901" width="13.25" style="2" bestFit="1" customWidth="1"/>
    <col min="6902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16" width="11.125" style="2" bestFit="1" customWidth="1"/>
    <col min="6917" max="6917" width="9" style="2"/>
    <col min="6918" max="6919" width="11.125" style="2" bestFit="1" customWidth="1"/>
    <col min="6920" max="6921" width="9" style="2"/>
    <col min="6922" max="6926" width="11.125" style="2" bestFit="1" customWidth="1"/>
    <col min="6927" max="6927" width="9" style="2"/>
    <col min="6928" max="6928" width="9.625" style="2" bestFit="1" customWidth="1"/>
    <col min="6929" max="7155" width="9" style="2"/>
    <col min="7156" max="7156" width="2.375" style="2" customWidth="1"/>
    <col min="7157" max="7157" width="13.25" style="2" bestFit="1" customWidth="1"/>
    <col min="7158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72" width="11.125" style="2" bestFit="1" customWidth="1"/>
    <col min="7173" max="7173" width="9" style="2"/>
    <col min="7174" max="7175" width="11.125" style="2" bestFit="1" customWidth="1"/>
    <col min="7176" max="7177" width="9" style="2"/>
    <col min="7178" max="7182" width="11.125" style="2" bestFit="1" customWidth="1"/>
    <col min="7183" max="7183" width="9" style="2"/>
    <col min="7184" max="7184" width="9.625" style="2" bestFit="1" customWidth="1"/>
    <col min="7185" max="7411" width="9" style="2"/>
    <col min="7412" max="7412" width="2.375" style="2" customWidth="1"/>
    <col min="7413" max="7413" width="13.25" style="2" bestFit="1" customWidth="1"/>
    <col min="7414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28" width="11.125" style="2" bestFit="1" customWidth="1"/>
    <col min="7429" max="7429" width="9" style="2"/>
    <col min="7430" max="7431" width="11.125" style="2" bestFit="1" customWidth="1"/>
    <col min="7432" max="7433" width="9" style="2"/>
    <col min="7434" max="7438" width="11.125" style="2" bestFit="1" customWidth="1"/>
    <col min="7439" max="7439" width="9" style="2"/>
    <col min="7440" max="7440" width="9.625" style="2" bestFit="1" customWidth="1"/>
    <col min="7441" max="7667" width="9" style="2"/>
    <col min="7668" max="7668" width="2.375" style="2" customWidth="1"/>
    <col min="7669" max="7669" width="13.25" style="2" bestFit="1" customWidth="1"/>
    <col min="7670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84" width="11.125" style="2" bestFit="1" customWidth="1"/>
    <col min="7685" max="7685" width="9" style="2"/>
    <col min="7686" max="7687" width="11.125" style="2" bestFit="1" customWidth="1"/>
    <col min="7688" max="7689" width="9" style="2"/>
    <col min="7690" max="7694" width="11.125" style="2" bestFit="1" customWidth="1"/>
    <col min="7695" max="7695" width="9" style="2"/>
    <col min="7696" max="7696" width="9.625" style="2" bestFit="1" customWidth="1"/>
    <col min="7697" max="7923" width="9" style="2"/>
    <col min="7924" max="7924" width="2.375" style="2" customWidth="1"/>
    <col min="7925" max="7925" width="13.25" style="2" bestFit="1" customWidth="1"/>
    <col min="7926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40" width="11.125" style="2" bestFit="1" customWidth="1"/>
    <col min="7941" max="7941" width="9" style="2"/>
    <col min="7942" max="7943" width="11.125" style="2" bestFit="1" customWidth="1"/>
    <col min="7944" max="7945" width="9" style="2"/>
    <col min="7946" max="7950" width="11.125" style="2" bestFit="1" customWidth="1"/>
    <col min="7951" max="7951" width="9" style="2"/>
    <col min="7952" max="7952" width="9.625" style="2" bestFit="1" customWidth="1"/>
    <col min="7953" max="8179" width="9" style="2"/>
    <col min="8180" max="8180" width="2.375" style="2" customWidth="1"/>
    <col min="8181" max="8181" width="13.25" style="2" bestFit="1" customWidth="1"/>
    <col min="8182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96" width="11.125" style="2" bestFit="1" customWidth="1"/>
    <col min="8197" max="8197" width="9" style="2"/>
    <col min="8198" max="8199" width="11.125" style="2" bestFit="1" customWidth="1"/>
    <col min="8200" max="8201" width="9" style="2"/>
    <col min="8202" max="8206" width="11.125" style="2" bestFit="1" customWidth="1"/>
    <col min="8207" max="8207" width="9" style="2"/>
    <col min="8208" max="8208" width="9.625" style="2" bestFit="1" customWidth="1"/>
    <col min="8209" max="8435" width="9" style="2"/>
    <col min="8436" max="8436" width="2.375" style="2" customWidth="1"/>
    <col min="8437" max="8437" width="13.25" style="2" bestFit="1" customWidth="1"/>
    <col min="8438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52" width="11.125" style="2" bestFit="1" customWidth="1"/>
    <col min="8453" max="8453" width="9" style="2"/>
    <col min="8454" max="8455" width="11.125" style="2" bestFit="1" customWidth="1"/>
    <col min="8456" max="8457" width="9" style="2"/>
    <col min="8458" max="8462" width="11.125" style="2" bestFit="1" customWidth="1"/>
    <col min="8463" max="8463" width="9" style="2"/>
    <col min="8464" max="8464" width="9.625" style="2" bestFit="1" customWidth="1"/>
    <col min="8465" max="8691" width="9" style="2"/>
    <col min="8692" max="8692" width="2.375" style="2" customWidth="1"/>
    <col min="8693" max="8693" width="13.25" style="2" bestFit="1" customWidth="1"/>
    <col min="8694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708" width="11.125" style="2" bestFit="1" customWidth="1"/>
    <col min="8709" max="8709" width="9" style="2"/>
    <col min="8710" max="8711" width="11.125" style="2" bestFit="1" customWidth="1"/>
    <col min="8712" max="8713" width="9" style="2"/>
    <col min="8714" max="8718" width="11.125" style="2" bestFit="1" customWidth="1"/>
    <col min="8719" max="8719" width="9" style="2"/>
    <col min="8720" max="8720" width="9.625" style="2" bestFit="1" customWidth="1"/>
    <col min="8721" max="8947" width="9" style="2"/>
    <col min="8948" max="8948" width="2.375" style="2" customWidth="1"/>
    <col min="8949" max="8949" width="13.25" style="2" bestFit="1" customWidth="1"/>
    <col min="8950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64" width="11.125" style="2" bestFit="1" customWidth="1"/>
    <col min="8965" max="8965" width="9" style="2"/>
    <col min="8966" max="8967" width="11.125" style="2" bestFit="1" customWidth="1"/>
    <col min="8968" max="8969" width="9" style="2"/>
    <col min="8970" max="8974" width="11.125" style="2" bestFit="1" customWidth="1"/>
    <col min="8975" max="8975" width="9" style="2"/>
    <col min="8976" max="8976" width="9.625" style="2" bestFit="1" customWidth="1"/>
    <col min="8977" max="9203" width="9" style="2"/>
    <col min="9204" max="9204" width="2.375" style="2" customWidth="1"/>
    <col min="9205" max="9205" width="13.25" style="2" bestFit="1" customWidth="1"/>
    <col min="9206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20" width="11.125" style="2" bestFit="1" customWidth="1"/>
    <col min="9221" max="9221" width="9" style="2"/>
    <col min="9222" max="9223" width="11.125" style="2" bestFit="1" customWidth="1"/>
    <col min="9224" max="9225" width="9" style="2"/>
    <col min="9226" max="9230" width="11.125" style="2" bestFit="1" customWidth="1"/>
    <col min="9231" max="9231" width="9" style="2"/>
    <col min="9232" max="9232" width="9.625" style="2" bestFit="1" customWidth="1"/>
    <col min="9233" max="9459" width="9" style="2"/>
    <col min="9460" max="9460" width="2.375" style="2" customWidth="1"/>
    <col min="9461" max="9461" width="13.25" style="2" bestFit="1" customWidth="1"/>
    <col min="9462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76" width="11.125" style="2" bestFit="1" customWidth="1"/>
    <col min="9477" max="9477" width="9" style="2"/>
    <col min="9478" max="9479" width="11.125" style="2" bestFit="1" customWidth="1"/>
    <col min="9480" max="9481" width="9" style="2"/>
    <col min="9482" max="9486" width="11.125" style="2" bestFit="1" customWidth="1"/>
    <col min="9487" max="9487" width="9" style="2"/>
    <col min="9488" max="9488" width="9.625" style="2" bestFit="1" customWidth="1"/>
    <col min="9489" max="9715" width="9" style="2"/>
    <col min="9716" max="9716" width="2.375" style="2" customWidth="1"/>
    <col min="9717" max="9717" width="13.25" style="2" bestFit="1" customWidth="1"/>
    <col min="9718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32" width="11.125" style="2" bestFit="1" customWidth="1"/>
    <col min="9733" max="9733" width="9" style="2"/>
    <col min="9734" max="9735" width="11.125" style="2" bestFit="1" customWidth="1"/>
    <col min="9736" max="9737" width="9" style="2"/>
    <col min="9738" max="9742" width="11.125" style="2" bestFit="1" customWidth="1"/>
    <col min="9743" max="9743" width="9" style="2"/>
    <col min="9744" max="9744" width="9.625" style="2" bestFit="1" customWidth="1"/>
    <col min="9745" max="9971" width="9" style="2"/>
    <col min="9972" max="9972" width="2.375" style="2" customWidth="1"/>
    <col min="9973" max="9973" width="13.25" style="2" bestFit="1" customWidth="1"/>
    <col min="9974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88" width="11.125" style="2" bestFit="1" customWidth="1"/>
    <col min="9989" max="9989" width="9" style="2"/>
    <col min="9990" max="9991" width="11.125" style="2" bestFit="1" customWidth="1"/>
    <col min="9992" max="9993" width="9" style="2"/>
    <col min="9994" max="9998" width="11.125" style="2" bestFit="1" customWidth="1"/>
    <col min="9999" max="9999" width="9" style="2"/>
    <col min="10000" max="10000" width="9.625" style="2" bestFit="1" customWidth="1"/>
    <col min="10001" max="10227" width="9" style="2"/>
    <col min="10228" max="10228" width="2.375" style="2" customWidth="1"/>
    <col min="10229" max="10229" width="13.25" style="2" bestFit="1" customWidth="1"/>
    <col min="10230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44" width="11.125" style="2" bestFit="1" customWidth="1"/>
    <col min="10245" max="10245" width="9" style="2"/>
    <col min="10246" max="10247" width="11.125" style="2" bestFit="1" customWidth="1"/>
    <col min="10248" max="10249" width="9" style="2"/>
    <col min="10250" max="10254" width="11.125" style="2" bestFit="1" customWidth="1"/>
    <col min="10255" max="10255" width="9" style="2"/>
    <col min="10256" max="10256" width="9.625" style="2" bestFit="1" customWidth="1"/>
    <col min="10257" max="10483" width="9" style="2"/>
    <col min="10484" max="10484" width="2.375" style="2" customWidth="1"/>
    <col min="10485" max="10485" width="13.25" style="2" bestFit="1" customWidth="1"/>
    <col min="10486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500" width="11.125" style="2" bestFit="1" customWidth="1"/>
    <col min="10501" max="10501" width="9" style="2"/>
    <col min="10502" max="10503" width="11.125" style="2" bestFit="1" customWidth="1"/>
    <col min="10504" max="10505" width="9" style="2"/>
    <col min="10506" max="10510" width="11.125" style="2" bestFit="1" customWidth="1"/>
    <col min="10511" max="10511" width="9" style="2"/>
    <col min="10512" max="10512" width="9.625" style="2" bestFit="1" customWidth="1"/>
    <col min="10513" max="10739" width="9" style="2"/>
    <col min="10740" max="10740" width="2.375" style="2" customWidth="1"/>
    <col min="10741" max="10741" width="13.25" style="2" bestFit="1" customWidth="1"/>
    <col min="10742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56" width="11.125" style="2" bestFit="1" customWidth="1"/>
    <col min="10757" max="10757" width="9" style="2"/>
    <col min="10758" max="10759" width="11.125" style="2" bestFit="1" customWidth="1"/>
    <col min="10760" max="10761" width="9" style="2"/>
    <col min="10762" max="10766" width="11.125" style="2" bestFit="1" customWidth="1"/>
    <col min="10767" max="10767" width="9" style="2"/>
    <col min="10768" max="10768" width="9.625" style="2" bestFit="1" customWidth="1"/>
    <col min="10769" max="10995" width="9" style="2"/>
    <col min="10996" max="10996" width="2.375" style="2" customWidth="1"/>
    <col min="10997" max="10997" width="13.25" style="2" bestFit="1" customWidth="1"/>
    <col min="10998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12" width="11.125" style="2" bestFit="1" customWidth="1"/>
    <col min="11013" max="11013" width="9" style="2"/>
    <col min="11014" max="11015" width="11.125" style="2" bestFit="1" customWidth="1"/>
    <col min="11016" max="11017" width="9" style="2"/>
    <col min="11018" max="11022" width="11.125" style="2" bestFit="1" customWidth="1"/>
    <col min="11023" max="11023" width="9" style="2"/>
    <col min="11024" max="11024" width="9.625" style="2" bestFit="1" customWidth="1"/>
    <col min="11025" max="11251" width="9" style="2"/>
    <col min="11252" max="11252" width="2.375" style="2" customWidth="1"/>
    <col min="11253" max="11253" width="13.25" style="2" bestFit="1" customWidth="1"/>
    <col min="11254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68" width="11.125" style="2" bestFit="1" customWidth="1"/>
    <col min="11269" max="11269" width="9" style="2"/>
    <col min="11270" max="11271" width="11.125" style="2" bestFit="1" customWidth="1"/>
    <col min="11272" max="11273" width="9" style="2"/>
    <col min="11274" max="11278" width="11.125" style="2" bestFit="1" customWidth="1"/>
    <col min="11279" max="11279" width="9" style="2"/>
    <col min="11280" max="11280" width="9.625" style="2" bestFit="1" customWidth="1"/>
    <col min="11281" max="11507" width="9" style="2"/>
    <col min="11508" max="11508" width="2.375" style="2" customWidth="1"/>
    <col min="11509" max="11509" width="13.25" style="2" bestFit="1" customWidth="1"/>
    <col min="11510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24" width="11.125" style="2" bestFit="1" customWidth="1"/>
    <col min="11525" max="11525" width="9" style="2"/>
    <col min="11526" max="11527" width="11.125" style="2" bestFit="1" customWidth="1"/>
    <col min="11528" max="11529" width="9" style="2"/>
    <col min="11530" max="11534" width="11.125" style="2" bestFit="1" customWidth="1"/>
    <col min="11535" max="11535" width="9" style="2"/>
    <col min="11536" max="11536" width="9.625" style="2" bestFit="1" customWidth="1"/>
    <col min="11537" max="11763" width="9" style="2"/>
    <col min="11764" max="11764" width="2.375" style="2" customWidth="1"/>
    <col min="11765" max="11765" width="13.25" style="2" bestFit="1" customWidth="1"/>
    <col min="11766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80" width="11.125" style="2" bestFit="1" customWidth="1"/>
    <col min="11781" max="11781" width="9" style="2"/>
    <col min="11782" max="11783" width="11.125" style="2" bestFit="1" customWidth="1"/>
    <col min="11784" max="11785" width="9" style="2"/>
    <col min="11786" max="11790" width="11.125" style="2" bestFit="1" customWidth="1"/>
    <col min="11791" max="11791" width="9" style="2"/>
    <col min="11792" max="11792" width="9.625" style="2" bestFit="1" customWidth="1"/>
    <col min="11793" max="12019" width="9" style="2"/>
    <col min="12020" max="12020" width="2.375" style="2" customWidth="1"/>
    <col min="12021" max="12021" width="13.25" style="2" bestFit="1" customWidth="1"/>
    <col min="12022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36" width="11.125" style="2" bestFit="1" customWidth="1"/>
    <col min="12037" max="12037" width="9" style="2"/>
    <col min="12038" max="12039" width="11.125" style="2" bestFit="1" customWidth="1"/>
    <col min="12040" max="12041" width="9" style="2"/>
    <col min="12042" max="12046" width="11.125" style="2" bestFit="1" customWidth="1"/>
    <col min="12047" max="12047" width="9" style="2"/>
    <col min="12048" max="12048" width="9.625" style="2" bestFit="1" customWidth="1"/>
    <col min="12049" max="12275" width="9" style="2"/>
    <col min="12276" max="12276" width="2.375" style="2" customWidth="1"/>
    <col min="12277" max="12277" width="13.25" style="2" bestFit="1" customWidth="1"/>
    <col min="12278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92" width="11.125" style="2" bestFit="1" customWidth="1"/>
    <col min="12293" max="12293" width="9" style="2"/>
    <col min="12294" max="12295" width="11.125" style="2" bestFit="1" customWidth="1"/>
    <col min="12296" max="12297" width="9" style="2"/>
    <col min="12298" max="12302" width="11.125" style="2" bestFit="1" customWidth="1"/>
    <col min="12303" max="12303" width="9" style="2"/>
    <col min="12304" max="12304" width="9.625" style="2" bestFit="1" customWidth="1"/>
    <col min="12305" max="12531" width="9" style="2"/>
    <col min="12532" max="12532" width="2.375" style="2" customWidth="1"/>
    <col min="12533" max="12533" width="13.25" style="2" bestFit="1" customWidth="1"/>
    <col min="12534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48" width="11.125" style="2" bestFit="1" customWidth="1"/>
    <col min="12549" max="12549" width="9" style="2"/>
    <col min="12550" max="12551" width="11.125" style="2" bestFit="1" customWidth="1"/>
    <col min="12552" max="12553" width="9" style="2"/>
    <col min="12554" max="12558" width="11.125" style="2" bestFit="1" customWidth="1"/>
    <col min="12559" max="12559" width="9" style="2"/>
    <col min="12560" max="12560" width="9.625" style="2" bestFit="1" customWidth="1"/>
    <col min="12561" max="12787" width="9" style="2"/>
    <col min="12788" max="12788" width="2.375" style="2" customWidth="1"/>
    <col min="12789" max="12789" width="13.25" style="2" bestFit="1" customWidth="1"/>
    <col min="12790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804" width="11.125" style="2" bestFit="1" customWidth="1"/>
    <col min="12805" max="12805" width="9" style="2"/>
    <col min="12806" max="12807" width="11.125" style="2" bestFit="1" customWidth="1"/>
    <col min="12808" max="12809" width="9" style="2"/>
    <col min="12810" max="12814" width="11.125" style="2" bestFit="1" customWidth="1"/>
    <col min="12815" max="12815" width="9" style="2"/>
    <col min="12816" max="12816" width="9.625" style="2" bestFit="1" customWidth="1"/>
    <col min="12817" max="13043" width="9" style="2"/>
    <col min="13044" max="13044" width="2.375" style="2" customWidth="1"/>
    <col min="13045" max="13045" width="13.25" style="2" bestFit="1" customWidth="1"/>
    <col min="13046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60" width="11.125" style="2" bestFit="1" customWidth="1"/>
    <col min="13061" max="13061" width="9" style="2"/>
    <col min="13062" max="13063" width="11.125" style="2" bestFit="1" customWidth="1"/>
    <col min="13064" max="13065" width="9" style="2"/>
    <col min="13066" max="13070" width="11.125" style="2" bestFit="1" customWidth="1"/>
    <col min="13071" max="13071" width="9" style="2"/>
    <col min="13072" max="13072" width="9.625" style="2" bestFit="1" customWidth="1"/>
    <col min="13073" max="13299" width="9" style="2"/>
    <col min="13300" max="13300" width="2.375" style="2" customWidth="1"/>
    <col min="13301" max="13301" width="13.25" style="2" bestFit="1" customWidth="1"/>
    <col min="13302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16" width="11.125" style="2" bestFit="1" customWidth="1"/>
    <col min="13317" max="13317" width="9" style="2"/>
    <col min="13318" max="13319" width="11.125" style="2" bestFit="1" customWidth="1"/>
    <col min="13320" max="13321" width="9" style="2"/>
    <col min="13322" max="13326" width="11.125" style="2" bestFit="1" customWidth="1"/>
    <col min="13327" max="13327" width="9" style="2"/>
    <col min="13328" max="13328" width="9.625" style="2" bestFit="1" customWidth="1"/>
    <col min="13329" max="13555" width="9" style="2"/>
    <col min="13556" max="13556" width="2.375" style="2" customWidth="1"/>
    <col min="13557" max="13557" width="13.25" style="2" bestFit="1" customWidth="1"/>
    <col min="13558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72" width="11.125" style="2" bestFit="1" customWidth="1"/>
    <col min="13573" max="13573" width="9" style="2"/>
    <col min="13574" max="13575" width="11.125" style="2" bestFit="1" customWidth="1"/>
    <col min="13576" max="13577" width="9" style="2"/>
    <col min="13578" max="13582" width="11.125" style="2" bestFit="1" customWidth="1"/>
    <col min="13583" max="13583" width="9" style="2"/>
    <col min="13584" max="13584" width="9.625" style="2" bestFit="1" customWidth="1"/>
    <col min="13585" max="13811" width="9" style="2"/>
    <col min="13812" max="13812" width="2.375" style="2" customWidth="1"/>
    <col min="13813" max="13813" width="13.25" style="2" bestFit="1" customWidth="1"/>
    <col min="13814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28" width="11.125" style="2" bestFit="1" customWidth="1"/>
    <col min="13829" max="13829" width="9" style="2"/>
    <col min="13830" max="13831" width="11.125" style="2" bestFit="1" customWidth="1"/>
    <col min="13832" max="13833" width="9" style="2"/>
    <col min="13834" max="13838" width="11.125" style="2" bestFit="1" customWidth="1"/>
    <col min="13839" max="13839" width="9" style="2"/>
    <col min="13840" max="13840" width="9.625" style="2" bestFit="1" customWidth="1"/>
    <col min="13841" max="14067" width="9" style="2"/>
    <col min="14068" max="14068" width="2.375" style="2" customWidth="1"/>
    <col min="14069" max="14069" width="13.25" style="2" bestFit="1" customWidth="1"/>
    <col min="14070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84" width="11.125" style="2" bestFit="1" customWidth="1"/>
    <col min="14085" max="14085" width="9" style="2"/>
    <col min="14086" max="14087" width="11.125" style="2" bestFit="1" customWidth="1"/>
    <col min="14088" max="14089" width="9" style="2"/>
    <col min="14090" max="14094" width="11.125" style="2" bestFit="1" customWidth="1"/>
    <col min="14095" max="14095" width="9" style="2"/>
    <col min="14096" max="14096" width="9.625" style="2" bestFit="1" customWidth="1"/>
    <col min="14097" max="14323" width="9" style="2"/>
    <col min="14324" max="14324" width="2.375" style="2" customWidth="1"/>
    <col min="14325" max="14325" width="13.25" style="2" bestFit="1" customWidth="1"/>
    <col min="14326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40" width="11.125" style="2" bestFit="1" customWidth="1"/>
    <col min="14341" max="14341" width="9" style="2"/>
    <col min="14342" max="14343" width="11.125" style="2" bestFit="1" customWidth="1"/>
    <col min="14344" max="14345" width="9" style="2"/>
    <col min="14346" max="14350" width="11.125" style="2" bestFit="1" customWidth="1"/>
    <col min="14351" max="14351" width="9" style="2"/>
    <col min="14352" max="14352" width="9.625" style="2" bestFit="1" customWidth="1"/>
    <col min="14353" max="14579" width="9" style="2"/>
    <col min="14580" max="14580" width="2.375" style="2" customWidth="1"/>
    <col min="14581" max="14581" width="13.25" style="2" bestFit="1" customWidth="1"/>
    <col min="14582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96" width="11.125" style="2" bestFit="1" customWidth="1"/>
    <col min="14597" max="14597" width="9" style="2"/>
    <col min="14598" max="14599" width="11.125" style="2" bestFit="1" customWidth="1"/>
    <col min="14600" max="14601" width="9" style="2"/>
    <col min="14602" max="14606" width="11.125" style="2" bestFit="1" customWidth="1"/>
    <col min="14607" max="14607" width="9" style="2"/>
    <col min="14608" max="14608" width="9.625" style="2" bestFit="1" customWidth="1"/>
    <col min="14609" max="14835" width="9" style="2"/>
    <col min="14836" max="14836" width="2.375" style="2" customWidth="1"/>
    <col min="14837" max="14837" width="13.25" style="2" bestFit="1" customWidth="1"/>
    <col min="14838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52" width="11.125" style="2" bestFit="1" customWidth="1"/>
    <col min="14853" max="14853" width="9" style="2"/>
    <col min="14854" max="14855" width="11.125" style="2" bestFit="1" customWidth="1"/>
    <col min="14856" max="14857" width="9" style="2"/>
    <col min="14858" max="14862" width="11.125" style="2" bestFit="1" customWidth="1"/>
    <col min="14863" max="14863" width="9" style="2"/>
    <col min="14864" max="14864" width="9.625" style="2" bestFit="1" customWidth="1"/>
    <col min="14865" max="15091" width="9" style="2"/>
    <col min="15092" max="15092" width="2.375" style="2" customWidth="1"/>
    <col min="15093" max="15093" width="13.25" style="2" bestFit="1" customWidth="1"/>
    <col min="15094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108" width="11.125" style="2" bestFit="1" customWidth="1"/>
    <col min="15109" max="15109" width="9" style="2"/>
    <col min="15110" max="15111" width="11.125" style="2" bestFit="1" customWidth="1"/>
    <col min="15112" max="15113" width="9" style="2"/>
    <col min="15114" max="15118" width="11.125" style="2" bestFit="1" customWidth="1"/>
    <col min="15119" max="15119" width="9" style="2"/>
    <col min="15120" max="15120" width="9.625" style="2" bestFit="1" customWidth="1"/>
    <col min="15121" max="15347" width="9" style="2"/>
    <col min="15348" max="15348" width="2.375" style="2" customWidth="1"/>
    <col min="15349" max="15349" width="13.25" style="2" bestFit="1" customWidth="1"/>
    <col min="15350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64" width="11.125" style="2" bestFit="1" customWidth="1"/>
    <col min="15365" max="15365" width="9" style="2"/>
    <col min="15366" max="15367" width="11.125" style="2" bestFit="1" customWidth="1"/>
    <col min="15368" max="15369" width="9" style="2"/>
    <col min="15370" max="15374" width="11.125" style="2" bestFit="1" customWidth="1"/>
    <col min="15375" max="15375" width="9" style="2"/>
    <col min="15376" max="15376" width="9.625" style="2" bestFit="1" customWidth="1"/>
    <col min="15377" max="15603" width="9" style="2"/>
    <col min="15604" max="15604" width="2.375" style="2" customWidth="1"/>
    <col min="15605" max="15605" width="13.25" style="2" bestFit="1" customWidth="1"/>
    <col min="15606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20" width="11.125" style="2" bestFit="1" customWidth="1"/>
    <col min="15621" max="15621" width="9" style="2"/>
    <col min="15622" max="15623" width="11.125" style="2" bestFit="1" customWidth="1"/>
    <col min="15624" max="15625" width="9" style="2"/>
    <col min="15626" max="15630" width="11.125" style="2" bestFit="1" customWidth="1"/>
    <col min="15631" max="15631" width="9" style="2"/>
    <col min="15632" max="15632" width="9.625" style="2" bestFit="1" customWidth="1"/>
    <col min="15633" max="15859" width="9" style="2"/>
    <col min="15860" max="15860" width="2.375" style="2" customWidth="1"/>
    <col min="15861" max="15861" width="13.25" style="2" bestFit="1" customWidth="1"/>
    <col min="15862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76" width="11.125" style="2" bestFit="1" customWidth="1"/>
    <col min="15877" max="15877" width="9" style="2"/>
    <col min="15878" max="15879" width="11.125" style="2" bestFit="1" customWidth="1"/>
    <col min="15880" max="15881" width="9" style="2"/>
    <col min="15882" max="15886" width="11.125" style="2" bestFit="1" customWidth="1"/>
    <col min="15887" max="15887" width="9" style="2"/>
    <col min="15888" max="15888" width="9.625" style="2" bestFit="1" customWidth="1"/>
    <col min="15889" max="16115" width="9" style="2"/>
    <col min="16116" max="16116" width="2.375" style="2" customWidth="1"/>
    <col min="16117" max="16117" width="13.25" style="2" bestFit="1" customWidth="1"/>
    <col min="16118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32" width="11.125" style="2" bestFit="1" customWidth="1"/>
    <col min="16133" max="16133" width="9" style="2"/>
    <col min="16134" max="16135" width="11.125" style="2" bestFit="1" customWidth="1"/>
    <col min="16136" max="16137" width="9" style="2"/>
    <col min="16138" max="16142" width="11.125" style="2" bestFit="1" customWidth="1"/>
    <col min="16143" max="16143" width="9" style="2"/>
    <col min="16144" max="16144" width="9.625" style="2" bestFit="1" customWidth="1"/>
    <col min="16145" max="16384" width="9" style="2"/>
  </cols>
  <sheetData>
    <row r="1" spans="1:16">
      <c r="A1" s="1" t="s">
        <v>0</v>
      </c>
    </row>
    <row r="2" spans="1:16">
      <c r="A2" s="1"/>
    </row>
    <row r="3" spans="1:16">
      <c r="A3" s="1" t="s">
        <v>1</v>
      </c>
    </row>
    <row r="4" spans="1:16">
      <c r="A4" s="1" t="s">
        <v>2</v>
      </c>
    </row>
    <row r="5" spans="1:16">
      <c r="A5" s="1" t="s">
        <v>3</v>
      </c>
    </row>
    <row r="6" spans="1:16" ht="19.5" thickBot="1">
      <c r="A6" s="1" t="s">
        <v>106</v>
      </c>
    </row>
    <row r="7" spans="1:16">
      <c r="B7" s="15"/>
      <c r="C7" s="30" t="s">
        <v>15</v>
      </c>
      <c r="D7" s="4" t="s">
        <v>5</v>
      </c>
      <c r="E7" s="4" t="s">
        <v>21</v>
      </c>
      <c r="F7" s="95" t="s">
        <v>107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36" t="s">
        <v>29</v>
      </c>
      <c r="M7" s="95" t="s">
        <v>107</v>
      </c>
      <c r="N7" s="42" t="s">
        <v>6</v>
      </c>
      <c r="O7" s="95" t="s">
        <v>107</v>
      </c>
      <c r="P7" s="95" t="s">
        <v>57</v>
      </c>
    </row>
    <row r="8" spans="1:16" ht="19.5" thickBot="1">
      <c r="A8" s="3"/>
      <c r="B8" s="56" t="s">
        <v>30</v>
      </c>
      <c r="C8" s="61" t="s">
        <v>42</v>
      </c>
      <c r="D8" s="58" t="s">
        <v>32</v>
      </c>
      <c r="E8" s="58" t="s">
        <v>48</v>
      </c>
      <c r="F8" s="60" t="s">
        <v>113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  <c r="L8" s="62" t="s">
        <v>56</v>
      </c>
      <c r="M8" s="60" t="s">
        <v>109</v>
      </c>
      <c r="N8" s="63" t="s">
        <v>33</v>
      </c>
      <c r="O8" s="60" t="s">
        <v>110</v>
      </c>
      <c r="P8" s="60" t="s">
        <v>112</v>
      </c>
    </row>
    <row r="9" spans="1:16">
      <c r="A9" s="1" t="s">
        <v>3</v>
      </c>
      <c r="B9" s="48" t="s">
        <v>58</v>
      </c>
      <c r="C9" s="53">
        <v>22</v>
      </c>
      <c r="D9" s="50">
        <v>23</v>
      </c>
      <c r="E9" s="50">
        <v>23</v>
      </c>
      <c r="F9" s="52">
        <f>SUM(C9:E9)</f>
        <v>68</v>
      </c>
      <c r="G9" s="50">
        <v>11</v>
      </c>
      <c r="H9" s="50">
        <v>14</v>
      </c>
      <c r="I9" s="50">
        <v>19</v>
      </c>
      <c r="J9" s="50">
        <v>6</v>
      </c>
      <c r="K9" s="50">
        <v>9</v>
      </c>
      <c r="L9" s="54">
        <v>22</v>
      </c>
      <c r="M9" s="52">
        <f>SUM(G9:L9)</f>
        <v>81</v>
      </c>
      <c r="N9" s="55">
        <v>21</v>
      </c>
      <c r="O9" s="52">
        <f>N9</f>
        <v>21</v>
      </c>
      <c r="P9" s="52">
        <f>F9+M9+O9</f>
        <v>170</v>
      </c>
    </row>
    <row r="10" spans="1:16">
      <c r="A10" s="1" t="s">
        <v>3</v>
      </c>
      <c r="B10" s="16" t="s">
        <v>59</v>
      </c>
      <c r="C10" s="18">
        <v>0</v>
      </c>
      <c r="D10" s="5">
        <v>3</v>
      </c>
      <c r="E10" s="5">
        <v>0</v>
      </c>
      <c r="F10" s="31">
        <f t="shared" ref="F10:F22" si="0">SUM(C10:E10)</f>
        <v>3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37">
        <v>0</v>
      </c>
      <c r="M10" s="31">
        <f t="shared" ref="M10:M22" si="1">SUM(G10:L10)</f>
        <v>0</v>
      </c>
      <c r="N10" s="43">
        <v>0</v>
      </c>
      <c r="O10" s="31">
        <f t="shared" ref="O10:O22" si="2">N10</f>
        <v>0</v>
      </c>
      <c r="P10" s="31">
        <f t="shared" ref="P10:P22" si="3">M10+O10</f>
        <v>0</v>
      </c>
    </row>
    <row r="11" spans="1:16">
      <c r="A11" s="1" t="s">
        <v>3</v>
      </c>
      <c r="B11" s="16" t="s">
        <v>60</v>
      </c>
      <c r="C11" s="18">
        <v>0</v>
      </c>
      <c r="D11" s="5">
        <v>1</v>
      </c>
      <c r="E11" s="5">
        <v>1</v>
      </c>
      <c r="F11" s="31">
        <f t="shared" si="0"/>
        <v>2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37">
        <v>0</v>
      </c>
      <c r="M11" s="31">
        <f t="shared" si="1"/>
        <v>0</v>
      </c>
      <c r="N11" s="43">
        <v>0</v>
      </c>
      <c r="O11" s="31">
        <f t="shared" si="2"/>
        <v>0</v>
      </c>
      <c r="P11" s="31">
        <f t="shared" si="3"/>
        <v>0</v>
      </c>
    </row>
    <row r="12" spans="1:16">
      <c r="A12" s="1" t="s">
        <v>3</v>
      </c>
      <c r="B12" s="16" t="s">
        <v>61</v>
      </c>
      <c r="C12" s="18">
        <v>0</v>
      </c>
      <c r="D12" s="5">
        <v>0</v>
      </c>
      <c r="E12" s="5">
        <v>0</v>
      </c>
      <c r="F12" s="31">
        <f t="shared" si="0"/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37">
        <v>0</v>
      </c>
      <c r="M12" s="31">
        <f t="shared" si="1"/>
        <v>0</v>
      </c>
      <c r="N12" s="43">
        <v>0</v>
      </c>
      <c r="O12" s="31">
        <f t="shared" si="2"/>
        <v>0</v>
      </c>
      <c r="P12" s="31">
        <f t="shared" si="3"/>
        <v>0</v>
      </c>
    </row>
    <row r="13" spans="1:16">
      <c r="A13" s="1" t="s">
        <v>3</v>
      </c>
      <c r="B13" s="16" t="s">
        <v>62</v>
      </c>
      <c r="C13" s="18">
        <v>0.5</v>
      </c>
      <c r="D13" s="5">
        <v>0.5</v>
      </c>
      <c r="E13" s="5">
        <v>0</v>
      </c>
      <c r="F13" s="31">
        <f t="shared" si="0"/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37">
        <v>0</v>
      </c>
      <c r="M13" s="31">
        <f t="shared" si="1"/>
        <v>0</v>
      </c>
      <c r="N13" s="43">
        <v>2</v>
      </c>
      <c r="O13" s="31">
        <f t="shared" si="2"/>
        <v>2</v>
      </c>
      <c r="P13" s="31">
        <f t="shared" si="3"/>
        <v>2</v>
      </c>
    </row>
    <row r="14" spans="1:16">
      <c r="A14" s="1" t="s">
        <v>3</v>
      </c>
      <c r="B14" s="16" t="s">
        <v>63</v>
      </c>
      <c r="C14" s="18">
        <v>0</v>
      </c>
      <c r="D14" s="5">
        <v>0</v>
      </c>
      <c r="E14" s="5">
        <v>0</v>
      </c>
      <c r="F14" s="31">
        <f t="shared" si="0"/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37">
        <v>0</v>
      </c>
      <c r="M14" s="31">
        <f t="shared" si="1"/>
        <v>0</v>
      </c>
      <c r="N14" s="43">
        <v>0</v>
      </c>
      <c r="O14" s="31">
        <f t="shared" si="2"/>
        <v>0</v>
      </c>
      <c r="P14" s="31">
        <f t="shared" si="3"/>
        <v>0</v>
      </c>
    </row>
    <row r="15" spans="1:16">
      <c r="A15" s="1" t="s">
        <v>3</v>
      </c>
      <c r="B15" s="16" t="s">
        <v>64</v>
      </c>
      <c r="C15" s="18">
        <v>0</v>
      </c>
      <c r="D15" s="5">
        <v>0</v>
      </c>
      <c r="E15" s="5">
        <v>0</v>
      </c>
      <c r="F15" s="31">
        <f t="shared" si="0"/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37">
        <v>0</v>
      </c>
      <c r="M15" s="31">
        <f t="shared" si="1"/>
        <v>0</v>
      </c>
      <c r="N15" s="43">
        <v>0</v>
      </c>
      <c r="O15" s="31">
        <f t="shared" si="2"/>
        <v>0</v>
      </c>
      <c r="P15" s="31">
        <f t="shared" si="3"/>
        <v>0</v>
      </c>
    </row>
    <row r="16" spans="1:16">
      <c r="A16" s="1" t="s">
        <v>3</v>
      </c>
      <c r="B16" s="16" t="s">
        <v>65</v>
      </c>
      <c r="C16" s="19">
        <v>0</v>
      </c>
      <c r="D16" s="7">
        <v>0</v>
      </c>
      <c r="E16" s="7">
        <v>0</v>
      </c>
      <c r="F16" s="32">
        <f t="shared" si="0"/>
        <v>0</v>
      </c>
      <c r="G16" s="7">
        <v>3.25</v>
      </c>
      <c r="H16" s="7">
        <v>3.625</v>
      </c>
      <c r="I16" s="7">
        <v>4.375</v>
      </c>
      <c r="J16" s="7">
        <v>1.9166666666666665</v>
      </c>
      <c r="K16" s="7">
        <v>2.625</v>
      </c>
      <c r="L16" s="38">
        <v>5.75</v>
      </c>
      <c r="M16" s="32">
        <f t="shared" si="1"/>
        <v>21.541666666666664</v>
      </c>
      <c r="N16" s="44">
        <v>0</v>
      </c>
      <c r="O16" s="32">
        <f t="shared" si="2"/>
        <v>0</v>
      </c>
      <c r="P16" s="32">
        <f t="shared" si="3"/>
        <v>21.541666666666664</v>
      </c>
    </row>
    <row r="17" spans="1:16">
      <c r="A17" s="1" t="s">
        <v>3</v>
      </c>
      <c r="B17" s="16" t="s">
        <v>66</v>
      </c>
      <c r="C17" s="19">
        <v>0</v>
      </c>
      <c r="D17" s="7">
        <v>1</v>
      </c>
      <c r="E17" s="7">
        <v>0.45833333333333331</v>
      </c>
      <c r="F17" s="32">
        <f t="shared" si="0"/>
        <v>1.4583333333333333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38">
        <v>0.125</v>
      </c>
      <c r="M17" s="32">
        <f t="shared" si="1"/>
        <v>0.125</v>
      </c>
      <c r="N17" s="44">
        <v>0</v>
      </c>
      <c r="O17" s="32">
        <f t="shared" si="2"/>
        <v>0</v>
      </c>
      <c r="P17" s="32">
        <f t="shared" si="3"/>
        <v>0.125</v>
      </c>
    </row>
    <row r="18" spans="1:16">
      <c r="A18" s="1" t="s">
        <v>3</v>
      </c>
      <c r="B18" s="16" t="s">
        <v>67</v>
      </c>
      <c r="C18" s="19">
        <v>0</v>
      </c>
      <c r="D18" s="7">
        <v>0.66666666666666663</v>
      </c>
      <c r="E18" s="7">
        <v>0</v>
      </c>
      <c r="F18" s="32">
        <f t="shared" si="0"/>
        <v>0.66666666666666663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38">
        <v>0</v>
      </c>
      <c r="M18" s="32">
        <f t="shared" si="1"/>
        <v>0</v>
      </c>
      <c r="N18" s="44">
        <v>0</v>
      </c>
      <c r="O18" s="32">
        <f t="shared" si="2"/>
        <v>0</v>
      </c>
      <c r="P18" s="32">
        <f t="shared" si="3"/>
        <v>0</v>
      </c>
    </row>
    <row r="19" spans="1:16">
      <c r="A19" s="1" t="s">
        <v>3</v>
      </c>
      <c r="B19" s="16" t="s">
        <v>68</v>
      </c>
      <c r="C19" s="19">
        <v>0</v>
      </c>
      <c r="D19" s="7">
        <v>8.3333333333333329E-2</v>
      </c>
      <c r="E19" s="7">
        <v>0.33333333333333331</v>
      </c>
      <c r="F19" s="32">
        <f t="shared" si="0"/>
        <v>0.41666666666666663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38">
        <v>0</v>
      </c>
      <c r="M19" s="32">
        <f t="shared" si="1"/>
        <v>0</v>
      </c>
      <c r="N19" s="44">
        <v>0</v>
      </c>
      <c r="O19" s="32">
        <f t="shared" si="2"/>
        <v>0</v>
      </c>
      <c r="P19" s="32">
        <f t="shared" si="3"/>
        <v>0</v>
      </c>
    </row>
    <row r="20" spans="1:16">
      <c r="A20" s="1" t="s">
        <v>3</v>
      </c>
      <c r="B20" s="16" t="s">
        <v>69</v>
      </c>
      <c r="C20" s="19">
        <v>0</v>
      </c>
      <c r="D20" s="7">
        <v>0</v>
      </c>
      <c r="E20" s="7">
        <v>0</v>
      </c>
      <c r="F20" s="32">
        <f t="shared" si="0"/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38">
        <v>0</v>
      </c>
      <c r="M20" s="32">
        <f t="shared" si="1"/>
        <v>0</v>
      </c>
      <c r="N20" s="44">
        <v>0</v>
      </c>
      <c r="O20" s="32">
        <f t="shared" si="2"/>
        <v>0</v>
      </c>
      <c r="P20" s="32">
        <f t="shared" si="3"/>
        <v>0</v>
      </c>
    </row>
    <row r="21" spans="1:16">
      <c r="A21" s="1" t="s">
        <v>3</v>
      </c>
      <c r="B21" s="16" t="s">
        <v>70</v>
      </c>
      <c r="C21" s="19">
        <v>0</v>
      </c>
      <c r="D21" s="7">
        <v>0</v>
      </c>
      <c r="E21" s="7">
        <v>0</v>
      </c>
      <c r="F21" s="32">
        <f t="shared" si="0"/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38">
        <v>0</v>
      </c>
      <c r="M21" s="32">
        <f t="shared" si="1"/>
        <v>0</v>
      </c>
      <c r="N21" s="44">
        <v>0</v>
      </c>
      <c r="O21" s="32">
        <f t="shared" si="2"/>
        <v>0</v>
      </c>
      <c r="P21" s="32">
        <f t="shared" si="3"/>
        <v>0</v>
      </c>
    </row>
    <row r="22" spans="1:16">
      <c r="A22" s="1" t="s">
        <v>3</v>
      </c>
      <c r="B22" s="16" t="s">
        <v>71</v>
      </c>
      <c r="C22" s="19">
        <v>0</v>
      </c>
      <c r="D22" s="7">
        <v>4.1666666666666664E-2</v>
      </c>
      <c r="E22" s="7">
        <v>0</v>
      </c>
      <c r="F22" s="32">
        <f t="shared" si="0"/>
        <v>4.1666666666666664E-2</v>
      </c>
      <c r="G22" s="7">
        <v>2.2916666666666665</v>
      </c>
      <c r="H22" s="7">
        <v>0</v>
      </c>
      <c r="I22" s="7">
        <v>0</v>
      </c>
      <c r="J22" s="7">
        <v>0.41666666666666669</v>
      </c>
      <c r="K22" s="7">
        <v>1.875</v>
      </c>
      <c r="L22" s="38">
        <v>1.875</v>
      </c>
      <c r="M22" s="32">
        <f t="shared" si="1"/>
        <v>6.458333333333333</v>
      </c>
      <c r="N22" s="44">
        <v>0</v>
      </c>
      <c r="O22" s="32">
        <f t="shared" si="2"/>
        <v>0</v>
      </c>
      <c r="P22" s="32">
        <f t="shared" si="3"/>
        <v>6.458333333333333</v>
      </c>
    </row>
    <row r="23" spans="1:16">
      <c r="A23" s="1" t="s">
        <v>3</v>
      </c>
      <c r="B23" s="71" t="s">
        <v>72</v>
      </c>
      <c r="C23" s="76">
        <v>27</v>
      </c>
      <c r="D23" s="73">
        <v>37</v>
      </c>
      <c r="E23" s="73">
        <v>9</v>
      </c>
      <c r="F23" s="75"/>
      <c r="G23" s="73">
        <v>3</v>
      </c>
      <c r="H23" s="73">
        <v>21</v>
      </c>
      <c r="I23" s="73">
        <v>21</v>
      </c>
      <c r="J23" s="73">
        <v>6</v>
      </c>
      <c r="K23" s="73">
        <v>18</v>
      </c>
      <c r="L23" s="77">
        <v>6</v>
      </c>
      <c r="M23" s="75"/>
      <c r="N23" s="78">
        <v>31.5</v>
      </c>
      <c r="O23" s="75"/>
      <c r="P23" s="75"/>
    </row>
    <row r="24" spans="1:16">
      <c r="A24" s="1" t="s">
        <v>3</v>
      </c>
      <c r="B24" s="48" t="s">
        <v>73</v>
      </c>
      <c r="C24" s="68">
        <v>380000</v>
      </c>
      <c r="D24" s="65">
        <v>285000</v>
      </c>
      <c r="E24" s="65">
        <v>225000</v>
      </c>
      <c r="F24" s="67">
        <f t="shared" ref="F24:F55" si="4">SUM(C24:E24)</f>
        <v>890000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9">
        <v>0</v>
      </c>
      <c r="M24" s="67">
        <f t="shared" ref="M24:M55" si="5">SUM(G24:L24)</f>
        <v>0</v>
      </c>
      <c r="N24" s="70">
        <v>390000</v>
      </c>
      <c r="O24" s="67">
        <f t="shared" ref="O24:O55" si="6">N24</f>
        <v>390000</v>
      </c>
      <c r="P24" s="67">
        <f t="shared" ref="P24:P55" si="7">M24+O24</f>
        <v>390000</v>
      </c>
    </row>
    <row r="25" spans="1:16">
      <c r="A25" s="1" t="s">
        <v>3</v>
      </c>
      <c r="B25" s="16" t="s">
        <v>74</v>
      </c>
      <c r="C25" s="20">
        <v>0</v>
      </c>
      <c r="D25" s="9">
        <v>0</v>
      </c>
      <c r="E25" s="9">
        <v>0</v>
      </c>
      <c r="F25" s="33">
        <f t="shared" si="4"/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39">
        <v>0</v>
      </c>
      <c r="M25" s="33">
        <f t="shared" si="5"/>
        <v>0</v>
      </c>
      <c r="N25" s="45">
        <v>0</v>
      </c>
      <c r="O25" s="33">
        <f t="shared" si="6"/>
        <v>0</v>
      </c>
      <c r="P25" s="33">
        <f t="shared" si="7"/>
        <v>0</v>
      </c>
    </row>
    <row r="26" spans="1:16">
      <c r="A26" s="1" t="s">
        <v>3</v>
      </c>
      <c r="B26" s="16" t="s">
        <v>75</v>
      </c>
      <c r="C26" s="20">
        <v>0</v>
      </c>
      <c r="D26" s="9">
        <v>3000</v>
      </c>
      <c r="E26" s="9">
        <v>0</v>
      </c>
      <c r="F26" s="33">
        <f t="shared" si="4"/>
        <v>3000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39">
        <v>0</v>
      </c>
      <c r="M26" s="33">
        <f t="shared" si="5"/>
        <v>0</v>
      </c>
      <c r="N26" s="45">
        <v>0</v>
      </c>
      <c r="O26" s="33">
        <f t="shared" si="6"/>
        <v>0</v>
      </c>
      <c r="P26" s="33">
        <f t="shared" si="7"/>
        <v>0</v>
      </c>
    </row>
    <row r="27" spans="1:16">
      <c r="A27" s="1" t="s">
        <v>3</v>
      </c>
      <c r="B27" s="16" t="s">
        <v>76</v>
      </c>
      <c r="C27" s="20">
        <v>0</v>
      </c>
      <c r="D27" s="9">
        <v>0</v>
      </c>
      <c r="E27" s="9">
        <v>0</v>
      </c>
      <c r="F27" s="33">
        <f t="shared" si="4"/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39">
        <v>0</v>
      </c>
      <c r="M27" s="33">
        <f t="shared" si="5"/>
        <v>0</v>
      </c>
      <c r="N27" s="45">
        <v>0</v>
      </c>
      <c r="O27" s="33">
        <f t="shared" si="6"/>
        <v>0</v>
      </c>
      <c r="P27" s="33">
        <f t="shared" si="7"/>
        <v>0</v>
      </c>
    </row>
    <row r="28" spans="1:16">
      <c r="A28" s="1" t="s">
        <v>3</v>
      </c>
      <c r="B28" s="16" t="s">
        <v>77</v>
      </c>
      <c r="C28" s="20">
        <v>0</v>
      </c>
      <c r="D28" s="9">
        <v>2000</v>
      </c>
      <c r="E28" s="9">
        <v>0</v>
      </c>
      <c r="F28" s="33">
        <f t="shared" si="4"/>
        <v>2000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39">
        <v>0</v>
      </c>
      <c r="M28" s="33">
        <f t="shared" si="5"/>
        <v>0</v>
      </c>
      <c r="N28" s="45">
        <v>0</v>
      </c>
      <c r="O28" s="33">
        <f t="shared" si="6"/>
        <v>0</v>
      </c>
      <c r="P28" s="33">
        <f t="shared" si="7"/>
        <v>0</v>
      </c>
    </row>
    <row r="29" spans="1:16">
      <c r="A29" s="1" t="s">
        <v>3</v>
      </c>
      <c r="B29" s="16" t="s">
        <v>78</v>
      </c>
      <c r="C29" s="20">
        <v>0</v>
      </c>
      <c r="D29" s="9">
        <v>0</v>
      </c>
      <c r="E29" s="9">
        <v>0</v>
      </c>
      <c r="F29" s="33">
        <f t="shared" si="4"/>
        <v>0</v>
      </c>
      <c r="G29" s="9">
        <v>82134</v>
      </c>
      <c r="H29" s="9">
        <v>95700</v>
      </c>
      <c r="I29" s="9">
        <v>119700</v>
      </c>
      <c r="J29" s="9">
        <v>48438</v>
      </c>
      <c r="K29" s="9">
        <v>66339</v>
      </c>
      <c r="L29" s="39">
        <v>151800</v>
      </c>
      <c r="M29" s="33">
        <f t="shared" si="5"/>
        <v>564111</v>
      </c>
      <c r="N29" s="45">
        <v>0</v>
      </c>
      <c r="O29" s="33">
        <f t="shared" si="6"/>
        <v>0</v>
      </c>
      <c r="P29" s="33">
        <f t="shared" si="7"/>
        <v>564111</v>
      </c>
    </row>
    <row r="30" spans="1:16">
      <c r="A30" s="1" t="s">
        <v>3</v>
      </c>
      <c r="B30" s="16" t="s">
        <v>79</v>
      </c>
      <c r="C30" s="20">
        <v>0</v>
      </c>
      <c r="D30" s="9">
        <v>4600</v>
      </c>
      <c r="E30" s="9">
        <v>2350</v>
      </c>
      <c r="F30" s="33">
        <f t="shared" si="4"/>
        <v>6950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39">
        <v>0</v>
      </c>
      <c r="M30" s="33">
        <f t="shared" si="5"/>
        <v>0</v>
      </c>
      <c r="N30" s="45">
        <v>0</v>
      </c>
      <c r="O30" s="33">
        <f t="shared" si="6"/>
        <v>0</v>
      </c>
      <c r="P30" s="33">
        <f t="shared" si="7"/>
        <v>0</v>
      </c>
    </row>
    <row r="31" spans="1:16">
      <c r="A31" s="1" t="s">
        <v>3</v>
      </c>
      <c r="B31" s="16" t="s">
        <v>80</v>
      </c>
      <c r="C31" s="20">
        <v>0</v>
      </c>
      <c r="D31" s="9">
        <v>0</v>
      </c>
      <c r="E31" s="9">
        <v>0</v>
      </c>
      <c r="F31" s="33">
        <f t="shared" si="4"/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39">
        <v>0</v>
      </c>
      <c r="M31" s="33">
        <f t="shared" si="5"/>
        <v>0</v>
      </c>
      <c r="N31" s="45">
        <v>0</v>
      </c>
      <c r="O31" s="33">
        <f t="shared" si="6"/>
        <v>0</v>
      </c>
      <c r="P31" s="33">
        <f t="shared" si="7"/>
        <v>0</v>
      </c>
    </row>
    <row r="32" spans="1:16">
      <c r="A32" s="1" t="s">
        <v>3</v>
      </c>
      <c r="B32" s="16" t="s">
        <v>81</v>
      </c>
      <c r="C32" s="20">
        <v>0</v>
      </c>
      <c r="D32" s="9">
        <v>0</v>
      </c>
      <c r="E32" s="9">
        <v>0</v>
      </c>
      <c r="F32" s="33">
        <f t="shared" si="4"/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39">
        <v>0</v>
      </c>
      <c r="M32" s="33">
        <f t="shared" si="5"/>
        <v>0</v>
      </c>
      <c r="N32" s="45">
        <v>0</v>
      </c>
      <c r="O32" s="33">
        <f t="shared" si="6"/>
        <v>0</v>
      </c>
      <c r="P32" s="33">
        <f t="shared" si="7"/>
        <v>0</v>
      </c>
    </row>
    <row r="33" spans="1:16">
      <c r="A33" s="1" t="s">
        <v>3</v>
      </c>
      <c r="B33" s="16" t="s">
        <v>82</v>
      </c>
      <c r="C33" s="20">
        <v>0</v>
      </c>
      <c r="D33" s="9">
        <v>0</v>
      </c>
      <c r="E33" s="9">
        <v>0</v>
      </c>
      <c r="F33" s="33">
        <f t="shared" si="4"/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39">
        <v>0</v>
      </c>
      <c r="M33" s="33">
        <f t="shared" si="5"/>
        <v>0</v>
      </c>
      <c r="N33" s="45">
        <v>0</v>
      </c>
      <c r="O33" s="33">
        <f t="shared" si="6"/>
        <v>0</v>
      </c>
      <c r="P33" s="33">
        <f t="shared" si="7"/>
        <v>0</v>
      </c>
    </row>
    <row r="34" spans="1:16">
      <c r="A34" s="1" t="s">
        <v>3</v>
      </c>
      <c r="B34" s="16" t="s">
        <v>66</v>
      </c>
      <c r="C34" s="20">
        <v>0</v>
      </c>
      <c r="D34" s="9">
        <v>51744</v>
      </c>
      <c r="E34" s="9">
        <v>18524</v>
      </c>
      <c r="F34" s="33">
        <f t="shared" si="4"/>
        <v>70268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39">
        <v>4125</v>
      </c>
      <c r="M34" s="33">
        <f t="shared" si="5"/>
        <v>4125</v>
      </c>
      <c r="N34" s="45">
        <v>0</v>
      </c>
      <c r="O34" s="33">
        <f t="shared" si="6"/>
        <v>0</v>
      </c>
      <c r="P34" s="33">
        <f t="shared" si="7"/>
        <v>4125</v>
      </c>
    </row>
    <row r="35" spans="1:16">
      <c r="A35" s="1" t="s">
        <v>3</v>
      </c>
      <c r="B35" s="16" t="s">
        <v>83</v>
      </c>
      <c r="C35" s="20">
        <v>0</v>
      </c>
      <c r="D35" s="9">
        <v>37264</v>
      </c>
      <c r="E35" s="9">
        <v>0</v>
      </c>
      <c r="F35" s="33">
        <f t="shared" si="4"/>
        <v>37264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39">
        <v>0</v>
      </c>
      <c r="M35" s="33">
        <f t="shared" si="5"/>
        <v>0</v>
      </c>
      <c r="N35" s="45">
        <v>0</v>
      </c>
      <c r="O35" s="33">
        <f t="shared" si="6"/>
        <v>0</v>
      </c>
      <c r="P35" s="33">
        <f t="shared" si="7"/>
        <v>0</v>
      </c>
    </row>
    <row r="36" spans="1:16">
      <c r="A36" s="1" t="s">
        <v>3</v>
      </c>
      <c r="B36" s="16" t="s">
        <v>84</v>
      </c>
      <c r="C36" s="20">
        <v>0</v>
      </c>
      <c r="D36" s="9">
        <v>4658</v>
      </c>
      <c r="E36" s="9">
        <v>14544</v>
      </c>
      <c r="F36" s="33">
        <f t="shared" si="4"/>
        <v>19202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39">
        <v>0</v>
      </c>
      <c r="M36" s="33">
        <f t="shared" si="5"/>
        <v>0</v>
      </c>
      <c r="N36" s="45">
        <v>0</v>
      </c>
      <c r="O36" s="33">
        <f t="shared" si="6"/>
        <v>0</v>
      </c>
      <c r="P36" s="33">
        <f t="shared" si="7"/>
        <v>0</v>
      </c>
    </row>
    <row r="37" spans="1:16">
      <c r="A37" s="1" t="s">
        <v>3</v>
      </c>
      <c r="B37" s="16" t="s">
        <v>85</v>
      </c>
      <c r="C37" s="20">
        <v>0</v>
      </c>
      <c r="D37" s="9">
        <v>0</v>
      </c>
      <c r="E37" s="9">
        <v>0</v>
      </c>
      <c r="F37" s="33">
        <f t="shared" si="4"/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39">
        <v>0</v>
      </c>
      <c r="M37" s="33">
        <f t="shared" si="5"/>
        <v>0</v>
      </c>
      <c r="N37" s="45">
        <v>0</v>
      </c>
      <c r="O37" s="33">
        <f t="shared" si="6"/>
        <v>0</v>
      </c>
      <c r="P37" s="33">
        <f t="shared" si="7"/>
        <v>0</v>
      </c>
    </row>
    <row r="38" spans="1:16">
      <c r="A38" s="1" t="s">
        <v>3</v>
      </c>
      <c r="B38" s="16" t="s">
        <v>70</v>
      </c>
      <c r="C38" s="20">
        <v>0</v>
      </c>
      <c r="D38" s="9">
        <v>0</v>
      </c>
      <c r="E38" s="9">
        <v>0</v>
      </c>
      <c r="F38" s="33">
        <f t="shared" si="4"/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39">
        <v>0</v>
      </c>
      <c r="M38" s="33">
        <f t="shared" si="5"/>
        <v>0</v>
      </c>
      <c r="N38" s="45">
        <v>0</v>
      </c>
      <c r="O38" s="33">
        <f t="shared" si="6"/>
        <v>0</v>
      </c>
      <c r="P38" s="33">
        <f t="shared" si="7"/>
        <v>0</v>
      </c>
    </row>
    <row r="39" spans="1:16">
      <c r="A39" s="1" t="s">
        <v>3</v>
      </c>
      <c r="B39" s="79" t="s">
        <v>71</v>
      </c>
      <c r="C39" s="84">
        <v>0</v>
      </c>
      <c r="D39" s="81">
        <v>431</v>
      </c>
      <c r="E39" s="81">
        <v>0</v>
      </c>
      <c r="F39" s="83">
        <f t="shared" si="4"/>
        <v>431</v>
      </c>
      <c r="G39" s="81">
        <v>14465</v>
      </c>
      <c r="H39" s="81">
        <v>0</v>
      </c>
      <c r="I39" s="81">
        <v>0</v>
      </c>
      <c r="J39" s="81">
        <v>2630</v>
      </c>
      <c r="K39" s="81">
        <v>11835</v>
      </c>
      <c r="L39" s="85">
        <v>12375</v>
      </c>
      <c r="M39" s="83">
        <f t="shared" si="5"/>
        <v>41305</v>
      </c>
      <c r="N39" s="86">
        <v>0</v>
      </c>
      <c r="O39" s="83">
        <f t="shared" si="6"/>
        <v>0</v>
      </c>
      <c r="P39" s="83">
        <f t="shared" si="7"/>
        <v>41305</v>
      </c>
    </row>
    <row r="40" spans="1:16">
      <c r="A40" s="1" t="s">
        <v>3</v>
      </c>
      <c r="B40" s="87" t="s">
        <v>86</v>
      </c>
      <c r="C40" s="92">
        <v>380000</v>
      </c>
      <c r="D40" s="89">
        <v>388697</v>
      </c>
      <c r="E40" s="89">
        <v>260418</v>
      </c>
      <c r="F40" s="91">
        <f t="shared" si="4"/>
        <v>1029115</v>
      </c>
      <c r="G40" s="89">
        <v>96599</v>
      </c>
      <c r="H40" s="89">
        <v>95700</v>
      </c>
      <c r="I40" s="89">
        <v>119700</v>
      </c>
      <c r="J40" s="89">
        <v>51068</v>
      </c>
      <c r="K40" s="89">
        <v>78174</v>
      </c>
      <c r="L40" s="93">
        <v>168300</v>
      </c>
      <c r="M40" s="91">
        <f t="shared" si="5"/>
        <v>609541</v>
      </c>
      <c r="N40" s="94">
        <v>390000</v>
      </c>
      <c r="O40" s="91">
        <f t="shared" si="6"/>
        <v>390000</v>
      </c>
      <c r="P40" s="91">
        <f t="shared" si="7"/>
        <v>999541</v>
      </c>
    </row>
    <row r="41" spans="1:16">
      <c r="A41" s="1" t="s">
        <v>3</v>
      </c>
      <c r="B41" s="87" t="s">
        <v>87</v>
      </c>
      <c r="C41" s="92">
        <v>3720</v>
      </c>
      <c r="D41" s="89">
        <v>6550</v>
      </c>
      <c r="E41" s="89">
        <v>7763</v>
      </c>
      <c r="F41" s="91">
        <f t="shared" si="4"/>
        <v>18033</v>
      </c>
      <c r="G41" s="89">
        <v>4744</v>
      </c>
      <c r="H41" s="89">
        <v>3019</v>
      </c>
      <c r="I41" s="89">
        <v>2561</v>
      </c>
      <c r="J41" s="89">
        <v>2103</v>
      </c>
      <c r="K41" s="89">
        <v>3397</v>
      </c>
      <c r="L41" s="93">
        <v>13639</v>
      </c>
      <c r="M41" s="91">
        <f t="shared" si="5"/>
        <v>29463</v>
      </c>
      <c r="N41" s="94">
        <v>7359</v>
      </c>
      <c r="O41" s="91">
        <f t="shared" si="6"/>
        <v>7359</v>
      </c>
      <c r="P41" s="91">
        <f t="shared" si="7"/>
        <v>36822</v>
      </c>
    </row>
    <row r="42" spans="1:16">
      <c r="A42" s="1" t="s">
        <v>3</v>
      </c>
      <c r="B42" s="87" t="s">
        <v>88</v>
      </c>
      <c r="C42" s="92">
        <v>3720</v>
      </c>
      <c r="D42" s="89">
        <v>6550</v>
      </c>
      <c r="E42" s="89">
        <v>7763</v>
      </c>
      <c r="F42" s="91">
        <f t="shared" si="4"/>
        <v>18033</v>
      </c>
      <c r="G42" s="89">
        <v>4744</v>
      </c>
      <c r="H42" s="89">
        <v>3019</v>
      </c>
      <c r="I42" s="89">
        <v>2561</v>
      </c>
      <c r="J42" s="89">
        <v>2103</v>
      </c>
      <c r="K42" s="89">
        <v>3397</v>
      </c>
      <c r="L42" s="93">
        <v>13639</v>
      </c>
      <c r="M42" s="91">
        <f t="shared" si="5"/>
        <v>29463</v>
      </c>
      <c r="N42" s="94">
        <v>7359</v>
      </c>
      <c r="O42" s="91">
        <f t="shared" si="6"/>
        <v>7359</v>
      </c>
      <c r="P42" s="91">
        <f t="shared" si="7"/>
        <v>36822</v>
      </c>
    </row>
    <row r="43" spans="1:16">
      <c r="A43" s="1" t="s">
        <v>3</v>
      </c>
      <c r="B43" s="87" t="s">
        <v>89</v>
      </c>
      <c r="C43" s="92">
        <v>383720</v>
      </c>
      <c r="D43" s="89">
        <v>395247</v>
      </c>
      <c r="E43" s="89">
        <v>268181</v>
      </c>
      <c r="F43" s="91">
        <f t="shared" si="4"/>
        <v>1047148</v>
      </c>
      <c r="G43" s="89">
        <v>101343</v>
      </c>
      <c r="H43" s="89">
        <v>98719</v>
      </c>
      <c r="I43" s="89">
        <v>122261</v>
      </c>
      <c r="J43" s="89">
        <v>53171</v>
      </c>
      <c r="K43" s="89">
        <v>81571</v>
      </c>
      <c r="L43" s="93">
        <v>181939</v>
      </c>
      <c r="M43" s="91">
        <f t="shared" si="5"/>
        <v>639004</v>
      </c>
      <c r="N43" s="94">
        <v>397359</v>
      </c>
      <c r="O43" s="91">
        <f t="shared" si="6"/>
        <v>397359</v>
      </c>
      <c r="P43" s="91">
        <f t="shared" si="7"/>
        <v>1036363</v>
      </c>
    </row>
    <row r="44" spans="1:16">
      <c r="A44" s="1" t="s">
        <v>3</v>
      </c>
      <c r="B44" s="48" t="s">
        <v>90</v>
      </c>
      <c r="C44" s="68">
        <v>19380</v>
      </c>
      <c r="D44" s="65">
        <v>19380</v>
      </c>
      <c r="E44" s="65">
        <v>14280</v>
      </c>
      <c r="F44" s="67">
        <f t="shared" si="4"/>
        <v>53040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9">
        <v>8160</v>
      </c>
      <c r="M44" s="67">
        <f t="shared" si="5"/>
        <v>8160</v>
      </c>
      <c r="N44" s="70">
        <v>20910</v>
      </c>
      <c r="O44" s="67">
        <f t="shared" si="6"/>
        <v>20910</v>
      </c>
      <c r="P44" s="67">
        <f t="shared" si="7"/>
        <v>29070</v>
      </c>
    </row>
    <row r="45" spans="1:16">
      <c r="A45" s="1" t="s">
        <v>3</v>
      </c>
      <c r="B45" s="16" t="s">
        <v>91</v>
      </c>
      <c r="C45" s="20">
        <v>3420</v>
      </c>
      <c r="D45" s="9">
        <v>3420</v>
      </c>
      <c r="E45" s="9">
        <v>0</v>
      </c>
      <c r="F45" s="33">
        <f t="shared" si="4"/>
        <v>6840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39">
        <v>0</v>
      </c>
      <c r="M45" s="33">
        <f t="shared" si="5"/>
        <v>0</v>
      </c>
      <c r="N45" s="45">
        <v>3690</v>
      </c>
      <c r="O45" s="33">
        <f t="shared" si="6"/>
        <v>3690</v>
      </c>
      <c r="P45" s="33">
        <f t="shared" si="7"/>
        <v>3690</v>
      </c>
    </row>
    <row r="46" spans="1:16">
      <c r="A46" s="1" t="s">
        <v>3</v>
      </c>
      <c r="B46" s="16" t="s">
        <v>92</v>
      </c>
      <c r="C46" s="20">
        <v>34770</v>
      </c>
      <c r="D46" s="9">
        <v>34770</v>
      </c>
      <c r="E46" s="9">
        <v>25620</v>
      </c>
      <c r="F46" s="33">
        <f t="shared" si="4"/>
        <v>95160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39">
        <v>14640</v>
      </c>
      <c r="M46" s="33">
        <f t="shared" si="5"/>
        <v>14640</v>
      </c>
      <c r="N46" s="45">
        <v>37515</v>
      </c>
      <c r="O46" s="33">
        <f t="shared" si="6"/>
        <v>37515</v>
      </c>
      <c r="P46" s="33">
        <f t="shared" si="7"/>
        <v>52155</v>
      </c>
    </row>
    <row r="47" spans="1:16">
      <c r="A47" s="1" t="s">
        <v>3</v>
      </c>
      <c r="B47" s="79" t="s">
        <v>93</v>
      </c>
      <c r="C47" s="84">
        <v>2110</v>
      </c>
      <c r="D47" s="81">
        <v>2174</v>
      </c>
      <c r="E47" s="81">
        <v>1475</v>
      </c>
      <c r="F47" s="83">
        <f t="shared" si="4"/>
        <v>5759</v>
      </c>
      <c r="G47" s="81">
        <v>0</v>
      </c>
      <c r="H47" s="81">
        <v>543</v>
      </c>
      <c r="I47" s="81">
        <v>672</v>
      </c>
      <c r="J47" s="81">
        <v>0</v>
      </c>
      <c r="K47" s="81">
        <v>449</v>
      </c>
      <c r="L47" s="85">
        <v>1001</v>
      </c>
      <c r="M47" s="83">
        <f t="shared" si="5"/>
        <v>2665</v>
      </c>
      <c r="N47" s="86">
        <v>2185</v>
      </c>
      <c r="O47" s="83">
        <f t="shared" si="6"/>
        <v>2185</v>
      </c>
      <c r="P47" s="83">
        <f t="shared" si="7"/>
        <v>4850</v>
      </c>
    </row>
    <row r="48" spans="1:16">
      <c r="A48" s="1" t="s">
        <v>3</v>
      </c>
      <c r="B48" s="87" t="s">
        <v>94</v>
      </c>
      <c r="C48" s="92">
        <v>59680</v>
      </c>
      <c r="D48" s="89">
        <v>59744</v>
      </c>
      <c r="E48" s="89">
        <v>41375</v>
      </c>
      <c r="F48" s="91">
        <f t="shared" si="4"/>
        <v>160799</v>
      </c>
      <c r="G48" s="89">
        <v>0</v>
      </c>
      <c r="H48" s="89">
        <v>543</v>
      </c>
      <c r="I48" s="89">
        <v>672</v>
      </c>
      <c r="J48" s="89">
        <v>0</v>
      </c>
      <c r="K48" s="89">
        <v>449</v>
      </c>
      <c r="L48" s="93">
        <v>23801</v>
      </c>
      <c r="M48" s="91">
        <f t="shared" si="5"/>
        <v>25465</v>
      </c>
      <c r="N48" s="94">
        <v>64300</v>
      </c>
      <c r="O48" s="91">
        <f t="shared" si="6"/>
        <v>64300</v>
      </c>
      <c r="P48" s="91">
        <f t="shared" si="7"/>
        <v>89765</v>
      </c>
    </row>
    <row r="49" spans="1:16">
      <c r="A49" s="1" t="s">
        <v>3</v>
      </c>
      <c r="B49" s="48" t="s">
        <v>95</v>
      </c>
      <c r="C49" s="68">
        <v>7550</v>
      </c>
      <c r="D49" s="65">
        <v>7900</v>
      </c>
      <c r="E49" s="65">
        <v>5450</v>
      </c>
      <c r="F49" s="67">
        <f t="shared" si="4"/>
        <v>20900</v>
      </c>
      <c r="G49" s="65">
        <v>0</v>
      </c>
      <c r="H49" s="65">
        <v>480</v>
      </c>
      <c r="I49" s="65">
        <v>1690</v>
      </c>
      <c r="J49" s="65">
        <v>0</v>
      </c>
      <c r="K49" s="65">
        <v>0</v>
      </c>
      <c r="L49" s="69">
        <v>1190</v>
      </c>
      <c r="M49" s="67">
        <f t="shared" si="5"/>
        <v>3360</v>
      </c>
      <c r="N49" s="70">
        <v>10480</v>
      </c>
      <c r="O49" s="67">
        <f t="shared" si="6"/>
        <v>10480</v>
      </c>
      <c r="P49" s="67">
        <f t="shared" si="7"/>
        <v>13840</v>
      </c>
    </row>
    <row r="50" spans="1:16">
      <c r="A50" s="1" t="s">
        <v>3</v>
      </c>
      <c r="B50" s="16" t="s">
        <v>96</v>
      </c>
      <c r="C50" s="20">
        <v>0</v>
      </c>
      <c r="D50" s="9">
        <v>0</v>
      </c>
      <c r="E50" s="9">
        <v>0</v>
      </c>
      <c r="F50" s="33">
        <f t="shared" si="4"/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39">
        <v>0</v>
      </c>
      <c r="M50" s="33">
        <f t="shared" si="5"/>
        <v>0</v>
      </c>
      <c r="N50" s="45">
        <v>0</v>
      </c>
      <c r="O50" s="33">
        <f t="shared" si="6"/>
        <v>0</v>
      </c>
      <c r="P50" s="33">
        <f t="shared" si="7"/>
        <v>0</v>
      </c>
    </row>
    <row r="51" spans="1:16">
      <c r="A51" s="1" t="s">
        <v>3</v>
      </c>
      <c r="B51" s="79" t="s">
        <v>97</v>
      </c>
      <c r="C51" s="84">
        <v>20200</v>
      </c>
      <c r="D51" s="81">
        <v>14600</v>
      </c>
      <c r="E51" s="81">
        <v>7800</v>
      </c>
      <c r="F51" s="83">
        <f t="shared" si="4"/>
        <v>42600</v>
      </c>
      <c r="G51" s="81">
        <v>0</v>
      </c>
      <c r="H51" s="81">
        <v>500</v>
      </c>
      <c r="I51" s="81">
        <v>2300</v>
      </c>
      <c r="J51" s="81">
        <v>0</v>
      </c>
      <c r="K51" s="81">
        <v>2600</v>
      </c>
      <c r="L51" s="85">
        <v>7100</v>
      </c>
      <c r="M51" s="83">
        <f t="shared" si="5"/>
        <v>12500</v>
      </c>
      <c r="N51" s="86">
        <v>21800</v>
      </c>
      <c r="O51" s="83">
        <f t="shared" si="6"/>
        <v>21800</v>
      </c>
      <c r="P51" s="83">
        <f t="shared" si="7"/>
        <v>34300</v>
      </c>
    </row>
    <row r="52" spans="1:16">
      <c r="A52" s="1" t="s">
        <v>3</v>
      </c>
      <c r="B52" s="87" t="s">
        <v>98</v>
      </c>
      <c r="C52" s="92">
        <v>87430</v>
      </c>
      <c r="D52" s="89">
        <v>82244</v>
      </c>
      <c r="E52" s="89">
        <v>54625</v>
      </c>
      <c r="F52" s="91">
        <f t="shared" si="4"/>
        <v>224299</v>
      </c>
      <c r="G52" s="89">
        <v>0</v>
      </c>
      <c r="H52" s="89">
        <v>1523</v>
      </c>
      <c r="I52" s="89">
        <v>4662</v>
      </c>
      <c r="J52" s="89">
        <v>0</v>
      </c>
      <c r="K52" s="89">
        <v>3049</v>
      </c>
      <c r="L52" s="93">
        <v>32091</v>
      </c>
      <c r="M52" s="91">
        <f t="shared" si="5"/>
        <v>41325</v>
      </c>
      <c r="N52" s="94">
        <v>96580</v>
      </c>
      <c r="O52" s="91">
        <f t="shared" si="6"/>
        <v>96580</v>
      </c>
      <c r="P52" s="91">
        <f t="shared" si="7"/>
        <v>137905</v>
      </c>
    </row>
    <row r="53" spans="1:16">
      <c r="A53" s="1" t="s">
        <v>3</v>
      </c>
      <c r="B53" s="87" t="s">
        <v>99</v>
      </c>
      <c r="C53" s="92">
        <v>320320</v>
      </c>
      <c r="D53" s="89">
        <v>328953</v>
      </c>
      <c r="E53" s="89">
        <v>219043</v>
      </c>
      <c r="F53" s="91">
        <f t="shared" si="4"/>
        <v>868316</v>
      </c>
      <c r="G53" s="89">
        <v>96599</v>
      </c>
      <c r="H53" s="89">
        <v>95157</v>
      </c>
      <c r="I53" s="89">
        <v>119028</v>
      </c>
      <c r="J53" s="89">
        <v>51068</v>
      </c>
      <c r="K53" s="89">
        <v>77725</v>
      </c>
      <c r="L53" s="93">
        <v>144499</v>
      </c>
      <c r="M53" s="91">
        <f t="shared" si="5"/>
        <v>584076</v>
      </c>
      <c r="N53" s="94">
        <v>325700</v>
      </c>
      <c r="O53" s="91">
        <f t="shared" si="6"/>
        <v>325700</v>
      </c>
      <c r="P53" s="91">
        <f t="shared" si="7"/>
        <v>909776</v>
      </c>
    </row>
    <row r="54" spans="1:16">
      <c r="A54" s="1" t="s">
        <v>3</v>
      </c>
      <c r="B54" s="87" t="s">
        <v>100</v>
      </c>
      <c r="C54" s="92">
        <v>296290</v>
      </c>
      <c r="D54" s="89">
        <v>313003</v>
      </c>
      <c r="E54" s="89">
        <v>213556</v>
      </c>
      <c r="F54" s="91">
        <f t="shared" si="4"/>
        <v>822849</v>
      </c>
      <c r="G54" s="89">
        <v>101343</v>
      </c>
      <c r="H54" s="89">
        <v>97196</v>
      </c>
      <c r="I54" s="89">
        <v>117599</v>
      </c>
      <c r="J54" s="89">
        <v>53171</v>
      </c>
      <c r="K54" s="89">
        <v>78522</v>
      </c>
      <c r="L54" s="93">
        <v>149848</v>
      </c>
      <c r="M54" s="91">
        <f t="shared" si="5"/>
        <v>597679</v>
      </c>
      <c r="N54" s="94">
        <v>300779</v>
      </c>
      <c r="O54" s="91">
        <f t="shared" si="6"/>
        <v>300779</v>
      </c>
      <c r="P54" s="91">
        <f t="shared" si="7"/>
        <v>898458</v>
      </c>
    </row>
    <row r="55" spans="1:16">
      <c r="A55" s="1" t="s">
        <v>3</v>
      </c>
      <c r="B55" s="87" t="s">
        <v>101</v>
      </c>
      <c r="C55" s="92">
        <v>296290</v>
      </c>
      <c r="D55" s="89">
        <v>313003</v>
      </c>
      <c r="E55" s="89">
        <v>213556</v>
      </c>
      <c r="F55" s="91">
        <f t="shared" si="4"/>
        <v>822849</v>
      </c>
      <c r="G55" s="89">
        <v>101343</v>
      </c>
      <c r="H55" s="89">
        <v>97196</v>
      </c>
      <c r="I55" s="89">
        <v>117599</v>
      </c>
      <c r="J55" s="89">
        <v>53171</v>
      </c>
      <c r="K55" s="89">
        <v>78522</v>
      </c>
      <c r="L55" s="93">
        <v>149848</v>
      </c>
      <c r="M55" s="91">
        <f t="shared" si="5"/>
        <v>597679</v>
      </c>
      <c r="N55" s="94">
        <v>300779</v>
      </c>
      <c r="O55" s="91">
        <f t="shared" si="6"/>
        <v>300779</v>
      </c>
      <c r="P55" s="91">
        <f t="shared" si="7"/>
        <v>898458</v>
      </c>
    </row>
    <row r="56" spans="1:16">
      <c r="A56" s="1" t="s">
        <v>3</v>
      </c>
      <c r="B56" s="48" t="s">
        <v>102</v>
      </c>
      <c r="C56" s="68">
        <v>1</v>
      </c>
      <c r="D56" s="65">
        <v>1</v>
      </c>
      <c r="E56" s="65">
        <v>0</v>
      </c>
      <c r="F56" s="67"/>
      <c r="G56" s="65">
        <v>1</v>
      </c>
      <c r="H56" s="65">
        <v>0</v>
      </c>
      <c r="I56" s="65">
        <v>0</v>
      </c>
      <c r="J56" s="65">
        <v>1</v>
      </c>
      <c r="K56" s="65">
        <v>1</v>
      </c>
      <c r="L56" s="69">
        <v>1</v>
      </c>
      <c r="M56" s="67"/>
      <c r="N56" s="70">
        <v>0</v>
      </c>
      <c r="O56" s="67"/>
      <c r="P56" s="67"/>
    </row>
    <row r="57" spans="1:16">
      <c r="A57" s="1" t="s">
        <v>3</v>
      </c>
      <c r="B57" s="16" t="s">
        <v>103</v>
      </c>
      <c r="C57" s="21" t="s">
        <v>104</v>
      </c>
      <c r="D57" s="11" t="s">
        <v>104</v>
      </c>
      <c r="E57" s="11" t="s">
        <v>104</v>
      </c>
      <c r="F57" s="34"/>
      <c r="G57" s="11" t="s">
        <v>104</v>
      </c>
      <c r="H57" s="11" t="s">
        <v>104</v>
      </c>
      <c r="I57" s="11" t="s">
        <v>104</v>
      </c>
      <c r="J57" s="11" t="s">
        <v>104</v>
      </c>
      <c r="K57" s="11" t="s">
        <v>104</v>
      </c>
      <c r="L57" s="40" t="s">
        <v>104</v>
      </c>
      <c r="M57" s="34"/>
      <c r="N57" s="46" t="s">
        <v>104</v>
      </c>
      <c r="O57" s="34"/>
      <c r="P57" s="34"/>
    </row>
    <row r="58" spans="1:16" ht="19.5" thickBot="1">
      <c r="A58" s="1" t="s">
        <v>3</v>
      </c>
      <c r="B58" s="17" t="s">
        <v>105</v>
      </c>
      <c r="C58" s="22">
        <v>7550</v>
      </c>
      <c r="D58" s="13">
        <v>7900</v>
      </c>
      <c r="E58" s="13">
        <v>5450</v>
      </c>
      <c r="F58" s="35">
        <f>SUM(C58:E58)</f>
        <v>20900</v>
      </c>
      <c r="G58" s="13">
        <v>0</v>
      </c>
      <c r="H58" s="13">
        <v>480</v>
      </c>
      <c r="I58" s="13">
        <v>1690</v>
      </c>
      <c r="J58" s="13">
        <v>0</v>
      </c>
      <c r="K58" s="13">
        <v>0</v>
      </c>
      <c r="L58" s="41">
        <v>1190</v>
      </c>
      <c r="M58" s="35">
        <f>SUM(G58:L58)</f>
        <v>3360</v>
      </c>
      <c r="N58" s="47">
        <v>10480</v>
      </c>
      <c r="O58" s="35">
        <f>N58</f>
        <v>10480</v>
      </c>
      <c r="P58" s="35">
        <f>M58+O58</f>
        <v>13840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CC9F-A379-4EAC-A70A-7D2F4F2EE729}">
  <dimension ref="A1:S58"/>
  <sheetViews>
    <sheetView showZeros="0" workbookViewId="0">
      <pane xSplit="2" ySplit="8" topLeftCell="N51" activePane="bottomRight" state="frozen"/>
      <selection pane="topRight" activeCell="C1" sqref="C1"/>
      <selection pane="bottomLeft" activeCell="A9" sqref="A9"/>
      <selection pane="bottomRight" activeCell="T1" sqref="T1:AF1048576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14" width="11.125" style="2" bestFit="1" customWidth="1"/>
    <col min="15" max="15" width="9" style="2" bestFit="1" customWidth="1"/>
    <col min="16" max="16" width="11.125" style="2" bestFit="1" customWidth="1"/>
    <col min="17" max="18" width="9" style="2" bestFit="1" customWidth="1"/>
    <col min="19" max="19" width="9.625" style="2" bestFit="1" customWidth="1"/>
    <col min="20" max="246" width="9" style="2"/>
    <col min="247" max="247" width="2.375" style="2" customWidth="1"/>
    <col min="248" max="248" width="13.25" style="2" bestFit="1" customWidth="1"/>
    <col min="249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63" width="11.125" style="2" bestFit="1" customWidth="1"/>
    <col min="264" max="264" width="9" style="2"/>
    <col min="265" max="266" width="11.125" style="2" bestFit="1" customWidth="1"/>
    <col min="267" max="268" width="9" style="2"/>
    <col min="269" max="273" width="11.125" style="2" bestFit="1" customWidth="1"/>
    <col min="274" max="274" width="9" style="2"/>
    <col min="275" max="275" width="9.625" style="2" bestFit="1" customWidth="1"/>
    <col min="276" max="502" width="9" style="2"/>
    <col min="503" max="503" width="2.375" style="2" customWidth="1"/>
    <col min="504" max="504" width="13.25" style="2" bestFit="1" customWidth="1"/>
    <col min="505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19" width="11.125" style="2" bestFit="1" customWidth="1"/>
    <col min="520" max="520" width="9" style="2"/>
    <col min="521" max="522" width="11.125" style="2" bestFit="1" customWidth="1"/>
    <col min="523" max="524" width="9" style="2"/>
    <col min="525" max="529" width="11.125" style="2" bestFit="1" customWidth="1"/>
    <col min="530" max="530" width="9" style="2"/>
    <col min="531" max="531" width="9.625" style="2" bestFit="1" customWidth="1"/>
    <col min="532" max="758" width="9" style="2"/>
    <col min="759" max="759" width="2.375" style="2" customWidth="1"/>
    <col min="760" max="760" width="13.25" style="2" bestFit="1" customWidth="1"/>
    <col min="761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75" width="11.125" style="2" bestFit="1" customWidth="1"/>
    <col min="776" max="776" width="9" style="2"/>
    <col min="777" max="778" width="11.125" style="2" bestFit="1" customWidth="1"/>
    <col min="779" max="780" width="9" style="2"/>
    <col min="781" max="785" width="11.125" style="2" bestFit="1" customWidth="1"/>
    <col min="786" max="786" width="9" style="2"/>
    <col min="787" max="787" width="9.625" style="2" bestFit="1" customWidth="1"/>
    <col min="788" max="1014" width="9" style="2"/>
    <col min="1015" max="1015" width="2.375" style="2" customWidth="1"/>
    <col min="1016" max="1016" width="13.25" style="2" bestFit="1" customWidth="1"/>
    <col min="1017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31" width="11.125" style="2" bestFit="1" customWidth="1"/>
    <col min="1032" max="1032" width="9" style="2"/>
    <col min="1033" max="1034" width="11.125" style="2" bestFit="1" customWidth="1"/>
    <col min="1035" max="1036" width="9" style="2"/>
    <col min="1037" max="1041" width="11.125" style="2" bestFit="1" customWidth="1"/>
    <col min="1042" max="1042" width="9" style="2"/>
    <col min="1043" max="1043" width="9.625" style="2" bestFit="1" customWidth="1"/>
    <col min="1044" max="1270" width="9" style="2"/>
    <col min="1271" max="1271" width="2.375" style="2" customWidth="1"/>
    <col min="1272" max="1272" width="13.25" style="2" bestFit="1" customWidth="1"/>
    <col min="1273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87" width="11.125" style="2" bestFit="1" customWidth="1"/>
    <col min="1288" max="1288" width="9" style="2"/>
    <col min="1289" max="1290" width="11.125" style="2" bestFit="1" customWidth="1"/>
    <col min="1291" max="1292" width="9" style="2"/>
    <col min="1293" max="1297" width="11.125" style="2" bestFit="1" customWidth="1"/>
    <col min="1298" max="1298" width="9" style="2"/>
    <col min="1299" max="1299" width="9.625" style="2" bestFit="1" customWidth="1"/>
    <col min="1300" max="1526" width="9" style="2"/>
    <col min="1527" max="1527" width="2.375" style="2" customWidth="1"/>
    <col min="1528" max="1528" width="13.25" style="2" bestFit="1" customWidth="1"/>
    <col min="1529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43" width="11.125" style="2" bestFit="1" customWidth="1"/>
    <col min="1544" max="1544" width="9" style="2"/>
    <col min="1545" max="1546" width="11.125" style="2" bestFit="1" customWidth="1"/>
    <col min="1547" max="1548" width="9" style="2"/>
    <col min="1549" max="1553" width="11.125" style="2" bestFit="1" customWidth="1"/>
    <col min="1554" max="1554" width="9" style="2"/>
    <col min="1555" max="1555" width="9.625" style="2" bestFit="1" customWidth="1"/>
    <col min="1556" max="1782" width="9" style="2"/>
    <col min="1783" max="1783" width="2.375" style="2" customWidth="1"/>
    <col min="1784" max="1784" width="13.25" style="2" bestFit="1" customWidth="1"/>
    <col min="1785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99" width="11.125" style="2" bestFit="1" customWidth="1"/>
    <col min="1800" max="1800" width="9" style="2"/>
    <col min="1801" max="1802" width="11.125" style="2" bestFit="1" customWidth="1"/>
    <col min="1803" max="1804" width="9" style="2"/>
    <col min="1805" max="1809" width="11.125" style="2" bestFit="1" customWidth="1"/>
    <col min="1810" max="1810" width="9" style="2"/>
    <col min="1811" max="1811" width="9.625" style="2" bestFit="1" customWidth="1"/>
    <col min="1812" max="2038" width="9" style="2"/>
    <col min="2039" max="2039" width="2.375" style="2" customWidth="1"/>
    <col min="2040" max="2040" width="13.25" style="2" bestFit="1" customWidth="1"/>
    <col min="2041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55" width="11.125" style="2" bestFit="1" customWidth="1"/>
    <col min="2056" max="2056" width="9" style="2"/>
    <col min="2057" max="2058" width="11.125" style="2" bestFit="1" customWidth="1"/>
    <col min="2059" max="2060" width="9" style="2"/>
    <col min="2061" max="2065" width="11.125" style="2" bestFit="1" customWidth="1"/>
    <col min="2066" max="2066" width="9" style="2"/>
    <col min="2067" max="2067" width="9.625" style="2" bestFit="1" customWidth="1"/>
    <col min="2068" max="2294" width="9" style="2"/>
    <col min="2295" max="2295" width="2.375" style="2" customWidth="1"/>
    <col min="2296" max="2296" width="13.25" style="2" bestFit="1" customWidth="1"/>
    <col min="2297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11" width="11.125" style="2" bestFit="1" customWidth="1"/>
    <col min="2312" max="2312" width="9" style="2"/>
    <col min="2313" max="2314" width="11.125" style="2" bestFit="1" customWidth="1"/>
    <col min="2315" max="2316" width="9" style="2"/>
    <col min="2317" max="2321" width="11.125" style="2" bestFit="1" customWidth="1"/>
    <col min="2322" max="2322" width="9" style="2"/>
    <col min="2323" max="2323" width="9.625" style="2" bestFit="1" customWidth="1"/>
    <col min="2324" max="2550" width="9" style="2"/>
    <col min="2551" max="2551" width="2.375" style="2" customWidth="1"/>
    <col min="2552" max="2552" width="13.25" style="2" bestFit="1" customWidth="1"/>
    <col min="2553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67" width="11.125" style="2" bestFit="1" customWidth="1"/>
    <col min="2568" max="2568" width="9" style="2"/>
    <col min="2569" max="2570" width="11.125" style="2" bestFit="1" customWidth="1"/>
    <col min="2571" max="2572" width="9" style="2"/>
    <col min="2573" max="2577" width="11.125" style="2" bestFit="1" customWidth="1"/>
    <col min="2578" max="2578" width="9" style="2"/>
    <col min="2579" max="2579" width="9.625" style="2" bestFit="1" customWidth="1"/>
    <col min="2580" max="2806" width="9" style="2"/>
    <col min="2807" max="2807" width="2.375" style="2" customWidth="1"/>
    <col min="2808" max="2808" width="13.25" style="2" bestFit="1" customWidth="1"/>
    <col min="2809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23" width="11.125" style="2" bestFit="1" customWidth="1"/>
    <col min="2824" max="2824" width="9" style="2"/>
    <col min="2825" max="2826" width="11.125" style="2" bestFit="1" customWidth="1"/>
    <col min="2827" max="2828" width="9" style="2"/>
    <col min="2829" max="2833" width="11.125" style="2" bestFit="1" customWidth="1"/>
    <col min="2834" max="2834" width="9" style="2"/>
    <col min="2835" max="2835" width="9.625" style="2" bestFit="1" customWidth="1"/>
    <col min="2836" max="3062" width="9" style="2"/>
    <col min="3063" max="3063" width="2.375" style="2" customWidth="1"/>
    <col min="3064" max="3064" width="13.25" style="2" bestFit="1" customWidth="1"/>
    <col min="3065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79" width="11.125" style="2" bestFit="1" customWidth="1"/>
    <col min="3080" max="3080" width="9" style="2"/>
    <col min="3081" max="3082" width="11.125" style="2" bestFit="1" customWidth="1"/>
    <col min="3083" max="3084" width="9" style="2"/>
    <col min="3085" max="3089" width="11.125" style="2" bestFit="1" customWidth="1"/>
    <col min="3090" max="3090" width="9" style="2"/>
    <col min="3091" max="3091" width="9.625" style="2" bestFit="1" customWidth="1"/>
    <col min="3092" max="3318" width="9" style="2"/>
    <col min="3319" max="3319" width="2.375" style="2" customWidth="1"/>
    <col min="3320" max="3320" width="13.25" style="2" bestFit="1" customWidth="1"/>
    <col min="3321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35" width="11.125" style="2" bestFit="1" customWidth="1"/>
    <col min="3336" max="3336" width="9" style="2"/>
    <col min="3337" max="3338" width="11.125" style="2" bestFit="1" customWidth="1"/>
    <col min="3339" max="3340" width="9" style="2"/>
    <col min="3341" max="3345" width="11.125" style="2" bestFit="1" customWidth="1"/>
    <col min="3346" max="3346" width="9" style="2"/>
    <col min="3347" max="3347" width="9.625" style="2" bestFit="1" customWidth="1"/>
    <col min="3348" max="3574" width="9" style="2"/>
    <col min="3575" max="3575" width="2.375" style="2" customWidth="1"/>
    <col min="3576" max="3576" width="13.25" style="2" bestFit="1" customWidth="1"/>
    <col min="3577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91" width="11.125" style="2" bestFit="1" customWidth="1"/>
    <col min="3592" max="3592" width="9" style="2"/>
    <col min="3593" max="3594" width="11.125" style="2" bestFit="1" customWidth="1"/>
    <col min="3595" max="3596" width="9" style="2"/>
    <col min="3597" max="3601" width="11.125" style="2" bestFit="1" customWidth="1"/>
    <col min="3602" max="3602" width="9" style="2"/>
    <col min="3603" max="3603" width="9.625" style="2" bestFit="1" customWidth="1"/>
    <col min="3604" max="3830" width="9" style="2"/>
    <col min="3831" max="3831" width="2.375" style="2" customWidth="1"/>
    <col min="3832" max="3832" width="13.25" style="2" bestFit="1" customWidth="1"/>
    <col min="3833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47" width="11.125" style="2" bestFit="1" customWidth="1"/>
    <col min="3848" max="3848" width="9" style="2"/>
    <col min="3849" max="3850" width="11.125" style="2" bestFit="1" customWidth="1"/>
    <col min="3851" max="3852" width="9" style="2"/>
    <col min="3853" max="3857" width="11.125" style="2" bestFit="1" customWidth="1"/>
    <col min="3858" max="3858" width="9" style="2"/>
    <col min="3859" max="3859" width="9.625" style="2" bestFit="1" customWidth="1"/>
    <col min="3860" max="4086" width="9" style="2"/>
    <col min="4087" max="4087" width="2.375" style="2" customWidth="1"/>
    <col min="4088" max="4088" width="13.25" style="2" bestFit="1" customWidth="1"/>
    <col min="4089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103" width="11.125" style="2" bestFit="1" customWidth="1"/>
    <col min="4104" max="4104" width="9" style="2"/>
    <col min="4105" max="4106" width="11.125" style="2" bestFit="1" customWidth="1"/>
    <col min="4107" max="4108" width="9" style="2"/>
    <col min="4109" max="4113" width="11.125" style="2" bestFit="1" customWidth="1"/>
    <col min="4114" max="4114" width="9" style="2"/>
    <col min="4115" max="4115" width="9.625" style="2" bestFit="1" customWidth="1"/>
    <col min="4116" max="4342" width="9" style="2"/>
    <col min="4343" max="4343" width="2.375" style="2" customWidth="1"/>
    <col min="4344" max="4344" width="13.25" style="2" bestFit="1" customWidth="1"/>
    <col min="4345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59" width="11.125" style="2" bestFit="1" customWidth="1"/>
    <col min="4360" max="4360" width="9" style="2"/>
    <col min="4361" max="4362" width="11.125" style="2" bestFit="1" customWidth="1"/>
    <col min="4363" max="4364" width="9" style="2"/>
    <col min="4365" max="4369" width="11.125" style="2" bestFit="1" customWidth="1"/>
    <col min="4370" max="4370" width="9" style="2"/>
    <col min="4371" max="4371" width="9.625" style="2" bestFit="1" customWidth="1"/>
    <col min="4372" max="4598" width="9" style="2"/>
    <col min="4599" max="4599" width="2.375" style="2" customWidth="1"/>
    <col min="4600" max="4600" width="13.25" style="2" bestFit="1" customWidth="1"/>
    <col min="4601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15" width="11.125" style="2" bestFit="1" customWidth="1"/>
    <col min="4616" max="4616" width="9" style="2"/>
    <col min="4617" max="4618" width="11.125" style="2" bestFit="1" customWidth="1"/>
    <col min="4619" max="4620" width="9" style="2"/>
    <col min="4621" max="4625" width="11.125" style="2" bestFit="1" customWidth="1"/>
    <col min="4626" max="4626" width="9" style="2"/>
    <col min="4627" max="4627" width="9.625" style="2" bestFit="1" customWidth="1"/>
    <col min="4628" max="4854" width="9" style="2"/>
    <col min="4855" max="4855" width="2.375" style="2" customWidth="1"/>
    <col min="4856" max="4856" width="13.25" style="2" bestFit="1" customWidth="1"/>
    <col min="4857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71" width="11.125" style="2" bestFit="1" customWidth="1"/>
    <col min="4872" max="4872" width="9" style="2"/>
    <col min="4873" max="4874" width="11.125" style="2" bestFit="1" customWidth="1"/>
    <col min="4875" max="4876" width="9" style="2"/>
    <col min="4877" max="4881" width="11.125" style="2" bestFit="1" customWidth="1"/>
    <col min="4882" max="4882" width="9" style="2"/>
    <col min="4883" max="4883" width="9.625" style="2" bestFit="1" customWidth="1"/>
    <col min="4884" max="5110" width="9" style="2"/>
    <col min="5111" max="5111" width="2.375" style="2" customWidth="1"/>
    <col min="5112" max="5112" width="13.25" style="2" bestFit="1" customWidth="1"/>
    <col min="5113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27" width="11.125" style="2" bestFit="1" customWidth="1"/>
    <col min="5128" max="5128" width="9" style="2"/>
    <col min="5129" max="5130" width="11.125" style="2" bestFit="1" customWidth="1"/>
    <col min="5131" max="5132" width="9" style="2"/>
    <col min="5133" max="5137" width="11.125" style="2" bestFit="1" customWidth="1"/>
    <col min="5138" max="5138" width="9" style="2"/>
    <col min="5139" max="5139" width="9.625" style="2" bestFit="1" customWidth="1"/>
    <col min="5140" max="5366" width="9" style="2"/>
    <col min="5367" max="5367" width="2.375" style="2" customWidth="1"/>
    <col min="5368" max="5368" width="13.25" style="2" bestFit="1" customWidth="1"/>
    <col min="5369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83" width="11.125" style="2" bestFit="1" customWidth="1"/>
    <col min="5384" max="5384" width="9" style="2"/>
    <col min="5385" max="5386" width="11.125" style="2" bestFit="1" customWidth="1"/>
    <col min="5387" max="5388" width="9" style="2"/>
    <col min="5389" max="5393" width="11.125" style="2" bestFit="1" customWidth="1"/>
    <col min="5394" max="5394" width="9" style="2"/>
    <col min="5395" max="5395" width="9.625" style="2" bestFit="1" customWidth="1"/>
    <col min="5396" max="5622" width="9" style="2"/>
    <col min="5623" max="5623" width="2.375" style="2" customWidth="1"/>
    <col min="5624" max="5624" width="13.25" style="2" bestFit="1" customWidth="1"/>
    <col min="5625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39" width="11.125" style="2" bestFit="1" customWidth="1"/>
    <col min="5640" max="5640" width="9" style="2"/>
    <col min="5641" max="5642" width="11.125" style="2" bestFit="1" customWidth="1"/>
    <col min="5643" max="5644" width="9" style="2"/>
    <col min="5645" max="5649" width="11.125" style="2" bestFit="1" customWidth="1"/>
    <col min="5650" max="5650" width="9" style="2"/>
    <col min="5651" max="5651" width="9.625" style="2" bestFit="1" customWidth="1"/>
    <col min="5652" max="5878" width="9" style="2"/>
    <col min="5879" max="5879" width="2.375" style="2" customWidth="1"/>
    <col min="5880" max="5880" width="13.25" style="2" bestFit="1" customWidth="1"/>
    <col min="5881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95" width="11.125" style="2" bestFit="1" customWidth="1"/>
    <col min="5896" max="5896" width="9" style="2"/>
    <col min="5897" max="5898" width="11.125" style="2" bestFit="1" customWidth="1"/>
    <col min="5899" max="5900" width="9" style="2"/>
    <col min="5901" max="5905" width="11.125" style="2" bestFit="1" customWidth="1"/>
    <col min="5906" max="5906" width="9" style="2"/>
    <col min="5907" max="5907" width="9.625" style="2" bestFit="1" customWidth="1"/>
    <col min="5908" max="6134" width="9" style="2"/>
    <col min="6135" max="6135" width="2.375" style="2" customWidth="1"/>
    <col min="6136" max="6136" width="13.25" style="2" bestFit="1" customWidth="1"/>
    <col min="6137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51" width="11.125" style="2" bestFit="1" customWidth="1"/>
    <col min="6152" max="6152" width="9" style="2"/>
    <col min="6153" max="6154" width="11.125" style="2" bestFit="1" customWidth="1"/>
    <col min="6155" max="6156" width="9" style="2"/>
    <col min="6157" max="6161" width="11.125" style="2" bestFit="1" customWidth="1"/>
    <col min="6162" max="6162" width="9" style="2"/>
    <col min="6163" max="6163" width="9.625" style="2" bestFit="1" customWidth="1"/>
    <col min="6164" max="6390" width="9" style="2"/>
    <col min="6391" max="6391" width="2.375" style="2" customWidth="1"/>
    <col min="6392" max="6392" width="13.25" style="2" bestFit="1" customWidth="1"/>
    <col min="6393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407" width="11.125" style="2" bestFit="1" customWidth="1"/>
    <col min="6408" max="6408" width="9" style="2"/>
    <col min="6409" max="6410" width="11.125" style="2" bestFit="1" customWidth="1"/>
    <col min="6411" max="6412" width="9" style="2"/>
    <col min="6413" max="6417" width="11.125" style="2" bestFit="1" customWidth="1"/>
    <col min="6418" max="6418" width="9" style="2"/>
    <col min="6419" max="6419" width="9.625" style="2" bestFit="1" customWidth="1"/>
    <col min="6420" max="6646" width="9" style="2"/>
    <col min="6647" max="6647" width="2.375" style="2" customWidth="1"/>
    <col min="6648" max="6648" width="13.25" style="2" bestFit="1" customWidth="1"/>
    <col min="6649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63" width="11.125" style="2" bestFit="1" customWidth="1"/>
    <col min="6664" max="6664" width="9" style="2"/>
    <col min="6665" max="6666" width="11.125" style="2" bestFit="1" customWidth="1"/>
    <col min="6667" max="6668" width="9" style="2"/>
    <col min="6669" max="6673" width="11.125" style="2" bestFit="1" customWidth="1"/>
    <col min="6674" max="6674" width="9" style="2"/>
    <col min="6675" max="6675" width="9.625" style="2" bestFit="1" customWidth="1"/>
    <col min="6676" max="6902" width="9" style="2"/>
    <col min="6903" max="6903" width="2.375" style="2" customWidth="1"/>
    <col min="6904" max="6904" width="13.25" style="2" bestFit="1" customWidth="1"/>
    <col min="6905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19" width="11.125" style="2" bestFit="1" customWidth="1"/>
    <col min="6920" max="6920" width="9" style="2"/>
    <col min="6921" max="6922" width="11.125" style="2" bestFit="1" customWidth="1"/>
    <col min="6923" max="6924" width="9" style="2"/>
    <col min="6925" max="6929" width="11.125" style="2" bestFit="1" customWidth="1"/>
    <col min="6930" max="6930" width="9" style="2"/>
    <col min="6931" max="6931" width="9.625" style="2" bestFit="1" customWidth="1"/>
    <col min="6932" max="7158" width="9" style="2"/>
    <col min="7159" max="7159" width="2.375" style="2" customWidth="1"/>
    <col min="7160" max="7160" width="13.25" style="2" bestFit="1" customWidth="1"/>
    <col min="7161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75" width="11.125" style="2" bestFit="1" customWidth="1"/>
    <col min="7176" max="7176" width="9" style="2"/>
    <col min="7177" max="7178" width="11.125" style="2" bestFit="1" customWidth="1"/>
    <col min="7179" max="7180" width="9" style="2"/>
    <col min="7181" max="7185" width="11.125" style="2" bestFit="1" customWidth="1"/>
    <col min="7186" max="7186" width="9" style="2"/>
    <col min="7187" max="7187" width="9.625" style="2" bestFit="1" customWidth="1"/>
    <col min="7188" max="7414" width="9" style="2"/>
    <col min="7415" max="7415" width="2.375" style="2" customWidth="1"/>
    <col min="7416" max="7416" width="13.25" style="2" bestFit="1" customWidth="1"/>
    <col min="7417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31" width="11.125" style="2" bestFit="1" customWidth="1"/>
    <col min="7432" max="7432" width="9" style="2"/>
    <col min="7433" max="7434" width="11.125" style="2" bestFit="1" customWidth="1"/>
    <col min="7435" max="7436" width="9" style="2"/>
    <col min="7437" max="7441" width="11.125" style="2" bestFit="1" customWidth="1"/>
    <col min="7442" max="7442" width="9" style="2"/>
    <col min="7443" max="7443" width="9.625" style="2" bestFit="1" customWidth="1"/>
    <col min="7444" max="7670" width="9" style="2"/>
    <col min="7671" max="7671" width="2.375" style="2" customWidth="1"/>
    <col min="7672" max="7672" width="13.25" style="2" bestFit="1" customWidth="1"/>
    <col min="7673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87" width="11.125" style="2" bestFit="1" customWidth="1"/>
    <col min="7688" max="7688" width="9" style="2"/>
    <col min="7689" max="7690" width="11.125" style="2" bestFit="1" customWidth="1"/>
    <col min="7691" max="7692" width="9" style="2"/>
    <col min="7693" max="7697" width="11.125" style="2" bestFit="1" customWidth="1"/>
    <col min="7698" max="7698" width="9" style="2"/>
    <col min="7699" max="7699" width="9.625" style="2" bestFit="1" customWidth="1"/>
    <col min="7700" max="7926" width="9" style="2"/>
    <col min="7927" max="7927" width="2.375" style="2" customWidth="1"/>
    <col min="7928" max="7928" width="13.25" style="2" bestFit="1" customWidth="1"/>
    <col min="7929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43" width="11.125" style="2" bestFit="1" customWidth="1"/>
    <col min="7944" max="7944" width="9" style="2"/>
    <col min="7945" max="7946" width="11.125" style="2" bestFit="1" customWidth="1"/>
    <col min="7947" max="7948" width="9" style="2"/>
    <col min="7949" max="7953" width="11.125" style="2" bestFit="1" customWidth="1"/>
    <col min="7954" max="7954" width="9" style="2"/>
    <col min="7955" max="7955" width="9.625" style="2" bestFit="1" customWidth="1"/>
    <col min="7956" max="8182" width="9" style="2"/>
    <col min="8183" max="8183" width="2.375" style="2" customWidth="1"/>
    <col min="8184" max="8184" width="13.25" style="2" bestFit="1" customWidth="1"/>
    <col min="8185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99" width="11.125" style="2" bestFit="1" customWidth="1"/>
    <col min="8200" max="8200" width="9" style="2"/>
    <col min="8201" max="8202" width="11.125" style="2" bestFit="1" customWidth="1"/>
    <col min="8203" max="8204" width="9" style="2"/>
    <col min="8205" max="8209" width="11.125" style="2" bestFit="1" customWidth="1"/>
    <col min="8210" max="8210" width="9" style="2"/>
    <col min="8211" max="8211" width="9.625" style="2" bestFit="1" customWidth="1"/>
    <col min="8212" max="8438" width="9" style="2"/>
    <col min="8439" max="8439" width="2.375" style="2" customWidth="1"/>
    <col min="8440" max="8440" width="13.25" style="2" bestFit="1" customWidth="1"/>
    <col min="8441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55" width="11.125" style="2" bestFit="1" customWidth="1"/>
    <col min="8456" max="8456" width="9" style="2"/>
    <col min="8457" max="8458" width="11.125" style="2" bestFit="1" customWidth="1"/>
    <col min="8459" max="8460" width="9" style="2"/>
    <col min="8461" max="8465" width="11.125" style="2" bestFit="1" customWidth="1"/>
    <col min="8466" max="8466" width="9" style="2"/>
    <col min="8467" max="8467" width="9.625" style="2" bestFit="1" customWidth="1"/>
    <col min="8468" max="8694" width="9" style="2"/>
    <col min="8695" max="8695" width="2.375" style="2" customWidth="1"/>
    <col min="8696" max="8696" width="13.25" style="2" bestFit="1" customWidth="1"/>
    <col min="8697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11" width="11.125" style="2" bestFit="1" customWidth="1"/>
    <col min="8712" max="8712" width="9" style="2"/>
    <col min="8713" max="8714" width="11.125" style="2" bestFit="1" customWidth="1"/>
    <col min="8715" max="8716" width="9" style="2"/>
    <col min="8717" max="8721" width="11.125" style="2" bestFit="1" customWidth="1"/>
    <col min="8722" max="8722" width="9" style="2"/>
    <col min="8723" max="8723" width="9.625" style="2" bestFit="1" customWidth="1"/>
    <col min="8724" max="8950" width="9" style="2"/>
    <col min="8951" max="8951" width="2.375" style="2" customWidth="1"/>
    <col min="8952" max="8952" width="13.25" style="2" bestFit="1" customWidth="1"/>
    <col min="8953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67" width="11.125" style="2" bestFit="1" customWidth="1"/>
    <col min="8968" max="8968" width="9" style="2"/>
    <col min="8969" max="8970" width="11.125" style="2" bestFit="1" customWidth="1"/>
    <col min="8971" max="8972" width="9" style="2"/>
    <col min="8973" max="8977" width="11.125" style="2" bestFit="1" customWidth="1"/>
    <col min="8978" max="8978" width="9" style="2"/>
    <col min="8979" max="8979" width="9.625" style="2" bestFit="1" customWidth="1"/>
    <col min="8980" max="9206" width="9" style="2"/>
    <col min="9207" max="9207" width="2.375" style="2" customWidth="1"/>
    <col min="9208" max="9208" width="13.25" style="2" bestFit="1" customWidth="1"/>
    <col min="9209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23" width="11.125" style="2" bestFit="1" customWidth="1"/>
    <col min="9224" max="9224" width="9" style="2"/>
    <col min="9225" max="9226" width="11.125" style="2" bestFit="1" customWidth="1"/>
    <col min="9227" max="9228" width="9" style="2"/>
    <col min="9229" max="9233" width="11.125" style="2" bestFit="1" customWidth="1"/>
    <col min="9234" max="9234" width="9" style="2"/>
    <col min="9235" max="9235" width="9.625" style="2" bestFit="1" customWidth="1"/>
    <col min="9236" max="9462" width="9" style="2"/>
    <col min="9463" max="9463" width="2.375" style="2" customWidth="1"/>
    <col min="9464" max="9464" width="13.25" style="2" bestFit="1" customWidth="1"/>
    <col min="9465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79" width="11.125" style="2" bestFit="1" customWidth="1"/>
    <col min="9480" max="9480" width="9" style="2"/>
    <col min="9481" max="9482" width="11.125" style="2" bestFit="1" customWidth="1"/>
    <col min="9483" max="9484" width="9" style="2"/>
    <col min="9485" max="9489" width="11.125" style="2" bestFit="1" customWidth="1"/>
    <col min="9490" max="9490" width="9" style="2"/>
    <col min="9491" max="9491" width="9.625" style="2" bestFit="1" customWidth="1"/>
    <col min="9492" max="9718" width="9" style="2"/>
    <col min="9719" max="9719" width="2.375" style="2" customWidth="1"/>
    <col min="9720" max="9720" width="13.25" style="2" bestFit="1" customWidth="1"/>
    <col min="9721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35" width="11.125" style="2" bestFit="1" customWidth="1"/>
    <col min="9736" max="9736" width="9" style="2"/>
    <col min="9737" max="9738" width="11.125" style="2" bestFit="1" customWidth="1"/>
    <col min="9739" max="9740" width="9" style="2"/>
    <col min="9741" max="9745" width="11.125" style="2" bestFit="1" customWidth="1"/>
    <col min="9746" max="9746" width="9" style="2"/>
    <col min="9747" max="9747" width="9.625" style="2" bestFit="1" customWidth="1"/>
    <col min="9748" max="9974" width="9" style="2"/>
    <col min="9975" max="9975" width="2.375" style="2" customWidth="1"/>
    <col min="9976" max="9976" width="13.25" style="2" bestFit="1" customWidth="1"/>
    <col min="9977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91" width="11.125" style="2" bestFit="1" customWidth="1"/>
    <col min="9992" max="9992" width="9" style="2"/>
    <col min="9993" max="9994" width="11.125" style="2" bestFit="1" customWidth="1"/>
    <col min="9995" max="9996" width="9" style="2"/>
    <col min="9997" max="10001" width="11.125" style="2" bestFit="1" customWidth="1"/>
    <col min="10002" max="10002" width="9" style="2"/>
    <col min="10003" max="10003" width="9.625" style="2" bestFit="1" customWidth="1"/>
    <col min="10004" max="10230" width="9" style="2"/>
    <col min="10231" max="10231" width="2.375" style="2" customWidth="1"/>
    <col min="10232" max="10232" width="13.25" style="2" bestFit="1" customWidth="1"/>
    <col min="10233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47" width="11.125" style="2" bestFit="1" customWidth="1"/>
    <col min="10248" max="10248" width="9" style="2"/>
    <col min="10249" max="10250" width="11.125" style="2" bestFit="1" customWidth="1"/>
    <col min="10251" max="10252" width="9" style="2"/>
    <col min="10253" max="10257" width="11.125" style="2" bestFit="1" customWidth="1"/>
    <col min="10258" max="10258" width="9" style="2"/>
    <col min="10259" max="10259" width="9.625" style="2" bestFit="1" customWidth="1"/>
    <col min="10260" max="10486" width="9" style="2"/>
    <col min="10487" max="10487" width="2.375" style="2" customWidth="1"/>
    <col min="10488" max="10488" width="13.25" style="2" bestFit="1" customWidth="1"/>
    <col min="10489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503" width="11.125" style="2" bestFit="1" customWidth="1"/>
    <col min="10504" max="10504" width="9" style="2"/>
    <col min="10505" max="10506" width="11.125" style="2" bestFit="1" customWidth="1"/>
    <col min="10507" max="10508" width="9" style="2"/>
    <col min="10509" max="10513" width="11.125" style="2" bestFit="1" customWidth="1"/>
    <col min="10514" max="10514" width="9" style="2"/>
    <col min="10515" max="10515" width="9.625" style="2" bestFit="1" customWidth="1"/>
    <col min="10516" max="10742" width="9" style="2"/>
    <col min="10743" max="10743" width="2.375" style="2" customWidth="1"/>
    <col min="10744" max="10744" width="13.25" style="2" bestFit="1" customWidth="1"/>
    <col min="10745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59" width="11.125" style="2" bestFit="1" customWidth="1"/>
    <col min="10760" max="10760" width="9" style="2"/>
    <col min="10761" max="10762" width="11.125" style="2" bestFit="1" customWidth="1"/>
    <col min="10763" max="10764" width="9" style="2"/>
    <col min="10765" max="10769" width="11.125" style="2" bestFit="1" customWidth="1"/>
    <col min="10770" max="10770" width="9" style="2"/>
    <col min="10771" max="10771" width="9.625" style="2" bestFit="1" customWidth="1"/>
    <col min="10772" max="10998" width="9" style="2"/>
    <col min="10999" max="10999" width="2.375" style="2" customWidth="1"/>
    <col min="11000" max="11000" width="13.25" style="2" bestFit="1" customWidth="1"/>
    <col min="11001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15" width="11.125" style="2" bestFit="1" customWidth="1"/>
    <col min="11016" max="11016" width="9" style="2"/>
    <col min="11017" max="11018" width="11.125" style="2" bestFit="1" customWidth="1"/>
    <col min="11019" max="11020" width="9" style="2"/>
    <col min="11021" max="11025" width="11.125" style="2" bestFit="1" customWidth="1"/>
    <col min="11026" max="11026" width="9" style="2"/>
    <col min="11027" max="11027" width="9.625" style="2" bestFit="1" customWidth="1"/>
    <col min="11028" max="11254" width="9" style="2"/>
    <col min="11255" max="11255" width="2.375" style="2" customWidth="1"/>
    <col min="11256" max="11256" width="13.25" style="2" bestFit="1" customWidth="1"/>
    <col min="11257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71" width="11.125" style="2" bestFit="1" customWidth="1"/>
    <col min="11272" max="11272" width="9" style="2"/>
    <col min="11273" max="11274" width="11.125" style="2" bestFit="1" customWidth="1"/>
    <col min="11275" max="11276" width="9" style="2"/>
    <col min="11277" max="11281" width="11.125" style="2" bestFit="1" customWidth="1"/>
    <col min="11282" max="11282" width="9" style="2"/>
    <col min="11283" max="11283" width="9.625" style="2" bestFit="1" customWidth="1"/>
    <col min="11284" max="11510" width="9" style="2"/>
    <col min="11511" max="11511" width="2.375" style="2" customWidth="1"/>
    <col min="11512" max="11512" width="13.25" style="2" bestFit="1" customWidth="1"/>
    <col min="11513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27" width="11.125" style="2" bestFit="1" customWidth="1"/>
    <col min="11528" max="11528" width="9" style="2"/>
    <col min="11529" max="11530" width="11.125" style="2" bestFit="1" customWidth="1"/>
    <col min="11531" max="11532" width="9" style="2"/>
    <col min="11533" max="11537" width="11.125" style="2" bestFit="1" customWidth="1"/>
    <col min="11538" max="11538" width="9" style="2"/>
    <col min="11539" max="11539" width="9.625" style="2" bestFit="1" customWidth="1"/>
    <col min="11540" max="11766" width="9" style="2"/>
    <col min="11767" max="11767" width="2.375" style="2" customWidth="1"/>
    <col min="11768" max="11768" width="13.25" style="2" bestFit="1" customWidth="1"/>
    <col min="11769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83" width="11.125" style="2" bestFit="1" customWidth="1"/>
    <col min="11784" max="11784" width="9" style="2"/>
    <col min="11785" max="11786" width="11.125" style="2" bestFit="1" customWidth="1"/>
    <col min="11787" max="11788" width="9" style="2"/>
    <col min="11789" max="11793" width="11.125" style="2" bestFit="1" customWidth="1"/>
    <col min="11794" max="11794" width="9" style="2"/>
    <col min="11795" max="11795" width="9.625" style="2" bestFit="1" customWidth="1"/>
    <col min="11796" max="12022" width="9" style="2"/>
    <col min="12023" max="12023" width="2.375" style="2" customWidth="1"/>
    <col min="12024" max="12024" width="13.25" style="2" bestFit="1" customWidth="1"/>
    <col min="12025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39" width="11.125" style="2" bestFit="1" customWidth="1"/>
    <col min="12040" max="12040" width="9" style="2"/>
    <col min="12041" max="12042" width="11.125" style="2" bestFit="1" customWidth="1"/>
    <col min="12043" max="12044" width="9" style="2"/>
    <col min="12045" max="12049" width="11.125" style="2" bestFit="1" customWidth="1"/>
    <col min="12050" max="12050" width="9" style="2"/>
    <col min="12051" max="12051" width="9.625" style="2" bestFit="1" customWidth="1"/>
    <col min="12052" max="12278" width="9" style="2"/>
    <col min="12279" max="12279" width="2.375" style="2" customWidth="1"/>
    <col min="12280" max="12280" width="13.25" style="2" bestFit="1" customWidth="1"/>
    <col min="12281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95" width="11.125" style="2" bestFit="1" customWidth="1"/>
    <col min="12296" max="12296" width="9" style="2"/>
    <col min="12297" max="12298" width="11.125" style="2" bestFit="1" customWidth="1"/>
    <col min="12299" max="12300" width="9" style="2"/>
    <col min="12301" max="12305" width="11.125" style="2" bestFit="1" customWidth="1"/>
    <col min="12306" max="12306" width="9" style="2"/>
    <col min="12307" max="12307" width="9.625" style="2" bestFit="1" customWidth="1"/>
    <col min="12308" max="12534" width="9" style="2"/>
    <col min="12535" max="12535" width="2.375" style="2" customWidth="1"/>
    <col min="12536" max="12536" width="13.25" style="2" bestFit="1" customWidth="1"/>
    <col min="12537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51" width="11.125" style="2" bestFit="1" customWidth="1"/>
    <col min="12552" max="12552" width="9" style="2"/>
    <col min="12553" max="12554" width="11.125" style="2" bestFit="1" customWidth="1"/>
    <col min="12555" max="12556" width="9" style="2"/>
    <col min="12557" max="12561" width="11.125" style="2" bestFit="1" customWidth="1"/>
    <col min="12562" max="12562" width="9" style="2"/>
    <col min="12563" max="12563" width="9.625" style="2" bestFit="1" customWidth="1"/>
    <col min="12564" max="12790" width="9" style="2"/>
    <col min="12791" max="12791" width="2.375" style="2" customWidth="1"/>
    <col min="12792" max="12792" width="13.25" style="2" bestFit="1" customWidth="1"/>
    <col min="12793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807" width="11.125" style="2" bestFit="1" customWidth="1"/>
    <col min="12808" max="12808" width="9" style="2"/>
    <col min="12809" max="12810" width="11.125" style="2" bestFit="1" customWidth="1"/>
    <col min="12811" max="12812" width="9" style="2"/>
    <col min="12813" max="12817" width="11.125" style="2" bestFit="1" customWidth="1"/>
    <col min="12818" max="12818" width="9" style="2"/>
    <col min="12819" max="12819" width="9.625" style="2" bestFit="1" customWidth="1"/>
    <col min="12820" max="13046" width="9" style="2"/>
    <col min="13047" max="13047" width="2.375" style="2" customWidth="1"/>
    <col min="13048" max="13048" width="13.25" style="2" bestFit="1" customWidth="1"/>
    <col min="13049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63" width="11.125" style="2" bestFit="1" customWidth="1"/>
    <col min="13064" max="13064" width="9" style="2"/>
    <col min="13065" max="13066" width="11.125" style="2" bestFit="1" customWidth="1"/>
    <col min="13067" max="13068" width="9" style="2"/>
    <col min="13069" max="13073" width="11.125" style="2" bestFit="1" customWidth="1"/>
    <col min="13074" max="13074" width="9" style="2"/>
    <col min="13075" max="13075" width="9.625" style="2" bestFit="1" customWidth="1"/>
    <col min="13076" max="13302" width="9" style="2"/>
    <col min="13303" max="13303" width="2.375" style="2" customWidth="1"/>
    <col min="13304" max="13304" width="13.25" style="2" bestFit="1" customWidth="1"/>
    <col min="13305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19" width="11.125" style="2" bestFit="1" customWidth="1"/>
    <col min="13320" max="13320" width="9" style="2"/>
    <col min="13321" max="13322" width="11.125" style="2" bestFit="1" customWidth="1"/>
    <col min="13323" max="13324" width="9" style="2"/>
    <col min="13325" max="13329" width="11.125" style="2" bestFit="1" customWidth="1"/>
    <col min="13330" max="13330" width="9" style="2"/>
    <col min="13331" max="13331" width="9.625" style="2" bestFit="1" customWidth="1"/>
    <col min="13332" max="13558" width="9" style="2"/>
    <col min="13559" max="13559" width="2.375" style="2" customWidth="1"/>
    <col min="13560" max="13560" width="13.25" style="2" bestFit="1" customWidth="1"/>
    <col min="13561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75" width="11.125" style="2" bestFit="1" customWidth="1"/>
    <col min="13576" max="13576" width="9" style="2"/>
    <col min="13577" max="13578" width="11.125" style="2" bestFit="1" customWidth="1"/>
    <col min="13579" max="13580" width="9" style="2"/>
    <col min="13581" max="13585" width="11.125" style="2" bestFit="1" customWidth="1"/>
    <col min="13586" max="13586" width="9" style="2"/>
    <col min="13587" max="13587" width="9.625" style="2" bestFit="1" customWidth="1"/>
    <col min="13588" max="13814" width="9" style="2"/>
    <col min="13815" max="13815" width="2.375" style="2" customWidth="1"/>
    <col min="13816" max="13816" width="13.25" style="2" bestFit="1" customWidth="1"/>
    <col min="13817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31" width="11.125" style="2" bestFit="1" customWidth="1"/>
    <col min="13832" max="13832" width="9" style="2"/>
    <col min="13833" max="13834" width="11.125" style="2" bestFit="1" customWidth="1"/>
    <col min="13835" max="13836" width="9" style="2"/>
    <col min="13837" max="13841" width="11.125" style="2" bestFit="1" customWidth="1"/>
    <col min="13842" max="13842" width="9" style="2"/>
    <col min="13843" max="13843" width="9.625" style="2" bestFit="1" customWidth="1"/>
    <col min="13844" max="14070" width="9" style="2"/>
    <col min="14071" max="14071" width="2.375" style="2" customWidth="1"/>
    <col min="14072" max="14072" width="13.25" style="2" bestFit="1" customWidth="1"/>
    <col min="14073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87" width="11.125" style="2" bestFit="1" customWidth="1"/>
    <col min="14088" max="14088" width="9" style="2"/>
    <col min="14089" max="14090" width="11.125" style="2" bestFit="1" customWidth="1"/>
    <col min="14091" max="14092" width="9" style="2"/>
    <col min="14093" max="14097" width="11.125" style="2" bestFit="1" customWidth="1"/>
    <col min="14098" max="14098" width="9" style="2"/>
    <col min="14099" max="14099" width="9.625" style="2" bestFit="1" customWidth="1"/>
    <col min="14100" max="14326" width="9" style="2"/>
    <col min="14327" max="14327" width="2.375" style="2" customWidth="1"/>
    <col min="14328" max="14328" width="13.25" style="2" bestFit="1" customWidth="1"/>
    <col min="14329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43" width="11.125" style="2" bestFit="1" customWidth="1"/>
    <col min="14344" max="14344" width="9" style="2"/>
    <col min="14345" max="14346" width="11.125" style="2" bestFit="1" customWidth="1"/>
    <col min="14347" max="14348" width="9" style="2"/>
    <col min="14349" max="14353" width="11.125" style="2" bestFit="1" customWidth="1"/>
    <col min="14354" max="14354" width="9" style="2"/>
    <col min="14355" max="14355" width="9.625" style="2" bestFit="1" customWidth="1"/>
    <col min="14356" max="14582" width="9" style="2"/>
    <col min="14583" max="14583" width="2.375" style="2" customWidth="1"/>
    <col min="14584" max="14584" width="13.25" style="2" bestFit="1" customWidth="1"/>
    <col min="14585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99" width="11.125" style="2" bestFit="1" customWidth="1"/>
    <col min="14600" max="14600" width="9" style="2"/>
    <col min="14601" max="14602" width="11.125" style="2" bestFit="1" customWidth="1"/>
    <col min="14603" max="14604" width="9" style="2"/>
    <col min="14605" max="14609" width="11.125" style="2" bestFit="1" customWidth="1"/>
    <col min="14610" max="14610" width="9" style="2"/>
    <col min="14611" max="14611" width="9.625" style="2" bestFit="1" customWidth="1"/>
    <col min="14612" max="14838" width="9" style="2"/>
    <col min="14839" max="14839" width="2.375" style="2" customWidth="1"/>
    <col min="14840" max="14840" width="13.25" style="2" bestFit="1" customWidth="1"/>
    <col min="14841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55" width="11.125" style="2" bestFit="1" customWidth="1"/>
    <col min="14856" max="14856" width="9" style="2"/>
    <col min="14857" max="14858" width="11.125" style="2" bestFit="1" customWidth="1"/>
    <col min="14859" max="14860" width="9" style="2"/>
    <col min="14861" max="14865" width="11.125" style="2" bestFit="1" customWidth="1"/>
    <col min="14866" max="14866" width="9" style="2"/>
    <col min="14867" max="14867" width="9.625" style="2" bestFit="1" customWidth="1"/>
    <col min="14868" max="15094" width="9" style="2"/>
    <col min="15095" max="15095" width="2.375" style="2" customWidth="1"/>
    <col min="15096" max="15096" width="13.25" style="2" bestFit="1" customWidth="1"/>
    <col min="15097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11" width="11.125" style="2" bestFit="1" customWidth="1"/>
    <col min="15112" max="15112" width="9" style="2"/>
    <col min="15113" max="15114" width="11.125" style="2" bestFit="1" customWidth="1"/>
    <col min="15115" max="15116" width="9" style="2"/>
    <col min="15117" max="15121" width="11.125" style="2" bestFit="1" customWidth="1"/>
    <col min="15122" max="15122" width="9" style="2"/>
    <col min="15123" max="15123" width="9.625" style="2" bestFit="1" customWidth="1"/>
    <col min="15124" max="15350" width="9" style="2"/>
    <col min="15351" max="15351" width="2.375" style="2" customWidth="1"/>
    <col min="15352" max="15352" width="13.25" style="2" bestFit="1" customWidth="1"/>
    <col min="15353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67" width="11.125" style="2" bestFit="1" customWidth="1"/>
    <col min="15368" max="15368" width="9" style="2"/>
    <col min="15369" max="15370" width="11.125" style="2" bestFit="1" customWidth="1"/>
    <col min="15371" max="15372" width="9" style="2"/>
    <col min="15373" max="15377" width="11.125" style="2" bestFit="1" customWidth="1"/>
    <col min="15378" max="15378" width="9" style="2"/>
    <col min="15379" max="15379" width="9.625" style="2" bestFit="1" customWidth="1"/>
    <col min="15380" max="15606" width="9" style="2"/>
    <col min="15607" max="15607" width="2.375" style="2" customWidth="1"/>
    <col min="15608" max="15608" width="13.25" style="2" bestFit="1" customWidth="1"/>
    <col min="15609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23" width="11.125" style="2" bestFit="1" customWidth="1"/>
    <col min="15624" max="15624" width="9" style="2"/>
    <col min="15625" max="15626" width="11.125" style="2" bestFit="1" customWidth="1"/>
    <col min="15627" max="15628" width="9" style="2"/>
    <col min="15629" max="15633" width="11.125" style="2" bestFit="1" customWidth="1"/>
    <col min="15634" max="15634" width="9" style="2"/>
    <col min="15635" max="15635" width="9.625" style="2" bestFit="1" customWidth="1"/>
    <col min="15636" max="15862" width="9" style="2"/>
    <col min="15863" max="15863" width="2.375" style="2" customWidth="1"/>
    <col min="15864" max="15864" width="13.25" style="2" bestFit="1" customWidth="1"/>
    <col min="15865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79" width="11.125" style="2" bestFit="1" customWidth="1"/>
    <col min="15880" max="15880" width="9" style="2"/>
    <col min="15881" max="15882" width="11.125" style="2" bestFit="1" customWidth="1"/>
    <col min="15883" max="15884" width="9" style="2"/>
    <col min="15885" max="15889" width="11.125" style="2" bestFit="1" customWidth="1"/>
    <col min="15890" max="15890" width="9" style="2"/>
    <col min="15891" max="15891" width="9.625" style="2" bestFit="1" customWidth="1"/>
    <col min="15892" max="16118" width="9" style="2"/>
    <col min="16119" max="16119" width="2.375" style="2" customWidth="1"/>
    <col min="16120" max="16120" width="13.25" style="2" bestFit="1" customWidth="1"/>
    <col min="16121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35" width="11.125" style="2" bestFit="1" customWidth="1"/>
    <col min="16136" max="16136" width="9" style="2"/>
    <col min="16137" max="16138" width="11.125" style="2" bestFit="1" customWidth="1"/>
    <col min="16139" max="16140" width="9" style="2"/>
    <col min="16141" max="16145" width="11.125" style="2" bestFit="1" customWidth="1"/>
    <col min="16146" max="16146" width="9" style="2"/>
    <col min="16147" max="16147" width="9.625" style="2" bestFit="1" customWidth="1"/>
    <col min="16148" max="16384" width="9" style="2"/>
  </cols>
  <sheetData>
    <row r="1" spans="1:19">
      <c r="A1" s="1" t="s">
        <v>0</v>
      </c>
    </row>
    <row r="2" spans="1:19">
      <c r="A2" s="1"/>
    </row>
    <row r="3" spans="1:19">
      <c r="A3" s="1" t="s">
        <v>1</v>
      </c>
    </row>
    <row r="4" spans="1:19">
      <c r="A4" s="1" t="s">
        <v>2</v>
      </c>
    </row>
    <row r="5" spans="1:19">
      <c r="A5" s="1" t="s">
        <v>3</v>
      </c>
    </row>
    <row r="6" spans="1:19" ht="19.5" thickBot="1">
      <c r="A6" s="1" t="s">
        <v>106</v>
      </c>
    </row>
    <row r="7" spans="1:19">
      <c r="B7" s="15"/>
      <c r="C7" s="23" t="s">
        <v>4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16</v>
      </c>
      <c r="M7" s="4" t="s">
        <v>17</v>
      </c>
      <c r="N7" s="4" t="s">
        <v>18</v>
      </c>
      <c r="O7" s="4" t="s">
        <v>19</v>
      </c>
      <c r="P7" s="4" t="s">
        <v>20</v>
      </c>
      <c r="Q7" s="4" t="s">
        <v>22</v>
      </c>
      <c r="R7" s="24" t="s">
        <v>23</v>
      </c>
      <c r="S7" s="95" t="s">
        <v>107</v>
      </c>
    </row>
    <row r="8" spans="1:19" ht="19.5" thickBot="1">
      <c r="A8" s="3"/>
      <c r="B8" s="56" t="s">
        <v>30</v>
      </c>
      <c r="C8" s="57" t="s">
        <v>31</v>
      </c>
      <c r="D8" s="58" t="s">
        <v>34</v>
      </c>
      <c r="E8" s="58" t="s">
        <v>35</v>
      </c>
      <c r="F8" s="58" t="s">
        <v>36</v>
      </c>
      <c r="G8" s="58" t="s">
        <v>37</v>
      </c>
      <c r="H8" s="58" t="s">
        <v>38</v>
      </c>
      <c r="I8" s="58" t="s">
        <v>39</v>
      </c>
      <c r="J8" s="58" t="s">
        <v>40</v>
      </c>
      <c r="K8" s="58" t="s">
        <v>41</v>
      </c>
      <c r="L8" s="58" t="s">
        <v>43</v>
      </c>
      <c r="M8" s="58" t="s">
        <v>44</v>
      </c>
      <c r="N8" s="58" t="s">
        <v>45</v>
      </c>
      <c r="O8" s="58" t="s">
        <v>46</v>
      </c>
      <c r="P8" s="58" t="s">
        <v>47</v>
      </c>
      <c r="Q8" s="58" t="s">
        <v>49</v>
      </c>
      <c r="R8" s="59" t="s">
        <v>50</v>
      </c>
      <c r="S8" s="60" t="s">
        <v>108</v>
      </c>
    </row>
    <row r="9" spans="1:19">
      <c r="A9" s="1" t="s">
        <v>3</v>
      </c>
      <c r="B9" s="48" t="s">
        <v>58</v>
      </c>
      <c r="C9" s="49">
        <v>21</v>
      </c>
      <c r="D9" s="50">
        <v>21</v>
      </c>
      <c r="E9" s="50">
        <v>21</v>
      </c>
      <c r="F9" s="50">
        <v>19</v>
      </c>
      <c r="G9" s="50">
        <v>20</v>
      </c>
      <c r="H9" s="50">
        <v>22</v>
      </c>
      <c r="I9" s="50">
        <v>22</v>
      </c>
      <c r="J9" s="50">
        <v>21</v>
      </c>
      <c r="K9" s="50">
        <v>23</v>
      </c>
      <c r="L9" s="50">
        <v>23</v>
      </c>
      <c r="M9" s="50">
        <v>21</v>
      </c>
      <c r="N9" s="50">
        <v>22</v>
      </c>
      <c r="O9" s="50">
        <v>23</v>
      </c>
      <c r="P9" s="50">
        <v>21</v>
      </c>
      <c r="Q9" s="50">
        <v>11</v>
      </c>
      <c r="R9" s="51">
        <v>14</v>
      </c>
      <c r="S9" s="52">
        <f>SUM(C9:R9)</f>
        <v>325</v>
      </c>
    </row>
    <row r="10" spans="1:19">
      <c r="A10" s="1" t="s">
        <v>3</v>
      </c>
      <c r="B10" s="16" t="s">
        <v>59</v>
      </c>
      <c r="C10" s="25">
        <v>3</v>
      </c>
      <c r="D10" s="5">
        <v>3</v>
      </c>
      <c r="E10" s="5">
        <v>1</v>
      </c>
      <c r="F10" s="5">
        <v>3</v>
      </c>
      <c r="G10" s="5">
        <v>3</v>
      </c>
      <c r="H10" s="5">
        <v>3</v>
      </c>
      <c r="I10" s="5">
        <v>2</v>
      </c>
      <c r="J10" s="5">
        <v>3</v>
      </c>
      <c r="K10" s="5">
        <v>1</v>
      </c>
      <c r="L10" s="5">
        <v>2</v>
      </c>
      <c r="M10" s="5">
        <v>3</v>
      </c>
      <c r="N10" s="5">
        <v>3</v>
      </c>
      <c r="O10" s="5">
        <v>2</v>
      </c>
      <c r="P10" s="5">
        <v>3</v>
      </c>
      <c r="Q10" s="5">
        <v>1</v>
      </c>
      <c r="R10" s="6">
        <v>1</v>
      </c>
      <c r="S10" s="31">
        <f t="shared" ref="S10:S22" si="0">SUM(C10:R10)</f>
        <v>37</v>
      </c>
    </row>
    <row r="11" spans="1:19">
      <c r="A11" s="1" t="s">
        <v>3</v>
      </c>
      <c r="B11" s="16" t="s">
        <v>60</v>
      </c>
      <c r="C11" s="25">
        <v>3</v>
      </c>
      <c r="D11" s="5">
        <v>2</v>
      </c>
      <c r="E11" s="5">
        <v>1</v>
      </c>
      <c r="F11" s="5">
        <v>1</v>
      </c>
      <c r="G11" s="5">
        <v>3</v>
      </c>
      <c r="H11" s="5">
        <v>1</v>
      </c>
      <c r="I11" s="5">
        <v>2</v>
      </c>
      <c r="J11" s="5">
        <v>2</v>
      </c>
      <c r="K11" s="5">
        <v>3</v>
      </c>
      <c r="L11" s="5">
        <v>1</v>
      </c>
      <c r="M11" s="5">
        <v>0</v>
      </c>
      <c r="N11" s="5">
        <v>0</v>
      </c>
      <c r="O11" s="5">
        <v>0</v>
      </c>
      <c r="P11" s="5">
        <v>1</v>
      </c>
      <c r="Q11" s="5">
        <v>2</v>
      </c>
      <c r="R11" s="6">
        <v>1</v>
      </c>
      <c r="S11" s="31">
        <f t="shared" si="0"/>
        <v>23</v>
      </c>
    </row>
    <row r="12" spans="1:19">
      <c r="A12" s="1" t="s">
        <v>3</v>
      </c>
      <c r="B12" s="16" t="s">
        <v>61</v>
      </c>
      <c r="C12" s="2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5">
        <v>1</v>
      </c>
      <c r="Q12" s="5">
        <v>0</v>
      </c>
      <c r="R12" s="6">
        <v>0</v>
      </c>
      <c r="S12" s="31">
        <f t="shared" si="0"/>
        <v>2</v>
      </c>
    </row>
    <row r="13" spans="1:19">
      <c r="A13" s="1" t="s">
        <v>3</v>
      </c>
      <c r="B13" s="16" t="s">
        <v>62</v>
      </c>
      <c r="C13" s="25">
        <v>2</v>
      </c>
      <c r="D13" s="5">
        <v>2</v>
      </c>
      <c r="E13" s="5">
        <v>2</v>
      </c>
      <c r="F13" s="5">
        <v>3</v>
      </c>
      <c r="G13" s="5">
        <v>2</v>
      </c>
      <c r="H13" s="5">
        <v>1</v>
      </c>
      <c r="I13" s="5">
        <v>1</v>
      </c>
      <c r="J13" s="5">
        <v>2</v>
      </c>
      <c r="K13" s="5">
        <v>0</v>
      </c>
      <c r="L13" s="5">
        <v>0</v>
      </c>
      <c r="M13" s="5">
        <v>2</v>
      </c>
      <c r="N13" s="5">
        <v>0</v>
      </c>
      <c r="O13" s="5">
        <v>0</v>
      </c>
      <c r="P13" s="5">
        <v>1</v>
      </c>
      <c r="Q13" s="5">
        <v>8</v>
      </c>
      <c r="R13" s="6">
        <v>0</v>
      </c>
      <c r="S13" s="31">
        <f t="shared" si="0"/>
        <v>26</v>
      </c>
    </row>
    <row r="14" spans="1:19">
      <c r="A14" s="1" t="s">
        <v>3</v>
      </c>
      <c r="B14" s="16" t="s">
        <v>63</v>
      </c>
      <c r="C14" s="25">
        <v>0</v>
      </c>
      <c r="D14" s="5">
        <v>0</v>
      </c>
      <c r="E14" s="5">
        <v>0</v>
      </c>
      <c r="F14" s="5">
        <v>1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6">
        <v>0</v>
      </c>
      <c r="S14" s="31">
        <f t="shared" si="0"/>
        <v>2</v>
      </c>
    </row>
    <row r="15" spans="1:19">
      <c r="A15" s="1" t="s">
        <v>3</v>
      </c>
      <c r="B15" s="16" t="s">
        <v>64</v>
      </c>
      <c r="C15" s="2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4</v>
      </c>
      <c r="R15" s="6">
        <v>9</v>
      </c>
      <c r="S15" s="31">
        <f t="shared" si="0"/>
        <v>13</v>
      </c>
    </row>
    <row r="16" spans="1:19">
      <c r="A16" s="1" t="s">
        <v>3</v>
      </c>
      <c r="B16" s="16" t="s">
        <v>65</v>
      </c>
      <c r="C16" s="26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8">
        <v>0</v>
      </c>
      <c r="S16" s="32">
        <f t="shared" si="0"/>
        <v>0</v>
      </c>
    </row>
    <row r="17" spans="1:19">
      <c r="A17" s="1" t="s">
        <v>3</v>
      </c>
      <c r="B17" s="16" t="s">
        <v>66</v>
      </c>
      <c r="C17" s="26">
        <v>0.66666666666666663</v>
      </c>
      <c r="D17" s="7">
        <v>1.6666666666666665</v>
      </c>
      <c r="E17" s="7">
        <v>1.7916666666666665</v>
      </c>
      <c r="F17" s="7">
        <v>1.7916666666666665</v>
      </c>
      <c r="G17" s="7">
        <v>1.625</v>
      </c>
      <c r="H17" s="7">
        <v>1.75</v>
      </c>
      <c r="I17" s="7">
        <v>1.5</v>
      </c>
      <c r="J17" s="7">
        <v>2.0416666666666665</v>
      </c>
      <c r="K17" s="7">
        <v>1.625</v>
      </c>
      <c r="L17" s="7">
        <v>1.2083333333333333</v>
      </c>
      <c r="M17" s="7">
        <v>0.95833333333333337</v>
      </c>
      <c r="N17" s="7">
        <v>2.7916666666666665</v>
      </c>
      <c r="O17" s="7">
        <v>2.75</v>
      </c>
      <c r="P17" s="7">
        <v>1.125</v>
      </c>
      <c r="Q17" s="7">
        <v>0.625</v>
      </c>
      <c r="R17" s="8">
        <v>0.95833333333333337</v>
      </c>
      <c r="S17" s="32">
        <f t="shared" si="0"/>
        <v>24.875</v>
      </c>
    </row>
    <row r="18" spans="1:19">
      <c r="A18" s="1" t="s">
        <v>3</v>
      </c>
      <c r="B18" s="16" t="s">
        <v>67</v>
      </c>
      <c r="C18" s="26">
        <v>1.125</v>
      </c>
      <c r="D18" s="7">
        <v>1.25</v>
      </c>
      <c r="E18" s="7">
        <v>0.33333333333333331</v>
      </c>
      <c r="F18" s="7">
        <v>1.2916666666666667</v>
      </c>
      <c r="G18" s="7">
        <v>1.1666666666666667</v>
      </c>
      <c r="H18" s="7">
        <v>0.91666666666666663</v>
      </c>
      <c r="I18" s="7">
        <v>0.75</v>
      </c>
      <c r="J18" s="7">
        <v>1.25</v>
      </c>
      <c r="K18" s="7">
        <v>0.45833333333333331</v>
      </c>
      <c r="L18" s="7">
        <v>0.875</v>
      </c>
      <c r="M18" s="7">
        <v>1</v>
      </c>
      <c r="N18" s="7">
        <v>0.58333333333333337</v>
      </c>
      <c r="O18" s="7">
        <v>0.625</v>
      </c>
      <c r="P18" s="7">
        <v>0.45833333333333331</v>
      </c>
      <c r="Q18" s="7">
        <v>0.33333333333333331</v>
      </c>
      <c r="R18" s="8">
        <v>0.375</v>
      </c>
      <c r="S18" s="32">
        <f t="shared" si="0"/>
        <v>12.79166666666667</v>
      </c>
    </row>
    <row r="19" spans="1:19">
      <c r="A19" s="1" t="s">
        <v>3</v>
      </c>
      <c r="B19" s="16" t="s">
        <v>68</v>
      </c>
      <c r="C19" s="26">
        <v>0.75</v>
      </c>
      <c r="D19" s="7">
        <v>0.95833333333333337</v>
      </c>
      <c r="E19" s="7">
        <v>0.41666666666666669</v>
      </c>
      <c r="F19" s="7">
        <v>0.41666666666666669</v>
      </c>
      <c r="G19" s="7">
        <v>1</v>
      </c>
      <c r="H19" s="7">
        <v>0.33333333333333331</v>
      </c>
      <c r="I19" s="7">
        <v>0.54166666666666663</v>
      </c>
      <c r="J19" s="7">
        <v>0.58333333333333337</v>
      </c>
      <c r="K19" s="7">
        <v>0.91666666666666663</v>
      </c>
      <c r="L19" s="7">
        <v>0.20833333333333334</v>
      </c>
      <c r="M19" s="7">
        <v>0</v>
      </c>
      <c r="N19" s="7">
        <v>0</v>
      </c>
      <c r="O19" s="7">
        <v>0</v>
      </c>
      <c r="P19" s="7">
        <v>0.29166666666666669</v>
      </c>
      <c r="Q19" s="7">
        <v>0.41666666666666669</v>
      </c>
      <c r="R19" s="8">
        <v>0.33333333333333331</v>
      </c>
      <c r="S19" s="32">
        <f t="shared" si="0"/>
        <v>7.166666666666667</v>
      </c>
    </row>
    <row r="20" spans="1:19">
      <c r="A20" s="1" t="s">
        <v>3</v>
      </c>
      <c r="B20" s="16" t="s">
        <v>69</v>
      </c>
      <c r="C20" s="26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8.3333333333333329E-2</v>
      </c>
      <c r="O20" s="7">
        <v>0</v>
      </c>
      <c r="P20" s="7">
        <v>0.20833333333333334</v>
      </c>
      <c r="Q20" s="7">
        <v>0</v>
      </c>
      <c r="R20" s="8">
        <v>0</v>
      </c>
      <c r="S20" s="32">
        <f t="shared" si="0"/>
        <v>0.29166666666666669</v>
      </c>
    </row>
    <row r="21" spans="1:19">
      <c r="A21" s="1" t="s">
        <v>3</v>
      </c>
      <c r="B21" s="16" t="s">
        <v>70</v>
      </c>
      <c r="C21" s="2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0.29166666666666669</v>
      </c>
      <c r="O21" s="7">
        <v>0.25</v>
      </c>
      <c r="P21" s="7">
        <v>0</v>
      </c>
      <c r="Q21" s="7">
        <v>0</v>
      </c>
      <c r="R21" s="8">
        <v>0</v>
      </c>
      <c r="S21" s="32">
        <f t="shared" si="0"/>
        <v>0.54166666666666674</v>
      </c>
    </row>
    <row r="22" spans="1:19">
      <c r="A22" s="1" t="s">
        <v>3</v>
      </c>
      <c r="B22" s="16" t="s">
        <v>71</v>
      </c>
      <c r="C22" s="26">
        <v>0.33333333333333331</v>
      </c>
      <c r="D22" s="7">
        <v>0.70833333333333337</v>
      </c>
      <c r="E22" s="7">
        <v>0.75</v>
      </c>
      <c r="F22" s="7">
        <v>2.375</v>
      </c>
      <c r="G22" s="7">
        <v>8.3333333333333329E-2</v>
      </c>
      <c r="H22" s="7">
        <v>0.29166666666666669</v>
      </c>
      <c r="I22" s="7">
        <v>0.375</v>
      </c>
      <c r="J22" s="7">
        <v>0.91666666666666663</v>
      </c>
      <c r="K22" s="7">
        <v>0.83333333333333337</v>
      </c>
      <c r="L22" s="7">
        <v>0.5</v>
      </c>
      <c r="M22" s="7">
        <v>0.125</v>
      </c>
      <c r="N22" s="7">
        <v>1.4583333333333333</v>
      </c>
      <c r="O22" s="7">
        <v>1.4166666666666667</v>
      </c>
      <c r="P22" s="7">
        <v>0.625</v>
      </c>
      <c r="Q22" s="7">
        <v>0.125</v>
      </c>
      <c r="R22" s="8">
        <v>0.125</v>
      </c>
      <c r="S22" s="32">
        <f t="shared" si="0"/>
        <v>11.041666666666666</v>
      </c>
    </row>
    <row r="23" spans="1:19">
      <c r="A23" s="1" t="s">
        <v>3</v>
      </c>
      <c r="B23" s="71" t="s">
        <v>72</v>
      </c>
      <c r="C23" s="72">
        <v>6.5</v>
      </c>
      <c r="D23" s="73">
        <v>22</v>
      </c>
      <c r="E23" s="73">
        <v>29</v>
      </c>
      <c r="F23" s="73">
        <v>19</v>
      </c>
      <c r="G23" s="73">
        <v>14</v>
      </c>
      <c r="H23" s="73">
        <v>29</v>
      </c>
      <c r="I23" s="73">
        <v>23.5</v>
      </c>
      <c r="J23" s="73">
        <v>25.5</v>
      </c>
      <c r="K23" s="73">
        <v>27</v>
      </c>
      <c r="L23" s="73">
        <v>23.5</v>
      </c>
      <c r="M23" s="73">
        <v>24</v>
      </c>
      <c r="N23" s="73">
        <v>12</v>
      </c>
      <c r="O23" s="73">
        <v>12</v>
      </c>
      <c r="P23" s="73">
        <v>22</v>
      </c>
      <c r="Q23" s="73">
        <v>0</v>
      </c>
      <c r="R23" s="74">
        <v>0</v>
      </c>
      <c r="S23" s="75"/>
    </row>
    <row r="24" spans="1:19">
      <c r="A24" s="1" t="s">
        <v>3</v>
      </c>
      <c r="B24" s="48" t="s">
        <v>73</v>
      </c>
      <c r="C24" s="64">
        <v>182000</v>
      </c>
      <c r="D24" s="65">
        <v>197000</v>
      </c>
      <c r="E24" s="65">
        <v>197000</v>
      </c>
      <c r="F24" s="65">
        <v>175000</v>
      </c>
      <c r="G24" s="65">
        <v>182000</v>
      </c>
      <c r="H24" s="65">
        <v>187000</v>
      </c>
      <c r="I24" s="65">
        <v>182000</v>
      </c>
      <c r="J24" s="65">
        <v>197000</v>
      </c>
      <c r="K24" s="65">
        <v>197000</v>
      </c>
      <c r="L24" s="65">
        <v>192000</v>
      </c>
      <c r="M24" s="65">
        <v>187000</v>
      </c>
      <c r="N24" s="65">
        <v>180000</v>
      </c>
      <c r="O24" s="65">
        <v>175000</v>
      </c>
      <c r="P24" s="65">
        <v>180000</v>
      </c>
      <c r="Q24" s="65">
        <v>175000</v>
      </c>
      <c r="R24" s="66">
        <v>175000</v>
      </c>
      <c r="S24" s="67">
        <f t="shared" ref="S24:S55" si="1">SUM(C24:R24)</f>
        <v>2960000</v>
      </c>
    </row>
    <row r="25" spans="1:19">
      <c r="A25" s="1" t="s">
        <v>3</v>
      </c>
      <c r="B25" s="16" t="s">
        <v>74</v>
      </c>
      <c r="C25" s="27">
        <v>0</v>
      </c>
      <c r="D25" s="9">
        <v>20000</v>
      </c>
      <c r="E25" s="9">
        <v>20000</v>
      </c>
      <c r="F25" s="9">
        <v>0</v>
      </c>
      <c r="G25" s="9">
        <v>0</v>
      </c>
      <c r="H25" s="9">
        <v>5000</v>
      </c>
      <c r="I25" s="9">
        <v>0</v>
      </c>
      <c r="J25" s="9">
        <v>0</v>
      </c>
      <c r="K25" s="9">
        <v>0</v>
      </c>
      <c r="L25" s="9">
        <v>5000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10">
        <v>0</v>
      </c>
      <c r="S25" s="33">
        <f t="shared" si="1"/>
        <v>50000</v>
      </c>
    </row>
    <row r="26" spans="1:19">
      <c r="A26" s="1" t="s">
        <v>3</v>
      </c>
      <c r="B26" s="16" t="s">
        <v>75</v>
      </c>
      <c r="C26" s="27">
        <v>0</v>
      </c>
      <c r="D26" s="9">
        <v>3000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10">
        <v>0</v>
      </c>
      <c r="S26" s="33">
        <f t="shared" si="1"/>
        <v>3000</v>
      </c>
    </row>
    <row r="27" spans="1:19">
      <c r="A27" s="1" t="s">
        <v>3</v>
      </c>
      <c r="B27" s="16" t="s">
        <v>76</v>
      </c>
      <c r="C27" s="27">
        <v>0</v>
      </c>
      <c r="D27" s="9">
        <v>0</v>
      </c>
      <c r="E27" s="9">
        <v>3047</v>
      </c>
      <c r="F27" s="9">
        <v>2510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74736</v>
      </c>
      <c r="M27" s="9">
        <v>26938</v>
      </c>
      <c r="N27" s="9">
        <v>0</v>
      </c>
      <c r="O27" s="9">
        <v>0</v>
      </c>
      <c r="P27" s="9">
        <v>44464</v>
      </c>
      <c r="Q27" s="9">
        <v>0</v>
      </c>
      <c r="R27" s="10">
        <v>0</v>
      </c>
      <c r="S27" s="33">
        <f t="shared" si="1"/>
        <v>151695</v>
      </c>
    </row>
    <row r="28" spans="1:19">
      <c r="A28" s="1" t="s">
        <v>3</v>
      </c>
      <c r="B28" s="16" t="s">
        <v>77</v>
      </c>
      <c r="C28" s="27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10">
        <v>0</v>
      </c>
      <c r="S28" s="33">
        <f t="shared" si="1"/>
        <v>0</v>
      </c>
    </row>
    <row r="29" spans="1:19">
      <c r="A29" s="1" t="s">
        <v>3</v>
      </c>
      <c r="B29" s="16" t="s">
        <v>78</v>
      </c>
      <c r="C29" s="27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10">
        <v>0</v>
      </c>
      <c r="S29" s="33">
        <f t="shared" si="1"/>
        <v>0</v>
      </c>
    </row>
    <row r="30" spans="1:19">
      <c r="A30" s="1" t="s">
        <v>3</v>
      </c>
      <c r="B30" s="16" t="s">
        <v>79</v>
      </c>
      <c r="C30" s="27">
        <v>4935</v>
      </c>
      <c r="D30" s="9">
        <v>4665</v>
      </c>
      <c r="E30" s="9">
        <v>4565</v>
      </c>
      <c r="F30" s="9">
        <v>4565</v>
      </c>
      <c r="G30" s="9">
        <v>4965</v>
      </c>
      <c r="H30" s="9">
        <v>4735</v>
      </c>
      <c r="I30" s="9">
        <v>5000</v>
      </c>
      <c r="J30" s="9">
        <v>2465</v>
      </c>
      <c r="K30" s="9">
        <v>4865</v>
      </c>
      <c r="L30" s="9">
        <v>2385</v>
      </c>
      <c r="M30" s="9">
        <v>4635</v>
      </c>
      <c r="N30" s="9">
        <v>4765</v>
      </c>
      <c r="O30" s="9">
        <v>4735</v>
      </c>
      <c r="P30" s="9">
        <v>4865</v>
      </c>
      <c r="Q30" s="9">
        <v>0</v>
      </c>
      <c r="R30" s="10">
        <v>0</v>
      </c>
      <c r="S30" s="33">
        <f t="shared" si="1"/>
        <v>62145</v>
      </c>
    </row>
    <row r="31" spans="1:19">
      <c r="A31" s="1" t="s">
        <v>3</v>
      </c>
      <c r="B31" s="16" t="s">
        <v>80</v>
      </c>
      <c r="C31" s="27">
        <v>6000</v>
      </c>
      <c r="D31" s="9">
        <v>6000</v>
      </c>
      <c r="E31" s="9">
        <v>6000</v>
      </c>
      <c r="F31" s="9">
        <v>6000</v>
      </c>
      <c r="G31" s="9">
        <v>6000</v>
      </c>
      <c r="H31" s="9">
        <v>6000</v>
      </c>
      <c r="I31" s="9">
        <v>6000</v>
      </c>
      <c r="J31" s="9">
        <v>3500</v>
      </c>
      <c r="K31" s="9">
        <v>6000</v>
      </c>
      <c r="L31" s="9">
        <v>2000</v>
      </c>
      <c r="M31" s="9">
        <v>6000</v>
      </c>
      <c r="N31" s="9">
        <v>2000</v>
      </c>
      <c r="O31" s="9">
        <v>3500</v>
      </c>
      <c r="P31" s="9">
        <v>3500</v>
      </c>
      <c r="Q31" s="9">
        <v>0</v>
      </c>
      <c r="R31" s="10">
        <v>0</v>
      </c>
      <c r="S31" s="33">
        <f t="shared" si="1"/>
        <v>68500</v>
      </c>
    </row>
    <row r="32" spans="1:19">
      <c r="A32" s="1" t="s">
        <v>3</v>
      </c>
      <c r="B32" s="16" t="s">
        <v>81</v>
      </c>
      <c r="C32" s="27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15000</v>
      </c>
      <c r="K32" s="9">
        <v>15000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10">
        <v>0</v>
      </c>
      <c r="S32" s="33">
        <f t="shared" si="1"/>
        <v>30000</v>
      </c>
    </row>
    <row r="33" spans="1:19">
      <c r="A33" s="1" t="s">
        <v>3</v>
      </c>
      <c r="B33" s="16" t="s">
        <v>82</v>
      </c>
      <c r="C33" s="27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33492</v>
      </c>
      <c r="R33" s="10">
        <v>75357</v>
      </c>
      <c r="S33" s="33">
        <f t="shared" si="1"/>
        <v>108849</v>
      </c>
    </row>
    <row r="34" spans="1:19">
      <c r="A34" s="1" t="s">
        <v>3</v>
      </c>
      <c r="B34" s="16" t="s">
        <v>66</v>
      </c>
      <c r="C34" s="27">
        <v>22528</v>
      </c>
      <c r="D34" s="9">
        <v>67640</v>
      </c>
      <c r="E34" s="9">
        <v>71767</v>
      </c>
      <c r="F34" s="9">
        <v>58265</v>
      </c>
      <c r="G34" s="9">
        <v>54912</v>
      </c>
      <c r="H34" s="9">
        <v>62286</v>
      </c>
      <c r="I34" s="9">
        <v>50688</v>
      </c>
      <c r="J34" s="9">
        <v>79037</v>
      </c>
      <c r="K34" s="9">
        <v>63609</v>
      </c>
      <c r="L34" s="9">
        <v>43210</v>
      </c>
      <c r="M34" s="9">
        <v>33235</v>
      </c>
      <c r="N34" s="9">
        <v>91321</v>
      </c>
      <c r="O34" s="9">
        <v>88176</v>
      </c>
      <c r="P34" s="9">
        <v>37098</v>
      </c>
      <c r="Q34" s="9">
        <v>19650</v>
      </c>
      <c r="R34" s="10">
        <v>30130</v>
      </c>
      <c r="S34" s="33">
        <f t="shared" si="1"/>
        <v>873552</v>
      </c>
    </row>
    <row r="35" spans="1:19">
      <c r="A35" s="1" t="s">
        <v>3</v>
      </c>
      <c r="B35" s="16" t="s">
        <v>83</v>
      </c>
      <c r="C35" s="27">
        <v>41040</v>
      </c>
      <c r="D35" s="9">
        <v>54810</v>
      </c>
      <c r="E35" s="9">
        <v>14416</v>
      </c>
      <c r="F35" s="9">
        <v>45353</v>
      </c>
      <c r="G35" s="9">
        <v>42560</v>
      </c>
      <c r="H35" s="9">
        <v>35222</v>
      </c>
      <c r="I35" s="9">
        <v>27360</v>
      </c>
      <c r="J35" s="9">
        <v>52260</v>
      </c>
      <c r="K35" s="9">
        <v>19382</v>
      </c>
      <c r="L35" s="9">
        <v>33789</v>
      </c>
      <c r="M35" s="9">
        <v>37464</v>
      </c>
      <c r="N35" s="9">
        <v>20608</v>
      </c>
      <c r="O35" s="9">
        <v>21645</v>
      </c>
      <c r="P35" s="9">
        <v>16324</v>
      </c>
      <c r="Q35" s="9">
        <v>11320</v>
      </c>
      <c r="R35" s="10">
        <v>12735</v>
      </c>
      <c r="S35" s="33">
        <f t="shared" si="1"/>
        <v>486288</v>
      </c>
    </row>
    <row r="36" spans="1:19">
      <c r="A36" s="1" t="s">
        <v>3</v>
      </c>
      <c r="B36" s="16" t="s">
        <v>84</v>
      </c>
      <c r="C36" s="27">
        <v>27360</v>
      </c>
      <c r="D36" s="9">
        <v>42021</v>
      </c>
      <c r="E36" s="9">
        <v>18020</v>
      </c>
      <c r="F36" s="9">
        <v>14630</v>
      </c>
      <c r="G36" s="9">
        <v>36480</v>
      </c>
      <c r="H36" s="9">
        <v>12808</v>
      </c>
      <c r="I36" s="9">
        <v>19760</v>
      </c>
      <c r="J36" s="9">
        <v>24388</v>
      </c>
      <c r="K36" s="9">
        <v>38764</v>
      </c>
      <c r="L36" s="9">
        <v>8045</v>
      </c>
      <c r="M36" s="9">
        <v>0</v>
      </c>
      <c r="N36" s="9">
        <v>0</v>
      </c>
      <c r="O36" s="9">
        <v>0</v>
      </c>
      <c r="P36" s="9">
        <v>10388</v>
      </c>
      <c r="Q36" s="9">
        <v>14150</v>
      </c>
      <c r="R36" s="10">
        <v>11320</v>
      </c>
      <c r="S36" s="33">
        <f t="shared" si="1"/>
        <v>278134</v>
      </c>
    </row>
    <row r="37" spans="1:19">
      <c r="A37" s="1" t="s">
        <v>3</v>
      </c>
      <c r="B37" s="16" t="s">
        <v>85</v>
      </c>
      <c r="C37" s="27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764</v>
      </c>
      <c r="O37" s="9">
        <v>0</v>
      </c>
      <c r="P37" s="9">
        <v>1925</v>
      </c>
      <c r="Q37" s="9">
        <v>0</v>
      </c>
      <c r="R37" s="10">
        <v>0</v>
      </c>
      <c r="S37" s="33">
        <f t="shared" si="1"/>
        <v>2689</v>
      </c>
    </row>
    <row r="38" spans="1:19">
      <c r="A38" s="1" t="s">
        <v>3</v>
      </c>
      <c r="B38" s="16" t="s">
        <v>70</v>
      </c>
      <c r="C38" s="27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1911</v>
      </c>
      <c r="O38" s="9">
        <v>1602</v>
      </c>
      <c r="P38" s="9">
        <v>0</v>
      </c>
      <c r="Q38" s="9">
        <v>0</v>
      </c>
      <c r="R38" s="10">
        <v>0</v>
      </c>
      <c r="S38" s="33">
        <f t="shared" si="1"/>
        <v>3513</v>
      </c>
    </row>
    <row r="39" spans="1:19">
      <c r="A39" s="1" t="s">
        <v>3</v>
      </c>
      <c r="B39" s="79" t="s">
        <v>71</v>
      </c>
      <c r="C39" s="80">
        <v>2256</v>
      </c>
      <c r="D39" s="81">
        <v>5746</v>
      </c>
      <c r="E39" s="81">
        <v>6012</v>
      </c>
      <c r="F39" s="81">
        <v>15447</v>
      </c>
      <c r="G39" s="81">
        <v>564</v>
      </c>
      <c r="H39" s="81">
        <v>2079</v>
      </c>
      <c r="I39" s="81">
        <v>2538</v>
      </c>
      <c r="J39" s="81">
        <v>7106</v>
      </c>
      <c r="K39" s="81">
        <v>6520</v>
      </c>
      <c r="L39" s="81">
        <v>3576</v>
      </c>
      <c r="M39" s="81">
        <v>867</v>
      </c>
      <c r="N39" s="81">
        <v>9555</v>
      </c>
      <c r="O39" s="81">
        <v>9078</v>
      </c>
      <c r="P39" s="81">
        <v>4125</v>
      </c>
      <c r="Q39" s="81">
        <v>786</v>
      </c>
      <c r="R39" s="82">
        <v>786</v>
      </c>
      <c r="S39" s="83">
        <f t="shared" si="1"/>
        <v>77041</v>
      </c>
    </row>
    <row r="40" spans="1:19">
      <c r="A40" s="1" t="s">
        <v>3</v>
      </c>
      <c r="B40" s="87" t="s">
        <v>86</v>
      </c>
      <c r="C40" s="88">
        <v>286119</v>
      </c>
      <c r="D40" s="89">
        <v>400882</v>
      </c>
      <c r="E40" s="89">
        <v>340827</v>
      </c>
      <c r="F40" s="89">
        <v>321770</v>
      </c>
      <c r="G40" s="89">
        <v>327481</v>
      </c>
      <c r="H40" s="89">
        <v>315130</v>
      </c>
      <c r="I40" s="89">
        <v>293346</v>
      </c>
      <c r="J40" s="89">
        <v>380756</v>
      </c>
      <c r="K40" s="89">
        <v>351140</v>
      </c>
      <c r="L40" s="89">
        <v>364741</v>
      </c>
      <c r="M40" s="89">
        <v>296139</v>
      </c>
      <c r="N40" s="89">
        <v>310924</v>
      </c>
      <c r="O40" s="89">
        <v>303736</v>
      </c>
      <c r="P40" s="89">
        <v>302689</v>
      </c>
      <c r="Q40" s="89">
        <v>187414</v>
      </c>
      <c r="R40" s="90">
        <v>154614</v>
      </c>
      <c r="S40" s="91">
        <f t="shared" si="1"/>
        <v>4937708</v>
      </c>
    </row>
    <row r="41" spans="1:19">
      <c r="A41" s="1" t="s">
        <v>3</v>
      </c>
      <c r="B41" s="87" t="s">
        <v>87</v>
      </c>
      <c r="C41" s="88">
        <v>14556</v>
      </c>
      <c r="D41" s="89">
        <v>6308</v>
      </c>
      <c r="E41" s="89">
        <v>3100</v>
      </c>
      <c r="F41" s="89">
        <v>2480</v>
      </c>
      <c r="G41" s="89">
        <v>2804</v>
      </c>
      <c r="H41" s="89">
        <v>1402</v>
      </c>
      <c r="I41" s="89">
        <v>3504</v>
      </c>
      <c r="J41" s="89">
        <v>5607</v>
      </c>
      <c r="K41" s="89">
        <v>8734</v>
      </c>
      <c r="L41" s="89">
        <v>7008</v>
      </c>
      <c r="M41" s="89">
        <v>10998</v>
      </c>
      <c r="N41" s="89">
        <v>8760</v>
      </c>
      <c r="O41" s="89">
        <v>8760</v>
      </c>
      <c r="P41" s="89">
        <v>2696</v>
      </c>
      <c r="Q41" s="89">
        <v>6038</v>
      </c>
      <c r="R41" s="90">
        <v>5607</v>
      </c>
      <c r="S41" s="91">
        <f t="shared" si="1"/>
        <v>98362</v>
      </c>
    </row>
    <row r="42" spans="1:19">
      <c r="A42" s="1" t="s">
        <v>3</v>
      </c>
      <c r="B42" s="87" t="s">
        <v>88</v>
      </c>
      <c r="C42" s="88">
        <v>14556</v>
      </c>
      <c r="D42" s="89">
        <v>6308</v>
      </c>
      <c r="E42" s="89">
        <v>3100</v>
      </c>
      <c r="F42" s="89">
        <v>2480</v>
      </c>
      <c r="G42" s="89">
        <v>2804</v>
      </c>
      <c r="H42" s="89">
        <v>1402</v>
      </c>
      <c r="I42" s="89">
        <v>3504</v>
      </c>
      <c r="J42" s="89">
        <v>5607</v>
      </c>
      <c r="K42" s="89">
        <v>8734</v>
      </c>
      <c r="L42" s="89">
        <v>7008</v>
      </c>
      <c r="M42" s="89">
        <v>10998</v>
      </c>
      <c r="N42" s="89">
        <v>8760</v>
      </c>
      <c r="O42" s="89">
        <v>8760</v>
      </c>
      <c r="P42" s="89">
        <v>2696</v>
      </c>
      <c r="Q42" s="89">
        <v>6038</v>
      </c>
      <c r="R42" s="90">
        <v>5607</v>
      </c>
      <c r="S42" s="91">
        <f t="shared" si="1"/>
        <v>98362</v>
      </c>
    </row>
    <row r="43" spans="1:19">
      <c r="A43" s="1" t="s">
        <v>3</v>
      </c>
      <c r="B43" s="87" t="s">
        <v>89</v>
      </c>
      <c r="C43" s="88">
        <v>300675</v>
      </c>
      <c r="D43" s="89">
        <v>407190</v>
      </c>
      <c r="E43" s="89">
        <v>343927</v>
      </c>
      <c r="F43" s="89">
        <v>324250</v>
      </c>
      <c r="G43" s="89">
        <v>330285</v>
      </c>
      <c r="H43" s="89">
        <v>316532</v>
      </c>
      <c r="I43" s="89">
        <v>296850</v>
      </c>
      <c r="J43" s="89">
        <v>386363</v>
      </c>
      <c r="K43" s="89">
        <v>359874</v>
      </c>
      <c r="L43" s="89">
        <v>371749</v>
      </c>
      <c r="M43" s="89">
        <v>307137</v>
      </c>
      <c r="N43" s="89">
        <v>319684</v>
      </c>
      <c r="O43" s="89">
        <v>312496</v>
      </c>
      <c r="P43" s="89">
        <v>305385</v>
      </c>
      <c r="Q43" s="89">
        <v>193452</v>
      </c>
      <c r="R43" s="90">
        <v>160221</v>
      </c>
      <c r="S43" s="91">
        <f t="shared" si="1"/>
        <v>5036070</v>
      </c>
    </row>
    <row r="44" spans="1:19">
      <c r="A44" s="1" t="s">
        <v>3</v>
      </c>
      <c r="B44" s="48" t="s">
        <v>90</v>
      </c>
      <c r="C44" s="64">
        <v>15300</v>
      </c>
      <c r="D44" s="65">
        <v>16320</v>
      </c>
      <c r="E44" s="65">
        <v>18360</v>
      </c>
      <c r="F44" s="65">
        <v>17340</v>
      </c>
      <c r="G44" s="65">
        <v>16320</v>
      </c>
      <c r="H44" s="65">
        <v>15300</v>
      </c>
      <c r="I44" s="65">
        <v>15300</v>
      </c>
      <c r="J44" s="65">
        <v>16320</v>
      </c>
      <c r="K44" s="65">
        <v>15300</v>
      </c>
      <c r="L44" s="65">
        <v>18360</v>
      </c>
      <c r="M44" s="65">
        <v>15300</v>
      </c>
      <c r="N44" s="65">
        <v>16320</v>
      </c>
      <c r="O44" s="65">
        <v>15300</v>
      </c>
      <c r="P44" s="65">
        <v>17340</v>
      </c>
      <c r="Q44" s="65">
        <v>0</v>
      </c>
      <c r="R44" s="66">
        <v>13260</v>
      </c>
      <c r="S44" s="67">
        <f t="shared" si="1"/>
        <v>241740</v>
      </c>
    </row>
    <row r="45" spans="1:19">
      <c r="A45" s="1" t="s">
        <v>3</v>
      </c>
      <c r="B45" s="16" t="s">
        <v>91</v>
      </c>
      <c r="C45" s="27">
        <v>2700</v>
      </c>
      <c r="D45" s="9">
        <v>2880</v>
      </c>
      <c r="E45" s="9">
        <v>3240</v>
      </c>
      <c r="F45" s="9">
        <v>0</v>
      </c>
      <c r="G45" s="9">
        <v>2880</v>
      </c>
      <c r="H45" s="9">
        <v>2700</v>
      </c>
      <c r="I45" s="9">
        <v>2700</v>
      </c>
      <c r="J45" s="9">
        <v>2880</v>
      </c>
      <c r="K45" s="9">
        <v>2700</v>
      </c>
      <c r="L45" s="9">
        <v>3240</v>
      </c>
      <c r="M45" s="9">
        <v>2700</v>
      </c>
      <c r="N45" s="9">
        <v>2880</v>
      </c>
      <c r="O45" s="9">
        <v>2700</v>
      </c>
      <c r="P45" s="9">
        <v>3060</v>
      </c>
      <c r="Q45" s="9">
        <v>0</v>
      </c>
      <c r="R45" s="10">
        <v>0</v>
      </c>
      <c r="S45" s="33">
        <f t="shared" si="1"/>
        <v>37260</v>
      </c>
    </row>
    <row r="46" spans="1:19">
      <c r="A46" s="1" t="s">
        <v>3</v>
      </c>
      <c r="B46" s="16" t="s">
        <v>92</v>
      </c>
      <c r="C46" s="27">
        <v>27450</v>
      </c>
      <c r="D46" s="9">
        <v>29280</v>
      </c>
      <c r="E46" s="9">
        <v>32940</v>
      </c>
      <c r="F46" s="9">
        <v>31110</v>
      </c>
      <c r="G46" s="9">
        <v>29280</v>
      </c>
      <c r="H46" s="9">
        <v>27450</v>
      </c>
      <c r="I46" s="9">
        <v>27450</v>
      </c>
      <c r="J46" s="9">
        <v>29280</v>
      </c>
      <c r="K46" s="9">
        <v>27450</v>
      </c>
      <c r="L46" s="9">
        <v>32940</v>
      </c>
      <c r="M46" s="9">
        <v>27450</v>
      </c>
      <c r="N46" s="9">
        <v>29280</v>
      </c>
      <c r="O46" s="9">
        <v>27450</v>
      </c>
      <c r="P46" s="9">
        <v>31110</v>
      </c>
      <c r="Q46" s="9">
        <v>0</v>
      </c>
      <c r="R46" s="10">
        <v>23790</v>
      </c>
      <c r="S46" s="33">
        <f t="shared" si="1"/>
        <v>433710</v>
      </c>
    </row>
    <row r="47" spans="1:19">
      <c r="A47" s="1" t="s">
        <v>3</v>
      </c>
      <c r="B47" s="79" t="s">
        <v>93</v>
      </c>
      <c r="C47" s="80">
        <v>1654</v>
      </c>
      <c r="D47" s="81">
        <v>2240</v>
      </c>
      <c r="E47" s="81">
        <v>1892</v>
      </c>
      <c r="F47" s="81">
        <v>1783</v>
      </c>
      <c r="G47" s="81">
        <v>1817</v>
      </c>
      <c r="H47" s="81">
        <v>1741</v>
      </c>
      <c r="I47" s="81">
        <v>1633</v>
      </c>
      <c r="J47" s="81">
        <v>2125</v>
      </c>
      <c r="K47" s="81">
        <v>1979</v>
      </c>
      <c r="L47" s="81">
        <v>2045</v>
      </c>
      <c r="M47" s="81">
        <v>1689</v>
      </c>
      <c r="N47" s="81">
        <v>1758</v>
      </c>
      <c r="O47" s="81">
        <v>1719</v>
      </c>
      <c r="P47" s="81">
        <v>1680</v>
      </c>
      <c r="Q47" s="81">
        <v>1064</v>
      </c>
      <c r="R47" s="82">
        <v>881</v>
      </c>
      <c r="S47" s="83">
        <f t="shared" si="1"/>
        <v>27700</v>
      </c>
    </row>
    <row r="48" spans="1:19">
      <c r="A48" s="1" t="s">
        <v>3</v>
      </c>
      <c r="B48" s="87" t="s">
        <v>94</v>
      </c>
      <c r="C48" s="88">
        <v>47104</v>
      </c>
      <c r="D48" s="89">
        <v>50720</v>
      </c>
      <c r="E48" s="89">
        <v>56432</v>
      </c>
      <c r="F48" s="89">
        <v>50233</v>
      </c>
      <c r="G48" s="89">
        <v>50297</v>
      </c>
      <c r="H48" s="89">
        <v>47191</v>
      </c>
      <c r="I48" s="89">
        <v>47083</v>
      </c>
      <c r="J48" s="89">
        <v>50605</v>
      </c>
      <c r="K48" s="89">
        <v>47429</v>
      </c>
      <c r="L48" s="89">
        <v>56585</v>
      </c>
      <c r="M48" s="89">
        <v>47139</v>
      </c>
      <c r="N48" s="89">
        <v>50238</v>
      </c>
      <c r="O48" s="89">
        <v>47169</v>
      </c>
      <c r="P48" s="89">
        <v>53190</v>
      </c>
      <c r="Q48" s="89">
        <v>1064</v>
      </c>
      <c r="R48" s="90">
        <v>37931</v>
      </c>
      <c r="S48" s="91">
        <f t="shared" si="1"/>
        <v>740410</v>
      </c>
    </row>
    <row r="49" spans="1:19">
      <c r="A49" s="1" t="s">
        <v>3</v>
      </c>
      <c r="B49" s="48" t="s">
        <v>95</v>
      </c>
      <c r="C49" s="64">
        <v>4540</v>
      </c>
      <c r="D49" s="65">
        <v>9240</v>
      </c>
      <c r="E49" s="65">
        <v>7780</v>
      </c>
      <c r="F49" s="65">
        <v>7320</v>
      </c>
      <c r="G49" s="65">
        <v>7520</v>
      </c>
      <c r="H49" s="65">
        <v>5580</v>
      </c>
      <c r="I49" s="65">
        <v>6420</v>
      </c>
      <c r="J49" s="65">
        <v>10840</v>
      </c>
      <c r="K49" s="65">
        <v>8680</v>
      </c>
      <c r="L49" s="65">
        <v>2200</v>
      </c>
      <c r="M49" s="65">
        <v>6520</v>
      </c>
      <c r="N49" s="65">
        <v>6930</v>
      </c>
      <c r="O49" s="65">
        <v>6790</v>
      </c>
      <c r="P49" s="65">
        <v>6530</v>
      </c>
      <c r="Q49" s="65">
        <v>4280</v>
      </c>
      <c r="R49" s="66">
        <v>0</v>
      </c>
      <c r="S49" s="67">
        <f t="shared" si="1"/>
        <v>101170</v>
      </c>
    </row>
    <row r="50" spans="1:19">
      <c r="A50" s="1" t="s">
        <v>3</v>
      </c>
      <c r="B50" s="16" t="s">
        <v>96</v>
      </c>
      <c r="C50" s="27">
        <v>1300</v>
      </c>
      <c r="D50" s="9">
        <v>0</v>
      </c>
      <c r="E50" s="9">
        <v>0</v>
      </c>
      <c r="F50" s="9">
        <v>1300</v>
      </c>
      <c r="G50" s="9">
        <v>1300</v>
      </c>
      <c r="H50" s="9">
        <v>1300</v>
      </c>
      <c r="I50" s="9">
        <v>1300</v>
      </c>
      <c r="J50" s="9">
        <v>1300</v>
      </c>
      <c r="K50" s="9">
        <v>1300</v>
      </c>
      <c r="L50" s="9">
        <v>1300</v>
      </c>
      <c r="M50" s="9">
        <v>1300</v>
      </c>
      <c r="N50" s="9">
        <v>1300</v>
      </c>
      <c r="O50" s="9">
        <v>1300</v>
      </c>
      <c r="P50" s="9">
        <v>0</v>
      </c>
      <c r="Q50" s="9">
        <v>0</v>
      </c>
      <c r="R50" s="10">
        <v>0</v>
      </c>
      <c r="S50" s="33">
        <f t="shared" si="1"/>
        <v>14300</v>
      </c>
    </row>
    <row r="51" spans="1:19">
      <c r="A51" s="1" t="s">
        <v>3</v>
      </c>
      <c r="B51" s="79" t="s">
        <v>97</v>
      </c>
      <c r="C51" s="80">
        <v>8100</v>
      </c>
      <c r="D51" s="81">
        <v>20000</v>
      </c>
      <c r="E51" s="81">
        <v>17800</v>
      </c>
      <c r="F51" s="81">
        <v>14100</v>
      </c>
      <c r="G51" s="81">
        <v>12800</v>
      </c>
      <c r="H51" s="81">
        <v>10300</v>
      </c>
      <c r="I51" s="81">
        <v>13200</v>
      </c>
      <c r="J51" s="81">
        <v>15400</v>
      </c>
      <c r="K51" s="81">
        <v>14900</v>
      </c>
      <c r="L51" s="81">
        <v>1100</v>
      </c>
      <c r="M51" s="81">
        <v>0</v>
      </c>
      <c r="N51" s="81">
        <v>7800</v>
      </c>
      <c r="O51" s="81">
        <v>11700</v>
      </c>
      <c r="P51" s="81">
        <v>11800</v>
      </c>
      <c r="Q51" s="81">
        <v>0</v>
      </c>
      <c r="R51" s="82">
        <v>0</v>
      </c>
      <c r="S51" s="83">
        <f t="shared" si="1"/>
        <v>159000</v>
      </c>
    </row>
    <row r="52" spans="1:19">
      <c r="A52" s="1" t="s">
        <v>3</v>
      </c>
      <c r="B52" s="87" t="s">
        <v>98</v>
      </c>
      <c r="C52" s="88">
        <v>61044</v>
      </c>
      <c r="D52" s="89">
        <v>79960</v>
      </c>
      <c r="E52" s="89">
        <v>82012</v>
      </c>
      <c r="F52" s="89">
        <v>72953</v>
      </c>
      <c r="G52" s="89">
        <v>71917</v>
      </c>
      <c r="H52" s="89">
        <v>64371</v>
      </c>
      <c r="I52" s="89">
        <v>68003</v>
      </c>
      <c r="J52" s="89">
        <v>78145</v>
      </c>
      <c r="K52" s="89">
        <v>72309</v>
      </c>
      <c r="L52" s="89">
        <v>61185</v>
      </c>
      <c r="M52" s="89">
        <v>54959</v>
      </c>
      <c r="N52" s="89">
        <v>66268</v>
      </c>
      <c r="O52" s="89">
        <v>66959</v>
      </c>
      <c r="P52" s="89">
        <v>71520</v>
      </c>
      <c r="Q52" s="89">
        <v>5344</v>
      </c>
      <c r="R52" s="90">
        <v>37931</v>
      </c>
      <c r="S52" s="91">
        <f t="shared" si="1"/>
        <v>1014880</v>
      </c>
    </row>
    <row r="53" spans="1:19">
      <c r="A53" s="1" t="s">
        <v>3</v>
      </c>
      <c r="B53" s="87" t="s">
        <v>99</v>
      </c>
      <c r="C53" s="88">
        <v>239015</v>
      </c>
      <c r="D53" s="89">
        <v>350162</v>
      </c>
      <c r="E53" s="89">
        <v>284395</v>
      </c>
      <c r="F53" s="89">
        <v>271537</v>
      </c>
      <c r="G53" s="89">
        <v>277184</v>
      </c>
      <c r="H53" s="89">
        <v>267939</v>
      </c>
      <c r="I53" s="89">
        <v>246263</v>
      </c>
      <c r="J53" s="89">
        <v>330151</v>
      </c>
      <c r="K53" s="89">
        <v>303711</v>
      </c>
      <c r="L53" s="89">
        <v>308156</v>
      </c>
      <c r="M53" s="89">
        <v>249000</v>
      </c>
      <c r="N53" s="89">
        <v>260686</v>
      </c>
      <c r="O53" s="89">
        <v>256567</v>
      </c>
      <c r="P53" s="89">
        <v>249499</v>
      </c>
      <c r="Q53" s="89">
        <v>186350</v>
      </c>
      <c r="R53" s="90">
        <v>116683</v>
      </c>
      <c r="S53" s="91">
        <f t="shared" si="1"/>
        <v>4197298</v>
      </c>
    </row>
    <row r="54" spans="1:19">
      <c r="A54" s="1" t="s">
        <v>3</v>
      </c>
      <c r="B54" s="87" t="s">
        <v>100</v>
      </c>
      <c r="C54" s="88">
        <v>239631</v>
      </c>
      <c r="D54" s="89">
        <v>327230</v>
      </c>
      <c r="E54" s="89">
        <v>261915</v>
      </c>
      <c r="F54" s="89">
        <v>251297</v>
      </c>
      <c r="G54" s="89">
        <v>258368</v>
      </c>
      <c r="H54" s="89">
        <v>252161</v>
      </c>
      <c r="I54" s="89">
        <v>228847</v>
      </c>
      <c r="J54" s="89">
        <v>308218</v>
      </c>
      <c r="K54" s="89">
        <v>287565</v>
      </c>
      <c r="L54" s="89">
        <v>310564</v>
      </c>
      <c r="M54" s="89">
        <v>252178</v>
      </c>
      <c r="N54" s="89">
        <v>253416</v>
      </c>
      <c r="O54" s="89">
        <v>245537</v>
      </c>
      <c r="P54" s="89">
        <v>233865</v>
      </c>
      <c r="Q54" s="89">
        <v>188108</v>
      </c>
      <c r="R54" s="90">
        <v>122290</v>
      </c>
      <c r="S54" s="91">
        <f t="shared" si="1"/>
        <v>4021190</v>
      </c>
    </row>
    <row r="55" spans="1:19">
      <c r="A55" s="1" t="s">
        <v>3</v>
      </c>
      <c r="B55" s="87" t="s">
        <v>101</v>
      </c>
      <c r="C55" s="88">
        <v>239631</v>
      </c>
      <c r="D55" s="89">
        <v>327230</v>
      </c>
      <c r="E55" s="89">
        <v>261915</v>
      </c>
      <c r="F55" s="89">
        <v>251297</v>
      </c>
      <c r="G55" s="89">
        <v>258368</v>
      </c>
      <c r="H55" s="89">
        <v>252161</v>
      </c>
      <c r="I55" s="89">
        <v>228847</v>
      </c>
      <c r="J55" s="89">
        <v>308218</v>
      </c>
      <c r="K55" s="89">
        <v>287565</v>
      </c>
      <c r="L55" s="89">
        <v>310564</v>
      </c>
      <c r="M55" s="89">
        <v>252178</v>
      </c>
      <c r="N55" s="89">
        <v>253416</v>
      </c>
      <c r="O55" s="89">
        <v>245537</v>
      </c>
      <c r="P55" s="89">
        <v>233865</v>
      </c>
      <c r="Q55" s="89">
        <v>188108</v>
      </c>
      <c r="R55" s="90">
        <v>122290</v>
      </c>
      <c r="S55" s="91">
        <f t="shared" si="1"/>
        <v>4021190</v>
      </c>
    </row>
    <row r="56" spans="1:19">
      <c r="A56" s="1" t="s">
        <v>3</v>
      </c>
      <c r="B56" s="48" t="s">
        <v>102</v>
      </c>
      <c r="C56" s="64">
        <v>1</v>
      </c>
      <c r="D56" s="65">
        <v>1</v>
      </c>
      <c r="E56" s="65">
        <v>0</v>
      </c>
      <c r="F56" s="65">
        <v>0</v>
      </c>
      <c r="G56" s="65">
        <v>0</v>
      </c>
      <c r="H56" s="65">
        <v>1</v>
      </c>
      <c r="I56" s="65">
        <v>0</v>
      </c>
      <c r="J56" s="65">
        <v>0</v>
      </c>
      <c r="K56" s="65">
        <v>0</v>
      </c>
      <c r="L56" s="65">
        <v>4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6">
        <v>1</v>
      </c>
      <c r="S56" s="67"/>
    </row>
    <row r="57" spans="1:19">
      <c r="A57" s="1" t="s">
        <v>3</v>
      </c>
      <c r="B57" s="16" t="s">
        <v>103</v>
      </c>
      <c r="C57" s="28" t="s">
        <v>104</v>
      </c>
      <c r="D57" s="11" t="s">
        <v>104</v>
      </c>
      <c r="E57" s="11" t="s">
        <v>104</v>
      </c>
      <c r="F57" s="11" t="s">
        <v>104</v>
      </c>
      <c r="G57" s="11" t="s">
        <v>104</v>
      </c>
      <c r="H57" s="11" t="s">
        <v>104</v>
      </c>
      <c r="I57" s="11" t="s">
        <v>104</v>
      </c>
      <c r="J57" s="11" t="s">
        <v>104</v>
      </c>
      <c r="K57" s="11" t="s">
        <v>104</v>
      </c>
      <c r="L57" s="11" t="s">
        <v>104</v>
      </c>
      <c r="M57" s="11" t="s">
        <v>104</v>
      </c>
      <c r="N57" s="11" t="s">
        <v>104</v>
      </c>
      <c r="O57" s="11" t="s">
        <v>104</v>
      </c>
      <c r="P57" s="11" t="s">
        <v>104</v>
      </c>
      <c r="Q57" s="11" t="s">
        <v>104</v>
      </c>
      <c r="R57" s="12" t="s">
        <v>104</v>
      </c>
      <c r="S57" s="34"/>
    </row>
    <row r="58" spans="1:19" ht="19.5" thickBot="1">
      <c r="A58" s="1" t="s">
        <v>3</v>
      </c>
      <c r="B58" s="17" t="s">
        <v>105</v>
      </c>
      <c r="C58" s="29">
        <v>4540</v>
      </c>
      <c r="D58" s="13">
        <v>9240</v>
      </c>
      <c r="E58" s="13">
        <v>7780</v>
      </c>
      <c r="F58" s="13">
        <v>7320</v>
      </c>
      <c r="G58" s="13">
        <v>7520</v>
      </c>
      <c r="H58" s="13">
        <v>5580</v>
      </c>
      <c r="I58" s="13">
        <v>6420</v>
      </c>
      <c r="J58" s="13">
        <v>10840</v>
      </c>
      <c r="K58" s="13">
        <v>8680</v>
      </c>
      <c r="L58" s="13">
        <v>2200</v>
      </c>
      <c r="M58" s="13">
        <v>6520</v>
      </c>
      <c r="N58" s="13">
        <v>6930</v>
      </c>
      <c r="O58" s="13">
        <v>6790</v>
      </c>
      <c r="P58" s="13">
        <v>6530</v>
      </c>
      <c r="Q58" s="13">
        <v>4280</v>
      </c>
      <c r="R58" s="14">
        <v>0</v>
      </c>
      <c r="S58" s="35">
        <f>SUM(C58:R58)</f>
        <v>101170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2025年10月度給与</vt:lpstr>
      <vt:lpstr>2025年10月度給与 (2)</vt:lpstr>
      <vt:lpstr>2025年10月度給与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2025-11-10T06:55:51Z</dcterms:created>
  <dcterms:modified xsi:type="dcterms:W3CDTF">2025-11-10T09:02:45Z</dcterms:modified>
</cp:coreProperties>
</file>