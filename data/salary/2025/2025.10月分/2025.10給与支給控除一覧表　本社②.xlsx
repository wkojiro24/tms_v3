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13_ncr:1_{C1522D02-279E-49B1-9C7B-62AC0514B8FB}" xr6:coauthVersionLast="47" xr6:coauthVersionMax="47" xr10:uidLastSave="{00000000-0000-0000-0000-000000000000}"/>
  <bookViews>
    <workbookView xWindow="-120" yWindow="-120" windowWidth="20730" windowHeight="11160" xr2:uid="{84C9B105-0624-4FB6-919E-9EDDEC9DF13A}"/>
  </bookViews>
  <sheets>
    <sheet name="2025年10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2" l="1"/>
  <c r="K38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2" i="2"/>
  <c r="K12" i="2" s="1"/>
  <c r="J11" i="2"/>
  <c r="K11" i="2" s="1"/>
  <c r="J10" i="2"/>
  <c r="K10" i="2" s="1"/>
  <c r="K9" i="2"/>
  <c r="J9" i="2"/>
  <c r="G38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2" i="2"/>
  <c r="G11" i="2"/>
  <c r="G10" i="2"/>
  <c r="G9" i="2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<sst xmlns="http://schemas.openxmlformats.org/spreadsheetml/2006/main" count="90" uniqueCount="55">
  <si>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</si>
  <si>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</si>
  <si>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</si>
  <si>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</si>
  <si>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</si>
  <si>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</si>
  <si>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</si>
  <si>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</si>
  <si>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</si>
  <si>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</si>
  <si>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</si>
  <si>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</si>
  <si>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</si>
  <si>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</si>
  <si>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</si>
  <si>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</si>
  <si>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</si>
  <si>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</si>
  <si>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</si>
  <si>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</si>
  <si>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</si>
  <si>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</si>
  <si>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</si>
  <si>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</si>
  <si>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</si>
  <si>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</si>
  <si>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</si>
  <si>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</si>
  <si>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</si>
  <si>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</si>
  <si>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</si>
  <si>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</si>
  <si>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</si>
  <si>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</si>
  <si>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</si>
  <si>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</si>
  <si>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</si>
  <si>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</si>
  <si>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</si>
  <si>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</si>
  <si>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</si>
  <si>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</si>
  <si>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</si>
  <si>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</si>
  <si>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</si>
  <si>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</si>
  <si>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</si>
  <si>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</si>
  <si>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</si>
  <si>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</si>
  <si>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2025年10月度給与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</si>
  <si>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</si>
  <si>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</si>
  <si>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2名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</si>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</sst>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F6CD905B-2A6A-4C9F-9A06-2C6863609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7B09-7DBC-4425-B7F0-47923C5028AB}">
  <dimension ref="A1:K38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0" width="11.125" style="2" customWidth="1"/>
    <col min="11" max="11" width="9.625" style="2" bestFit="1" customWidth="1"/>
    <col min="12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5" width="13.25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1" width="13.25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7" width="13.25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3" width="13.25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9" width="13.25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5" width="13.25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1" width="13.25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7" width="13.25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3" width="13.25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9" width="13.25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5" width="13.25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1" width="13.25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7" width="13.25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3" width="13.25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9" width="13.25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5" width="13.25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1" width="13.25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7" width="13.25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3" width="13.25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9" width="13.25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5" width="13.25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1" width="13.25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7" width="13.25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3" width="13.25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9" width="13.25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5" width="13.25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1" width="13.25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7" width="13.25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3" width="13.25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9" width="13.25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5" width="13.25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1" width="13.25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7" width="13.25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3" width="13.25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9" width="13.25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5" width="13.25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1" width="13.25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7" width="13.25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3" width="13.25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9" width="13.25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5" width="13.25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1" width="13.25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7" width="13.25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3" width="13.25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9" width="13.25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5" width="13.25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1" width="13.25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7" width="13.25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3" width="13.25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9" width="13.25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5" width="13.25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1" width="13.25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7" width="13.25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3" width="13.25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9" width="13.25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5" width="13.25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1" width="13.25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7" width="13.25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3" width="13.25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9" width="13.25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5" width="13.25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1" width="13.25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50</v>
      </c>
    </row>
    <row r="7" spans="1:11">
      <c r="B7" s="15"/>
      <c r="C7" s="23" t="s">
        <v>4</v>
      </c>
      <c r="D7" s="4" t="s">
        <v>5</v>
      </c>
      <c r="E7" s="4" t="s">
        <v>6</v>
      </c>
      <c r="F7" s="4" t="s">
        <v>7</v>
      </c>
      <c r="G7" s="61" t="s">
        <v>51</v>
      </c>
      <c r="H7" s="4" t="s">
        <v>8</v>
      </c>
      <c r="I7" s="24" t="s">
        <v>9</v>
      </c>
      <c r="J7" s="59" t="s">
        <v>51</v>
      </c>
      <c r="K7" s="61" t="s">
        <v>17</v>
      </c>
    </row>
    <row r="8" spans="1:11" ht="19.5" thickBot="1">
      <c r="A8" s="3"/>
      <c r="B8" s="35" t="s">
        <v>10</v>
      </c>
      <c r="C8" s="36" t="s">
        <v>11</v>
      </c>
      <c r="D8" s="37" t="s">
        <v>12</v>
      </c>
      <c r="E8" s="37" t="s">
        <v>13</v>
      </c>
      <c r="F8" s="37" t="s">
        <v>14</v>
      </c>
      <c r="G8" s="39" t="s">
        <v>52</v>
      </c>
      <c r="H8" s="37" t="s">
        <v>15</v>
      </c>
      <c r="I8" s="38" t="s">
        <v>16</v>
      </c>
      <c r="J8" s="60" t="s">
        <v>53</v>
      </c>
      <c r="K8" s="39" t="s">
        <v>54</v>
      </c>
    </row>
    <row r="9" spans="1:11">
      <c r="A9" s="1" t="s">
        <v>3</v>
      </c>
      <c r="B9" s="30" t="s">
        <v>18</v>
      </c>
      <c r="C9" s="31">
        <v>0</v>
      </c>
      <c r="D9" s="32">
        <v>0</v>
      </c>
      <c r="E9" s="32">
        <v>0</v>
      </c>
      <c r="F9" s="32">
        <v>0</v>
      </c>
      <c r="G9" s="34">
        <f>SUM(C9:F9)</f>
        <v>0</v>
      </c>
      <c r="H9" s="32">
        <v>22</v>
      </c>
      <c r="I9" s="33">
        <v>15</v>
      </c>
      <c r="J9" s="34">
        <f>SUM(H9:I9)</f>
        <v>37</v>
      </c>
      <c r="K9" s="34">
        <f>G9+J9</f>
        <v>37</v>
      </c>
    </row>
    <row r="10" spans="1:11">
      <c r="A10" s="1" t="s">
        <v>3</v>
      </c>
      <c r="B10" s="16" t="s">
        <v>19</v>
      </c>
      <c r="C10" s="25">
        <v>0</v>
      </c>
      <c r="D10" s="5">
        <v>0</v>
      </c>
      <c r="E10" s="5">
        <v>0</v>
      </c>
      <c r="F10" s="5">
        <v>0</v>
      </c>
      <c r="G10" s="18">
        <f t="shared" ref="G10:G12" si="0">SUM(C10:F10)</f>
        <v>0</v>
      </c>
      <c r="H10" s="5">
        <v>0</v>
      </c>
      <c r="I10" s="6">
        <v>1</v>
      </c>
      <c r="J10" s="18">
        <f t="shared" ref="J10:J12" si="1">SUM(H10:I10)</f>
        <v>1</v>
      </c>
      <c r="K10" s="18">
        <f t="shared" ref="K10:K12" si="2">G10+J10</f>
        <v>1</v>
      </c>
    </row>
    <row r="11" spans="1:11">
      <c r="A11" s="1" t="s">
        <v>3</v>
      </c>
      <c r="B11" s="16" t="s">
        <v>20</v>
      </c>
      <c r="C11" s="26">
        <v>0</v>
      </c>
      <c r="D11" s="7">
        <v>0</v>
      </c>
      <c r="E11" s="7">
        <v>0</v>
      </c>
      <c r="F11" s="7">
        <v>0</v>
      </c>
      <c r="G11" s="19">
        <f t="shared" si="0"/>
        <v>0</v>
      </c>
      <c r="H11" s="7">
        <v>0</v>
      </c>
      <c r="I11" s="8">
        <v>3.2083333333333335</v>
      </c>
      <c r="J11" s="19">
        <f t="shared" si="1"/>
        <v>3.2083333333333335</v>
      </c>
      <c r="K11" s="19">
        <f t="shared" si="2"/>
        <v>3.2083333333333335</v>
      </c>
    </row>
    <row r="12" spans="1:11">
      <c r="A12" s="1" t="s">
        <v>3</v>
      </c>
      <c r="B12" s="16" t="s">
        <v>21</v>
      </c>
      <c r="C12" s="26">
        <v>0</v>
      </c>
      <c r="D12" s="7">
        <v>0</v>
      </c>
      <c r="E12" s="7">
        <v>0</v>
      </c>
      <c r="F12" s="7">
        <v>0</v>
      </c>
      <c r="G12" s="19">
        <f t="shared" si="0"/>
        <v>0</v>
      </c>
      <c r="H12" s="7">
        <v>0</v>
      </c>
      <c r="I12" s="8">
        <v>0.20833333333333334</v>
      </c>
      <c r="J12" s="19">
        <f t="shared" si="1"/>
        <v>0.20833333333333334</v>
      </c>
      <c r="K12" s="19">
        <f t="shared" si="2"/>
        <v>0.20833333333333334</v>
      </c>
    </row>
    <row r="13" spans="1:11">
      <c r="A13" s="1" t="s">
        <v>3</v>
      </c>
      <c r="B13" s="44" t="s">
        <v>22</v>
      </c>
      <c r="C13" s="45">
        <v>0</v>
      </c>
      <c r="D13" s="46">
        <v>0</v>
      </c>
      <c r="E13" s="46">
        <v>0</v>
      </c>
      <c r="F13" s="46">
        <v>0</v>
      </c>
      <c r="G13" s="48"/>
      <c r="H13" s="46">
        <v>37</v>
      </c>
      <c r="I13" s="47">
        <v>34</v>
      </c>
      <c r="J13" s="48"/>
      <c r="K13" s="48"/>
    </row>
    <row r="14" spans="1:11">
      <c r="A14" s="1" t="s">
        <v>3</v>
      </c>
      <c r="B14" s="30" t="s">
        <v>23</v>
      </c>
      <c r="C14" s="40">
        <v>0</v>
      </c>
      <c r="D14" s="41">
        <v>0</v>
      </c>
      <c r="E14" s="41">
        <v>0</v>
      </c>
      <c r="F14" s="41">
        <v>0</v>
      </c>
      <c r="G14" s="43">
        <f t="shared" ref="G14:G35" si="3">SUM(C14:F14)</f>
        <v>0</v>
      </c>
      <c r="H14" s="41">
        <v>390000</v>
      </c>
      <c r="I14" s="42">
        <v>0</v>
      </c>
      <c r="J14" s="43">
        <f t="shared" ref="J14:J35" si="4">SUM(H14:I14)</f>
        <v>390000</v>
      </c>
      <c r="K14" s="43">
        <f t="shared" ref="K14:K35" si="5">G14+J14</f>
        <v>390000</v>
      </c>
    </row>
    <row r="15" spans="1:11">
      <c r="A15" s="1" t="s">
        <v>3</v>
      </c>
      <c r="B15" s="16" t="s">
        <v>24</v>
      </c>
      <c r="C15" s="27">
        <v>0</v>
      </c>
      <c r="D15" s="9">
        <v>0</v>
      </c>
      <c r="E15" s="9">
        <v>0</v>
      </c>
      <c r="F15" s="9">
        <v>0</v>
      </c>
      <c r="G15" s="20">
        <f t="shared" si="3"/>
        <v>0</v>
      </c>
      <c r="H15" s="9">
        <v>50000</v>
      </c>
      <c r="I15" s="10">
        <v>0</v>
      </c>
      <c r="J15" s="20">
        <f t="shared" si="4"/>
        <v>50000</v>
      </c>
      <c r="K15" s="20">
        <f t="shared" si="5"/>
        <v>50000</v>
      </c>
    </row>
    <row r="16" spans="1:11">
      <c r="A16" s="1" t="s">
        <v>3</v>
      </c>
      <c r="B16" s="16" t="s">
        <v>25</v>
      </c>
      <c r="C16" s="27">
        <v>0</v>
      </c>
      <c r="D16" s="9">
        <v>0</v>
      </c>
      <c r="E16" s="9">
        <v>0</v>
      </c>
      <c r="F16" s="9">
        <v>0</v>
      </c>
      <c r="G16" s="20">
        <f t="shared" si="3"/>
        <v>0</v>
      </c>
      <c r="H16" s="9">
        <v>0</v>
      </c>
      <c r="I16" s="10">
        <v>101640</v>
      </c>
      <c r="J16" s="20">
        <f t="shared" si="4"/>
        <v>101640</v>
      </c>
      <c r="K16" s="20">
        <f t="shared" si="5"/>
        <v>101640</v>
      </c>
    </row>
    <row r="17" spans="1:11">
      <c r="A17" s="1" t="s">
        <v>3</v>
      </c>
      <c r="B17" s="16" t="s">
        <v>26</v>
      </c>
      <c r="C17" s="27">
        <v>1000000</v>
      </c>
      <c r="D17" s="9">
        <v>200000</v>
      </c>
      <c r="E17" s="9">
        <v>300000</v>
      </c>
      <c r="F17" s="9">
        <v>100000</v>
      </c>
      <c r="G17" s="20">
        <f t="shared" si="3"/>
        <v>1600000</v>
      </c>
      <c r="H17" s="9">
        <v>0</v>
      </c>
      <c r="I17" s="10">
        <v>0</v>
      </c>
      <c r="J17" s="20">
        <f t="shared" si="4"/>
        <v>0</v>
      </c>
      <c r="K17" s="20">
        <f t="shared" si="5"/>
        <v>1600000</v>
      </c>
    </row>
    <row r="18" spans="1:11">
      <c r="A18" s="1" t="s">
        <v>3</v>
      </c>
      <c r="B18" s="49" t="s">
        <v>27</v>
      </c>
      <c r="C18" s="50">
        <v>0</v>
      </c>
      <c r="D18" s="51">
        <v>0</v>
      </c>
      <c r="E18" s="51">
        <v>0</v>
      </c>
      <c r="F18" s="51">
        <v>0</v>
      </c>
      <c r="G18" s="53">
        <f t="shared" si="3"/>
        <v>0</v>
      </c>
      <c r="H18" s="51">
        <v>0</v>
      </c>
      <c r="I18" s="52">
        <v>6600</v>
      </c>
      <c r="J18" s="53">
        <f t="shared" si="4"/>
        <v>6600</v>
      </c>
      <c r="K18" s="53">
        <f t="shared" si="5"/>
        <v>6600</v>
      </c>
    </row>
    <row r="19" spans="1:11">
      <c r="A19" s="1" t="s">
        <v>3</v>
      </c>
      <c r="B19" s="54" t="s">
        <v>28</v>
      </c>
      <c r="C19" s="55">
        <v>1000000</v>
      </c>
      <c r="D19" s="56">
        <v>200000</v>
      </c>
      <c r="E19" s="56">
        <v>300000</v>
      </c>
      <c r="F19" s="56">
        <v>100000</v>
      </c>
      <c r="G19" s="58">
        <f t="shared" si="3"/>
        <v>1600000</v>
      </c>
      <c r="H19" s="56">
        <v>440000</v>
      </c>
      <c r="I19" s="57">
        <v>108240</v>
      </c>
      <c r="J19" s="58">
        <f t="shared" si="4"/>
        <v>548240</v>
      </c>
      <c r="K19" s="58">
        <f t="shared" si="5"/>
        <v>2148240</v>
      </c>
    </row>
    <row r="20" spans="1:11">
      <c r="A20" s="1" t="s">
        <v>3</v>
      </c>
      <c r="B20" s="54" t="s">
        <v>29</v>
      </c>
      <c r="C20" s="55">
        <v>0</v>
      </c>
      <c r="D20" s="56">
        <v>0</v>
      </c>
      <c r="E20" s="56">
        <v>0</v>
      </c>
      <c r="F20" s="56">
        <v>0</v>
      </c>
      <c r="G20" s="58">
        <f t="shared" si="3"/>
        <v>0</v>
      </c>
      <c r="H20" s="56">
        <v>10660</v>
      </c>
      <c r="I20" s="57">
        <v>4400</v>
      </c>
      <c r="J20" s="58">
        <f t="shared" si="4"/>
        <v>15060</v>
      </c>
      <c r="K20" s="58">
        <f t="shared" si="5"/>
        <v>15060</v>
      </c>
    </row>
    <row r="21" spans="1:11">
      <c r="A21" s="1" t="s">
        <v>3</v>
      </c>
      <c r="B21" s="54" t="s">
        <v>30</v>
      </c>
      <c r="C21" s="55">
        <v>0</v>
      </c>
      <c r="D21" s="56">
        <v>0</v>
      </c>
      <c r="E21" s="56">
        <v>0</v>
      </c>
      <c r="F21" s="56">
        <v>0</v>
      </c>
      <c r="G21" s="58">
        <f t="shared" si="3"/>
        <v>0</v>
      </c>
      <c r="H21" s="56">
        <v>10660</v>
      </c>
      <c r="I21" s="57">
        <v>4400</v>
      </c>
      <c r="J21" s="58">
        <f t="shared" si="4"/>
        <v>15060</v>
      </c>
      <c r="K21" s="58">
        <f t="shared" si="5"/>
        <v>15060</v>
      </c>
    </row>
    <row r="22" spans="1:11">
      <c r="A22" s="1" t="s">
        <v>3</v>
      </c>
      <c r="B22" s="54" t="s">
        <v>31</v>
      </c>
      <c r="C22" s="55">
        <v>1000000</v>
      </c>
      <c r="D22" s="56">
        <v>200000</v>
      </c>
      <c r="E22" s="56">
        <v>300000</v>
      </c>
      <c r="F22" s="56">
        <v>100000</v>
      </c>
      <c r="G22" s="58">
        <f t="shared" si="3"/>
        <v>1600000</v>
      </c>
      <c r="H22" s="56">
        <v>450660</v>
      </c>
      <c r="I22" s="57">
        <v>112640</v>
      </c>
      <c r="J22" s="58">
        <f t="shared" si="4"/>
        <v>563300</v>
      </c>
      <c r="K22" s="58">
        <f t="shared" si="5"/>
        <v>2163300</v>
      </c>
    </row>
    <row r="23" spans="1:11">
      <c r="A23" s="1" t="s">
        <v>3</v>
      </c>
      <c r="B23" s="30" t="s">
        <v>32</v>
      </c>
      <c r="C23" s="40">
        <v>49980</v>
      </c>
      <c r="D23" s="41">
        <v>0</v>
      </c>
      <c r="E23" s="41">
        <v>0</v>
      </c>
      <c r="F23" s="41">
        <v>0</v>
      </c>
      <c r="G23" s="43">
        <f t="shared" si="3"/>
        <v>49980</v>
      </c>
      <c r="H23" s="41">
        <v>22440</v>
      </c>
      <c r="I23" s="42">
        <v>0</v>
      </c>
      <c r="J23" s="43">
        <f t="shared" si="4"/>
        <v>22440</v>
      </c>
      <c r="K23" s="43">
        <f t="shared" si="5"/>
        <v>72420</v>
      </c>
    </row>
    <row r="24" spans="1:11">
      <c r="A24" s="1" t="s">
        <v>3</v>
      </c>
      <c r="B24" s="16" t="s">
        <v>33</v>
      </c>
      <c r="C24" s="27">
        <v>8820</v>
      </c>
      <c r="D24" s="9">
        <v>0</v>
      </c>
      <c r="E24" s="9">
        <v>0</v>
      </c>
      <c r="F24" s="9">
        <v>0</v>
      </c>
      <c r="G24" s="20">
        <f t="shared" si="3"/>
        <v>8820</v>
      </c>
      <c r="H24" s="9">
        <v>3960</v>
      </c>
      <c r="I24" s="10">
        <v>0</v>
      </c>
      <c r="J24" s="20">
        <f t="shared" si="4"/>
        <v>3960</v>
      </c>
      <c r="K24" s="20">
        <f t="shared" si="5"/>
        <v>12780</v>
      </c>
    </row>
    <row r="25" spans="1:11">
      <c r="A25" s="1" t="s">
        <v>3</v>
      </c>
      <c r="B25" s="16" t="s">
        <v>34</v>
      </c>
      <c r="C25" s="27">
        <v>59475</v>
      </c>
      <c r="D25" s="9">
        <v>0</v>
      </c>
      <c r="E25" s="9">
        <v>0</v>
      </c>
      <c r="F25" s="9">
        <v>0</v>
      </c>
      <c r="G25" s="20">
        <f t="shared" si="3"/>
        <v>59475</v>
      </c>
      <c r="H25" s="9">
        <v>40260</v>
      </c>
      <c r="I25" s="10">
        <v>0</v>
      </c>
      <c r="J25" s="20">
        <f t="shared" si="4"/>
        <v>40260</v>
      </c>
      <c r="K25" s="20">
        <f t="shared" si="5"/>
        <v>99735</v>
      </c>
    </row>
    <row r="26" spans="1:11">
      <c r="A26" s="1" t="s">
        <v>3</v>
      </c>
      <c r="B26" s="16" t="s">
        <v>35</v>
      </c>
      <c r="C26" s="27">
        <v>0</v>
      </c>
      <c r="D26" s="9">
        <v>0</v>
      </c>
      <c r="E26" s="9">
        <v>0</v>
      </c>
      <c r="F26" s="9">
        <v>0</v>
      </c>
      <c r="G26" s="20">
        <f t="shared" si="3"/>
        <v>0</v>
      </c>
      <c r="H26" s="9">
        <v>2479</v>
      </c>
      <c r="I26" s="10">
        <v>620</v>
      </c>
      <c r="J26" s="20">
        <f t="shared" si="4"/>
        <v>3099</v>
      </c>
      <c r="K26" s="20">
        <f t="shared" si="5"/>
        <v>3099</v>
      </c>
    </row>
    <row r="27" spans="1:11">
      <c r="A27" s="1" t="s">
        <v>3</v>
      </c>
      <c r="B27" s="49" t="s">
        <v>36</v>
      </c>
      <c r="C27" s="50">
        <v>150000</v>
      </c>
      <c r="D27" s="51">
        <v>0</v>
      </c>
      <c r="E27" s="51">
        <v>0</v>
      </c>
      <c r="F27" s="51">
        <v>0</v>
      </c>
      <c r="G27" s="53">
        <f t="shared" si="3"/>
        <v>150000</v>
      </c>
      <c r="H27" s="51">
        <v>0</v>
      </c>
      <c r="I27" s="52">
        <v>0</v>
      </c>
      <c r="J27" s="53">
        <f t="shared" si="4"/>
        <v>0</v>
      </c>
      <c r="K27" s="53">
        <f t="shared" si="5"/>
        <v>150000</v>
      </c>
    </row>
    <row r="28" spans="1:11">
      <c r="A28" s="1" t="s">
        <v>3</v>
      </c>
      <c r="B28" s="54" t="s">
        <v>37</v>
      </c>
      <c r="C28" s="55">
        <v>268275</v>
      </c>
      <c r="D28" s="56">
        <v>0</v>
      </c>
      <c r="E28" s="56">
        <v>0</v>
      </c>
      <c r="F28" s="56">
        <v>0</v>
      </c>
      <c r="G28" s="58">
        <f t="shared" si="3"/>
        <v>268275</v>
      </c>
      <c r="H28" s="56">
        <v>69139</v>
      </c>
      <c r="I28" s="57">
        <v>620</v>
      </c>
      <c r="J28" s="58">
        <f t="shared" si="4"/>
        <v>69759</v>
      </c>
      <c r="K28" s="58">
        <f t="shared" si="5"/>
        <v>338034</v>
      </c>
    </row>
    <row r="29" spans="1:11">
      <c r="A29" s="1" t="s">
        <v>3</v>
      </c>
      <c r="B29" s="30" t="s">
        <v>38</v>
      </c>
      <c r="C29" s="40">
        <v>65230</v>
      </c>
      <c r="D29" s="41">
        <v>4760</v>
      </c>
      <c r="E29" s="41">
        <v>53700</v>
      </c>
      <c r="F29" s="41">
        <v>3600</v>
      </c>
      <c r="G29" s="43">
        <f t="shared" si="3"/>
        <v>127290</v>
      </c>
      <c r="H29" s="41">
        <v>14170</v>
      </c>
      <c r="I29" s="42">
        <v>1110</v>
      </c>
      <c r="J29" s="43">
        <f t="shared" si="4"/>
        <v>15280</v>
      </c>
      <c r="K29" s="43">
        <f t="shared" si="5"/>
        <v>142570</v>
      </c>
    </row>
    <row r="30" spans="1:11">
      <c r="A30" s="1" t="s">
        <v>3</v>
      </c>
      <c r="B30" s="49" t="s">
        <v>39</v>
      </c>
      <c r="C30" s="50">
        <v>0</v>
      </c>
      <c r="D30" s="51">
        <v>1700</v>
      </c>
      <c r="E30" s="51">
        <v>0</v>
      </c>
      <c r="F30" s="51">
        <v>0</v>
      </c>
      <c r="G30" s="53">
        <f t="shared" si="3"/>
        <v>1700</v>
      </c>
      <c r="H30" s="51">
        <v>18300</v>
      </c>
      <c r="I30" s="52">
        <v>2200</v>
      </c>
      <c r="J30" s="53">
        <f t="shared" si="4"/>
        <v>20500</v>
      </c>
      <c r="K30" s="53">
        <f t="shared" si="5"/>
        <v>22200</v>
      </c>
    </row>
    <row r="31" spans="1:11">
      <c r="A31" s="1" t="s">
        <v>3</v>
      </c>
      <c r="B31" s="54" t="s">
        <v>40</v>
      </c>
      <c r="C31" s="55">
        <v>333505</v>
      </c>
      <c r="D31" s="56">
        <v>6460</v>
      </c>
      <c r="E31" s="56">
        <v>53700</v>
      </c>
      <c r="F31" s="56">
        <v>3600</v>
      </c>
      <c r="G31" s="58">
        <f t="shared" si="3"/>
        <v>397265</v>
      </c>
      <c r="H31" s="56">
        <v>101609</v>
      </c>
      <c r="I31" s="57">
        <v>3930</v>
      </c>
      <c r="J31" s="58">
        <f t="shared" si="4"/>
        <v>105539</v>
      </c>
      <c r="K31" s="58">
        <f t="shared" si="5"/>
        <v>502804</v>
      </c>
    </row>
    <row r="32" spans="1:11">
      <c r="A32" s="1" t="s">
        <v>3</v>
      </c>
      <c r="B32" s="54" t="s">
        <v>41</v>
      </c>
      <c r="C32" s="55">
        <v>731725</v>
      </c>
      <c r="D32" s="56">
        <v>200000</v>
      </c>
      <c r="E32" s="56">
        <v>300000</v>
      </c>
      <c r="F32" s="56">
        <v>100000</v>
      </c>
      <c r="G32" s="58">
        <f t="shared" si="3"/>
        <v>1331725</v>
      </c>
      <c r="H32" s="56">
        <v>370861</v>
      </c>
      <c r="I32" s="57">
        <v>107620</v>
      </c>
      <c r="J32" s="58">
        <f t="shared" si="4"/>
        <v>478481</v>
      </c>
      <c r="K32" s="58">
        <f t="shared" si="5"/>
        <v>1810206</v>
      </c>
    </row>
    <row r="33" spans="1:11">
      <c r="A33" s="1" t="s">
        <v>3</v>
      </c>
      <c r="B33" s="54" t="s">
        <v>42</v>
      </c>
      <c r="C33" s="55">
        <v>666495</v>
      </c>
      <c r="D33" s="56">
        <v>193540</v>
      </c>
      <c r="E33" s="56">
        <v>246300</v>
      </c>
      <c r="F33" s="56">
        <v>96400</v>
      </c>
      <c r="G33" s="58">
        <f t="shared" si="3"/>
        <v>1202735</v>
      </c>
      <c r="H33" s="56">
        <v>349051</v>
      </c>
      <c r="I33" s="57">
        <v>108710</v>
      </c>
      <c r="J33" s="58">
        <f t="shared" si="4"/>
        <v>457761</v>
      </c>
      <c r="K33" s="58">
        <f t="shared" si="5"/>
        <v>1660496</v>
      </c>
    </row>
    <row r="34" spans="1:11">
      <c r="A34" s="1" t="s">
        <v>3</v>
      </c>
      <c r="B34" s="54" t="s">
        <v>43</v>
      </c>
      <c r="C34" s="55">
        <v>0</v>
      </c>
      <c r="D34" s="56">
        <v>193540</v>
      </c>
      <c r="E34" s="56">
        <v>0</v>
      </c>
      <c r="F34" s="56">
        <v>0</v>
      </c>
      <c r="G34" s="58">
        <f t="shared" si="3"/>
        <v>193540</v>
      </c>
      <c r="H34" s="56">
        <v>0</v>
      </c>
      <c r="I34" s="57">
        <v>0</v>
      </c>
      <c r="J34" s="58">
        <f t="shared" si="4"/>
        <v>0</v>
      </c>
      <c r="K34" s="58">
        <f t="shared" si="5"/>
        <v>193540</v>
      </c>
    </row>
    <row r="35" spans="1:11">
      <c r="A35" s="1" t="s">
        <v>3</v>
      </c>
      <c r="B35" s="54" t="s">
        <v>44</v>
      </c>
      <c r="C35" s="55">
        <v>666495</v>
      </c>
      <c r="D35" s="56">
        <v>0</v>
      </c>
      <c r="E35" s="56">
        <v>246300</v>
      </c>
      <c r="F35" s="56">
        <v>96400</v>
      </c>
      <c r="G35" s="58">
        <f t="shared" si="3"/>
        <v>1009195</v>
      </c>
      <c r="H35" s="56">
        <v>349051</v>
      </c>
      <c r="I35" s="57">
        <v>108710</v>
      </c>
      <c r="J35" s="58">
        <f t="shared" si="4"/>
        <v>457761</v>
      </c>
      <c r="K35" s="58">
        <f t="shared" si="5"/>
        <v>1466956</v>
      </c>
    </row>
    <row r="36" spans="1:11">
      <c r="A36" s="1" t="s">
        <v>3</v>
      </c>
      <c r="B36" s="30" t="s">
        <v>45</v>
      </c>
      <c r="C36" s="40">
        <v>1</v>
      </c>
      <c r="D36" s="41">
        <v>0</v>
      </c>
      <c r="E36" s="41">
        <v>0</v>
      </c>
      <c r="F36" s="41">
        <v>0</v>
      </c>
      <c r="G36" s="43"/>
      <c r="H36" s="41">
        <v>0</v>
      </c>
      <c r="I36" s="42">
        <v>0</v>
      </c>
      <c r="J36" s="43"/>
      <c r="K36" s="43"/>
    </row>
    <row r="37" spans="1:11">
      <c r="A37" s="1" t="s">
        <v>3</v>
      </c>
      <c r="B37" s="16" t="s">
        <v>46</v>
      </c>
      <c r="C37" s="28" t="s">
        <v>47</v>
      </c>
      <c r="D37" s="11" t="s">
        <v>47</v>
      </c>
      <c r="E37" s="11" t="s">
        <v>48</v>
      </c>
      <c r="F37" s="11" t="s">
        <v>48</v>
      </c>
      <c r="G37" s="21"/>
      <c r="H37" s="11" t="s">
        <v>47</v>
      </c>
      <c r="I37" s="12" t="s">
        <v>47</v>
      </c>
      <c r="J37" s="21"/>
      <c r="K37" s="21"/>
    </row>
    <row r="38" spans="1:11" ht="19.5" thickBot="1">
      <c r="A38" s="1" t="s">
        <v>3</v>
      </c>
      <c r="B38" s="17" t="s">
        <v>49</v>
      </c>
      <c r="C38" s="29">
        <v>65230</v>
      </c>
      <c r="D38" s="13">
        <v>4760</v>
      </c>
      <c r="E38" s="13">
        <v>53700</v>
      </c>
      <c r="F38" s="13">
        <v>3600</v>
      </c>
      <c r="G38" s="22">
        <f>SUM(C38:F38)</f>
        <v>127290</v>
      </c>
      <c r="H38" s="13">
        <v>14170</v>
      </c>
      <c r="I38" s="14">
        <v>1110</v>
      </c>
      <c r="J38" s="22">
        <f>SUM(H38:I38)</f>
        <v>15280</v>
      </c>
      <c r="K38" s="22">
        <f>G38+J38</f>
        <v>142570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2025年10月度給与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2025-11-10T06:36:31Z</dcterms:created>
  <dcterms:modified xsi:type="dcterms:W3CDTF">2025-11-10T08:20:42Z</dcterms:modified>
</cp:coreProperties>
</file>