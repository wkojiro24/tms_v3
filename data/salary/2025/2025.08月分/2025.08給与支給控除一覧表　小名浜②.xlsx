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8月分\"/>
    </mc:Choice>
  </mc:AlternateContent>
  <xr:revisionPtr revIDLastSave="0" documentId="13_ncr:1_{174F965B-F15B-4B63-83F9-B47CB18965ED}" xr6:coauthVersionLast="47" xr6:coauthVersionMax="47" xr10:uidLastSave="{00000000-0000-0000-0000-000000000000}"/>
  <bookViews>
    <workbookView xWindow="-120" yWindow="-120" windowWidth="20730" windowHeight="11160" xr2:uid="{D1CAA3B8-5A01-4E89-A2F1-523F52DC9ECB}"/>
  </bookViews>
  <sheets>
    <sheet name="2025年 8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7" i="2" l="1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C57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S57" i="2"/>
  <c r="AF57" i="2" s="1"/>
  <c r="S54" i="2"/>
  <c r="AF54" i="2" s="1"/>
  <c r="S53" i="2"/>
  <c r="AF53" i="2" s="1"/>
  <c r="S52" i="2"/>
  <c r="AF52" i="2" s="1"/>
  <c r="S51" i="2"/>
  <c r="AF51" i="2" s="1"/>
  <c r="S50" i="2"/>
  <c r="AF50" i="2" s="1"/>
  <c r="S49" i="2"/>
  <c r="AF49" i="2" s="1"/>
  <c r="S48" i="2"/>
  <c r="AF48" i="2" s="1"/>
  <c r="S47" i="2"/>
  <c r="AF47" i="2" s="1"/>
  <c r="S46" i="2"/>
  <c r="AF46" i="2" s="1"/>
  <c r="S45" i="2"/>
  <c r="AF45" i="2" s="1"/>
  <c r="S44" i="2"/>
  <c r="AF44" i="2" s="1"/>
  <c r="S43" i="2"/>
  <c r="AF43" i="2" s="1"/>
  <c r="S42" i="2"/>
  <c r="AF42" i="2" s="1"/>
  <c r="S41" i="2"/>
  <c r="AF41" i="2" s="1"/>
  <c r="S40" i="2"/>
  <c r="AF40" i="2" s="1"/>
  <c r="S39" i="2"/>
  <c r="AF39" i="2" s="1"/>
  <c r="S38" i="2"/>
  <c r="AF38" i="2" s="1"/>
  <c r="S37" i="2"/>
  <c r="AF37" i="2" s="1"/>
  <c r="S36" i="2"/>
  <c r="AF36" i="2" s="1"/>
  <c r="S35" i="2"/>
  <c r="AF35" i="2" s="1"/>
  <c r="S34" i="2"/>
  <c r="AF34" i="2" s="1"/>
  <c r="S33" i="2"/>
  <c r="AF33" i="2" s="1"/>
  <c r="S32" i="2"/>
  <c r="AF32" i="2" s="1"/>
  <c r="S31" i="2"/>
  <c r="AF31" i="2" s="1"/>
  <c r="S30" i="2"/>
  <c r="AF30" i="2" s="1"/>
  <c r="S29" i="2"/>
  <c r="AF29" i="2" s="1"/>
  <c r="S28" i="2"/>
  <c r="AF28" i="2" s="1"/>
  <c r="S27" i="2"/>
  <c r="AF27" i="2" s="1"/>
  <c r="S26" i="2"/>
  <c r="AF26" i="2" s="1"/>
  <c r="S25" i="2"/>
  <c r="AF25" i="2" s="1"/>
  <c r="S24" i="2"/>
  <c r="AF24" i="2" s="1"/>
  <c r="S22" i="2"/>
  <c r="AF22" i="2" s="1"/>
  <c r="S21" i="2"/>
  <c r="AF21" i="2" s="1"/>
  <c r="S20" i="2"/>
  <c r="AF20" i="2" s="1"/>
  <c r="S19" i="2"/>
  <c r="AF19" i="2" s="1"/>
  <c r="S18" i="2"/>
  <c r="AF18" i="2" s="1"/>
  <c r="S17" i="2"/>
  <c r="AF17" i="2" s="1"/>
  <c r="S16" i="2"/>
  <c r="AF16" i="2" s="1"/>
  <c r="S15" i="2"/>
  <c r="AF15" i="2" s="1"/>
  <c r="S14" i="2"/>
  <c r="AF14" i="2" s="1"/>
  <c r="S13" i="2"/>
  <c r="AF13" i="2" s="1"/>
  <c r="S12" i="2"/>
  <c r="AF12" i="2" s="1"/>
  <c r="S11" i="2"/>
  <c r="AF11" i="2" s="1"/>
  <c r="S10" i="2"/>
  <c r="AF10" i="2" s="1"/>
  <c r="S9" i="2"/>
  <c r="AF9" i="2" s="1"/>
</calcChain>
</file>

<file path=xl/sharedStrings.xml><?xml version="1.0" encoding="utf-8"?>
<sst xmlns="http://schemas.openxmlformats.org/spreadsheetml/2006/main" count="190" uniqueCount="111">
  <si>
    <t>支給控除一覧表</t>
    <phoneticPr fontId="4"/>
  </si>
  <si>
    <t>若林運送株式会社</t>
    <phoneticPr fontId="4"/>
  </si>
  <si>
    <t>2025年 9月10日 作成</t>
    <phoneticPr fontId="4"/>
  </si>
  <si>
    <t/>
  </si>
  <si>
    <t>2025年 8月度給与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</si>
  <si>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</si>
  <si>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</si>
  <si>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</si>
  <si>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</si>
  <si>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</si>
  <si>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</si>
  <si>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</si>
  <si>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</si>
  <si>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</si>
  <si>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</si>
  <si>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</si>
  <si>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</si>
  <si>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</si>
  <si>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</si>
  <si>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</si>
  <si>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1206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</si>
  <si>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</si>
  <si>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</si>
  <si>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</si>
  <si>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</si>
  <si>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</si>
  <si>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</si>
  <si>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</si>
  <si>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</si>
  <si>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</si>
  <si>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</si>
  <si>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</si>
  <si>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合計</t>
    <rPh sb="0" eb="2">
      <t>ゴウケイ</t>
    </rPh>
    <phoneticPr fontId="3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</si>
  <si>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</si>
  <si>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</si>
  <si>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</si>
  <si>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</si>
  <si>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</si>
  <si>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</si>
  <si>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</si>
  <si>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</si>
  <si>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</si>
  <si>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</si>
  <si>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</si>
  <si>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</si>
  <si>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</si>
  <si>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</si>
  <si>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</si>
  <si>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</si>
  <si>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鈴木秀和</t>
    <phoneticPr fontId="4"/>
  </si>
  <si>
    <t>16名</t>
    <rPh sb="2" eb="3">
      <t>メイ</t>
    </rPh>
    <phoneticPr fontId="4"/>
  </si>
  <si>
    <t>若松　美宏</t>
    <phoneticPr fontId="4"/>
  </si>
  <si>
    <t>下山田　英治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</si>
  <si>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</si>
  <si>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</si>
  <si>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</si>
  <si>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</si>
  <si>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</si>
  <si>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</si>
  <si>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</si>
  <si>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９名</t>
    <rPh sb="1" eb="2">
      <t>メイ</t>
    </rPh>
    <phoneticPr fontId="4"/>
  </si>
  <si>
    <t>金山　岳夫</t>
    <phoneticPr fontId="4"/>
  </si>
  <si>
    <t>1名</t>
    <rPh sb="1" eb="2">
      <t>メイ</t>
    </rPh>
    <phoneticPr fontId="4"/>
  </si>
  <si>
    <t>26名</t>
    <rPh sb="2" eb="3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</si>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</sst>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6646FCB2-B8B0-47BB-9787-705AD3008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DD56-56AF-4590-94AD-E739DC8F7F66}">
  <dimension ref="A1:AF57"/>
  <sheetViews>
    <sheetView showZeros="0" tabSelected="1" workbookViewId="0">
      <pane xSplit="2" ySplit="8" topLeftCell="M40" activePane="bottomRight" state="frozen"/>
      <selection pane="bottomRight" activeCell="N59" sqref="N5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" style="2" bestFit="1" customWidth="1"/>
    <col min="19" max="19" width="9.625" style="2" bestFit="1" customWidth="1"/>
    <col min="20" max="20" width="11.125" style="2" bestFit="1" customWidth="1"/>
    <col min="21" max="21" width="13.25" style="2" bestFit="1" customWidth="1"/>
    <col min="22" max="27" width="11.125" style="2" bestFit="1" customWidth="1"/>
    <col min="28" max="28" width="9" style="2" bestFit="1" customWidth="1"/>
    <col min="29" max="29" width="9.625" style="2" bestFit="1" customWidth="1"/>
    <col min="30" max="30" width="11.125" style="2" bestFit="1" customWidth="1"/>
    <col min="31" max="32" width="9.625" style="2" bestFit="1" customWidth="1"/>
    <col min="33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0" width="11.125" style="2" bestFit="1" customWidth="1"/>
    <col min="281" max="281" width="9" style="2" bestFit="1"/>
    <col min="282" max="286" width="11.125" style="2" bestFit="1" customWidth="1"/>
    <col min="287" max="287" width="9" style="2" bestFit="1"/>
    <col min="288" max="288" width="9.625" style="2" bestFit="1" customWidth="1"/>
    <col min="289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36" width="11.125" style="2" bestFit="1" customWidth="1"/>
    <col min="537" max="537" width="9" style="2" bestFit="1"/>
    <col min="538" max="542" width="11.125" style="2" bestFit="1" customWidth="1"/>
    <col min="543" max="543" width="9" style="2" bestFit="1"/>
    <col min="544" max="544" width="9.625" style="2" bestFit="1" customWidth="1"/>
    <col min="545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2" width="11.125" style="2" bestFit="1" customWidth="1"/>
    <col min="793" max="793" width="9" style="2" bestFit="1"/>
    <col min="794" max="798" width="11.125" style="2" bestFit="1" customWidth="1"/>
    <col min="799" max="799" width="9" style="2" bestFit="1"/>
    <col min="800" max="800" width="9.625" style="2" bestFit="1" customWidth="1"/>
    <col min="801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48" width="11.125" style="2" bestFit="1" customWidth="1"/>
    <col min="1049" max="1049" width="9" style="2" bestFit="1"/>
    <col min="1050" max="1054" width="11.125" style="2" bestFit="1" customWidth="1"/>
    <col min="1055" max="1055" width="9" style="2" bestFit="1"/>
    <col min="1056" max="1056" width="9.625" style="2" bestFit="1" customWidth="1"/>
    <col min="1057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4" width="11.125" style="2" bestFit="1" customWidth="1"/>
    <col min="1305" max="1305" width="9" style="2" bestFit="1"/>
    <col min="1306" max="1310" width="11.125" style="2" bestFit="1" customWidth="1"/>
    <col min="1311" max="1311" width="9" style="2" bestFit="1"/>
    <col min="1312" max="1312" width="9.625" style="2" bestFit="1" customWidth="1"/>
    <col min="1313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0" width="11.125" style="2" bestFit="1" customWidth="1"/>
    <col min="1561" max="1561" width="9" style="2" bestFit="1"/>
    <col min="1562" max="1566" width="11.125" style="2" bestFit="1" customWidth="1"/>
    <col min="1567" max="1567" width="9" style="2" bestFit="1"/>
    <col min="1568" max="1568" width="9.625" style="2" bestFit="1" customWidth="1"/>
    <col min="1569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16" width="11.125" style="2" bestFit="1" customWidth="1"/>
    <col min="1817" max="1817" width="9" style="2" bestFit="1"/>
    <col min="1818" max="1822" width="11.125" style="2" bestFit="1" customWidth="1"/>
    <col min="1823" max="1823" width="9" style="2" bestFit="1"/>
    <col min="1824" max="1824" width="9.625" style="2" bestFit="1" customWidth="1"/>
    <col min="1825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2" width="11.125" style="2" bestFit="1" customWidth="1"/>
    <col min="2073" max="2073" width="9" style="2" bestFit="1"/>
    <col min="2074" max="2078" width="11.125" style="2" bestFit="1" customWidth="1"/>
    <col min="2079" max="2079" width="9" style="2" bestFit="1"/>
    <col min="2080" max="2080" width="9.625" style="2" bestFit="1" customWidth="1"/>
    <col min="2081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28" width="11.125" style="2" bestFit="1" customWidth="1"/>
    <col min="2329" max="2329" width="9" style="2" bestFit="1"/>
    <col min="2330" max="2334" width="11.125" style="2" bestFit="1" customWidth="1"/>
    <col min="2335" max="2335" width="9" style="2" bestFit="1"/>
    <col min="2336" max="2336" width="9.625" style="2" bestFit="1" customWidth="1"/>
    <col min="2337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4" width="11.125" style="2" bestFit="1" customWidth="1"/>
    <col min="2585" max="2585" width="9" style="2" bestFit="1"/>
    <col min="2586" max="2590" width="11.125" style="2" bestFit="1" customWidth="1"/>
    <col min="2591" max="2591" width="9" style="2" bestFit="1"/>
    <col min="2592" max="2592" width="9.625" style="2" bestFit="1" customWidth="1"/>
    <col min="2593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0" width="11.125" style="2" bestFit="1" customWidth="1"/>
    <col min="2841" max="2841" width="9" style="2" bestFit="1"/>
    <col min="2842" max="2846" width="11.125" style="2" bestFit="1" customWidth="1"/>
    <col min="2847" max="2847" width="9" style="2" bestFit="1"/>
    <col min="2848" max="2848" width="9.625" style="2" bestFit="1" customWidth="1"/>
    <col min="2849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096" width="11.125" style="2" bestFit="1" customWidth="1"/>
    <col min="3097" max="3097" width="9" style="2" bestFit="1"/>
    <col min="3098" max="3102" width="11.125" style="2" bestFit="1" customWidth="1"/>
    <col min="3103" max="3103" width="9" style="2" bestFit="1"/>
    <col min="3104" max="3104" width="9.625" style="2" bestFit="1" customWidth="1"/>
    <col min="3105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2" width="11.125" style="2" bestFit="1" customWidth="1"/>
    <col min="3353" max="3353" width="9" style="2" bestFit="1"/>
    <col min="3354" max="3358" width="11.125" style="2" bestFit="1" customWidth="1"/>
    <col min="3359" max="3359" width="9" style="2" bestFit="1"/>
    <col min="3360" max="3360" width="9.625" style="2" bestFit="1" customWidth="1"/>
    <col min="3361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08" width="11.125" style="2" bestFit="1" customWidth="1"/>
    <col min="3609" max="3609" width="9" style="2" bestFit="1"/>
    <col min="3610" max="3614" width="11.125" style="2" bestFit="1" customWidth="1"/>
    <col min="3615" max="3615" width="9" style="2" bestFit="1"/>
    <col min="3616" max="3616" width="9.625" style="2" bestFit="1" customWidth="1"/>
    <col min="3617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4" width="11.125" style="2" bestFit="1" customWidth="1"/>
    <col min="3865" max="3865" width="9" style="2" bestFit="1"/>
    <col min="3866" max="3870" width="11.125" style="2" bestFit="1" customWidth="1"/>
    <col min="3871" max="3871" width="9" style="2" bestFit="1"/>
    <col min="3872" max="3872" width="9.625" style="2" bestFit="1" customWidth="1"/>
    <col min="3873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0" width="11.125" style="2" bestFit="1" customWidth="1"/>
    <col min="4121" max="4121" width="9" style="2" bestFit="1"/>
    <col min="4122" max="4126" width="11.125" style="2" bestFit="1" customWidth="1"/>
    <col min="4127" max="4127" width="9" style="2" bestFit="1"/>
    <col min="4128" max="4128" width="9.625" style="2" bestFit="1" customWidth="1"/>
    <col min="4129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76" width="11.125" style="2" bestFit="1" customWidth="1"/>
    <col min="4377" max="4377" width="9" style="2" bestFit="1"/>
    <col min="4378" max="4382" width="11.125" style="2" bestFit="1" customWidth="1"/>
    <col min="4383" max="4383" width="9" style="2" bestFit="1"/>
    <col min="4384" max="4384" width="9.625" style="2" bestFit="1" customWidth="1"/>
    <col min="4385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2" width="11.125" style="2" bestFit="1" customWidth="1"/>
    <col min="4633" max="4633" width="9" style="2" bestFit="1"/>
    <col min="4634" max="4638" width="11.125" style="2" bestFit="1" customWidth="1"/>
    <col min="4639" max="4639" width="9" style="2" bestFit="1"/>
    <col min="4640" max="4640" width="9.625" style="2" bestFit="1" customWidth="1"/>
    <col min="4641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88" width="11.125" style="2" bestFit="1" customWidth="1"/>
    <col min="4889" max="4889" width="9" style="2" bestFit="1"/>
    <col min="4890" max="4894" width="11.125" style="2" bestFit="1" customWidth="1"/>
    <col min="4895" max="4895" width="9" style="2" bestFit="1"/>
    <col min="4896" max="4896" width="9.625" style="2" bestFit="1" customWidth="1"/>
    <col min="4897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4" width="11.125" style="2" bestFit="1" customWidth="1"/>
    <col min="5145" max="5145" width="9" style="2" bestFit="1"/>
    <col min="5146" max="5150" width="11.125" style="2" bestFit="1" customWidth="1"/>
    <col min="5151" max="5151" width="9" style="2" bestFit="1"/>
    <col min="5152" max="5152" width="9.625" style="2" bestFit="1" customWidth="1"/>
    <col min="5153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0" width="11.125" style="2" bestFit="1" customWidth="1"/>
    <col min="5401" max="5401" width="9" style="2" bestFit="1"/>
    <col min="5402" max="5406" width="11.125" style="2" bestFit="1" customWidth="1"/>
    <col min="5407" max="5407" width="9" style="2" bestFit="1"/>
    <col min="5408" max="5408" width="9.625" style="2" bestFit="1" customWidth="1"/>
    <col min="5409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56" width="11.125" style="2" bestFit="1" customWidth="1"/>
    <col min="5657" max="5657" width="9" style="2" bestFit="1"/>
    <col min="5658" max="5662" width="11.125" style="2" bestFit="1" customWidth="1"/>
    <col min="5663" max="5663" width="9" style="2" bestFit="1"/>
    <col min="5664" max="5664" width="9.625" style="2" bestFit="1" customWidth="1"/>
    <col min="5665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2" width="11.125" style="2" bestFit="1" customWidth="1"/>
    <col min="5913" max="5913" width="9" style="2" bestFit="1"/>
    <col min="5914" max="5918" width="11.125" style="2" bestFit="1" customWidth="1"/>
    <col min="5919" max="5919" width="9" style="2" bestFit="1"/>
    <col min="5920" max="5920" width="9.625" style="2" bestFit="1" customWidth="1"/>
    <col min="5921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68" width="11.125" style="2" bestFit="1" customWidth="1"/>
    <col min="6169" max="6169" width="9" style="2" bestFit="1"/>
    <col min="6170" max="6174" width="11.125" style="2" bestFit="1" customWidth="1"/>
    <col min="6175" max="6175" width="9" style="2" bestFit="1"/>
    <col min="6176" max="6176" width="9.625" style="2" bestFit="1" customWidth="1"/>
    <col min="6177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4" width="11.125" style="2" bestFit="1" customWidth="1"/>
    <col min="6425" max="6425" width="9" style="2" bestFit="1"/>
    <col min="6426" max="6430" width="11.125" style="2" bestFit="1" customWidth="1"/>
    <col min="6431" max="6431" width="9" style="2" bestFit="1"/>
    <col min="6432" max="6432" width="9.625" style="2" bestFit="1" customWidth="1"/>
    <col min="6433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0" width="11.125" style="2" bestFit="1" customWidth="1"/>
    <col min="6681" max="6681" width="9" style="2" bestFit="1"/>
    <col min="6682" max="6686" width="11.125" style="2" bestFit="1" customWidth="1"/>
    <col min="6687" max="6687" width="9" style="2" bestFit="1"/>
    <col min="6688" max="6688" width="9.625" style="2" bestFit="1" customWidth="1"/>
    <col min="6689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36" width="11.125" style="2" bestFit="1" customWidth="1"/>
    <col min="6937" max="6937" width="9" style="2" bestFit="1"/>
    <col min="6938" max="6942" width="11.125" style="2" bestFit="1" customWidth="1"/>
    <col min="6943" max="6943" width="9" style="2" bestFit="1"/>
    <col min="6944" max="6944" width="9.625" style="2" bestFit="1" customWidth="1"/>
    <col min="6945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2" width="11.125" style="2" bestFit="1" customWidth="1"/>
    <col min="7193" max="7193" width="9" style="2" bestFit="1"/>
    <col min="7194" max="7198" width="11.125" style="2" bestFit="1" customWidth="1"/>
    <col min="7199" max="7199" width="9" style="2" bestFit="1"/>
    <col min="7200" max="7200" width="9.625" style="2" bestFit="1" customWidth="1"/>
    <col min="7201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48" width="11.125" style="2" bestFit="1" customWidth="1"/>
    <col min="7449" max="7449" width="9" style="2" bestFit="1"/>
    <col min="7450" max="7454" width="11.125" style="2" bestFit="1" customWidth="1"/>
    <col min="7455" max="7455" width="9" style="2" bestFit="1"/>
    <col min="7456" max="7456" width="9.625" style="2" bestFit="1" customWidth="1"/>
    <col min="7457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4" width="11.125" style="2" bestFit="1" customWidth="1"/>
    <col min="7705" max="7705" width="9" style="2" bestFit="1"/>
    <col min="7706" max="7710" width="11.125" style="2" bestFit="1" customWidth="1"/>
    <col min="7711" max="7711" width="9" style="2" bestFit="1"/>
    <col min="7712" max="7712" width="9.625" style="2" bestFit="1" customWidth="1"/>
    <col min="7713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0" width="11.125" style="2" bestFit="1" customWidth="1"/>
    <col min="7961" max="7961" width="9" style="2" bestFit="1"/>
    <col min="7962" max="7966" width="11.125" style="2" bestFit="1" customWidth="1"/>
    <col min="7967" max="7967" width="9" style="2" bestFit="1"/>
    <col min="7968" max="7968" width="9.625" style="2" bestFit="1" customWidth="1"/>
    <col min="7969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16" width="11.125" style="2" bestFit="1" customWidth="1"/>
    <col min="8217" max="8217" width="9" style="2" bestFit="1"/>
    <col min="8218" max="8222" width="11.125" style="2" bestFit="1" customWidth="1"/>
    <col min="8223" max="8223" width="9" style="2" bestFit="1"/>
    <col min="8224" max="8224" width="9.625" style="2" bestFit="1" customWidth="1"/>
    <col min="8225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2" width="11.125" style="2" bestFit="1" customWidth="1"/>
    <col min="8473" max="8473" width="9" style="2" bestFit="1"/>
    <col min="8474" max="8478" width="11.125" style="2" bestFit="1" customWidth="1"/>
    <col min="8479" max="8479" width="9" style="2" bestFit="1"/>
    <col min="8480" max="8480" width="9.625" style="2" bestFit="1" customWidth="1"/>
    <col min="8481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28" width="11.125" style="2" bestFit="1" customWidth="1"/>
    <col min="8729" max="8729" width="9" style="2" bestFit="1"/>
    <col min="8730" max="8734" width="11.125" style="2" bestFit="1" customWidth="1"/>
    <col min="8735" max="8735" width="9" style="2" bestFit="1"/>
    <col min="8736" max="8736" width="9.625" style="2" bestFit="1" customWidth="1"/>
    <col min="8737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4" width="11.125" style="2" bestFit="1" customWidth="1"/>
    <col min="8985" max="8985" width="9" style="2" bestFit="1"/>
    <col min="8986" max="8990" width="11.125" style="2" bestFit="1" customWidth="1"/>
    <col min="8991" max="8991" width="9" style="2" bestFit="1"/>
    <col min="8992" max="8992" width="9.625" style="2" bestFit="1" customWidth="1"/>
    <col min="8993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0" width="11.125" style="2" bestFit="1" customWidth="1"/>
    <col min="9241" max="9241" width="9" style="2" bestFit="1"/>
    <col min="9242" max="9246" width="11.125" style="2" bestFit="1" customWidth="1"/>
    <col min="9247" max="9247" width="9" style="2" bestFit="1"/>
    <col min="9248" max="9248" width="9.625" style="2" bestFit="1" customWidth="1"/>
    <col min="9249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496" width="11.125" style="2" bestFit="1" customWidth="1"/>
    <col min="9497" max="9497" width="9" style="2" bestFit="1"/>
    <col min="9498" max="9502" width="11.125" style="2" bestFit="1" customWidth="1"/>
    <col min="9503" max="9503" width="9" style="2" bestFit="1"/>
    <col min="9504" max="9504" width="9.625" style="2" bestFit="1" customWidth="1"/>
    <col min="9505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2" width="11.125" style="2" bestFit="1" customWidth="1"/>
    <col min="9753" max="9753" width="9" style="2" bestFit="1"/>
    <col min="9754" max="9758" width="11.125" style="2" bestFit="1" customWidth="1"/>
    <col min="9759" max="9759" width="9" style="2" bestFit="1"/>
    <col min="9760" max="9760" width="9.625" style="2" bestFit="1" customWidth="1"/>
    <col min="9761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08" width="11.125" style="2" bestFit="1" customWidth="1"/>
    <col min="10009" max="10009" width="9" style="2" bestFit="1"/>
    <col min="10010" max="10014" width="11.125" style="2" bestFit="1" customWidth="1"/>
    <col min="10015" max="10015" width="9" style="2" bestFit="1"/>
    <col min="10016" max="10016" width="9.625" style="2" bestFit="1" customWidth="1"/>
    <col min="10017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4" width="11.125" style="2" bestFit="1" customWidth="1"/>
    <col min="10265" max="10265" width="9" style="2" bestFit="1"/>
    <col min="10266" max="10270" width="11.125" style="2" bestFit="1" customWidth="1"/>
    <col min="10271" max="10271" width="9" style="2" bestFit="1"/>
    <col min="10272" max="10272" width="9.625" style="2" bestFit="1" customWidth="1"/>
    <col min="10273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0" width="11.125" style="2" bestFit="1" customWidth="1"/>
    <col min="10521" max="10521" width="9" style="2" bestFit="1"/>
    <col min="10522" max="10526" width="11.125" style="2" bestFit="1" customWidth="1"/>
    <col min="10527" max="10527" width="9" style="2" bestFit="1"/>
    <col min="10528" max="10528" width="9.625" style="2" bestFit="1" customWidth="1"/>
    <col min="10529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76" width="11.125" style="2" bestFit="1" customWidth="1"/>
    <col min="10777" max="10777" width="9" style="2" bestFit="1"/>
    <col min="10778" max="10782" width="11.125" style="2" bestFit="1" customWidth="1"/>
    <col min="10783" max="10783" width="9" style="2" bestFit="1"/>
    <col min="10784" max="10784" width="9.625" style="2" bestFit="1" customWidth="1"/>
    <col min="10785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2" width="11.125" style="2" bestFit="1" customWidth="1"/>
    <col min="11033" max="11033" width="9" style="2" bestFit="1"/>
    <col min="11034" max="11038" width="11.125" style="2" bestFit="1" customWidth="1"/>
    <col min="11039" max="11039" width="9" style="2" bestFit="1"/>
    <col min="11040" max="11040" width="9.625" style="2" bestFit="1" customWidth="1"/>
    <col min="11041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88" width="11.125" style="2" bestFit="1" customWidth="1"/>
    <col min="11289" max="11289" width="9" style="2" bestFit="1"/>
    <col min="11290" max="11294" width="11.125" style="2" bestFit="1" customWidth="1"/>
    <col min="11295" max="11295" width="9" style="2" bestFit="1"/>
    <col min="11296" max="11296" width="9.625" style="2" bestFit="1" customWidth="1"/>
    <col min="11297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4" width="11.125" style="2" bestFit="1" customWidth="1"/>
    <col min="11545" max="11545" width="9" style="2" bestFit="1"/>
    <col min="11546" max="11550" width="11.125" style="2" bestFit="1" customWidth="1"/>
    <col min="11551" max="11551" width="9" style="2" bestFit="1"/>
    <col min="11552" max="11552" width="9.625" style="2" bestFit="1" customWidth="1"/>
    <col min="11553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0" width="11.125" style="2" bestFit="1" customWidth="1"/>
    <col min="11801" max="11801" width="9" style="2" bestFit="1"/>
    <col min="11802" max="11806" width="11.125" style="2" bestFit="1" customWidth="1"/>
    <col min="11807" max="11807" width="9" style="2" bestFit="1"/>
    <col min="11808" max="11808" width="9.625" style="2" bestFit="1" customWidth="1"/>
    <col min="11809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56" width="11.125" style="2" bestFit="1" customWidth="1"/>
    <col min="12057" max="12057" width="9" style="2" bestFit="1"/>
    <col min="12058" max="12062" width="11.125" style="2" bestFit="1" customWidth="1"/>
    <col min="12063" max="12063" width="9" style="2" bestFit="1"/>
    <col min="12064" max="12064" width="9.625" style="2" bestFit="1" customWidth="1"/>
    <col min="12065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2" width="11.125" style="2" bestFit="1" customWidth="1"/>
    <col min="12313" max="12313" width="9" style="2" bestFit="1"/>
    <col min="12314" max="12318" width="11.125" style="2" bestFit="1" customWidth="1"/>
    <col min="12319" max="12319" width="9" style="2" bestFit="1"/>
    <col min="12320" max="12320" width="9.625" style="2" bestFit="1" customWidth="1"/>
    <col min="12321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68" width="11.125" style="2" bestFit="1" customWidth="1"/>
    <col min="12569" max="12569" width="9" style="2" bestFit="1"/>
    <col min="12570" max="12574" width="11.125" style="2" bestFit="1" customWidth="1"/>
    <col min="12575" max="12575" width="9" style="2" bestFit="1"/>
    <col min="12576" max="12576" width="9.625" style="2" bestFit="1" customWidth="1"/>
    <col min="12577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4" width="11.125" style="2" bestFit="1" customWidth="1"/>
    <col min="12825" max="12825" width="9" style="2" bestFit="1"/>
    <col min="12826" max="12830" width="11.125" style="2" bestFit="1" customWidth="1"/>
    <col min="12831" max="12831" width="9" style="2" bestFit="1"/>
    <col min="12832" max="12832" width="9.625" style="2" bestFit="1" customWidth="1"/>
    <col min="12833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0" width="11.125" style="2" bestFit="1" customWidth="1"/>
    <col min="13081" max="13081" width="9" style="2" bestFit="1"/>
    <col min="13082" max="13086" width="11.125" style="2" bestFit="1" customWidth="1"/>
    <col min="13087" max="13087" width="9" style="2" bestFit="1"/>
    <col min="13088" max="13088" width="9.625" style="2" bestFit="1" customWidth="1"/>
    <col min="13089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36" width="11.125" style="2" bestFit="1" customWidth="1"/>
    <col min="13337" max="13337" width="9" style="2" bestFit="1"/>
    <col min="13338" max="13342" width="11.125" style="2" bestFit="1" customWidth="1"/>
    <col min="13343" max="13343" width="9" style="2" bestFit="1"/>
    <col min="13344" max="13344" width="9.625" style="2" bestFit="1" customWidth="1"/>
    <col min="13345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2" width="11.125" style="2" bestFit="1" customWidth="1"/>
    <col min="13593" max="13593" width="9" style="2" bestFit="1"/>
    <col min="13594" max="13598" width="11.125" style="2" bestFit="1" customWidth="1"/>
    <col min="13599" max="13599" width="9" style="2" bestFit="1"/>
    <col min="13600" max="13600" width="9.625" style="2" bestFit="1" customWidth="1"/>
    <col min="13601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48" width="11.125" style="2" bestFit="1" customWidth="1"/>
    <col min="13849" max="13849" width="9" style="2" bestFit="1"/>
    <col min="13850" max="13854" width="11.125" style="2" bestFit="1" customWidth="1"/>
    <col min="13855" max="13855" width="9" style="2" bestFit="1"/>
    <col min="13856" max="13856" width="9.625" style="2" bestFit="1" customWidth="1"/>
    <col min="13857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4" width="11.125" style="2" bestFit="1" customWidth="1"/>
    <col min="14105" max="14105" width="9" style="2" bestFit="1"/>
    <col min="14106" max="14110" width="11.125" style="2" bestFit="1" customWidth="1"/>
    <col min="14111" max="14111" width="9" style="2" bestFit="1"/>
    <col min="14112" max="14112" width="9.625" style="2" bestFit="1" customWidth="1"/>
    <col min="14113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0" width="11.125" style="2" bestFit="1" customWidth="1"/>
    <col min="14361" max="14361" width="9" style="2" bestFit="1"/>
    <col min="14362" max="14366" width="11.125" style="2" bestFit="1" customWidth="1"/>
    <col min="14367" max="14367" width="9" style="2" bestFit="1"/>
    <col min="14368" max="14368" width="9.625" style="2" bestFit="1" customWidth="1"/>
    <col min="14369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16" width="11.125" style="2" bestFit="1" customWidth="1"/>
    <col min="14617" max="14617" width="9" style="2" bestFit="1"/>
    <col min="14618" max="14622" width="11.125" style="2" bestFit="1" customWidth="1"/>
    <col min="14623" max="14623" width="9" style="2" bestFit="1"/>
    <col min="14624" max="14624" width="9.625" style="2" bestFit="1" customWidth="1"/>
    <col min="14625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2" width="11.125" style="2" bestFit="1" customWidth="1"/>
    <col min="14873" max="14873" width="9" style="2" bestFit="1"/>
    <col min="14874" max="14878" width="11.125" style="2" bestFit="1" customWidth="1"/>
    <col min="14879" max="14879" width="9" style="2" bestFit="1"/>
    <col min="14880" max="14880" width="9.625" style="2" bestFit="1" customWidth="1"/>
    <col min="14881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28" width="11.125" style="2" bestFit="1" customWidth="1"/>
    <col min="15129" max="15129" width="9" style="2" bestFit="1"/>
    <col min="15130" max="15134" width="11.125" style="2" bestFit="1" customWidth="1"/>
    <col min="15135" max="15135" width="9" style="2" bestFit="1"/>
    <col min="15136" max="15136" width="9.625" style="2" bestFit="1" customWidth="1"/>
    <col min="15137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4" width="11.125" style="2" bestFit="1" customWidth="1"/>
    <col min="15385" max="15385" width="9" style="2" bestFit="1"/>
    <col min="15386" max="15390" width="11.125" style="2" bestFit="1" customWidth="1"/>
    <col min="15391" max="15391" width="9" style="2" bestFit="1"/>
    <col min="15392" max="15392" width="9.625" style="2" bestFit="1" customWidth="1"/>
    <col min="15393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0" width="11.125" style="2" bestFit="1" customWidth="1"/>
    <col min="15641" max="15641" width="9" style="2" bestFit="1"/>
    <col min="15642" max="15646" width="11.125" style="2" bestFit="1" customWidth="1"/>
    <col min="15647" max="15647" width="9" style="2" bestFit="1"/>
    <col min="15648" max="15648" width="9.625" style="2" bestFit="1" customWidth="1"/>
    <col min="15649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896" width="11.125" style="2" bestFit="1" customWidth="1"/>
    <col min="15897" max="15897" width="9" style="2" bestFit="1"/>
    <col min="15898" max="15902" width="11.125" style="2" bestFit="1" customWidth="1"/>
    <col min="15903" max="15903" width="9" style="2" bestFit="1"/>
    <col min="15904" max="15904" width="9.625" style="2" bestFit="1" customWidth="1"/>
    <col min="15905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2" width="11.125" style="2" bestFit="1" customWidth="1"/>
    <col min="16153" max="16153" width="9" style="2" bestFit="1"/>
    <col min="16154" max="16158" width="11.125" style="2" bestFit="1" customWidth="1"/>
    <col min="16159" max="16159" width="9" style="2" bestFit="1"/>
    <col min="16160" max="16160" width="9.625" style="2" bestFit="1" customWidth="1"/>
    <col min="16161" max="16384" width="9" style="2"/>
  </cols>
  <sheetData>
    <row r="1" spans="1:32">
      <c r="A1" s="1" t="s">
        <v>0</v>
      </c>
    </row>
    <row r="2" spans="1:32">
      <c r="A2" s="1"/>
    </row>
    <row r="3" spans="1:32">
      <c r="A3" s="1" t="s">
        <v>1</v>
      </c>
    </row>
    <row r="4" spans="1:32">
      <c r="A4" s="1" t="s">
        <v>2</v>
      </c>
    </row>
    <row r="5" spans="1:32">
      <c r="A5" s="1" t="s">
        <v>3</v>
      </c>
    </row>
    <row r="6" spans="1:32" ht="19.5" thickBot="1">
      <c r="A6" s="1" t="s">
        <v>4</v>
      </c>
    </row>
    <row r="7" spans="1:32">
      <c r="B7" s="15"/>
      <c r="C7" s="2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60" t="s">
        <v>20</v>
      </c>
      <c r="S7" s="72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4" t="s">
        <v>29</v>
      </c>
      <c r="AB7" s="60" t="s">
        <v>30</v>
      </c>
      <c r="AC7" s="72" t="s">
        <v>21</v>
      </c>
      <c r="AD7" s="24" t="s">
        <v>31</v>
      </c>
      <c r="AE7" s="59" t="s">
        <v>21</v>
      </c>
      <c r="AF7" s="59" t="s">
        <v>32</v>
      </c>
    </row>
    <row r="8" spans="1:32" ht="19.5" thickBot="1">
      <c r="A8" s="3"/>
      <c r="B8" s="35" t="s">
        <v>33</v>
      </c>
      <c r="C8" s="36" t="s">
        <v>34</v>
      </c>
      <c r="D8" s="37" t="s">
        <v>35</v>
      </c>
      <c r="E8" s="37" t="s">
        <v>36</v>
      </c>
      <c r="F8" s="37" t="s">
        <v>37</v>
      </c>
      <c r="G8" s="37" t="s">
        <v>38</v>
      </c>
      <c r="H8" s="37" t="s">
        <v>39</v>
      </c>
      <c r="I8" s="37" t="s">
        <v>40</v>
      </c>
      <c r="J8" s="37" t="s">
        <v>41</v>
      </c>
      <c r="K8" s="37" t="s">
        <v>42</v>
      </c>
      <c r="L8" s="37" t="s">
        <v>43</v>
      </c>
      <c r="M8" s="37" t="s">
        <v>44</v>
      </c>
      <c r="N8" s="37" t="s">
        <v>45</v>
      </c>
      <c r="O8" s="37" t="s">
        <v>46</v>
      </c>
      <c r="P8" s="37" t="s">
        <v>47</v>
      </c>
      <c r="Q8" s="37" t="s">
        <v>48</v>
      </c>
      <c r="R8" s="61" t="s">
        <v>49</v>
      </c>
      <c r="S8" s="73" t="s">
        <v>50</v>
      </c>
      <c r="T8" s="37" t="s">
        <v>51</v>
      </c>
      <c r="U8" s="37" t="s">
        <v>52</v>
      </c>
      <c r="V8" s="37" t="s">
        <v>53</v>
      </c>
      <c r="W8" s="37" t="s">
        <v>54</v>
      </c>
      <c r="X8" s="37" t="s">
        <v>55</v>
      </c>
      <c r="Y8" s="37" t="s">
        <v>56</v>
      </c>
      <c r="Z8" s="37" t="s">
        <v>57</v>
      </c>
      <c r="AA8" s="37" t="s">
        <v>58</v>
      </c>
      <c r="AB8" s="61" t="s">
        <v>59</v>
      </c>
      <c r="AC8" s="73" t="s">
        <v>60</v>
      </c>
      <c r="AD8" s="38" t="s">
        <v>61</v>
      </c>
      <c r="AE8" s="39" t="s">
        <v>62</v>
      </c>
      <c r="AF8" s="39" t="s">
        <v>63</v>
      </c>
    </row>
    <row r="9" spans="1:32">
      <c r="A9" s="1" t="s">
        <v>3</v>
      </c>
      <c r="B9" s="30" t="s">
        <v>64</v>
      </c>
      <c r="C9" s="31">
        <v>16</v>
      </c>
      <c r="D9" s="32">
        <v>8</v>
      </c>
      <c r="E9" s="32">
        <v>19</v>
      </c>
      <c r="F9" s="32">
        <v>18</v>
      </c>
      <c r="G9" s="32">
        <v>16</v>
      </c>
      <c r="H9" s="32">
        <v>17</v>
      </c>
      <c r="I9" s="32">
        <v>18</v>
      </c>
      <c r="J9" s="32">
        <v>18</v>
      </c>
      <c r="K9" s="32">
        <v>19</v>
      </c>
      <c r="L9" s="32">
        <v>18</v>
      </c>
      <c r="M9" s="32">
        <v>18</v>
      </c>
      <c r="N9" s="32">
        <v>18</v>
      </c>
      <c r="O9" s="32">
        <v>20</v>
      </c>
      <c r="P9" s="32">
        <v>21</v>
      </c>
      <c r="Q9" s="32">
        <v>19</v>
      </c>
      <c r="R9" s="62">
        <v>22</v>
      </c>
      <c r="S9" s="74">
        <f>SUM(C9:R9)</f>
        <v>285</v>
      </c>
      <c r="T9" s="32">
        <v>19</v>
      </c>
      <c r="U9" s="32">
        <v>21</v>
      </c>
      <c r="V9" s="32">
        <v>16</v>
      </c>
      <c r="W9" s="32">
        <v>10</v>
      </c>
      <c r="X9" s="32">
        <v>13</v>
      </c>
      <c r="Y9" s="32">
        <v>18</v>
      </c>
      <c r="Z9" s="32">
        <v>7</v>
      </c>
      <c r="AA9" s="32">
        <v>10</v>
      </c>
      <c r="AB9" s="62">
        <v>18</v>
      </c>
      <c r="AC9" s="74">
        <f>SUM(T9:AB9)</f>
        <v>132</v>
      </c>
      <c r="AD9" s="33">
        <v>20</v>
      </c>
      <c r="AE9" s="34">
        <f>AD9</f>
        <v>20</v>
      </c>
      <c r="AF9" s="34">
        <f>S9+AC9+AE9</f>
        <v>437</v>
      </c>
    </row>
    <row r="10" spans="1:32">
      <c r="A10" s="1" t="s">
        <v>3</v>
      </c>
      <c r="B10" s="16" t="s">
        <v>65</v>
      </c>
      <c r="C10" s="25">
        <v>3</v>
      </c>
      <c r="D10" s="5">
        <v>0</v>
      </c>
      <c r="E10" s="5">
        <v>3</v>
      </c>
      <c r="F10" s="5">
        <v>3</v>
      </c>
      <c r="G10" s="5">
        <v>3</v>
      </c>
      <c r="H10" s="5">
        <v>2</v>
      </c>
      <c r="I10" s="5">
        <v>2</v>
      </c>
      <c r="J10" s="5">
        <v>4</v>
      </c>
      <c r="K10" s="5">
        <v>3</v>
      </c>
      <c r="L10" s="5">
        <v>3</v>
      </c>
      <c r="M10" s="5">
        <v>3</v>
      </c>
      <c r="N10" s="5">
        <v>1</v>
      </c>
      <c r="O10" s="5">
        <v>4</v>
      </c>
      <c r="P10" s="5">
        <v>3</v>
      </c>
      <c r="Q10" s="5">
        <v>3</v>
      </c>
      <c r="R10" s="63">
        <v>2</v>
      </c>
      <c r="S10" s="75">
        <f t="shared" ref="S10:S22" si="0">SUM(C10:R10)</f>
        <v>42</v>
      </c>
      <c r="T10" s="5">
        <v>0</v>
      </c>
      <c r="U10" s="5">
        <v>2</v>
      </c>
      <c r="V10" s="5">
        <v>3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63">
        <v>0</v>
      </c>
      <c r="AC10" s="75">
        <f t="shared" ref="AC10:AC22" si="1">SUM(T10:AB10)</f>
        <v>5</v>
      </c>
      <c r="AD10" s="6">
        <v>0</v>
      </c>
      <c r="AE10" s="18">
        <f t="shared" ref="AE10:AE22" si="2">AD10</f>
        <v>0</v>
      </c>
      <c r="AF10" s="18">
        <f t="shared" ref="AF10:AF22" si="3">S10+AC10+AE10</f>
        <v>47</v>
      </c>
    </row>
    <row r="11" spans="1:32">
      <c r="A11" s="1" t="s">
        <v>3</v>
      </c>
      <c r="B11" s="16" t="s">
        <v>66</v>
      </c>
      <c r="C11" s="25">
        <v>3</v>
      </c>
      <c r="D11" s="5">
        <v>0</v>
      </c>
      <c r="E11" s="5">
        <v>1</v>
      </c>
      <c r="F11" s="5">
        <v>0</v>
      </c>
      <c r="G11" s="5">
        <v>3</v>
      </c>
      <c r="H11" s="5">
        <v>4</v>
      </c>
      <c r="I11" s="5">
        <v>1</v>
      </c>
      <c r="J11" s="5">
        <v>2</v>
      </c>
      <c r="K11" s="5">
        <v>1</v>
      </c>
      <c r="L11" s="5">
        <v>2</v>
      </c>
      <c r="M11" s="5">
        <v>2</v>
      </c>
      <c r="N11" s="5">
        <v>3</v>
      </c>
      <c r="O11" s="5">
        <v>1</v>
      </c>
      <c r="P11" s="5">
        <v>1</v>
      </c>
      <c r="Q11" s="5">
        <v>0</v>
      </c>
      <c r="R11" s="63">
        <v>2</v>
      </c>
      <c r="S11" s="75">
        <f t="shared" si="0"/>
        <v>26</v>
      </c>
      <c r="T11" s="5">
        <v>0</v>
      </c>
      <c r="U11" s="5">
        <v>1</v>
      </c>
      <c r="V11" s="5">
        <v>2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63">
        <v>0</v>
      </c>
      <c r="AC11" s="75">
        <f t="shared" si="1"/>
        <v>3</v>
      </c>
      <c r="AD11" s="6">
        <v>0</v>
      </c>
      <c r="AE11" s="18">
        <f t="shared" si="2"/>
        <v>0</v>
      </c>
      <c r="AF11" s="18">
        <f t="shared" si="3"/>
        <v>29</v>
      </c>
    </row>
    <row r="12" spans="1:32">
      <c r="A12" s="1" t="s">
        <v>3</v>
      </c>
      <c r="B12" s="16" t="s">
        <v>67</v>
      </c>
      <c r="C12" s="2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2</v>
      </c>
      <c r="R12" s="63">
        <v>0</v>
      </c>
      <c r="S12" s="75">
        <f t="shared" si="0"/>
        <v>3</v>
      </c>
      <c r="T12" s="5">
        <v>0</v>
      </c>
      <c r="U12" s="5">
        <v>0</v>
      </c>
      <c r="V12" s="5">
        <v>3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63">
        <v>0</v>
      </c>
      <c r="AC12" s="75">
        <f t="shared" si="1"/>
        <v>3</v>
      </c>
      <c r="AD12" s="6">
        <v>0</v>
      </c>
      <c r="AE12" s="18">
        <f t="shared" si="2"/>
        <v>0</v>
      </c>
      <c r="AF12" s="18">
        <f t="shared" si="3"/>
        <v>6</v>
      </c>
    </row>
    <row r="13" spans="1:32">
      <c r="A13" s="1" t="s">
        <v>3</v>
      </c>
      <c r="B13" s="16" t="s">
        <v>68</v>
      </c>
      <c r="C13" s="25">
        <v>6</v>
      </c>
      <c r="D13" s="5">
        <v>14</v>
      </c>
      <c r="E13" s="5">
        <v>3</v>
      </c>
      <c r="F13" s="5">
        <v>4</v>
      </c>
      <c r="G13" s="5">
        <v>6</v>
      </c>
      <c r="H13" s="5">
        <v>5</v>
      </c>
      <c r="I13" s="5">
        <v>4</v>
      </c>
      <c r="J13" s="5">
        <v>4</v>
      </c>
      <c r="K13" s="5">
        <v>3</v>
      </c>
      <c r="L13" s="5">
        <v>4</v>
      </c>
      <c r="M13" s="5">
        <v>4</v>
      </c>
      <c r="N13" s="5">
        <v>4</v>
      </c>
      <c r="O13" s="5">
        <v>1</v>
      </c>
      <c r="P13" s="5">
        <v>1</v>
      </c>
      <c r="Q13" s="5">
        <v>1</v>
      </c>
      <c r="R13" s="63">
        <v>0</v>
      </c>
      <c r="S13" s="75">
        <f t="shared" si="0"/>
        <v>64</v>
      </c>
      <c r="T13" s="5">
        <v>3</v>
      </c>
      <c r="U13" s="5">
        <v>1.5</v>
      </c>
      <c r="V13" s="5">
        <v>3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63">
        <v>0</v>
      </c>
      <c r="AC13" s="75">
        <f t="shared" si="1"/>
        <v>8.5</v>
      </c>
      <c r="AD13" s="6">
        <v>2</v>
      </c>
      <c r="AE13" s="18">
        <f t="shared" si="2"/>
        <v>2</v>
      </c>
      <c r="AF13" s="18">
        <f t="shared" si="3"/>
        <v>74.5</v>
      </c>
    </row>
    <row r="14" spans="1:32">
      <c r="A14" s="1" t="s">
        <v>3</v>
      </c>
      <c r="B14" s="16" t="s">
        <v>69</v>
      </c>
      <c r="C14" s="26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64">
        <v>0</v>
      </c>
      <c r="S14" s="76">
        <f t="shared" si="0"/>
        <v>0</v>
      </c>
      <c r="T14" s="7">
        <v>0</v>
      </c>
      <c r="U14" s="7">
        <v>0</v>
      </c>
      <c r="V14" s="7">
        <v>0</v>
      </c>
      <c r="W14" s="7">
        <v>2.9166666666666665</v>
      </c>
      <c r="X14" s="7">
        <v>3.3333333333333335</v>
      </c>
      <c r="Y14" s="7">
        <v>4.416666666666667</v>
      </c>
      <c r="Z14" s="7">
        <v>2.25</v>
      </c>
      <c r="AA14" s="7">
        <v>2.9166666666666665</v>
      </c>
      <c r="AB14" s="64">
        <v>5</v>
      </c>
      <c r="AC14" s="76">
        <f t="shared" si="1"/>
        <v>20.833333333333336</v>
      </c>
      <c r="AD14" s="8">
        <v>0</v>
      </c>
      <c r="AE14" s="19">
        <f t="shared" si="2"/>
        <v>0</v>
      </c>
      <c r="AF14" s="19">
        <f t="shared" si="3"/>
        <v>20.833333333333336</v>
      </c>
    </row>
    <row r="15" spans="1:32">
      <c r="A15" s="1" t="s">
        <v>3</v>
      </c>
      <c r="B15" s="16" t="s">
        <v>70</v>
      </c>
      <c r="C15" s="26">
        <v>0.375</v>
      </c>
      <c r="D15" s="7">
        <v>0</v>
      </c>
      <c r="E15" s="7">
        <v>1.3333333333333333</v>
      </c>
      <c r="F15" s="7">
        <v>1.6666666666666665</v>
      </c>
      <c r="G15" s="7">
        <v>1.3333333333333333</v>
      </c>
      <c r="H15" s="7">
        <v>1.4166666666666667</v>
      </c>
      <c r="I15" s="7">
        <v>1.3333333333333333</v>
      </c>
      <c r="J15" s="7">
        <v>1.0833333333333333</v>
      </c>
      <c r="K15" s="7">
        <v>1.4583333333333333</v>
      </c>
      <c r="L15" s="7">
        <v>1.5833333333333335</v>
      </c>
      <c r="M15" s="7">
        <v>0.54166666666666663</v>
      </c>
      <c r="N15" s="7">
        <v>0.70833333333333337</v>
      </c>
      <c r="O15" s="7">
        <v>2.6666666666666665</v>
      </c>
      <c r="P15" s="7">
        <v>2.6666666666666665</v>
      </c>
      <c r="Q15" s="7">
        <v>1.7083333333333335</v>
      </c>
      <c r="R15" s="64">
        <v>0.70833333333333337</v>
      </c>
      <c r="S15" s="76">
        <f t="shared" si="0"/>
        <v>20.583333333333332</v>
      </c>
      <c r="T15" s="7">
        <v>0</v>
      </c>
      <c r="U15" s="7">
        <v>0.70833333333333337</v>
      </c>
      <c r="V15" s="7">
        <v>0.16666666666666666</v>
      </c>
      <c r="W15" s="7">
        <v>0</v>
      </c>
      <c r="X15" s="7">
        <v>0</v>
      </c>
      <c r="Y15" s="7">
        <v>0</v>
      </c>
      <c r="Z15" s="7">
        <v>8.3333333333333329E-2</v>
      </c>
      <c r="AA15" s="7">
        <v>0</v>
      </c>
      <c r="AB15" s="64">
        <v>0.33333333333333331</v>
      </c>
      <c r="AC15" s="76">
        <f t="shared" si="1"/>
        <v>1.2916666666666667</v>
      </c>
      <c r="AD15" s="8">
        <v>0</v>
      </c>
      <c r="AE15" s="19">
        <f t="shared" si="2"/>
        <v>0</v>
      </c>
      <c r="AF15" s="19">
        <f t="shared" si="3"/>
        <v>21.875</v>
      </c>
    </row>
    <row r="16" spans="1:32">
      <c r="A16" s="1" t="s">
        <v>3</v>
      </c>
      <c r="B16" s="16" t="s">
        <v>71</v>
      </c>
      <c r="C16" s="26">
        <v>0.75</v>
      </c>
      <c r="D16" s="7">
        <v>0</v>
      </c>
      <c r="E16" s="7">
        <v>1.5</v>
      </c>
      <c r="F16" s="7">
        <v>1.0416666666666667</v>
      </c>
      <c r="G16" s="7">
        <v>1.2083333333333333</v>
      </c>
      <c r="H16" s="7">
        <v>0.70833333333333337</v>
      </c>
      <c r="I16" s="7">
        <v>0.58333333333333337</v>
      </c>
      <c r="J16" s="7">
        <v>1</v>
      </c>
      <c r="K16" s="7">
        <v>1.1666666666666667</v>
      </c>
      <c r="L16" s="7">
        <v>0.875</v>
      </c>
      <c r="M16" s="7">
        <v>0.625</v>
      </c>
      <c r="N16" s="7">
        <v>0.20833333333333334</v>
      </c>
      <c r="O16" s="7">
        <v>2</v>
      </c>
      <c r="P16" s="7">
        <v>1.125</v>
      </c>
      <c r="Q16" s="7">
        <v>0.375</v>
      </c>
      <c r="R16" s="64">
        <v>0.625</v>
      </c>
      <c r="S16" s="76">
        <f t="shared" si="0"/>
        <v>13.791666666666666</v>
      </c>
      <c r="T16" s="7">
        <v>0</v>
      </c>
      <c r="U16" s="7">
        <v>8.3333333333333329E-2</v>
      </c>
      <c r="V16" s="7">
        <v>0.41666666666666669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64">
        <v>0</v>
      </c>
      <c r="AC16" s="76">
        <f t="shared" si="1"/>
        <v>0.5</v>
      </c>
      <c r="AD16" s="8">
        <v>0</v>
      </c>
      <c r="AE16" s="19">
        <f t="shared" si="2"/>
        <v>0</v>
      </c>
      <c r="AF16" s="19">
        <f t="shared" si="3"/>
        <v>14.291666666666666</v>
      </c>
    </row>
    <row r="17" spans="1:32">
      <c r="A17" s="1" t="s">
        <v>3</v>
      </c>
      <c r="B17" s="16" t="s">
        <v>72</v>
      </c>
      <c r="C17" s="26">
        <v>0.875</v>
      </c>
      <c r="D17" s="7">
        <v>0</v>
      </c>
      <c r="E17" s="7">
        <v>0.45833333333333331</v>
      </c>
      <c r="F17" s="7">
        <v>0</v>
      </c>
      <c r="G17" s="7">
        <v>1.0833333333333333</v>
      </c>
      <c r="H17" s="7">
        <v>1.2083333333333333</v>
      </c>
      <c r="I17" s="7">
        <v>0.29166666666666669</v>
      </c>
      <c r="J17" s="7">
        <v>0.66666666666666663</v>
      </c>
      <c r="K17" s="7">
        <v>0.25</v>
      </c>
      <c r="L17" s="7">
        <v>0.5</v>
      </c>
      <c r="M17" s="7">
        <v>0.5</v>
      </c>
      <c r="N17" s="7">
        <v>0.95833333333333337</v>
      </c>
      <c r="O17" s="7">
        <v>0</v>
      </c>
      <c r="P17" s="7">
        <v>0.375</v>
      </c>
      <c r="Q17" s="7">
        <v>0</v>
      </c>
      <c r="R17" s="64">
        <v>0.58333333333333337</v>
      </c>
      <c r="S17" s="76">
        <f t="shared" si="0"/>
        <v>7.7499999999999991</v>
      </c>
      <c r="T17" s="7">
        <v>0</v>
      </c>
      <c r="U17" s="7">
        <v>4.1666666666666664E-2</v>
      </c>
      <c r="V17" s="7">
        <v>0.41666666666666669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64">
        <v>0</v>
      </c>
      <c r="AC17" s="76">
        <f t="shared" si="1"/>
        <v>0.45833333333333337</v>
      </c>
      <c r="AD17" s="8">
        <v>0</v>
      </c>
      <c r="AE17" s="19">
        <f t="shared" si="2"/>
        <v>0</v>
      </c>
      <c r="AF17" s="19">
        <f t="shared" si="3"/>
        <v>8.2083333333333321</v>
      </c>
    </row>
    <row r="18" spans="1:32">
      <c r="A18" s="1" t="s">
        <v>3</v>
      </c>
      <c r="B18" s="16" t="s">
        <v>73</v>
      </c>
      <c r="C18" s="2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0.66666666666666663</v>
      </c>
      <c r="R18" s="64">
        <v>0</v>
      </c>
      <c r="S18" s="76">
        <f t="shared" si="0"/>
        <v>0.66666666666666663</v>
      </c>
      <c r="T18" s="7">
        <v>0</v>
      </c>
      <c r="U18" s="7">
        <v>0</v>
      </c>
      <c r="V18" s="7">
        <v>0.70833333333333337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64">
        <v>0</v>
      </c>
      <c r="AC18" s="76">
        <f t="shared" si="1"/>
        <v>0.70833333333333337</v>
      </c>
      <c r="AD18" s="8">
        <v>0</v>
      </c>
      <c r="AE18" s="19">
        <f t="shared" si="2"/>
        <v>0</v>
      </c>
      <c r="AF18" s="19">
        <f t="shared" si="3"/>
        <v>1.375</v>
      </c>
    </row>
    <row r="19" spans="1:32">
      <c r="A19" s="1" t="s">
        <v>3</v>
      </c>
      <c r="B19" s="16" t="s">
        <v>74</v>
      </c>
      <c r="C19" s="2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0.125</v>
      </c>
      <c r="P19" s="7">
        <v>0</v>
      </c>
      <c r="Q19" s="7">
        <v>0</v>
      </c>
      <c r="R19" s="64">
        <v>0</v>
      </c>
      <c r="S19" s="76">
        <f t="shared" si="0"/>
        <v>0.125</v>
      </c>
      <c r="T19" s="7">
        <v>0</v>
      </c>
      <c r="U19" s="7">
        <v>0</v>
      </c>
      <c r="V19" s="7">
        <v>0.41666666666666669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64">
        <v>0</v>
      </c>
      <c r="AC19" s="76">
        <f t="shared" si="1"/>
        <v>0.41666666666666669</v>
      </c>
      <c r="AD19" s="8">
        <v>0</v>
      </c>
      <c r="AE19" s="19">
        <f t="shared" si="2"/>
        <v>0</v>
      </c>
      <c r="AF19" s="19">
        <f t="shared" si="3"/>
        <v>0.54166666666666674</v>
      </c>
    </row>
    <row r="20" spans="1:32">
      <c r="A20" s="1" t="s">
        <v>3</v>
      </c>
      <c r="B20" s="16" t="s">
        <v>75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0.16666666666666666</v>
      </c>
      <c r="P20" s="7">
        <v>0.20833333333333334</v>
      </c>
      <c r="Q20" s="7">
        <v>0</v>
      </c>
      <c r="R20" s="64">
        <v>0</v>
      </c>
      <c r="S20" s="76">
        <f t="shared" si="0"/>
        <v>0.375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64">
        <v>0</v>
      </c>
      <c r="AC20" s="76">
        <f t="shared" si="1"/>
        <v>0</v>
      </c>
      <c r="AD20" s="8">
        <v>0</v>
      </c>
      <c r="AE20" s="19">
        <f t="shared" si="2"/>
        <v>0</v>
      </c>
      <c r="AF20" s="19">
        <f t="shared" si="3"/>
        <v>0.375</v>
      </c>
    </row>
    <row r="21" spans="1:32">
      <c r="A21" s="1" t="s">
        <v>3</v>
      </c>
      <c r="B21" s="16" t="s">
        <v>76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64">
        <v>0</v>
      </c>
      <c r="S21" s="76">
        <f t="shared" si="0"/>
        <v>0</v>
      </c>
      <c r="T21" s="7">
        <v>0</v>
      </c>
      <c r="U21" s="7">
        <v>0</v>
      </c>
      <c r="V21" s="7">
        <v>0</v>
      </c>
      <c r="W21" s="7">
        <v>0.29166666666666669</v>
      </c>
      <c r="X21" s="7">
        <v>0</v>
      </c>
      <c r="Y21" s="7">
        <v>0</v>
      </c>
      <c r="Z21" s="7">
        <v>0</v>
      </c>
      <c r="AA21" s="7">
        <v>0</v>
      </c>
      <c r="AB21" s="64">
        <v>0</v>
      </c>
      <c r="AC21" s="76">
        <f t="shared" si="1"/>
        <v>0.29166666666666669</v>
      </c>
      <c r="AD21" s="8">
        <v>0</v>
      </c>
      <c r="AE21" s="19">
        <f t="shared" si="2"/>
        <v>0</v>
      </c>
      <c r="AF21" s="19">
        <f t="shared" si="3"/>
        <v>0.29166666666666669</v>
      </c>
    </row>
    <row r="22" spans="1:32">
      <c r="A22" s="1" t="s">
        <v>3</v>
      </c>
      <c r="B22" s="16" t="s">
        <v>77</v>
      </c>
      <c r="C22" s="26">
        <v>4.1666666666666664E-2</v>
      </c>
      <c r="D22" s="7">
        <v>0</v>
      </c>
      <c r="E22" s="7">
        <v>0.66666666666666663</v>
      </c>
      <c r="F22" s="7">
        <v>0.70833333333333337</v>
      </c>
      <c r="G22" s="7">
        <v>1.9166666666666665</v>
      </c>
      <c r="H22" s="7">
        <v>0.25</v>
      </c>
      <c r="I22" s="7">
        <v>0.29166666666666669</v>
      </c>
      <c r="J22" s="7">
        <v>0.25</v>
      </c>
      <c r="K22" s="7">
        <v>0.875</v>
      </c>
      <c r="L22" s="7">
        <v>0.625</v>
      </c>
      <c r="M22" s="7">
        <v>0.125</v>
      </c>
      <c r="N22" s="7">
        <v>0.125</v>
      </c>
      <c r="O22" s="7">
        <v>1.2083333333333333</v>
      </c>
      <c r="P22" s="7">
        <v>1.4166666666666667</v>
      </c>
      <c r="Q22" s="7">
        <v>0.375</v>
      </c>
      <c r="R22" s="64">
        <v>4.1666666666666664E-2</v>
      </c>
      <c r="S22" s="76">
        <f t="shared" si="0"/>
        <v>8.9166666666666661</v>
      </c>
      <c r="T22" s="7">
        <v>0</v>
      </c>
      <c r="U22" s="7">
        <v>0</v>
      </c>
      <c r="V22" s="7">
        <v>0</v>
      </c>
      <c r="W22" s="7">
        <v>2.0833333333333335</v>
      </c>
      <c r="X22" s="7">
        <v>0</v>
      </c>
      <c r="Y22" s="7">
        <v>0</v>
      </c>
      <c r="Z22" s="7">
        <v>0.41666666666666669</v>
      </c>
      <c r="AA22" s="7">
        <v>2.0833333333333335</v>
      </c>
      <c r="AB22" s="64">
        <v>1.9583333333333335</v>
      </c>
      <c r="AC22" s="76">
        <f t="shared" si="1"/>
        <v>6.5416666666666679</v>
      </c>
      <c r="AD22" s="8">
        <v>0</v>
      </c>
      <c r="AE22" s="19">
        <f t="shared" si="2"/>
        <v>0</v>
      </c>
      <c r="AF22" s="19">
        <f t="shared" si="3"/>
        <v>15.458333333333334</v>
      </c>
    </row>
    <row r="23" spans="1:32">
      <c r="A23" s="1" t="s">
        <v>3</v>
      </c>
      <c r="B23" s="44" t="s">
        <v>78</v>
      </c>
      <c r="C23" s="45">
        <v>9.5</v>
      </c>
      <c r="D23" s="46">
        <v>0</v>
      </c>
      <c r="E23" s="46">
        <v>26</v>
      </c>
      <c r="F23" s="46">
        <v>33</v>
      </c>
      <c r="G23" s="46">
        <v>24</v>
      </c>
      <c r="H23" s="46">
        <v>19</v>
      </c>
      <c r="I23" s="46">
        <v>30</v>
      </c>
      <c r="J23" s="46">
        <v>27.5</v>
      </c>
      <c r="K23" s="46">
        <v>29.5</v>
      </c>
      <c r="L23" s="46">
        <v>29</v>
      </c>
      <c r="M23" s="46">
        <v>25.5</v>
      </c>
      <c r="N23" s="46">
        <v>29.5</v>
      </c>
      <c r="O23" s="46">
        <v>12</v>
      </c>
      <c r="P23" s="46">
        <v>13</v>
      </c>
      <c r="Q23" s="46">
        <v>23</v>
      </c>
      <c r="R23" s="65">
        <v>0</v>
      </c>
      <c r="S23" s="77"/>
      <c r="T23" s="46">
        <v>27.5</v>
      </c>
      <c r="U23" s="46">
        <v>38</v>
      </c>
      <c r="V23" s="46">
        <v>12</v>
      </c>
      <c r="W23" s="46">
        <v>4</v>
      </c>
      <c r="X23" s="46">
        <v>21</v>
      </c>
      <c r="Y23" s="46">
        <v>21</v>
      </c>
      <c r="Z23" s="46">
        <v>6</v>
      </c>
      <c r="AA23" s="46">
        <v>18</v>
      </c>
      <c r="AB23" s="65">
        <v>6</v>
      </c>
      <c r="AC23" s="77"/>
      <c r="AD23" s="47">
        <v>34.5</v>
      </c>
      <c r="AE23" s="48"/>
      <c r="AF23" s="48"/>
    </row>
    <row r="24" spans="1:32">
      <c r="A24" s="1" t="s">
        <v>3</v>
      </c>
      <c r="B24" s="30" t="s">
        <v>79</v>
      </c>
      <c r="C24" s="40">
        <v>182000</v>
      </c>
      <c r="D24" s="41">
        <v>192000</v>
      </c>
      <c r="E24" s="41">
        <v>197000</v>
      </c>
      <c r="F24" s="41">
        <v>197000</v>
      </c>
      <c r="G24" s="41">
        <v>197000</v>
      </c>
      <c r="H24" s="41">
        <v>182000</v>
      </c>
      <c r="I24" s="41">
        <v>187000</v>
      </c>
      <c r="J24" s="41">
        <v>182000</v>
      </c>
      <c r="K24" s="41">
        <v>197000</v>
      </c>
      <c r="L24" s="41">
        <v>192000</v>
      </c>
      <c r="M24" s="41">
        <v>192000</v>
      </c>
      <c r="N24" s="41">
        <v>182000</v>
      </c>
      <c r="O24" s="41">
        <v>175000</v>
      </c>
      <c r="P24" s="41">
        <v>175000</v>
      </c>
      <c r="Q24" s="41">
        <v>180000</v>
      </c>
      <c r="R24" s="66">
        <v>175000</v>
      </c>
      <c r="S24" s="78">
        <f t="shared" ref="S24:S54" si="4">SUM(C24:R24)</f>
        <v>2984000</v>
      </c>
      <c r="T24" s="41">
        <v>370000</v>
      </c>
      <c r="U24" s="41">
        <v>285000</v>
      </c>
      <c r="V24" s="41">
        <v>225000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66">
        <v>0</v>
      </c>
      <c r="AC24" s="78">
        <f t="shared" ref="AC24:AC54" si="5">SUM(T24:AB24)</f>
        <v>880000</v>
      </c>
      <c r="AD24" s="42">
        <v>390000</v>
      </c>
      <c r="AE24" s="43">
        <f t="shared" ref="AE24:AE54" si="6">AD24</f>
        <v>390000</v>
      </c>
      <c r="AF24" s="43">
        <f t="shared" ref="AF24:AF54" si="7">S24+AC24+AE24</f>
        <v>4254000</v>
      </c>
    </row>
    <row r="25" spans="1:32">
      <c r="A25" s="1" t="s">
        <v>3</v>
      </c>
      <c r="B25" s="16" t="s">
        <v>80</v>
      </c>
      <c r="C25" s="27">
        <v>0</v>
      </c>
      <c r="D25" s="9">
        <v>0</v>
      </c>
      <c r="E25" s="9">
        <v>20000</v>
      </c>
      <c r="F25" s="9">
        <v>20000</v>
      </c>
      <c r="G25" s="9">
        <v>0</v>
      </c>
      <c r="H25" s="9">
        <v>0</v>
      </c>
      <c r="I25" s="9">
        <v>5000</v>
      </c>
      <c r="J25" s="9">
        <v>0</v>
      </c>
      <c r="K25" s="9">
        <v>0</v>
      </c>
      <c r="L25" s="9">
        <v>0</v>
      </c>
      <c r="M25" s="9">
        <v>5000</v>
      </c>
      <c r="N25" s="9">
        <v>0</v>
      </c>
      <c r="O25" s="9">
        <v>0</v>
      </c>
      <c r="P25" s="9">
        <v>0</v>
      </c>
      <c r="Q25" s="9">
        <v>0</v>
      </c>
      <c r="R25" s="67">
        <v>0</v>
      </c>
      <c r="S25" s="79">
        <f t="shared" si="4"/>
        <v>50000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67">
        <v>0</v>
      </c>
      <c r="AC25" s="79">
        <f t="shared" si="5"/>
        <v>0</v>
      </c>
      <c r="AD25" s="10">
        <v>0</v>
      </c>
      <c r="AE25" s="20">
        <f t="shared" si="6"/>
        <v>0</v>
      </c>
      <c r="AF25" s="20">
        <f t="shared" si="7"/>
        <v>50000</v>
      </c>
    </row>
    <row r="26" spans="1:32">
      <c r="A26" s="1" t="s">
        <v>3</v>
      </c>
      <c r="B26" s="16" t="s">
        <v>81</v>
      </c>
      <c r="C26" s="27">
        <v>0</v>
      </c>
      <c r="D26" s="9">
        <v>0</v>
      </c>
      <c r="E26" s="9">
        <v>3000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67">
        <v>0</v>
      </c>
      <c r="S26" s="79">
        <f t="shared" si="4"/>
        <v>3000</v>
      </c>
      <c r="T26" s="9">
        <v>0</v>
      </c>
      <c r="U26" s="9">
        <v>3000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67">
        <v>0</v>
      </c>
      <c r="AC26" s="79">
        <f t="shared" si="5"/>
        <v>3000</v>
      </c>
      <c r="AD26" s="10">
        <v>0</v>
      </c>
      <c r="AE26" s="20">
        <f t="shared" si="6"/>
        <v>0</v>
      </c>
      <c r="AF26" s="20">
        <f t="shared" si="7"/>
        <v>6000</v>
      </c>
    </row>
    <row r="27" spans="1:32">
      <c r="A27" s="1" t="s">
        <v>3</v>
      </c>
      <c r="B27" s="16" t="s">
        <v>82</v>
      </c>
      <c r="C27" s="27">
        <v>0</v>
      </c>
      <c r="D27" s="9">
        <v>0</v>
      </c>
      <c r="E27" s="9">
        <v>0</v>
      </c>
      <c r="F27" s="9">
        <v>7069</v>
      </c>
      <c r="G27" s="9">
        <v>6264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99649</v>
      </c>
      <c r="N27" s="9">
        <v>35730</v>
      </c>
      <c r="O27" s="9">
        <v>0</v>
      </c>
      <c r="P27" s="9">
        <v>0</v>
      </c>
      <c r="Q27" s="9">
        <v>38272</v>
      </c>
      <c r="R27" s="67">
        <v>0</v>
      </c>
      <c r="S27" s="79">
        <f t="shared" si="4"/>
        <v>186984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67">
        <v>0</v>
      </c>
      <c r="AC27" s="79">
        <f t="shared" si="5"/>
        <v>0</v>
      </c>
      <c r="AD27" s="10">
        <v>0</v>
      </c>
      <c r="AE27" s="20">
        <f t="shared" si="6"/>
        <v>0</v>
      </c>
      <c r="AF27" s="20">
        <f t="shared" si="7"/>
        <v>186984</v>
      </c>
    </row>
    <row r="28" spans="1:32">
      <c r="A28" s="1" t="s">
        <v>3</v>
      </c>
      <c r="B28" s="16" t="s">
        <v>83</v>
      </c>
      <c r="C28" s="27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67">
        <v>0</v>
      </c>
      <c r="S28" s="79">
        <f t="shared" si="4"/>
        <v>0</v>
      </c>
      <c r="T28" s="9">
        <v>0</v>
      </c>
      <c r="U28" s="9">
        <v>3000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67">
        <v>0</v>
      </c>
      <c r="AC28" s="79">
        <f t="shared" si="5"/>
        <v>3000</v>
      </c>
      <c r="AD28" s="10">
        <v>0</v>
      </c>
      <c r="AE28" s="20">
        <f t="shared" si="6"/>
        <v>0</v>
      </c>
      <c r="AF28" s="20">
        <f t="shared" si="7"/>
        <v>3000</v>
      </c>
    </row>
    <row r="29" spans="1:32">
      <c r="A29" s="1" t="s">
        <v>3</v>
      </c>
      <c r="B29" s="16" t="s">
        <v>84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67">
        <v>0</v>
      </c>
      <c r="S29" s="79">
        <f t="shared" si="4"/>
        <v>0</v>
      </c>
      <c r="T29" s="9">
        <v>0</v>
      </c>
      <c r="U29" s="9">
        <v>0</v>
      </c>
      <c r="V29" s="9">
        <v>0</v>
      </c>
      <c r="W29" s="9">
        <v>68250</v>
      </c>
      <c r="X29" s="9">
        <v>82800</v>
      </c>
      <c r="Y29" s="9">
        <v>113420</v>
      </c>
      <c r="Z29" s="9">
        <v>52650</v>
      </c>
      <c r="AA29" s="9">
        <v>68250</v>
      </c>
      <c r="AB29" s="67">
        <v>117000</v>
      </c>
      <c r="AC29" s="79">
        <f t="shared" si="5"/>
        <v>502370</v>
      </c>
      <c r="AD29" s="10">
        <v>0</v>
      </c>
      <c r="AE29" s="20">
        <f t="shared" si="6"/>
        <v>0</v>
      </c>
      <c r="AF29" s="20">
        <f t="shared" si="7"/>
        <v>502370</v>
      </c>
    </row>
    <row r="30" spans="1:32">
      <c r="A30" s="1" t="s">
        <v>3</v>
      </c>
      <c r="B30" s="16" t="s">
        <v>85</v>
      </c>
      <c r="C30" s="27">
        <v>3500</v>
      </c>
      <c r="D30" s="9">
        <v>0</v>
      </c>
      <c r="E30" s="9">
        <v>3500</v>
      </c>
      <c r="F30" s="9">
        <v>3500</v>
      </c>
      <c r="G30" s="9">
        <v>3500</v>
      </c>
      <c r="H30" s="9">
        <v>3500</v>
      </c>
      <c r="I30" s="9">
        <v>3500</v>
      </c>
      <c r="J30" s="9">
        <v>3500</v>
      </c>
      <c r="K30" s="9">
        <v>3500</v>
      </c>
      <c r="L30" s="9">
        <v>3500</v>
      </c>
      <c r="M30" s="9">
        <v>2000</v>
      </c>
      <c r="N30" s="9">
        <v>3500</v>
      </c>
      <c r="O30" s="9">
        <v>1000</v>
      </c>
      <c r="P30" s="9">
        <v>2000</v>
      </c>
      <c r="Q30" s="9">
        <v>2000</v>
      </c>
      <c r="R30" s="67">
        <v>0</v>
      </c>
      <c r="S30" s="79">
        <f t="shared" si="4"/>
        <v>42000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67">
        <v>0</v>
      </c>
      <c r="AC30" s="79">
        <f t="shared" si="5"/>
        <v>0</v>
      </c>
      <c r="AD30" s="10">
        <v>0</v>
      </c>
      <c r="AE30" s="20">
        <f t="shared" si="6"/>
        <v>0</v>
      </c>
      <c r="AF30" s="20">
        <f t="shared" si="7"/>
        <v>42000</v>
      </c>
    </row>
    <row r="31" spans="1:32">
      <c r="A31" s="1" t="s">
        <v>3</v>
      </c>
      <c r="B31" s="16" t="s">
        <v>86</v>
      </c>
      <c r="C31" s="27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67">
        <v>0</v>
      </c>
      <c r="S31" s="79">
        <f t="shared" si="4"/>
        <v>0</v>
      </c>
      <c r="T31" s="9">
        <v>0</v>
      </c>
      <c r="U31" s="9">
        <v>0</v>
      </c>
      <c r="V31" s="9">
        <v>0</v>
      </c>
      <c r="W31" s="9">
        <v>6825</v>
      </c>
      <c r="X31" s="9">
        <v>0</v>
      </c>
      <c r="Y31" s="9">
        <v>0</v>
      </c>
      <c r="Z31" s="9">
        <v>0</v>
      </c>
      <c r="AA31" s="9">
        <v>0</v>
      </c>
      <c r="AB31" s="67">
        <v>0</v>
      </c>
      <c r="AC31" s="79">
        <f t="shared" si="5"/>
        <v>6825</v>
      </c>
      <c r="AD31" s="10">
        <v>0</v>
      </c>
      <c r="AE31" s="20">
        <f t="shared" si="6"/>
        <v>0</v>
      </c>
      <c r="AF31" s="20">
        <f t="shared" si="7"/>
        <v>6825</v>
      </c>
    </row>
    <row r="32" spans="1:32">
      <c r="A32" s="1" t="s">
        <v>3</v>
      </c>
      <c r="B32" s="16" t="s">
        <v>70</v>
      </c>
      <c r="C32" s="27">
        <v>12501</v>
      </c>
      <c r="D32" s="9">
        <v>0</v>
      </c>
      <c r="E32" s="9">
        <v>53536</v>
      </c>
      <c r="F32" s="9">
        <v>66000</v>
      </c>
      <c r="G32" s="9">
        <v>48032</v>
      </c>
      <c r="H32" s="9">
        <v>47226</v>
      </c>
      <c r="I32" s="9">
        <v>46848</v>
      </c>
      <c r="J32" s="9">
        <v>36114</v>
      </c>
      <c r="K32" s="9">
        <v>52535</v>
      </c>
      <c r="L32" s="9">
        <v>55632</v>
      </c>
      <c r="M32" s="9">
        <v>19370</v>
      </c>
      <c r="N32" s="9">
        <v>23613</v>
      </c>
      <c r="O32" s="9">
        <v>84352</v>
      </c>
      <c r="P32" s="9">
        <v>84800</v>
      </c>
      <c r="Q32" s="9">
        <v>55883</v>
      </c>
      <c r="R32" s="67">
        <v>22270</v>
      </c>
      <c r="S32" s="79">
        <f t="shared" si="4"/>
        <v>708712</v>
      </c>
      <c r="T32" s="9">
        <v>0</v>
      </c>
      <c r="U32" s="9">
        <v>36652</v>
      </c>
      <c r="V32" s="9">
        <v>6736</v>
      </c>
      <c r="W32" s="9">
        <v>0</v>
      </c>
      <c r="X32" s="9">
        <v>0</v>
      </c>
      <c r="Y32" s="9">
        <v>0</v>
      </c>
      <c r="Z32" s="9">
        <v>2438</v>
      </c>
      <c r="AA32" s="9">
        <v>0</v>
      </c>
      <c r="AB32" s="67">
        <v>9752</v>
      </c>
      <c r="AC32" s="79">
        <f t="shared" si="5"/>
        <v>55578</v>
      </c>
      <c r="AD32" s="10">
        <v>0</v>
      </c>
      <c r="AE32" s="20">
        <f t="shared" si="6"/>
        <v>0</v>
      </c>
      <c r="AF32" s="20">
        <f t="shared" si="7"/>
        <v>764290</v>
      </c>
    </row>
    <row r="33" spans="1:32">
      <c r="A33" s="1" t="s">
        <v>3</v>
      </c>
      <c r="B33" s="16" t="s">
        <v>87</v>
      </c>
      <c r="C33" s="27">
        <v>27000</v>
      </c>
      <c r="D33" s="9">
        <v>0</v>
      </c>
      <c r="E33" s="9">
        <v>65016</v>
      </c>
      <c r="F33" s="9">
        <v>44550</v>
      </c>
      <c r="G33" s="9">
        <v>47009</v>
      </c>
      <c r="H33" s="9">
        <v>25500</v>
      </c>
      <c r="I33" s="9">
        <v>22134</v>
      </c>
      <c r="J33" s="9">
        <v>36000</v>
      </c>
      <c r="K33" s="9">
        <v>45388</v>
      </c>
      <c r="L33" s="9">
        <v>33201</v>
      </c>
      <c r="M33" s="9">
        <v>24135</v>
      </c>
      <c r="N33" s="9">
        <v>7500</v>
      </c>
      <c r="O33" s="9">
        <v>68304</v>
      </c>
      <c r="P33" s="9">
        <v>38637</v>
      </c>
      <c r="Q33" s="9">
        <v>13248</v>
      </c>
      <c r="R33" s="67">
        <v>21225</v>
      </c>
      <c r="S33" s="79">
        <f t="shared" si="4"/>
        <v>518847</v>
      </c>
      <c r="T33" s="9">
        <v>0</v>
      </c>
      <c r="U33" s="9">
        <v>4658</v>
      </c>
      <c r="V33" s="9">
        <v>18180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67">
        <v>0</v>
      </c>
      <c r="AC33" s="79">
        <f t="shared" si="5"/>
        <v>22838</v>
      </c>
      <c r="AD33" s="10">
        <v>0</v>
      </c>
      <c r="AE33" s="20">
        <f t="shared" si="6"/>
        <v>0</v>
      </c>
      <c r="AF33" s="20">
        <f t="shared" si="7"/>
        <v>541685</v>
      </c>
    </row>
    <row r="34" spans="1:32">
      <c r="A34" s="1" t="s">
        <v>3</v>
      </c>
      <c r="B34" s="16" t="s">
        <v>88</v>
      </c>
      <c r="C34" s="27">
        <v>31500</v>
      </c>
      <c r="D34" s="9">
        <v>0</v>
      </c>
      <c r="E34" s="9">
        <v>19866</v>
      </c>
      <c r="F34" s="9">
        <v>0</v>
      </c>
      <c r="G34" s="9">
        <v>42146</v>
      </c>
      <c r="H34" s="9">
        <v>43500</v>
      </c>
      <c r="I34" s="9">
        <v>11067</v>
      </c>
      <c r="J34" s="9">
        <v>24000</v>
      </c>
      <c r="K34" s="9">
        <v>9726</v>
      </c>
      <c r="L34" s="9">
        <v>18972</v>
      </c>
      <c r="M34" s="9">
        <v>19308</v>
      </c>
      <c r="N34" s="9">
        <v>34500</v>
      </c>
      <c r="O34" s="9">
        <v>0</v>
      </c>
      <c r="P34" s="9">
        <v>12879</v>
      </c>
      <c r="Q34" s="9">
        <v>0</v>
      </c>
      <c r="R34" s="67">
        <v>19810</v>
      </c>
      <c r="S34" s="79">
        <f t="shared" si="4"/>
        <v>287274</v>
      </c>
      <c r="T34" s="9">
        <v>0</v>
      </c>
      <c r="U34" s="9">
        <v>2329</v>
      </c>
      <c r="V34" s="9">
        <v>18180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67">
        <v>0</v>
      </c>
      <c r="AC34" s="79">
        <f t="shared" si="5"/>
        <v>20509</v>
      </c>
      <c r="AD34" s="10">
        <v>0</v>
      </c>
      <c r="AE34" s="20">
        <f t="shared" si="6"/>
        <v>0</v>
      </c>
      <c r="AF34" s="20">
        <f t="shared" si="7"/>
        <v>307783</v>
      </c>
    </row>
    <row r="35" spans="1:32">
      <c r="A35" s="1" t="s">
        <v>3</v>
      </c>
      <c r="B35" s="16" t="s">
        <v>89</v>
      </c>
      <c r="C35" s="27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6112</v>
      </c>
      <c r="R35" s="67">
        <v>0</v>
      </c>
      <c r="S35" s="79">
        <f t="shared" si="4"/>
        <v>6112</v>
      </c>
      <c r="T35" s="9">
        <v>0</v>
      </c>
      <c r="U35" s="9">
        <v>0</v>
      </c>
      <c r="V35" s="9">
        <v>8007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67">
        <v>0</v>
      </c>
      <c r="AC35" s="79">
        <f t="shared" si="5"/>
        <v>8007</v>
      </c>
      <c r="AD35" s="10">
        <v>0</v>
      </c>
      <c r="AE35" s="20">
        <f t="shared" si="6"/>
        <v>0</v>
      </c>
      <c r="AF35" s="20">
        <f t="shared" si="7"/>
        <v>14119</v>
      </c>
    </row>
    <row r="36" spans="1:32">
      <c r="A36" s="1" t="s">
        <v>3</v>
      </c>
      <c r="B36" s="16" t="s">
        <v>90</v>
      </c>
      <c r="C36" s="27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1107</v>
      </c>
      <c r="P36" s="9">
        <v>0</v>
      </c>
      <c r="Q36" s="9">
        <v>0</v>
      </c>
      <c r="R36" s="67">
        <v>0</v>
      </c>
      <c r="S36" s="79">
        <f t="shared" si="4"/>
        <v>1107</v>
      </c>
      <c r="T36" s="9">
        <v>0</v>
      </c>
      <c r="U36" s="9">
        <v>0</v>
      </c>
      <c r="V36" s="9">
        <v>4710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67">
        <v>0</v>
      </c>
      <c r="AC36" s="79">
        <f t="shared" si="5"/>
        <v>4710</v>
      </c>
      <c r="AD36" s="10">
        <v>0</v>
      </c>
      <c r="AE36" s="20">
        <f t="shared" si="6"/>
        <v>0</v>
      </c>
      <c r="AF36" s="20">
        <f t="shared" si="7"/>
        <v>5817</v>
      </c>
    </row>
    <row r="37" spans="1:32">
      <c r="A37" s="1" t="s">
        <v>3</v>
      </c>
      <c r="B37" s="16" t="s">
        <v>75</v>
      </c>
      <c r="C37" s="27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1056</v>
      </c>
      <c r="P37" s="9">
        <v>1325</v>
      </c>
      <c r="Q37" s="9">
        <v>0</v>
      </c>
      <c r="R37" s="67">
        <v>0</v>
      </c>
      <c r="S37" s="79">
        <f t="shared" si="4"/>
        <v>2381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67">
        <v>0</v>
      </c>
      <c r="AC37" s="79">
        <f t="shared" si="5"/>
        <v>0</v>
      </c>
      <c r="AD37" s="10">
        <v>0</v>
      </c>
      <c r="AE37" s="20">
        <f t="shared" si="6"/>
        <v>0</v>
      </c>
      <c r="AF37" s="20">
        <f t="shared" si="7"/>
        <v>2381</v>
      </c>
    </row>
    <row r="38" spans="1:32">
      <c r="A38" s="1" t="s">
        <v>3</v>
      </c>
      <c r="B38" s="49" t="s">
        <v>77</v>
      </c>
      <c r="C38" s="50">
        <v>278</v>
      </c>
      <c r="D38" s="51">
        <v>0</v>
      </c>
      <c r="E38" s="51">
        <v>5360</v>
      </c>
      <c r="F38" s="51">
        <v>5610</v>
      </c>
      <c r="G38" s="51">
        <v>13800</v>
      </c>
      <c r="H38" s="51">
        <v>1668</v>
      </c>
      <c r="I38" s="51">
        <v>2051</v>
      </c>
      <c r="J38" s="51">
        <v>1668</v>
      </c>
      <c r="K38" s="51">
        <v>6300</v>
      </c>
      <c r="L38" s="51">
        <v>4395</v>
      </c>
      <c r="M38" s="51">
        <v>894</v>
      </c>
      <c r="N38" s="51">
        <v>834</v>
      </c>
      <c r="O38" s="51">
        <v>7656</v>
      </c>
      <c r="P38" s="51">
        <v>9010</v>
      </c>
      <c r="Q38" s="51">
        <v>2457</v>
      </c>
      <c r="R38" s="68">
        <v>262</v>
      </c>
      <c r="S38" s="80">
        <f t="shared" si="4"/>
        <v>62243</v>
      </c>
      <c r="T38" s="51">
        <v>0</v>
      </c>
      <c r="U38" s="51">
        <v>0</v>
      </c>
      <c r="V38" s="51">
        <v>0</v>
      </c>
      <c r="W38" s="51">
        <v>12200</v>
      </c>
      <c r="X38" s="51">
        <v>0</v>
      </c>
      <c r="Y38" s="51">
        <v>0</v>
      </c>
      <c r="Z38" s="51">
        <v>2440</v>
      </c>
      <c r="AA38" s="51">
        <v>12200</v>
      </c>
      <c r="AB38" s="68">
        <v>11468</v>
      </c>
      <c r="AC38" s="80">
        <f t="shared" si="5"/>
        <v>38308</v>
      </c>
      <c r="AD38" s="52">
        <v>0</v>
      </c>
      <c r="AE38" s="53">
        <f t="shared" si="6"/>
        <v>0</v>
      </c>
      <c r="AF38" s="53">
        <f t="shared" si="7"/>
        <v>100551</v>
      </c>
    </row>
    <row r="39" spans="1:32">
      <c r="A39" s="1" t="s">
        <v>3</v>
      </c>
      <c r="B39" s="54" t="s">
        <v>91</v>
      </c>
      <c r="C39" s="55">
        <v>256779</v>
      </c>
      <c r="D39" s="56">
        <v>192000</v>
      </c>
      <c r="E39" s="56">
        <v>367278</v>
      </c>
      <c r="F39" s="56">
        <v>343729</v>
      </c>
      <c r="G39" s="56">
        <v>357751</v>
      </c>
      <c r="H39" s="56">
        <v>303394</v>
      </c>
      <c r="I39" s="56">
        <v>277600</v>
      </c>
      <c r="J39" s="56">
        <v>283282</v>
      </c>
      <c r="K39" s="56">
        <v>314449</v>
      </c>
      <c r="L39" s="56">
        <v>307700</v>
      </c>
      <c r="M39" s="56">
        <v>362356</v>
      </c>
      <c r="N39" s="56">
        <v>287677</v>
      </c>
      <c r="O39" s="56">
        <v>338475</v>
      </c>
      <c r="P39" s="56">
        <v>323651</v>
      </c>
      <c r="Q39" s="56">
        <v>297972</v>
      </c>
      <c r="R39" s="69">
        <v>238567</v>
      </c>
      <c r="S39" s="81">
        <f t="shared" si="4"/>
        <v>4852660</v>
      </c>
      <c r="T39" s="56">
        <v>370000</v>
      </c>
      <c r="U39" s="56">
        <v>334639</v>
      </c>
      <c r="V39" s="56">
        <v>280813</v>
      </c>
      <c r="W39" s="56">
        <v>87275</v>
      </c>
      <c r="X39" s="56">
        <v>82800</v>
      </c>
      <c r="Y39" s="56">
        <v>113420</v>
      </c>
      <c r="Z39" s="56">
        <v>57528</v>
      </c>
      <c r="AA39" s="56">
        <v>80450</v>
      </c>
      <c r="AB39" s="69">
        <v>138220</v>
      </c>
      <c r="AC39" s="81">
        <f t="shared" si="5"/>
        <v>1545145</v>
      </c>
      <c r="AD39" s="57">
        <v>390000</v>
      </c>
      <c r="AE39" s="58">
        <f t="shared" si="6"/>
        <v>390000</v>
      </c>
      <c r="AF39" s="58">
        <f t="shared" si="7"/>
        <v>6787805</v>
      </c>
    </row>
    <row r="40" spans="1:32">
      <c r="A40" s="1" t="s">
        <v>3</v>
      </c>
      <c r="B40" s="54" t="s">
        <v>92</v>
      </c>
      <c r="C40" s="55">
        <v>12598</v>
      </c>
      <c r="D40" s="56">
        <v>1146</v>
      </c>
      <c r="E40" s="56">
        <v>5927</v>
      </c>
      <c r="F40" s="56">
        <v>3007</v>
      </c>
      <c r="G40" s="56">
        <v>2520</v>
      </c>
      <c r="H40" s="56">
        <v>2635</v>
      </c>
      <c r="I40" s="56">
        <v>1203</v>
      </c>
      <c r="J40" s="56">
        <v>3436</v>
      </c>
      <c r="K40" s="56">
        <v>5269</v>
      </c>
      <c r="L40" s="56">
        <v>7903</v>
      </c>
      <c r="M40" s="56">
        <v>6586</v>
      </c>
      <c r="N40" s="56">
        <v>10708</v>
      </c>
      <c r="O40" s="56">
        <v>9305</v>
      </c>
      <c r="P40" s="56">
        <v>9305</v>
      </c>
      <c r="Q40" s="56">
        <v>2520</v>
      </c>
      <c r="R40" s="69">
        <v>11911</v>
      </c>
      <c r="S40" s="81">
        <f t="shared" si="4"/>
        <v>95979</v>
      </c>
      <c r="T40" s="56">
        <v>3093</v>
      </c>
      <c r="U40" s="56">
        <v>6185</v>
      </c>
      <c r="V40" s="56">
        <v>7215</v>
      </c>
      <c r="W40" s="56">
        <v>4581</v>
      </c>
      <c r="X40" s="56">
        <v>2978</v>
      </c>
      <c r="Y40" s="56">
        <v>2577</v>
      </c>
      <c r="Z40" s="56">
        <v>2606</v>
      </c>
      <c r="AA40" s="56">
        <v>4009</v>
      </c>
      <c r="AB40" s="69">
        <v>11854</v>
      </c>
      <c r="AC40" s="81">
        <f t="shared" si="5"/>
        <v>45098</v>
      </c>
      <c r="AD40" s="57">
        <v>7444</v>
      </c>
      <c r="AE40" s="58">
        <f t="shared" si="6"/>
        <v>7444</v>
      </c>
      <c r="AF40" s="58">
        <f t="shared" si="7"/>
        <v>148521</v>
      </c>
    </row>
    <row r="41" spans="1:32">
      <c r="A41" s="1" t="s">
        <v>3</v>
      </c>
      <c r="B41" s="54" t="s">
        <v>93</v>
      </c>
      <c r="C41" s="55">
        <v>12598</v>
      </c>
      <c r="D41" s="56">
        <v>1146</v>
      </c>
      <c r="E41" s="56">
        <v>5927</v>
      </c>
      <c r="F41" s="56">
        <v>3007</v>
      </c>
      <c r="G41" s="56">
        <v>2520</v>
      </c>
      <c r="H41" s="56">
        <v>2635</v>
      </c>
      <c r="I41" s="56">
        <v>1203</v>
      </c>
      <c r="J41" s="56">
        <v>3436</v>
      </c>
      <c r="K41" s="56">
        <v>5269</v>
      </c>
      <c r="L41" s="56">
        <v>7903</v>
      </c>
      <c r="M41" s="56">
        <v>6586</v>
      </c>
      <c r="N41" s="56">
        <v>10708</v>
      </c>
      <c r="O41" s="56">
        <v>9305</v>
      </c>
      <c r="P41" s="56">
        <v>9305</v>
      </c>
      <c r="Q41" s="56">
        <v>2520</v>
      </c>
      <c r="R41" s="69">
        <v>11911</v>
      </c>
      <c r="S41" s="81">
        <f t="shared" si="4"/>
        <v>95979</v>
      </c>
      <c r="T41" s="56">
        <v>3093</v>
      </c>
      <c r="U41" s="56">
        <v>6185</v>
      </c>
      <c r="V41" s="56">
        <v>7215</v>
      </c>
      <c r="W41" s="56">
        <v>4581</v>
      </c>
      <c r="X41" s="56">
        <v>2978</v>
      </c>
      <c r="Y41" s="56">
        <v>2577</v>
      </c>
      <c r="Z41" s="56">
        <v>2606</v>
      </c>
      <c r="AA41" s="56">
        <v>4009</v>
      </c>
      <c r="AB41" s="69">
        <v>11854</v>
      </c>
      <c r="AC41" s="81">
        <f t="shared" si="5"/>
        <v>45098</v>
      </c>
      <c r="AD41" s="57">
        <v>7444</v>
      </c>
      <c r="AE41" s="58">
        <f t="shared" si="6"/>
        <v>7444</v>
      </c>
      <c r="AF41" s="58">
        <f t="shared" si="7"/>
        <v>148521</v>
      </c>
    </row>
    <row r="42" spans="1:32">
      <c r="A42" s="1" t="s">
        <v>3</v>
      </c>
      <c r="B42" s="54" t="s">
        <v>94</v>
      </c>
      <c r="C42" s="55">
        <v>269377</v>
      </c>
      <c r="D42" s="56">
        <v>193146</v>
      </c>
      <c r="E42" s="56">
        <v>373205</v>
      </c>
      <c r="F42" s="56">
        <v>346736</v>
      </c>
      <c r="G42" s="56">
        <v>360271</v>
      </c>
      <c r="H42" s="56">
        <v>306029</v>
      </c>
      <c r="I42" s="56">
        <v>278803</v>
      </c>
      <c r="J42" s="56">
        <v>286718</v>
      </c>
      <c r="K42" s="56">
        <v>319718</v>
      </c>
      <c r="L42" s="56">
        <v>315603</v>
      </c>
      <c r="M42" s="56">
        <v>368942</v>
      </c>
      <c r="N42" s="56">
        <v>298385</v>
      </c>
      <c r="O42" s="56">
        <v>347780</v>
      </c>
      <c r="P42" s="56">
        <v>332956</v>
      </c>
      <c r="Q42" s="56">
        <v>300492</v>
      </c>
      <c r="R42" s="69">
        <v>250478</v>
      </c>
      <c r="S42" s="81">
        <f t="shared" si="4"/>
        <v>4948639</v>
      </c>
      <c r="T42" s="56">
        <v>373093</v>
      </c>
      <c r="U42" s="56">
        <v>340824</v>
      </c>
      <c r="V42" s="56">
        <v>288028</v>
      </c>
      <c r="W42" s="56">
        <v>91856</v>
      </c>
      <c r="X42" s="56">
        <v>85778</v>
      </c>
      <c r="Y42" s="56">
        <v>115997</v>
      </c>
      <c r="Z42" s="56">
        <v>60134</v>
      </c>
      <c r="AA42" s="56">
        <v>84459</v>
      </c>
      <c r="AB42" s="69">
        <v>150074</v>
      </c>
      <c r="AC42" s="81">
        <f t="shared" si="5"/>
        <v>1590243</v>
      </c>
      <c r="AD42" s="57">
        <v>397444</v>
      </c>
      <c r="AE42" s="58">
        <f t="shared" si="6"/>
        <v>397444</v>
      </c>
      <c r="AF42" s="58">
        <f t="shared" si="7"/>
        <v>6936326</v>
      </c>
    </row>
    <row r="43" spans="1:32">
      <c r="A43" s="1" t="s">
        <v>3</v>
      </c>
      <c r="B43" s="30" t="s">
        <v>95</v>
      </c>
      <c r="C43" s="40">
        <v>15300</v>
      </c>
      <c r="D43" s="41">
        <v>16320</v>
      </c>
      <c r="E43" s="41">
        <v>19380</v>
      </c>
      <c r="F43" s="41">
        <v>19380</v>
      </c>
      <c r="G43" s="41">
        <v>19380</v>
      </c>
      <c r="H43" s="41">
        <v>16320</v>
      </c>
      <c r="I43" s="41">
        <v>15300</v>
      </c>
      <c r="J43" s="41">
        <v>15300</v>
      </c>
      <c r="K43" s="41">
        <v>18360</v>
      </c>
      <c r="L43" s="41">
        <v>17340</v>
      </c>
      <c r="M43" s="41">
        <v>19380</v>
      </c>
      <c r="N43" s="41">
        <v>14280</v>
      </c>
      <c r="O43" s="41">
        <v>16320</v>
      </c>
      <c r="P43" s="41">
        <v>14280</v>
      </c>
      <c r="Q43" s="41">
        <v>14280</v>
      </c>
      <c r="R43" s="66">
        <v>13260</v>
      </c>
      <c r="S43" s="78">
        <f t="shared" si="4"/>
        <v>264180</v>
      </c>
      <c r="T43" s="41">
        <v>18360</v>
      </c>
      <c r="U43" s="41">
        <v>20910</v>
      </c>
      <c r="V43" s="41">
        <v>13260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66">
        <v>6834</v>
      </c>
      <c r="AC43" s="78">
        <f t="shared" si="5"/>
        <v>59364</v>
      </c>
      <c r="AD43" s="42">
        <v>19380</v>
      </c>
      <c r="AE43" s="43">
        <f t="shared" si="6"/>
        <v>19380</v>
      </c>
      <c r="AF43" s="43">
        <f t="shared" si="7"/>
        <v>342924</v>
      </c>
    </row>
    <row r="44" spans="1:32">
      <c r="A44" s="1" t="s">
        <v>3</v>
      </c>
      <c r="B44" s="16" t="s">
        <v>96</v>
      </c>
      <c r="C44" s="27">
        <v>2700</v>
      </c>
      <c r="D44" s="9">
        <v>2880</v>
      </c>
      <c r="E44" s="9">
        <v>3420</v>
      </c>
      <c r="F44" s="9">
        <v>3420</v>
      </c>
      <c r="G44" s="9">
        <v>0</v>
      </c>
      <c r="H44" s="9">
        <v>2880</v>
      </c>
      <c r="I44" s="9">
        <v>2700</v>
      </c>
      <c r="J44" s="9">
        <v>2700</v>
      </c>
      <c r="K44" s="9">
        <v>3240</v>
      </c>
      <c r="L44" s="9">
        <v>3060</v>
      </c>
      <c r="M44" s="9">
        <v>3420</v>
      </c>
      <c r="N44" s="9">
        <v>2520</v>
      </c>
      <c r="O44" s="9">
        <v>2880</v>
      </c>
      <c r="P44" s="9">
        <v>2520</v>
      </c>
      <c r="Q44" s="9">
        <v>2520</v>
      </c>
      <c r="R44" s="67">
        <v>2340</v>
      </c>
      <c r="S44" s="79">
        <f t="shared" si="4"/>
        <v>43200</v>
      </c>
      <c r="T44" s="9">
        <v>3240</v>
      </c>
      <c r="U44" s="9">
        <v>3690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67">
        <v>0</v>
      </c>
      <c r="AC44" s="79">
        <f t="shared" si="5"/>
        <v>6930</v>
      </c>
      <c r="AD44" s="10">
        <v>3420</v>
      </c>
      <c r="AE44" s="20">
        <f t="shared" si="6"/>
        <v>3420</v>
      </c>
      <c r="AF44" s="20">
        <f t="shared" si="7"/>
        <v>53550</v>
      </c>
    </row>
    <row r="45" spans="1:32">
      <c r="A45" s="1" t="s">
        <v>3</v>
      </c>
      <c r="B45" s="16" t="s">
        <v>97</v>
      </c>
      <c r="C45" s="27">
        <v>27450</v>
      </c>
      <c r="D45" s="9">
        <v>29280</v>
      </c>
      <c r="E45" s="9">
        <v>34770</v>
      </c>
      <c r="F45" s="9">
        <v>34770</v>
      </c>
      <c r="G45" s="9">
        <v>34770</v>
      </c>
      <c r="H45" s="9">
        <v>29280</v>
      </c>
      <c r="I45" s="9">
        <v>27450</v>
      </c>
      <c r="J45" s="9">
        <v>27450</v>
      </c>
      <c r="K45" s="9">
        <v>32940</v>
      </c>
      <c r="L45" s="9">
        <v>31110</v>
      </c>
      <c r="M45" s="9">
        <v>34770</v>
      </c>
      <c r="N45" s="9">
        <v>25620</v>
      </c>
      <c r="O45" s="9">
        <v>29280</v>
      </c>
      <c r="P45" s="9">
        <v>25620</v>
      </c>
      <c r="Q45" s="9">
        <v>25620</v>
      </c>
      <c r="R45" s="67">
        <v>23790</v>
      </c>
      <c r="S45" s="79">
        <f t="shared" si="4"/>
        <v>473970</v>
      </c>
      <c r="T45" s="9">
        <v>32940</v>
      </c>
      <c r="U45" s="9">
        <v>37515</v>
      </c>
      <c r="V45" s="9">
        <v>23790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67">
        <v>12261</v>
      </c>
      <c r="AC45" s="79">
        <f t="shared" si="5"/>
        <v>106506</v>
      </c>
      <c r="AD45" s="10">
        <v>34770</v>
      </c>
      <c r="AE45" s="20">
        <f t="shared" si="6"/>
        <v>34770</v>
      </c>
      <c r="AF45" s="20">
        <f t="shared" si="7"/>
        <v>615246</v>
      </c>
    </row>
    <row r="46" spans="1:32">
      <c r="A46" s="1" t="s">
        <v>3</v>
      </c>
      <c r="B46" s="49" t="s">
        <v>98</v>
      </c>
      <c r="C46" s="50">
        <v>1482</v>
      </c>
      <c r="D46" s="51">
        <v>1062</v>
      </c>
      <c r="E46" s="51">
        <v>2053</v>
      </c>
      <c r="F46" s="51">
        <v>1907</v>
      </c>
      <c r="G46" s="51">
        <v>1981</v>
      </c>
      <c r="H46" s="51">
        <v>1683</v>
      </c>
      <c r="I46" s="51">
        <v>1533</v>
      </c>
      <c r="J46" s="51">
        <v>1577</v>
      </c>
      <c r="K46" s="51">
        <v>1758</v>
      </c>
      <c r="L46" s="51">
        <v>1736</v>
      </c>
      <c r="M46" s="51">
        <v>2029</v>
      </c>
      <c r="N46" s="51">
        <v>1641</v>
      </c>
      <c r="O46" s="51">
        <v>1913</v>
      </c>
      <c r="P46" s="51">
        <v>1831</v>
      </c>
      <c r="Q46" s="51">
        <v>1653</v>
      </c>
      <c r="R46" s="68">
        <v>1378</v>
      </c>
      <c r="S46" s="80">
        <f t="shared" si="4"/>
        <v>27217</v>
      </c>
      <c r="T46" s="51">
        <v>2052</v>
      </c>
      <c r="U46" s="51">
        <v>1875</v>
      </c>
      <c r="V46" s="51">
        <v>1584</v>
      </c>
      <c r="W46" s="51">
        <v>0</v>
      </c>
      <c r="X46" s="51">
        <v>472</v>
      </c>
      <c r="Y46" s="51">
        <v>638</v>
      </c>
      <c r="Z46" s="51">
        <v>0</v>
      </c>
      <c r="AA46" s="51">
        <v>465</v>
      </c>
      <c r="AB46" s="68">
        <v>825</v>
      </c>
      <c r="AC46" s="80">
        <f t="shared" si="5"/>
        <v>7911</v>
      </c>
      <c r="AD46" s="52">
        <v>2186</v>
      </c>
      <c r="AE46" s="53">
        <f t="shared" si="6"/>
        <v>2186</v>
      </c>
      <c r="AF46" s="53">
        <f t="shared" si="7"/>
        <v>37314</v>
      </c>
    </row>
    <row r="47" spans="1:32">
      <c r="A47" s="1" t="s">
        <v>3</v>
      </c>
      <c r="B47" s="54" t="s">
        <v>99</v>
      </c>
      <c r="C47" s="55">
        <v>46932</v>
      </c>
      <c r="D47" s="56">
        <v>49542</v>
      </c>
      <c r="E47" s="56">
        <v>59623</v>
      </c>
      <c r="F47" s="56">
        <v>59477</v>
      </c>
      <c r="G47" s="56">
        <v>56131</v>
      </c>
      <c r="H47" s="56">
        <v>50163</v>
      </c>
      <c r="I47" s="56">
        <v>46983</v>
      </c>
      <c r="J47" s="56">
        <v>47027</v>
      </c>
      <c r="K47" s="56">
        <v>56298</v>
      </c>
      <c r="L47" s="56">
        <v>53246</v>
      </c>
      <c r="M47" s="56">
        <v>59599</v>
      </c>
      <c r="N47" s="56">
        <v>44061</v>
      </c>
      <c r="O47" s="56">
        <v>50393</v>
      </c>
      <c r="P47" s="56">
        <v>44251</v>
      </c>
      <c r="Q47" s="56">
        <v>44073</v>
      </c>
      <c r="R47" s="69">
        <v>40768</v>
      </c>
      <c r="S47" s="81">
        <f t="shared" si="4"/>
        <v>808567</v>
      </c>
      <c r="T47" s="56">
        <v>56592</v>
      </c>
      <c r="U47" s="56">
        <v>63990</v>
      </c>
      <c r="V47" s="56">
        <v>38634</v>
      </c>
      <c r="W47" s="56">
        <v>0</v>
      </c>
      <c r="X47" s="56">
        <v>472</v>
      </c>
      <c r="Y47" s="56">
        <v>638</v>
      </c>
      <c r="Z47" s="56">
        <v>0</v>
      </c>
      <c r="AA47" s="56">
        <v>465</v>
      </c>
      <c r="AB47" s="69">
        <v>19920</v>
      </c>
      <c r="AC47" s="81">
        <f t="shared" si="5"/>
        <v>180711</v>
      </c>
      <c r="AD47" s="57">
        <v>59756</v>
      </c>
      <c r="AE47" s="58">
        <f t="shared" si="6"/>
        <v>59756</v>
      </c>
      <c r="AF47" s="58">
        <f t="shared" si="7"/>
        <v>1049034</v>
      </c>
    </row>
    <row r="48" spans="1:32">
      <c r="A48" s="1" t="s">
        <v>3</v>
      </c>
      <c r="B48" s="30" t="s">
        <v>100</v>
      </c>
      <c r="C48" s="40">
        <v>3500</v>
      </c>
      <c r="D48" s="41">
        <v>2750</v>
      </c>
      <c r="E48" s="41">
        <v>7030</v>
      </c>
      <c r="F48" s="41">
        <v>7780</v>
      </c>
      <c r="G48" s="41">
        <v>8510</v>
      </c>
      <c r="H48" s="41">
        <v>6670</v>
      </c>
      <c r="I48" s="41">
        <v>4240</v>
      </c>
      <c r="J48" s="41">
        <v>6060</v>
      </c>
      <c r="K48" s="41">
        <v>6840</v>
      </c>
      <c r="L48" s="41">
        <v>6710</v>
      </c>
      <c r="M48" s="41">
        <v>1980</v>
      </c>
      <c r="N48" s="41">
        <v>6320</v>
      </c>
      <c r="O48" s="41">
        <v>7910</v>
      </c>
      <c r="P48" s="41">
        <v>7600</v>
      </c>
      <c r="Q48" s="41">
        <v>6690</v>
      </c>
      <c r="R48" s="66">
        <v>4690</v>
      </c>
      <c r="S48" s="78">
        <f t="shared" si="4"/>
        <v>95280</v>
      </c>
      <c r="T48" s="41">
        <v>7270</v>
      </c>
      <c r="U48" s="41">
        <v>5670</v>
      </c>
      <c r="V48" s="41">
        <v>6270</v>
      </c>
      <c r="W48" s="41">
        <v>0</v>
      </c>
      <c r="X48" s="41">
        <v>0</v>
      </c>
      <c r="Y48" s="41">
        <v>1380</v>
      </c>
      <c r="Z48" s="41">
        <v>0</v>
      </c>
      <c r="AA48" s="41">
        <v>0</v>
      </c>
      <c r="AB48" s="66">
        <v>40</v>
      </c>
      <c r="AC48" s="78">
        <f t="shared" si="5"/>
        <v>20630</v>
      </c>
      <c r="AD48" s="42">
        <v>10850</v>
      </c>
      <c r="AE48" s="43">
        <f t="shared" si="6"/>
        <v>10850</v>
      </c>
      <c r="AF48" s="43">
        <f t="shared" si="7"/>
        <v>126760</v>
      </c>
    </row>
    <row r="49" spans="1:32">
      <c r="A49" s="1" t="s">
        <v>3</v>
      </c>
      <c r="B49" s="16" t="s">
        <v>101</v>
      </c>
      <c r="C49" s="27">
        <v>1300</v>
      </c>
      <c r="D49" s="9">
        <v>0</v>
      </c>
      <c r="E49" s="9">
        <v>0</v>
      </c>
      <c r="F49" s="9">
        <v>0</v>
      </c>
      <c r="G49" s="9">
        <v>1300</v>
      </c>
      <c r="H49" s="9">
        <v>1300</v>
      </c>
      <c r="I49" s="9">
        <v>1300</v>
      </c>
      <c r="J49" s="9">
        <v>1300</v>
      </c>
      <c r="K49" s="9">
        <v>1300</v>
      </c>
      <c r="L49" s="9">
        <v>1300</v>
      </c>
      <c r="M49" s="9">
        <v>1300</v>
      </c>
      <c r="N49" s="9">
        <v>1300</v>
      </c>
      <c r="O49" s="9">
        <v>1300</v>
      </c>
      <c r="P49" s="9">
        <v>1300</v>
      </c>
      <c r="Q49" s="9">
        <v>0</v>
      </c>
      <c r="R49" s="67">
        <v>0</v>
      </c>
      <c r="S49" s="79">
        <f t="shared" si="4"/>
        <v>14300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67">
        <v>0</v>
      </c>
      <c r="AC49" s="79">
        <f t="shared" si="5"/>
        <v>0</v>
      </c>
      <c r="AD49" s="10">
        <v>0</v>
      </c>
      <c r="AE49" s="20">
        <f t="shared" si="6"/>
        <v>0</v>
      </c>
      <c r="AF49" s="20">
        <f t="shared" si="7"/>
        <v>14300</v>
      </c>
    </row>
    <row r="50" spans="1:32">
      <c r="A50" s="1" t="s">
        <v>3</v>
      </c>
      <c r="B50" s="49" t="s">
        <v>102</v>
      </c>
      <c r="C50" s="50">
        <v>8100</v>
      </c>
      <c r="D50" s="51">
        <v>13800</v>
      </c>
      <c r="E50" s="51">
        <v>20000</v>
      </c>
      <c r="F50" s="51">
        <v>17800</v>
      </c>
      <c r="G50" s="51">
        <v>14100</v>
      </c>
      <c r="H50" s="51">
        <v>12800</v>
      </c>
      <c r="I50" s="51">
        <v>10300</v>
      </c>
      <c r="J50" s="51">
        <v>13200</v>
      </c>
      <c r="K50" s="51">
        <v>15400</v>
      </c>
      <c r="L50" s="51">
        <v>14900</v>
      </c>
      <c r="M50" s="51">
        <v>1100</v>
      </c>
      <c r="N50" s="51">
        <v>0</v>
      </c>
      <c r="O50" s="51">
        <v>7800</v>
      </c>
      <c r="P50" s="51">
        <v>11700</v>
      </c>
      <c r="Q50" s="51">
        <v>11800</v>
      </c>
      <c r="R50" s="68">
        <v>0</v>
      </c>
      <c r="S50" s="80">
        <f t="shared" si="4"/>
        <v>172800</v>
      </c>
      <c r="T50" s="51">
        <v>20200</v>
      </c>
      <c r="U50" s="51">
        <v>14600</v>
      </c>
      <c r="V50" s="51">
        <v>7800</v>
      </c>
      <c r="W50" s="51">
        <v>0</v>
      </c>
      <c r="X50" s="51">
        <v>500</v>
      </c>
      <c r="Y50" s="51">
        <v>2300</v>
      </c>
      <c r="Z50" s="51">
        <v>0</v>
      </c>
      <c r="AA50" s="51">
        <v>2600</v>
      </c>
      <c r="AB50" s="68">
        <v>7100</v>
      </c>
      <c r="AC50" s="80">
        <f t="shared" si="5"/>
        <v>55100</v>
      </c>
      <c r="AD50" s="52">
        <v>21800</v>
      </c>
      <c r="AE50" s="53">
        <f t="shared" si="6"/>
        <v>21800</v>
      </c>
      <c r="AF50" s="53">
        <f t="shared" si="7"/>
        <v>249700</v>
      </c>
    </row>
    <row r="51" spans="1:32">
      <c r="A51" s="1" t="s">
        <v>3</v>
      </c>
      <c r="B51" s="54" t="s">
        <v>103</v>
      </c>
      <c r="C51" s="55">
        <v>59832</v>
      </c>
      <c r="D51" s="56">
        <v>66092</v>
      </c>
      <c r="E51" s="56">
        <v>86653</v>
      </c>
      <c r="F51" s="56">
        <v>85057</v>
      </c>
      <c r="G51" s="56">
        <v>80041</v>
      </c>
      <c r="H51" s="56">
        <v>70933</v>
      </c>
      <c r="I51" s="56">
        <v>62823</v>
      </c>
      <c r="J51" s="56">
        <v>67587</v>
      </c>
      <c r="K51" s="56">
        <v>79838</v>
      </c>
      <c r="L51" s="56">
        <v>76156</v>
      </c>
      <c r="M51" s="56">
        <v>63979</v>
      </c>
      <c r="N51" s="56">
        <v>51681</v>
      </c>
      <c r="O51" s="56">
        <v>67403</v>
      </c>
      <c r="P51" s="56">
        <v>64851</v>
      </c>
      <c r="Q51" s="56">
        <v>62563</v>
      </c>
      <c r="R51" s="69">
        <v>45458</v>
      </c>
      <c r="S51" s="81">
        <f t="shared" si="4"/>
        <v>1090947</v>
      </c>
      <c r="T51" s="56">
        <v>84062</v>
      </c>
      <c r="U51" s="56">
        <v>84260</v>
      </c>
      <c r="V51" s="56">
        <v>52704</v>
      </c>
      <c r="W51" s="56">
        <v>0</v>
      </c>
      <c r="X51" s="56">
        <v>972</v>
      </c>
      <c r="Y51" s="56">
        <v>4318</v>
      </c>
      <c r="Z51" s="56">
        <v>0</v>
      </c>
      <c r="AA51" s="56">
        <v>3065</v>
      </c>
      <c r="AB51" s="69">
        <v>27060</v>
      </c>
      <c r="AC51" s="81">
        <f t="shared" si="5"/>
        <v>256441</v>
      </c>
      <c r="AD51" s="57">
        <v>92406</v>
      </c>
      <c r="AE51" s="58">
        <f t="shared" si="6"/>
        <v>92406</v>
      </c>
      <c r="AF51" s="58">
        <f t="shared" si="7"/>
        <v>1439794</v>
      </c>
    </row>
    <row r="52" spans="1:32">
      <c r="A52" s="1" t="s">
        <v>3</v>
      </c>
      <c r="B52" s="54" t="s">
        <v>104</v>
      </c>
      <c r="C52" s="55">
        <v>209847</v>
      </c>
      <c r="D52" s="56">
        <v>142458</v>
      </c>
      <c r="E52" s="56">
        <v>307655</v>
      </c>
      <c r="F52" s="56">
        <v>284252</v>
      </c>
      <c r="G52" s="56">
        <v>301620</v>
      </c>
      <c r="H52" s="56">
        <v>253231</v>
      </c>
      <c r="I52" s="56">
        <v>230617</v>
      </c>
      <c r="J52" s="56">
        <v>236255</v>
      </c>
      <c r="K52" s="56">
        <v>258151</v>
      </c>
      <c r="L52" s="56">
        <v>254454</v>
      </c>
      <c r="M52" s="56">
        <v>302757</v>
      </c>
      <c r="N52" s="56">
        <v>243616</v>
      </c>
      <c r="O52" s="56">
        <v>288082</v>
      </c>
      <c r="P52" s="56">
        <v>279400</v>
      </c>
      <c r="Q52" s="56">
        <v>253899</v>
      </c>
      <c r="R52" s="69">
        <v>197799</v>
      </c>
      <c r="S52" s="81">
        <f t="shared" si="4"/>
        <v>4044093</v>
      </c>
      <c r="T52" s="56">
        <v>313408</v>
      </c>
      <c r="U52" s="56">
        <v>270649</v>
      </c>
      <c r="V52" s="56">
        <v>242179</v>
      </c>
      <c r="W52" s="56">
        <v>87275</v>
      </c>
      <c r="X52" s="56">
        <v>82328</v>
      </c>
      <c r="Y52" s="56">
        <v>112782</v>
      </c>
      <c r="Z52" s="56">
        <v>57528</v>
      </c>
      <c r="AA52" s="56">
        <v>79985</v>
      </c>
      <c r="AB52" s="69">
        <v>118300</v>
      </c>
      <c r="AC52" s="81">
        <f t="shared" si="5"/>
        <v>1364434</v>
      </c>
      <c r="AD52" s="57">
        <v>330244</v>
      </c>
      <c r="AE52" s="58">
        <f t="shared" si="6"/>
        <v>330244</v>
      </c>
      <c r="AF52" s="58">
        <f t="shared" si="7"/>
        <v>5738771</v>
      </c>
    </row>
    <row r="53" spans="1:32">
      <c r="A53" s="1" t="s">
        <v>3</v>
      </c>
      <c r="B53" s="54" t="s">
        <v>105</v>
      </c>
      <c r="C53" s="55">
        <v>209545</v>
      </c>
      <c r="D53" s="56">
        <v>127054</v>
      </c>
      <c r="E53" s="56">
        <v>286552</v>
      </c>
      <c r="F53" s="56">
        <v>261679</v>
      </c>
      <c r="G53" s="56">
        <v>280230</v>
      </c>
      <c r="H53" s="56">
        <v>235096</v>
      </c>
      <c r="I53" s="56">
        <v>215980</v>
      </c>
      <c r="J53" s="56">
        <v>219131</v>
      </c>
      <c r="K53" s="56">
        <v>239880</v>
      </c>
      <c r="L53" s="56">
        <v>239447</v>
      </c>
      <c r="M53" s="56">
        <v>304963</v>
      </c>
      <c r="N53" s="56">
        <v>246704</v>
      </c>
      <c r="O53" s="56">
        <v>280377</v>
      </c>
      <c r="P53" s="56">
        <v>268105</v>
      </c>
      <c r="Q53" s="56">
        <v>237929</v>
      </c>
      <c r="R53" s="69">
        <v>205020</v>
      </c>
      <c r="S53" s="81">
        <f t="shared" si="4"/>
        <v>3857692</v>
      </c>
      <c r="T53" s="56">
        <v>289031</v>
      </c>
      <c r="U53" s="56">
        <v>256564</v>
      </c>
      <c r="V53" s="56">
        <v>235324</v>
      </c>
      <c r="W53" s="56">
        <v>91856</v>
      </c>
      <c r="X53" s="56">
        <v>84806</v>
      </c>
      <c r="Y53" s="56">
        <v>111679</v>
      </c>
      <c r="Z53" s="56">
        <v>60134</v>
      </c>
      <c r="AA53" s="56">
        <v>81394</v>
      </c>
      <c r="AB53" s="69">
        <v>123014</v>
      </c>
      <c r="AC53" s="81">
        <f t="shared" si="5"/>
        <v>1333802</v>
      </c>
      <c r="AD53" s="57">
        <v>305038</v>
      </c>
      <c r="AE53" s="58">
        <f t="shared" si="6"/>
        <v>305038</v>
      </c>
      <c r="AF53" s="58">
        <f t="shared" si="7"/>
        <v>5496532</v>
      </c>
    </row>
    <row r="54" spans="1:32">
      <c r="A54" s="1" t="s">
        <v>3</v>
      </c>
      <c r="B54" s="54" t="s">
        <v>106</v>
      </c>
      <c r="C54" s="55">
        <v>209545</v>
      </c>
      <c r="D54" s="56">
        <v>127054</v>
      </c>
      <c r="E54" s="56">
        <v>286552</v>
      </c>
      <c r="F54" s="56">
        <v>261679</v>
      </c>
      <c r="G54" s="56">
        <v>280230</v>
      </c>
      <c r="H54" s="56">
        <v>235096</v>
      </c>
      <c r="I54" s="56">
        <v>215980</v>
      </c>
      <c r="J54" s="56">
        <v>219131</v>
      </c>
      <c r="K54" s="56">
        <v>239880</v>
      </c>
      <c r="L54" s="56">
        <v>239447</v>
      </c>
      <c r="M54" s="56">
        <v>304963</v>
      </c>
      <c r="N54" s="56">
        <v>246704</v>
      </c>
      <c r="O54" s="56">
        <v>280377</v>
      </c>
      <c r="P54" s="56">
        <v>268105</v>
      </c>
      <c r="Q54" s="56">
        <v>237929</v>
      </c>
      <c r="R54" s="69">
        <v>205020</v>
      </c>
      <c r="S54" s="81">
        <f t="shared" si="4"/>
        <v>3857692</v>
      </c>
      <c r="T54" s="56">
        <v>289031</v>
      </c>
      <c r="U54" s="56">
        <v>256564</v>
      </c>
      <c r="V54" s="56">
        <v>235324</v>
      </c>
      <c r="W54" s="56">
        <v>91856</v>
      </c>
      <c r="X54" s="56">
        <v>84806</v>
      </c>
      <c r="Y54" s="56">
        <v>111679</v>
      </c>
      <c r="Z54" s="56">
        <v>60134</v>
      </c>
      <c r="AA54" s="56">
        <v>81394</v>
      </c>
      <c r="AB54" s="69">
        <v>123014</v>
      </c>
      <c r="AC54" s="81">
        <f t="shared" si="5"/>
        <v>1333802</v>
      </c>
      <c r="AD54" s="57">
        <v>305038</v>
      </c>
      <c r="AE54" s="58">
        <f t="shared" si="6"/>
        <v>305038</v>
      </c>
      <c r="AF54" s="58">
        <f t="shared" si="7"/>
        <v>5496532</v>
      </c>
    </row>
    <row r="55" spans="1:32">
      <c r="A55" s="1" t="s">
        <v>3</v>
      </c>
      <c r="B55" s="30" t="s">
        <v>107</v>
      </c>
      <c r="C55" s="40">
        <v>1</v>
      </c>
      <c r="D55" s="41">
        <v>0</v>
      </c>
      <c r="E55" s="41">
        <v>1</v>
      </c>
      <c r="F55" s="41">
        <v>0</v>
      </c>
      <c r="G55" s="41">
        <v>0</v>
      </c>
      <c r="H55" s="41">
        <v>0</v>
      </c>
      <c r="I55" s="41">
        <v>1</v>
      </c>
      <c r="J55" s="41">
        <v>0</v>
      </c>
      <c r="K55" s="41">
        <v>0</v>
      </c>
      <c r="L55" s="41">
        <v>0</v>
      </c>
      <c r="M55" s="41">
        <v>4</v>
      </c>
      <c r="N55" s="41">
        <v>0</v>
      </c>
      <c r="O55" s="41">
        <v>0</v>
      </c>
      <c r="P55" s="41">
        <v>0</v>
      </c>
      <c r="Q55" s="41">
        <v>0</v>
      </c>
      <c r="R55" s="66">
        <v>0</v>
      </c>
      <c r="S55" s="78"/>
      <c r="T55" s="41">
        <v>1</v>
      </c>
      <c r="U55" s="41">
        <v>1</v>
      </c>
      <c r="V55" s="41">
        <v>0</v>
      </c>
      <c r="W55" s="41">
        <v>1</v>
      </c>
      <c r="X55" s="41">
        <v>0</v>
      </c>
      <c r="Y55" s="41">
        <v>0</v>
      </c>
      <c r="Z55" s="41">
        <v>1</v>
      </c>
      <c r="AA55" s="41">
        <v>1</v>
      </c>
      <c r="AB55" s="66">
        <v>1</v>
      </c>
      <c r="AC55" s="78"/>
      <c r="AD55" s="42">
        <v>0</v>
      </c>
      <c r="AE55" s="43"/>
      <c r="AF55" s="43"/>
    </row>
    <row r="56" spans="1:32">
      <c r="A56" s="1" t="s">
        <v>3</v>
      </c>
      <c r="B56" s="16" t="s">
        <v>108</v>
      </c>
      <c r="C56" s="28" t="s">
        <v>109</v>
      </c>
      <c r="D56" s="11" t="s">
        <v>109</v>
      </c>
      <c r="E56" s="11" t="s">
        <v>109</v>
      </c>
      <c r="F56" s="11" t="s">
        <v>109</v>
      </c>
      <c r="G56" s="11" t="s">
        <v>109</v>
      </c>
      <c r="H56" s="11" t="s">
        <v>109</v>
      </c>
      <c r="I56" s="11" t="s">
        <v>109</v>
      </c>
      <c r="J56" s="11" t="s">
        <v>109</v>
      </c>
      <c r="K56" s="11" t="s">
        <v>109</v>
      </c>
      <c r="L56" s="11" t="s">
        <v>109</v>
      </c>
      <c r="M56" s="11" t="s">
        <v>109</v>
      </c>
      <c r="N56" s="11" t="s">
        <v>109</v>
      </c>
      <c r="O56" s="11" t="s">
        <v>109</v>
      </c>
      <c r="P56" s="11" t="s">
        <v>109</v>
      </c>
      <c r="Q56" s="11" t="s">
        <v>109</v>
      </c>
      <c r="R56" s="70" t="s">
        <v>109</v>
      </c>
      <c r="S56" s="82"/>
      <c r="T56" s="11" t="s">
        <v>109</v>
      </c>
      <c r="U56" s="11" t="s">
        <v>109</v>
      </c>
      <c r="V56" s="11" t="s">
        <v>109</v>
      </c>
      <c r="W56" s="11" t="s">
        <v>109</v>
      </c>
      <c r="X56" s="11" t="s">
        <v>109</v>
      </c>
      <c r="Y56" s="11" t="s">
        <v>109</v>
      </c>
      <c r="Z56" s="11" t="s">
        <v>109</v>
      </c>
      <c r="AA56" s="11" t="s">
        <v>109</v>
      </c>
      <c r="AB56" s="70" t="s">
        <v>109</v>
      </c>
      <c r="AC56" s="82"/>
      <c r="AD56" s="12" t="s">
        <v>109</v>
      </c>
      <c r="AE56" s="21"/>
      <c r="AF56" s="21"/>
    </row>
    <row r="57" spans="1:32" ht="19.5" thickBot="1">
      <c r="A57" s="1" t="s">
        <v>3</v>
      </c>
      <c r="B57" s="17" t="s">
        <v>110</v>
      </c>
      <c r="C57" s="29">
        <v>3500</v>
      </c>
      <c r="D57" s="13">
        <v>2750</v>
      </c>
      <c r="E57" s="13">
        <v>7030</v>
      </c>
      <c r="F57" s="13">
        <v>7780</v>
      </c>
      <c r="G57" s="13">
        <v>8510</v>
      </c>
      <c r="H57" s="13">
        <v>6670</v>
      </c>
      <c r="I57" s="13">
        <v>4240</v>
      </c>
      <c r="J57" s="13">
        <v>6060</v>
      </c>
      <c r="K57" s="13">
        <v>6840</v>
      </c>
      <c r="L57" s="13">
        <v>6710</v>
      </c>
      <c r="M57" s="13">
        <v>1980</v>
      </c>
      <c r="N57" s="13">
        <v>6320</v>
      </c>
      <c r="O57" s="13">
        <v>7910</v>
      </c>
      <c r="P57" s="13">
        <v>7600</v>
      </c>
      <c r="Q57" s="13">
        <v>6690</v>
      </c>
      <c r="R57" s="71">
        <v>4690</v>
      </c>
      <c r="S57" s="83">
        <f>SUM(C57:R57)</f>
        <v>95280</v>
      </c>
      <c r="T57" s="13">
        <v>7270</v>
      </c>
      <c r="U57" s="13">
        <v>5670</v>
      </c>
      <c r="V57" s="13">
        <v>6270</v>
      </c>
      <c r="W57" s="13">
        <v>0</v>
      </c>
      <c r="X57" s="13">
        <v>0</v>
      </c>
      <c r="Y57" s="13">
        <v>1380</v>
      </c>
      <c r="Z57" s="13">
        <v>0</v>
      </c>
      <c r="AA57" s="13">
        <v>0</v>
      </c>
      <c r="AB57" s="71">
        <v>40</v>
      </c>
      <c r="AC57" s="83">
        <f>SUM(T57:AB57)</f>
        <v>20630</v>
      </c>
      <c r="AD57" s="14">
        <v>10850</v>
      </c>
      <c r="AE57" s="22">
        <f>AD57</f>
        <v>10850</v>
      </c>
      <c r="AF57" s="22">
        <f>S57+AC57+AE57</f>
        <v>126760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2025-09-10T04:32:52Z</dcterms:created>
  <dcterms:modified xsi:type="dcterms:W3CDTF">2025-09-24T04:41:20Z</dcterms:modified>
  <cp:category/>
  <cp:contentStatus/>
</cp:coreProperties>
</file>