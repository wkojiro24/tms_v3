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8月分\"/>
    </mc:Choice>
  </mc:AlternateContent>
  <xr:revisionPtr revIDLastSave="8" documentId="13_ncr:1_{FF14900D-21CC-4EFD-B695-37676A2A78D0}" xr6:coauthVersionLast="47" xr6:coauthVersionMax="47" xr10:uidLastSave="{C94394F1-353D-4110-9453-A4C7982A51E3}"/>
  <bookViews>
    <workbookView xWindow="-120" yWindow="-120" windowWidth="20730" windowHeight="11160" xr2:uid="{9E5CA99B-B48A-4844-B960-7FC481EC2569}"/>
  </bookViews>
  <sheets>
    <sheet name="2025年 8月度給与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2" l="1"/>
  <c r="Q40" i="2"/>
  <c r="L51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0" i="2"/>
  <c r="L19" i="2"/>
  <c r="L18" i="2"/>
  <c r="L17" i="2"/>
  <c r="L16" i="2"/>
  <c r="L15" i="2"/>
  <c r="L14" i="2"/>
  <c r="L13" i="2"/>
  <c r="L12" i="2"/>
  <c r="L11" i="2"/>
  <c r="L10" i="2"/>
  <c r="L9" i="2"/>
  <c r="I51" i="2"/>
  <c r="M51" i="2" s="1"/>
  <c r="I48" i="2"/>
  <c r="M48" i="2" s="1"/>
  <c r="I47" i="2"/>
  <c r="M47" i="2" s="1"/>
  <c r="I46" i="2"/>
  <c r="M46" i="2" s="1"/>
  <c r="I45" i="2"/>
  <c r="M45" i="2" s="1"/>
  <c r="I44" i="2"/>
  <c r="M44" i="2" s="1"/>
  <c r="I43" i="2"/>
  <c r="M43" i="2" s="1"/>
  <c r="I42" i="2"/>
  <c r="M42" i="2" s="1"/>
  <c r="I41" i="2"/>
  <c r="M41" i="2" s="1"/>
  <c r="I40" i="2"/>
  <c r="M40" i="2" s="1"/>
  <c r="I39" i="2"/>
  <c r="M39" i="2" s="1"/>
  <c r="I38" i="2"/>
  <c r="M38" i="2" s="1"/>
  <c r="I37" i="2"/>
  <c r="M37" i="2" s="1"/>
  <c r="I36" i="2"/>
  <c r="M36" i="2" s="1"/>
  <c r="I35" i="2"/>
  <c r="M35" i="2" s="1"/>
  <c r="I34" i="2"/>
  <c r="M34" i="2" s="1"/>
  <c r="I33" i="2"/>
  <c r="M33" i="2" s="1"/>
  <c r="I32" i="2"/>
  <c r="M32" i="2" s="1"/>
  <c r="I31" i="2"/>
  <c r="M31" i="2" s="1"/>
  <c r="I30" i="2"/>
  <c r="M30" i="2" s="1"/>
  <c r="I29" i="2"/>
  <c r="M29" i="2" s="1"/>
  <c r="I28" i="2"/>
  <c r="M28" i="2" s="1"/>
  <c r="I27" i="2"/>
  <c r="M27" i="2" s="1"/>
  <c r="I26" i="2"/>
  <c r="M26" i="2" s="1"/>
  <c r="I25" i="2"/>
  <c r="M25" i="2" s="1"/>
  <c r="I24" i="2"/>
  <c r="M24" i="2" s="1"/>
  <c r="I23" i="2"/>
  <c r="M23" i="2" s="1"/>
  <c r="I22" i="2"/>
  <c r="M22" i="2" s="1"/>
  <c r="I20" i="2"/>
  <c r="M20" i="2" s="1"/>
  <c r="I19" i="2"/>
  <c r="M19" i="2" s="1"/>
  <c r="I18" i="2"/>
  <c r="M18" i="2" s="1"/>
  <c r="I17" i="2"/>
  <c r="M17" i="2" s="1"/>
  <c r="I16" i="2"/>
  <c r="M16" i="2" s="1"/>
  <c r="I15" i="2"/>
  <c r="M15" i="2" s="1"/>
  <c r="I14" i="2"/>
  <c r="M14" i="2" s="1"/>
  <c r="I13" i="2"/>
  <c r="M13" i="2" s="1"/>
  <c r="I12" i="2"/>
  <c r="M12" i="2" s="1"/>
  <c r="I11" i="2"/>
  <c r="M11" i="2" s="1"/>
  <c r="I10" i="2"/>
  <c r="M10" i="2" s="1"/>
  <c r="I9" i="2"/>
  <c r="M9" i="2" s="1"/>
</calcChain>
</file>

<file path=xl/sharedStrings.xml><?xml version="1.0" encoding="utf-8"?>
<sst xmlns="http://schemas.openxmlformats.org/spreadsheetml/2006/main" count="122" uniqueCount="68">
  <si>
    <t>支給控除一覧表</t>
    <phoneticPr fontId="4"/>
  </si>
  <si>
    <t>若林運送株式会社</t>
    <phoneticPr fontId="4"/>
  </si>
  <si>
    <t>2025年 9月10日 作成</t>
    <phoneticPr fontId="4"/>
  </si>
  <si>
    <t/>
  </si>
  <si>
    <t>2025年 8月度給与</t>
    <phoneticPr fontId="4"/>
  </si>
  <si>
    <t>1037</t>
    <phoneticPr fontId="4"/>
  </si>
  <si>
    <t>1038</t>
    <phoneticPr fontId="4"/>
  </si>
  <si>
    <t>1042</t>
    <phoneticPr fontId="4"/>
  </si>
  <si>
    <t>1099</t>
    <phoneticPr fontId="4"/>
  </si>
  <si>
    <t>1102</t>
    <phoneticPr fontId="4"/>
  </si>
  <si>
    <t>1117</t>
    <phoneticPr fontId="4"/>
  </si>
  <si>
    <t>小計</t>
    <rPh sb="0" eb="2">
      <t>ショウケイ</t>
    </rPh>
    <phoneticPr fontId="3"/>
  </si>
  <si>
    <t>1043</t>
    <phoneticPr fontId="4"/>
  </si>
  <si>
    <t>1072</t>
    <phoneticPr fontId="4"/>
  </si>
  <si>
    <t>合計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</si>
  <si>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</si>
  <si>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</si>
  <si>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</si>
  <si>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</si>
  <si>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土谷　栄</t>
    <phoneticPr fontId="4"/>
  </si>
  <si>
    <t>小田島　健司</t>
    <phoneticPr fontId="4"/>
  </si>
  <si>
    <t>白井　博</t>
    <phoneticPr fontId="4"/>
  </si>
  <si>
    <t>6名</t>
    <rPh sb="1" eb="2">
      <t>メイ</t>
    </rPh>
    <phoneticPr fontId="4"/>
  </si>
  <si>
    <t>鈴木　貴雄</t>
    <phoneticPr fontId="4"/>
  </si>
  <si>
    <t>佐藤　ゆうこ</t>
    <phoneticPr fontId="4"/>
  </si>
  <si>
    <t>2名</t>
    <rPh sb="1" eb="2">
      <t>メイ</t>
    </rPh>
    <phoneticPr fontId="4"/>
  </si>
  <si>
    <t>8名</t>
    <rPh sb="1" eb="2">
      <t>メイ</t>
    </rPh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</si>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</sst>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ADDBDD1A-DF6F-4623-8DAA-7A20BCDCB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07FF-FAC9-4487-8F55-1C4501523CAA}">
  <dimension ref="A1:R51"/>
  <sheetViews>
    <sheetView showZeros="0" tabSelected="1" workbookViewId="0">
      <pane xSplit="2" ySplit="8" topLeftCell="C30" activePane="bottomRight" state="frozen"/>
      <selection pane="bottomRight" activeCell="N1" sqref="N1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9.625" style="2" bestFit="1" customWidth="1"/>
    <col min="10" max="10" width="11.125" style="2" bestFit="1" customWidth="1"/>
    <col min="11" max="11" width="13.25" style="2" bestFit="1" customWidth="1"/>
    <col min="12" max="13" width="9.625" style="2" bestFit="1" customWidth="1"/>
    <col min="14" max="17" width="9" style="2"/>
    <col min="18" max="18" width="10" style="2" bestFit="1" customWidth="1"/>
    <col min="19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9" style="2" bestFit="1"/>
    <col min="267" max="267" width="13.25" style="2" bestFit="1" customWidth="1"/>
    <col min="268" max="268" width="9" style="2" bestFit="1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9" style="2" bestFit="1"/>
    <col min="523" max="523" width="13.25" style="2" bestFit="1" customWidth="1"/>
    <col min="524" max="524" width="9" style="2" bestFit="1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9" style="2" bestFit="1"/>
    <col min="779" max="779" width="13.25" style="2" bestFit="1" customWidth="1"/>
    <col min="780" max="780" width="9" style="2" bestFit="1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9" style="2" bestFit="1"/>
    <col min="1035" max="1035" width="13.25" style="2" bestFit="1" customWidth="1"/>
    <col min="1036" max="1036" width="9" style="2" bestFit="1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9" style="2" bestFit="1"/>
    <col min="1291" max="1291" width="13.25" style="2" bestFit="1" customWidth="1"/>
    <col min="1292" max="1292" width="9" style="2" bestFit="1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9" style="2" bestFit="1"/>
    <col min="1547" max="1547" width="13.25" style="2" bestFit="1" customWidth="1"/>
    <col min="1548" max="1548" width="9" style="2" bestFit="1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9" style="2" bestFit="1"/>
    <col min="1803" max="1803" width="13.25" style="2" bestFit="1" customWidth="1"/>
    <col min="1804" max="1804" width="9" style="2" bestFit="1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9" style="2" bestFit="1"/>
    <col min="2059" max="2059" width="13.25" style="2" bestFit="1" customWidth="1"/>
    <col min="2060" max="2060" width="9" style="2" bestFit="1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9" style="2" bestFit="1"/>
    <col min="2315" max="2315" width="13.25" style="2" bestFit="1" customWidth="1"/>
    <col min="2316" max="2316" width="9" style="2" bestFit="1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9" style="2" bestFit="1"/>
    <col min="2571" max="2571" width="13.25" style="2" bestFit="1" customWidth="1"/>
    <col min="2572" max="2572" width="9" style="2" bestFit="1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9" style="2" bestFit="1"/>
    <col min="2827" max="2827" width="13.25" style="2" bestFit="1" customWidth="1"/>
    <col min="2828" max="2828" width="9" style="2" bestFit="1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9" style="2" bestFit="1"/>
    <col min="3083" max="3083" width="13.25" style="2" bestFit="1" customWidth="1"/>
    <col min="3084" max="3084" width="9" style="2" bestFit="1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9" style="2" bestFit="1"/>
    <col min="3339" max="3339" width="13.25" style="2" bestFit="1" customWidth="1"/>
    <col min="3340" max="3340" width="9" style="2" bestFit="1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9" style="2" bestFit="1"/>
    <col min="3595" max="3595" width="13.25" style="2" bestFit="1" customWidth="1"/>
    <col min="3596" max="3596" width="9" style="2" bestFit="1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9" style="2" bestFit="1"/>
    <col min="3851" max="3851" width="13.25" style="2" bestFit="1" customWidth="1"/>
    <col min="3852" max="3852" width="9" style="2" bestFit="1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9" style="2" bestFit="1"/>
    <col min="4107" max="4107" width="13.25" style="2" bestFit="1" customWidth="1"/>
    <col min="4108" max="4108" width="9" style="2" bestFit="1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9" style="2" bestFit="1"/>
    <col min="4363" max="4363" width="13.25" style="2" bestFit="1" customWidth="1"/>
    <col min="4364" max="4364" width="9" style="2" bestFit="1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9" style="2" bestFit="1"/>
    <col min="4619" max="4619" width="13.25" style="2" bestFit="1" customWidth="1"/>
    <col min="4620" max="4620" width="9" style="2" bestFit="1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9" style="2" bestFit="1"/>
    <col min="4875" max="4875" width="13.25" style="2" bestFit="1" customWidth="1"/>
    <col min="4876" max="4876" width="9" style="2" bestFit="1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9" style="2" bestFit="1"/>
    <col min="5131" max="5131" width="13.25" style="2" bestFit="1" customWidth="1"/>
    <col min="5132" max="5132" width="9" style="2" bestFit="1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9" style="2" bestFit="1"/>
    <col min="5387" max="5387" width="13.25" style="2" bestFit="1" customWidth="1"/>
    <col min="5388" max="5388" width="9" style="2" bestFit="1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9" style="2" bestFit="1"/>
    <col min="5643" max="5643" width="13.25" style="2" bestFit="1" customWidth="1"/>
    <col min="5644" max="5644" width="9" style="2" bestFit="1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9" style="2" bestFit="1"/>
    <col min="5899" max="5899" width="13.25" style="2" bestFit="1" customWidth="1"/>
    <col min="5900" max="5900" width="9" style="2" bestFit="1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9" style="2" bestFit="1"/>
    <col min="6155" max="6155" width="13.25" style="2" bestFit="1" customWidth="1"/>
    <col min="6156" max="6156" width="9" style="2" bestFit="1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9" style="2" bestFit="1"/>
    <col min="6411" max="6411" width="13.25" style="2" bestFit="1" customWidth="1"/>
    <col min="6412" max="6412" width="9" style="2" bestFit="1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9" style="2" bestFit="1"/>
    <col min="6667" max="6667" width="13.25" style="2" bestFit="1" customWidth="1"/>
    <col min="6668" max="6668" width="9" style="2" bestFit="1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9" style="2" bestFit="1"/>
    <col min="6923" max="6923" width="13.25" style="2" bestFit="1" customWidth="1"/>
    <col min="6924" max="6924" width="9" style="2" bestFit="1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9" style="2" bestFit="1"/>
    <col min="7179" max="7179" width="13.25" style="2" bestFit="1" customWidth="1"/>
    <col min="7180" max="7180" width="9" style="2" bestFit="1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9" style="2" bestFit="1"/>
    <col min="7435" max="7435" width="13.25" style="2" bestFit="1" customWidth="1"/>
    <col min="7436" max="7436" width="9" style="2" bestFit="1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9" style="2" bestFit="1"/>
    <col min="7691" max="7691" width="13.25" style="2" bestFit="1" customWidth="1"/>
    <col min="7692" max="7692" width="9" style="2" bestFit="1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9" style="2" bestFit="1"/>
    <col min="7947" max="7947" width="13.25" style="2" bestFit="1" customWidth="1"/>
    <col min="7948" max="7948" width="9" style="2" bestFit="1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9" style="2" bestFit="1"/>
    <col min="8203" max="8203" width="13.25" style="2" bestFit="1" customWidth="1"/>
    <col min="8204" max="8204" width="9" style="2" bestFit="1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9" style="2" bestFit="1"/>
    <col min="8459" max="8459" width="13.25" style="2" bestFit="1" customWidth="1"/>
    <col min="8460" max="8460" width="9" style="2" bestFit="1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9" style="2" bestFit="1"/>
    <col min="8715" max="8715" width="13.25" style="2" bestFit="1" customWidth="1"/>
    <col min="8716" max="8716" width="9" style="2" bestFit="1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9" style="2" bestFit="1"/>
    <col min="8971" max="8971" width="13.25" style="2" bestFit="1" customWidth="1"/>
    <col min="8972" max="8972" width="9" style="2" bestFit="1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9" style="2" bestFit="1"/>
    <col min="9227" max="9227" width="13.25" style="2" bestFit="1" customWidth="1"/>
    <col min="9228" max="9228" width="9" style="2" bestFit="1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9" style="2" bestFit="1"/>
    <col min="9483" max="9483" width="13.25" style="2" bestFit="1" customWidth="1"/>
    <col min="9484" max="9484" width="9" style="2" bestFit="1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9" style="2" bestFit="1"/>
    <col min="9739" max="9739" width="13.25" style="2" bestFit="1" customWidth="1"/>
    <col min="9740" max="9740" width="9" style="2" bestFit="1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9" style="2" bestFit="1"/>
    <col min="9995" max="9995" width="13.25" style="2" bestFit="1" customWidth="1"/>
    <col min="9996" max="9996" width="9" style="2" bestFit="1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9" style="2" bestFit="1"/>
    <col min="10251" max="10251" width="13.25" style="2" bestFit="1" customWidth="1"/>
    <col min="10252" max="10252" width="9" style="2" bestFit="1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9" style="2" bestFit="1"/>
    <col min="10507" max="10507" width="13.25" style="2" bestFit="1" customWidth="1"/>
    <col min="10508" max="10508" width="9" style="2" bestFit="1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9" style="2" bestFit="1"/>
    <col min="10763" max="10763" width="13.25" style="2" bestFit="1" customWidth="1"/>
    <col min="10764" max="10764" width="9" style="2" bestFit="1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9" style="2" bestFit="1"/>
    <col min="11019" max="11019" width="13.25" style="2" bestFit="1" customWidth="1"/>
    <col min="11020" max="11020" width="9" style="2" bestFit="1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9" style="2" bestFit="1"/>
    <col min="11275" max="11275" width="13.25" style="2" bestFit="1" customWidth="1"/>
    <col min="11276" max="11276" width="9" style="2" bestFit="1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9" style="2" bestFit="1"/>
    <col min="11531" max="11531" width="13.25" style="2" bestFit="1" customWidth="1"/>
    <col min="11532" max="11532" width="9" style="2" bestFit="1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9" style="2" bestFit="1"/>
    <col min="11787" max="11787" width="13.25" style="2" bestFit="1" customWidth="1"/>
    <col min="11788" max="11788" width="9" style="2" bestFit="1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9" style="2" bestFit="1"/>
    <col min="12043" max="12043" width="13.25" style="2" bestFit="1" customWidth="1"/>
    <col min="12044" max="12044" width="9" style="2" bestFit="1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9" style="2" bestFit="1"/>
    <col min="12299" max="12299" width="13.25" style="2" bestFit="1" customWidth="1"/>
    <col min="12300" max="12300" width="9" style="2" bestFit="1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9" style="2" bestFit="1"/>
    <col min="12555" max="12555" width="13.25" style="2" bestFit="1" customWidth="1"/>
    <col min="12556" max="12556" width="9" style="2" bestFit="1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9" style="2" bestFit="1"/>
    <col min="12811" max="12811" width="13.25" style="2" bestFit="1" customWidth="1"/>
    <col min="12812" max="12812" width="9" style="2" bestFit="1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9" style="2" bestFit="1"/>
    <col min="13067" max="13067" width="13.25" style="2" bestFit="1" customWidth="1"/>
    <col min="13068" max="13068" width="9" style="2" bestFit="1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9" style="2" bestFit="1"/>
    <col min="13323" max="13323" width="13.25" style="2" bestFit="1" customWidth="1"/>
    <col min="13324" max="13324" width="9" style="2" bestFit="1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9" style="2" bestFit="1"/>
    <col min="13579" max="13579" width="13.25" style="2" bestFit="1" customWidth="1"/>
    <col min="13580" max="13580" width="9" style="2" bestFit="1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9" style="2" bestFit="1"/>
    <col min="13835" max="13835" width="13.25" style="2" bestFit="1" customWidth="1"/>
    <col min="13836" max="13836" width="9" style="2" bestFit="1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9" style="2" bestFit="1"/>
    <col min="14091" max="14091" width="13.25" style="2" bestFit="1" customWidth="1"/>
    <col min="14092" max="14092" width="9" style="2" bestFit="1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9" style="2" bestFit="1"/>
    <col min="14347" max="14347" width="13.25" style="2" bestFit="1" customWidth="1"/>
    <col min="14348" max="14348" width="9" style="2" bestFit="1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9" style="2" bestFit="1"/>
    <col min="14603" max="14603" width="13.25" style="2" bestFit="1" customWidth="1"/>
    <col min="14604" max="14604" width="9" style="2" bestFit="1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9" style="2" bestFit="1"/>
    <col min="14859" max="14859" width="13.25" style="2" bestFit="1" customWidth="1"/>
    <col min="14860" max="14860" width="9" style="2" bestFit="1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9" style="2" bestFit="1"/>
    <col min="15115" max="15115" width="13.25" style="2" bestFit="1" customWidth="1"/>
    <col min="15116" max="15116" width="9" style="2" bestFit="1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9" style="2" bestFit="1"/>
    <col min="15371" max="15371" width="13.25" style="2" bestFit="1" customWidth="1"/>
    <col min="15372" max="15372" width="9" style="2" bestFit="1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9" style="2" bestFit="1"/>
    <col min="15627" max="15627" width="13.25" style="2" bestFit="1" customWidth="1"/>
    <col min="15628" max="15628" width="9" style="2" bestFit="1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9" style="2" bestFit="1"/>
    <col min="15883" max="15883" width="13.25" style="2" bestFit="1" customWidth="1"/>
    <col min="15884" max="15884" width="9" style="2" bestFit="1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9" style="2" bestFit="1"/>
    <col min="16139" max="16139" width="13.25" style="2" bestFit="1" customWidth="1"/>
    <col min="16140" max="16140" width="9" style="2" bestFit="1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/>
    </row>
    <row r="3" spans="1:13">
      <c r="A3" s="1" t="s">
        <v>1</v>
      </c>
    </row>
    <row r="4" spans="1:13">
      <c r="A4" s="1" t="s">
        <v>2</v>
      </c>
    </row>
    <row r="5" spans="1:13">
      <c r="A5" s="1" t="s">
        <v>3</v>
      </c>
    </row>
    <row r="6" spans="1:13" ht="19.5" thickBot="1">
      <c r="A6" s="1" t="s">
        <v>4</v>
      </c>
    </row>
    <row r="7" spans="1:13">
      <c r="B7" s="15"/>
      <c r="C7" s="23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59" t="s">
        <v>10</v>
      </c>
      <c r="I7" s="72" t="s">
        <v>11</v>
      </c>
      <c r="J7" s="4" t="s">
        <v>12</v>
      </c>
      <c r="K7" s="24" t="s">
        <v>13</v>
      </c>
      <c r="L7" s="71" t="s">
        <v>11</v>
      </c>
      <c r="M7" s="71" t="s">
        <v>14</v>
      </c>
    </row>
    <row r="8" spans="1:13" ht="19.5" thickBot="1">
      <c r="A8" s="3"/>
      <c r="B8" s="35" t="s">
        <v>15</v>
      </c>
      <c r="C8" s="36" t="s">
        <v>16</v>
      </c>
      <c r="D8" s="37" t="s">
        <v>17</v>
      </c>
      <c r="E8" s="37" t="s">
        <v>18</v>
      </c>
      <c r="F8" s="37" t="s">
        <v>19</v>
      </c>
      <c r="G8" s="37" t="s">
        <v>20</v>
      </c>
      <c r="H8" s="60" t="s">
        <v>21</v>
      </c>
      <c r="I8" s="73" t="s">
        <v>22</v>
      </c>
      <c r="J8" s="37" t="s">
        <v>23</v>
      </c>
      <c r="K8" s="38" t="s">
        <v>24</v>
      </c>
      <c r="L8" s="39" t="s">
        <v>25</v>
      </c>
      <c r="M8" s="39" t="s">
        <v>26</v>
      </c>
    </row>
    <row r="9" spans="1:13">
      <c r="A9" s="1" t="s">
        <v>3</v>
      </c>
      <c r="B9" s="30" t="s">
        <v>27</v>
      </c>
      <c r="C9" s="31">
        <v>22</v>
      </c>
      <c r="D9" s="32">
        <v>14</v>
      </c>
      <c r="E9" s="32">
        <v>17</v>
      </c>
      <c r="F9" s="32">
        <v>17</v>
      </c>
      <c r="G9" s="32">
        <v>19</v>
      </c>
      <c r="H9" s="61">
        <v>18</v>
      </c>
      <c r="I9" s="74">
        <f>SUM(C9:H9)</f>
        <v>107</v>
      </c>
      <c r="J9" s="32">
        <v>20</v>
      </c>
      <c r="K9" s="33">
        <v>20</v>
      </c>
      <c r="L9" s="34">
        <f>SUM(J9:K9)</f>
        <v>40</v>
      </c>
      <c r="M9" s="34">
        <f>I9+L9</f>
        <v>147</v>
      </c>
    </row>
    <row r="10" spans="1:13">
      <c r="A10" s="1" t="s">
        <v>3</v>
      </c>
      <c r="B10" s="16" t="s">
        <v>28</v>
      </c>
      <c r="C10" s="25">
        <v>1</v>
      </c>
      <c r="D10" s="5">
        <v>3</v>
      </c>
      <c r="E10" s="5">
        <v>4</v>
      </c>
      <c r="F10" s="5">
        <v>2</v>
      </c>
      <c r="G10" s="5">
        <v>2</v>
      </c>
      <c r="H10" s="62">
        <v>2</v>
      </c>
      <c r="I10" s="75">
        <f t="shared" ref="I10:I20" si="0">SUM(C10:H10)</f>
        <v>14</v>
      </c>
      <c r="J10" s="5">
        <v>0</v>
      </c>
      <c r="K10" s="6">
        <v>3</v>
      </c>
      <c r="L10" s="18">
        <f t="shared" ref="L10:L20" si="1">SUM(J10:K10)</f>
        <v>3</v>
      </c>
      <c r="M10" s="18">
        <f t="shared" ref="M10:M20" si="2">I10+L10</f>
        <v>17</v>
      </c>
    </row>
    <row r="11" spans="1:13">
      <c r="A11" s="1" t="s">
        <v>3</v>
      </c>
      <c r="B11" s="16" t="s">
        <v>29</v>
      </c>
      <c r="C11" s="25">
        <v>2</v>
      </c>
      <c r="D11" s="5">
        <v>4</v>
      </c>
      <c r="E11" s="5">
        <v>2</v>
      </c>
      <c r="F11" s="5">
        <v>1</v>
      </c>
      <c r="G11" s="5">
        <v>2</v>
      </c>
      <c r="H11" s="62">
        <v>0</v>
      </c>
      <c r="I11" s="75">
        <f t="shared" si="0"/>
        <v>11</v>
      </c>
      <c r="J11" s="5">
        <v>0</v>
      </c>
      <c r="K11" s="6">
        <v>0</v>
      </c>
      <c r="L11" s="18">
        <f t="shared" si="1"/>
        <v>0</v>
      </c>
      <c r="M11" s="18">
        <f t="shared" si="2"/>
        <v>11</v>
      </c>
    </row>
    <row r="12" spans="1:13">
      <c r="A12" s="1" t="s">
        <v>3</v>
      </c>
      <c r="B12" s="16" t="s">
        <v>30</v>
      </c>
      <c r="C12" s="25">
        <v>0</v>
      </c>
      <c r="D12" s="5">
        <v>5</v>
      </c>
      <c r="E12" s="5">
        <v>4</v>
      </c>
      <c r="F12" s="5">
        <v>0</v>
      </c>
      <c r="G12" s="5">
        <v>0</v>
      </c>
      <c r="H12" s="62">
        <v>0</v>
      </c>
      <c r="I12" s="75">
        <f t="shared" si="0"/>
        <v>9</v>
      </c>
      <c r="J12" s="5">
        <v>0</v>
      </c>
      <c r="K12" s="6">
        <v>0</v>
      </c>
      <c r="L12" s="18">
        <f t="shared" si="1"/>
        <v>0</v>
      </c>
      <c r="M12" s="18">
        <f t="shared" si="2"/>
        <v>9</v>
      </c>
    </row>
    <row r="13" spans="1:13">
      <c r="A13" s="1" t="s">
        <v>3</v>
      </c>
      <c r="B13" s="16" t="s">
        <v>31</v>
      </c>
      <c r="C13" s="25">
        <v>0</v>
      </c>
      <c r="D13" s="5">
        <v>3</v>
      </c>
      <c r="E13" s="5">
        <v>1</v>
      </c>
      <c r="F13" s="5">
        <v>5</v>
      </c>
      <c r="G13" s="5">
        <v>3</v>
      </c>
      <c r="H13" s="62">
        <v>4</v>
      </c>
      <c r="I13" s="75">
        <f t="shared" si="0"/>
        <v>16</v>
      </c>
      <c r="J13" s="5">
        <v>1</v>
      </c>
      <c r="K13" s="6">
        <v>3</v>
      </c>
      <c r="L13" s="18">
        <f t="shared" si="1"/>
        <v>4</v>
      </c>
      <c r="M13" s="18">
        <f t="shared" si="2"/>
        <v>20</v>
      </c>
    </row>
    <row r="14" spans="1:13">
      <c r="A14" s="1" t="s">
        <v>3</v>
      </c>
      <c r="B14" s="16" t="s">
        <v>32</v>
      </c>
      <c r="C14" s="26">
        <v>1.9166666666666665</v>
      </c>
      <c r="D14" s="7">
        <v>0.5</v>
      </c>
      <c r="E14" s="7">
        <v>0.625</v>
      </c>
      <c r="F14" s="7">
        <v>0.875</v>
      </c>
      <c r="G14" s="7">
        <v>1.4583333333333333</v>
      </c>
      <c r="H14" s="63">
        <v>1</v>
      </c>
      <c r="I14" s="76">
        <f t="shared" si="0"/>
        <v>6.375</v>
      </c>
      <c r="J14" s="7">
        <v>0</v>
      </c>
      <c r="K14" s="8">
        <v>8.3333333333333329E-2</v>
      </c>
      <c r="L14" s="19">
        <f t="shared" si="1"/>
        <v>8.3333333333333329E-2</v>
      </c>
      <c r="M14" s="19">
        <f t="shared" si="2"/>
        <v>6.458333333333333</v>
      </c>
    </row>
    <row r="15" spans="1:13">
      <c r="A15" s="1" t="s">
        <v>3</v>
      </c>
      <c r="B15" s="16" t="s">
        <v>33</v>
      </c>
      <c r="C15" s="26">
        <v>0.45833333333333331</v>
      </c>
      <c r="D15" s="7">
        <v>0.33333333333333331</v>
      </c>
      <c r="E15" s="7">
        <v>0.375</v>
      </c>
      <c r="F15" s="7">
        <v>0.625</v>
      </c>
      <c r="G15" s="7">
        <v>0.79166666666666663</v>
      </c>
      <c r="H15" s="63">
        <v>0.66666666666666663</v>
      </c>
      <c r="I15" s="76">
        <f t="shared" si="0"/>
        <v>3.2499999999999996</v>
      </c>
      <c r="J15" s="7">
        <v>0</v>
      </c>
      <c r="K15" s="8">
        <v>0.83333333333333337</v>
      </c>
      <c r="L15" s="19">
        <f t="shared" si="1"/>
        <v>0.83333333333333337</v>
      </c>
      <c r="M15" s="19">
        <f t="shared" si="2"/>
        <v>4.083333333333333</v>
      </c>
    </row>
    <row r="16" spans="1:13">
      <c r="A16" s="1" t="s">
        <v>3</v>
      </c>
      <c r="B16" s="16" t="s">
        <v>34</v>
      </c>
      <c r="C16" s="26">
        <v>0.70833333333333337</v>
      </c>
      <c r="D16" s="7">
        <v>0.33333333333333331</v>
      </c>
      <c r="E16" s="7">
        <v>0.375</v>
      </c>
      <c r="F16" s="7">
        <v>0.29166666666666669</v>
      </c>
      <c r="G16" s="7">
        <v>0.875</v>
      </c>
      <c r="H16" s="63">
        <v>0</v>
      </c>
      <c r="I16" s="76">
        <f t="shared" si="0"/>
        <v>2.5833333333333335</v>
      </c>
      <c r="J16" s="7">
        <v>0</v>
      </c>
      <c r="K16" s="8">
        <v>0</v>
      </c>
      <c r="L16" s="19">
        <f t="shared" si="1"/>
        <v>0</v>
      </c>
      <c r="M16" s="19">
        <f t="shared" si="2"/>
        <v>2.5833333333333335</v>
      </c>
    </row>
    <row r="17" spans="1:13">
      <c r="A17" s="1" t="s">
        <v>3</v>
      </c>
      <c r="B17" s="16" t="s">
        <v>35</v>
      </c>
      <c r="C17" s="26">
        <v>0</v>
      </c>
      <c r="D17" s="7">
        <v>0.70833333333333337</v>
      </c>
      <c r="E17" s="7">
        <v>1.1666666666666667</v>
      </c>
      <c r="F17" s="7">
        <v>0</v>
      </c>
      <c r="G17" s="7">
        <v>0</v>
      </c>
      <c r="H17" s="63">
        <v>0</v>
      </c>
      <c r="I17" s="76">
        <f t="shared" si="0"/>
        <v>1.875</v>
      </c>
      <c r="J17" s="7">
        <v>0</v>
      </c>
      <c r="K17" s="8">
        <v>0</v>
      </c>
      <c r="L17" s="19">
        <f t="shared" si="1"/>
        <v>0</v>
      </c>
      <c r="M17" s="19">
        <f t="shared" si="2"/>
        <v>1.875</v>
      </c>
    </row>
    <row r="18" spans="1:13">
      <c r="A18" s="1" t="s">
        <v>3</v>
      </c>
      <c r="B18" s="16" t="s">
        <v>36</v>
      </c>
      <c r="C18" s="26">
        <v>0</v>
      </c>
      <c r="D18" s="7">
        <v>1</v>
      </c>
      <c r="E18" s="7">
        <v>0.375</v>
      </c>
      <c r="F18" s="7">
        <v>0</v>
      </c>
      <c r="G18" s="7">
        <v>0</v>
      </c>
      <c r="H18" s="63">
        <v>0</v>
      </c>
      <c r="I18" s="76">
        <f t="shared" si="0"/>
        <v>1.375</v>
      </c>
      <c r="J18" s="7">
        <v>0</v>
      </c>
      <c r="K18" s="8">
        <v>0</v>
      </c>
      <c r="L18" s="19">
        <f t="shared" si="1"/>
        <v>0</v>
      </c>
      <c r="M18" s="19">
        <f t="shared" si="2"/>
        <v>1.375</v>
      </c>
    </row>
    <row r="19" spans="1:13">
      <c r="A19" s="1" t="s">
        <v>3</v>
      </c>
      <c r="B19" s="16" t="s">
        <v>37</v>
      </c>
      <c r="C19" s="26">
        <v>0</v>
      </c>
      <c r="D19" s="7">
        <v>0</v>
      </c>
      <c r="E19" s="7">
        <v>0</v>
      </c>
      <c r="F19" s="7">
        <v>0</v>
      </c>
      <c r="G19" s="7">
        <v>0</v>
      </c>
      <c r="H19" s="63">
        <v>0</v>
      </c>
      <c r="I19" s="76">
        <f t="shared" si="0"/>
        <v>0</v>
      </c>
      <c r="J19" s="7">
        <v>0</v>
      </c>
      <c r="K19" s="8">
        <v>0.33333333333333331</v>
      </c>
      <c r="L19" s="19">
        <f t="shared" si="1"/>
        <v>0.33333333333333331</v>
      </c>
      <c r="M19" s="19">
        <f t="shared" si="2"/>
        <v>0.33333333333333331</v>
      </c>
    </row>
    <row r="20" spans="1:13">
      <c r="A20" s="1" t="s">
        <v>3</v>
      </c>
      <c r="B20" s="16" t="s">
        <v>38</v>
      </c>
      <c r="C20" s="26">
        <v>1.3333333333333333</v>
      </c>
      <c r="D20" s="7">
        <v>2.6666666666666665</v>
      </c>
      <c r="E20" s="7">
        <v>2.4583333333333335</v>
      </c>
      <c r="F20" s="7">
        <v>0.41666666666666669</v>
      </c>
      <c r="G20" s="7">
        <v>0.91666666666666663</v>
      </c>
      <c r="H20" s="63">
        <v>0.58333333333333337</v>
      </c>
      <c r="I20" s="76">
        <f t="shared" si="0"/>
        <v>8.3750000000000018</v>
      </c>
      <c r="J20" s="7">
        <v>0.41666666666666669</v>
      </c>
      <c r="K20" s="8">
        <v>0</v>
      </c>
      <c r="L20" s="19">
        <f t="shared" si="1"/>
        <v>0.41666666666666669</v>
      </c>
      <c r="M20" s="19">
        <f t="shared" si="2"/>
        <v>8.7916666666666679</v>
      </c>
    </row>
    <row r="21" spans="1:13">
      <c r="A21" s="1" t="s">
        <v>3</v>
      </c>
      <c r="B21" s="44" t="s">
        <v>39</v>
      </c>
      <c r="C21" s="45">
        <v>38</v>
      </c>
      <c r="D21" s="46">
        <v>31</v>
      </c>
      <c r="E21" s="46">
        <v>23</v>
      </c>
      <c r="F21" s="46">
        <v>18</v>
      </c>
      <c r="G21" s="46">
        <v>10</v>
      </c>
      <c r="H21" s="64">
        <v>11</v>
      </c>
      <c r="I21" s="77"/>
      <c r="J21" s="46">
        <v>39</v>
      </c>
      <c r="K21" s="47">
        <v>27.5</v>
      </c>
      <c r="L21" s="48"/>
      <c r="M21" s="48"/>
    </row>
    <row r="22" spans="1:13">
      <c r="A22" s="1" t="s">
        <v>3</v>
      </c>
      <c r="B22" s="30" t="s">
        <v>40</v>
      </c>
      <c r="C22" s="40">
        <v>187000</v>
      </c>
      <c r="D22" s="41">
        <v>187000</v>
      </c>
      <c r="E22" s="41">
        <v>182000</v>
      </c>
      <c r="F22" s="41">
        <v>182000</v>
      </c>
      <c r="G22" s="41">
        <v>182000</v>
      </c>
      <c r="H22" s="65">
        <v>175000</v>
      </c>
      <c r="I22" s="78">
        <f t="shared" ref="I22:I48" si="3">SUM(C22:H22)</f>
        <v>1095000</v>
      </c>
      <c r="J22" s="41">
        <v>370000</v>
      </c>
      <c r="K22" s="42">
        <v>180000</v>
      </c>
      <c r="L22" s="43">
        <f t="shared" ref="L22:L48" si="4">SUM(J22:K22)</f>
        <v>550000</v>
      </c>
      <c r="M22" s="43">
        <f t="shared" ref="M22:M48" si="5">I22+L22</f>
        <v>1645000</v>
      </c>
    </row>
    <row r="23" spans="1:13">
      <c r="A23" s="1" t="s">
        <v>3</v>
      </c>
      <c r="B23" s="16" t="s">
        <v>41</v>
      </c>
      <c r="C23" s="27">
        <v>5000</v>
      </c>
      <c r="D23" s="9">
        <v>0</v>
      </c>
      <c r="E23" s="9">
        <v>0</v>
      </c>
      <c r="F23" s="9">
        <v>0</v>
      </c>
      <c r="G23" s="9">
        <v>0</v>
      </c>
      <c r="H23" s="66">
        <v>0</v>
      </c>
      <c r="I23" s="79">
        <f t="shared" si="3"/>
        <v>5000</v>
      </c>
      <c r="J23" s="9">
        <v>0</v>
      </c>
      <c r="K23" s="10">
        <v>0</v>
      </c>
      <c r="L23" s="20">
        <f t="shared" si="4"/>
        <v>0</v>
      </c>
      <c r="M23" s="20">
        <f t="shared" si="5"/>
        <v>5000</v>
      </c>
    </row>
    <row r="24" spans="1:13">
      <c r="A24" s="1" t="s">
        <v>3</v>
      </c>
      <c r="B24" s="16" t="s">
        <v>42</v>
      </c>
      <c r="C24" s="27">
        <v>6000</v>
      </c>
      <c r="D24" s="9">
        <v>10000</v>
      </c>
      <c r="E24" s="9">
        <v>0</v>
      </c>
      <c r="F24" s="9">
        <v>0</v>
      </c>
      <c r="G24" s="9">
        <v>0</v>
      </c>
      <c r="H24" s="66">
        <v>0</v>
      </c>
      <c r="I24" s="79">
        <f t="shared" si="3"/>
        <v>16000</v>
      </c>
      <c r="J24" s="9">
        <v>0</v>
      </c>
      <c r="K24" s="10">
        <v>18000</v>
      </c>
      <c r="L24" s="20">
        <f t="shared" si="4"/>
        <v>18000</v>
      </c>
      <c r="M24" s="20">
        <f t="shared" si="5"/>
        <v>34000</v>
      </c>
    </row>
    <row r="25" spans="1:13">
      <c r="A25" s="1" t="s">
        <v>3</v>
      </c>
      <c r="B25" s="16" t="s">
        <v>43</v>
      </c>
      <c r="C25" s="27">
        <v>3500</v>
      </c>
      <c r="D25" s="9">
        <v>3500</v>
      </c>
      <c r="E25" s="9">
        <v>3500</v>
      </c>
      <c r="F25" s="9">
        <v>3500</v>
      </c>
      <c r="G25" s="9">
        <v>3500</v>
      </c>
      <c r="H25" s="66">
        <v>1000</v>
      </c>
      <c r="I25" s="79">
        <f t="shared" si="3"/>
        <v>18500</v>
      </c>
      <c r="J25" s="9">
        <v>0</v>
      </c>
      <c r="K25" s="10">
        <v>0</v>
      </c>
      <c r="L25" s="20">
        <f t="shared" si="4"/>
        <v>0</v>
      </c>
      <c r="M25" s="20">
        <f t="shared" si="5"/>
        <v>18500</v>
      </c>
    </row>
    <row r="26" spans="1:13">
      <c r="A26" s="1" t="s">
        <v>3</v>
      </c>
      <c r="B26" s="16" t="s">
        <v>44</v>
      </c>
      <c r="C26" s="27">
        <v>0</v>
      </c>
      <c r="D26" s="9">
        <v>7600</v>
      </c>
      <c r="E26" s="9">
        <v>0</v>
      </c>
      <c r="F26" s="9">
        <v>0</v>
      </c>
      <c r="G26" s="9">
        <v>0</v>
      </c>
      <c r="H26" s="66">
        <v>0</v>
      </c>
      <c r="I26" s="79">
        <f t="shared" si="3"/>
        <v>7600</v>
      </c>
      <c r="J26" s="9">
        <v>0</v>
      </c>
      <c r="K26" s="10">
        <v>0</v>
      </c>
      <c r="L26" s="20">
        <f t="shared" si="4"/>
        <v>0</v>
      </c>
      <c r="M26" s="20">
        <f t="shared" si="5"/>
        <v>7600</v>
      </c>
    </row>
    <row r="27" spans="1:13">
      <c r="A27" s="1" t="s">
        <v>3</v>
      </c>
      <c r="B27" s="16" t="s">
        <v>32</v>
      </c>
      <c r="C27" s="27">
        <v>69414</v>
      </c>
      <c r="D27" s="9">
        <v>18696</v>
      </c>
      <c r="E27" s="9">
        <v>20835</v>
      </c>
      <c r="F27" s="9">
        <v>29169</v>
      </c>
      <c r="G27" s="9">
        <v>48615</v>
      </c>
      <c r="H27" s="66">
        <v>31632</v>
      </c>
      <c r="I27" s="79">
        <f t="shared" si="3"/>
        <v>218361</v>
      </c>
      <c r="J27" s="9">
        <v>0</v>
      </c>
      <c r="K27" s="10">
        <v>3390</v>
      </c>
      <c r="L27" s="20">
        <f t="shared" si="4"/>
        <v>3390</v>
      </c>
      <c r="M27" s="20">
        <f t="shared" si="5"/>
        <v>221751</v>
      </c>
    </row>
    <row r="28" spans="1:13">
      <c r="A28" s="1" t="s">
        <v>3</v>
      </c>
      <c r="B28" s="16" t="s">
        <v>45</v>
      </c>
      <c r="C28" s="27">
        <v>17919</v>
      </c>
      <c r="D28" s="9">
        <v>13456</v>
      </c>
      <c r="E28" s="9">
        <v>13500</v>
      </c>
      <c r="F28" s="9">
        <v>22500</v>
      </c>
      <c r="G28" s="9">
        <v>28500</v>
      </c>
      <c r="H28" s="66">
        <v>22768</v>
      </c>
      <c r="I28" s="79">
        <f t="shared" si="3"/>
        <v>118643</v>
      </c>
      <c r="J28" s="9">
        <v>0</v>
      </c>
      <c r="K28" s="10">
        <v>36620</v>
      </c>
      <c r="L28" s="20">
        <f t="shared" si="4"/>
        <v>36620</v>
      </c>
      <c r="M28" s="20">
        <f t="shared" si="5"/>
        <v>155263</v>
      </c>
    </row>
    <row r="29" spans="1:13">
      <c r="A29" s="1" t="s">
        <v>3</v>
      </c>
      <c r="B29" s="16" t="s">
        <v>46</v>
      </c>
      <c r="C29" s="27">
        <v>27693</v>
      </c>
      <c r="D29" s="9">
        <v>13456</v>
      </c>
      <c r="E29" s="9">
        <v>13500</v>
      </c>
      <c r="F29" s="9">
        <v>10500</v>
      </c>
      <c r="G29" s="9">
        <v>31500</v>
      </c>
      <c r="H29" s="66">
        <v>0</v>
      </c>
      <c r="I29" s="79">
        <f t="shared" si="3"/>
        <v>96649</v>
      </c>
      <c r="J29" s="9">
        <v>0</v>
      </c>
      <c r="K29" s="10">
        <v>0</v>
      </c>
      <c r="L29" s="20">
        <f t="shared" si="4"/>
        <v>0</v>
      </c>
      <c r="M29" s="20">
        <f t="shared" si="5"/>
        <v>96649</v>
      </c>
    </row>
    <row r="30" spans="1:13">
      <c r="A30" s="1" t="s">
        <v>3</v>
      </c>
      <c r="B30" s="16" t="s">
        <v>47</v>
      </c>
      <c r="C30" s="27">
        <v>0</v>
      </c>
      <c r="D30" s="9">
        <v>7412</v>
      </c>
      <c r="E30" s="9">
        <v>10892</v>
      </c>
      <c r="F30" s="9">
        <v>0</v>
      </c>
      <c r="G30" s="9">
        <v>0</v>
      </c>
      <c r="H30" s="66">
        <v>0</v>
      </c>
      <c r="I30" s="79">
        <f t="shared" si="3"/>
        <v>18304</v>
      </c>
      <c r="J30" s="9">
        <v>0</v>
      </c>
      <c r="K30" s="10">
        <v>0</v>
      </c>
      <c r="L30" s="20">
        <f t="shared" si="4"/>
        <v>0</v>
      </c>
      <c r="M30" s="20">
        <f t="shared" si="5"/>
        <v>18304</v>
      </c>
    </row>
    <row r="31" spans="1:13">
      <c r="A31" s="1" t="s">
        <v>3</v>
      </c>
      <c r="B31" s="16" t="s">
        <v>48</v>
      </c>
      <c r="C31" s="27">
        <v>0</v>
      </c>
      <c r="D31" s="9">
        <v>10464</v>
      </c>
      <c r="E31" s="9">
        <v>3501</v>
      </c>
      <c r="F31" s="9">
        <v>0</v>
      </c>
      <c r="G31" s="9">
        <v>0</v>
      </c>
      <c r="H31" s="66">
        <v>0</v>
      </c>
      <c r="I31" s="79">
        <f t="shared" si="3"/>
        <v>13965</v>
      </c>
      <c r="J31" s="9">
        <v>0</v>
      </c>
      <c r="K31" s="10">
        <v>0</v>
      </c>
      <c r="L31" s="20">
        <f t="shared" si="4"/>
        <v>0</v>
      </c>
      <c r="M31" s="20">
        <f t="shared" si="5"/>
        <v>13965</v>
      </c>
    </row>
    <row r="32" spans="1:13">
      <c r="A32" s="1" t="s">
        <v>3</v>
      </c>
      <c r="B32" s="16" t="s">
        <v>37</v>
      </c>
      <c r="C32" s="27">
        <v>0</v>
      </c>
      <c r="D32" s="9">
        <v>0</v>
      </c>
      <c r="E32" s="9">
        <v>0</v>
      </c>
      <c r="F32" s="9">
        <v>0</v>
      </c>
      <c r="G32" s="9">
        <v>0</v>
      </c>
      <c r="H32" s="66">
        <v>0</v>
      </c>
      <c r="I32" s="79">
        <f t="shared" si="3"/>
        <v>0</v>
      </c>
      <c r="J32" s="9">
        <v>0</v>
      </c>
      <c r="K32" s="10">
        <v>10848</v>
      </c>
      <c r="L32" s="20">
        <f t="shared" si="4"/>
        <v>10848</v>
      </c>
      <c r="M32" s="20">
        <f t="shared" si="5"/>
        <v>10848</v>
      </c>
    </row>
    <row r="33" spans="1:18">
      <c r="A33" s="1" t="s">
        <v>3</v>
      </c>
      <c r="B33" s="49" t="s">
        <v>38</v>
      </c>
      <c r="C33" s="50">
        <v>9664</v>
      </c>
      <c r="D33" s="51">
        <v>19968</v>
      </c>
      <c r="E33" s="51">
        <v>16402</v>
      </c>
      <c r="F33" s="51">
        <v>2780</v>
      </c>
      <c r="G33" s="51">
        <v>6116</v>
      </c>
      <c r="H33" s="67">
        <v>3696</v>
      </c>
      <c r="I33" s="80">
        <f t="shared" si="3"/>
        <v>58626</v>
      </c>
      <c r="J33" s="51">
        <v>5540</v>
      </c>
      <c r="K33" s="52">
        <v>0</v>
      </c>
      <c r="L33" s="53">
        <f t="shared" si="4"/>
        <v>5540</v>
      </c>
      <c r="M33" s="53">
        <f t="shared" si="5"/>
        <v>64166</v>
      </c>
    </row>
    <row r="34" spans="1:18">
      <c r="A34" s="1" t="s">
        <v>3</v>
      </c>
      <c r="B34" s="54" t="s">
        <v>49</v>
      </c>
      <c r="C34" s="55">
        <v>326190</v>
      </c>
      <c r="D34" s="56">
        <v>291552</v>
      </c>
      <c r="E34" s="56">
        <v>264130</v>
      </c>
      <c r="F34" s="56">
        <v>250449</v>
      </c>
      <c r="G34" s="56">
        <v>300231</v>
      </c>
      <c r="H34" s="68">
        <v>234096</v>
      </c>
      <c r="I34" s="81">
        <f t="shared" si="3"/>
        <v>1666648</v>
      </c>
      <c r="J34" s="56">
        <v>375540</v>
      </c>
      <c r="K34" s="57">
        <v>248858</v>
      </c>
      <c r="L34" s="58">
        <f t="shared" si="4"/>
        <v>624398</v>
      </c>
      <c r="M34" s="58">
        <f t="shared" si="5"/>
        <v>2291046</v>
      </c>
      <c r="R34" s="2">
        <v>16666648</v>
      </c>
    </row>
    <row r="35" spans="1:18">
      <c r="A35" s="1" t="s">
        <v>3</v>
      </c>
      <c r="B35" s="54" t="s">
        <v>50</v>
      </c>
      <c r="C35" s="55">
        <v>10322</v>
      </c>
      <c r="D35" s="56">
        <v>2312</v>
      </c>
      <c r="E35" s="56">
        <v>2533</v>
      </c>
      <c r="F35" s="56">
        <v>10459</v>
      </c>
      <c r="G35" s="56">
        <v>1267</v>
      </c>
      <c r="H35" s="68">
        <v>5505</v>
      </c>
      <c r="I35" s="81">
        <f t="shared" si="3"/>
        <v>32398</v>
      </c>
      <c r="J35" s="56">
        <v>7514</v>
      </c>
      <c r="K35" s="57">
        <v>634</v>
      </c>
      <c r="L35" s="58">
        <f t="shared" si="4"/>
        <v>8148</v>
      </c>
      <c r="M35" s="58">
        <f t="shared" si="5"/>
        <v>40546</v>
      </c>
      <c r="R35" s="2">
        <f>I34/6</f>
        <v>277774.66666666669</v>
      </c>
    </row>
    <row r="36" spans="1:18">
      <c r="A36" s="1" t="s">
        <v>3</v>
      </c>
      <c r="B36" s="54" t="s">
        <v>51</v>
      </c>
      <c r="C36" s="55">
        <v>10322</v>
      </c>
      <c r="D36" s="56">
        <v>2312</v>
      </c>
      <c r="E36" s="56">
        <v>2533</v>
      </c>
      <c r="F36" s="56">
        <v>10459</v>
      </c>
      <c r="G36" s="56">
        <v>1267</v>
      </c>
      <c r="H36" s="68">
        <v>5505</v>
      </c>
      <c r="I36" s="81">
        <f t="shared" si="3"/>
        <v>32398</v>
      </c>
      <c r="J36" s="56">
        <v>7514</v>
      </c>
      <c r="K36" s="57">
        <v>634</v>
      </c>
      <c r="L36" s="58">
        <f t="shared" si="4"/>
        <v>8148</v>
      </c>
      <c r="M36" s="58">
        <f t="shared" si="5"/>
        <v>40546</v>
      </c>
    </row>
    <row r="37" spans="1:18">
      <c r="A37" s="1" t="s">
        <v>3</v>
      </c>
      <c r="B37" s="54" t="s">
        <v>52</v>
      </c>
      <c r="C37" s="55">
        <v>336512</v>
      </c>
      <c r="D37" s="56">
        <v>293864</v>
      </c>
      <c r="E37" s="56">
        <v>266663</v>
      </c>
      <c r="F37" s="56">
        <v>260908</v>
      </c>
      <c r="G37" s="56">
        <v>301498</v>
      </c>
      <c r="H37" s="68">
        <v>239601</v>
      </c>
      <c r="I37" s="81">
        <f t="shared" si="3"/>
        <v>1699046</v>
      </c>
      <c r="J37" s="56">
        <v>383054</v>
      </c>
      <c r="K37" s="57">
        <v>249492</v>
      </c>
      <c r="L37" s="58">
        <f t="shared" si="4"/>
        <v>632546</v>
      </c>
      <c r="M37" s="58">
        <f t="shared" si="5"/>
        <v>2331592</v>
      </c>
    </row>
    <row r="38" spans="1:18">
      <c r="A38" s="1" t="s">
        <v>3</v>
      </c>
      <c r="B38" s="30" t="s">
        <v>53</v>
      </c>
      <c r="C38" s="40">
        <v>18360</v>
      </c>
      <c r="D38" s="41">
        <v>15300</v>
      </c>
      <c r="E38" s="41">
        <v>16320</v>
      </c>
      <c r="F38" s="41">
        <v>15300</v>
      </c>
      <c r="G38" s="41">
        <v>17340</v>
      </c>
      <c r="H38" s="65">
        <v>13260</v>
      </c>
      <c r="I38" s="78">
        <f t="shared" si="3"/>
        <v>95880</v>
      </c>
      <c r="J38" s="41">
        <v>19380</v>
      </c>
      <c r="K38" s="42">
        <v>11220</v>
      </c>
      <c r="L38" s="43">
        <f t="shared" si="4"/>
        <v>30600</v>
      </c>
      <c r="M38" s="43">
        <f t="shared" si="5"/>
        <v>126480</v>
      </c>
    </row>
    <row r="39" spans="1:18">
      <c r="A39" s="1" t="s">
        <v>3</v>
      </c>
      <c r="B39" s="16" t="s">
        <v>54</v>
      </c>
      <c r="C39" s="27">
        <v>3240</v>
      </c>
      <c r="D39" s="9">
        <v>2700</v>
      </c>
      <c r="E39" s="9">
        <v>2880</v>
      </c>
      <c r="F39" s="9">
        <v>2700</v>
      </c>
      <c r="G39" s="9">
        <v>3060</v>
      </c>
      <c r="H39" s="66">
        <v>2340</v>
      </c>
      <c r="I39" s="79">
        <f t="shared" si="3"/>
        <v>16920</v>
      </c>
      <c r="J39" s="9">
        <v>3420</v>
      </c>
      <c r="K39" s="10">
        <v>0</v>
      </c>
      <c r="L39" s="20">
        <f t="shared" si="4"/>
        <v>3420</v>
      </c>
      <c r="M39" s="20">
        <f t="shared" si="5"/>
        <v>20340</v>
      </c>
    </row>
    <row r="40" spans="1:18">
      <c r="A40" s="1" t="s">
        <v>3</v>
      </c>
      <c r="B40" s="16" t="s">
        <v>55</v>
      </c>
      <c r="C40" s="27">
        <v>32940</v>
      </c>
      <c r="D40" s="9">
        <v>27450</v>
      </c>
      <c r="E40" s="9">
        <v>29280</v>
      </c>
      <c r="F40" s="9">
        <v>27450</v>
      </c>
      <c r="G40" s="9">
        <v>31110</v>
      </c>
      <c r="H40" s="66">
        <v>23790</v>
      </c>
      <c r="I40" s="79">
        <f t="shared" si="3"/>
        <v>172020</v>
      </c>
      <c r="J40" s="9">
        <v>34770</v>
      </c>
      <c r="K40" s="10">
        <v>20130</v>
      </c>
      <c r="L40" s="20">
        <f t="shared" si="4"/>
        <v>54900</v>
      </c>
      <c r="M40" s="20">
        <f t="shared" si="5"/>
        <v>226920</v>
      </c>
      <c r="P40" s="2">
        <v>192000</v>
      </c>
      <c r="Q40" s="2">
        <f>P40+150000</f>
        <v>342000</v>
      </c>
    </row>
    <row r="41" spans="1:18">
      <c r="A41" s="1" t="s">
        <v>3</v>
      </c>
      <c r="B41" s="49" t="s">
        <v>56</v>
      </c>
      <c r="C41" s="50">
        <v>1851</v>
      </c>
      <c r="D41" s="51">
        <v>1616</v>
      </c>
      <c r="E41" s="51">
        <v>1467</v>
      </c>
      <c r="F41" s="51">
        <v>1435</v>
      </c>
      <c r="G41" s="51">
        <v>1658</v>
      </c>
      <c r="H41" s="67">
        <v>1318</v>
      </c>
      <c r="I41" s="80">
        <f t="shared" si="3"/>
        <v>9345</v>
      </c>
      <c r="J41" s="51">
        <v>2107</v>
      </c>
      <c r="K41" s="52">
        <v>1372</v>
      </c>
      <c r="L41" s="53">
        <f t="shared" si="4"/>
        <v>3479</v>
      </c>
      <c r="M41" s="53">
        <f t="shared" si="5"/>
        <v>12824</v>
      </c>
    </row>
    <row r="42" spans="1:18">
      <c r="A42" s="1" t="s">
        <v>3</v>
      </c>
      <c r="B42" s="54" t="s">
        <v>57</v>
      </c>
      <c r="C42" s="55">
        <v>56391</v>
      </c>
      <c r="D42" s="56">
        <v>47066</v>
      </c>
      <c r="E42" s="56">
        <v>49947</v>
      </c>
      <c r="F42" s="56">
        <v>46885</v>
      </c>
      <c r="G42" s="56">
        <v>53168</v>
      </c>
      <c r="H42" s="68">
        <v>40708</v>
      </c>
      <c r="I42" s="81">
        <f t="shared" si="3"/>
        <v>294165</v>
      </c>
      <c r="J42" s="56">
        <v>59677</v>
      </c>
      <c r="K42" s="57">
        <v>32722</v>
      </c>
      <c r="L42" s="58">
        <f t="shared" si="4"/>
        <v>92399</v>
      </c>
      <c r="M42" s="58">
        <f t="shared" si="5"/>
        <v>386564</v>
      </c>
    </row>
    <row r="43" spans="1:18">
      <c r="A43" s="1" t="s">
        <v>3</v>
      </c>
      <c r="B43" s="30" t="s">
        <v>58</v>
      </c>
      <c r="C43" s="40">
        <v>2410</v>
      </c>
      <c r="D43" s="41">
        <v>3120</v>
      </c>
      <c r="E43" s="41">
        <v>5270</v>
      </c>
      <c r="F43" s="41">
        <v>4890</v>
      </c>
      <c r="G43" s="41">
        <v>4830</v>
      </c>
      <c r="H43" s="65">
        <v>2910</v>
      </c>
      <c r="I43" s="78">
        <f t="shared" si="3"/>
        <v>23430</v>
      </c>
      <c r="J43" s="41">
        <v>9680</v>
      </c>
      <c r="K43" s="42">
        <v>5340</v>
      </c>
      <c r="L43" s="43">
        <f t="shared" si="4"/>
        <v>15020</v>
      </c>
      <c r="M43" s="43">
        <f t="shared" si="5"/>
        <v>38450</v>
      </c>
    </row>
    <row r="44" spans="1:18">
      <c r="A44" s="1" t="s">
        <v>3</v>
      </c>
      <c r="B44" s="49" t="s">
        <v>59</v>
      </c>
      <c r="C44" s="50">
        <v>9400</v>
      </c>
      <c r="D44" s="51">
        <v>10700</v>
      </c>
      <c r="E44" s="51">
        <v>13300</v>
      </c>
      <c r="F44" s="51">
        <v>12500</v>
      </c>
      <c r="G44" s="51">
        <v>10400</v>
      </c>
      <c r="H44" s="67">
        <v>8800</v>
      </c>
      <c r="I44" s="80">
        <f t="shared" si="3"/>
        <v>65100</v>
      </c>
      <c r="J44" s="51">
        <v>18900</v>
      </c>
      <c r="K44" s="52">
        <v>9100</v>
      </c>
      <c r="L44" s="53">
        <f t="shared" si="4"/>
        <v>28000</v>
      </c>
      <c r="M44" s="53">
        <f t="shared" si="5"/>
        <v>93100</v>
      </c>
    </row>
    <row r="45" spans="1:18">
      <c r="A45" s="1" t="s">
        <v>3</v>
      </c>
      <c r="B45" s="54" t="s">
        <v>60</v>
      </c>
      <c r="C45" s="55">
        <v>68201</v>
      </c>
      <c r="D45" s="56">
        <v>60886</v>
      </c>
      <c r="E45" s="56">
        <v>68517</v>
      </c>
      <c r="F45" s="56">
        <v>64275</v>
      </c>
      <c r="G45" s="56">
        <v>68398</v>
      </c>
      <c r="H45" s="68">
        <v>52418</v>
      </c>
      <c r="I45" s="81">
        <f t="shared" si="3"/>
        <v>382695</v>
      </c>
      <c r="J45" s="56">
        <v>88257</v>
      </c>
      <c r="K45" s="57">
        <v>47162</v>
      </c>
      <c r="L45" s="58">
        <f t="shared" si="4"/>
        <v>135419</v>
      </c>
      <c r="M45" s="58">
        <f t="shared" si="5"/>
        <v>518114</v>
      </c>
    </row>
    <row r="46" spans="1:18">
      <c r="A46" s="1" t="s">
        <v>3</v>
      </c>
      <c r="B46" s="54" t="s">
        <v>61</v>
      </c>
      <c r="C46" s="55">
        <v>269799</v>
      </c>
      <c r="D46" s="56">
        <v>244486</v>
      </c>
      <c r="E46" s="56">
        <v>214183</v>
      </c>
      <c r="F46" s="56">
        <v>203564</v>
      </c>
      <c r="G46" s="56">
        <v>247063</v>
      </c>
      <c r="H46" s="68">
        <v>193388</v>
      </c>
      <c r="I46" s="81">
        <f t="shared" si="3"/>
        <v>1372483</v>
      </c>
      <c r="J46" s="56">
        <v>315863</v>
      </c>
      <c r="K46" s="57">
        <v>216136</v>
      </c>
      <c r="L46" s="58">
        <f t="shared" si="4"/>
        <v>531999</v>
      </c>
      <c r="M46" s="58">
        <f t="shared" si="5"/>
        <v>1904482</v>
      </c>
    </row>
    <row r="47" spans="1:18">
      <c r="A47" s="1" t="s">
        <v>3</v>
      </c>
      <c r="B47" s="54" t="s">
        <v>62</v>
      </c>
      <c r="C47" s="55">
        <v>268311</v>
      </c>
      <c r="D47" s="56">
        <v>232978</v>
      </c>
      <c r="E47" s="56">
        <v>198146</v>
      </c>
      <c r="F47" s="56">
        <v>196633</v>
      </c>
      <c r="G47" s="56">
        <v>233100</v>
      </c>
      <c r="H47" s="68">
        <v>187183</v>
      </c>
      <c r="I47" s="81">
        <f t="shared" si="3"/>
        <v>1316351</v>
      </c>
      <c r="J47" s="56">
        <v>294797</v>
      </c>
      <c r="K47" s="57">
        <v>202330</v>
      </c>
      <c r="L47" s="58">
        <f t="shared" si="4"/>
        <v>497127</v>
      </c>
      <c r="M47" s="58">
        <f t="shared" si="5"/>
        <v>1813478</v>
      </c>
    </row>
    <row r="48" spans="1:18">
      <c r="A48" s="1" t="s">
        <v>3</v>
      </c>
      <c r="B48" s="54" t="s">
        <v>63</v>
      </c>
      <c r="C48" s="55">
        <v>268311</v>
      </c>
      <c r="D48" s="56">
        <v>232978</v>
      </c>
      <c r="E48" s="56">
        <v>198146</v>
      </c>
      <c r="F48" s="56">
        <v>196633</v>
      </c>
      <c r="G48" s="56">
        <v>233100</v>
      </c>
      <c r="H48" s="68">
        <v>187183</v>
      </c>
      <c r="I48" s="81">
        <f t="shared" si="3"/>
        <v>1316351</v>
      </c>
      <c r="J48" s="56">
        <v>294797</v>
      </c>
      <c r="K48" s="57">
        <v>202330</v>
      </c>
      <c r="L48" s="58">
        <f t="shared" si="4"/>
        <v>497127</v>
      </c>
      <c r="M48" s="58">
        <f t="shared" si="5"/>
        <v>1813478</v>
      </c>
    </row>
    <row r="49" spans="1:13">
      <c r="A49" s="1" t="s">
        <v>3</v>
      </c>
      <c r="B49" s="30" t="s">
        <v>64</v>
      </c>
      <c r="C49" s="40">
        <v>3</v>
      </c>
      <c r="D49" s="41">
        <v>2</v>
      </c>
      <c r="E49" s="41">
        <v>0</v>
      </c>
      <c r="F49" s="41">
        <v>0</v>
      </c>
      <c r="G49" s="41">
        <v>1</v>
      </c>
      <c r="H49" s="65">
        <v>1</v>
      </c>
      <c r="I49" s="78"/>
      <c r="J49" s="41">
        <v>0</v>
      </c>
      <c r="K49" s="42">
        <v>0</v>
      </c>
      <c r="L49" s="43"/>
      <c r="M49" s="43"/>
    </row>
    <row r="50" spans="1:13">
      <c r="A50" s="1" t="s">
        <v>3</v>
      </c>
      <c r="B50" s="16" t="s">
        <v>65</v>
      </c>
      <c r="C50" s="28" t="s">
        <v>66</v>
      </c>
      <c r="D50" s="11" t="s">
        <v>66</v>
      </c>
      <c r="E50" s="11" t="s">
        <v>66</v>
      </c>
      <c r="F50" s="11" t="s">
        <v>66</v>
      </c>
      <c r="G50" s="11" t="s">
        <v>66</v>
      </c>
      <c r="H50" s="69" t="s">
        <v>66</v>
      </c>
      <c r="I50" s="82"/>
      <c r="J50" s="11" t="s">
        <v>66</v>
      </c>
      <c r="K50" s="12" t="s">
        <v>66</v>
      </c>
      <c r="L50" s="21"/>
      <c r="M50" s="21"/>
    </row>
    <row r="51" spans="1:13" ht="19.5" thickBot="1">
      <c r="A51" s="1" t="s">
        <v>3</v>
      </c>
      <c r="B51" s="17" t="s">
        <v>67</v>
      </c>
      <c r="C51" s="29">
        <v>2410</v>
      </c>
      <c r="D51" s="13">
        <v>3120</v>
      </c>
      <c r="E51" s="13">
        <v>5270</v>
      </c>
      <c r="F51" s="13">
        <v>4890</v>
      </c>
      <c r="G51" s="13">
        <v>4830</v>
      </c>
      <c r="H51" s="70">
        <v>2910</v>
      </c>
      <c r="I51" s="83">
        <f>SUM(C51:H51)</f>
        <v>23430</v>
      </c>
      <c r="J51" s="13">
        <v>9680</v>
      </c>
      <c r="K51" s="14">
        <v>5340</v>
      </c>
      <c r="L51" s="22">
        <f>SUM(J51:K51)</f>
        <v>15020</v>
      </c>
      <c r="M51" s="22">
        <f>I51+L51</f>
        <v>38450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2025-09-10T04:38:30Z</dcterms:created>
  <dcterms:modified xsi:type="dcterms:W3CDTF">2025-09-11T03:32:37Z</dcterms:modified>
  <cp:category/>
  <cp:contentStatus/>
</cp:coreProperties>
</file>