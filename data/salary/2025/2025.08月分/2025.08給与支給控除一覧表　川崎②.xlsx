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08月分\"/>
    </mc:Choice>
  </mc:AlternateContent>
  <xr:revisionPtr revIDLastSave="0" documentId="13_ncr:1_{A8C76EAE-E77B-4571-A243-3E7B97DAA5B5}" xr6:coauthVersionLast="47" xr6:coauthVersionMax="47" xr10:uidLastSave="{00000000-0000-0000-0000-000000000000}"/>
  <bookViews>
    <workbookView xWindow="-120" yWindow="-120" windowWidth="20730" windowHeight="11160" xr2:uid="{1E46D6D4-D62C-477B-97FF-568C612E81DA}"/>
  </bookViews>
  <sheets>
    <sheet name="2025年 8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2" l="1"/>
  <c r="I44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4" i="2"/>
  <c r="I13" i="2"/>
  <c r="I12" i="2"/>
  <c r="I11" i="2"/>
  <c r="I10" i="2"/>
  <c r="I9" i="2"/>
  <c r="G44" i="2"/>
  <c r="G41" i="2"/>
  <c r="G40" i="2"/>
  <c r="G39" i="2"/>
  <c r="G38" i="2"/>
  <c r="G37" i="2"/>
  <c r="G36" i="2"/>
  <c r="J36" i="2" s="1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J20" i="2" s="1"/>
  <c r="G19" i="2"/>
  <c r="G18" i="2"/>
  <c r="G17" i="2"/>
  <c r="G16" i="2"/>
  <c r="G14" i="2"/>
  <c r="G13" i="2"/>
  <c r="G12" i="2"/>
  <c r="G11" i="2"/>
  <c r="G10" i="2"/>
  <c r="G9" i="2"/>
  <c r="J41" i="2"/>
  <c r="J31" i="2"/>
  <c r="J13" i="2"/>
  <c r="J44" i="2"/>
  <c r="J38" i="2"/>
  <c r="J37" i="2"/>
  <c r="J34" i="2"/>
  <c r="J33" i="2"/>
  <c r="J30" i="2"/>
  <c r="J29" i="2"/>
  <c r="J26" i="2"/>
  <c r="J25" i="2"/>
  <c r="J22" i="2"/>
  <c r="J21" i="2"/>
  <c r="J18" i="2"/>
  <c r="J17" i="2"/>
  <c r="J12" i="2"/>
  <c r="J14" i="2" l="1"/>
  <c r="J19" i="2"/>
  <c r="J23" i="2"/>
  <c r="J27" i="2"/>
  <c r="J10" i="2"/>
  <c r="J39" i="2"/>
  <c r="J35" i="2"/>
  <c r="J16" i="2"/>
  <c r="J32" i="2"/>
  <c r="J11" i="2"/>
  <c r="J24" i="2"/>
  <c r="J28" i="2"/>
  <c r="J40" i="2"/>
</calcChain>
</file>

<file path=xl/sharedStrings.xml><?xml version="1.0" encoding="utf-8"?>
<sst xmlns="http://schemas.openxmlformats.org/spreadsheetml/2006/main" count="99" uniqueCount="55">
  <si>
    <t>支給控除一覧表</t>
    <phoneticPr fontId="4"/>
  </si>
  <si>
    <t>若林運送株式会社</t>
    <phoneticPr fontId="4"/>
  </si>
  <si>
    <t>2025年 9月10日 作成</t>
    <phoneticPr fontId="4"/>
  </si>
  <si>
    <t/>
  </si>
  <si>
    <t>1049</t>
    <phoneticPr fontId="4"/>
  </si>
  <si>
    <t>1050</t>
    <phoneticPr fontId="4"/>
  </si>
  <si>
    <t>1078</t>
    <phoneticPr fontId="4"/>
  </si>
  <si>
    <t>1114</t>
    <phoneticPr fontId="4"/>
  </si>
  <si>
    <t>1207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</si>
  <si>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</si>
  <si>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</si>
  <si>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</si>
  <si>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</si>
  <si>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吉田　亨</t>
    <phoneticPr fontId="4"/>
  </si>
  <si>
    <t>比嘉健太</t>
    <phoneticPr fontId="4"/>
  </si>
  <si>
    <t>合計</t>
    <phoneticPr fontId="4"/>
  </si>
  <si>
    <t>平日出勤日数</t>
    <phoneticPr fontId="4"/>
  </si>
  <si>
    <t>有休日数</t>
    <phoneticPr fontId="4"/>
  </si>
  <si>
    <t>欠勤日数</t>
    <phoneticPr fontId="4"/>
  </si>
  <si>
    <t>平日残業</t>
    <phoneticPr fontId="4"/>
  </si>
  <si>
    <t>割増残業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</si>
  <si>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</si>
  <si>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</si>
  <si>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</si>
  <si>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</si>
  <si>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</si>
  <si>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</si>
  <si>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</si>
  <si>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無事故加算</t>
    <phoneticPr fontId="4"/>
  </si>
  <si>
    <t>調整加算</t>
    <phoneticPr fontId="4"/>
  </si>
  <si>
    <t>欠勤控除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</si>
  <si>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</si>
  <si>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</si>
  <si>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</si>
  <si>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</si>
  <si>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</si>
  <si>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</si>
  <si>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</si>
  <si>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</si>
  <si>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</si>
  <si>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</si>
  <si>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</si>
  <si>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</si>
  <si>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</si>
  <si>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</si>
  <si>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</si>
  <si>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</si>
  <si>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</si>
  <si>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</si>
  <si>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</si>
  <si>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2025年 8月度給与</t>
    <phoneticPr fontId="4"/>
  </si>
  <si>
    <t>小計</t>
    <rPh sb="0" eb="2">
      <t>ショウケイ</t>
    </rPh>
    <phoneticPr fontId="3"/>
  </si>
  <si>
    <t>4名</t>
    <rPh sb="1" eb="2">
      <t>メイ</t>
    </rPh>
    <phoneticPr fontId="4"/>
  </si>
  <si>
    <t>1名</t>
    <rPh sb="1" eb="2">
      <t>メイ</t>
    </rPh>
    <phoneticPr fontId="4"/>
  </si>
  <si>
    <t>5名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</si>
</sst>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5" xfId="1" applyNumberFormat="1" applyFont="1" applyBorder="1"/>
    <xf numFmtId="3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0" xfId="1" applyNumberFormat="1" applyFont="1" applyBorder="1"/>
    <xf numFmtId="3" fontId="2" fillId="0" borderId="38" xfId="1" applyNumberFormat="1" applyFont="1" applyBorder="1"/>
    <xf numFmtId="0" fontId="2" fillId="0" borderId="14" xfId="1" applyFont="1" applyBorder="1" applyAlignment="1">
      <alignment horizontal="center"/>
    </xf>
    <xf numFmtId="0" fontId="2" fillId="0" borderId="44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49" fontId="2" fillId="0" borderId="47" xfId="1" applyNumberFormat="1" applyFont="1" applyBorder="1"/>
    <xf numFmtId="3" fontId="2" fillId="0" borderId="45" xfId="1" applyNumberFormat="1" applyFont="1" applyBorder="1"/>
  </cellXfs>
  <cellStyles count="2">
    <cellStyle name="標準" xfId="0" builtinId="0"/>
    <cellStyle name="標準 2" xfId="1" xr:uid="{46A41E6D-4FA1-4836-8F3E-9074B295C5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E3CF1-5A5B-48B9-9B26-FFBB8847E1D2}">
  <dimension ref="A1:J44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K41" sqref="K40:K41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6" width="9" style="2" bestFit="1" customWidth="1"/>
    <col min="7" max="7" width="9.625" style="2" bestFit="1" customWidth="1"/>
    <col min="8" max="8" width="9" style="2" bestFit="1" customWidth="1"/>
    <col min="9" max="10" width="9.625" style="2" bestFit="1" customWidth="1"/>
    <col min="11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5" width="9" style="2" bestFit="1"/>
    <col min="266" max="266" width="9.625" style="2" bestFit="1" customWidth="1"/>
    <col min="267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21" width="9" style="2" bestFit="1"/>
    <col min="522" max="522" width="9.625" style="2" bestFit="1" customWidth="1"/>
    <col min="523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7" width="9" style="2" bestFit="1"/>
    <col min="778" max="778" width="9.625" style="2" bestFit="1" customWidth="1"/>
    <col min="779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3" width="9" style="2" bestFit="1"/>
    <col min="1034" max="1034" width="9.625" style="2" bestFit="1" customWidth="1"/>
    <col min="1035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9" width="9" style="2" bestFit="1"/>
    <col min="1290" max="1290" width="9.625" style="2" bestFit="1" customWidth="1"/>
    <col min="1291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5" width="9" style="2" bestFit="1"/>
    <col min="1546" max="1546" width="9.625" style="2" bestFit="1" customWidth="1"/>
    <col min="1547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801" width="9" style="2" bestFit="1"/>
    <col min="1802" max="1802" width="9.625" style="2" bestFit="1" customWidth="1"/>
    <col min="1803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7" width="9" style="2" bestFit="1"/>
    <col min="2058" max="2058" width="9.625" style="2" bestFit="1" customWidth="1"/>
    <col min="2059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3" width="9" style="2" bestFit="1"/>
    <col min="2314" max="2314" width="9.625" style="2" bestFit="1" customWidth="1"/>
    <col min="2315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9" width="9" style="2" bestFit="1"/>
    <col min="2570" max="2570" width="9.625" style="2" bestFit="1" customWidth="1"/>
    <col min="2571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5" width="9" style="2" bestFit="1"/>
    <col min="2826" max="2826" width="9.625" style="2" bestFit="1" customWidth="1"/>
    <col min="2827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81" width="9" style="2" bestFit="1"/>
    <col min="3082" max="3082" width="9.625" style="2" bestFit="1" customWidth="1"/>
    <col min="3083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7" width="9" style="2" bestFit="1"/>
    <col min="3338" max="3338" width="9.625" style="2" bestFit="1" customWidth="1"/>
    <col min="3339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3" width="9" style="2" bestFit="1"/>
    <col min="3594" max="3594" width="9.625" style="2" bestFit="1" customWidth="1"/>
    <col min="3595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9" width="9" style="2" bestFit="1"/>
    <col min="3850" max="3850" width="9.625" style="2" bestFit="1" customWidth="1"/>
    <col min="3851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5" width="9" style="2" bestFit="1"/>
    <col min="4106" max="4106" width="9.625" style="2" bestFit="1" customWidth="1"/>
    <col min="4107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61" width="9" style="2" bestFit="1"/>
    <col min="4362" max="4362" width="9.625" style="2" bestFit="1" customWidth="1"/>
    <col min="4363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7" width="9" style="2" bestFit="1"/>
    <col min="4618" max="4618" width="9.625" style="2" bestFit="1" customWidth="1"/>
    <col min="4619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3" width="9" style="2" bestFit="1"/>
    <col min="4874" max="4874" width="9.625" style="2" bestFit="1" customWidth="1"/>
    <col min="4875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9" width="9" style="2" bestFit="1"/>
    <col min="5130" max="5130" width="9.625" style="2" bestFit="1" customWidth="1"/>
    <col min="5131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5" width="9" style="2" bestFit="1"/>
    <col min="5386" max="5386" width="9.625" style="2" bestFit="1" customWidth="1"/>
    <col min="5387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41" width="9" style="2" bestFit="1"/>
    <col min="5642" max="5642" width="9.625" style="2" bestFit="1" customWidth="1"/>
    <col min="5643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7" width="9" style="2" bestFit="1"/>
    <col min="5898" max="5898" width="9.625" style="2" bestFit="1" customWidth="1"/>
    <col min="5899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3" width="9" style="2" bestFit="1"/>
    <col min="6154" max="6154" width="9.625" style="2" bestFit="1" customWidth="1"/>
    <col min="6155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9" width="9" style="2" bestFit="1"/>
    <col min="6410" max="6410" width="9.625" style="2" bestFit="1" customWidth="1"/>
    <col min="6411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5" width="9" style="2" bestFit="1"/>
    <col min="6666" max="6666" width="9.625" style="2" bestFit="1" customWidth="1"/>
    <col min="6667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21" width="9" style="2" bestFit="1"/>
    <col min="6922" max="6922" width="9.625" style="2" bestFit="1" customWidth="1"/>
    <col min="6923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7" width="9" style="2" bestFit="1"/>
    <col min="7178" max="7178" width="9.625" style="2" bestFit="1" customWidth="1"/>
    <col min="7179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3" width="9" style="2" bestFit="1"/>
    <col min="7434" max="7434" width="9.625" style="2" bestFit="1" customWidth="1"/>
    <col min="7435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9" width="9" style="2" bestFit="1"/>
    <col min="7690" max="7690" width="9.625" style="2" bestFit="1" customWidth="1"/>
    <col min="7691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5" width="9" style="2" bestFit="1"/>
    <col min="7946" max="7946" width="9.625" style="2" bestFit="1" customWidth="1"/>
    <col min="7947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201" width="9" style="2" bestFit="1"/>
    <col min="8202" max="8202" width="9.625" style="2" bestFit="1" customWidth="1"/>
    <col min="8203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7" width="9" style="2" bestFit="1"/>
    <col min="8458" max="8458" width="9.625" style="2" bestFit="1" customWidth="1"/>
    <col min="8459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3" width="9" style="2" bestFit="1"/>
    <col min="8714" max="8714" width="9.625" style="2" bestFit="1" customWidth="1"/>
    <col min="8715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9" width="9" style="2" bestFit="1"/>
    <col min="8970" max="8970" width="9.625" style="2" bestFit="1" customWidth="1"/>
    <col min="8971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5" width="9" style="2" bestFit="1"/>
    <col min="9226" max="9226" width="9.625" style="2" bestFit="1" customWidth="1"/>
    <col min="9227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81" width="9" style="2" bestFit="1"/>
    <col min="9482" max="9482" width="9.625" style="2" bestFit="1" customWidth="1"/>
    <col min="9483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7" width="9" style="2" bestFit="1"/>
    <col min="9738" max="9738" width="9.625" style="2" bestFit="1" customWidth="1"/>
    <col min="9739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3" width="9" style="2" bestFit="1"/>
    <col min="9994" max="9994" width="9.625" style="2" bestFit="1" customWidth="1"/>
    <col min="9995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9" width="9" style="2" bestFit="1"/>
    <col min="10250" max="10250" width="9.625" style="2" bestFit="1" customWidth="1"/>
    <col min="10251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5" width="9" style="2" bestFit="1"/>
    <col min="10506" max="10506" width="9.625" style="2" bestFit="1" customWidth="1"/>
    <col min="10507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61" width="9" style="2" bestFit="1"/>
    <col min="10762" max="10762" width="9.625" style="2" bestFit="1" customWidth="1"/>
    <col min="10763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7" width="9" style="2" bestFit="1"/>
    <col min="11018" max="11018" width="9.625" style="2" bestFit="1" customWidth="1"/>
    <col min="11019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3" width="9" style="2" bestFit="1"/>
    <col min="11274" max="11274" width="9.625" style="2" bestFit="1" customWidth="1"/>
    <col min="11275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9" width="9" style="2" bestFit="1"/>
    <col min="11530" max="11530" width="9.625" style="2" bestFit="1" customWidth="1"/>
    <col min="11531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5" width="9" style="2" bestFit="1"/>
    <col min="11786" max="11786" width="9.625" style="2" bestFit="1" customWidth="1"/>
    <col min="11787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41" width="9" style="2" bestFit="1"/>
    <col min="12042" max="12042" width="9.625" style="2" bestFit="1" customWidth="1"/>
    <col min="12043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7" width="9" style="2" bestFit="1"/>
    <col min="12298" max="12298" width="9.625" style="2" bestFit="1" customWidth="1"/>
    <col min="12299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3" width="9" style="2" bestFit="1"/>
    <col min="12554" max="12554" width="9.625" style="2" bestFit="1" customWidth="1"/>
    <col min="12555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9" width="9" style="2" bestFit="1"/>
    <col min="12810" max="12810" width="9.625" style="2" bestFit="1" customWidth="1"/>
    <col min="12811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5" width="9" style="2" bestFit="1"/>
    <col min="13066" max="13066" width="9.625" style="2" bestFit="1" customWidth="1"/>
    <col min="13067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21" width="9" style="2" bestFit="1"/>
    <col min="13322" max="13322" width="9.625" style="2" bestFit="1" customWidth="1"/>
    <col min="13323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7" width="9" style="2" bestFit="1"/>
    <col min="13578" max="13578" width="9.625" style="2" bestFit="1" customWidth="1"/>
    <col min="13579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3" width="9" style="2" bestFit="1"/>
    <col min="13834" max="13834" width="9.625" style="2" bestFit="1" customWidth="1"/>
    <col min="13835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9" width="9" style="2" bestFit="1"/>
    <col min="14090" max="14090" width="9.625" style="2" bestFit="1" customWidth="1"/>
    <col min="14091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5" width="9" style="2" bestFit="1"/>
    <col min="14346" max="14346" width="9.625" style="2" bestFit="1" customWidth="1"/>
    <col min="14347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601" width="9" style="2" bestFit="1"/>
    <col min="14602" max="14602" width="9.625" style="2" bestFit="1" customWidth="1"/>
    <col min="14603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7" width="9" style="2" bestFit="1"/>
    <col min="14858" max="14858" width="9.625" style="2" bestFit="1" customWidth="1"/>
    <col min="14859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3" width="9" style="2" bestFit="1"/>
    <col min="15114" max="15114" width="9.625" style="2" bestFit="1" customWidth="1"/>
    <col min="15115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9" width="9" style="2" bestFit="1"/>
    <col min="15370" max="15370" width="9.625" style="2" bestFit="1" customWidth="1"/>
    <col min="15371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5" width="9" style="2" bestFit="1"/>
    <col min="15626" max="15626" width="9.625" style="2" bestFit="1" customWidth="1"/>
    <col min="15627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81" width="9" style="2" bestFit="1"/>
    <col min="15882" max="15882" width="9.625" style="2" bestFit="1" customWidth="1"/>
    <col min="15883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7" width="9" style="2" bestFit="1"/>
    <col min="16138" max="16138" width="9.625" style="2" bestFit="1" customWidth="1"/>
    <col min="16139" max="16384" width="9" style="2"/>
  </cols>
  <sheetData>
    <row r="1" spans="1:10">
      <c r="A1" s="1" t="s">
        <v>0</v>
      </c>
    </row>
    <row r="2" spans="1:10">
      <c r="A2" s="1"/>
    </row>
    <row r="3" spans="1:10">
      <c r="A3" s="1" t="s">
        <v>1</v>
      </c>
    </row>
    <row r="4" spans="1:10">
      <c r="A4" s="1" t="s">
        <v>2</v>
      </c>
    </row>
    <row r="5" spans="1:10">
      <c r="A5" s="1" t="s">
        <v>3</v>
      </c>
    </row>
    <row r="6" spans="1:10" ht="19.5" thickBot="1">
      <c r="A6" s="1" t="s">
        <v>50</v>
      </c>
    </row>
    <row r="7" spans="1:10">
      <c r="B7" s="15"/>
      <c r="C7" s="23" t="s">
        <v>4</v>
      </c>
      <c r="D7" s="4" t="s">
        <v>5</v>
      </c>
      <c r="E7" s="4" t="s">
        <v>7</v>
      </c>
      <c r="F7" s="59" t="s">
        <v>8</v>
      </c>
      <c r="G7" s="72" t="s">
        <v>51</v>
      </c>
      <c r="H7" s="24" t="s">
        <v>6</v>
      </c>
      <c r="I7" s="71" t="s">
        <v>51</v>
      </c>
      <c r="J7" s="71" t="s">
        <v>15</v>
      </c>
    </row>
    <row r="8" spans="1:10" ht="19.5" thickBot="1">
      <c r="A8" s="3"/>
      <c r="B8" s="35" t="s">
        <v>9</v>
      </c>
      <c r="C8" s="36" t="s">
        <v>10</v>
      </c>
      <c r="D8" s="37" t="s">
        <v>11</v>
      </c>
      <c r="E8" s="37" t="s">
        <v>13</v>
      </c>
      <c r="F8" s="60" t="s">
        <v>14</v>
      </c>
      <c r="G8" s="73" t="s">
        <v>52</v>
      </c>
      <c r="H8" s="38" t="s">
        <v>12</v>
      </c>
      <c r="I8" s="39" t="s">
        <v>53</v>
      </c>
      <c r="J8" s="39" t="s">
        <v>54</v>
      </c>
    </row>
    <row r="9" spans="1:10">
      <c r="A9" s="1" t="s">
        <v>3</v>
      </c>
      <c r="B9" s="30" t="s">
        <v>16</v>
      </c>
      <c r="C9" s="31">
        <v>16</v>
      </c>
      <c r="D9" s="32">
        <v>18</v>
      </c>
      <c r="E9" s="32">
        <v>21</v>
      </c>
      <c r="F9" s="61">
        <v>18</v>
      </c>
      <c r="G9" s="74">
        <f>SUM(C9:F9)</f>
        <v>73</v>
      </c>
      <c r="H9" s="33">
        <v>18</v>
      </c>
      <c r="I9" s="34">
        <f>H9</f>
        <v>18</v>
      </c>
      <c r="J9" s="34">
        <f>G9+I9</f>
        <v>91</v>
      </c>
    </row>
    <row r="10" spans="1:10">
      <c r="A10" s="1" t="s">
        <v>3</v>
      </c>
      <c r="B10" s="16" t="s">
        <v>17</v>
      </c>
      <c r="C10" s="25">
        <v>6</v>
      </c>
      <c r="D10" s="5">
        <v>4</v>
      </c>
      <c r="E10" s="5">
        <v>1</v>
      </c>
      <c r="F10" s="62">
        <v>0</v>
      </c>
      <c r="G10" s="75">
        <f t="shared" ref="G10:G14" si="0">SUM(C10:F10)</f>
        <v>11</v>
      </c>
      <c r="H10" s="6">
        <v>4</v>
      </c>
      <c r="I10" s="18">
        <f t="shared" ref="I10:I14" si="1">H10</f>
        <v>4</v>
      </c>
      <c r="J10" s="18">
        <f t="shared" ref="G10:J14" si="2">SUM(D10:I10)</f>
        <v>24</v>
      </c>
    </row>
    <row r="11" spans="1:10">
      <c r="A11" s="1" t="s">
        <v>3</v>
      </c>
      <c r="B11" s="16" t="s">
        <v>18</v>
      </c>
      <c r="C11" s="25">
        <v>0</v>
      </c>
      <c r="D11" s="5">
        <v>0</v>
      </c>
      <c r="E11" s="5">
        <v>0</v>
      </c>
      <c r="F11" s="62">
        <v>4</v>
      </c>
      <c r="G11" s="75">
        <f t="shared" si="0"/>
        <v>4</v>
      </c>
      <c r="H11" s="6">
        <v>0</v>
      </c>
      <c r="I11" s="18">
        <f t="shared" si="1"/>
        <v>0</v>
      </c>
      <c r="J11" s="18">
        <f t="shared" si="2"/>
        <v>8</v>
      </c>
    </row>
    <row r="12" spans="1:10">
      <c r="A12" s="1" t="s">
        <v>3</v>
      </c>
      <c r="B12" s="16" t="s">
        <v>19</v>
      </c>
      <c r="C12" s="26">
        <v>0.54166666666666663</v>
      </c>
      <c r="D12" s="7">
        <v>2.5833333333333335</v>
      </c>
      <c r="E12" s="7">
        <v>1.7083333333333335</v>
      </c>
      <c r="F12" s="63">
        <v>0.875</v>
      </c>
      <c r="G12" s="76">
        <f t="shared" si="0"/>
        <v>5.7083333333333339</v>
      </c>
      <c r="H12" s="8">
        <v>0</v>
      </c>
      <c r="I12" s="19">
        <f t="shared" si="1"/>
        <v>0</v>
      </c>
      <c r="J12" s="19">
        <f t="shared" si="2"/>
        <v>10.875</v>
      </c>
    </row>
    <row r="13" spans="1:10">
      <c r="A13" s="1" t="s">
        <v>3</v>
      </c>
      <c r="B13" s="16" t="s">
        <v>20</v>
      </c>
      <c r="C13" s="26">
        <v>0</v>
      </c>
      <c r="D13" s="7">
        <v>8.3333333333333329E-2</v>
      </c>
      <c r="E13" s="7">
        <v>0</v>
      </c>
      <c r="F13" s="63">
        <v>0</v>
      </c>
      <c r="G13" s="76">
        <f t="shared" si="0"/>
        <v>8.3333333333333329E-2</v>
      </c>
      <c r="H13" s="8">
        <v>0</v>
      </c>
      <c r="I13" s="19">
        <f t="shared" si="1"/>
        <v>0</v>
      </c>
      <c r="J13" s="19">
        <f t="shared" si="2"/>
        <v>0.16666666666666666</v>
      </c>
    </row>
    <row r="14" spans="1:10">
      <c r="A14" s="1" t="s">
        <v>3</v>
      </c>
      <c r="B14" s="16" t="s">
        <v>21</v>
      </c>
      <c r="C14" s="26">
        <v>0</v>
      </c>
      <c r="D14" s="7">
        <v>4.1666666666666664E-2</v>
      </c>
      <c r="E14" s="7">
        <v>0.125</v>
      </c>
      <c r="F14" s="63">
        <v>0</v>
      </c>
      <c r="G14" s="76">
        <f t="shared" si="0"/>
        <v>0.16666666666666666</v>
      </c>
      <c r="H14" s="8">
        <v>0</v>
      </c>
      <c r="I14" s="19">
        <f t="shared" si="1"/>
        <v>0</v>
      </c>
      <c r="J14" s="19">
        <f t="shared" si="2"/>
        <v>0.33333333333333331</v>
      </c>
    </row>
    <row r="15" spans="1:10">
      <c r="A15" s="1" t="s">
        <v>3</v>
      </c>
      <c r="B15" s="44" t="s">
        <v>22</v>
      </c>
      <c r="C15" s="45">
        <v>31</v>
      </c>
      <c r="D15" s="46">
        <v>34</v>
      </c>
      <c r="E15" s="46">
        <v>10</v>
      </c>
      <c r="F15" s="64">
        <v>0</v>
      </c>
      <c r="G15" s="77"/>
      <c r="H15" s="47">
        <v>34</v>
      </c>
      <c r="I15" s="48"/>
      <c r="J15" s="48"/>
    </row>
    <row r="16" spans="1:10">
      <c r="A16" s="1" t="s">
        <v>3</v>
      </c>
      <c r="B16" s="30" t="s">
        <v>23</v>
      </c>
      <c r="C16" s="40">
        <v>187000</v>
      </c>
      <c r="D16" s="41">
        <v>192000</v>
      </c>
      <c r="E16" s="41">
        <v>192000</v>
      </c>
      <c r="F16" s="65">
        <v>175000</v>
      </c>
      <c r="G16" s="78">
        <f t="shared" ref="G16:G41" si="3">SUM(C16:F16)</f>
        <v>746000</v>
      </c>
      <c r="H16" s="42">
        <v>370000</v>
      </c>
      <c r="I16" s="43">
        <f t="shared" ref="I16:I41" si="4">H16</f>
        <v>370000</v>
      </c>
      <c r="J16" s="43">
        <f t="shared" ref="G16:J41" si="5">SUM(D16:I16)</f>
        <v>2045000</v>
      </c>
    </row>
    <row r="17" spans="1:10">
      <c r="A17" s="1" t="s">
        <v>3</v>
      </c>
      <c r="B17" s="16" t="s">
        <v>24</v>
      </c>
      <c r="C17" s="27">
        <v>5000</v>
      </c>
      <c r="D17" s="9">
        <v>0</v>
      </c>
      <c r="E17" s="9">
        <v>0</v>
      </c>
      <c r="F17" s="66">
        <v>0</v>
      </c>
      <c r="G17" s="79">
        <f t="shared" si="3"/>
        <v>5000</v>
      </c>
      <c r="H17" s="10">
        <v>0</v>
      </c>
      <c r="I17" s="20">
        <f t="shared" si="4"/>
        <v>0</v>
      </c>
      <c r="J17" s="20">
        <f t="shared" si="5"/>
        <v>5000</v>
      </c>
    </row>
    <row r="18" spans="1:10">
      <c r="A18" s="1" t="s">
        <v>3</v>
      </c>
      <c r="B18" s="16" t="s">
        <v>25</v>
      </c>
      <c r="C18" s="27">
        <v>0</v>
      </c>
      <c r="D18" s="9">
        <v>3000</v>
      </c>
      <c r="E18" s="9">
        <v>15000</v>
      </c>
      <c r="F18" s="66">
        <v>0</v>
      </c>
      <c r="G18" s="79">
        <f t="shared" si="3"/>
        <v>18000</v>
      </c>
      <c r="H18" s="10">
        <v>0</v>
      </c>
      <c r="I18" s="20">
        <f t="shared" si="4"/>
        <v>0</v>
      </c>
      <c r="J18" s="20">
        <f t="shared" si="5"/>
        <v>36000</v>
      </c>
    </row>
    <row r="19" spans="1:10">
      <c r="A19" s="1" t="s">
        <v>3</v>
      </c>
      <c r="B19" s="16" t="s">
        <v>26</v>
      </c>
      <c r="C19" s="27">
        <v>50000</v>
      </c>
      <c r="D19" s="9">
        <v>50000</v>
      </c>
      <c r="E19" s="9">
        <v>50000</v>
      </c>
      <c r="F19" s="66">
        <v>50000</v>
      </c>
      <c r="G19" s="79">
        <f t="shared" si="3"/>
        <v>200000</v>
      </c>
      <c r="H19" s="10">
        <v>50000</v>
      </c>
      <c r="I19" s="20">
        <f t="shared" si="4"/>
        <v>50000</v>
      </c>
      <c r="J19" s="20">
        <f t="shared" si="5"/>
        <v>450000</v>
      </c>
    </row>
    <row r="20" spans="1:10">
      <c r="A20" s="1" t="s">
        <v>3</v>
      </c>
      <c r="B20" s="16" t="s">
        <v>27</v>
      </c>
      <c r="C20" s="27">
        <v>0</v>
      </c>
      <c r="D20" s="9">
        <v>0</v>
      </c>
      <c r="E20" s="9">
        <v>57807</v>
      </c>
      <c r="F20" s="66">
        <v>0</v>
      </c>
      <c r="G20" s="79">
        <f t="shared" si="3"/>
        <v>57807</v>
      </c>
      <c r="H20" s="10">
        <v>0</v>
      </c>
      <c r="I20" s="20">
        <f t="shared" si="4"/>
        <v>0</v>
      </c>
      <c r="J20" s="20">
        <f t="shared" si="5"/>
        <v>115614</v>
      </c>
    </row>
    <row r="21" spans="1:10">
      <c r="A21" s="1" t="s">
        <v>3</v>
      </c>
      <c r="B21" s="16" t="s">
        <v>28</v>
      </c>
      <c r="C21" s="27">
        <v>3500</v>
      </c>
      <c r="D21" s="9">
        <v>3500</v>
      </c>
      <c r="E21" s="9">
        <v>0</v>
      </c>
      <c r="F21" s="66">
        <v>0</v>
      </c>
      <c r="G21" s="79">
        <f t="shared" si="3"/>
        <v>7000</v>
      </c>
      <c r="H21" s="10">
        <v>0</v>
      </c>
      <c r="I21" s="20">
        <f t="shared" si="4"/>
        <v>0</v>
      </c>
      <c r="J21" s="20">
        <f t="shared" si="5"/>
        <v>10500</v>
      </c>
    </row>
    <row r="22" spans="1:10">
      <c r="A22" s="1" t="s">
        <v>3</v>
      </c>
      <c r="B22" s="16" t="s">
        <v>29</v>
      </c>
      <c r="C22" s="27">
        <v>0</v>
      </c>
      <c r="D22" s="9">
        <v>13000</v>
      </c>
      <c r="E22" s="9">
        <v>13000</v>
      </c>
      <c r="F22" s="66">
        <v>0</v>
      </c>
      <c r="G22" s="79">
        <f t="shared" si="3"/>
        <v>26000</v>
      </c>
      <c r="H22" s="10">
        <v>0</v>
      </c>
      <c r="I22" s="20">
        <f t="shared" si="4"/>
        <v>0</v>
      </c>
      <c r="J22" s="20">
        <f t="shared" si="5"/>
        <v>52000</v>
      </c>
    </row>
    <row r="23" spans="1:10">
      <c r="A23" s="1" t="s">
        <v>3</v>
      </c>
      <c r="B23" s="16" t="s">
        <v>30</v>
      </c>
      <c r="C23" s="27">
        <v>0</v>
      </c>
      <c r="D23" s="9">
        <v>0</v>
      </c>
      <c r="E23" s="9">
        <v>0</v>
      </c>
      <c r="F23" s="66">
        <v>43060</v>
      </c>
      <c r="G23" s="79">
        <f t="shared" si="3"/>
        <v>43060</v>
      </c>
      <c r="H23" s="10">
        <v>0</v>
      </c>
      <c r="I23" s="20">
        <f t="shared" si="4"/>
        <v>0</v>
      </c>
      <c r="J23" s="20">
        <f t="shared" si="5"/>
        <v>86120</v>
      </c>
    </row>
    <row r="24" spans="1:10">
      <c r="A24" s="1" t="s">
        <v>3</v>
      </c>
      <c r="B24" s="16" t="s">
        <v>19</v>
      </c>
      <c r="C24" s="27">
        <v>23894</v>
      </c>
      <c r="D24" s="9">
        <v>121396</v>
      </c>
      <c r="E24" s="9">
        <v>82861</v>
      </c>
      <c r="F24" s="66">
        <v>35364</v>
      </c>
      <c r="G24" s="79">
        <f t="shared" si="3"/>
        <v>263515</v>
      </c>
      <c r="H24" s="10">
        <v>0</v>
      </c>
      <c r="I24" s="20">
        <f t="shared" si="4"/>
        <v>0</v>
      </c>
      <c r="J24" s="20">
        <f t="shared" si="5"/>
        <v>503136</v>
      </c>
    </row>
    <row r="25" spans="1:10">
      <c r="A25" s="1" t="s">
        <v>3</v>
      </c>
      <c r="B25" s="16" t="s">
        <v>20</v>
      </c>
      <c r="C25" s="27">
        <v>0</v>
      </c>
      <c r="D25" s="9">
        <v>784</v>
      </c>
      <c r="E25" s="9">
        <v>0</v>
      </c>
      <c r="F25" s="66">
        <v>0</v>
      </c>
      <c r="G25" s="79">
        <f t="shared" si="3"/>
        <v>784</v>
      </c>
      <c r="H25" s="10">
        <v>0</v>
      </c>
      <c r="I25" s="20">
        <f t="shared" si="4"/>
        <v>0</v>
      </c>
      <c r="J25" s="20">
        <f t="shared" si="5"/>
        <v>1568</v>
      </c>
    </row>
    <row r="26" spans="1:10">
      <c r="A26" s="1" t="s">
        <v>3</v>
      </c>
      <c r="B26" s="49" t="s">
        <v>21</v>
      </c>
      <c r="C26" s="50">
        <v>0</v>
      </c>
      <c r="D26" s="51">
        <v>392</v>
      </c>
      <c r="E26" s="51">
        <v>1212</v>
      </c>
      <c r="F26" s="67">
        <v>0</v>
      </c>
      <c r="G26" s="80">
        <f t="shared" si="3"/>
        <v>1604</v>
      </c>
      <c r="H26" s="52">
        <v>0</v>
      </c>
      <c r="I26" s="53">
        <f t="shared" si="4"/>
        <v>0</v>
      </c>
      <c r="J26" s="53">
        <f t="shared" si="5"/>
        <v>3208</v>
      </c>
    </row>
    <row r="27" spans="1:10">
      <c r="A27" s="1" t="s">
        <v>3</v>
      </c>
      <c r="B27" s="54" t="s">
        <v>31</v>
      </c>
      <c r="C27" s="55">
        <v>269394</v>
      </c>
      <c r="D27" s="56">
        <v>384072</v>
      </c>
      <c r="E27" s="56">
        <v>411880</v>
      </c>
      <c r="F27" s="68">
        <v>217304</v>
      </c>
      <c r="G27" s="81">
        <f t="shared" si="3"/>
        <v>1282650</v>
      </c>
      <c r="H27" s="57">
        <v>420000</v>
      </c>
      <c r="I27" s="58">
        <f t="shared" si="4"/>
        <v>420000</v>
      </c>
      <c r="J27" s="58">
        <f t="shared" si="5"/>
        <v>3135906</v>
      </c>
    </row>
    <row r="28" spans="1:10">
      <c r="A28" s="1" t="s">
        <v>3</v>
      </c>
      <c r="B28" s="54" t="s">
        <v>32</v>
      </c>
      <c r="C28" s="55">
        <v>0</v>
      </c>
      <c r="D28" s="56">
        <v>1490</v>
      </c>
      <c r="E28" s="56">
        <v>7945</v>
      </c>
      <c r="F28" s="68">
        <v>0</v>
      </c>
      <c r="G28" s="81">
        <f t="shared" si="3"/>
        <v>9435</v>
      </c>
      <c r="H28" s="57">
        <v>9959</v>
      </c>
      <c r="I28" s="58">
        <f t="shared" si="4"/>
        <v>9959</v>
      </c>
      <c r="J28" s="58">
        <f t="shared" si="5"/>
        <v>38788</v>
      </c>
    </row>
    <row r="29" spans="1:10">
      <c r="A29" s="1" t="s">
        <v>3</v>
      </c>
      <c r="B29" s="54" t="s">
        <v>33</v>
      </c>
      <c r="C29" s="55">
        <v>0</v>
      </c>
      <c r="D29" s="56">
        <v>1490</v>
      </c>
      <c r="E29" s="56">
        <v>7945</v>
      </c>
      <c r="F29" s="68">
        <v>0</v>
      </c>
      <c r="G29" s="81">
        <f t="shared" si="3"/>
        <v>9435</v>
      </c>
      <c r="H29" s="57">
        <v>9959</v>
      </c>
      <c r="I29" s="58">
        <f t="shared" si="4"/>
        <v>9959</v>
      </c>
      <c r="J29" s="58">
        <f t="shared" si="5"/>
        <v>38788</v>
      </c>
    </row>
    <row r="30" spans="1:10">
      <c r="A30" s="1" t="s">
        <v>3</v>
      </c>
      <c r="B30" s="54" t="s">
        <v>34</v>
      </c>
      <c r="C30" s="55">
        <v>269394</v>
      </c>
      <c r="D30" s="56">
        <v>385562</v>
      </c>
      <c r="E30" s="56">
        <v>419825</v>
      </c>
      <c r="F30" s="68">
        <v>217304</v>
      </c>
      <c r="G30" s="81">
        <f t="shared" si="3"/>
        <v>1292085</v>
      </c>
      <c r="H30" s="57">
        <v>429959</v>
      </c>
      <c r="I30" s="58">
        <f t="shared" si="4"/>
        <v>429959</v>
      </c>
      <c r="J30" s="58">
        <f t="shared" si="5"/>
        <v>3174694</v>
      </c>
    </row>
    <row r="31" spans="1:10">
      <c r="A31" s="1" t="s">
        <v>3</v>
      </c>
      <c r="B31" s="30" t="s">
        <v>35</v>
      </c>
      <c r="C31" s="40">
        <v>16320</v>
      </c>
      <c r="D31" s="41">
        <v>18360</v>
      </c>
      <c r="E31" s="41">
        <v>20910</v>
      </c>
      <c r="F31" s="65">
        <v>0</v>
      </c>
      <c r="G31" s="78">
        <f t="shared" si="3"/>
        <v>55590</v>
      </c>
      <c r="H31" s="42">
        <v>22440</v>
      </c>
      <c r="I31" s="43">
        <f t="shared" si="4"/>
        <v>22440</v>
      </c>
      <c r="J31" s="43">
        <f t="shared" si="5"/>
        <v>139740</v>
      </c>
    </row>
    <row r="32" spans="1:10">
      <c r="A32" s="1" t="s">
        <v>3</v>
      </c>
      <c r="B32" s="16" t="s">
        <v>36</v>
      </c>
      <c r="C32" s="27">
        <v>0</v>
      </c>
      <c r="D32" s="9">
        <v>3240</v>
      </c>
      <c r="E32" s="9">
        <v>3690</v>
      </c>
      <c r="F32" s="66">
        <v>0</v>
      </c>
      <c r="G32" s="79">
        <f t="shared" si="3"/>
        <v>6930</v>
      </c>
      <c r="H32" s="10">
        <v>3960</v>
      </c>
      <c r="I32" s="20">
        <f t="shared" si="4"/>
        <v>3960</v>
      </c>
      <c r="J32" s="20">
        <f t="shared" si="5"/>
        <v>21780</v>
      </c>
    </row>
    <row r="33" spans="1:10">
      <c r="A33" s="1" t="s">
        <v>3</v>
      </c>
      <c r="B33" s="16" t="s">
        <v>37</v>
      </c>
      <c r="C33" s="27">
        <v>29280</v>
      </c>
      <c r="D33" s="9">
        <v>32940</v>
      </c>
      <c r="E33" s="9">
        <v>37515</v>
      </c>
      <c r="F33" s="66">
        <v>0</v>
      </c>
      <c r="G33" s="79">
        <f t="shared" si="3"/>
        <v>99735</v>
      </c>
      <c r="H33" s="10">
        <v>40260</v>
      </c>
      <c r="I33" s="20">
        <f t="shared" si="4"/>
        <v>40260</v>
      </c>
      <c r="J33" s="20">
        <f t="shared" si="5"/>
        <v>250710</v>
      </c>
    </row>
    <row r="34" spans="1:10">
      <c r="A34" s="1" t="s">
        <v>3</v>
      </c>
      <c r="B34" s="49" t="s">
        <v>38</v>
      </c>
      <c r="C34" s="50">
        <v>1482</v>
      </c>
      <c r="D34" s="51">
        <v>2121</v>
      </c>
      <c r="E34" s="51">
        <v>2309</v>
      </c>
      <c r="F34" s="67">
        <v>1195</v>
      </c>
      <c r="G34" s="80">
        <f t="shared" si="3"/>
        <v>7107</v>
      </c>
      <c r="H34" s="52">
        <v>2365</v>
      </c>
      <c r="I34" s="53">
        <f t="shared" si="4"/>
        <v>2365</v>
      </c>
      <c r="J34" s="53">
        <f t="shared" si="5"/>
        <v>17462</v>
      </c>
    </row>
    <row r="35" spans="1:10">
      <c r="A35" s="1" t="s">
        <v>3</v>
      </c>
      <c r="B35" s="54" t="s">
        <v>39</v>
      </c>
      <c r="C35" s="55">
        <v>47082</v>
      </c>
      <c r="D35" s="56">
        <v>56661</v>
      </c>
      <c r="E35" s="56">
        <v>64424</v>
      </c>
      <c r="F35" s="68">
        <v>1195</v>
      </c>
      <c r="G35" s="81">
        <f t="shared" si="3"/>
        <v>169362</v>
      </c>
      <c r="H35" s="57">
        <v>69025</v>
      </c>
      <c r="I35" s="58">
        <f t="shared" si="4"/>
        <v>69025</v>
      </c>
      <c r="J35" s="58">
        <f t="shared" si="5"/>
        <v>429692</v>
      </c>
    </row>
    <row r="36" spans="1:10">
      <c r="A36" s="1" t="s">
        <v>3</v>
      </c>
      <c r="B36" s="30" t="s">
        <v>40</v>
      </c>
      <c r="C36" s="40">
        <v>3950</v>
      </c>
      <c r="D36" s="41">
        <v>10620</v>
      </c>
      <c r="E36" s="41">
        <v>12260</v>
      </c>
      <c r="F36" s="65">
        <v>5340</v>
      </c>
      <c r="G36" s="78">
        <f t="shared" si="3"/>
        <v>32170</v>
      </c>
      <c r="H36" s="42">
        <v>12540</v>
      </c>
      <c r="I36" s="43">
        <f t="shared" si="4"/>
        <v>12540</v>
      </c>
      <c r="J36" s="43">
        <f t="shared" si="5"/>
        <v>85470</v>
      </c>
    </row>
    <row r="37" spans="1:10">
      <c r="A37" s="1" t="s">
        <v>3</v>
      </c>
      <c r="B37" s="49" t="s">
        <v>41</v>
      </c>
      <c r="C37" s="50">
        <v>16000</v>
      </c>
      <c r="D37" s="51">
        <v>17200</v>
      </c>
      <c r="E37" s="51">
        <v>16600</v>
      </c>
      <c r="F37" s="67">
        <v>0</v>
      </c>
      <c r="G37" s="80">
        <f t="shared" si="3"/>
        <v>49800</v>
      </c>
      <c r="H37" s="52">
        <v>20700</v>
      </c>
      <c r="I37" s="53">
        <f t="shared" si="4"/>
        <v>20700</v>
      </c>
      <c r="J37" s="53">
        <f t="shared" si="5"/>
        <v>125000</v>
      </c>
    </row>
    <row r="38" spans="1:10">
      <c r="A38" s="1" t="s">
        <v>3</v>
      </c>
      <c r="B38" s="54" t="s">
        <v>42</v>
      </c>
      <c r="C38" s="55">
        <v>67032</v>
      </c>
      <c r="D38" s="56">
        <v>84481</v>
      </c>
      <c r="E38" s="56">
        <v>93284</v>
      </c>
      <c r="F38" s="68">
        <v>6535</v>
      </c>
      <c r="G38" s="81">
        <f t="shared" si="3"/>
        <v>251332</v>
      </c>
      <c r="H38" s="57">
        <v>102265</v>
      </c>
      <c r="I38" s="58">
        <f t="shared" si="4"/>
        <v>102265</v>
      </c>
      <c r="J38" s="58">
        <f t="shared" si="5"/>
        <v>640162</v>
      </c>
    </row>
    <row r="39" spans="1:10">
      <c r="A39" s="1" t="s">
        <v>3</v>
      </c>
      <c r="B39" s="54" t="s">
        <v>43</v>
      </c>
      <c r="C39" s="55">
        <v>222312</v>
      </c>
      <c r="D39" s="56">
        <v>327411</v>
      </c>
      <c r="E39" s="56">
        <v>347456</v>
      </c>
      <c r="F39" s="68">
        <v>216109</v>
      </c>
      <c r="G39" s="81">
        <f t="shared" si="3"/>
        <v>1113288</v>
      </c>
      <c r="H39" s="57">
        <v>350975</v>
      </c>
      <c r="I39" s="58">
        <f t="shared" si="4"/>
        <v>350975</v>
      </c>
      <c r="J39" s="58">
        <f t="shared" si="5"/>
        <v>2706214</v>
      </c>
    </row>
    <row r="40" spans="1:10">
      <c r="A40" s="1" t="s">
        <v>3</v>
      </c>
      <c r="B40" s="54" t="s">
        <v>44</v>
      </c>
      <c r="C40" s="55">
        <v>202362</v>
      </c>
      <c r="D40" s="56">
        <v>301081</v>
      </c>
      <c r="E40" s="56">
        <v>326541</v>
      </c>
      <c r="F40" s="68">
        <v>210769</v>
      </c>
      <c r="G40" s="81">
        <f t="shared" si="3"/>
        <v>1040753</v>
      </c>
      <c r="H40" s="57">
        <v>327694</v>
      </c>
      <c r="I40" s="58">
        <f t="shared" si="4"/>
        <v>327694</v>
      </c>
      <c r="J40" s="58">
        <f t="shared" si="5"/>
        <v>2534532</v>
      </c>
    </row>
    <row r="41" spans="1:10">
      <c r="A41" s="1" t="s">
        <v>3</v>
      </c>
      <c r="B41" s="54" t="s">
        <v>45</v>
      </c>
      <c r="C41" s="55">
        <v>202362</v>
      </c>
      <c r="D41" s="56">
        <v>301081</v>
      </c>
      <c r="E41" s="56">
        <v>326541</v>
      </c>
      <c r="F41" s="68">
        <v>210769</v>
      </c>
      <c r="G41" s="81">
        <f t="shared" si="3"/>
        <v>1040753</v>
      </c>
      <c r="H41" s="57">
        <v>327694</v>
      </c>
      <c r="I41" s="58">
        <f t="shared" si="4"/>
        <v>327694</v>
      </c>
      <c r="J41" s="58">
        <f t="shared" si="5"/>
        <v>2534532</v>
      </c>
    </row>
    <row r="42" spans="1:10">
      <c r="A42" s="1" t="s">
        <v>3</v>
      </c>
      <c r="B42" s="30" t="s">
        <v>46</v>
      </c>
      <c r="C42" s="40">
        <v>1</v>
      </c>
      <c r="D42" s="41">
        <v>0</v>
      </c>
      <c r="E42" s="41">
        <v>0</v>
      </c>
      <c r="F42" s="65">
        <v>0</v>
      </c>
      <c r="G42" s="78"/>
      <c r="H42" s="42">
        <v>0</v>
      </c>
      <c r="I42" s="43"/>
      <c r="J42" s="43"/>
    </row>
    <row r="43" spans="1:10">
      <c r="A43" s="1" t="s">
        <v>3</v>
      </c>
      <c r="B43" s="16" t="s">
        <v>47</v>
      </c>
      <c r="C43" s="28" t="s">
        <v>48</v>
      </c>
      <c r="D43" s="11" t="s">
        <v>48</v>
      </c>
      <c r="E43" s="11" t="s">
        <v>48</v>
      </c>
      <c r="F43" s="69" t="s">
        <v>48</v>
      </c>
      <c r="G43" s="82"/>
      <c r="H43" s="12" t="s">
        <v>48</v>
      </c>
      <c r="I43" s="21"/>
      <c r="J43" s="21"/>
    </row>
    <row r="44" spans="1:10" ht="19.5" thickBot="1">
      <c r="A44" s="1" t="s">
        <v>3</v>
      </c>
      <c r="B44" s="17" t="s">
        <v>49</v>
      </c>
      <c r="C44" s="29">
        <v>3950</v>
      </c>
      <c r="D44" s="13">
        <v>10620</v>
      </c>
      <c r="E44" s="13">
        <v>12260</v>
      </c>
      <c r="F44" s="70">
        <v>5340</v>
      </c>
      <c r="G44" s="83">
        <f>SUM(C44:F44)</f>
        <v>32170</v>
      </c>
      <c r="H44" s="14">
        <v>12540</v>
      </c>
      <c r="I44" s="22">
        <f>H44</f>
        <v>12540</v>
      </c>
      <c r="J44" s="22">
        <f>SUM(D44:I44)</f>
        <v>85470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 8月度給与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dcterms:created xsi:type="dcterms:W3CDTF">2025-09-10T04:46:20Z</dcterms:created>
  <dcterms:modified xsi:type="dcterms:W3CDTF">2025-09-10T04:56:30Z</dcterms:modified>
</cp:coreProperties>
</file>