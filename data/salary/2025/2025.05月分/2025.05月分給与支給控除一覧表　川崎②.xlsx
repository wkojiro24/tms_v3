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.05月分\"/>
    </mc:Choice>
  </mc:AlternateContent>
  <xr:revisionPtr revIDLastSave="0" documentId="13_ncr:1_{85FA3971-C8FE-4EEA-B8BA-697FA542F635}" xr6:coauthVersionLast="47" xr6:coauthVersionMax="47" xr10:uidLastSave="{00000000-0000-0000-0000-000000000000}"/>
  <bookViews>
    <workbookView xWindow="-120" yWindow="-120" windowWidth="20730" windowHeight="11160" xr2:uid="{6A2090C2-27B4-4C2A-950B-D16B4850AA68}"/>
  </bookViews>
  <sheets>
    <sheet name="2025年 6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6" i="2" l="1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6" i="2"/>
  <c r="H15" i="2"/>
  <c r="H14" i="2"/>
  <c r="H13" i="2"/>
  <c r="H12" i="2"/>
  <c r="H11" i="2"/>
  <c r="H10" i="2"/>
  <c r="H9" i="2"/>
  <c r="F46" i="2"/>
  <c r="I46" i="2" s="1"/>
  <c r="F43" i="2"/>
  <c r="I43" i="2" s="1"/>
  <c r="F42" i="2"/>
  <c r="I42" i="2" s="1"/>
  <c r="F41" i="2"/>
  <c r="I41" i="2" s="1"/>
  <c r="F40" i="2"/>
  <c r="I40" i="2" s="1"/>
  <c r="F39" i="2"/>
  <c r="I39" i="2" s="1"/>
  <c r="F38" i="2"/>
  <c r="I38" i="2" s="1"/>
  <c r="F37" i="2"/>
  <c r="I37" i="2" s="1"/>
  <c r="F36" i="2"/>
  <c r="I36" i="2" s="1"/>
  <c r="F35" i="2"/>
  <c r="I35" i="2" s="1"/>
  <c r="F34" i="2"/>
  <c r="I34" i="2" s="1"/>
  <c r="F33" i="2"/>
  <c r="I33" i="2" s="1"/>
  <c r="F32" i="2"/>
  <c r="I32" i="2" s="1"/>
  <c r="F31" i="2"/>
  <c r="I31" i="2" s="1"/>
  <c r="F30" i="2"/>
  <c r="I30" i="2" s="1"/>
  <c r="F29" i="2"/>
  <c r="I29" i="2" s="1"/>
  <c r="F28" i="2"/>
  <c r="I28" i="2" s="1"/>
  <c r="F27" i="2"/>
  <c r="I27" i="2" s="1"/>
  <c r="F26" i="2"/>
  <c r="I26" i="2" s="1"/>
  <c r="F25" i="2"/>
  <c r="I25" i="2" s="1"/>
  <c r="F24" i="2"/>
  <c r="I24" i="2" s="1"/>
  <c r="F23" i="2"/>
  <c r="I23" i="2" s="1"/>
  <c r="F22" i="2"/>
  <c r="I22" i="2" s="1"/>
  <c r="F21" i="2"/>
  <c r="I21" i="2" s="1"/>
  <c r="F20" i="2"/>
  <c r="I20" i="2" s="1"/>
  <c r="F19" i="2"/>
  <c r="I19" i="2" s="1"/>
  <c r="F18" i="2"/>
  <c r="I18" i="2" s="1"/>
  <c r="F16" i="2"/>
  <c r="I16" i="2" s="1"/>
  <c r="F15" i="2"/>
  <c r="I15" i="2" s="1"/>
  <c r="F14" i="2"/>
  <c r="I14" i="2" s="1"/>
  <c r="F13" i="2"/>
  <c r="I13" i="2" s="1"/>
  <c r="F12" i="2"/>
  <c r="I12" i="2" s="1"/>
  <c r="F11" i="2"/>
  <c r="I11" i="2" s="1"/>
  <c r="F10" i="2"/>
  <c r="I10" i="2" s="1"/>
  <c r="F9" i="2"/>
  <c r="I9" i="2" s="1"/>
</calcChain>
</file>

<file path=xl/sharedStrings.xml><?xml version="1.0" encoding="utf-8"?>
<sst xmlns="http://schemas.openxmlformats.org/spreadsheetml/2006/main" count="100" uniqueCount="56">
  <si>
    <t>支給控除一覧表</t>
    <phoneticPr fontId="4"/>
  </si>
  <si>
    <t>若林運送株式会社</t>
    <phoneticPr fontId="4"/>
  </si>
  <si>
    <t>2025年 6月 9日 作成</t>
    <phoneticPr fontId="4"/>
  </si>
  <si>
    <t/>
  </si>
  <si>
    <t>1049</t>
    <phoneticPr fontId="4"/>
  </si>
  <si>
    <t>1050</t>
    <phoneticPr fontId="4"/>
  </si>
  <si>
    <t>1078</t>
    <phoneticPr fontId="4"/>
  </si>
  <si>
    <t>1114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</si>
  <si>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</si>
  <si>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</si>
  <si>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</si>
  <si>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</si>
  <si>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吉田　亨</t>
    <phoneticPr fontId="4"/>
  </si>
  <si>
    <t>合計</t>
    <phoneticPr fontId="4"/>
  </si>
  <si>
    <t>平日出勤日数</t>
    <phoneticPr fontId="4"/>
  </si>
  <si>
    <t>法定休日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</si>
  <si>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</si>
  <si>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</si>
  <si>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</si>
  <si>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</si>
  <si>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法定代休時間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</si>
  <si>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</si>
  <si>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</si>
  <si>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</si>
  <si>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</si>
  <si>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</si>
  <si>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</si>
  <si>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</si>
  <si>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</si>
  <si>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</si>
  <si>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</si>
  <si>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</si>
  <si>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</si>
  <si>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</si>
  <si>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</si>
  <si>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</si>
  <si>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</si>
  <si>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</si>
  <si>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</si>
  <si>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</si>
  <si>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</si>
  <si>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</si>
  <si>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</si>
  <si>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</si>
  <si>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</si>
  <si>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</si>
  <si>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</si>
  <si>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</si>
  <si>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</si>
  <si>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</si>
  <si>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</si>
  <si>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5月度給与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</si>
  <si>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</si>
  <si>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4"/>
  </si>
  <si>
    <t>1名</t>
    <rPh sb="1" eb="2">
      <t>メイ</t>
    </rPh>
    <phoneticPr fontId="4"/>
  </si>
  <si>
    <t>5名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</si>
</sst>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0" fontId="2" fillId="0" borderId="14" xfId="1" applyFont="1" applyBorder="1"/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0" fontId="2" fillId="0" borderId="14" xfId="1" applyFont="1" applyBorder="1" applyAlignment="1">
      <alignment horizontal="center"/>
    </xf>
  </cellXfs>
  <cellStyles count="2">
    <cellStyle name="標準" xfId="0" builtinId="0"/>
    <cellStyle name="標準 2" xfId="1" xr:uid="{82B5800F-0F5E-4633-B986-F653C0E7F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3BC6-8749-47CC-B6E5-210194EB53A2}">
  <dimension ref="A1:I46"/>
  <sheetViews>
    <sheetView showZeros="0" tabSelected="1" workbookViewId="0">
      <pane xSplit="2" ySplit="8" topLeftCell="C32" activePane="bottomRight" state="frozen"/>
      <selection pane="topRight" activeCell="C1" sqref="C1"/>
      <selection pane="bottomLeft" activeCell="A9" sqref="A9"/>
      <selection pane="bottomRight" activeCell="F38" sqref="F38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6" width="9.625" style="2" bestFit="1" customWidth="1"/>
    <col min="7" max="7" width="9" style="2" bestFit="1" customWidth="1"/>
    <col min="8" max="9" width="9.625" style="2" bestFit="1" customWidth="1"/>
    <col min="10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4" width="9" style="2" bestFit="1"/>
    <col min="265" max="265" width="9.625" style="2" bestFit="1" customWidth="1"/>
    <col min="266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0" width="9" style="2" bestFit="1"/>
    <col min="521" max="521" width="9.625" style="2" bestFit="1" customWidth="1"/>
    <col min="522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6" width="9" style="2" bestFit="1"/>
    <col min="777" max="777" width="9.625" style="2" bestFit="1" customWidth="1"/>
    <col min="778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2" width="9" style="2" bestFit="1"/>
    <col min="1033" max="1033" width="9.625" style="2" bestFit="1" customWidth="1"/>
    <col min="1034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8" width="9" style="2" bestFit="1"/>
    <col min="1289" max="1289" width="9.625" style="2" bestFit="1" customWidth="1"/>
    <col min="1290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4" width="9" style="2" bestFit="1"/>
    <col min="1545" max="1545" width="9.625" style="2" bestFit="1" customWidth="1"/>
    <col min="1546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0" width="9" style="2" bestFit="1"/>
    <col min="1801" max="1801" width="9.625" style="2" bestFit="1" customWidth="1"/>
    <col min="1802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6" width="9" style="2" bestFit="1"/>
    <col min="2057" max="2057" width="9.625" style="2" bestFit="1" customWidth="1"/>
    <col min="2058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2" width="9" style="2" bestFit="1"/>
    <col min="2313" max="2313" width="9.625" style="2" bestFit="1" customWidth="1"/>
    <col min="2314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8" width="9" style="2" bestFit="1"/>
    <col min="2569" max="2569" width="9.625" style="2" bestFit="1" customWidth="1"/>
    <col min="2570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4" width="9" style="2" bestFit="1"/>
    <col min="2825" max="2825" width="9.625" style="2" bestFit="1" customWidth="1"/>
    <col min="2826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0" width="9" style="2" bestFit="1"/>
    <col min="3081" max="3081" width="9.625" style="2" bestFit="1" customWidth="1"/>
    <col min="3082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6" width="9" style="2" bestFit="1"/>
    <col min="3337" max="3337" width="9.625" style="2" bestFit="1" customWidth="1"/>
    <col min="3338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2" width="9" style="2" bestFit="1"/>
    <col min="3593" max="3593" width="9.625" style="2" bestFit="1" customWidth="1"/>
    <col min="3594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8" width="9" style="2" bestFit="1"/>
    <col min="3849" max="3849" width="9.625" style="2" bestFit="1" customWidth="1"/>
    <col min="3850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4" width="9" style="2" bestFit="1"/>
    <col min="4105" max="4105" width="9.625" style="2" bestFit="1" customWidth="1"/>
    <col min="4106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0" width="9" style="2" bestFit="1"/>
    <col min="4361" max="4361" width="9.625" style="2" bestFit="1" customWidth="1"/>
    <col min="4362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6" width="9" style="2" bestFit="1"/>
    <col min="4617" max="4617" width="9.625" style="2" bestFit="1" customWidth="1"/>
    <col min="4618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2" width="9" style="2" bestFit="1"/>
    <col min="4873" max="4873" width="9.625" style="2" bestFit="1" customWidth="1"/>
    <col min="4874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8" width="9" style="2" bestFit="1"/>
    <col min="5129" max="5129" width="9.625" style="2" bestFit="1" customWidth="1"/>
    <col min="5130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4" width="9" style="2" bestFit="1"/>
    <col min="5385" max="5385" width="9.625" style="2" bestFit="1" customWidth="1"/>
    <col min="5386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0" width="9" style="2" bestFit="1"/>
    <col min="5641" max="5641" width="9.625" style="2" bestFit="1" customWidth="1"/>
    <col min="5642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6" width="9" style="2" bestFit="1"/>
    <col min="5897" max="5897" width="9.625" style="2" bestFit="1" customWidth="1"/>
    <col min="5898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2" width="9" style="2" bestFit="1"/>
    <col min="6153" max="6153" width="9.625" style="2" bestFit="1" customWidth="1"/>
    <col min="6154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8" width="9" style="2" bestFit="1"/>
    <col min="6409" max="6409" width="9.625" style="2" bestFit="1" customWidth="1"/>
    <col min="6410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4" width="9" style="2" bestFit="1"/>
    <col min="6665" max="6665" width="9.625" style="2" bestFit="1" customWidth="1"/>
    <col min="6666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0" width="9" style="2" bestFit="1"/>
    <col min="6921" max="6921" width="9.625" style="2" bestFit="1" customWidth="1"/>
    <col min="6922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6" width="9" style="2" bestFit="1"/>
    <col min="7177" max="7177" width="9.625" style="2" bestFit="1" customWidth="1"/>
    <col min="7178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2" width="9" style="2" bestFit="1"/>
    <col min="7433" max="7433" width="9.625" style="2" bestFit="1" customWidth="1"/>
    <col min="7434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8" width="9" style="2" bestFit="1"/>
    <col min="7689" max="7689" width="9.625" style="2" bestFit="1" customWidth="1"/>
    <col min="7690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4" width="9" style="2" bestFit="1"/>
    <col min="7945" max="7945" width="9.625" style="2" bestFit="1" customWidth="1"/>
    <col min="7946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0" width="9" style="2" bestFit="1"/>
    <col min="8201" max="8201" width="9.625" style="2" bestFit="1" customWidth="1"/>
    <col min="8202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6" width="9" style="2" bestFit="1"/>
    <col min="8457" max="8457" width="9.625" style="2" bestFit="1" customWidth="1"/>
    <col min="8458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2" width="9" style="2" bestFit="1"/>
    <col min="8713" max="8713" width="9.625" style="2" bestFit="1" customWidth="1"/>
    <col min="8714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8" width="9" style="2" bestFit="1"/>
    <col min="8969" max="8969" width="9.625" style="2" bestFit="1" customWidth="1"/>
    <col min="8970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4" width="9" style="2" bestFit="1"/>
    <col min="9225" max="9225" width="9.625" style="2" bestFit="1" customWidth="1"/>
    <col min="9226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0" width="9" style="2" bestFit="1"/>
    <col min="9481" max="9481" width="9.625" style="2" bestFit="1" customWidth="1"/>
    <col min="9482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6" width="9" style="2" bestFit="1"/>
    <col min="9737" max="9737" width="9.625" style="2" bestFit="1" customWidth="1"/>
    <col min="9738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2" width="9" style="2" bestFit="1"/>
    <col min="9993" max="9993" width="9.625" style="2" bestFit="1" customWidth="1"/>
    <col min="9994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8" width="9" style="2" bestFit="1"/>
    <col min="10249" max="10249" width="9.625" style="2" bestFit="1" customWidth="1"/>
    <col min="10250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4" width="9" style="2" bestFit="1"/>
    <col min="10505" max="10505" width="9.625" style="2" bestFit="1" customWidth="1"/>
    <col min="10506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0" width="9" style="2" bestFit="1"/>
    <col min="10761" max="10761" width="9.625" style="2" bestFit="1" customWidth="1"/>
    <col min="10762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6" width="9" style="2" bestFit="1"/>
    <col min="11017" max="11017" width="9.625" style="2" bestFit="1" customWidth="1"/>
    <col min="11018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2" width="9" style="2" bestFit="1"/>
    <col min="11273" max="11273" width="9.625" style="2" bestFit="1" customWidth="1"/>
    <col min="11274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8" width="9" style="2" bestFit="1"/>
    <col min="11529" max="11529" width="9.625" style="2" bestFit="1" customWidth="1"/>
    <col min="11530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4" width="9" style="2" bestFit="1"/>
    <col min="11785" max="11785" width="9.625" style="2" bestFit="1" customWidth="1"/>
    <col min="11786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0" width="9" style="2" bestFit="1"/>
    <col min="12041" max="12041" width="9.625" style="2" bestFit="1" customWidth="1"/>
    <col min="12042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6" width="9" style="2" bestFit="1"/>
    <col min="12297" max="12297" width="9.625" style="2" bestFit="1" customWidth="1"/>
    <col min="12298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2" width="9" style="2" bestFit="1"/>
    <col min="12553" max="12553" width="9.625" style="2" bestFit="1" customWidth="1"/>
    <col min="12554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8" width="9" style="2" bestFit="1"/>
    <col min="12809" max="12809" width="9.625" style="2" bestFit="1" customWidth="1"/>
    <col min="12810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4" width="9" style="2" bestFit="1"/>
    <col min="13065" max="13065" width="9.625" style="2" bestFit="1" customWidth="1"/>
    <col min="13066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0" width="9" style="2" bestFit="1"/>
    <col min="13321" max="13321" width="9.625" style="2" bestFit="1" customWidth="1"/>
    <col min="13322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6" width="9" style="2" bestFit="1"/>
    <col min="13577" max="13577" width="9.625" style="2" bestFit="1" customWidth="1"/>
    <col min="13578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2" width="9" style="2" bestFit="1"/>
    <col min="13833" max="13833" width="9.625" style="2" bestFit="1" customWidth="1"/>
    <col min="13834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8" width="9" style="2" bestFit="1"/>
    <col min="14089" max="14089" width="9.625" style="2" bestFit="1" customWidth="1"/>
    <col min="14090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4" width="9" style="2" bestFit="1"/>
    <col min="14345" max="14345" width="9.625" style="2" bestFit="1" customWidth="1"/>
    <col min="14346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0" width="9" style="2" bestFit="1"/>
    <col min="14601" max="14601" width="9.625" style="2" bestFit="1" customWidth="1"/>
    <col min="14602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6" width="9" style="2" bestFit="1"/>
    <col min="14857" max="14857" width="9.625" style="2" bestFit="1" customWidth="1"/>
    <col min="14858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2" width="9" style="2" bestFit="1"/>
    <col min="15113" max="15113" width="9.625" style="2" bestFit="1" customWidth="1"/>
    <col min="15114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8" width="9" style="2" bestFit="1"/>
    <col min="15369" max="15369" width="9.625" style="2" bestFit="1" customWidth="1"/>
    <col min="15370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4" width="9" style="2" bestFit="1"/>
    <col min="15625" max="15625" width="9.625" style="2" bestFit="1" customWidth="1"/>
    <col min="15626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0" width="9" style="2" bestFit="1"/>
    <col min="15881" max="15881" width="9.625" style="2" bestFit="1" customWidth="1"/>
    <col min="15882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6" width="9" style="2" bestFit="1"/>
    <col min="16137" max="16137" width="9.625" style="2" bestFit="1" customWidth="1"/>
    <col min="16138" max="16384" width="9" style="2"/>
  </cols>
  <sheetData>
    <row r="1" spans="1:9">
      <c r="A1" s="1" t="s">
        <v>0</v>
      </c>
    </row>
    <row r="2" spans="1:9">
      <c r="A2" s="1"/>
    </row>
    <row r="3" spans="1:9">
      <c r="A3" s="1" t="s">
        <v>1</v>
      </c>
    </row>
    <row r="4" spans="1:9">
      <c r="A4" s="1" t="s">
        <v>2</v>
      </c>
    </row>
    <row r="5" spans="1:9">
      <c r="A5" s="1" t="s">
        <v>3</v>
      </c>
    </row>
    <row r="6" spans="1:9" ht="19.5" thickBot="1">
      <c r="A6" s="1" t="s">
        <v>51</v>
      </c>
    </row>
    <row r="7" spans="1:9">
      <c r="B7" s="15"/>
      <c r="C7" s="24" t="s">
        <v>4</v>
      </c>
      <c r="D7" s="4" t="s">
        <v>5</v>
      </c>
      <c r="E7" s="25" t="s">
        <v>7</v>
      </c>
      <c r="F7" s="60" t="s">
        <v>52</v>
      </c>
      <c r="G7" s="4" t="s">
        <v>6</v>
      </c>
      <c r="H7" s="60" t="s">
        <v>52</v>
      </c>
      <c r="I7" s="18" t="s">
        <v>13</v>
      </c>
    </row>
    <row r="8" spans="1:9" ht="19.5" thickBot="1">
      <c r="A8" s="3"/>
      <c r="B8" s="36" t="s">
        <v>8</v>
      </c>
      <c r="C8" s="37" t="s">
        <v>9</v>
      </c>
      <c r="D8" s="38" t="s">
        <v>10</v>
      </c>
      <c r="E8" s="39" t="s">
        <v>12</v>
      </c>
      <c r="F8" s="40" t="s">
        <v>53</v>
      </c>
      <c r="G8" s="38" t="s">
        <v>11</v>
      </c>
      <c r="H8" s="40" t="s">
        <v>54</v>
      </c>
      <c r="I8" s="40" t="s">
        <v>55</v>
      </c>
    </row>
    <row r="9" spans="1:9">
      <c r="A9" s="1" t="s">
        <v>3</v>
      </c>
      <c r="B9" s="31" t="s">
        <v>14</v>
      </c>
      <c r="C9" s="32">
        <v>19</v>
      </c>
      <c r="D9" s="33">
        <v>19</v>
      </c>
      <c r="E9" s="34">
        <v>19</v>
      </c>
      <c r="F9" s="35">
        <f>SUM(C9:E9)</f>
        <v>57</v>
      </c>
      <c r="G9" s="33">
        <v>20</v>
      </c>
      <c r="H9" s="35">
        <f>G9</f>
        <v>20</v>
      </c>
      <c r="I9" s="35">
        <f>F9+H9</f>
        <v>77</v>
      </c>
    </row>
    <row r="10" spans="1:9">
      <c r="A10" s="1" t="s">
        <v>3</v>
      </c>
      <c r="B10" s="16" t="s">
        <v>15</v>
      </c>
      <c r="C10" s="26">
        <v>2</v>
      </c>
      <c r="D10" s="5">
        <v>1</v>
      </c>
      <c r="E10" s="6">
        <v>1</v>
      </c>
      <c r="F10" s="19">
        <f>SUM(C10:E10)</f>
        <v>4</v>
      </c>
      <c r="G10" s="5">
        <v>0</v>
      </c>
      <c r="H10" s="19">
        <f t="shared" ref="H10:H16" si="0">G10</f>
        <v>0</v>
      </c>
      <c r="I10" s="19">
        <f t="shared" ref="I10:I16" si="1">F10+H10</f>
        <v>4</v>
      </c>
    </row>
    <row r="11" spans="1:9">
      <c r="A11" s="1" t="s">
        <v>3</v>
      </c>
      <c r="B11" s="16" t="s">
        <v>16</v>
      </c>
      <c r="C11" s="26">
        <v>0</v>
      </c>
      <c r="D11" s="5">
        <v>0</v>
      </c>
      <c r="E11" s="6">
        <v>1</v>
      </c>
      <c r="F11" s="19">
        <f>SUM(C11:E11)</f>
        <v>1</v>
      </c>
      <c r="G11" s="5">
        <v>0</v>
      </c>
      <c r="H11" s="19">
        <f t="shared" si="0"/>
        <v>0</v>
      </c>
      <c r="I11" s="19">
        <f t="shared" si="1"/>
        <v>1</v>
      </c>
    </row>
    <row r="12" spans="1:9">
      <c r="A12" s="1" t="s">
        <v>3</v>
      </c>
      <c r="B12" s="16" t="s">
        <v>17</v>
      </c>
      <c r="C12" s="26">
        <v>1</v>
      </c>
      <c r="D12" s="5">
        <v>1</v>
      </c>
      <c r="E12" s="6">
        <v>0</v>
      </c>
      <c r="F12" s="19">
        <f>SUM(C12:E12)</f>
        <v>2</v>
      </c>
      <c r="G12" s="5">
        <v>0</v>
      </c>
      <c r="H12" s="19">
        <f t="shared" si="0"/>
        <v>0</v>
      </c>
      <c r="I12" s="19">
        <f t="shared" si="1"/>
        <v>2</v>
      </c>
    </row>
    <row r="13" spans="1:9">
      <c r="A13" s="1" t="s">
        <v>3</v>
      </c>
      <c r="B13" s="16" t="s">
        <v>18</v>
      </c>
      <c r="C13" s="27">
        <v>0.95833333333333337</v>
      </c>
      <c r="D13" s="7">
        <v>1.8333333333333335</v>
      </c>
      <c r="E13" s="8">
        <v>1.375</v>
      </c>
      <c r="F13" s="20">
        <f>SUM(C13:E13)</f>
        <v>4.166666666666667</v>
      </c>
      <c r="G13" s="7">
        <v>0</v>
      </c>
      <c r="H13" s="20">
        <f t="shared" si="0"/>
        <v>0</v>
      </c>
      <c r="I13" s="20">
        <f t="shared" si="1"/>
        <v>4.166666666666667</v>
      </c>
    </row>
    <row r="14" spans="1:9">
      <c r="A14" s="1" t="s">
        <v>3</v>
      </c>
      <c r="B14" s="16" t="s">
        <v>19</v>
      </c>
      <c r="C14" s="27">
        <v>0.25</v>
      </c>
      <c r="D14" s="7">
        <v>8.3333333333333329E-2</v>
      </c>
      <c r="E14" s="8">
        <v>0</v>
      </c>
      <c r="F14" s="20">
        <f>SUM(C14:E14)</f>
        <v>0.33333333333333331</v>
      </c>
      <c r="G14" s="7">
        <v>0</v>
      </c>
      <c r="H14" s="20">
        <f t="shared" si="0"/>
        <v>0</v>
      </c>
      <c r="I14" s="20">
        <f t="shared" si="1"/>
        <v>0.33333333333333331</v>
      </c>
    </row>
    <row r="15" spans="1:9">
      <c r="A15" s="1" t="s">
        <v>3</v>
      </c>
      <c r="B15" s="16" t="s">
        <v>20</v>
      </c>
      <c r="C15" s="27">
        <v>0</v>
      </c>
      <c r="D15" s="7">
        <v>0</v>
      </c>
      <c r="E15" s="8">
        <v>8.3333333333333329E-2</v>
      </c>
      <c r="F15" s="20">
        <f>SUM(C15:E15)</f>
        <v>8.3333333333333329E-2</v>
      </c>
      <c r="G15" s="7">
        <v>0</v>
      </c>
      <c r="H15" s="20">
        <f t="shared" si="0"/>
        <v>0</v>
      </c>
      <c r="I15" s="20">
        <f t="shared" si="1"/>
        <v>8.3333333333333329E-2</v>
      </c>
    </row>
    <row r="16" spans="1:9">
      <c r="A16" s="1" t="s">
        <v>3</v>
      </c>
      <c r="B16" s="16" t="s">
        <v>21</v>
      </c>
      <c r="C16" s="27">
        <v>0.16666666666666666</v>
      </c>
      <c r="D16" s="7">
        <v>8.3333333333333329E-2</v>
      </c>
      <c r="E16" s="8">
        <v>0.29166666666666669</v>
      </c>
      <c r="F16" s="20">
        <f>SUM(C16:E16)</f>
        <v>0.54166666666666674</v>
      </c>
      <c r="G16" s="7">
        <v>0</v>
      </c>
      <c r="H16" s="20">
        <f t="shared" si="0"/>
        <v>0</v>
      </c>
      <c r="I16" s="20">
        <f t="shared" si="1"/>
        <v>0.54166666666666674</v>
      </c>
    </row>
    <row r="17" spans="1:9">
      <c r="A17" s="1" t="s">
        <v>3</v>
      </c>
      <c r="B17" s="45" t="s">
        <v>22</v>
      </c>
      <c r="C17" s="46">
        <v>39</v>
      </c>
      <c r="D17" s="47">
        <v>39</v>
      </c>
      <c r="E17" s="48">
        <v>13</v>
      </c>
      <c r="F17" s="49"/>
      <c r="G17" s="47">
        <v>38</v>
      </c>
      <c r="H17" s="49"/>
      <c r="I17" s="49"/>
    </row>
    <row r="18" spans="1:9">
      <c r="A18" s="1" t="s">
        <v>3</v>
      </c>
      <c r="B18" s="31" t="s">
        <v>23</v>
      </c>
      <c r="C18" s="41">
        <v>187000</v>
      </c>
      <c r="D18" s="42">
        <v>192000</v>
      </c>
      <c r="E18" s="43">
        <v>192000</v>
      </c>
      <c r="F18" s="44">
        <f>SUM(C18:E18)</f>
        <v>571000</v>
      </c>
      <c r="G18" s="42">
        <v>370000</v>
      </c>
      <c r="H18" s="44">
        <f t="shared" ref="H18:H43" si="2">G18</f>
        <v>370000</v>
      </c>
      <c r="I18" s="44">
        <f t="shared" ref="I18:I43" si="3">F18+H18</f>
        <v>941000</v>
      </c>
    </row>
    <row r="19" spans="1:9">
      <c r="A19" s="1" t="s">
        <v>3</v>
      </c>
      <c r="B19" s="16" t="s">
        <v>24</v>
      </c>
      <c r="C19" s="28">
        <v>5000</v>
      </c>
      <c r="D19" s="9">
        <v>0</v>
      </c>
      <c r="E19" s="10">
        <v>0</v>
      </c>
      <c r="F19" s="21">
        <f>SUM(C19:E19)</f>
        <v>5000</v>
      </c>
      <c r="G19" s="9">
        <v>0</v>
      </c>
      <c r="H19" s="21">
        <f t="shared" si="2"/>
        <v>0</v>
      </c>
      <c r="I19" s="21">
        <f t="shared" si="3"/>
        <v>5000</v>
      </c>
    </row>
    <row r="20" spans="1:9">
      <c r="A20" s="1" t="s">
        <v>3</v>
      </c>
      <c r="B20" s="16" t="s">
        <v>25</v>
      </c>
      <c r="C20" s="28">
        <v>0</v>
      </c>
      <c r="D20" s="9">
        <v>3000</v>
      </c>
      <c r="E20" s="10">
        <v>15000</v>
      </c>
      <c r="F20" s="21">
        <f>SUM(C20:E20)</f>
        <v>18000</v>
      </c>
      <c r="G20" s="9">
        <v>0</v>
      </c>
      <c r="H20" s="21">
        <f t="shared" si="2"/>
        <v>0</v>
      </c>
      <c r="I20" s="21">
        <f t="shared" si="3"/>
        <v>18000</v>
      </c>
    </row>
    <row r="21" spans="1:9">
      <c r="A21" s="1" t="s">
        <v>3</v>
      </c>
      <c r="B21" s="16" t="s">
        <v>26</v>
      </c>
      <c r="C21" s="28">
        <v>50000</v>
      </c>
      <c r="D21" s="9">
        <v>50000</v>
      </c>
      <c r="E21" s="10">
        <v>50000</v>
      </c>
      <c r="F21" s="21">
        <f>SUM(C21:E21)</f>
        <v>150000</v>
      </c>
      <c r="G21" s="9">
        <v>50000</v>
      </c>
      <c r="H21" s="21">
        <f t="shared" si="2"/>
        <v>50000</v>
      </c>
      <c r="I21" s="21">
        <f t="shared" si="3"/>
        <v>200000</v>
      </c>
    </row>
    <row r="22" spans="1:9">
      <c r="A22" s="1" t="s">
        <v>3</v>
      </c>
      <c r="B22" s="16" t="s">
        <v>27</v>
      </c>
      <c r="C22" s="28">
        <v>0</v>
      </c>
      <c r="D22" s="9">
        <v>0</v>
      </c>
      <c r="E22" s="10">
        <v>73975</v>
      </c>
      <c r="F22" s="21">
        <f>SUM(C22:E22)</f>
        <v>73975</v>
      </c>
      <c r="G22" s="9">
        <v>0</v>
      </c>
      <c r="H22" s="21">
        <f t="shared" si="2"/>
        <v>0</v>
      </c>
      <c r="I22" s="21">
        <f t="shared" si="3"/>
        <v>73975</v>
      </c>
    </row>
    <row r="23" spans="1:9">
      <c r="A23" s="1" t="s">
        <v>3</v>
      </c>
      <c r="B23" s="16" t="s">
        <v>28</v>
      </c>
      <c r="C23" s="28">
        <v>3500</v>
      </c>
      <c r="D23" s="9">
        <v>3500</v>
      </c>
      <c r="E23" s="10">
        <v>0</v>
      </c>
      <c r="F23" s="21">
        <f>SUM(C23:E23)</f>
        <v>7000</v>
      </c>
      <c r="G23" s="9">
        <v>0</v>
      </c>
      <c r="H23" s="21">
        <f t="shared" si="2"/>
        <v>0</v>
      </c>
      <c r="I23" s="21">
        <f t="shared" si="3"/>
        <v>7000</v>
      </c>
    </row>
    <row r="24" spans="1:9">
      <c r="A24" s="1" t="s">
        <v>3</v>
      </c>
      <c r="B24" s="16" t="s">
        <v>29</v>
      </c>
      <c r="C24" s="28">
        <v>0</v>
      </c>
      <c r="D24" s="9">
        <v>13000</v>
      </c>
      <c r="E24" s="10">
        <v>13000</v>
      </c>
      <c r="F24" s="21">
        <f>SUM(C24:E24)</f>
        <v>26000</v>
      </c>
      <c r="G24" s="9">
        <v>0</v>
      </c>
      <c r="H24" s="21">
        <f t="shared" si="2"/>
        <v>0</v>
      </c>
      <c r="I24" s="21">
        <f t="shared" si="3"/>
        <v>26000</v>
      </c>
    </row>
    <row r="25" spans="1:9">
      <c r="A25" s="1" t="s">
        <v>3</v>
      </c>
      <c r="B25" s="16" t="s">
        <v>18</v>
      </c>
      <c r="C25" s="28">
        <v>42274</v>
      </c>
      <c r="D25" s="9">
        <v>86152</v>
      </c>
      <c r="E25" s="10">
        <v>66693</v>
      </c>
      <c r="F25" s="21">
        <f>SUM(C25:E25)</f>
        <v>195119</v>
      </c>
      <c r="G25" s="9">
        <v>0</v>
      </c>
      <c r="H25" s="21">
        <f t="shared" si="2"/>
        <v>0</v>
      </c>
      <c r="I25" s="21">
        <f t="shared" si="3"/>
        <v>195119</v>
      </c>
    </row>
    <row r="26" spans="1:9">
      <c r="A26" s="1" t="s">
        <v>3</v>
      </c>
      <c r="B26" s="16" t="s">
        <v>30</v>
      </c>
      <c r="C26" s="28">
        <v>11910</v>
      </c>
      <c r="D26" s="9">
        <v>4228</v>
      </c>
      <c r="E26" s="10">
        <v>0</v>
      </c>
      <c r="F26" s="21">
        <f>SUM(C26:E26)</f>
        <v>16138</v>
      </c>
      <c r="G26" s="9">
        <v>0</v>
      </c>
      <c r="H26" s="21">
        <f t="shared" si="2"/>
        <v>0</v>
      </c>
      <c r="I26" s="21">
        <f t="shared" si="3"/>
        <v>16138</v>
      </c>
    </row>
    <row r="27" spans="1:9">
      <c r="A27" s="1" t="s">
        <v>3</v>
      </c>
      <c r="B27" s="16" t="s">
        <v>31</v>
      </c>
      <c r="C27" s="28">
        <v>0</v>
      </c>
      <c r="D27" s="9">
        <v>0</v>
      </c>
      <c r="E27" s="10">
        <v>1132</v>
      </c>
      <c r="F27" s="21">
        <f>SUM(C27:E27)</f>
        <v>1132</v>
      </c>
      <c r="G27" s="9">
        <v>0</v>
      </c>
      <c r="H27" s="21">
        <f t="shared" si="2"/>
        <v>0</v>
      </c>
      <c r="I27" s="21">
        <f t="shared" si="3"/>
        <v>1132</v>
      </c>
    </row>
    <row r="28" spans="1:9">
      <c r="A28" s="1" t="s">
        <v>3</v>
      </c>
      <c r="B28" s="50" t="s">
        <v>21</v>
      </c>
      <c r="C28" s="51">
        <v>1472</v>
      </c>
      <c r="D28" s="52">
        <v>784</v>
      </c>
      <c r="E28" s="53">
        <v>2828</v>
      </c>
      <c r="F28" s="54">
        <f>SUM(C28:E28)</f>
        <v>5084</v>
      </c>
      <c r="G28" s="52">
        <v>0</v>
      </c>
      <c r="H28" s="54">
        <f t="shared" si="2"/>
        <v>0</v>
      </c>
      <c r="I28" s="54">
        <f t="shared" si="3"/>
        <v>5084</v>
      </c>
    </row>
    <row r="29" spans="1:9">
      <c r="A29" s="1" t="s">
        <v>3</v>
      </c>
      <c r="B29" s="55" t="s">
        <v>32</v>
      </c>
      <c r="C29" s="56">
        <v>301156</v>
      </c>
      <c r="D29" s="57">
        <v>352664</v>
      </c>
      <c r="E29" s="58">
        <v>414628</v>
      </c>
      <c r="F29" s="59">
        <f>SUM(C29:E29)</f>
        <v>1068448</v>
      </c>
      <c r="G29" s="57">
        <v>420000</v>
      </c>
      <c r="H29" s="59">
        <f t="shared" si="2"/>
        <v>420000</v>
      </c>
      <c r="I29" s="59">
        <f t="shared" si="3"/>
        <v>1488448</v>
      </c>
    </row>
    <row r="30" spans="1:9">
      <c r="A30" s="1" t="s">
        <v>3</v>
      </c>
      <c r="B30" s="55" t="s">
        <v>33</v>
      </c>
      <c r="C30" s="56">
        <v>0</v>
      </c>
      <c r="D30" s="57">
        <v>1656</v>
      </c>
      <c r="E30" s="58">
        <v>8828</v>
      </c>
      <c r="F30" s="59">
        <f>SUM(C30:E30)</f>
        <v>10484</v>
      </c>
      <c r="G30" s="57">
        <v>11007</v>
      </c>
      <c r="H30" s="59">
        <f t="shared" si="2"/>
        <v>11007</v>
      </c>
      <c r="I30" s="59">
        <f t="shared" si="3"/>
        <v>21491</v>
      </c>
    </row>
    <row r="31" spans="1:9">
      <c r="A31" s="1" t="s">
        <v>3</v>
      </c>
      <c r="B31" s="55" t="s">
        <v>34</v>
      </c>
      <c r="C31" s="56">
        <v>0</v>
      </c>
      <c r="D31" s="57">
        <v>1656</v>
      </c>
      <c r="E31" s="58">
        <v>8828</v>
      </c>
      <c r="F31" s="59">
        <f>SUM(C31:E31)</f>
        <v>10484</v>
      </c>
      <c r="G31" s="57">
        <v>11007</v>
      </c>
      <c r="H31" s="59">
        <f t="shared" si="2"/>
        <v>11007</v>
      </c>
      <c r="I31" s="59">
        <f t="shared" si="3"/>
        <v>21491</v>
      </c>
    </row>
    <row r="32" spans="1:9">
      <c r="A32" s="1" t="s">
        <v>3</v>
      </c>
      <c r="B32" s="55" t="s">
        <v>35</v>
      </c>
      <c r="C32" s="56">
        <v>301156</v>
      </c>
      <c r="D32" s="57">
        <v>354320</v>
      </c>
      <c r="E32" s="58">
        <v>423456</v>
      </c>
      <c r="F32" s="59">
        <f>SUM(C32:E32)</f>
        <v>1078932</v>
      </c>
      <c r="G32" s="57">
        <v>431007</v>
      </c>
      <c r="H32" s="59">
        <f t="shared" si="2"/>
        <v>431007</v>
      </c>
      <c r="I32" s="59">
        <f t="shared" si="3"/>
        <v>1509939</v>
      </c>
    </row>
    <row r="33" spans="1:9">
      <c r="A33" s="1" t="s">
        <v>3</v>
      </c>
      <c r="B33" s="31" t="s">
        <v>36</v>
      </c>
      <c r="C33" s="41">
        <v>18360</v>
      </c>
      <c r="D33" s="42">
        <v>18360</v>
      </c>
      <c r="E33" s="43">
        <v>20910</v>
      </c>
      <c r="F33" s="44">
        <f>SUM(C33:E33)</f>
        <v>57630</v>
      </c>
      <c r="G33" s="42">
        <v>22440</v>
      </c>
      <c r="H33" s="44">
        <f t="shared" si="2"/>
        <v>22440</v>
      </c>
      <c r="I33" s="44">
        <f t="shared" si="3"/>
        <v>80070</v>
      </c>
    </row>
    <row r="34" spans="1:9">
      <c r="A34" s="1" t="s">
        <v>3</v>
      </c>
      <c r="B34" s="16" t="s">
        <v>37</v>
      </c>
      <c r="C34" s="28">
        <v>0</v>
      </c>
      <c r="D34" s="9">
        <v>3240</v>
      </c>
      <c r="E34" s="10">
        <v>3690</v>
      </c>
      <c r="F34" s="21">
        <f>SUM(C34:E34)</f>
        <v>6930</v>
      </c>
      <c r="G34" s="9">
        <v>3960</v>
      </c>
      <c r="H34" s="21">
        <f t="shared" si="2"/>
        <v>3960</v>
      </c>
      <c r="I34" s="21">
        <f t="shared" si="3"/>
        <v>10890</v>
      </c>
    </row>
    <row r="35" spans="1:9">
      <c r="A35" s="1" t="s">
        <v>3</v>
      </c>
      <c r="B35" s="16" t="s">
        <v>38</v>
      </c>
      <c r="C35" s="28">
        <v>32940</v>
      </c>
      <c r="D35" s="9">
        <v>32940</v>
      </c>
      <c r="E35" s="10">
        <v>37515</v>
      </c>
      <c r="F35" s="21">
        <f>SUM(C35:E35)</f>
        <v>103395</v>
      </c>
      <c r="G35" s="9">
        <v>40260</v>
      </c>
      <c r="H35" s="21">
        <f t="shared" si="2"/>
        <v>40260</v>
      </c>
      <c r="I35" s="21">
        <f t="shared" si="3"/>
        <v>143655</v>
      </c>
    </row>
    <row r="36" spans="1:9">
      <c r="A36" s="1" t="s">
        <v>3</v>
      </c>
      <c r="B36" s="50" t="s">
        <v>39</v>
      </c>
      <c r="C36" s="51">
        <v>1490</v>
      </c>
      <c r="D36" s="52">
        <v>1755</v>
      </c>
      <c r="E36" s="53">
        <v>2119</v>
      </c>
      <c r="F36" s="54">
        <f>SUM(C36:E36)</f>
        <v>5364</v>
      </c>
      <c r="G36" s="52">
        <v>2155</v>
      </c>
      <c r="H36" s="54">
        <f t="shared" si="2"/>
        <v>2155</v>
      </c>
      <c r="I36" s="54">
        <f t="shared" si="3"/>
        <v>7519</v>
      </c>
    </row>
    <row r="37" spans="1:9">
      <c r="A37" s="1" t="s">
        <v>3</v>
      </c>
      <c r="B37" s="55" t="s">
        <v>40</v>
      </c>
      <c r="C37" s="56">
        <v>52790</v>
      </c>
      <c r="D37" s="57">
        <v>56295</v>
      </c>
      <c r="E37" s="58">
        <v>64234</v>
      </c>
      <c r="F37" s="59">
        <f>SUM(C37:E37)</f>
        <v>173319</v>
      </c>
      <c r="G37" s="57">
        <v>68815</v>
      </c>
      <c r="H37" s="59">
        <f t="shared" si="2"/>
        <v>68815</v>
      </c>
      <c r="I37" s="59">
        <f t="shared" si="3"/>
        <v>242134</v>
      </c>
    </row>
    <row r="38" spans="1:9">
      <c r="A38" s="1" t="s">
        <v>3</v>
      </c>
      <c r="B38" s="31" t="s">
        <v>41</v>
      </c>
      <c r="C38" s="41">
        <v>4880</v>
      </c>
      <c r="D38" s="42">
        <v>8210</v>
      </c>
      <c r="E38" s="43">
        <v>12500</v>
      </c>
      <c r="F38" s="44">
        <f>SUM(C38:E38)</f>
        <v>25590</v>
      </c>
      <c r="G38" s="42">
        <v>12560</v>
      </c>
      <c r="H38" s="44">
        <f t="shared" si="2"/>
        <v>12560</v>
      </c>
      <c r="I38" s="44">
        <f t="shared" si="3"/>
        <v>38150</v>
      </c>
    </row>
    <row r="39" spans="1:9">
      <c r="A39" s="1" t="s">
        <v>3</v>
      </c>
      <c r="B39" s="50" t="s">
        <v>42</v>
      </c>
      <c r="C39" s="51">
        <v>15900</v>
      </c>
      <c r="D39" s="52">
        <v>20500</v>
      </c>
      <c r="E39" s="53">
        <v>16600</v>
      </c>
      <c r="F39" s="54">
        <f>SUM(C39:E39)</f>
        <v>53000</v>
      </c>
      <c r="G39" s="52">
        <v>20300</v>
      </c>
      <c r="H39" s="54">
        <f t="shared" si="2"/>
        <v>20300</v>
      </c>
      <c r="I39" s="54">
        <f t="shared" si="3"/>
        <v>73300</v>
      </c>
    </row>
    <row r="40" spans="1:9">
      <c r="A40" s="1" t="s">
        <v>3</v>
      </c>
      <c r="B40" s="55" t="s">
        <v>43</v>
      </c>
      <c r="C40" s="56">
        <v>73570</v>
      </c>
      <c r="D40" s="57">
        <v>85005</v>
      </c>
      <c r="E40" s="58">
        <v>93334</v>
      </c>
      <c r="F40" s="59">
        <f>SUM(C40:E40)</f>
        <v>251909</v>
      </c>
      <c r="G40" s="57">
        <v>101675</v>
      </c>
      <c r="H40" s="59">
        <f t="shared" si="2"/>
        <v>101675</v>
      </c>
      <c r="I40" s="59">
        <f t="shared" si="3"/>
        <v>353584</v>
      </c>
    </row>
    <row r="41" spans="1:9">
      <c r="A41" s="1" t="s">
        <v>3</v>
      </c>
      <c r="B41" s="55" t="s">
        <v>44</v>
      </c>
      <c r="C41" s="56">
        <v>248366</v>
      </c>
      <c r="D41" s="57">
        <v>296369</v>
      </c>
      <c r="E41" s="58">
        <v>350394</v>
      </c>
      <c r="F41" s="59">
        <f>SUM(C41:E41)</f>
        <v>895129</v>
      </c>
      <c r="G41" s="57">
        <v>351185</v>
      </c>
      <c r="H41" s="59">
        <f t="shared" si="2"/>
        <v>351185</v>
      </c>
      <c r="I41" s="59">
        <f t="shared" si="3"/>
        <v>1246314</v>
      </c>
    </row>
    <row r="42" spans="1:9">
      <c r="A42" s="1" t="s">
        <v>3</v>
      </c>
      <c r="B42" s="55" t="s">
        <v>45</v>
      </c>
      <c r="C42" s="56">
        <v>227586</v>
      </c>
      <c r="D42" s="57">
        <v>269315</v>
      </c>
      <c r="E42" s="58">
        <v>330122</v>
      </c>
      <c r="F42" s="59">
        <f>SUM(C42:E42)</f>
        <v>827023</v>
      </c>
      <c r="G42" s="57">
        <v>329332</v>
      </c>
      <c r="H42" s="59">
        <f t="shared" si="2"/>
        <v>329332</v>
      </c>
      <c r="I42" s="59">
        <f t="shared" si="3"/>
        <v>1156355</v>
      </c>
    </row>
    <row r="43" spans="1:9">
      <c r="A43" s="1" t="s">
        <v>3</v>
      </c>
      <c r="B43" s="55" t="s">
        <v>46</v>
      </c>
      <c r="C43" s="56">
        <v>227586</v>
      </c>
      <c r="D43" s="57">
        <v>269315</v>
      </c>
      <c r="E43" s="58">
        <v>330122</v>
      </c>
      <c r="F43" s="59">
        <f>SUM(C43:E43)</f>
        <v>827023</v>
      </c>
      <c r="G43" s="57">
        <v>329332</v>
      </c>
      <c r="H43" s="59">
        <f t="shared" si="2"/>
        <v>329332</v>
      </c>
      <c r="I43" s="59">
        <f t="shared" si="3"/>
        <v>1156355</v>
      </c>
    </row>
    <row r="44" spans="1:9">
      <c r="A44" s="1" t="s">
        <v>3</v>
      </c>
      <c r="B44" s="31" t="s">
        <v>47</v>
      </c>
      <c r="C44" s="41">
        <v>1</v>
      </c>
      <c r="D44" s="42">
        <v>0</v>
      </c>
      <c r="E44" s="43">
        <v>0</v>
      </c>
      <c r="F44" s="44"/>
      <c r="G44" s="42">
        <v>0</v>
      </c>
      <c r="H44" s="44"/>
      <c r="I44" s="44"/>
    </row>
    <row r="45" spans="1:9">
      <c r="A45" s="1" t="s">
        <v>3</v>
      </c>
      <c r="B45" s="16" t="s">
        <v>48</v>
      </c>
      <c r="C45" s="29" t="s">
        <v>49</v>
      </c>
      <c r="D45" s="11" t="s">
        <v>49</v>
      </c>
      <c r="E45" s="12" t="s">
        <v>49</v>
      </c>
      <c r="F45" s="22"/>
      <c r="G45" s="11" t="s">
        <v>49</v>
      </c>
      <c r="H45" s="22"/>
      <c r="I45" s="22"/>
    </row>
    <row r="46" spans="1:9" ht="19.5" thickBot="1">
      <c r="A46" s="1" t="s">
        <v>3</v>
      </c>
      <c r="B46" s="17" t="s">
        <v>50</v>
      </c>
      <c r="C46" s="30">
        <v>4880</v>
      </c>
      <c r="D46" s="13">
        <v>8210</v>
      </c>
      <c r="E46" s="14">
        <v>12500</v>
      </c>
      <c r="F46" s="23">
        <f>SUM(C46:E46)</f>
        <v>25590</v>
      </c>
      <c r="G46" s="13">
        <v>12560</v>
      </c>
      <c r="H46" s="23">
        <f>G46</f>
        <v>12560</v>
      </c>
      <c r="I46" s="23">
        <f>F46+H46</f>
        <v>38150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6月度給与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2025-06-09T04:32:34Z</dcterms:created>
  <dcterms:modified xsi:type="dcterms:W3CDTF">2025-06-09T07:36:00Z</dcterms:modified>
</cp:coreProperties>
</file>