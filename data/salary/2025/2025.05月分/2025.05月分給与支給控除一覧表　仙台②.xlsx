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.05月分\"/>
    </mc:Choice>
  </mc:AlternateContent>
  <xr:revisionPtr revIDLastSave="0" documentId="13_ncr:1_{7E50FEA1-DCC6-4C0D-B2E5-41BEC15CCEAE}" xr6:coauthVersionLast="47" xr6:coauthVersionMax="47" xr10:uidLastSave="{00000000-0000-0000-0000-000000000000}"/>
  <bookViews>
    <workbookView xWindow="-120" yWindow="-120" windowWidth="20730" windowHeight="11160" xr2:uid="{C8AB849E-7D53-4F56-8FDB-C409953B44C0}"/>
  </bookViews>
  <sheets>
    <sheet name="2025年 6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1" i="2" l="1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0" i="2"/>
  <c r="O19" i="2"/>
  <c r="O18" i="2"/>
  <c r="O17" i="2"/>
  <c r="O16" i="2"/>
  <c r="O15" i="2"/>
  <c r="O14" i="2"/>
  <c r="O13" i="2"/>
  <c r="O12" i="2"/>
  <c r="O11" i="2"/>
  <c r="O10" i="2"/>
  <c r="O9" i="2"/>
  <c r="N51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0" i="2"/>
  <c r="N19" i="2"/>
  <c r="N18" i="2"/>
  <c r="N17" i="2"/>
  <c r="N16" i="2"/>
  <c r="N15" i="2"/>
  <c r="N14" i="2"/>
  <c r="N13" i="2"/>
  <c r="N12" i="2"/>
  <c r="N11" i="2"/>
  <c r="N10" i="2"/>
  <c r="N9" i="2"/>
  <c r="F51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0" i="2"/>
  <c r="F19" i="2"/>
  <c r="F18" i="2"/>
  <c r="F17" i="2"/>
  <c r="F16" i="2"/>
  <c r="F15" i="2"/>
  <c r="F14" i="2"/>
  <c r="F13" i="2"/>
  <c r="F12" i="2"/>
  <c r="F11" i="2"/>
  <c r="F10" i="2"/>
  <c r="F9" i="2"/>
</calcChain>
</file>

<file path=xl/sharedStrings.xml><?xml version="1.0" encoding="utf-8"?>
<sst xmlns="http://schemas.openxmlformats.org/spreadsheetml/2006/main" count="128" uniqueCount="72">
  <si>
    <t>支給控除一覧表</t>
    <phoneticPr fontId="4"/>
  </si>
  <si>
    <t>若林運送株式会社</t>
    <phoneticPr fontId="4"/>
  </si>
  <si>
    <t>2025年 6月 9日 作成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</si>
  <si>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</si>
  <si>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</si>
  <si>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</si>
  <si>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</si>
  <si>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</si>
  <si>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</si>
  <si>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</si>
  <si>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</si>
  <si>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</si>
  <si>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1117</t>
    <phoneticPr fontId="4"/>
  </si>
  <si>
    <t>1202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</si>
  <si>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</si>
  <si>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</si>
  <si>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</si>
  <si>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</si>
  <si>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</si>
  <si>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佐藤　ゆうこ</t>
    <phoneticPr fontId="4"/>
  </si>
  <si>
    <t>佐藤　禎尚</t>
    <phoneticPr fontId="4"/>
  </si>
  <si>
    <t>土谷　栄</t>
    <phoneticPr fontId="4"/>
  </si>
  <si>
    <t>小田島　健司</t>
    <phoneticPr fontId="4"/>
  </si>
  <si>
    <t>白井　博</t>
    <phoneticPr fontId="4"/>
  </si>
  <si>
    <t>鈴木　大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</si>
  <si>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</si>
  <si>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</si>
  <si>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</si>
  <si>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</si>
  <si>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</si>
  <si>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</si>
  <si>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</si>
  <si>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</si>
  <si>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</si>
  <si>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</si>
  <si>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</si>
  <si>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</si>
  <si>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</si>
  <si>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</si>
  <si>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</si>
  <si>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</si>
  <si>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</si>
  <si>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</si>
  <si>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</si>
  <si>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</si>
  <si>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</si>
  <si>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</si>
  <si>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</si>
  <si>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</si>
  <si>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</si>
  <si>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</si>
  <si>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</si>
  <si>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</si>
  <si>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</si>
  <si>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</si>
  <si>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</si>
  <si>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</si>
  <si>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</si>
  <si>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</si>
  <si>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</si>
  <si>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</si>
  <si>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</si>
  <si>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</si>
  <si>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</si>
  <si>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</si>
  <si>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</si>
  <si>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</si>
  <si>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 5月度給与</t>
    <phoneticPr fontId="4"/>
  </si>
  <si>
    <t>小計</t>
    <rPh sb="0" eb="2">
      <t>ショウケイ</t>
    </rPh>
    <phoneticPr fontId="3"/>
  </si>
  <si>
    <t>3名</t>
    <rPh sb="1" eb="2">
      <t>メイ</t>
    </rPh>
    <phoneticPr fontId="4"/>
  </si>
  <si>
    <t>7名</t>
    <rPh sb="1" eb="2">
      <t>メイ</t>
    </rPh>
    <phoneticPr fontId="4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</si>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</sst>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0" fontId="2" fillId="0" borderId="14" xfId="1" applyFont="1" applyBorder="1" applyAlignment="1">
      <alignment horizontal="center"/>
    </xf>
  </cellXfs>
  <cellStyles count="2">
    <cellStyle name="標準" xfId="0" builtinId="0"/>
    <cellStyle name="標準 2" xfId="1" xr:uid="{70DD5B57-55B6-427C-A85B-5D45836641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D1038-B166-43C0-923B-2222D77FD1AF}">
  <dimension ref="A1:O51"/>
  <sheetViews>
    <sheetView showZeros="0" tabSelected="1" zoomScaleNormal="100" workbookViewId="0">
      <pane xSplit="2" ySplit="8" topLeftCell="C39" activePane="bottomRight" state="frozen"/>
      <selection pane="topRight" activeCell="C1" sqref="C1"/>
      <selection pane="bottomLeft" activeCell="A9" sqref="A9"/>
      <selection pane="bottomRight" activeCell="N41" sqref="N4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13.25" style="2" bestFit="1" customWidth="1"/>
    <col min="6" max="6" width="9.625" style="2" bestFit="1" customWidth="1"/>
    <col min="7" max="8" width="9" style="2" bestFit="1" customWidth="1"/>
    <col min="9" max="9" width="11.125" style="2" bestFit="1" customWidth="1"/>
    <col min="10" max="10" width="9" style="2" bestFit="1" customWidth="1"/>
    <col min="11" max="11" width="13.25" style="2" bestFit="1" customWidth="1"/>
    <col min="12" max="13" width="9" style="2" bestFit="1" customWidth="1"/>
    <col min="14" max="15" width="9.625" style="2" bestFit="1" customWidth="1"/>
    <col min="16" max="258" width="9" style="2"/>
    <col min="259" max="259" width="2.375" style="2" customWidth="1"/>
    <col min="260" max="260" width="13.25" style="2" bestFit="1" customWidth="1"/>
    <col min="261" max="262" width="9" style="2" bestFit="1"/>
    <col min="263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 bestFit="1"/>
    <col min="268" max="268" width="13.25" style="2" bestFit="1" customWidth="1"/>
    <col min="269" max="270" width="9" style="2" bestFit="1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8" width="9" style="2" bestFit="1"/>
    <col min="519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 bestFit="1"/>
    <col min="524" max="524" width="13.25" style="2" bestFit="1" customWidth="1"/>
    <col min="525" max="526" width="9" style="2" bestFit="1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4" width="9" style="2" bestFit="1"/>
    <col min="775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 bestFit="1"/>
    <col min="780" max="780" width="13.25" style="2" bestFit="1" customWidth="1"/>
    <col min="781" max="782" width="9" style="2" bestFit="1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30" width="9" style="2" bestFit="1"/>
    <col min="1031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 bestFit="1"/>
    <col min="1036" max="1036" width="13.25" style="2" bestFit="1" customWidth="1"/>
    <col min="1037" max="1038" width="9" style="2" bestFit="1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6" width="9" style="2" bestFit="1"/>
    <col min="1287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 bestFit="1"/>
    <col min="1292" max="1292" width="13.25" style="2" bestFit="1" customWidth="1"/>
    <col min="1293" max="1294" width="9" style="2" bestFit="1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2" width="9" style="2" bestFit="1"/>
    <col min="1543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 bestFit="1"/>
    <col min="1548" max="1548" width="13.25" style="2" bestFit="1" customWidth="1"/>
    <col min="1549" max="1550" width="9" style="2" bestFit="1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8" width="9" style="2" bestFit="1"/>
    <col min="1799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 bestFit="1"/>
    <col min="1804" max="1804" width="13.25" style="2" bestFit="1" customWidth="1"/>
    <col min="1805" max="1806" width="9" style="2" bestFit="1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4" width="9" style="2" bestFit="1"/>
    <col min="2055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 bestFit="1"/>
    <col min="2060" max="2060" width="13.25" style="2" bestFit="1" customWidth="1"/>
    <col min="2061" max="2062" width="9" style="2" bestFit="1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10" width="9" style="2" bestFit="1"/>
    <col min="2311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 bestFit="1"/>
    <col min="2316" max="2316" width="13.25" style="2" bestFit="1" customWidth="1"/>
    <col min="2317" max="2318" width="9" style="2" bestFit="1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6" width="9" style="2" bestFit="1"/>
    <col min="2567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 bestFit="1"/>
    <col min="2572" max="2572" width="13.25" style="2" bestFit="1" customWidth="1"/>
    <col min="2573" max="2574" width="9" style="2" bestFit="1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2" width="9" style="2" bestFit="1"/>
    <col min="2823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 bestFit="1"/>
    <col min="2828" max="2828" width="13.25" style="2" bestFit="1" customWidth="1"/>
    <col min="2829" max="2830" width="9" style="2" bestFit="1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8" width="9" style="2" bestFit="1"/>
    <col min="3079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 bestFit="1"/>
    <col min="3084" max="3084" width="13.25" style="2" bestFit="1" customWidth="1"/>
    <col min="3085" max="3086" width="9" style="2" bestFit="1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4" width="9" style="2" bestFit="1"/>
    <col min="3335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 bestFit="1"/>
    <col min="3340" max="3340" width="13.25" style="2" bestFit="1" customWidth="1"/>
    <col min="3341" max="3342" width="9" style="2" bestFit="1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90" width="9" style="2" bestFit="1"/>
    <col min="3591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 bestFit="1"/>
    <col min="3596" max="3596" width="13.25" style="2" bestFit="1" customWidth="1"/>
    <col min="3597" max="3598" width="9" style="2" bestFit="1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6" width="9" style="2" bestFit="1"/>
    <col min="3847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 bestFit="1"/>
    <col min="3852" max="3852" width="13.25" style="2" bestFit="1" customWidth="1"/>
    <col min="3853" max="3854" width="9" style="2" bestFit="1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2" width="9" style="2" bestFit="1"/>
    <col min="4103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 bestFit="1"/>
    <col min="4108" max="4108" width="13.25" style="2" bestFit="1" customWidth="1"/>
    <col min="4109" max="4110" width="9" style="2" bestFit="1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8" width="9" style="2" bestFit="1"/>
    <col min="4359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 bestFit="1"/>
    <col min="4364" max="4364" width="13.25" style="2" bestFit="1" customWidth="1"/>
    <col min="4365" max="4366" width="9" style="2" bestFit="1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4" width="9" style="2" bestFit="1"/>
    <col min="4615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 bestFit="1"/>
    <col min="4620" max="4620" width="13.25" style="2" bestFit="1" customWidth="1"/>
    <col min="4621" max="4622" width="9" style="2" bestFit="1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70" width="9" style="2" bestFit="1"/>
    <col min="4871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 bestFit="1"/>
    <col min="4876" max="4876" width="13.25" style="2" bestFit="1" customWidth="1"/>
    <col min="4877" max="4878" width="9" style="2" bestFit="1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6" width="9" style="2" bestFit="1"/>
    <col min="5127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 bestFit="1"/>
    <col min="5132" max="5132" width="13.25" style="2" bestFit="1" customWidth="1"/>
    <col min="5133" max="5134" width="9" style="2" bestFit="1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2" width="9" style="2" bestFit="1"/>
    <col min="5383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 bestFit="1"/>
    <col min="5388" max="5388" width="13.25" style="2" bestFit="1" customWidth="1"/>
    <col min="5389" max="5390" width="9" style="2" bestFit="1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8" width="9" style="2" bestFit="1"/>
    <col min="5639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 bestFit="1"/>
    <col min="5644" max="5644" width="13.25" style="2" bestFit="1" customWidth="1"/>
    <col min="5645" max="5646" width="9" style="2" bestFit="1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4" width="9" style="2" bestFit="1"/>
    <col min="5895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 bestFit="1"/>
    <col min="5900" max="5900" width="13.25" style="2" bestFit="1" customWidth="1"/>
    <col min="5901" max="5902" width="9" style="2" bestFit="1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50" width="9" style="2" bestFit="1"/>
    <col min="6151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 bestFit="1"/>
    <col min="6156" max="6156" width="13.25" style="2" bestFit="1" customWidth="1"/>
    <col min="6157" max="6158" width="9" style="2" bestFit="1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6" width="9" style="2" bestFit="1"/>
    <col min="6407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 bestFit="1"/>
    <col min="6412" max="6412" width="13.25" style="2" bestFit="1" customWidth="1"/>
    <col min="6413" max="6414" width="9" style="2" bestFit="1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2" width="9" style="2" bestFit="1"/>
    <col min="6663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 bestFit="1"/>
    <col min="6668" max="6668" width="13.25" style="2" bestFit="1" customWidth="1"/>
    <col min="6669" max="6670" width="9" style="2" bestFit="1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8" width="9" style="2" bestFit="1"/>
    <col min="6919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 bestFit="1"/>
    <col min="6924" max="6924" width="13.25" style="2" bestFit="1" customWidth="1"/>
    <col min="6925" max="6926" width="9" style="2" bestFit="1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4" width="9" style="2" bestFit="1"/>
    <col min="7175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 bestFit="1"/>
    <col min="7180" max="7180" width="13.25" style="2" bestFit="1" customWidth="1"/>
    <col min="7181" max="7182" width="9" style="2" bestFit="1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30" width="9" style="2" bestFit="1"/>
    <col min="7431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 bestFit="1"/>
    <col min="7436" max="7436" width="13.25" style="2" bestFit="1" customWidth="1"/>
    <col min="7437" max="7438" width="9" style="2" bestFit="1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6" width="9" style="2" bestFit="1"/>
    <col min="7687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 bestFit="1"/>
    <col min="7692" max="7692" width="13.25" style="2" bestFit="1" customWidth="1"/>
    <col min="7693" max="7694" width="9" style="2" bestFit="1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2" width="9" style="2" bestFit="1"/>
    <col min="7943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 bestFit="1"/>
    <col min="7948" max="7948" width="13.25" style="2" bestFit="1" customWidth="1"/>
    <col min="7949" max="7950" width="9" style="2" bestFit="1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8" width="9" style="2" bestFit="1"/>
    <col min="8199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 bestFit="1"/>
    <col min="8204" max="8204" width="13.25" style="2" bestFit="1" customWidth="1"/>
    <col min="8205" max="8206" width="9" style="2" bestFit="1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4" width="9" style="2" bestFit="1"/>
    <col min="8455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 bestFit="1"/>
    <col min="8460" max="8460" width="13.25" style="2" bestFit="1" customWidth="1"/>
    <col min="8461" max="8462" width="9" style="2" bestFit="1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10" width="9" style="2" bestFit="1"/>
    <col min="8711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 bestFit="1"/>
    <col min="8716" max="8716" width="13.25" style="2" bestFit="1" customWidth="1"/>
    <col min="8717" max="8718" width="9" style="2" bestFit="1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6" width="9" style="2" bestFit="1"/>
    <col min="8967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 bestFit="1"/>
    <col min="8972" max="8972" width="13.25" style="2" bestFit="1" customWidth="1"/>
    <col min="8973" max="8974" width="9" style="2" bestFit="1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2" width="9" style="2" bestFit="1"/>
    <col min="9223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 bestFit="1"/>
    <col min="9228" max="9228" width="13.25" style="2" bestFit="1" customWidth="1"/>
    <col min="9229" max="9230" width="9" style="2" bestFit="1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8" width="9" style="2" bestFit="1"/>
    <col min="9479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 bestFit="1"/>
    <col min="9484" max="9484" width="13.25" style="2" bestFit="1" customWidth="1"/>
    <col min="9485" max="9486" width="9" style="2" bestFit="1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4" width="9" style="2" bestFit="1"/>
    <col min="9735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 bestFit="1"/>
    <col min="9740" max="9740" width="13.25" style="2" bestFit="1" customWidth="1"/>
    <col min="9741" max="9742" width="9" style="2" bestFit="1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90" width="9" style="2" bestFit="1"/>
    <col min="9991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 bestFit="1"/>
    <col min="9996" max="9996" width="13.25" style="2" bestFit="1" customWidth="1"/>
    <col min="9997" max="9998" width="9" style="2" bestFit="1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6" width="9" style="2" bestFit="1"/>
    <col min="10247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 bestFit="1"/>
    <col min="10252" max="10252" width="13.25" style="2" bestFit="1" customWidth="1"/>
    <col min="10253" max="10254" width="9" style="2" bestFit="1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2" width="9" style="2" bestFit="1"/>
    <col min="10503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 bestFit="1"/>
    <col min="10508" max="10508" width="13.25" style="2" bestFit="1" customWidth="1"/>
    <col min="10509" max="10510" width="9" style="2" bestFit="1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8" width="9" style="2" bestFit="1"/>
    <col min="10759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 bestFit="1"/>
    <col min="10764" max="10764" width="13.25" style="2" bestFit="1" customWidth="1"/>
    <col min="10765" max="10766" width="9" style="2" bestFit="1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4" width="9" style="2" bestFit="1"/>
    <col min="11015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 bestFit="1"/>
    <col min="11020" max="11020" width="13.25" style="2" bestFit="1" customWidth="1"/>
    <col min="11021" max="11022" width="9" style="2" bestFit="1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70" width="9" style="2" bestFit="1"/>
    <col min="11271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 bestFit="1"/>
    <col min="11276" max="11276" width="13.25" style="2" bestFit="1" customWidth="1"/>
    <col min="11277" max="11278" width="9" style="2" bestFit="1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6" width="9" style="2" bestFit="1"/>
    <col min="11527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 bestFit="1"/>
    <col min="11532" max="11532" width="13.25" style="2" bestFit="1" customWidth="1"/>
    <col min="11533" max="11534" width="9" style="2" bestFit="1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2" width="9" style="2" bestFit="1"/>
    <col min="11783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 bestFit="1"/>
    <col min="11788" max="11788" width="13.25" style="2" bestFit="1" customWidth="1"/>
    <col min="11789" max="11790" width="9" style="2" bestFit="1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8" width="9" style="2" bestFit="1"/>
    <col min="12039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 bestFit="1"/>
    <col min="12044" max="12044" width="13.25" style="2" bestFit="1" customWidth="1"/>
    <col min="12045" max="12046" width="9" style="2" bestFit="1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4" width="9" style="2" bestFit="1"/>
    <col min="12295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 bestFit="1"/>
    <col min="12300" max="12300" width="13.25" style="2" bestFit="1" customWidth="1"/>
    <col min="12301" max="12302" width="9" style="2" bestFit="1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50" width="9" style="2" bestFit="1"/>
    <col min="12551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 bestFit="1"/>
    <col min="12556" max="12556" width="13.25" style="2" bestFit="1" customWidth="1"/>
    <col min="12557" max="12558" width="9" style="2" bestFit="1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6" width="9" style="2" bestFit="1"/>
    <col min="12807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 bestFit="1"/>
    <col min="12812" max="12812" width="13.25" style="2" bestFit="1" customWidth="1"/>
    <col min="12813" max="12814" width="9" style="2" bestFit="1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2" width="9" style="2" bestFit="1"/>
    <col min="13063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 bestFit="1"/>
    <col min="13068" max="13068" width="13.25" style="2" bestFit="1" customWidth="1"/>
    <col min="13069" max="13070" width="9" style="2" bestFit="1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8" width="9" style="2" bestFit="1"/>
    <col min="13319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 bestFit="1"/>
    <col min="13324" max="13324" width="13.25" style="2" bestFit="1" customWidth="1"/>
    <col min="13325" max="13326" width="9" style="2" bestFit="1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4" width="9" style="2" bestFit="1"/>
    <col min="13575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 bestFit="1"/>
    <col min="13580" max="13580" width="13.25" style="2" bestFit="1" customWidth="1"/>
    <col min="13581" max="13582" width="9" style="2" bestFit="1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30" width="9" style="2" bestFit="1"/>
    <col min="13831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 bestFit="1"/>
    <col min="13836" max="13836" width="13.25" style="2" bestFit="1" customWidth="1"/>
    <col min="13837" max="13838" width="9" style="2" bestFit="1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6" width="9" style="2" bestFit="1"/>
    <col min="14087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 bestFit="1"/>
    <col min="14092" max="14092" width="13.25" style="2" bestFit="1" customWidth="1"/>
    <col min="14093" max="14094" width="9" style="2" bestFit="1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2" width="9" style="2" bestFit="1"/>
    <col min="14343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 bestFit="1"/>
    <col min="14348" max="14348" width="13.25" style="2" bestFit="1" customWidth="1"/>
    <col min="14349" max="14350" width="9" style="2" bestFit="1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8" width="9" style="2" bestFit="1"/>
    <col min="14599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 bestFit="1"/>
    <col min="14604" max="14604" width="13.25" style="2" bestFit="1" customWidth="1"/>
    <col min="14605" max="14606" width="9" style="2" bestFit="1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4" width="9" style="2" bestFit="1"/>
    <col min="14855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 bestFit="1"/>
    <col min="14860" max="14860" width="13.25" style="2" bestFit="1" customWidth="1"/>
    <col min="14861" max="14862" width="9" style="2" bestFit="1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10" width="9" style="2" bestFit="1"/>
    <col min="15111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 bestFit="1"/>
    <col min="15116" max="15116" width="13.25" style="2" bestFit="1" customWidth="1"/>
    <col min="15117" max="15118" width="9" style="2" bestFit="1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6" width="9" style="2" bestFit="1"/>
    <col min="15367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 bestFit="1"/>
    <col min="15372" max="15372" width="13.25" style="2" bestFit="1" customWidth="1"/>
    <col min="15373" max="15374" width="9" style="2" bestFit="1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2" width="9" style="2" bestFit="1"/>
    <col min="15623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 bestFit="1"/>
    <col min="15628" max="15628" width="13.25" style="2" bestFit="1" customWidth="1"/>
    <col min="15629" max="15630" width="9" style="2" bestFit="1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8" width="9" style="2" bestFit="1"/>
    <col min="15879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 bestFit="1"/>
    <col min="15884" max="15884" width="13.25" style="2" bestFit="1" customWidth="1"/>
    <col min="15885" max="15886" width="9" style="2" bestFit="1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4" width="9" style="2" bestFit="1"/>
    <col min="16135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 bestFit="1"/>
    <col min="16140" max="16140" width="13.25" style="2" bestFit="1" customWidth="1"/>
    <col min="16141" max="16142" width="9" style="2" bestFit="1"/>
    <col min="16143" max="16143" width="9.625" style="2" bestFit="1" customWidth="1"/>
    <col min="16144" max="16384" width="9" style="2"/>
  </cols>
  <sheetData>
    <row r="1" spans="1:15">
      <c r="A1" s="1" t="s">
        <v>0</v>
      </c>
    </row>
    <row r="2" spans="1:15">
      <c r="A2" s="1"/>
    </row>
    <row r="3" spans="1:15">
      <c r="A3" s="1" t="s">
        <v>1</v>
      </c>
    </row>
    <row r="4" spans="1:15">
      <c r="A4" s="1" t="s">
        <v>2</v>
      </c>
    </row>
    <row r="5" spans="1:15">
      <c r="A5" s="1" t="s">
        <v>3</v>
      </c>
    </row>
    <row r="6" spans="1:15" ht="19.5" thickBot="1">
      <c r="A6" s="1" t="s">
        <v>67</v>
      </c>
    </row>
    <row r="7" spans="1:15">
      <c r="B7" s="15"/>
      <c r="C7" s="4" t="s">
        <v>7</v>
      </c>
      <c r="D7" s="4" t="s">
        <v>9</v>
      </c>
      <c r="E7" s="4" t="s">
        <v>8</v>
      </c>
      <c r="F7" s="59" t="s">
        <v>68</v>
      </c>
      <c r="G7" s="23" t="s">
        <v>4</v>
      </c>
      <c r="H7" s="4" t="s">
        <v>5</v>
      </c>
      <c r="I7" s="4" t="s">
        <v>6</v>
      </c>
      <c r="J7" s="4" t="s">
        <v>10</v>
      </c>
      <c r="K7" s="4" t="s">
        <v>11</v>
      </c>
      <c r="L7" s="4" t="s">
        <v>12</v>
      </c>
      <c r="M7" s="24" t="s">
        <v>13</v>
      </c>
      <c r="N7" s="59" t="s">
        <v>68</v>
      </c>
      <c r="O7" s="59" t="s">
        <v>25</v>
      </c>
    </row>
    <row r="8" spans="1:15" ht="19.5" thickBot="1">
      <c r="A8" s="3"/>
      <c r="B8" s="35" t="s">
        <v>14</v>
      </c>
      <c r="C8" s="37" t="s">
        <v>18</v>
      </c>
      <c r="D8" s="37" t="s">
        <v>20</v>
      </c>
      <c r="E8" s="37" t="s">
        <v>19</v>
      </c>
      <c r="F8" s="39" t="s">
        <v>69</v>
      </c>
      <c r="G8" s="36" t="s">
        <v>15</v>
      </c>
      <c r="H8" s="37" t="s">
        <v>16</v>
      </c>
      <c r="I8" s="37" t="s">
        <v>17</v>
      </c>
      <c r="J8" s="37" t="s">
        <v>21</v>
      </c>
      <c r="K8" s="37" t="s">
        <v>22</v>
      </c>
      <c r="L8" s="37" t="s">
        <v>23</v>
      </c>
      <c r="M8" s="38" t="s">
        <v>24</v>
      </c>
      <c r="N8" s="39" t="s">
        <v>70</v>
      </c>
      <c r="O8" s="39" t="s">
        <v>71</v>
      </c>
    </row>
    <row r="9" spans="1:15">
      <c r="A9" s="1" t="s">
        <v>3</v>
      </c>
      <c r="B9" s="30" t="s">
        <v>26</v>
      </c>
      <c r="C9" s="32">
        <v>20</v>
      </c>
      <c r="D9" s="32">
        <v>20</v>
      </c>
      <c r="E9" s="32">
        <v>19</v>
      </c>
      <c r="F9" s="34">
        <f>SUM(C9:E9)</f>
        <v>59</v>
      </c>
      <c r="G9" s="31">
        <v>19</v>
      </c>
      <c r="H9" s="32">
        <v>13</v>
      </c>
      <c r="I9" s="32">
        <v>15</v>
      </c>
      <c r="J9" s="32">
        <v>20</v>
      </c>
      <c r="K9" s="32">
        <v>19</v>
      </c>
      <c r="L9" s="32">
        <v>20</v>
      </c>
      <c r="M9" s="33">
        <v>15</v>
      </c>
      <c r="N9" s="34">
        <f>SUM(G9:M9)</f>
        <v>121</v>
      </c>
      <c r="O9" s="34">
        <f>F9+N9</f>
        <v>180</v>
      </c>
    </row>
    <row r="10" spans="1:15">
      <c r="A10" s="1" t="s">
        <v>3</v>
      </c>
      <c r="B10" s="16" t="s">
        <v>27</v>
      </c>
      <c r="C10" s="5">
        <v>0</v>
      </c>
      <c r="D10" s="5">
        <v>0</v>
      </c>
      <c r="E10" s="5">
        <v>4</v>
      </c>
      <c r="F10" s="18">
        <f t="shared" ref="F10:F20" si="0">SUM(C10:E10)</f>
        <v>4</v>
      </c>
      <c r="G10" s="25">
        <v>4</v>
      </c>
      <c r="H10" s="5">
        <v>4</v>
      </c>
      <c r="I10" s="5">
        <v>2</v>
      </c>
      <c r="J10" s="5">
        <v>2</v>
      </c>
      <c r="K10" s="5">
        <v>4</v>
      </c>
      <c r="L10" s="5">
        <v>0</v>
      </c>
      <c r="M10" s="6">
        <v>3</v>
      </c>
      <c r="N10" s="18">
        <f t="shared" ref="N10:N20" si="1">SUM(G10:M10)</f>
        <v>19</v>
      </c>
      <c r="O10" s="18">
        <f t="shared" ref="O10:O20" si="2">F10+N10</f>
        <v>23</v>
      </c>
    </row>
    <row r="11" spans="1:15">
      <c r="A11" s="1" t="s">
        <v>3</v>
      </c>
      <c r="B11" s="16" t="s">
        <v>28</v>
      </c>
      <c r="C11" s="5">
        <v>0</v>
      </c>
      <c r="D11" s="5">
        <v>0</v>
      </c>
      <c r="E11" s="5">
        <v>1</v>
      </c>
      <c r="F11" s="18">
        <f t="shared" si="0"/>
        <v>1</v>
      </c>
      <c r="G11" s="25">
        <v>1</v>
      </c>
      <c r="H11" s="5">
        <v>3</v>
      </c>
      <c r="I11" s="5">
        <v>3</v>
      </c>
      <c r="J11" s="5">
        <v>1</v>
      </c>
      <c r="K11" s="5">
        <v>2</v>
      </c>
      <c r="L11" s="5">
        <v>4</v>
      </c>
      <c r="M11" s="6">
        <v>1</v>
      </c>
      <c r="N11" s="18">
        <f t="shared" si="1"/>
        <v>15</v>
      </c>
      <c r="O11" s="18">
        <f t="shared" si="2"/>
        <v>16</v>
      </c>
    </row>
    <row r="12" spans="1:15">
      <c r="A12" s="1" t="s">
        <v>3</v>
      </c>
      <c r="B12" s="16" t="s">
        <v>29</v>
      </c>
      <c r="C12" s="5">
        <v>0</v>
      </c>
      <c r="D12" s="5">
        <v>0</v>
      </c>
      <c r="E12" s="5">
        <v>0</v>
      </c>
      <c r="F12" s="18">
        <f t="shared" si="0"/>
        <v>0</v>
      </c>
      <c r="G12" s="25">
        <v>0</v>
      </c>
      <c r="H12" s="5">
        <v>5</v>
      </c>
      <c r="I12" s="5">
        <v>3</v>
      </c>
      <c r="J12" s="5">
        <v>0</v>
      </c>
      <c r="K12" s="5">
        <v>0</v>
      </c>
      <c r="L12" s="5">
        <v>0</v>
      </c>
      <c r="M12" s="6">
        <v>0</v>
      </c>
      <c r="N12" s="18">
        <f t="shared" si="1"/>
        <v>8</v>
      </c>
      <c r="O12" s="18">
        <f t="shared" si="2"/>
        <v>8</v>
      </c>
    </row>
    <row r="13" spans="1:15">
      <c r="A13" s="1" t="s">
        <v>3</v>
      </c>
      <c r="B13" s="16" t="s">
        <v>30</v>
      </c>
      <c r="C13" s="5">
        <v>0</v>
      </c>
      <c r="D13" s="5">
        <v>0</v>
      </c>
      <c r="E13" s="5">
        <v>1.5</v>
      </c>
      <c r="F13" s="18">
        <f t="shared" si="0"/>
        <v>1.5</v>
      </c>
      <c r="G13" s="25">
        <v>1</v>
      </c>
      <c r="H13" s="5">
        <v>2</v>
      </c>
      <c r="I13" s="5">
        <v>2</v>
      </c>
      <c r="J13" s="5">
        <v>0</v>
      </c>
      <c r="K13" s="5">
        <v>1</v>
      </c>
      <c r="L13" s="5">
        <v>0</v>
      </c>
      <c r="M13" s="6">
        <v>5</v>
      </c>
      <c r="N13" s="18">
        <f t="shared" si="1"/>
        <v>11</v>
      </c>
      <c r="O13" s="18">
        <f t="shared" si="2"/>
        <v>12.5</v>
      </c>
    </row>
    <row r="14" spans="1:15">
      <c r="A14" s="1" t="s">
        <v>3</v>
      </c>
      <c r="B14" s="16" t="s">
        <v>31</v>
      </c>
      <c r="C14" s="7">
        <v>0</v>
      </c>
      <c r="D14" s="7">
        <v>0</v>
      </c>
      <c r="E14" s="7">
        <v>0</v>
      </c>
      <c r="F14" s="19">
        <f t="shared" si="0"/>
        <v>0</v>
      </c>
      <c r="G14" s="26">
        <v>2.0416666666666665</v>
      </c>
      <c r="H14" s="7">
        <v>0.29166666666666669</v>
      </c>
      <c r="I14" s="7">
        <v>1.0416666666666667</v>
      </c>
      <c r="J14" s="7">
        <v>1.8333333333333335</v>
      </c>
      <c r="K14" s="7">
        <v>1.9583333333333335</v>
      </c>
      <c r="L14" s="7">
        <v>1.2083333333333333</v>
      </c>
      <c r="M14" s="8">
        <v>1.4583333333333333</v>
      </c>
      <c r="N14" s="19">
        <f t="shared" si="1"/>
        <v>9.8333333333333357</v>
      </c>
      <c r="O14" s="19">
        <f t="shared" si="2"/>
        <v>9.8333333333333357</v>
      </c>
    </row>
    <row r="15" spans="1:15">
      <c r="A15" s="1" t="s">
        <v>3</v>
      </c>
      <c r="B15" s="16" t="s">
        <v>32</v>
      </c>
      <c r="C15" s="7">
        <v>0</v>
      </c>
      <c r="D15" s="7">
        <v>0</v>
      </c>
      <c r="E15" s="7">
        <v>0.95833333333333337</v>
      </c>
      <c r="F15" s="19">
        <f t="shared" si="0"/>
        <v>0.95833333333333337</v>
      </c>
      <c r="G15" s="26">
        <v>1.6666666666666665</v>
      </c>
      <c r="H15" s="7">
        <v>0.70833333333333337</v>
      </c>
      <c r="I15" s="7">
        <v>0.79166666666666663</v>
      </c>
      <c r="J15" s="7">
        <v>0.54166666666666663</v>
      </c>
      <c r="K15" s="7">
        <v>1.5833333333333335</v>
      </c>
      <c r="L15" s="7">
        <v>0</v>
      </c>
      <c r="M15" s="8">
        <v>1.1666666666666667</v>
      </c>
      <c r="N15" s="19">
        <f t="shared" si="1"/>
        <v>6.458333333333333</v>
      </c>
      <c r="O15" s="19">
        <f t="shared" si="2"/>
        <v>7.4166666666666661</v>
      </c>
    </row>
    <row r="16" spans="1:15">
      <c r="A16" s="1" t="s">
        <v>3</v>
      </c>
      <c r="B16" s="16" t="s">
        <v>33</v>
      </c>
      <c r="C16" s="7">
        <v>0</v>
      </c>
      <c r="D16" s="7">
        <v>0</v>
      </c>
      <c r="E16" s="7">
        <v>0.20833333333333334</v>
      </c>
      <c r="F16" s="19">
        <f t="shared" si="0"/>
        <v>0.20833333333333334</v>
      </c>
      <c r="G16" s="26">
        <v>0.33333333333333331</v>
      </c>
      <c r="H16" s="7">
        <v>0</v>
      </c>
      <c r="I16" s="7">
        <v>0</v>
      </c>
      <c r="J16" s="7">
        <v>0.29166666666666669</v>
      </c>
      <c r="K16" s="7">
        <v>0.83333333333333337</v>
      </c>
      <c r="L16" s="7">
        <v>1.1666666666666667</v>
      </c>
      <c r="M16" s="8">
        <v>0.33333333333333331</v>
      </c>
      <c r="N16" s="19">
        <f t="shared" si="1"/>
        <v>2.9583333333333335</v>
      </c>
      <c r="O16" s="19">
        <f t="shared" si="2"/>
        <v>3.166666666666667</v>
      </c>
    </row>
    <row r="17" spans="1:15">
      <c r="A17" s="1" t="s">
        <v>3</v>
      </c>
      <c r="B17" s="16" t="s">
        <v>34</v>
      </c>
      <c r="C17" s="7">
        <v>0</v>
      </c>
      <c r="D17" s="7">
        <v>0</v>
      </c>
      <c r="E17" s="7">
        <v>0</v>
      </c>
      <c r="F17" s="19">
        <f t="shared" si="0"/>
        <v>0</v>
      </c>
      <c r="G17" s="26">
        <v>0</v>
      </c>
      <c r="H17" s="7">
        <v>0.70833333333333337</v>
      </c>
      <c r="I17" s="7">
        <v>0</v>
      </c>
      <c r="J17" s="7">
        <v>0</v>
      </c>
      <c r="K17" s="7">
        <v>0</v>
      </c>
      <c r="L17" s="7">
        <v>0</v>
      </c>
      <c r="M17" s="8">
        <v>0</v>
      </c>
      <c r="N17" s="19">
        <f t="shared" si="1"/>
        <v>0.70833333333333337</v>
      </c>
      <c r="O17" s="19">
        <f t="shared" si="2"/>
        <v>0.70833333333333337</v>
      </c>
    </row>
    <row r="18" spans="1:15">
      <c r="A18" s="1" t="s">
        <v>3</v>
      </c>
      <c r="B18" s="16" t="s">
        <v>35</v>
      </c>
      <c r="C18" s="7">
        <v>0</v>
      </c>
      <c r="D18" s="7">
        <v>0</v>
      </c>
      <c r="E18" s="7">
        <v>0</v>
      </c>
      <c r="F18" s="19">
        <f t="shared" si="0"/>
        <v>0</v>
      </c>
      <c r="G18" s="26">
        <v>0</v>
      </c>
      <c r="H18" s="7">
        <v>1.0416666666666667</v>
      </c>
      <c r="I18" s="7">
        <v>1.125</v>
      </c>
      <c r="J18" s="7">
        <v>0</v>
      </c>
      <c r="K18" s="7">
        <v>0</v>
      </c>
      <c r="L18" s="7">
        <v>0</v>
      </c>
      <c r="M18" s="8">
        <v>0</v>
      </c>
      <c r="N18" s="19">
        <f t="shared" si="1"/>
        <v>2.166666666666667</v>
      </c>
      <c r="O18" s="19">
        <f t="shared" si="2"/>
        <v>2.166666666666667</v>
      </c>
    </row>
    <row r="19" spans="1:15">
      <c r="A19" s="1" t="s">
        <v>3</v>
      </c>
      <c r="B19" s="16" t="s">
        <v>36</v>
      </c>
      <c r="C19" s="7">
        <v>0</v>
      </c>
      <c r="D19" s="7">
        <v>0</v>
      </c>
      <c r="E19" s="7">
        <v>0.33333333333333331</v>
      </c>
      <c r="F19" s="19">
        <f t="shared" si="0"/>
        <v>0.33333333333333331</v>
      </c>
      <c r="G19" s="26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8">
        <v>0</v>
      </c>
      <c r="N19" s="19">
        <f t="shared" si="1"/>
        <v>0</v>
      </c>
      <c r="O19" s="19">
        <f t="shared" si="2"/>
        <v>0.33333333333333331</v>
      </c>
    </row>
    <row r="20" spans="1:15">
      <c r="A20" s="1" t="s">
        <v>3</v>
      </c>
      <c r="B20" s="16" t="s">
        <v>37</v>
      </c>
      <c r="C20" s="7">
        <v>0.20833333333333334</v>
      </c>
      <c r="D20" s="7">
        <v>0</v>
      </c>
      <c r="E20" s="7">
        <v>0</v>
      </c>
      <c r="F20" s="19">
        <f t="shared" si="0"/>
        <v>0.20833333333333334</v>
      </c>
      <c r="G20" s="26">
        <v>1.375</v>
      </c>
      <c r="H20" s="7">
        <v>2.8333333333333335</v>
      </c>
      <c r="I20" s="7">
        <v>2.75</v>
      </c>
      <c r="J20" s="7">
        <v>0.375</v>
      </c>
      <c r="K20" s="7">
        <v>1.2083333333333333</v>
      </c>
      <c r="L20" s="7">
        <v>0.5</v>
      </c>
      <c r="M20" s="8">
        <v>0.58333333333333337</v>
      </c>
      <c r="N20" s="19">
        <f t="shared" si="1"/>
        <v>9.6250000000000018</v>
      </c>
      <c r="O20" s="19">
        <f t="shared" si="2"/>
        <v>9.8333333333333357</v>
      </c>
    </row>
    <row r="21" spans="1:15">
      <c r="A21" s="1" t="s">
        <v>3</v>
      </c>
      <c r="B21" s="44" t="s">
        <v>38</v>
      </c>
      <c r="C21" s="46">
        <v>40</v>
      </c>
      <c r="D21" s="46">
        <v>33.5</v>
      </c>
      <c r="E21" s="46">
        <v>37</v>
      </c>
      <c r="F21" s="48"/>
      <c r="G21" s="45">
        <v>38</v>
      </c>
      <c r="H21" s="46">
        <v>36</v>
      </c>
      <c r="I21" s="46">
        <v>27</v>
      </c>
      <c r="J21" s="46">
        <v>23</v>
      </c>
      <c r="K21" s="46">
        <v>14</v>
      </c>
      <c r="L21" s="46">
        <v>16</v>
      </c>
      <c r="M21" s="47">
        <v>8</v>
      </c>
      <c r="N21" s="48"/>
      <c r="O21" s="48"/>
    </row>
    <row r="22" spans="1:15">
      <c r="A22" s="1" t="s">
        <v>3</v>
      </c>
      <c r="B22" s="30" t="s">
        <v>39</v>
      </c>
      <c r="C22" s="41">
        <v>370000</v>
      </c>
      <c r="D22" s="41">
        <v>360000</v>
      </c>
      <c r="E22" s="41">
        <v>180000</v>
      </c>
      <c r="F22" s="43">
        <f t="shared" ref="F22:F48" si="3">SUM(C22:E22)</f>
        <v>910000</v>
      </c>
      <c r="G22" s="40">
        <v>187000</v>
      </c>
      <c r="H22" s="41">
        <v>187000</v>
      </c>
      <c r="I22" s="41">
        <v>182000</v>
      </c>
      <c r="J22" s="41">
        <v>182000</v>
      </c>
      <c r="K22" s="41">
        <v>182000</v>
      </c>
      <c r="L22" s="41">
        <v>175000</v>
      </c>
      <c r="M22" s="42">
        <v>175000</v>
      </c>
      <c r="N22" s="43">
        <f t="shared" ref="N22:N48" si="4">SUM(G22:M22)</f>
        <v>1270000</v>
      </c>
      <c r="O22" s="43">
        <f t="shared" ref="O22:O48" si="5">F22+N22</f>
        <v>2180000</v>
      </c>
    </row>
    <row r="23" spans="1:15">
      <c r="A23" s="1" t="s">
        <v>3</v>
      </c>
      <c r="B23" s="16" t="s">
        <v>40</v>
      </c>
      <c r="C23" s="9">
        <v>0</v>
      </c>
      <c r="D23" s="9">
        <v>0</v>
      </c>
      <c r="E23" s="9">
        <v>0</v>
      </c>
      <c r="F23" s="20">
        <f t="shared" si="3"/>
        <v>0</v>
      </c>
      <c r="G23" s="27">
        <v>5000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0">
        <v>0</v>
      </c>
      <c r="N23" s="20">
        <f t="shared" si="4"/>
        <v>5000</v>
      </c>
      <c r="O23" s="20">
        <f t="shared" si="5"/>
        <v>5000</v>
      </c>
    </row>
    <row r="24" spans="1:15">
      <c r="A24" s="1" t="s">
        <v>3</v>
      </c>
      <c r="B24" s="16" t="s">
        <v>41</v>
      </c>
      <c r="C24" s="9">
        <v>0</v>
      </c>
      <c r="D24" s="9">
        <v>0</v>
      </c>
      <c r="E24" s="9">
        <v>6000</v>
      </c>
      <c r="F24" s="20">
        <f t="shared" si="3"/>
        <v>6000</v>
      </c>
      <c r="G24" s="27">
        <v>6000</v>
      </c>
      <c r="H24" s="9">
        <v>10000</v>
      </c>
      <c r="I24" s="9">
        <v>0</v>
      </c>
      <c r="J24" s="9">
        <v>0</v>
      </c>
      <c r="K24" s="9">
        <v>0</v>
      </c>
      <c r="L24" s="9">
        <v>0</v>
      </c>
      <c r="M24" s="10">
        <v>0</v>
      </c>
      <c r="N24" s="20">
        <f t="shared" si="4"/>
        <v>16000</v>
      </c>
      <c r="O24" s="20">
        <f t="shared" si="5"/>
        <v>22000</v>
      </c>
    </row>
    <row r="25" spans="1:15">
      <c r="A25" s="1" t="s">
        <v>3</v>
      </c>
      <c r="B25" s="16" t="s">
        <v>42</v>
      </c>
      <c r="C25" s="9">
        <v>0</v>
      </c>
      <c r="D25" s="9">
        <v>0</v>
      </c>
      <c r="E25" s="9">
        <v>0</v>
      </c>
      <c r="F25" s="20">
        <f t="shared" si="3"/>
        <v>0</v>
      </c>
      <c r="G25" s="27">
        <v>3500</v>
      </c>
      <c r="H25" s="9">
        <v>3500</v>
      </c>
      <c r="I25" s="9">
        <v>3500</v>
      </c>
      <c r="J25" s="9">
        <v>3500</v>
      </c>
      <c r="K25" s="9">
        <v>3500</v>
      </c>
      <c r="L25" s="9">
        <v>0</v>
      </c>
      <c r="M25" s="10">
        <v>0</v>
      </c>
      <c r="N25" s="20">
        <f t="shared" si="4"/>
        <v>17500</v>
      </c>
      <c r="O25" s="20">
        <f t="shared" si="5"/>
        <v>17500</v>
      </c>
    </row>
    <row r="26" spans="1:15">
      <c r="A26" s="1" t="s">
        <v>3</v>
      </c>
      <c r="B26" s="16" t="s">
        <v>43</v>
      </c>
      <c r="C26" s="9">
        <v>0</v>
      </c>
      <c r="D26" s="9">
        <v>0</v>
      </c>
      <c r="E26" s="9">
        <v>0</v>
      </c>
      <c r="F26" s="20">
        <f t="shared" si="3"/>
        <v>0</v>
      </c>
      <c r="G26" s="27">
        <v>0</v>
      </c>
      <c r="H26" s="9">
        <v>7600</v>
      </c>
      <c r="I26" s="9">
        <v>0</v>
      </c>
      <c r="J26" s="9">
        <v>0</v>
      </c>
      <c r="K26" s="9">
        <v>0</v>
      </c>
      <c r="L26" s="9">
        <v>0</v>
      </c>
      <c r="M26" s="10">
        <v>0</v>
      </c>
      <c r="N26" s="20">
        <f t="shared" si="4"/>
        <v>7600</v>
      </c>
      <c r="O26" s="20">
        <f t="shared" si="5"/>
        <v>7600</v>
      </c>
    </row>
    <row r="27" spans="1:15">
      <c r="A27" s="1" t="s">
        <v>3</v>
      </c>
      <c r="B27" s="16" t="s">
        <v>31</v>
      </c>
      <c r="C27" s="9">
        <v>0</v>
      </c>
      <c r="D27" s="9">
        <v>0</v>
      </c>
      <c r="E27" s="9">
        <v>0</v>
      </c>
      <c r="F27" s="20">
        <f t="shared" si="3"/>
        <v>0</v>
      </c>
      <c r="G27" s="27">
        <v>73941</v>
      </c>
      <c r="H27" s="9">
        <v>10906</v>
      </c>
      <c r="I27" s="9">
        <v>34725</v>
      </c>
      <c r="J27" s="9">
        <v>61116</v>
      </c>
      <c r="K27" s="9">
        <v>65283</v>
      </c>
      <c r="L27" s="9">
        <v>37990</v>
      </c>
      <c r="M27" s="10">
        <v>45850</v>
      </c>
      <c r="N27" s="20">
        <f t="shared" si="4"/>
        <v>329811</v>
      </c>
      <c r="O27" s="20">
        <f t="shared" si="5"/>
        <v>329811</v>
      </c>
    </row>
    <row r="28" spans="1:15">
      <c r="A28" s="1" t="s">
        <v>3</v>
      </c>
      <c r="B28" s="16" t="s">
        <v>44</v>
      </c>
      <c r="C28" s="9">
        <v>0</v>
      </c>
      <c r="D28" s="9">
        <v>0</v>
      </c>
      <c r="E28" s="9">
        <v>39560</v>
      </c>
      <c r="F28" s="20">
        <f t="shared" si="3"/>
        <v>39560</v>
      </c>
      <c r="G28" s="27">
        <v>65160</v>
      </c>
      <c r="H28" s="9">
        <v>28594</v>
      </c>
      <c r="I28" s="9">
        <v>28500</v>
      </c>
      <c r="J28" s="9">
        <v>19500</v>
      </c>
      <c r="K28" s="9">
        <v>57000</v>
      </c>
      <c r="L28" s="9">
        <v>0</v>
      </c>
      <c r="M28" s="10">
        <v>39620</v>
      </c>
      <c r="N28" s="20">
        <f t="shared" si="4"/>
        <v>238374</v>
      </c>
      <c r="O28" s="20">
        <f t="shared" si="5"/>
        <v>277934</v>
      </c>
    </row>
    <row r="29" spans="1:15">
      <c r="A29" s="1" t="s">
        <v>3</v>
      </c>
      <c r="B29" s="16" t="s">
        <v>45</v>
      </c>
      <c r="C29" s="9">
        <v>0</v>
      </c>
      <c r="D29" s="9">
        <v>0</v>
      </c>
      <c r="E29" s="9">
        <v>8600</v>
      </c>
      <c r="F29" s="20">
        <f t="shared" si="3"/>
        <v>8600</v>
      </c>
      <c r="G29" s="27">
        <v>13032</v>
      </c>
      <c r="H29" s="9">
        <v>0</v>
      </c>
      <c r="I29" s="9">
        <v>0</v>
      </c>
      <c r="J29" s="9">
        <v>10500</v>
      </c>
      <c r="K29" s="9">
        <v>30000</v>
      </c>
      <c r="L29" s="9">
        <v>39620</v>
      </c>
      <c r="M29" s="10">
        <v>11320</v>
      </c>
      <c r="N29" s="20">
        <f t="shared" si="4"/>
        <v>104472</v>
      </c>
      <c r="O29" s="20">
        <f t="shared" si="5"/>
        <v>113072</v>
      </c>
    </row>
    <row r="30" spans="1:15">
      <c r="A30" s="1" t="s">
        <v>3</v>
      </c>
      <c r="B30" s="16" t="s">
        <v>46</v>
      </c>
      <c r="C30" s="9">
        <v>0</v>
      </c>
      <c r="D30" s="9">
        <v>0</v>
      </c>
      <c r="E30" s="9">
        <v>0</v>
      </c>
      <c r="F30" s="20">
        <f t="shared" si="3"/>
        <v>0</v>
      </c>
      <c r="G30" s="27">
        <v>0</v>
      </c>
      <c r="H30" s="9">
        <v>7412</v>
      </c>
      <c r="I30" s="9">
        <v>0</v>
      </c>
      <c r="J30" s="9">
        <v>0</v>
      </c>
      <c r="K30" s="9">
        <v>0</v>
      </c>
      <c r="L30" s="9">
        <v>0</v>
      </c>
      <c r="M30" s="10">
        <v>0</v>
      </c>
      <c r="N30" s="20">
        <f t="shared" si="4"/>
        <v>7412</v>
      </c>
      <c r="O30" s="20">
        <f t="shared" si="5"/>
        <v>7412</v>
      </c>
    </row>
    <row r="31" spans="1:15">
      <c r="A31" s="1" t="s">
        <v>3</v>
      </c>
      <c r="B31" s="16" t="s">
        <v>47</v>
      </c>
      <c r="C31" s="9">
        <v>0</v>
      </c>
      <c r="D31" s="9">
        <v>0</v>
      </c>
      <c r="E31" s="9">
        <v>0</v>
      </c>
      <c r="F31" s="20">
        <f t="shared" si="3"/>
        <v>0</v>
      </c>
      <c r="G31" s="27">
        <v>0</v>
      </c>
      <c r="H31" s="9">
        <v>10900</v>
      </c>
      <c r="I31" s="9">
        <v>10503</v>
      </c>
      <c r="J31" s="9">
        <v>0</v>
      </c>
      <c r="K31" s="9">
        <v>0</v>
      </c>
      <c r="L31" s="9">
        <v>0</v>
      </c>
      <c r="M31" s="10">
        <v>0</v>
      </c>
      <c r="N31" s="20">
        <f t="shared" si="4"/>
        <v>21403</v>
      </c>
      <c r="O31" s="20">
        <f t="shared" si="5"/>
        <v>21403</v>
      </c>
    </row>
    <row r="32" spans="1:15">
      <c r="A32" s="1" t="s">
        <v>3</v>
      </c>
      <c r="B32" s="16" t="s">
        <v>36</v>
      </c>
      <c r="C32" s="9">
        <v>0</v>
      </c>
      <c r="D32" s="9">
        <v>0</v>
      </c>
      <c r="E32" s="9">
        <v>10192</v>
      </c>
      <c r="F32" s="20">
        <f t="shared" si="3"/>
        <v>10192</v>
      </c>
      <c r="G32" s="27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0">
        <v>0</v>
      </c>
      <c r="N32" s="20">
        <f t="shared" si="4"/>
        <v>0</v>
      </c>
      <c r="O32" s="20">
        <f t="shared" si="5"/>
        <v>10192</v>
      </c>
    </row>
    <row r="33" spans="1:15">
      <c r="A33" s="1" t="s">
        <v>3</v>
      </c>
      <c r="B33" s="49" t="s">
        <v>37</v>
      </c>
      <c r="C33" s="51">
        <v>2770</v>
      </c>
      <c r="D33" s="51">
        <v>0</v>
      </c>
      <c r="E33" s="51">
        <v>0</v>
      </c>
      <c r="F33" s="53">
        <f t="shared" si="3"/>
        <v>2770</v>
      </c>
      <c r="G33" s="50">
        <v>9966</v>
      </c>
      <c r="H33" s="51">
        <v>21216</v>
      </c>
      <c r="I33" s="51">
        <v>18348</v>
      </c>
      <c r="J33" s="51">
        <v>2502</v>
      </c>
      <c r="K33" s="51">
        <v>8062</v>
      </c>
      <c r="L33" s="51">
        <v>3144</v>
      </c>
      <c r="M33" s="52">
        <v>3668</v>
      </c>
      <c r="N33" s="53">
        <f t="shared" si="4"/>
        <v>66906</v>
      </c>
      <c r="O33" s="53">
        <f t="shared" si="5"/>
        <v>69676</v>
      </c>
    </row>
    <row r="34" spans="1:15">
      <c r="A34" s="1" t="s">
        <v>3</v>
      </c>
      <c r="B34" s="54" t="s">
        <v>48</v>
      </c>
      <c r="C34" s="56">
        <v>372770</v>
      </c>
      <c r="D34" s="56">
        <v>360000</v>
      </c>
      <c r="E34" s="56">
        <v>244352</v>
      </c>
      <c r="F34" s="58">
        <f t="shared" si="3"/>
        <v>977122</v>
      </c>
      <c r="G34" s="55">
        <v>363599</v>
      </c>
      <c r="H34" s="56">
        <v>287128</v>
      </c>
      <c r="I34" s="56">
        <v>277576</v>
      </c>
      <c r="J34" s="56">
        <v>279118</v>
      </c>
      <c r="K34" s="56">
        <v>345845</v>
      </c>
      <c r="L34" s="56">
        <v>255754</v>
      </c>
      <c r="M34" s="57">
        <v>275458</v>
      </c>
      <c r="N34" s="58">
        <f t="shared" si="4"/>
        <v>2084478</v>
      </c>
      <c r="O34" s="58">
        <f t="shared" si="5"/>
        <v>3061600</v>
      </c>
    </row>
    <row r="35" spans="1:15">
      <c r="A35" s="1" t="s">
        <v>3</v>
      </c>
      <c r="B35" s="54" t="s">
        <v>49</v>
      </c>
      <c r="C35" s="56">
        <v>7872</v>
      </c>
      <c r="D35" s="56">
        <v>17615</v>
      </c>
      <c r="E35" s="56">
        <v>661</v>
      </c>
      <c r="F35" s="58">
        <f t="shared" si="3"/>
        <v>26148</v>
      </c>
      <c r="G35" s="55">
        <v>9909</v>
      </c>
      <c r="H35" s="56">
        <v>2202</v>
      </c>
      <c r="I35" s="56">
        <v>2202</v>
      </c>
      <c r="J35" s="56">
        <v>7597</v>
      </c>
      <c r="K35" s="56">
        <v>1377</v>
      </c>
      <c r="L35" s="56">
        <v>6606</v>
      </c>
      <c r="M35" s="57">
        <v>7322</v>
      </c>
      <c r="N35" s="58">
        <f t="shared" si="4"/>
        <v>37215</v>
      </c>
      <c r="O35" s="58">
        <f t="shared" si="5"/>
        <v>63363</v>
      </c>
    </row>
    <row r="36" spans="1:15">
      <c r="A36" s="1" t="s">
        <v>3</v>
      </c>
      <c r="B36" s="54" t="s">
        <v>50</v>
      </c>
      <c r="C36" s="56">
        <v>7872</v>
      </c>
      <c r="D36" s="56">
        <v>17615</v>
      </c>
      <c r="E36" s="56">
        <v>661</v>
      </c>
      <c r="F36" s="58">
        <f t="shared" si="3"/>
        <v>26148</v>
      </c>
      <c r="G36" s="55">
        <v>9909</v>
      </c>
      <c r="H36" s="56">
        <v>2202</v>
      </c>
      <c r="I36" s="56">
        <v>2202</v>
      </c>
      <c r="J36" s="56">
        <v>7597</v>
      </c>
      <c r="K36" s="56">
        <v>1377</v>
      </c>
      <c r="L36" s="56">
        <v>6606</v>
      </c>
      <c r="M36" s="57">
        <v>7322</v>
      </c>
      <c r="N36" s="58">
        <f t="shared" si="4"/>
        <v>37215</v>
      </c>
      <c r="O36" s="58">
        <f t="shared" si="5"/>
        <v>63363</v>
      </c>
    </row>
    <row r="37" spans="1:15">
      <c r="A37" s="1" t="s">
        <v>3</v>
      </c>
      <c r="B37" s="54" t="s">
        <v>51</v>
      </c>
      <c r="C37" s="56">
        <v>380642</v>
      </c>
      <c r="D37" s="56">
        <v>377615</v>
      </c>
      <c r="E37" s="56">
        <v>245013</v>
      </c>
      <c r="F37" s="58">
        <f t="shared" si="3"/>
        <v>1003270</v>
      </c>
      <c r="G37" s="55">
        <v>373508</v>
      </c>
      <c r="H37" s="56">
        <v>289330</v>
      </c>
      <c r="I37" s="56">
        <v>279778</v>
      </c>
      <c r="J37" s="56">
        <v>286715</v>
      </c>
      <c r="K37" s="56">
        <v>347222</v>
      </c>
      <c r="L37" s="56">
        <v>262360</v>
      </c>
      <c r="M37" s="57">
        <v>282780</v>
      </c>
      <c r="N37" s="58">
        <f t="shared" si="4"/>
        <v>2121693</v>
      </c>
      <c r="O37" s="58">
        <f t="shared" si="5"/>
        <v>3124963</v>
      </c>
    </row>
    <row r="38" spans="1:15">
      <c r="A38" s="1" t="s">
        <v>3</v>
      </c>
      <c r="B38" s="30" t="s">
        <v>52</v>
      </c>
      <c r="C38" s="41">
        <v>19380</v>
      </c>
      <c r="D38" s="41">
        <v>19380</v>
      </c>
      <c r="E38" s="41">
        <v>11220</v>
      </c>
      <c r="F38" s="43">
        <f t="shared" si="3"/>
        <v>49980</v>
      </c>
      <c r="G38" s="40">
        <v>18360</v>
      </c>
      <c r="H38" s="41">
        <v>15300</v>
      </c>
      <c r="I38" s="41">
        <v>16320</v>
      </c>
      <c r="J38" s="41">
        <v>15300</v>
      </c>
      <c r="K38" s="41">
        <v>17340</v>
      </c>
      <c r="L38" s="41">
        <v>13260</v>
      </c>
      <c r="M38" s="42">
        <v>13260</v>
      </c>
      <c r="N38" s="43">
        <f t="shared" si="4"/>
        <v>109140</v>
      </c>
      <c r="O38" s="43">
        <f t="shared" si="5"/>
        <v>159120</v>
      </c>
    </row>
    <row r="39" spans="1:15">
      <c r="A39" s="1" t="s">
        <v>3</v>
      </c>
      <c r="B39" s="16" t="s">
        <v>53</v>
      </c>
      <c r="C39" s="9">
        <v>3420</v>
      </c>
      <c r="D39" s="9">
        <v>3420</v>
      </c>
      <c r="E39" s="9">
        <v>0</v>
      </c>
      <c r="F39" s="20">
        <f t="shared" si="3"/>
        <v>6840</v>
      </c>
      <c r="G39" s="27">
        <v>3240</v>
      </c>
      <c r="H39" s="9">
        <v>2700</v>
      </c>
      <c r="I39" s="9">
        <v>2880</v>
      </c>
      <c r="J39" s="9">
        <v>2700</v>
      </c>
      <c r="K39" s="9">
        <v>3060</v>
      </c>
      <c r="L39" s="9">
        <v>2340</v>
      </c>
      <c r="M39" s="10">
        <v>2340</v>
      </c>
      <c r="N39" s="20">
        <f t="shared" si="4"/>
        <v>19260</v>
      </c>
      <c r="O39" s="20">
        <f t="shared" si="5"/>
        <v>26100</v>
      </c>
    </row>
    <row r="40" spans="1:15">
      <c r="A40" s="1" t="s">
        <v>3</v>
      </c>
      <c r="B40" s="16" t="s">
        <v>54</v>
      </c>
      <c r="C40" s="9">
        <v>34770</v>
      </c>
      <c r="D40" s="9">
        <v>34770</v>
      </c>
      <c r="E40" s="9">
        <v>20130</v>
      </c>
      <c r="F40" s="20">
        <f t="shared" si="3"/>
        <v>89670</v>
      </c>
      <c r="G40" s="27">
        <v>32940</v>
      </c>
      <c r="H40" s="9">
        <v>27450</v>
      </c>
      <c r="I40" s="9">
        <v>29280</v>
      </c>
      <c r="J40" s="9">
        <v>27450</v>
      </c>
      <c r="K40" s="9">
        <v>31110</v>
      </c>
      <c r="L40" s="9">
        <v>23790</v>
      </c>
      <c r="M40" s="10">
        <v>23790</v>
      </c>
      <c r="N40" s="20">
        <f t="shared" si="4"/>
        <v>195810</v>
      </c>
      <c r="O40" s="20">
        <f t="shared" si="5"/>
        <v>285480</v>
      </c>
    </row>
    <row r="41" spans="1:15">
      <c r="A41" s="1" t="s">
        <v>3</v>
      </c>
      <c r="B41" s="49" t="s">
        <v>55</v>
      </c>
      <c r="C41" s="51">
        <v>1903</v>
      </c>
      <c r="D41" s="51">
        <v>1889</v>
      </c>
      <c r="E41" s="51">
        <v>1236</v>
      </c>
      <c r="F41" s="53">
        <f t="shared" si="3"/>
        <v>5028</v>
      </c>
      <c r="G41" s="50">
        <v>1871</v>
      </c>
      <c r="H41" s="51">
        <v>1423</v>
      </c>
      <c r="I41" s="51">
        <v>1373</v>
      </c>
      <c r="J41" s="51">
        <v>1411</v>
      </c>
      <c r="K41" s="51">
        <v>1747</v>
      </c>
      <c r="L41" s="51">
        <v>1303</v>
      </c>
      <c r="M41" s="52">
        <v>1436</v>
      </c>
      <c r="N41" s="53">
        <f t="shared" si="4"/>
        <v>10564</v>
      </c>
      <c r="O41" s="53">
        <f t="shared" si="5"/>
        <v>15592</v>
      </c>
    </row>
    <row r="42" spans="1:15">
      <c r="A42" s="1" t="s">
        <v>3</v>
      </c>
      <c r="B42" s="54" t="s">
        <v>56</v>
      </c>
      <c r="C42" s="56">
        <v>59473</v>
      </c>
      <c r="D42" s="56">
        <v>59459</v>
      </c>
      <c r="E42" s="56">
        <v>32586</v>
      </c>
      <c r="F42" s="58">
        <f t="shared" si="3"/>
        <v>151518</v>
      </c>
      <c r="G42" s="55">
        <v>56411</v>
      </c>
      <c r="H42" s="56">
        <v>46873</v>
      </c>
      <c r="I42" s="56">
        <v>49853</v>
      </c>
      <c r="J42" s="56">
        <v>46861</v>
      </c>
      <c r="K42" s="56">
        <v>53257</v>
      </c>
      <c r="L42" s="56">
        <v>40693</v>
      </c>
      <c r="M42" s="57">
        <v>40826</v>
      </c>
      <c r="N42" s="58">
        <f t="shared" si="4"/>
        <v>334774</v>
      </c>
      <c r="O42" s="58">
        <f t="shared" si="5"/>
        <v>486292</v>
      </c>
    </row>
    <row r="43" spans="1:15">
      <c r="A43" s="1" t="s">
        <v>3</v>
      </c>
      <c r="B43" s="30" t="s">
        <v>57</v>
      </c>
      <c r="C43" s="41">
        <v>9470</v>
      </c>
      <c r="D43" s="41">
        <v>8420</v>
      </c>
      <c r="E43" s="41">
        <v>5190</v>
      </c>
      <c r="F43" s="43">
        <f t="shared" si="3"/>
        <v>23080</v>
      </c>
      <c r="G43" s="40">
        <v>3780</v>
      </c>
      <c r="H43" s="41">
        <v>2970</v>
      </c>
      <c r="I43" s="41">
        <v>5760</v>
      </c>
      <c r="J43" s="41">
        <v>5920</v>
      </c>
      <c r="K43" s="41">
        <v>6460</v>
      </c>
      <c r="L43" s="41">
        <v>3690</v>
      </c>
      <c r="M43" s="42">
        <v>6000</v>
      </c>
      <c r="N43" s="43">
        <f t="shared" si="4"/>
        <v>34580</v>
      </c>
      <c r="O43" s="43">
        <f t="shared" si="5"/>
        <v>57660</v>
      </c>
    </row>
    <row r="44" spans="1:15">
      <c r="A44" s="1" t="s">
        <v>3</v>
      </c>
      <c r="B44" s="49" t="s">
        <v>58</v>
      </c>
      <c r="C44" s="51">
        <v>19600</v>
      </c>
      <c r="D44" s="51">
        <v>20400</v>
      </c>
      <c r="E44" s="51">
        <v>8400</v>
      </c>
      <c r="F44" s="53">
        <f t="shared" si="3"/>
        <v>48400</v>
      </c>
      <c r="G44" s="50">
        <v>2900</v>
      </c>
      <c r="H44" s="51">
        <v>9400</v>
      </c>
      <c r="I44" s="51">
        <v>11000</v>
      </c>
      <c r="J44" s="51">
        <v>10500</v>
      </c>
      <c r="K44" s="51">
        <v>6800</v>
      </c>
      <c r="L44" s="51">
        <v>0</v>
      </c>
      <c r="M44" s="52">
        <v>0</v>
      </c>
      <c r="N44" s="53">
        <f t="shared" si="4"/>
        <v>40600</v>
      </c>
      <c r="O44" s="53">
        <f t="shared" si="5"/>
        <v>89000</v>
      </c>
    </row>
    <row r="45" spans="1:15">
      <c r="A45" s="1" t="s">
        <v>3</v>
      </c>
      <c r="B45" s="54" t="s">
        <v>59</v>
      </c>
      <c r="C45" s="56">
        <v>88543</v>
      </c>
      <c r="D45" s="56">
        <v>88279</v>
      </c>
      <c r="E45" s="56">
        <v>46176</v>
      </c>
      <c r="F45" s="58">
        <f t="shared" si="3"/>
        <v>222998</v>
      </c>
      <c r="G45" s="55">
        <v>63091</v>
      </c>
      <c r="H45" s="56">
        <v>59243</v>
      </c>
      <c r="I45" s="56">
        <v>66613</v>
      </c>
      <c r="J45" s="56">
        <v>63281</v>
      </c>
      <c r="K45" s="56">
        <v>66517</v>
      </c>
      <c r="L45" s="56">
        <v>44383</v>
      </c>
      <c r="M45" s="57">
        <v>46826</v>
      </c>
      <c r="N45" s="58">
        <f t="shared" si="4"/>
        <v>409954</v>
      </c>
      <c r="O45" s="58">
        <f t="shared" si="5"/>
        <v>632952</v>
      </c>
    </row>
    <row r="46" spans="1:15">
      <c r="A46" s="1" t="s">
        <v>3</v>
      </c>
      <c r="B46" s="54" t="s">
        <v>60</v>
      </c>
      <c r="C46" s="56">
        <v>313297</v>
      </c>
      <c r="D46" s="56">
        <v>300541</v>
      </c>
      <c r="E46" s="56">
        <v>211766</v>
      </c>
      <c r="F46" s="58">
        <f t="shared" si="3"/>
        <v>825604</v>
      </c>
      <c r="G46" s="55">
        <v>307188</v>
      </c>
      <c r="H46" s="56">
        <v>240255</v>
      </c>
      <c r="I46" s="56">
        <v>227723</v>
      </c>
      <c r="J46" s="56">
        <v>232257</v>
      </c>
      <c r="K46" s="56">
        <v>292588</v>
      </c>
      <c r="L46" s="56">
        <v>215061</v>
      </c>
      <c r="M46" s="57">
        <v>234632</v>
      </c>
      <c r="N46" s="58">
        <f t="shared" si="4"/>
        <v>1749704</v>
      </c>
      <c r="O46" s="58">
        <f t="shared" si="5"/>
        <v>2575308</v>
      </c>
    </row>
    <row r="47" spans="1:15">
      <c r="A47" s="1" t="s">
        <v>3</v>
      </c>
      <c r="B47" s="54" t="s">
        <v>61</v>
      </c>
      <c r="C47" s="56">
        <v>292099</v>
      </c>
      <c r="D47" s="56">
        <v>289336</v>
      </c>
      <c r="E47" s="56">
        <v>198837</v>
      </c>
      <c r="F47" s="58">
        <f t="shared" si="3"/>
        <v>780272</v>
      </c>
      <c r="G47" s="55">
        <v>310417</v>
      </c>
      <c r="H47" s="56">
        <v>230087</v>
      </c>
      <c r="I47" s="56">
        <v>213165</v>
      </c>
      <c r="J47" s="56">
        <v>223434</v>
      </c>
      <c r="K47" s="56">
        <v>280705</v>
      </c>
      <c r="L47" s="56">
        <v>217977</v>
      </c>
      <c r="M47" s="57">
        <v>235954</v>
      </c>
      <c r="N47" s="58">
        <f t="shared" si="4"/>
        <v>1711739</v>
      </c>
      <c r="O47" s="58">
        <f t="shared" si="5"/>
        <v>2492011</v>
      </c>
    </row>
    <row r="48" spans="1:15">
      <c r="A48" s="1" t="s">
        <v>3</v>
      </c>
      <c r="B48" s="54" t="s">
        <v>62</v>
      </c>
      <c r="C48" s="56">
        <v>292099</v>
      </c>
      <c r="D48" s="56">
        <v>289336</v>
      </c>
      <c r="E48" s="56">
        <v>198837</v>
      </c>
      <c r="F48" s="58">
        <f t="shared" si="3"/>
        <v>780272</v>
      </c>
      <c r="G48" s="55">
        <v>310417</v>
      </c>
      <c r="H48" s="56">
        <v>230087</v>
      </c>
      <c r="I48" s="56">
        <v>213165</v>
      </c>
      <c r="J48" s="56">
        <v>223434</v>
      </c>
      <c r="K48" s="56">
        <v>280705</v>
      </c>
      <c r="L48" s="56">
        <v>217977</v>
      </c>
      <c r="M48" s="57">
        <v>235954</v>
      </c>
      <c r="N48" s="58">
        <f t="shared" si="4"/>
        <v>1711739</v>
      </c>
      <c r="O48" s="58">
        <f t="shared" si="5"/>
        <v>2492011</v>
      </c>
    </row>
    <row r="49" spans="1:15">
      <c r="A49" s="1" t="s">
        <v>3</v>
      </c>
      <c r="B49" s="30" t="s">
        <v>63</v>
      </c>
      <c r="C49" s="41">
        <v>0</v>
      </c>
      <c r="D49" s="41">
        <v>0</v>
      </c>
      <c r="E49" s="41">
        <v>0</v>
      </c>
      <c r="F49" s="43"/>
      <c r="G49" s="40">
        <v>3</v>
      </c>
      <c r="H49" s="41">
        <v>2</v>
      </c>
      <c r="I49" s="41">
        <v>0</v>
      </c>
      <c r="J49" s="41">
        <v>0</v>
      </c>
      <c r="K49" s="41">
        <v>1</v>
      </c>
      <c r="L49" s="41">
        <v>1</v>
      </c>
      <c r="M49" s="42">
        <v>0</v>
      </c>
      <c r="N49" s="43"/>
      <c r="O49" s="43"/>
    </row>
    <row r="50" spans="1:15">
      <c r="A50" s="1" t="s">
        <v>3</v>
      </c>
      <c r="B50" s="16" t="s">
        <v>64</v>
      </c>
      <c r="C50" s="11" t="s">
        <v>65</v>
      </c>
      <c r="D50" s="11" t="s">
        <v>65</v>
      </c>
      <c r="E50" s="11" t="s">
        <v>65</v>
      </c>
      <c r="F50" s="21"/>
      <c r="G50" s="28" t="s">
        <v>65</v>
      </c>
      <c r="H50" s="11" t="s">
        <v>65</v>
      </c>
      <c r="I50" s="11" t="s">
        <v>65</v>
      </c>
      <c r="J50" s="11" t="s">
        <v>65</v>
      </c>
      <c r="K50" s="11" t="s">
        <v>65</v>
      </c>
      <c r="L50" s="11" t="s">
        <v>65</v>
      </c>
      <c r="M50" s="12" t="s">
        <v>65</v>
      </c>
      <c r="N50" s="21"/>
      <c r="O50" s="21"/>
    </row>
    <row r="51" spans="1:15" ht="19.5" thickBot="1">
      <c r="A51" s="1" t="s">
        <v>3</v>
      </c>
      <c r="B51" s="17" t="s">
        <v>66</v>
      </c>
      <c r="C51" s="13">
        <v>9470</v>
      </c>
      <c r="D51" s="13">
        <v>8420</v>
      </c>
      <c r="E51" s="13">
        <v>5190</v>
      </c>
      <c r="F51" s="22">
        <f>SUM(C51:E51)</f>
        <v>23080</v>
      </c>
      <c r="G51" s="29">
        <v>3780</v>
      </c>
      <c r="H51" s="13">
        <v>2970</v>
      </c>
      <c r="I51" s="13">
        <v>5760</v>
      </c>
      <c r="J51" s="13">
        <v>5920</v>
      </c>
      <c r="K51" s="13">
        <v>6460</v>
      </c>
      <c r="L51" s="13">
        <v>3690</v>
      </c>
      <c r="M51" s="14">
        <v>6000</v>
      </c>
      <c r="N51" s="22">
        <f>SUM(G51:M51)</f>
        <v>34580</v>
      </c>
      <c r="O51" s="22">
        <f>F51+N51</f>
        <v>57660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6月度給与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2025-06-09T02:30:49Z</dcterms:created>
  <dcterms:modified xsi:type="dcterms:W3CDTF">2025-06-09T07:49:22Z</dcterms:modified>
</cp:coreProperties>
</file>